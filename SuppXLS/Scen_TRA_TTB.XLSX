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24226"/>
  <mc:AlternateContent xmlns:mc="http://schemas.openxmlformats.org/markup-compatibility/2006">
    <mc:Choice Requires="x15">
      <x15ac:absPath xmlns:x15ac="http://schemas.microsoft.com/office/spreadsheetml/2010/11/ac" url="C:\VEDA\VEDA_Models\~g2v_TIMES-DK\CCUS\SuppXLS\"/>
    </mc:Choice>
  </mc:AlternateContent>
  <xr:revisionPtr revIDLastSave="0" documentId="13_ncr:1_{91181931-1949-4D9A-98D7-AF7F3B3E5FFB}" xr6:coauthVersionLast="45" xr6:coauthVersionMax="45" xr10:uidLastSave="{00000000-0000-0000-0000-000000000000}"/>
  <bookViews>
    <workbookView xWindow="2916" yWindow="384" windowWidth="21144" windowHeight="16296" firstSheet="7" activeTab="10" xr2:uid="{00000000-000D-0000-FFFF-FFFF00000000}"/>
  </bookViews>
  <sheets>
    <sheet name="LOG" sheetId="29" r:id="rId1"/>
    <sheet name="TTB constraint" sheetId="15" r:id="rId2"/>
    <sheet name="Sheet1" sheetId="33" r:id="rId3"/>
    <sheet name="TTB from TIMES population" sheetId="7" r:id="rId4"/>
    <sheet name="Speed" sheetId="35" r:id="rId5"/>
    <sheet name="Explanation" sheetId="17" r:id="rId6"/>
    <sheet name="Min_Public_Transport" sheetId="18" r:id="rId7"/>
    <sheet name="Min_Walk,Bike,Moto,Moped" sheetId="20" r:id="rId8"/>
    <sheet name="Explanation (2)" sheetId="21" r:id="rId9"/>
    <sheet name="1mode Allreg" sheetId="31" r:id="rId10"/>
    <sheet name="Couple Potential" sheetId="32" r:id="rId11"/>
    <sheet name="LTM data" sheetId="30" r:id="rId12"/>
    <sheet name="No car availability" sheetId="19" r:id="rId13"/>
    <sheet name="1mode potential" sheetId="24" r:id="rId14"/>
    <sheet name="BY,2050 demands" sheetId="27" r:id="rId15"/>
    <sheet name="TTB from TU" sheetId="6" r:id="rId16"/>
    <sheet name="TIME data from model" sheetId="8" r:id="rId17"/>
  </sheets>
  <definedNames>
    <definedName name="HTML_CodePage" hidden="1">1252</definedName>
    <definedName name="HTML_Control" localSheetId="9" hidden="1">{"'Ark1'!$A$8:$M$33"}</definedName>
    <definedName name="HTML_Control" localSheetId="11" hidden="1">{"'Ark1'!$A$8:$M$33"}</definedName>
    <definedName name="HTML_Control" hidden="1">{"'Ark1'!$A$8:$M$33"}</definedName>
    <definedName name="HTML_Control_1"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8" i="32" l="1"/>
  <c r="B12" i="32"/>
  <c r="B13" i="32"/>
  <c r="B14" i="32"/>
  <c r="B15" i="32"/>
  <c r="B16" i="32"/>
  <c r="B17" i="32"/>
  <c r="B18" i="32"/>
  <c r="B19" i="32"/>
  <c r="B20" i="32"/>
  <c r="B21" i="32"/>
  <c r="B22" i="32"/>
  <c r="B23" i="32"/>
  <c r="B24" i="32"/>
  <c r="B25" i="32"/>
  <c r="B26" i="32"/>
  <c r="B27" i="32"/>
  <c r="B28" i="32"/>
  <c r="B29" i="32"/>
  <c r="B30" i="32"/>
  <c r="B31" i="32"/>
  <c r="B32" i="32"/>
  <c r="B33" i="32"/>
  <c r="B34" i="32"/>
  <c r="B35" i="32"/>
  <c r="B36" i="32"/>
  <c r="B37" i="32"/>
  <c r="B38" i="32"/>
  <c r="B39" i="32"/>
  <c r="B40" i="32"/>
  <c r="B41" i="32"/>
  <c r="B42" i="32"/>
  <c r="B43" i="32"/>
  <c r="B44" i="32"/>
  <c r="B45" i="32"/>
  <c r="B46" i="32"/>
  <c r="B47" i="32"/>
  <c r="B48" i="32"/>
  <c r="B49" i="32"/>
  <c r="B50" i="32"/>
  <c r="B51" i="32"/>
  <c r="B52" i="32"/>
  <c r="B53" i="32"/>
  <c r="B54" i="32"/>
  <c r="B55" i="32"/>
  <c r="B56" i="32"/>
  <c r="B57" i="32"/>
  <c r="B58" i="32"/>
  <c r="B59" i="32"/>
  <c r="B60" i="32"/>
  <c r="B61" i="32"/>
  <c r="B62" i="32"/>
  <c r="B63" i="32"/>
  <c r="B64" i="32"/>
  <c r="B65" i="32"/>
  <c r="B66" i="32"/>
  <c r="B67" i="32"/>
  <c r="B68" i="32"/>
  <c r="B69" i="32"/>
  <c r="B70" i="32"/>
  <c r="B71" i="32"/>
  <c r="B72" i="32"/>
  <c r="B73" i="32"/>
  <c r="B74" i="32"/>
  <c r="B75" i="32"/>
  <c r="B76" i="32"/>
  <c r="B77" i="32"/>
  <c r="B78" i="32"/>
  <c r="B79" i="32"/>
  <c r="B80" i="32"/>
  <c r="B81" i="32"/>
  <c r="B82" i="32"/>
  <c r="B83" i="32"/>
  <c r="B84" i="32"/>
  <c r="B85" i="32"/>
  <c r="B86" i="32"/>
  <c r="B87" i="32"/>
  <c r="B88" i="32"/>
  <c r="B89" i="32"/>
  <c r="B90" i="32"/>
  <c r="B91" i="32"/>
  <c r="B92" i="32"/>
  <c r="B93" i="32"/>
  <c r="B94" i="32"/>
  <c r="B95" i="32"/>
  <c r="B96" i="32"/>
  <c r="B97" i="32"/>
  <c r="B98" i="32"/>
  <c r="B99" i="32"/>
  <c r="B100" i="32"/>
  <c r="B101" i="32"/>
  <c r="B102" i="32"/>
  <c r="B103" i="32"/>
  <c r="B104" i="32"/>
  <c r="B105" i="32"/>
  <c r="B106" i="32"/>
  <c r="B107" i="32"/>
  <c r="B108" i="32"/>
  <c r="B109" i="32"/>
  <c r="B110" i="32"/>
  <c r="B111" i="32"/>
  <c r="B112" i="32"/>
  <c r="B113" i="32"/>
  <c r="B114" i="32"/>
  <c r="B115" i="32"/>
  <c r="B116" i="32"/>
  <c r="B117" i="32"/>
  <c r="B118" i="32"/>
  <c r="B119" i="32"/>
  <c r="B120" i="32"/>
  <c r="B121" i="32"/>
  <c r="B122" i="32"/>
  <c r="B123" i="32"/>
  <c r="B124" i="32"/>
  <c r="B125" i="32"/>
  <c r="B126" i="32"/>
  <c r="B127" i="32"/>
  <c r="B128" i="32"/>
  <c r="B129" i="32"/>
  <c r="B130" i="32"/>
  <c r="B131" i="32"/>
  <c r="B132" i="32"/>
  <c r="B133" i="32"/>
  <c r="B134" i="32"/>
  <c r="B135" i="32"/>
  <c r="B136" i="32"/>
  <c r="B137" i="32"/>
  <c r="B138" i="32"/>
  <c r="B139" i="32"/>
  <c r="B140" i="32"/>
  <c r="B141" i="32"/>
  <c r="B142" i="32"/>
  <c r="B143" i="32"/>
  <c r="B144" i="32"/>
  <c r="B145" i="32"/>
  <c r="B146" i="32"/>
  <c r="B147" i="32"/>
  <c r="B148" i="32"/>
  <c r="B149" i="32"/>
  <c r="B150" i="32"/>
  <c r="B151" i="32"/>
  <c r="B152" i="32"/>
  <c r="B153" i="32"/>
  <c r="B154" i="32"/>
  <c r="B155" i="32"/>
  <c r="B156" i="32"/>
  <c r="B157" i="32"/>
  <c r="B158" i="32"/>
  <c r="B159" i="32"/>
  <c r="B160" i="32"/>
  <c r="B161" i="32"/>
  <c r="B162" i="32"/>
  <c r="B163" i="32"/>
  <c r="B164" i="32"/>
  <c r="B165" i="32"/>
  <c r="B166" i="32"/>
  <c r="B167" i="32"/>
  <c r="B168" i="32"/>
  <c r="B169" i="32"/>
  <c r="B170" i="32"/>
  <c r="B7" i="32"/>
  <c r="I9" i="32" l="1" a="1"/>
  <c r="I9" i="32" s="1"/>
  <c r="I10" i="32" a="1"/>
  <c r="I10" i="32" s="1"/>
  <c r="D8" i="32" l="1"/>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7" i="32"/>
  <c r="C14" i="32" l="1"/>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8" i="32"/>
  <c r="C9" i="32"/>
  <c r="C10" i="32"/>
  <c r="C11" i="32"/>
  <c r="C12" i="32"/>
  <c r="C13" i="32"/>
  <c r="C7" i="32"/>
  <c r="I8" i="32" a="1"/>
  <c r="I8" i="32" s="1"/>
  <c r="E7" i="32" l="1"/>
  <c r="L7" i="32" s="1" a="1"/>
  <c r="L7" i="32" s="1"/>
  <c r="AE7" i="32" a="1"/>
  <c r="AE7" i="32" s="1"/>
  <c r="AF7" i="32" a="1"/>
  <c r="AF7" i="32" s="1"/>
  <c r="AG7" i="32" a="1"/>
  <c r="AG7" i="32" s="1"/>
  <c r="AH7" i="32" a="1"/>
  <c r="AH7" i="32" s="1"/>
  <c r="E8" i="32"/>
  <c r="L8" i="32" a="1"/>
  <c r="L8" i="32" s="1"/>
  <c r="AE8" i="32" a="1"/>
  <c r="AE8" i="32" s="1"/>
  <c r="AF8" i="32" a="1"/>
  <c r="AF8" i="32" s="1"/>
  <c r="AG8" i="32" a="1"/>
  <c r="AG8" i="32" s="1"/>
  <c r="AH8" i="32" a="1"/>
  <c r="AH8" i="32" s="1"/>
  <c r="AO20" i="35" l="1"/>
  <c r="AN20" i="35"/>
  <c r="AK20" i="35"/>
  <c r="AH20" i="35"/>
  <c r="AG20" i="35"/>
  <c r="AF20" i="35"/>
  <c r="AE20" i="35"/>
  <c r="AC20" i="35"/>
  <c r="AD20" i="35"/>
  <c r="AB20" i="35"/>
  <c r="Z20" i="35"/>
  <c r="W20" i="35"/>
  <c r="AL20" i="35" s="1"/>
  <c r="T20" i="35"/>
  <c r="U20" i="35" s="1"/>
  <c r="AJ20" i="35" s="1"/>
  <c r="N47" i="35" a="1"/>
  <c r="N47" i="35" s="1"/>
  <c r="M47" i="35" a="1"/>
  <c r="M47" i="35" s="1"/>
  <c r="F54" i="35"/>
  <c r="E54" i="35"/>
  <c r="F53" i="35"/>
  <c r="E53" i="35"/>
  <c r="F52" i="35"/>
  <c r="E52" i="35"/>
  <c r="F51" i="35"/>
  <c r="E51" i="35"/>
  <c r="F50" i="35"/>
  <c r="E50" i="35"/>
  <c r="F46" i="35"/>
  <c r="E46" i="35"/>
  <c r="F45" i="35"/>
  <c r="E45" i="35"/>
  <c r="F44" i="35"/>
  <c r="E44" i="35"/>
  <c r="F43" i="35"/>
  <c r="E43" i="35"/>
  <c r="F42" i="35"/>
  <c r="E42" i="35"/>
  <c r="F41" i="35"/>
  <c r="E41" i="35"/>
  <c r="F40" i="35"/>
  <c r="E40" i="35"/>
  <c r="F39" i="35"/>
  <c r="E39" i="35"/>
  <c r="F38" i="35"/>
  <c r="E38" i="35"/>
  <c r="F37" i="35"/>
  <c r="E37" i="35"/>
  <c r="F36" i="35"/>
  <c r="E36" i="35"/>
  <c r="F35" i="35"/>
  <c r="E35" i="35"/>
  <c r="F34" i="35"/>
  <c r="E34" i="35"/>
  <c r="F33" i="35"/>
  <c r="E33" i="35"/>
  <c r="F32" i="35"/>
  <c r="E32" i="35"/>
  <c r="F31" i="35"/>
  <c r="E31" i="35"/>
  <c r="F30" i="35"/>
  <c r="E30" i="35"/>
  <c r="F29" i="35"/>
  <c r="E29" i="35"/>
  <c r="F28" i="35"/>
  <c r="E28" i="35"/>
  <c r="F27" i="35"/>
  <c r="E27" i="35"/>
  <c r="F26" i="35"/>
  <c r="E26" i="35"/>
  <c r="F25" i="35"/>
  <c r="E25" i="35"/>
  <c r="F24" i="35"/>
  <c r="E24" i="35"/>
  <c r="Y16" i="35"/>
  <c r="X16" i="35"/>
  <c r="W16" i="35"/>
  <c r="Y15" i="35"/>
  <c r="X15" i="35"/>
  <c r="W15" i="35"/>
  <c r="R14" i="35"/>
  <c r="Q14" i="35"/>
  <c r="E48" i="35" s="1"/>
  <c r="P14" i="35"/>
  <c r="F47" i="35" s="1"/>
  <c r="Q5" i="35"/>
  <c r="F23" i="35" s="1"/>
  <c r="P5" i="35"/>
  <c r="E22" i="35" s="1"/>
  <c r="F48" i="35" l="1"/>
  <c r="F22" i="35"/>
  <c r="AI20" i="35"/>
  <c r="E47" i="35"/>
  <c r="AA20" i="35"/>
  <c r="AP20" i="35" s="1"/>
  <c r="X20" i="35"/>
  <c r="AM20" i="35" s="1"/>
  <c r="O47" i="35"/>
  <c r="F49" i="35"/>
  <c r="E49" i="35"/>
  <c r="E23" i="35"/>
  <c r="R8" i="7"/>
  <c r="K7" i="7"/>
  <c r="AF14" i="33"/>
  <c r="AL14" i="33" s="1"/>
  <c r="AF15" i="33"/>
  <c r="AL15" i="33" s="1"/>
  <c r="AA8" i="33"/>
  <c r="AF8" i="33" s="1"/>
  <c r="AL8" i="33" s="1"/>
  <c r="AA14" i="33"/>
  <c r="AG14" i="33" s="1"/>
  <c r="AM14" i="33" s="1"/>
  <c r="AA15" i="33"/>
  <c r="AG15" i="33" s="1"/>
  <c r="AM15" i="33" s="1"/>
  <c r="AA22" i="33"/>
  <c r="AF22" i="33" s="1"/>
  <c r="AL22" i="33" s="1"/>
  <c r="AA23" i="33"/>
  <c r="AG23" i="33" s="1"/>
  <c r="AM23" i="33" s="1"/>
  <c r="AA24" i="33"/>
  <c r="AG24" i="33" s="1"/>
  <c r="AM24" i="33" s="1"/>
  <c r="AA25" i="33"/>
  <c r="AF25" i="33" s="1"/>
  <c r="AL25" i="33" s="1"/>
  <c r="AA26" i="33"/>
  <c r="AH26" i="33" s="1"/>
  <c r="AN26" i="33" s="1"/>
  <c r="Z9" i="33"/>
  <c r="AA9" i="33" s="1"/>
  <c r="Z10" i="33"/>
  <c r="AA10" i="33" s="1"/>
  <c r="Z11" i="33"/>
  <c r="AA11" i="33" s="1"/>
  <c r="Z12" i="33"/>
  <c r="AA12" i="33" s="1"/>
  <c r="Z13" i="33"/>
  <c r="AA13" i="33" s="1"/>
  <c r="Z14" i="33"/>
  <c r="Z15" i="33"/>
  <c r="Z22" i="33"/>
  <c r="Z23" i="33"/>
  <c r="Z24" i="33"/>
  <c r="Z25" i="33"/>
  <c r="Z26" i="33"/>
  <c r="Z32" i="33"/>
  <c r="AA32" i="33" s="1"/>
  <c r="Z35" i="33"/>
  <c r="AA35" i="33" s="1"/>
  <c r="Z37" i="33"/>
  <c r="AA37" i="33" s="1"/>
  <c r="Z38" i="33"/>
  <c r="AA38" i="33" s="1"/>
  <c r="Z39" i="33"/>
  <c r="AA39" i="33" s="1"/>
  <c r="Z40" i="33"/>
  <c r="AA40" i="33" s="1"/>
  <c r="Z41" i="33"/>
  <c r="AA41" i="33" s="1"/>
  <c r="Z8" i="33"/>
  <c r="U45" i="33"/>
  <c r="U46" i="33" s="1"/>
  <c r="U47" i="33" s="1"/>
  <c r="U48" i="33" s="1"/>
  <c r="U44" i="33"/>
  <c r="T44" i="33"/>
  <c r="T45" i="33" s="1"/>
  <c r="V43" i="33"/>
  <c r="Z43" i="33" s="1"/>
  <c r="AA43" i="33" s="1"/>
  <c r="V42" i="33"/>
  <c r="Z42" i="33" s="1"/>
  <c r="AA42" i="33" s="1"/>
  <c r="V41" i="33"/>
  <c r="V40" i="33"/>
  <c r="V39" i="33"/>
  <c r="V38" i="33"/>
  <c r="V37" i="33"/>
  <c r="V36" i="33"/>
  <c r="Z36" i="33" s="1"/>
  <c r="AA36" i="33" s="1"/>
  <c r="V35" i="33"/>
  <c r="V34" i="33"/>
  <c r="Z34" i="33" s="1"/>
  <c r="AA34" i="33" s="1"/>
  <c r="V33" i="33"/>
  <c r="Z33" i="33" s="1"/>
  <c r="AA33" i="33" s="1"/>
  <c r="V32" i="33"/>
  <c r="V31" i="33"/>
  <c r="Z31" i="33" s="1"/>
  <c r="AA31" i="33" s="1"/>
  <c r="V30" i="33"/>
  <c r="Z30" i="33" s="1"/>
  <c r="AA30" i="33" s="1"/>
  <c r="V29" i="33"/>
  <c r="Z29" i="33" s="1"/>
  <c r="AA29" i="33" s="1"/>
  <c r="V28" i="33"/>
  <c r="Z28" i="33" s="1"/>
  <c r="AA28" i="33" s="1"/>
  <c r="V27" i="33"/>
  <c r="Z27" i="33" s="1"/>
  <c r="AA27" i="33" s="1"/>
  <c r="V26" i="33"/>
  <c r="V25" i="33"/>
  <c r="V24" i="33"/>
  <c r="V23" i="33"/>
  <c r="V22" i="33"/>
  <c r="V21" i="33"/>
  <c r="Z21" i="33" s="1"/>
  <c r="AA21" i="33" s="1"/>
  <c r="V20" i="33"/>
  <c r="Z20" i="33" s="1"/>
  <c r="AA20" i="33" s="1"/>
  <c r="V19" i="33"/>
  <c r="Z19" i="33" s="1"/>
  <c r="AA19" i="33" s="1"/>
  <c r="V18" i="33"/>
  <c r="Z18" i="33" s="1"/>
  <c r="AA18" i="33" s="1"/>
  <c r="V17" i="33"/>
  <c r="Z17" i="33" s="1"/>
  <c r="AA17" i="33" s="1"/>
  <c r="V16" i="33"/>
  <c r="Z16" i="33" s="1"/>
  <c r="AA16" i="33" s="1"/>
  <c r="U15" i="33"/>
  <c r="T15" i="33"/>
  <c r="U14" i="33"/>
  <c r="T14" i="33"/>
  <c r="U13" i="33"/>
  <c r="T13" i="33"/>
  <c r="U12" i="33"/>
  <c r="T12" i="33"/>
  <c r="U11" i="33"/>
  <c r="T11" i="33"/>
  <c r="U10" i="33"/>
  <c r="T10" i="33"/>
  <c r="U9" i="33"/>
  <c r="T9" i="33"/>
  <c r="U8" i="33"/>
  <c r="T8" i="33"/>
  <c r="K3" i="33"/>
  <c r="P2" i="33" s="1"/>
  <c r="AF34" i="33" l="1"/>
  <c r="AL34" i="33" s="1"/>
  <c r="AG34" i="33"/>
  <c r="AM34" i="33" s="1"/>
  <c r="AH34" i="33"/>
  <c r="AN34" i="33" s="1"/>
  <c r="AF36" i="33"/>
  <c r="AL36" i="33" s="1"/>
  <c r="AH36" i="33"/>
  <c r="AN36" i="33" s="1"/>
  <c r="AG36" i="33"/>
  <c r="AM36" i="33" s="1"/>
  <c r="AF10" i="33"/>
  <c r="AL10" i="33" s="1"/>
  <c r="AG10" i="33"/>
  <c r="AM10" i="33" s="1"/>
  <c r="AH10" i="33"/>
  <c r="AN10" i="33" s="1"/>
  <c r="AF42" i="33"/>
  <c r="AL42" i="33" s="1"/>
  <c r="AG42" i="33"/>
  <c r="AM42" i="33" s="1"/>
  <c r="AH42" i="33"/>
  <c r="AN42" i="33" s="1"/>
  <c r="AF43" i="33"/>
  <c r="AL43" i="33" s="1"/>
  <c r="AG43" i="33"/>
  <c r="AM43" i="33" s="1"/>
  <c r="AH43" i="33"/>
  <c r="AN43" i="33" s="1"/>
  <c r="AH33" i="33"/>
  <c r="AN33" i="33" s="1"/>
  <c r="AF33" i="33"/>
  <c r="AL33" i="33" s="1"/>
  <c r="AG33" i="33"/>
  <c r="AM33" i="33" s="1"/>
  <c r="AF13" i="33"/>
  <c r="AL13" i="33" s="1"/>
  <c r="AG13" i="33"/>
  <c r="AM13" i="33" s="1"/>
  <c r="AH13" i="33"/>
  <c r="AN13" i="33" s="1"/>
  <c r="AF11" i="33"/>
  <c r="AL11" i="33" s="1"/>
  <c r="AG11" i="33"/>
  <c r="AM11" i="33" s="1"/>
  <c r="AH11" i="33"/>
  <c r="AN11" i="33" s="1"/>
  <c r="AF9" i="33"/>
  <c r="AL9" i="33" s="1"/>
  <c r="AG9" i="33"/>
  <c r="AM9" i="33" s="1"/>
  <c r="AH9" i="33"/>
  <c r="AN9" i="33" s="1"/>
  <c r="AF16" i="33"/>
  <c r="AL16" i="33" s="1"/>
  <c r="AG16" i="33"/>
  <c r="AM16" i="33" s="1"/>
  <c r="AH16" i="33"/>
  <c r="AN16" i="33" s="1"/>
  <c r="AG18" i="33"/>
  <c r="AM18" i="33" s="1"/>
  <c r="AH18" i="33"/>
  <c r="AN18" i="33" s="1"/>
  <c r="AF18" i="33"/>
  <c r="AL18" i="33" s="1"/>
  <c r="AG17" i="33"/>
  <c r="AM17" i="33" s="1"/>
  <c r="AF17" i="33"/>
  <c r="AL17" i="33" s="1"/>
  <c r="AH17" i="33"/>
  <c r="AN17" i="33" s="1"/>
  <c r="AF39" i="33"/>
  <c r="AL39" i="33" s="1"/>
  <c r="AG39" i="33"/>
  <c r="AM39" i="33" s="1"/>
  <c r="AH39" i="33"/>
  <c r="AN39" i="33" s="1"/>
  <c r="AF12" i="33"/>
  <c r="AL12" i="33" s="1"/>
  <c r="AG12" i="33"/>
  <c r="AM12" i="33" s="1"/>
  <c r="AH12" i="33"/>
  <c r="AN12" i="33" s="1"/>
  <c r="AF38" i="33"/>
  <c r="AL38" i="33" s="1"/>
  <c r="AG38" i="33"/>
  <c r="AM38" i="33" s="1"/>
  <c r="AH38" i="33"/>
  <c r="AN38" i="33" s="1"/>
  <c r="AG29" i="33"/>
  <c r="AM29" i="33" s="1"/>
  <c r="AF29" i="33"/>
  <c r="AL29" i="33" s="1"/>
  <c r="AH29" i="33"/>
  <c r="AN29" i="33" s="1"/>
  <c r="AG41" i="33"/>
  <c r="AM41" i="33" s="1"/>
  <c r="AF41" i="33"/>
  <c r="AL41" i="33" s="1"/>
  <c r="AH41" i="33"/>
  <c r="AN41" i="33" s="1"/>
  <c r="AF40" i="33"/>
  <c r="AL40" i="33" s="1"/>
  <c r="AH40" i="33"/>
  <c r="AN40" i="33" s="1"/>
  <c r="AG40" i="33"/>
  <c r="AM40" i="33" s="1"/>
  <c r="AF37" i="33"/>
  <c r="AL37" i="33" s="1"/>
  <c r="AG37" i="33"/>
  <c r="AM37" i="33" s="1"/>
  <c r="AH37" i="33"/>
  <c r="AN37" i="33" s="1"/>
  <c r="AH27" i="33"/>
  <c r="AN27" i="33" s="1"/>
  <c r="AG27" i="33"/>
  <c r="AM27" i="33" s="1"/>
  <c r="AF27" i="33"/>
  <c r="AL27" i="33" s="1"/>
  <c r="AF31" i="33"/>
  <c r="AL31" i="33" s="1"/>
  <c r="AG31" i="33"/>
  <c r="AM31" i="33" s="1"/>
  <c r="AH31" i="33"/>
  <c r="AN31" i="33" s="1"/>
  <c r="AF19" i="33"/>
  <c r="AL19" i="33" s="1"/>
  <c r="AG19" i="33"/>
  <c r="AM19" i="33" s="1"/>
  <c r="AH19" i="33"/>
  <c r="AN19" i="33" s="1"/>
  <c r="AG20" i="33"/>
  <c r="AM20" i="33" s="1"/>
  <c r="AF20" i="33"/>
  <c r="AL20" i="33" s="1"/>
  <c r="AH20" i="33"/>
  <c r="AN20" i="33" s="1"/>
  <c r="AF21" i="33"/>
  <c r="AL21" i="33" s="1"/>
  <c r="AG21" i="33"/>
  <c r="AM21" i="33" s="1"/>
  <c r="AH21" i="33"/>
  <c r="AN21" i="33" s="1"/>
  <c r="AF35" i="33"/>
  <c r="AL35" i="33" s="1"/>
  <c r="AG35" i="33"/>
  <c r="AM35" i="33" s="1"/>
  <c r="AH35" i="33"/>
  <c r="AN35" i="33" s="1"/>
  <c r="AH32" i="33"/>
  <c r="AN32" i="33" s="1"/>
  <c r="AF32" i="33"/>
  <c r="AL32" i="33" s="1"/>
  <c r="AG32" i="33"/>
  <c r="AM32" i="33" s="1"/>
  <c r="AH28" i="33"/>
  <c r="AN28" i="33" s="1"/>
  <c r="AF28" i="33"/>
  <c r="AL28" i="33" s="1"/>
  <c r="AG28" i="33"/>
  <c r="AM28" i="33" s="1"/>
  <c r="AF30" i="33"/>
  <c r="AL30" i="33" s="1"/>
  <c r="AG30" i="33"/>
  <c r="AM30" i="33" s="1"/>
  <c r="AH30" i="33"/>
  <c r="AN30" i="33" s="1"/>
  <c r="AG26" i="33"/>
  <c r="AM26" i="33" s="1"/>
  <c r="AF26" i="33"/>
  <c r="AL26" i="33" s="1"/>
  <c r="AH25" i="33"/>
  <c r="AN25" i="33" s="1"/>
  <c r="AG25" i="33"/>
  <c r="AM25" i="33" s="1"/>
  <c r="AH15" i="33"/>
  <c r="AN15" i="33" s="1"/>
  <c r="AH24" i="33"/>
  <c r="AN24" i="33" s="1"/>
  <c r="AH8" i="33"/>
  <c r="AN8" i="33" s="1"/>
  <c r="AF24" i="33"/>
  <c r="AL24" i="33" s="1"/>
  <c r="AH14" i="33"/>
  <c r="AN14" i="33" s="1"/>
  <c r="AH23" i="33"/>
  <c r="AN23" i="33" s="1"/>
  <c r="AF23" i="33"/>
  <c r="AL23" i="33" s="1"/>
  <c r="AH22" i="33"/>
  <c r="AN22" i="33" s="1"/>
  <c r="AG22" i="33"/>
  <c r="AM22" i="33" s="1"/>
  <c r="AG8" i="33"/>
  <c r="AM8" i="33" s="1"/>
  <c r="I9" i="33"/>
  <c r="J23" i="33"/>
  <c r="J39" i="33"/>
  <c r="J19" i="33"/>
  <c r="K24" i="33"/>
  <c r="I30" i="33"/>
  <c r="J35" i="33"/>
  <c r="K40" i="33"/>
  <c r="I46" i="33"/>
  <c r="K20" i="33"/>
  <c r="I26" i="33"/>
  <c r="J31" i="33"/>
  <c r="K36" i="33"/>
  <c r="I42" i="33"/>
  <c r="J47" i="33"/>
  <c r="I22" i="33"/>
  <c r="J27" i="33"/>
  <c r="K32" i="33"/>
  <c r="I38" i="33"/>
  <c r="J43" i="33"/>
  <c r="K48" i="33"/>
  <c r="K28" i="33"/>
  <c r="I34" i="33"/>
  <c r="K44" i="33"/>
  <c r="V45" i="33"/>
  <c r="Z45" i="33" s="1"/>
  <c r="AA45" i="33" s="1"/>
  <c r="T46" i="33"/>
  <c r="V44" i="33"/>
  <c r="Z44" i="33" s="1"/>
  <c r="AA44" i="33" s="1"/>
  <c r="I18" i="33"/>
  <c r="J15" i="33"/>
  <c r="K12" i="33"/>
  <c r="I10" i="33"/>
  <c r="K45" i="33"/>
  <c r="K41" i="33"/>
  <c r="J40" i="33"/>
  <c r="K37" i="33"/>
  <c r="J36" i="33"/>
  <c r="I35" i="33"/>
  <c r="K33" i="33"/>
  <c r="J32" i="33"/>
  <c r="I31" i="33"/>
  <c r="K29" i="33"/>
  <c r="J28" i="33"/>
  <c r="I27" i="33"/>
  <c r="K25" i="33"/>
  <c r="J24" i="33"/>
  <c r="I23" i="33"/>
  <c r="K21" i="33"/>
  <c r="J20" i="33"/>
  <c r="I19" i="33"/>
  <c r="K17" i="33"/>
  <c r="J16" i="33"/>
  <c r="I15" i="33"/>
  <c r="K13" i="33"/>
  <c r="J12" i="33"/>
  <c r="I11" i="33"/>
  <c r="K9" i="33"/>
  <c r="J8" i="33"/>
  <c r="K16" i="33"/>
  <c r="I14" i="33"/>
  <c r="J11" i="33"/>
  <c r="K8" i="33"/>
  <c r="J48" i="33"/>
  <c r="J44" i="33"/>
  <c r="I48" i="33"/>
  <c r="I44" i="33"/>
  <c r="I40" i="33"/>
  <c r="J37" i="33"/>
  <c r="K34" i="33"/>
  <c r="J33" i="33"/>
  <c r="K30" i="33"/>
  <c r="I28" i="33"/>
  <c r="J25" i="33"/>
  <c r="J21" i="33"/>
  <c r="I16" i="33"/>
  <c r="J13" i="33"/>
  <c r="I12" i="33"/>
  <c r="K10" i="33"/>
  <c r="J9" i="33"/>
  <c r="I8" i="33"/>
  <c r="I47" i="33"/>
  <c r="I43" i="33"/>
  <c r="I39" i="33"/>
  <c r="K46" i="33"/>
  <c r="J45" i="33"/>
  <c r="K42" i="33"/>
  <c r="J41" i="33"/>
  <c r="K38" i="33"/>
  <c r="I36" i="33"/>
  <c r="I32" i="33"/>
  <c r="J29" i="33"/>
  <c r="K26" i="33"/>
  <c r="I24" i="33"/>
  <c r="K22" i="33"/>
  <c r="I20" i="33"/>
  <c r="K18" i="33"/>
  <c r="J17" i="33"/>
  <c r="K14" i="33"/>
  <c r="K47" i="33"/>
  <c r="J46" i="33"/>
  <c r="I45" i="33"/>
  <c r="K43" i="33"/>
  <c r="J42" i="33"/>
  <c r="I41" i="33"/>
  <c r="K39" i="33"/>
  <c r="J38" i="33"/>
  <c r="I37" i="33"/>
  <c r="K35" i="33"/>
  <c r="J34" i="33"/>
  <c r="I33" i="33"/>
  <c r="K31" i="33"/>
  <c r="J30" i="33"/>
  <c r="I29" i="33"/>
  <c r="K27" i="33"/>
  <c r="J26" i="33"/>
  <c r="I25" i="33"/>
  <c r="K23" i="33"/>
  <c r="J22" i="33"/>
  <c r="I21" i="33"/>
  <c r="K19" i="33"/>
  <c r="J18" i="33"/>
  <c r="I17" i="33"/>
  <c r="K15" i="33"/>
  <c r="J14" i="33"/>
  <c r="I13" i="33"/>
  <c r="K11" i="33"/>
  <c r="J10" i="33"/>
  <c r="D4" i="29"/>
  <c r="AG45" i="33" l="1"/>
  <c r="AM45" i="33" s="1"/>
  <c r="AF45" i="33"/>
  <c r="AL45" i="33" s="1"/>
  <c r="AH45" i="33"/>
  <c r="AN45" i="33" s="1"/>
  <c r="AF44" i="33"/>
  <c r="AL44" i="33" s="1"/>
  <c r="AG44" i="33"/>
  <c r="AM44" i="33" s="1"/>
  <c r="AH44" i="33"/>
  <c r="AN44" i="33" s="1"/>
  <c r="T47" i="33"/>
  <c r="V46" i="33"/>
  <c r="Z46" i="33" s="1"/>
  <c r="AA46" i="33" s="1"/>
  <c r="D9" i="7"/>
  <c r="C10" i="7"/>
  <c r="D10" i="7"/>
  <c r="C11" i="7"/>
  <c r="D11" i="7"/>
  <c r="C12" i="7"/>
  <c r="D12" i="7"/>
  <c r="C13" i="7"/>
  <c r="D13" i="7"/>
  <c r="C14" i="7"/>
  <c r="D14" i="7"/>
  <c r="I8" i="7"/>
  <c r="I9" i="7"/>
  <c r="I10" i="7"/>
  <c r="I11" i="7"/>
  <c r="I12" i="7"/>
  <c r="I13" i="7"/>
  <c r="I14" i="7"/>
  <c r="I32" i="7"/>
  <c r="I33" i="7"/>
  <c r="I34" i="7"/>
  <c r="I35" i="7"/>
  <c r="I36" i="7"/>
  <c r="I7" i="7"/>
  <c r="E16" i="7"/>
  <c r="I16" i="7" s="1"/>
  <c r="E17" i="7"/>
  <c r="I17" i="7" s="1"/>
  <c r="E18" i="7"/>
  <c r="I18" i="7" s="1"/>
  <c r="E19" i="7"/>
  <c r="I19" i="7" s="1"/>
  <c r="E20" i="7"/>
  <c r="I20" i="7" s="1"/>
  <c r="E21" i="7"/>
  <c r="I21" i="7" s="1"/>
  <c r="E22" i="7"/>
  <c r="I22" i="7" s="1"/>
  <c r="E23" i="7"/>
  <c r="I23" i="7" s="1"/>
  <c r="E24" i="7"/>
  <c r="I24" i="7" s="1"/>
  <c r="E25" i="7"/>
  <c r="I25" i="7" s="1"/>
  <c r="E26" i="7"/>
  <c r="I26" i="7" s="1"/>
  <c r="E27" i="7"/>
  <c r="I27" i="7" s="1"/>
  <c r="E28" i="7"/>
  <c r="I28" i="7" s="1"/>
  <c r="E29" i="7"/>
  <c r="I29" i="7" s="1"/>
  <c r="E30" i="7"/>
  <c r="I30" i="7" s="1"/>
  <c r="E31" i="7"/>
  <c r="I31" i="7" s="1"/>
  <c r="E32" i="7"/>
  <c r="E33" i="7"/>
  <c r="E34" i="7"/>
  <c r="E35" i="7"/>
  <c r="E36" i="7"/>
  <c r="E37" i="7"/>
  <c r="I37" i="7" s="1"/>
  <c r="E38" i="7"/>
  <c r="I38" i="7" s="1"/>
  <c r="E39" i="7"/>
  <c r="I39" i="7" s="1"/>
  <c r="E40" i="7"/>
  <c r="I40" i="7" s="1"/>
  <c r="E41" i="7"/>
  <c r="I41" i="7" s="1"/>
  <c r="E42" i="7"/>
  <c r="I42" i="7" s="1"/>
  <c r="E15" i="7"/>
  <c r="D8" i="7" s="1"/>
  <c r="C7" i="7" l="1"/>
  <c r="C8" i="7"/>
  <c r="C9" i="7"/>
  <c r="AG46" i="33"/>
  <c r="AM46" i="33" s="1"/>
  <c r="AH46" i="33"/>
  <c r="AN46" i="33" s="1"/>
  <c r="AF46" i="33"/>
  <c r="AL46" i="33" s="1"/>
  <c r="I15" i="7"/>
  <c r="D7" i="7"/>
  <c r="H20" i="7" s="1"/>
  <c r="T48" i="33"/>
  <c r="V48" i="33" s="1"/>
  <c r="Z48" i="33" s="1"/>
  <c r="AA48" i="33" s="1"/>
  <c r="V47" i="33"/>
  <c r="Z47" i="33" s="1"/>
  <c r="AA47" i="33" s="1"/>
  <c r="C43" i="7"/>
  <c r="D43" i="7"/>
  <c r="H43" i="7" s="1"/>
  <c r="G15" i="7"/>
  <c r="H15" i="7"/>
  <c r="G16" i="7"/>
  <c r="H16" i="7"/>
  <c r="G17" i="7"/>
  <c r="R9" i="7" s="1"/>
  <c r="H17" i="7"/>
  <c r="G18" i="7"/>
  <c r="H18" i="7"/>
  <c r="G19" i="7"/>
  <c r="H19" i="7"/>
  <c r="G20" i="7"/>
  <c r="G21" i="7"/>
  <c r="G22" i="7"/>
  <c r="G23" i="7"/>
  <c r="G24" i="7"/>
  <c r="K24" i="7" s="1"/>
  <c r="H24" i="7"/>
  <c r="G25" i="7"/>
  <c r="H25" i="7"/>
  <c r="G26" i="7"/>
  <c r="H26" i="7"/>
  <c r="G27" i="7"/>
  <c r="H27" i="7"/>
  <c r="G28" i="7"/>
  <c r="H28" i="7"/>
  <c r="G29" i="7"/>
  <c r="H29" i="7"/>
  <c r="G30" i="7"/>
  <c r="H30" i="7"/>
  <c r="G31" i="7"/>
  <c r="H31" i="7"/>
  <c r="G32" i="7"/>
  <c r="H32" i="7"/>
  <c r="G33" i="7"/>
  <c r="H33" i="7"/>
  <c r="G34" i="7"/>
  <c r="G35" i="7"/>
  <c r="G36" i="7"/>
  <c r="G37" i="7"/>
  <c r="G38" i="7"/>
  <c r="H38" i="7"/>
  <c r="G39" i="7"/>
  <c r="H39" i="7"/>
  <c r="G40" i="7"/>
  <c r="H40" i="7"/>
  <c r="G41" i="7"/>
  <c r="H41" i="7"/>
  <c r="G42" i="7"/>
  <c r="H42" i="7"/>
  <c r="AG48" i="33" l="1"/>
  <c r="AM48" i="33" s="1"/>
  <c r="AF48" i="33"/>
  <c r="AL48" i="33" s="1"/>
  <c r="AH48" i="33"/>
  <c r="AN48" i="33" s="1"/>
  <c r="D44" i="7"/>
  <c r="G43" i="7"/>
  <c r="E43" i="7"/>
  <c r="I43" i="7" s="1"/>
  <c r="H37" i="7"/>
  <c r="H23" i="7"/>
  <c r="H36" i="7"/>
  <c r="H35" i="7"/>
  <c r="AF47" i="33"/>
  <c r="AL47" i="33" s="1"/>
  <c r="AG47" i="33"/>
  <c r="AM47" i="33" s="1"/>
  <c r="AH47" i="33"/>
  <c r="AN47" i="33" s="1"/>
  <c r="H22" i="7"/>
  <c r="H21" i="7"/>
  <c r="H34" i="7"/>
  <c r="C44" i="7"/>
  <c r="E44" i="7" s="1"/>
  <c r="I44" i="7" s="1"/>
  <c r="G8" i="7"/>
  <c r="H8" i="7"/>
  <c r="H44" i="7" l="1"/>
  <c r="D45" i="7"/>
  <c r="C45" i="7"/>
  <c r="E45" i="7" s="1"/>
  <c r="I45" i="7" s="1"/>
  <c r="G44" i="7"/>
  <c r="E48" i="32"/>
  <c r="E49" i="32"/>
  <c r="L49" i="32" s="1" a="1"/>
  <c r="L49" i="32" s="1"/>
  <c r="E50" i="32"/>
  <c r="L50" i="32" s="1" a="1"/>
  <c r="L50" i="32" s="1"/>
  <c r="E51" i="32"/>
  <c r="L51" i="32" s="1" a="1"/>
  <c r="L51" i="32" s="1"/>
  <c r="E52" i="32"/>
  <c r="E53" i="32"/>
  <c r="L53" i="32" s="1" a="1"/>
  <c r="L53" i="32" s="1"/>
  <c r="E54" i="32"/>
  <c r="L54" i="32" s="1" a="1"/>
  <c r="L54" i="32" s="1"/>
  <c r="E55" i="32"/>
  <c r="L55" i="32" s="1" a="1"/>
  <c r="L55" i="32" s="1"/>
  <c r="E56" i="32"/>
  <c r="E57" i="32"/>
  <c r="L57" i="32" s="1" a="1"/>
  <c r="L57" i="32" s="1"/>
  <c r="E58" i="32"/>
  <c r="L58" i="32" s="1" a="1"/>
  <c r="L58" i="32" s="1"/>
  <c r="E59" i="32"/>
  <c r="L59" i="32" s="1" a="1"/>
  <c r="L59" i="32" s="1"/>
  <c r="E60" i="32"/>
  <c r="E61" i="32"/>
  <c r="L61" i="32" s="1" a="1"/>
  <c r="L61" i="32" s="1"/>
  <c r="E62" i="32"/>
  <c r="L62" i="32" s="1" a="1"/>
  <c r="L62" i="32" s="1"/>
  <c r="E63" i="32"/>
  <c r="L63" i="32" s="1" a="1"/>
  <c r="L63" i="32" s="1"/>
  <c r="E64" i="32"/>
  <c r="E65" i="32"/>
  <c r="L65" i="32" s="1" a="1"/>
  <c r="L65" i="32" s="1"/>
  <c r="E66" i="32"/>
  <c r="L66" i="32" s="1" a="1"/>
  <c r="L66" i="32" s="1"/>
  <c r="E67" i="32"/>
  <c r="L67" i="32" s="1" a="1"/>
  <c r="L67" i="32" s="1"/>
  <c r="E68" i="32"/>
  <c r="E69" i="32"/>
  <c r="L69" i="32" s="1" a="1"/>
  <c r="L69" i="32" s="1"/>
  <c r="E70" i="32"/>
  <c r="L70" i="32" s="1" a="1"/>
  <c r="L70" i="32" s="1"/>
  <c r="E71" i="32"/>
  <c r="L71" i="32" s="1" a="1"/>
  <c r="L71" i="32" s="1"/>
  <c r="E72" i="32"/>
  <c r="E73" i="32"/>
  <c r="L73" i="32" s="1" a="1"/>
  <c r="L73" i="32" s="1"/>
  <c r="E74" i="32"/>
  <c r="L74" i="32" s="1" a="1"/>
  <c r="L74" i="32" s="1"/>
  <c r="E75" i="32"/>
  <c r="L75" i="32" s="1" a="1"/>
  <c r="L75" i="32" s="1"/>
  <c r="E76" i="32"/>
  <c r="E77" i="32"/>
  <c r="L77" i="32" s="1" a="1"/>
  <c r="L77" i="32" s="1"/>
  <c r="E78" i="32"/>
  <c r="L78" i="32" s="1" a="1"/>
  <c r="L78" i="32" s="1"/>
  <c r="E79" i="32"/>
  <c r="L79" i="32" s="1" a="1"/>
  <c r="L79" i="32" s="1"/>
  <c r="E80" i="32"/>
  <c r="E81" i="32"/>
  <c r="L81" i="32" s="1" a="1"/>
  <c r="L81" i="32" s="1"/>
  <c r="E82" i="32"/>
  <c r="L82" i="32" s="1" a="1"/>
  <c r="L82" i="32" s="1"/>
  <c r="E83" i="32"/>
  <c r="L83" i="32" s="1" a="1"/>
  <c r="L83" i="32" s="1"/>
  <c r="E84" i="32"/>
  <c r="E85" i="32"/>
  <c r="L85" i="32" s="1" a="1"/>
  <c r="L85" i="32" s="1"/>
  <c r="E86" i="32"/>
  <c r="L86" i="32" s="1" a="1"/>
  <c r="L86" i="32" s="1"/>
  <c r="E87" i="32"/>
  <c r="L87" i="32" s="1" a="1"/>
  <c r="L87" i="32" s="1"/>
  <c r="E88" i="32"/>
  <c r="E89" i="32"/>
  <c r="E90" i="32"/>
  <c r="L90" i="32" s="1" a="1"/>
  <c r="L90" i="32" s="1"/>
  <c r="E91" i="32"/>
  <c r="E92" i="32"/>
  <c r="L92" i="32" s="1" a="1"/>
  <c r="L92" i="32" s="1"/>
  <c r="E93" i="32"/>
  <c r="E94" i="32"/>
  <c r="L94" i="32" s="1" a="1"/>
  <c r="L94" i="32" s="1"/>
  <c r="E95" i="32"/>
  <c r="E96" i="32"/>
  <c r="L96" i="32" s="1" a="1"/>
  <c r="L96" i="32" s="1"/>
  <c r="E97" i="32"/>
  <c r="E98" i="32"/>
  <c r="L98" i="32" s="1" a="1"/>
  <c r="L98" i="32" s="1"/>
  <c r="E99" i="32"/>
  <c r="E100" i="32"/>
  <c r="L100" i="32" s="1" a="1"/>
  <c r="L100" i="32" s="1"/>
  <c r="E101" i="32"/>
  <c r="E102" i="32"/>
  <c r="L102" i="32" s="1" a="1"/>
  <c r="L102" i="32" s="1"/>
  <c r="E103" i="32"/>
  <c r="E104" i="32"/>
  <c r="L104" i="32" s="1" a="1"/>
  <c r="L104" i="32" s="1"/>
  <c r="E105" i="32"/>
  <c r="E106" i="32"/>
  <c r="E107" i="32"/>
  <c r="E108" i="32"/>
  <c r="E109" i="32"/>
  <c r="E110" i="32"/>
  <c r="L110" i="32" s="1" a="1"/>
  <c r="L110" i="32" s="1"/>
  <c r="E111" i="32"/>
  <c r="E112" i="32"/>
  <c r="L112" i="32" s="1" a="1"/>
  <c r="L112" i="32" s="1"/>
  <c r="E113" i="32"/>
  <c r="E114" i="32"/>
  <c r="E115" i="32"/>
  <c r="E116" i="32"/>
  <c r="E117" i="32"/>
  <c r="E118" i="32"/>
  <c r="L118" i="32" s="1" a="1"/>
  <c r="E119" i="32"/>
  <c r="E120" i="32"/>
  <c r="L120" i="32" s="1" a="1"/>
  <c r="L120" i="32" s="1"/>
  <c r="E121" i="32"/>
  <c r="E122" i="32"/>
  <c r="E123" i="32"/>
  <c r="E124" i="32"/>
  <c r="L124" i="32" s="1" a="1"/>
  <c r="L124" i="32" s="1"/>
  <c r="E125" i="32"/>
  <c r="E126" i="32"/>
  <c r="L126" i="32" s="1" a="1"/>
  <c r="L126" i="32" s="1"/>
  <c r="E127" i="32"/>
  <c r="E128" i="32"/>
  <c r="L128" i="32" s="1" a="1"/>
  <c r="L128" i="32" s="1"/>
  <c r="E129" i="32"/>
  <c r="E130" i="32"/>
  <c r="E131" i="32"/>
  <c r="L131" i="32" s="1" a="1"/>
  <c r="L131" i="32" s="1"/>
  <c r="E132" i="32"/>
  <c r="E133" i="32"/>
  <c r="L133" i="32" s="1" a="1"/>
  <c r="L133" i="32" s="1"/>
  <c r="E134" i="32"/>
  <c r="E135" i="32"/>
  <c r="L135" i="32" s="1" a="1"/>
  <c r="L135" i="32" s="1"/>
  <c r="E136" i="32"/>
  <c r="E137" i="32"/>
  <c r="L137" i="32" s="1" a="1"/>
  <c r="L137" i="32" s="1"/>
  <c r="E138" i="32"/>
  <c r="E139" i="32"/>
  <c r="L139" i="32" s="1" a="1"/>
  <c r="L139" i="32" s="1"/>
  <c r="E140" i="32"/>
  <c r="E141" i="32"/>
  <c r="L141" i="32" s="1" a="1"/>
  <c r="L141" i="32" s="1"/>
  <c r="E142" i="32"/>
  <c r="E143" i="32"/>
  <c r="L143" i="32" s="1" a="1"/>
  <c r="L143" i="32" s="1"/>
  <c r="E144" i="32"/>
  <c r="E145" i="32"/>
  <c r="L145" i="32" s="1" a="1"/>
  <c r="L145" i="32" s="1"/>
  <c r="E146" i="32"/>
  <c r="E147" i="32"/>
  <c r="L147" i="32" s="1" a="1"/>
  <c r="L147" i="32" s="1"/>
  <c r="E148" i="32"/>
  <c r="E149" i="32"/>
  <c r="L149" i="32" s="1" a="1"/>
  <c r="L149" i="32" s="1"/>
  <c r="E150" i="32"/>
  <c r="E151" i="32"/>
  <c r="L151" i="32" s="1" a="1"/>
  <c r="L151" i="32" s="1"/>
  <c r="E152" i="32"/>
  <c r="E153" i="32"/>
  <c r="L153" i="32" s="1" a="1"/>
  <c r="L153" i="32" s="1"/>
  <c r="E154" i="32"/>
  <c r="E155" i="32"/>
  <c r="L155" i="32" s="1" a="1"/>
  <c r="L155" i="32" s="1"/>
  <c r="E156" i="32"/>
  <c r="E157" i="32"/>
  <c r="L157" i="32" s="1" a="1"/>
  <c r="L157" i="32" s="1"/>
  <c r="E158" i="32"/>
  <c r="E159" i="32"/>
  <c r="L159" i="32" s="1" a="1"/>
  <c r="L159" i="32" s="1"/>
  <c r="E160" i="32"/>
  <c r="E161" i="32"/>
  <c r="L161" i="32" s="1" a="1"/>
  <c r="L161" i="32" s="1"/>
  <c r="E162" i="32"/>
  <c r="E163" i="32"/>
  <c r="E164" i="32"/>
  <c r="E165" i="32"/>
  <c r="E166" i="32"/>
  <c r="E167" i="32"/>
  <c r="L167" i="32" s="1" a="1"/>
  <c r="L167" i="32" s="1"/>
  <c r="E168" i="32"/>
  <c r="E169" i="32"/>
  <c r="E170" i="32"/>
  <c r="AG9" i="32" a="1"/>
  <c r="AG9" i="32" s="1"/>
  <c r="AH9" i="32" a="1"/>
  <c r="AH9" i="32" s="1"/>
  <c r="AG10" i="32" a="1"/>
  <c r="AG10" i="32" s="1"/>
  <c r="AH10" i="32" a="1"/>
  <c r="AH10" i="32" s="1"/>
  <c r="AH60" i="32" a="1"/>
  <c r="AH60" i="32" s="1"/>
  <c r="AJ60" i="32"/>
  <c r="AL60" i="32"/>
  <c r="AM60" i="32"/>
  <c r="AG58" i="32" a="1"/>
  <c r="AG58" i="32" s="1"/>
  <c r="AH58" i="32" a="1"/>
  <c r="AH58" i="32" s="1"/>
  <c r="AJ58" i="32"/>
  <c r="AL58" i="32"/>
  <c r="AM58" i="32"/>
  <c r="AG55" i="32" a="1"/>
  <c r="AG55" i="32" s="1"/>
  <c r="AH55" i="32" a="1"/>
  <c r="AH55" i="32" s="1"/>
  <c r="AJ55" i="32"/>
  <c r="AL55" i="32"/>
  <c r="AM55" i="32"/>
  <c r="AE56" i="32" a="1"/>
  <c r="AE56" i="32" s="1"/>
  <c r="AH56" i="32" a="1"/>
  <c r="AH56" i="32" s="1"/>
  <c r="AJ56" i="32"/>
  <c r="AL56" i="32"/>
  <c r="AM56" i="32"/>
  <c r="AG53" i="32" a="1"/>
  <c r="AG53" i="32" s="1"/>
  <c r="AH53" i="32" a="1"/>
  <c r="AH53" i="32" s="1"/>
  <c r="AJ53" i="32"/>
  <c r="AL53" i="32"/>
  <c r="AM53" i="32"/>
  <c r="AE51" i="32" a="1"/>
  <c r="AE51" i="32" s="1"/>
  <c r="AG51" i="32" a="1"/>
  <c r="AG51" i="32" s="1"/>
  <c r="AH51" i="32" a="1"/>
  <c r="AH51" i="32" s="1"/>
  <c r="AJ51" i="32"/>
  <c r="AL51" i="32"/>
  <c r="AM51" i="32"/>
  <c r="AE45" i="32" a="1"/>
  <c r="AE45" i="32" s="1"/>
  <c r="AH45" i="32" a="1"/>
  <c r="AH45" i="32" s="1"/>
  <c r="AJ45" i="32"/>
  <c r="AL45" i="32"/>
  <c r="AM45" i="32"/>
  <c r="AE43" i="32" a="1"/>
  <c r="AE43" i="32" s="1"/>
  <c r="AG43" i="32" a="1"/>
  <c r="AG43" i="32" s="1"/>
  <c r="AH43" i="32" a="1"/>
  <c r="AH43" i="32" s="1"/>
  <c r="AJ43" i="32"/>
  <c r="AL43" i="32"/>
  <c r="AM43" i="32"/>
  <c r="AE38" i="32" a="1"/>
  <c r="AE38" i="32" s="1"/>
  <c r="AH38" i="32" a="1"/>
  <c r="AH38" i="32" s="1"/>
  <c r="AJ38" i="32"/>
  <c r="AL38" i="32"/>
  <c r="AM38" i="32"/>
  <c r="AE36" i="32" a="1"/>
  <c r="AE36" i="32" s="1"/>
  <c r="AG36" i="32" a="1"/>
  <c r="AG36" i="32" s="1"/>
  <c r="AH36" i="32" a="1"/>
  <c r="AH36" i="32" s="1"/>
  <c r="AH30" i="32" a="1"/>
  <c r="AH30" i="32" s="1"/>
  <c r="AG28" i="32" a="1"/>
  <c r="AG28" i="32" s="1"/>
  <c r="AH28" i="32" a="1"/>
  <c r="AH28" i="32" s="1"/>
  <c r="AG21" i="32" a="1"/>
  <c r="AG21" i="32" s="1"/>
  <c r="AH21" i="32" a="1"/>
  <c r="AH21" i="32" s="1"/>
  <c r="AG19" i="32" a="1"/>
  <c r="AG19" i="32" s="1"/>
  <c r="AH19" i="32" a="1"/>
  <c r="AH19" i="32" s="1"/>
  <c r="H45" i="7" l="1"/>
  <c r="D46" i="7"/>
  <c r="C46" i="7"/>
  <c r="E46" i="7" s="1"/>
  <c r="I46" i="7" s="1"/>
  <c r="G45" i="7"/>
  <c r="L118" i="32"/>
  <c r="L165" i="32" a="1"/>
  <c r="L165" i="32" s="1"/>
  <c r="L88" i="32" a="1"/>
  <c r="L88" i="32" s="1"/>
  <c r="L84" i="32" a="1"/>
  <c r="L84" i="32" s="1"/>
  <c r="L80" i="32" a="1"/>
  <c r="L80" i="32" s="1"/>
  <c r="L76" i="32" a="1"/>
  <c r="L76" i="32" s="1"/>
  <c r="L72" i="32" a="1"/>
  <c r="L72" i="32" s="1"/>
  <c r="L68" i="32" a="1"/>
  <c r="L68" i="32" s="1"/>
  <c r="L64" i="32" a="1"/>
  <c r="L64" i="32" s="1"/>
  <c r="L60" i="32" a="1"/>
  <c r="L60" i="32" s="1"/>
  <c r="L56" i="32" a="1"/>
  <c r="L56" i="32" s="1"/>
  <c r="L52" i="32" a="1"/>
  <c r="L52" i="32" s="1"/>
  <c r="L48" i="32" a="1"/>
  <c r="L48" i="32" s="1"/>
  <c r="L163" i="32" a="1"/>
  <c r="L163" i="32" s="1"/>
  <c r="L116" i="32" a="1"/>
  <c r="L116" i="32" s="1"/>
  <c r="L108" i="32" a="1"/>
  <c r="L108" i="32" s="1"/>
  <c r="L122" i="32" a="1"/>
  <c r="L122" i="32" s="1"/>
  <c r="L114" i="32" a="1"/>
  <c r="L114" i="32" s="1"/>
  <c r="L106" i="32" a="1"/>
  <c r="L106" i="32" s="1"/>
  <c r="L125" i="32" a="1"/>
  <c r="L125" i="32" s="1"/>
  <c r="L101" i="32" a="1"/>
  <c r="L101" i="32" s="1"/>
  <c r="L97" i="32" a="1"/>
  <c r="L97" i="32" s="1"/>
  <c r="L93" i="32" a="1"/>
  <c r="L93" i="32" s="1"/>
  <c r="L89" i="32" a="1"/>
  <c r="L89" i="32" s="1"/>
  <c r="L123" i="32" a="1"/>
  <c r="L123" i="32" s="1"/>
  <c r="L119" i="32" a="1"/>
  <c r="L119" i="32" s="1"/>
  <c r="L115" i="32" a="1"/>
  <c r="L115" i="32" s="1"/>
  <c r="L111" i="32" a="1"/>
  <c r="L111" i="32" s="1"/>
  <c r="L107" i="32" a="1"/>
  <c r="L107" i="32" s="1"/>
  <c r="L129" i="32" a="1"/>
  <c r="L129" i="32" s="1"/>
  <c r="L103" i="32" a="1"/>
  <c r="L103" i="32" s="1"/>
  <c r="L99" i="32" a="1"/>
  <c r="L99" i="32" s="1"/>
  <c r="L95" i="32" a="1"/>
  <c r="L95" i="32" s="1"/>
  <c r="L91" i="32" a="1"/>
  <c r="L91" i="32" s="1"/>
  <c r="L127" i="32" a="1"/>
  <c r="L127" i="32" s="1"/>
  <c r="L121" i="32" a="1"/>
  <c r="L121" i="32" s="1"/>
  <c r="L117" i="32" a="1"/>
  <c r="L117" i="32" s="1"/>
  <c r="L113" i="32" a="1"/>
  <c r="L113" i="32" s="1"/>
  <c r="L109" i="32" a="1"/>
  <c r="L109" i="32" s="1"/>
  <c r="L105" i="32" a="1"/>
  <c r="L105" i="32" s="1"/>
  <c r="L169" i="32" a="1"/>
  <c r="L169" i="32" s="1"/>
  <c r="L160" i="32" a="1"/>
  <c r="L160" i="32" s="1"/>
  <c r="L156" i="32" a="1"/>
  <c r="L156" i="32" s="1"/>
  <c r="L152" i="32" a="1"/>
  <c r="L152" i="32" s="1"/>
  <c r="L148" i="32" a="1"/>
  <c r="L148" i="32" s="1"/>
  <c r="L144" i="32" a="1"/>
  <c r="L144" i="32" s="1"/>
  <c r="L140" i="32" a="1"/>
  <c r="L140" i="32" s="1"/>
  <c r="L136" i="32" a="1"/>
  <c r="L136" i="32" s="1"/>
  <c r="L132" i="32" a="1"/>
  <c r="L132" i="32" s="1"/>
  <c r="L158" i="32" a="1"/>
  <c r="L158" i="32" s="1"/>
  <c r="L154" i="32" a="1"/>
  <c r="L154" i="32" s="1"/>
  <c r="L150" i="32" a="1"/>
  <c r="L150" i="32" s="1"/>
  <c r="L146" i="32" a="1"/>
  <c r="L146" i="32" s="1"/>
  <c r="L142" i="32" a="1"/>
  <c r="L142" i="32" s="1"/>
  <c r="L138" i="32" a="1"/>
  <c r="L138" i="32" s="1"/>
  <c r="L134" i="32" a="1"/>
  <c r="L134" i="32" s="1"/>
  <c r="L130" i="32" a="1"/>
  <c r="L130" i="32" s="1"/>
  <c r="L170" i="32" a="1"/>
  <c r="L170" i="32" s="1"/>
  <c r="L168" i="32" a="1"/>
  <c r="L168" i="32" s="1"/>
  <c r="L166" i="32" a="1"/>
  <c r="L166" i="32" s="1"/>
  <c r="L164" i="32" a="1"/>
  <c r="L164" i="32" s="1"/>
  <c r="L162" i="32" a="1"/>
  <c r="L162" i="32" s="1"/>
  <c r="H46" i="7" l="1"/>
  <c r="D47" i="7"/>
  <c r="H47" i="7" s="1"/>
  <c r="G46" i="7"/>
  <c r="C47" i="7"/>
  <c r="I172" i="31"/>
  <c r="I178" i="31"/>
  <c r="I151" i="31"/>
  <c r="I152" i="31" s="1"/>
  <c r="I158" i="31"/>
  <c r="I159" i="31" s="1"/>
  <c r="I165" i="31"/>
  <c r="I166" i="31" s="1"/>
  <c r="G47" i="7" l="1"/>
  <c r="E47" i="7"/>
  <c r="I47" i="7" s="1"/>
  <c r="D23" i="15"/>
  <c r="E23" i="15"/>
  <c r="K8" i="7"/>
  <c r="X10" i="7"/>
  <c r="X12" i="7" s="1"/>
  <c r="Y14" i="7" s="1"/>
  <c r="L8" i="7"/>
  <c r="X14" i="7" l="1"/>
  <c r="D18" i="15" l="1"/>
  <c r="R11" i="7"/>
  <c r="D21" i="15" l="1"/>
  <c r="K63" i="30" l="1"/>
  <c r="AE11" i="32" l="1" a="1"/>
  <c r="AE11" i="32" s="1"/>
  <c r="AF11" i="32" a="1"/>
  <c r="AF11" i="32" s="1"/>
  <c r="AG11" i="32" a="1"/>
  <c r="AG11" i="32" s="1"/>
  <c r="AH11" i="32" a="1"/>
  <c r="AH11" i="32" s="1"/>
  <c r="AE12" i="32" a="1"/>
  <c r="AE12" i="32" s="1"/>
  <c r="AF12" i="32" a="1"/>
  <c r="AF12" i="32" s="1"/>
  <c r="AG12" i="32" a="1"/>
  <c r="AG12" i="32" s="1"/>
  <c r="AH12" i="32" a="1"/>
  <c r="AH12" i="32" s="1"/>
  <c r="AE13" i="32" a="1"/>
  <c r="AE13" i="32" s="1"/>
  <c r="AF13" i="32" a="1"/>
  <c r="AF13" i="32" s="1"/>
  <c r="AG13" i="32" a="1"/>
  <c r="AG13" i="32" s="1"/>
  <c r="AH13" i="32" a="1"/>
  <c r="AH13" i="32" s="1"/>
  <c r="AF14" i="32" a="1"/>
  <c r="AF14" i="32" s="1"/>
  <c r="AG14" i="32" a="1"/>
  <c r="AG14" i="32" s="1"/>
  <c r="AH14" i="32" a="1"/>
  <c r="AH14" i="32" s="1"/>
  <c r="AE15" i="32" a="1"/>
  <c r="AE15" i="32" s="1"/>
  <c r="AF15" i="32" a="1"/>
  <c r="AF15" i="32" s="1"/>
  <c r="AG15" i="32" a="1"/>
  <c r="AG15" i="32" s="1"/>
  <c r="AH15" i="32" a="1"/>
  <c r="AH15" i="32" s="1"/>
  <c r="AF16" i="32" a="1"/>
  <c r="AF16" i="32" s="1"/>
  <c r="AG16" i="32" a="1"/>
  <c r="AG16" i="32" s="1"/>
  <c r="AH16" i="32" a="1"/>
  <c r="AH16" i="32" s="1"/>
  <c r="AE17" i="32" a="1"/>
  <c r="AE17" i="32" s="1"/>
  <c r="AF17" i="32" a="1"/>
  <c r="AF17" i="32" s="1"/>
  <c r="AG17" i="32" a="1"/>
  <c r="AG17" i="32" s="1"/>
  <c r="AH17" i="32" a="1"/>
  <c r="AH17" i="32" s="1"/>
  <c r="AE18" i="32" a="1"/>
  <c r="AE18" i="32" s="1"/>
  <c r="AF18" i="32" a="1"/>
  <c r="AF18" i="32" s="1"/>
  <c r="AG18" i="32" a="1"/>
  <c r="AG18" i="32" s="1"/>
  <c r="AH18" i="32" a="1"/>
  <c r="AH18" i="32" s="1"/>
  <c r="AE20" i="32" a="1"/>
  <c r="AE20" i="32" s="1"/>
  <c r="AF20" i="32" a="1"/>
  <c r="AF20" i="32" s="1"/>
  <c r="AG20" i="32" a="1"/>
  <c r="AG20" i="32" s="1"/>
  <c r="AH20" i="32" a="1"/>
  <c r="AH20" i="32" s="1"/>
  <c r="AF22" i="32" a="1"/>
  <c r="AF22" i="32" s="1"/>
  <c r="AG22" i="32" a="1"/>
  <c r="AG22" i="32" s="1"/>
  <c r="AH22" i="32" a="1"/>
  <c r="AH22" i="32" s="1"/>
  <c r="AE23" i="32" a="1"/>
  <c r="AE23" i="32" s="1"/>
  <c r="AF23" i="32" a="1"/>
  <c r="AF23" i="32" s="1"/>
  <c r="AG23" i="32" a="1"/>
  <c r="AG23" i="32" s="1"/>
  <c r="AH23" i="32" a="1"/>
  <c r="AH23" i="32" s="1"/>
  <c r="AE24" i="32" a="1"/>
  <c r="AE24" i="32" s="1"/>
  <c r="AF24" i="32" a="1"/>
  <c r="AF24" i="32" s="1"/>
  <c r="AG24" i="32" a="1"/>
  <c r="AG24" i="32" s="1"/>
  <c r="AH24" i="32" a="1"/>
  <c r="AH24" i="32" s="1"/>
  <c r="AE25" i="32" a="1"/>
  <c r="AE25" i="32" s="1"/>
  <c r="AG25" i="32" a="1"/>
  <c r="AG25" i="32" s="1"/>
  <c r="AH25" i="32" a="1"/>
  <c r="AH25" i="32" s="1"/>
  <c r="AE26" i="32" a="1"/>
  <c r="AE26" i="32" s="1"/>
  <c r="AF26" i="32" a="1"/>
  <c r="AF26" i="32" s="1"/>
  <c r="AH26" i="32" a="1"/>
  <c r="AH26" i="32" s="1"/>
  <c r="AE27" i="32" a="1"/>
  <c r="AE27" i="32" s="1"/>
  <c r="AF27" i="32" a="1"/>
  <c r="AF27" i="32" s="1"/>
  <c r="AH27" i="32" a="1"/>
  <c r="AH27" i="32" s="1"/>
  <c r="AF29" i="32" a="1"/>
  <c r="AF29" i="32" s="1"/>
  <c r="AG29" i="32" a="1"/>
  <c r="AG29" i="32" s="1"/>
  <c r="AH29" i="32" a="1"/>
  <c r="AH29" i="32" s="1"/>
  <c r="AE31" i="32" a="1"/>
  <c r="AE31" i="32" s="1"/>
  <c r="AF31" i="32" a="1"/>
  <c r="AF31" i="32" s="1"/>
  <c r="AG31" i="32" a="1"/>
  <c r="AG31" i="32" s="1"/>
  <c r="AH31" i="32" a="1"/>
  <c r="AH31" i="32" s="1"/>
  <c r="AE32" i="32" a="1"/>
  <c r="AE32" i="32" s="1"/>
  <c r="AF32" i="32" a="1"/>
  <c r="AF32" i="32" s="1"/>
  <c r="AG32" i="32" a="1"/>
  <c r="AG32" i="32" s="1"/>
  <c r="AH32" i="32" a="1"/>
  <c r="AH32" i="32" s="1"/>
  <c r="AF33" i="32" a="1"/>
  <c r="AF33" i="32" s="1"/>
  <c r="AG33" i="32" a="1"/>
  <c r="AG33" i="32" s="1"/>
  <c r="AH33" i="32" a="1"/>
  <c r="AH33" i="32" s="1"/>
  <c r="AE34" i="32" a="1"/>
  <c r="AE34" i="32" s="1"/>
  <c r="AG34" i="32" a="1"/>
  <c r="AG34" i="32" s="1"/>
  <c r="AH34" i="32" a="1"/>
  <c r="AH34" i="32" s="1"/>
  <c r="AE35" i="32" a="1"/>
  <c r="AE35" i="32" s="1"/>
  <c r="AF35" i="32" a="1"/>
  <c r="AF35" i="32" s="1"/>
  <c r="AH35" i="32" a="1"/>
  <c r="AH35" i="32" s="1"/>
  <c r="AE37" i="32" a="1"/>
  <c r="AE37" i="32" s="1"/>
  <c r="AF37" i="32" a="1"/>
  <c r="AF37" i="32" s="1"/>
  <c r="AG37" i="32" a="1"/>
  <c r="AG37" i="32" s="1"/>
  <c r="AH37" i="32" a="1"/>
  <c r="AH37" i="32" s="1"/>
  <c r="AE39" i="32" a="1"/>
  <c r="AE39" i="32" s="1"/>
  <c r="AF39" i="32" a="1"/>
  <c r="AF39" i="32" s="1"/>
  <c r="AH39" i="32" a="1"/>
  <c r="AH39" i="32" s="1"/>
  <c r="AE40" i="32" a="1"/>
  <c r="AE40" i="32" s="1"/>
  <c r="AF40" i="32" a="1"/>
  <c r="AF40" i="32" s="1"/>
  <c r="AH40" i="32" a="1"/>
  <c r="AH40" i="32" s="1"/>
  <c r="AE41" i="32" a="1"/>
  <c r="AE41" i="32" s="1"/>
  <c r="AF41" i="32" a="1"/>
  <c r="AF41" i="32" s="1"/>
  <c r="AH41" i="32" a="1"/>
  <c r="AH41" i="32" s="1"/>
  <c r="AE42" i="32" a="1"/>
  <c r="AE42" i="32" s="1"/>
  <c r="AH42" i="32" a="1"/>
  <c r="AH42" i="32" s="1"/>
  <c r="AE44" i="32" a="1"/>
  <c r="AE44" i="32" s="1"/>
  <c r="AF44" i="32" a="1"/>
  <c r="AF44" i="32" s="1"/>
  <c r="AG44" i="32" a="1"/>
  <c r="AG44" i="32" s="1"/>
  <c r="AH44" i="32" a="1"/>
  <c r="AH44" i="32" s="1"/>
  <c r="AE46" i="32" a="1"/>
  <c r="AE46" i="32" s="1"/>
  <c r="AF46" i="32" a="1"/>
  <c r="AF46" i="32" s="1"/>
  <c r="AH46" i="32" a="1"/>
  <c r="AH46" i="32" s="1"/>
  <c r="AE47" i="32" a="1"/>
  <c r="AE47" i="32" s="1"/>
  <c r="AF47" i="32" a="1"/>
  <c r="AF47" i="32" s="1"/>
  <c r="AH47" i="32" a="1"/>
  <c r="AH47" i="32" s="1"/>
  <c r="AE48" i="32" a="1"/>
  <c r="AE48" i="32" s="1"/>
  <c r="AF48" i="32" a="1"/>
  <c r="AF48" i="32" s="1"/>
  <c r="AH48" i="32" a="1"/>
  <c r="AH48" i="32" s="1"/>
  <c r="AE49" i="32" a="1"/>
  <c r="AE49" i="32" s="1"/>
  <c r="AH49" i="32" a="1"/>
  <c r="AH49" i="32" s="1"/>
  <c r="AF50" i="32" a="1"/>
  <c r="AF50" i="32" s="1"/>
  <c r="AG50" i="32" a="1"/>
  <c r="AG50" i="32" s="1"/>
  <c r="AH50" i="32" a="1"/>
  <c r="AH50" i="32" s="1"/>
  <c r="AE52" i="32" a="1"/>
  <c r="AE52" i="32" s="1"/>
  <c r="AF52" i="32" a="1"/>
  <c r="AF52" i="32" s="1"/>
  <c r="AG52" i="32" a="1"/>
  <c r="AG52" i="32" s="1"/>
  <c r="AH52" i="32" a="1"/>
  <c r="AH52" i="32" s="1"/>
  <c r="AF54" i="32" a="1"/>
  <c r="AF54" i="32" s="1"/>
  <c r="AG54" i="32" a="1"/>
  <c r="AG54" i="32" s="1"/>
  <c r="AH54" i="32" a="1"/>
  <c r="AH54" i="32" s="1"/>
  <c r="AE57" i="32" a="1"/>
  <c r="AE57" i="32" s="1"/>
  <c r="AF57" i="32" a="1"/>
  <c r="AF57" i="32" s="1"/>
  <c r="AG57" i="32" a="1"/>
  <c r="AG57" i="32" s="1"/>
  <c r="AH57" i="32" a="1"/>
  <c r="AH57" i="32" s="1"/>
  <c r="AF59" i="32" a="1"/>
  <c r="AF59" i="32" s="1"/>
  <c r="AG59" i="32" a="1"/>
  <c r="AG59" i="32" s="1"/>
  <c r="AH59" i="32" a="1"/>
  <c r="AH59" i="32" s="1"/>
  <c r="AE61" i="32" a="1"/>
  <c r="AE61" i="32" s="1"/>
  <c r="AF61" i="32" a="1"/>
  <c r="AF61" i="32" s="1"/>
  <c r="AH61" i="32" a="1"/>
  <c r="AH61" i="32" s="1"/>
  <c r="AE62" i="32" a="1"/>
  <c r="AE62" i="32" s="1"/>
  <c r="AH62" i="32" a="1"/>
  <c r="AH62" i="32" s="1"/>
  <c r="AG63" i="32" a="1"/>
  <c r="AG63" i="32" s="1"/>
  <c r="AH63" i="32" a="1"/>
  <c r="AH63" i="32" s="1"/>
  <c r="AK66" i="32"/>
  <c r="AK63" i="32"/>
  <c r="AK44" i="32"/>
  <c r="AK42" i="32"/>
  <c r="AK47" i="32"/>
  <c r="AK50" i="32"/>
  <c r="AK52" i="32"/>
  <c r="AK41" i="32"/>
  <c r="AJ67" i="32"/>
  <c r="AJ66" i="32"/>
  <c r="AJ65" i="32"/>
  <c r="AJ64" i="32"/>
  <c r="AJ63" i="32"/>
  <c r="AJ62" i="32"/>
  <c r="AJ61" i="32"/>
  <c r="AJ59" i="32"/>
  <c r="AJ57" i="32"/>
  <c r="AJ54" i="32"/>
  <c r="AJ52" i="32"/>
  <c r="AJ50" i="32"/>
  <c r="AJ49" i="32"/>
  <c r="AJ48" i="32"/>
  <c r="AJ47" i="32"/>
  <c r="AJ46" i="32"/>
  <c r="AJ44" i="32"/>
  <c r="AJ42" i="32"/>
  <c r="AJ41" i="32"/>
  <c r="AJ40" i="32"/>
  <c r="AJ39" i="32"/>
  <c r="AL42" i="32"/>
  <c r="AL44" i="32"/>
  <c r="AL46" i="32"/>
  <c r="AL47" i="32"/>
  <c r="AL48" i="32"/>
  <c r="AL49" i="32"/>
  <c r="AL50" i="32"/>
  <c r="AL52" i="32"/>
  <c r="AL54" i="32"/>
  <c r="AL57" i="32"/>
  <c r="AL59" i="32"/>
  <c r="AL61" i="32"/>
  <c r="AL62" i="32"/>
  <c r="AL63" i="32"/>
  <c r="AL64" i="32"/>
  <c r="AL65" i="32"/>
  <c r="AL66" i="32"/>
  <c r="AL67" i="32"/>
  <c r="AL39" i="32"/>
  <c r="AG47" i="32" s="1" a="1"/>
  <c r="AG47" i="32" s="1"/>
  <c r="AL40" i="32"/>
  <c r="AL41" i="32"/>
  <c r="AF62" i="32" s="1" a="1"/>
  <c r="AF62" i="32" s="1"/>
  <c r="AM39" i="32"/>
  <c r="AM40" i="32"/>
  <c r="AM41" i="32"/>
  <c r="AM42" i="32"/>
  <c r="AM44" i="32"/>
  <c r="AM46" i="32"/>
  <c r="AM47" i="32"/>
  <c r="AM48" i="32"/>
  <c r="AM49" i="32"/>
  <c r="AM50" i="32"/>
  <c r="AM52" i="32"/>
  <c r="AM54" i="32"/>
  <c r="AM57" i="32"/>
  <c r="AM59" i="32"/>
  <c r="AM61" i="32"/>
  <c r="AM62" i="32"/>
  <c r="AM63" i="32"/>
  <c r="AM64" i="32"/>
  <c r="AM65" i="32"/>
  <c r="AM66" i="32"/>
  <c r="AM67" i="32"/>
  <c r="O47" i="30"/>
  <c r="P47" i="30"/>
  <c r="Q47" i="30"/>
  <c r="R47" i="30"/>
  <c r="N33" i="35" s="1" a="1"/>
  <c r="N33" i="35" s="1"/>
  <c r="AC33" i="35" s="1"/>
  <c r="S47" i="30"/>
  <c r="T47" i="30"/>
  <c r="N45" i="35" s="1" a="1"/>
  <c r="N45" i="35" s="1"/>
  <c r="AC45" i="35" s="1"/>
  <c r="U47" i="30"/>
  <c r="N50" i="35" s="1" a="1"/>
  <c r="N50" i="35" s="1"/>
  <c r="AC50" i="35" s="1"/>
  <c r="V47" i="30"/>
  <c r="W47" i="30"/>
  <c r="N41" i="35" s="1" a="1"/>
  <c r="N41" i="35" s="1"/>
  <c r="AC41" i="35" s="1"/>
  <c r="O48" i="30"/>
  <c r="AK54" i="32" s="1"/>
  <c r="P48" i="30"/>
  <c r="AK57" i="32" s="1"/>
  <c r="Q48" i="30"/>
  <c r="AK65" i="32" s="1"/>
  <c r="R48" i="30"/>
  <c r="S48" i="30"/>
  <c r="AK61" i="32" s="1"/>
  <c r="T48" i="30"/>
  <c r="AK43" i="32" s="1"/>
  <c r="U48" i="30"/>
  <c r="AK45" i="32" s="1"/>
  <c r="V48" i="30"/>
  <c r="AK46" i="32" s="1"/>
  <c r="W48" i="30"/>
  <c r="O49" i="30"/>
  <c r="AK55" i="32" s="1"/>
  <c r="P49" i="30"/>
  <c r="AK58" i="32" s="1"/>
  <c r="Q49" i="30"/>
  <c r="R49" i="30"/>
  <c r="AK64" i="32" s="1"/>
  <c r="S49" i="30"/>
  <c r="T49" i="30"/>
  <c r="U49" i="30"/>
  <c r="V49" i="30"/>
  <c r="W49" i="30"/>
  <c r="AK51" i="32" s="1"/>
  <c r="O50" i="30"/>
  <c r="AK56" i="32" s="1"/>
  <c r="P50" i="30"/>
  <c r="AK59" i="32" s="1"/>
  <c r="Q50" i="30"/>
  <c r="AK67" i="32" s="1"/>
  <c r="R50" i="30"/>
  <c r="S50" i="30"/>
  <c r="T50" i="30"/>
  <c r="U50" i="30"/>
  <c r="V50" i="30"/>
  <c r="AK48" i="32" s="1"/>
  <c r="W50" i="30"/>
  <c r="O51" i="30"/>
  <c r="P51" i="30"/>
  <c r="Q51" i="30"/>
  <c r="R51" i="30"/>
  <c r="S51" i="30"/>
  <c r="T51" i="30"/>
  <c r="U51" i="30"/>
  <c r="V51" i="30"/>
  <c r="W51" i="30"/>
  <c r="O52" i="30"/>
  <c r="P52" i="30"/>
  <c r="Q52" i="30"/>
  <c r="R52" i="30"/>
  <c r="S52" i="30"/>
  <c r="T52" i="30"/>
  <c r="U52" i="30"/>
  <c r="V52" i="30"/>
  <c r="W52" i="30"/>
  <c r="O53" i="30"/>
  <c r="P53" i="30"/>
  <c r="Q53" i="30"/>
  <c r="R53" i="30"/>
  <c r="S53" i="30"/>
  <c r="T53" i="30"/>
  <c r="U53" i="30"/>
  <c r="V53" i="30"/>
  <c r="W53" i="30"/>
  <c r="O54" i="30"/>
  <c r="P54" i="30"/>
  <c r="Q54" i="30"/>
  <c r="R54" i="30"/>
  <c r="S54" i="30"/>
  <c r="T54" i="30"/>
  <c r="U54" i="30"/>
  <c r="V54" i="30"/>
  <c r="W54" i="30"/>
  <c r="O55" i="30"/>
  <c r="P55" i="30"/>
  <c r="Q55" i="30"/>
  <c r="R55" i="30"/>
  <c r="S55" i="30"/>
  <c r="T55" i="30"/>
  <c r="U55" i="30"/>
  <c r="V55" i="30"/>
  <c r="W55" i="30"/>
  <c r="O56" i="30"/>
  <c r="P56" i="30"/>
  <c r="Q56" i="30"/>
  <c r="R56" i="30"/>
  <c r="S56" i="30"/>
  <c r="T56" i="30"/>
  <c r="U56" i="30"/>
  <c r="V56" i="30"/>
  <c r="W56" i="30"/>
  <c r="O57" i="30"/>
  <c r="P57" i="30"/>
  <c r="Q57" i="30"/>
  <c r="R57" i="30"/>
  <c r="S57" i="30"/>
  <c r="T57" i="30"/>
  <c r="U57" i="30"/>
  <c r="V57" i="30"/>
  <c r="W57" i="30"/>
  <c r="O58" i="30"/>
  <c r="P58" i="30"/>
  <c r="Q58" i="30"/>
  <c r="R58" i="30"/>
  <c r="S58" i="30"/>
  <c r="T58" i="30"/>
  <c r="U58" i="30"/>
  <c r="V58" i="30"/>
  <c r="W58" i="30"/>
  <c r="O59" i="30"/>
  <c r="P59" i="30"/>
  <c r="Q59" i="30"/>
  <c r="R59" i="30"/>
  <c r="S59" i="30"/>
  <c r="T59" i="30"/>
  <c r="U59" i="30"/>
  <c r="V59" i="30"/>
  <c r="W59" i="30"/>
  <c r="O60" i="30"/>
  <c r="P60" i="30"/>
  <c r="Q60" i="30"/>
  <c r="R60" i="30"/>
  <c r="S60" i="30"/>
  <c r="T60" i="30"/>
  <c r="U60" i="30"/>
  <c r="V60" i="30"/>
  <c r="W60" i="30"/>
  <c r="O61" i="30"/>
  <c r="P61" i="30"/>
  <c r="Q61" i="30"/>
  <c r="R61" i="30"/>
  <c r="S61" i="30"/>
  <c r="T61" i="30"/>
  <c r="U61" i="30"/>
  <c r="V61" i="30"/>
  <c r="W61" i="30"/>
  <c r="O62" i="30"/>
  <c r="P62" i="30"/>
  <c r="Q62" i="30"/>
  <c r="R62" i="30"/>
  <c r="S62" i="30"/>
  <c r="T62" i="30"/>
  <c r="U62" i="30"/>
  <c r="V62" i="30"/>
  <c r="W62" i="30"/>
  <c r="O63" i="30"/>
  <c r="P63" i="30"/>
  <c r="Q63" i="30"/>
  <c r="R63" i="30"/>
  <c r="S63" i="30"/>
  <c r="T63" i="30"/>
  <c r="U63" i="30"/>
  <c r="V63" i="30"/>
  <c r="W63" i="30"/>
  <c r="O64" i="30"/>
  <c r="P64" i="30"/>
  <c r="Q64" i="30"/>
  <c r="R64" i="30"/>
  <c r="S64" i="30"/>
  <c r="T64" i="30"/>
  <c r="U64" i="30"/>
  <c r="V64" i="30"/>
  <c r="W64" i="30"/>
  <c r="O65" i="30"/>
  <c r="P65" i="30"/>
  <c r="Q65" i="30"/>
  <c r="R65" i="30"/>
  <c r="S65" i="30"/>
  <c r="T65" i="30"/>
  <c r="U65" i="30"/>
  <c r="V65" i="30"/>
  <c r="W65" i="30"/>
  <c r="O66" i="30"/>
  <c r="P66" i="30"/>
  <c r="Q66" i="30"/>
  <c r="R66" i="30"/>
  <c r="S66" i="30"/>
  <c r="T66" i="30"/>
  <c r="U66" i="30"/>
  <c r="V66" i="30"/>
  <c r="W66" i="30"/>
  <c r="N64" i="30"/>
  <c r="N65" i="30"/>
  <c r="N66" i="30"/>
  <c r="N63" i="30"/>
  <c r="N60" i="30"/>
  <c r="N61" i="30"/>
  <c r="N62" i="30"/>
  <c r="N59" i="30"/>
  <c r="N56" i="30"/>
  <c r="N57" i="30"/>
  <c r="N58" i="30"/>
  <c r="N55" i="30"/>
  <c r="N52" i="30"/>
  <c r="N53" i="30"/>
  <c r="N54" i="30"/>
  <c r="N51" i="30"/>
  <c r="N48" i="30"/>
  <c r="AK39" i="32" s="1"/>
  <c r="N49" i="30"/>
  <c r="AK40" i="32" s="1"/>
  <c r="N50" i="30"/>
  <c r="N47" i="30"/>
  <c r="E47" i="30"/>
  <c r="F47" i="30"/>
  <c r="G47" i="30"/>
  <c r="H47" i="30"/>
  <c r="M33" i="35" s="1" a="1"/>
  <c r="M33" i="35" s="1"/>
  <c r="I47" i="30"/>
  <c r="M36" i="35" s="1" a="1"/>
  <c r="M36" i="35" s="1"/>
  <c r="J47" i="30"/>
  <c r="K47" i="30"/>
  <c r="M50" i="35" s="1" a="1"/>
  <c r="M50" i="35" s="1"/>
  <c r="L47" i="30"/>
  <c r="M47" i="30"/>
  <c r="M41" i="35" s="1" a="1"/>
  <c r="M41" i="35" s="1"/>
  <c r="E48" i="30"/>
  <c r="F48" i="30"/>
  <c r="G48" i="30"/>
  <c r="H48" i="30"/>
  <c r="I48" i="30"/>
  <c r="J48" i="30"/>
  <c r="K48" i="30"/>
  <c r="L48" i="30"/>
  <c r="M48" i="30"/>
  <c r="E49" i="30"/>
  <c r="F49" i="30"/>
  <c r="G49" i="30"/>
  <c r="H49" i="30"/>
  <c r="I49" i="30"/>
  <c r="J49" i="30"/>
  <c r="K49" i="30"/>
  <c r="L49" i="30"/>
  <c r="M49" i="30"/>
  <c r="E50" i="30"/>
  <c r="F50" i="30"/>
  <c r="G50" i="30"/>
  <c r="H50" i="30"/>
  <c r="I50" i="30"/>
  <c r="J50" i="30"/>
  <c r="K50" i="30"/>
  <c r="L50" i="30"/>
  <c r="M50" i="30"/>
  <c r="E51" i="30"/>
  <c r="I40" i="18" s="1"/>
  <c r="F51" i="30"/>
  <c r="G51" i="30"/>
  <c r="H51" i="30"/>
  <c r="I51" i="30"/>
  <c r="J51" i="30"/>
  <c r="K51" i="30"/>
  <c r="L51" i="30"/>
  <c r="M51" i="30"/>
  <c r="E52" i="30"/>
  <c r="I48" i="18" s="1"/>
  <c r="F52" i="30"/>
  <c r="G52" i="30"/>
  <c r="H52" i="30"/>
  <c r="I52" i="30"/>
  <c r="J52" i="30"/>
  <c r="K52" i="30"/>
  <c r="L52" i="30"/>
  <c r="M52" i="30"/>
  <c r="E53" i="30"/>
  <c r="I56" i="18" s="1"/>
  <c r="F53" i="30"/>
  <c r="G53" i="30"/>
  <c r="H53" i="30"/>
  <c r="I53" i="30"/>
  <c r="J53" i="30"/>
  <c r="K53" i="30"/>
  <c r="L53" i="30"/>
  <c r="M53" i="30"/>
  <c r="E54" i="30"/>
  <c r="I64" i="18" s="1"/>
  <c r="F54" i="30"/>
  <c r="G54" i="30"/>
  <c r="H54" i="30"/>
  <c r="I54" i="30"/>
  <c r="J54" i="30"/>
  <c r="K54" i="30"/>
  <c r="L54" i="30"/>
  <c r="M54" i="30"/>
  <c r="E55" i="30"/>
  <c r="I41" i="18" s="1"/>
  <c r="F55" i="30"/>
  <c r="G55" i="30"/>
  <c r="H55" i="30"/>
  <c r="I55" i="30"/>
  <c r="J55" i="30"/>
  <c r="K55" i="30"/>
  <c r="L55" i="30"/>
  <c r="M55" i="30"/>
  <c r="E56" i="30"/>
  <c r="I49" i="18" s="1"/>
  <c r="F56" i="30"/>
  <c r="G56" i="30"/>
  <c r="H56" i="30"/>
  <c r="I56" i="30"/>
  <c r="J56" i="30"/>
  <c r="K56" i="30"/>
  <c r="L56" i="30"/>
  <c r="M56" i="30"/>
  <c r="E57" i="30"/>
  <c r="I57" i="18" s="1"/>
  <c r="F57" i="30"/>
  <c r="G57" i="30"/>
  <c r="H57" i="30"/>
  <c r="I57" i="30"/>
  <c r="J57" i="30"/>
  <c r="K57" i="30"/>
  <c r="L57" i="30"/>
  <c r="M57" i="30"/>
  <c r="E58" i="30"/>
  <c r="I65" i="18" s="1"/>
  <c r="F58" i="30"/>
  <c r="G58" i="30"/>
  <c r="H58" i="30"/>
  <c r="I58" i="30"/>
  <c r="J58" i="30"/>
  <c r="K58" i="30"/>
  <c r="L58" i="30"/>
  <c r="M58" i="30"/>
  <c r="E59" i="30"/>
  <c r="I42" i="18" s="1"/>
  <c r="F59" i="30"/>
  <c r="G59" i="30"/>
  <c r="H59" i="30"/>
  <c r="I59" i="30"/>
  <c r="J59" i="30"/>
  <c r="K59" i="30"/>
  <c r="L59" i="30"/>
  <c r="M59" i="30"/>
  <c r="E60" i="30"/>
  <c r="I50" i="18" s="1"/>
  <c r="F60" i="30"/>
  <c r="G60" i="30"/>
  <c r="H60" i="30"/>
  <c r="I60" i="30"/>
  <c r="J60" i="30"/>
  <c r="K60" i="30"/>
  <c r="L60" i="30"/>
  <c r="M60" i="30"/>
  <c r="E61" i="30"/>
  <c r="I58" i="18" s="1"/>
  <c r="F61" i="30"/>
  <c r="G61" i="30"/>
  <c r="H61" i="30"/>
  <c r="I61" i="30"/>
  <c r="J61" i="30"/>
  <c r="K61" i="30"/>
  <c r="L61" i="30"/>
  <c r="M61" i="30"/>
  <c r="E62" i="30"/>
  <c r="I66" i="18" s="1"/>
  <c r="F62" i="30"/>
  <c r="G62" i="30"/>
  <c r="H62" i="30"/>
  <c r="I62" i="30"/>
  <c r="J62" i="30"/>
  <c r="K62" i="30"/>
  <c r="L62" i="30"/>
  <c r="M62" i="30"/>
  <c r="E63" i="30"/>
  <c r="I43" i="18" s="1"/>
  <c r="F63" i="30"/>
  <c r="G63" i="30"/>
  <c r="H63" i="30"/>
  <c r="I63" i="30"/>
  <c r="J63" i="30"/>
  <c r="L63" i="30"/>
  <c r="M63" i="30"/>
  <c r="E64" i="30"/>
  <c r="I51" i="18" s="1"/>
  <c r="F64" i="30"/>
  <c r="G64" i="30"/>
  <c r="H64" i="30"/>
  <c r="I64" i="30"/>
  <c r="J64" i="30"/>
  <c r="K64" i="30"/>
  <c r="L64" i="30"/>
  <c r="M64" i="30"/>
  <c r="E65" i="30"/>
  <c r="I59" i="18" s="1"/>
  <c r="F65" i="30"/>
  <c r="G65" i="30"/>
  <c r="H65" i="30"/>
  <c r="I65" i="30"/>
  <c r="J65" i="30"/>
  <c r="K65" i="30"/>
  <c r="L65" i="30"/>
  <c r="M65" i="30"/>
  <c r="E66" i="30"/>
  <c r="I67" i="18" s="1"/>
  <c r="F66" i="30"/>
  <c r="G66" i="30"/>
  <c r="H66" i="30"/>
  <c r="I66" i="30"/>
  <c r="J66" i="30"/>
  <c r="K66" i="30"/>
  <c r="L66" i="30"/>
  <c r="M66" i="30"/>
  <c r="D64" i="30"/>
  <c r="D65" i="30"/>
  <c r="D66" i="30"/>
  <c r="D63" i="30"/>
  <c r="D60" i="30"/>
  <c r="D61" i="30"/>
  <c r="D62" i="30"/>
  <c r="D59" i="30"/>
  <c r="D56" i="30"/>
  <c r="D57" i="30"/>
  <c r="D58" i="30"/>
  <c r="D55" i="30"/>
  <c r="D52" i="30"/>
  <c r="D53" i="30"/>
  <c r="D54" i="30"/>
  <c r="D51" i="30"/>
  <c r="D48" i="30"/>
  <c r="D49" i="30"/>
  <c r="D50" i="30"/>
  <c r="D47" i="30"/>
  <c r="M22" i="35" s="1" a="1"/>
  <c r="M22" i="35" s="1"/>
  <c r="A64" i="30"/>
  <c r="A65" i="30" s="1"/>
  <c r="A66" i="30" s="1"/>
  <c r="A60" i="30"/>
  <c r="A61" i="30" s="1"/>
  <c r="A62" i="30" s="1"/>
  <c r="A56" i="30"/>
  <c r="A57" i="30" s="1"/>
  <c r="A58" i="30" s="1"/>
  <c r="A52" i="30"/>
  <c r="A53" i="30" s="1"/>
  <c r="A54" i="30" s="1"/>
  <c r="A48" i="30"/>
  <c r="E9" i="32"/>
  <c r="L9" i="32" s="1" a="1"/>
  <c r="L9" i="32" s="1"/>
  <c r="E10" i="32"/>
  <c r="E11" i="32"/>
  <c r="E12" i="32"/>
  <c r="L12" i="32" s="1" a="1"/>
  <c r="L12" i="32" s="1"/>
  <c r="E13" i="32"/>
  <c r="E14" i="32"/>
  <c r="E15" i="32"/>
  <c r="E16" i="32"/>
  <c r="L16" i="32" s="1" a="1"/>
  <c r="L16" i="32" s="1"/>
  <c r="E17" i="32"/>
  <c r="E18" i="32"/>
  <c r="E19" i="32"/>
  <c r="E20" i="32"/>
  <c r="E21" i="32"/>
  <c r="E22" i="32"/>
  <c r="L22" i="32" s="1" a="1"/>
  <c r="L22" i="32" s="1"/>
  <c r="E23" i="32"/>
  <c r="L23" i="32" s="1" a="1"/>
  <c r="L23" i="32" s="1"/>
  <c r="E24" i="32"/>
  <c r="L24" i="32" s="1" a="1"/>
  <c r="L24" i="32" s="1"/>
  <c r="E25" i="32"/>
  <c r="E26" i="32"/>
  <c r="L26" i="32" s="1" a="1"/>
  <c r="L26" i="32" s="1"/>
  <c r="E27" i="32"/>
  <c r="L27" i="32" s="1" a="1"/>
  <c r="L27" i="32" s="1"/>
  <c r="E28" i="32"/>
  <c r="L28" i="32" s="1" a="1"/>
  <c r="L28" i="32" s="1"/>
  <c r="E29" i="32"/>
  <c r="L29" i="32" s="1" a="1"/>
  <c r="L29" i="32" s="1"/>
  <c r="E30" i="32"/>
  <c r="L30" i="32" s="1" a="1"/>
  <c r="L30" i="32" s="1"/>
  <c r="E31" i="32"/>
  <c r="E32" i="32"/>
  <c r="L32" i="32" s="1" a="1"/>
  <c r="L32" i="32" s="1"/>
  <c r="E33" i="32"/>
  <c r="L33" i="32" s="1" a="1"/>
  <c r="L33" i="32" s="1"/>
  <c r="E34" i="32"/>
  <c r="L34" i="32" s="1" a="1"/>
  <c r="L34" i="32" s="1"/>
  <c r="E35" i="32"/>
  <c r="L35" i="32" s="1" a="1"/>
  <c r="L35" i="32" s="1"/>
  <c r="E36" i="32"/>
  <c r="E37" i="32"/>
  <c r="E38" i="32"/>
  <c r="L38" i="32" s="1" a="1"/>
  <c r="L38" i="32" s="1"/>
  <c r="E39" i="32"/>
  <c r="L39" i="32" s="1" a="1"/>
  <c r="L39" i="32" s="1"/>
  <c r="E40" i="32"/>
  <c r="L40" i="32" s="1" a="1"/>
  <c r="L40" i="32" s="1"/>
  <c r="E41" i="32"/>
  <c r="L41" i="32" s="1" a="1"/>
  <c r="L41" i="32" s="1"/>
  <c r="E42" i="32"/>
  <c r="L42" i="32" s="1" a="1"/>
  <c r="L42" i="32" s="1"/>
  <c r="E43" i="32"/>
  <c r="L43" i="32" s="1" a="1"/>
  <c r="L43" i="32" s="1"/>
  <c r="E44" i="32"/>
  <c r="L44" i="32" s="1" a="1"/>
  <c r="L44" i="32" s="1"/>
  <c r="E45" i="32"/>
  <c r="L45" i="32" s="1" a="1"/>
  <c r="L45" i="32" s="1"/>
  <c r="E46" i="32"/>
  <c r="L46" i="32" s="1" a="1"/>
  <c r="L46" i="32" s="1"/>
  <c r="E47" i="32"/>
  <c r="L47" i="32" s="1" a="1"/>
  <c r="L47" i="32" s="1"/>
  <c r="AB50" i="35" l="1"/>
  <c r="O50" i="35"/>
  <c r="AD50" i="35" s="1"/>
  <c r="I7" i="32" a="1"/>
  <c r="I7" i="32" s="1"/>
  <c r="M45" i="35" a="1"/>
  <c r="M45" i="35" s="1"/>
  <c r="AB36" i="35"/>
  <c r="AB22" i="35"/>
  <c r="AB33" i="35"/>
  <c r="O33" i="35"/>
  <c r="AD33" i="35" s="1"/>
  <c r="I19" i="32" a="1"/>
  <c r="I19" i="32" s="1"/>
  <c r="AK62" i="32"/>
  <c r="M26" i="35" a="1"/>
  <c r="M26" i="35" s="1"/>
  <c r="N36" i="35" a="1"/>
  <c r="N36" i="35" s="1"/>
  <c r="AC36" i="35" s="1"/>
  <c r="AK60" i="32"/>
  <c r="N22" i="35" a="1"/>
  <c r="N22" i="35" s="1"/>
  <c r="AC22" i="35" s="1"/>
  <c r="AC55" i="35" s="1"/>
  <c r="D5" i="15" s="1"/>
  <c r="AK38" i="32"/>
  <c r="N26" i="35" a="1"/>
  <c r="N26" i="35" s="1"/>
  <c r="AC26" i="35" s="1"/>
  <c r="AK53" i="32"/>
  <c r="A49" i="30"/>
  <c r="A50" i="30" s="1"/>
  <c r="J8" i="32" a="1"/>
  <c r="J8" i="32" s="1"/>
  <c r="Y37" i="35" a="1"/>
  <c r="Y37" i="35" s="1"/>
  <c r="AN37" i="35" s="1"/>
  <c r="V49" i="35" a="1"/>
  <c r="V49" i="35" s="1"/>
  <c r="V24" i="35" a="1"/>
  <c r="V24" i="35" s="1"/>
  <c r="AK24" i="35" s="1"/>
  <c r="T44" i="35" a="1"/>
  <c r="T44" i="35" s="1"/>
  <c r="AI44" i="35" s="1"/>
  <c r="S32" i="35" a="1"/>
  <c r="S32" i="35" s="1"/>
  <c r="N44" i="35" a="1"/>
  <c r="N44" i="35" s="1"/>
  <c r="AC44" i="35" s="1"/>
  <c r="Y36" i="35" a="1"/>
  <c r="Y36" i="35" s="1"/>
  <c r="AN36" i="35" s="1"/>
  <c r="P52" i="35" a="1"/>
  <c r="P52" i="35" s="1"/>
  <c r="Q28" i="35" a="1"/>
  <c r="Q28" i="35" s="1"/>
  <c r="AF28" i="35" s="1"/>
  <c r="M38" i="35" a="1"/>
  <c r="M38" i="35" s="1"/>
  <c r="Y35" i="35" a="1"/>
  <c r="Y35" i="35" s="1"/>
  <c r="AN35" i="35" s="1"/>
  <c r="V47" i="35" a="1"/>
  <c r="V47" i="35" s="1"/>
  <c r="V22" i="35" a="1"/>
  <c r="V22" i="35" s="1"/>
  <c r="AK22" i="35" s="1"/>
  <c r="T43" i="35" a="1"/>
  <c r="T43" i="35" s="1"/>
  <c r="AI43" i="35" s="1"/>
  <c r="S31" i="35" a="1"/>
  <c r="S31" i="35" s="1"/>
  <c r="P40" i="35" a="1"/>
  <c r="P40" i="35" s="1"/>
  <c r="P28" i="35" a="1"/>
  <c r="P28" i="35" s="1"/>
  <c r="J7" i="32" a="1"/>
  <c r="J7" i="32" s="1"/>
  <c r="Y34" i="35" a="1"/>
  <c r="Y34" i="35" s="1"/>
  <c r="AN34" i="35" s="1"/>
  <c r="V46" i="35" a="1"/>
  <c r="V46" i="35" s="1"/>
  <c r="AK46" i="35" s="1"/>
  <c r="S43" i="35" a="1"/>
  <c r="S43" i="35" s="1"/>
  <c r="T30" i="35" a="1"/>
  <c r="T30" i="35" s="1"/>
  <c r="AI30" i="35" s="1"/>
  <c r="Q51" i="35" a="1"/>
  <c r="Q51" i="35" s="1"/>
  <c r="AF51" i="35" s="1"/>
  <c r="Q39" i="35" a="1"/>
  <c r="Q39" i="35" s="1"/>
  <c r="AF39" i="35" s="1"/>
  <c r="N27" i="35" a="1"/>
  <c r="N27" i="35" s="1"/>
  <c r="AC27" i="35" s="1"/>
  <c r="N46" i="35" a="1"/>
  <c r="N46" i="35" s="1"/>
  <c r="AC46" i="35" s="1"/>
  <c r="M40" i="35" a="1"/>
  <c r="M40" i="35" s="1"/>
  <c r="V45" i="35" a="1"/>
  <c r="V45" i="35" s="1"/>
  <c r="AK45" i="35" s="1"/>
  <c r="S30" i="35" a="1"/>
  <c r="S30" i="35" s="1"/>
  <c r="P51" i="35" a="1"/>
  <c r="P51" i="35" s="1"/>
  <c r="Q27" i="35" a="1"/>
  <c r="Q27" i="35" s="1"/>
  <c r="AF27" i="35" s="1"/>
  <c r="N28" i="35" a="1"/>
  <c r="N28" i="35" s="1"/>
  <c r="AC28" i="35" s="1"/>
  <c r="M43" i="35" a="1"/>
  <c r="M43" i="35" s="1"/>
  <c r="Y38" i="35" a="1"/>
  <c r="Y38" i="35" s="1"/>
  <c r="AN38" i="35" s="1"/>
  <c r="V44" i="35" a="1"/>
  <c r="V44" i="35" s="1"/>
  <c r="AK44" i="35" s="1"/>
  <c r="S42" i="35" a="1"/>
  <c r="S42" i="35" s="1"/>
  <c r="T29" i="35" a="1"/>
  <c r="T29" i="35" s="1"/>
  <c r="AI29" i="35" s="1"/>
  <c r="Q50" i="35" a="1"/>
  <c r="Q50" i="35" s="1"/>
  <c r="AF50" i="35" s="1"/>
  <c r="Q38" i="35" a="1"/>
  <c r="Q38" i="35" s="1"/>
  <c r="AF38" i="35" s="1"/>
  <c r="P27" i="35" a="1"/>
  <c r="P27" i="35" s="1"/>
  <c r="M42" i="35" a="1"/>
  <c r="M42" i="35" s="1"/>
  <c r="Y32" i="35" a="1"/>
  <c r="Y32" i="35" s="1"/>
  <c r="AN32" i="35" s="1"/>
  <c r="V43" i="35" a="1"/>
  <c r="V43" i="35" s="1"/>
  <c r="AK43" i="35" s="1"/>
  <c r="T54" i="35" a="1"/>
  <c r="T54" i="35" s="1"/>
  <c r="AI54" i="35" s="1"/>
  <c r="T41" i="35" a="1"/>
  <c r="T41" i="35" s="1"/>
  <c r="AI41" i="35" s="1"/>
  <c r="S29" i="35" a="1"/>
  <c r="S29" i="35" s="1"/>
  <c r="P50" i="35" a="1"/>
  <c r="P50" i="35" s="1"/>
  <c r="Q26" i="35" a="1"/>
  <c r="Q26" i="35" s="1"/>
  <c r="AF26" i="35" s="1"/>
  <c r="N29" i="35" a="1"/>
  <c r="N29" i="35" s="1"/>
  <c r="AC29" i="35" s="1"/>
  <c r="Y54" i="35" a="1"/>
  <c r="Y54" i="35" s="1"/>
  <c r="AN54" i="35" s="1"/>
  <c r="Y31" i="35" a="1"/>
  <c r="Y31" i="35" s="1"/>
  <c r="AN31" i="35" s="1"/>
  <c r="S54" i="35" a="1"/>
  <c r="S54" i="35" s="1"/>
  <c r="S41" i="35" a="1"/>
  <c r="S41" i="35" s="1"/>
  <c r="Q49" i="35" a="1"/>
  <c r="Q49" i="35" s="1"/>
  <c r="P38" i="35" a="1"/>
  <c r="P38" i="35" s="1"/>
  <c r="P26" i="35" a="1"/>
  <c r="P26" i="35" s="1"/>
  <c r="N30" i="35" a="1"/>
  <c r="N30" i="35" s="1"/>
  <c r="AC30" i="35" s="1"/>
  <c r="M48" i="35" a="1"/>
  <c r="M48" i="35" s="1"/>
  <c r="M44" i="35" a="1"/>
  <c r="M44" i="35" s="1"/>
  <c r="T28" i="35" a="1"/>
  <c r="T28" i="35" s="1"/>
  <c r="AI28" i="35" s="1"/>
  <c r="P49" i="35" a="1"/>
  <c r="P49" i="35" s="1"/>
  <c r="R49" i="35" s="1"/>
  <c r="Q25" i="35" a="1"/>
  <c r="Q25" i="35" s="1"/>
  <c r="AF25" i="35" s="1"/>
  <c r="M49" i="35" a="1"/>
  <c r="M49" i="35" s="1"/>
  <c r="O49" i="35" s="1"/>
  <c r="S40" i="35" a="1"/>
  <c r="S40" i="35" s="1"/>
  <c r="N32" i="35" a="1"/>
  <c r="N32" i="35" s="1"/>
  <c r="AC32" i="35" s="1"/>
  <c r="M23" i="35" a="1"/>
  <c r="M23" i="35" s="1"/>
  <c r="S27" i="35" a="1"/>
  <c r="S27" i="35" s="1"/>
  <c r="M24" i="35" a="1"/>
  <c r="M24" i="35" s="1"/>
  <c r="P47" i="35" a="1"/>
  <c r="P47" i="35" s="1"/>
  <c r="M54" i="35" a="1"/>
  <c r="M54" i="35" s="1"/>
  <c r="Q34" i="35" a="1"/>
  <c r="Q34" i="35" s="1"/>
  <c r="AF34" i="35" s="1"/>
  <c r="N48" i="35" a="1"/>
  <c r="N48" i="35" s="1"/>
  <c r="Q53" i="35" a="1"/>
  <c r="Q53" i="35" s="1"/>
  <c r="AF53" i="35" s="1"/>
  <c r="M37" i="35" a="1"/>
  <c r="M37" i="35" s="1"/>
  <c r="V42" i="35" a="1"/>
  <c r="V42" i="35" s="1"/>
  <c r="T53" i="35" a="1"/>
  <c r="T53" i="35" s="1"/>
  <c r="AI53" i="35" s="1"/>
  <c r="Q37" i="35" a="1"/>
  <c r="Q37" i="35" s="1"/>
  <c r="AF37" i="35" s="1"/>
  <c r="P48" i="35" a="1"/>
  <c r="P48" i="35" s="1"/>
  <c r="R48" i="35" s="1"/>
  <c r="Q24" i="35" a="1"/>
  <c r="Q24" i="35" s="1"/>
  <c r="AF24" i="35" s="1"/>
  <c r="Q35" i="35" a="1"/>
  <c r="Q35" i="35" s="1"/>
  <c r="AF35" i="35" s="1"/>
  <c r="N37" i="35" a="1"/>
  <c r="N37" i="35" s="1"/>
  <c r="AC37" i="35" s="1"/>
  <c r="T32" i="35" a="1"/>
  <c r="T32" i="35" s="1"/>
  <c r="AI32" i="35" s="1"/>
  <c r="Y53" i="35" a="1"/>
  <c r="Y53" i="35" s="1"/>
  <c r="Y30" i="35" a="1"/>
  <c r="Y30" i="35" s="1"/>
  <c r="AN30" i="35" s="1"/>
  <c r="V41" i="35" a="1"/>
  <c r="V41" i="35" s="1"/>
  <c r="AK41" i="35" s="1"/>
  <c r="S53" i="35" a="1"/>
  <c r="S53" i="35" s="1"/>
  <c r="S28" i="35" a="1"/>
  <c r="S28" i="35" s="1"/>
  <c r="Q48" i="35" a="1"/>
  <c r="Q48" i="35" s="1"/>
  <c r="P25" i="35" a="1"/>
  <c r="P25" i="35" s="1"/>
  <c r="N31" i="35" a="1"/>
  <c r="N31" i="35" s="1"/>
  <c r="AC31" i="35" s="1"/>
  <c r="M46" i="35" a="1"/>
  <c r="M46" i="35" s="1"/>
  <c r="T27" i="35" a="1"/>
  <c r="T27" i="35" s="1"/>
  <c r="AI27" i="35" s="1"/>
  <c r="P37" i="35" a="1"/>
  <c r="P37" i="35" s="1"/>
  <c r="M51" i="35" a="1"/>
  <c r="M51" i="35" s="1"/>
  <c r="Q47" i="35" a="1"/>
  <c r="Q47" i="35" s="1"/>
  <c r="M52" i="35" a="1"/>
  <c r="M52" i="35" s="1"/>
  <c r="P24" i="35" a="1"/>
  <c r="P24" i="35" s="1"/>
  <c r="M53" i="35" a="1"/>
  <c r="M53" i="35" s="1"/>
  <c r="N34" i="35" a="1"/>
  <c r="N34" i="35" s="1"/>
  <c r="AC34" i="35" s="1"/>
  <c r="P23" i="35" a="1"/>
  <c r="P23" i="35" s="1"/>
  <c r="M27" i="35" a="1"/>
  <c r="M27" i="35" s="1"/>
  <c r="N38" i="35" a="1"/>
  <c r="N38" i="35" s="1"/>
  <c r="AC38" i="35" s="1"/>
  <c r="V25" i="35" a="1"/>
  <c r="V25" i="35" s="1"/>
  <c r="Y52" i="35" a="1"/>
  <c r="Y52" i="35" s="1"/>
  <c r="Y29" i="35" a="1"/>
  <c r="Y29" i="35" s="1"/>
  <c r="AN29" i="35" s="1"/>
  <c r="V40" i="35" a="1"/>
  <c r="V40" i="35" s="1"/>
  <c r="AK40" i="35" s="1"/>
  <c r="T26" i="35" a="1"/>
  <c r="T26" i="35" s="1"/>
  <c r="AI26" i="35" s="1"/>
  <c r="N35" i="35" a="1"/>
  <c r="N35" i="35" s="1"/>
  <c r="AC35" i="35" s="1"/>
  <c r="N42" i="35" a="1"/>
  <c r="N42" i="35" s="1"/>
  <c r="AC42" i="35" s="1"/>
  <c r="N25" i="35" a="1"/>
  <c r="N25" i="35" s="1"/>
  <c r="AC25" i="35" s="1"/>
  <c r="Y51" i="35" a="1"/>
  <c r="Y51" i="35" s="1"/>
  <c r="AN51" i="35" s="1"/>
  <c r="Y28" i="35" a="1"/>
  <c r="Y28" i="35" s="1"/>
  <c r="AN28" i="35" s="1"/>
  <c r="V39" i="35" a="1"/>
  <c r="V39" i="35" s="1"/>
  <c r="AK39" i="35" s="1"/>
  <c r="T52" i="35" a="1"/>
  <c r="T52" i="35" s="1"/>
  <c r="AI52" i="35" s="1"/>
  <c r="T39" i="35" a="1"/>
  <c r="T39" i="35" s="1"/>
  <c r="AI39" i="35" s="1"/>
  <c r="Q36" i="35" a="1"/>
  <c r="Q36" i="35" s="1"/>
  <c r="AF36" i="35" s="1"/>
  <c r="M25" i="35" a="1"/>
  <c r="M25" i="35" s="1"/>
  <c r="Q22" i="35" a="1"/>
  <c r="Q22" i="35" s="1"/>
  <c r="AF22" i="35" s="1"/>
  <c r="Y50" i="35" a="1"/>
  <c r="Y50" i="35" s="1"/>
  <c r="AN50" i="35" s="1"/>
  <c r="Y27" i="35" a="1"/>
  <c r="Y27" i="35" s="1"/>
  <c r="AN27" i="35" s="1"/>
  <c r="V38" i="35" a="1"/>
  <c r="V38" i="35" s="1"/>
  <c r="AK38" i="35" s="1"/>
  <c r="S52" i="35" a="1"/>
  <c r="S52" i="35" s="1"/>
  <c r="S39" i="35" a="1"/>
  <c r="S39" i="35" s="1"/>
  <c r="P36" i="35" a="1"/>
  <c r="P36" i="35" s="1"/>
  <c r="Y49" i="35" a="1"/>
  <c r="Y49" i="35" s="1"/>
  <c r="Y26" i="35" a="1"/>
  <c r="Y26" i="35" s="1"/>
  <c r="AN26" i="35" s="1"/>
  <c r="V37" i="35" a="1"/>
  <c r="V37" i="35" s="1"/>
  <c r="T51" i="35" a="1"/>
  <c r="T51" i="35" s="1"/>
  <c r="AI51" i="35" s="1"/>
  <c r="T38" i="35" a="1"/>
  <c r="T38" i="35" s="1"/>
  <c r="AI38" i="35" s="1"/>
  <c r="S26" i="35" a="1"/>
  <c r="S26" i="35" s="1"/>
  <c r="Q46" i="35" a="1"/>
  <c r="Q46" i="35" s="1"/>
  <c r="AF46" i="35" s="1"/>
  <c r="Q23" i="35" a="1"/>
  <c r="Q23" i="35" s="1"/>
  <c r="AF23" i="35" s="1"/>
  <c r="N49" i="35" a="1"/>
  <c r="N49" i="35" s="1"/>
  <c r="P29" i="35" a="1"/>
  <c r="P29" i="35" s="1"/>
  <c r="Y48" i="35" a="1"/>
  <c r="Y48" i="35" s="1"/>
  <c r="Z25" i="35" a="1"/>
  <c r="Z25" i="35" s="1"/>
  <c r="AO25" i="35" s="1"/>
  <c r="V36" i="35" a="1"/>
  <c r="V36" i="35" s="1"/>
  <c r="S51" i="35" a="1"/>
  <c r="S51" i="35" s="1"/>
  <c r="S38" i="35" a="1"/>
  <c r="S38" i="35" s="1"/>
  <c r="T25" i="35" a="1"/>
  <c r="T25" i="35" s="1"/>
  <c r="AI25" i="35" s="1"/>
  <c r="P35" i="35" a="1"/>
  <c r="P35" i="35" s="1"/>
  <c r="P33" i="35" a="1"/>
  <c r="P33" i="35" s="1"/>
  <c r="Y47" i="35" a="1"/>
  <c r="Y47" i="35" s="1"/>
  <c r="Y25" i="35" a="1"/>
  <c r="Y25" i="35" s="1"/>
  <c r="V35" i="35" a="1"/>
  <c r="V35" i="35" s="1"/>
  <c r="AK35" i="35" s="1"/>
  <c r="T50" i="35" a="1"/>
  <c r="T50" i="35" s="1"/>
  <c r="AI50" i="35" s="1"/>
  <c r="T37" i="35" a="1"/>
  <c r="T37" i="35" s="1"/>
  <c r="AI37" i="35" s="1"/>
  <c r="S25" i="35" a="1"/>
  <c r="S25" i="35" s="1"/>
  <c r="P46" i="35" a="1"/>
  <c r="P46" i="35" s="1"/>
  <c r="Y24" i="35" a="1"/>
  <c r="Y24" i="35" s="1"/>
  <c r="AN24" i="35" s="1"/>
  <c r="S50" i="35" a="1"/>
  <c r="S50" i="35" s="1"/>
  <c r="S37" i="35" a="1"/>
  <c r="S37" i="35" s="1"/>
  <c r="Q45" i="35" a="1"/>
  <c r="Q45" i="35" s="1"/>
  <c r="AF45" i="35" s="1"/>
  <c r="P22" i="35" a="1"/>
  <c r="P22" i="35" s="1"/>
  <c r="Y46" i="35" a="1"/>
  <c r="Y46" i="35" s="1"/>
  <c r="AN46" i="35" s="1"/>
  <c r="Y23" i="35" a="1"/>
  <c r="Y23" i="35" s="1"/>
  <c r="AN23" i="35" s="1"/>
  <c r="V34" i="35" a="1"/>
  <c r="V34" i="35" s="1"/>
  <c r="AK34" i="35" s="1"/>
  <c r="T49" i="35" a="1"/>
  <c r="T49" i="35" s="1"/>
  <c r="T24" i="35" a="1"/>
  <c r="T24" i="35" s="1"/>
  <c r="AI24" i="35" s="1"/>
  <c r="P34" i="35" a="1"/>
  <c r="P34" i="35" s="1"/>
  <c r="M28" i="35" a="1"/>
  <c r="M28" i="35" s="1"/>
  <c r="Q30" i="35" a="1"/>
  <c r="Q30" i="35" s="1"/>
  <c r="AF30" i="35" s="1"/>
  <c r="M39" i="35" a="1"/>
  <c r="M39" i="35" s="1"/>
  <c r="Y45" i="35" a="1"/>
  <c r="Y45" i="35" s="1"/>
  <c r="V33" i="35" a="1"/>
  <c r="V33" i="35" s="1"/>
  <c r="AK33" i="35" s="1"/>
  <c r="S49" i="35" a="1"/>
  <c r="S49" i="35" s="1"/>
  <c r="U49" i="35" s="1"/>
  <c r="T36" i="35" a="1"/>
  <c r="T36" i="35" s="1"/>
  <c r="AI36" i="35" s="1"/>
  <c r="S24" i="35" a="1"/>
  <c r="S24" i="35" s="1"/>
  <c r="P45" i="35" a="1"/>
  <c r="P45" i="35" s="1"/>
  <c r="Q33" i="35" a="1"/>
  <c r="Q33" i="35" s="1"/>
  <c r="AF33" i="35" s="1"/>
  <c r="M29" i="35" a="1"/>
  <c r="M29" i="35" s="1"/>
  <c r="N43" i="35" a="1"/>
  <c r="N43" i="35" s="1"/>
  <c r="AC43" i="35" s="1"/>
  <c r="Y44" i="35" a="1"/>
  <c r="Y44" i="35" s="1"/>
  <c r="AN44" i="35" s="1"/>
  <c r="Y22" i="35" a="1"/>
  <c r="Y22" i="35" s="1"/>
  <c r="AN22" i="35" s="1"/>
  <c r="V32" i="35" a="1"/>
  <c r="V32" i="35" s="1"/>
  <c r="AK32" i="35" s="1"/>
  <c r="T48" i="35" a="1"/>
  <c r="T48" i="35" s="1"/>
  <c r="S36" i="35" a="1"/>
  <c r="S36" i="35" s="1"/>
  <c r="T23" i="35" a="1"/>
  <c r="T23" i="35" s="1"/>
  <c r="AI23" i="35" s="1"/>
  <c r="Q44" i="35" a="1"/>
  <c r="Q44" i="35" s="1"/>
  <c r="AF44" i="35" s="1"/>
  <c r="Y43" i="35" a="1"/>
  <c r="Y43" i="35" s="1"/>
  <c r="AN43" i="35" s="1"/>
  <c r="V31" i="35" a="1"/>
  <c r="V31" i="35" s="1"/>
  <c r="AK31" i="35" s="1"/>
  <c r="S48" i="35" a="1"/>
  <c r="S48" i="35" s="1"/>
  <c r="T35" i="35" a="1"/>
  <c r="T35" i="35" s="1"/>
  <c r="AI35" i="35" s="1"/>
  <c r="S23" i="35" a="1"/>
  <c r="S23" i="35" s="1"/>
  <c r="P44" i="35" a="1"/>
  <c r="P44" i="35" s="1"/>
  <c r="M30" i="35" a="1"/>
  <c r="M30" i="35" s="1"/>
  <c r="V30" i="35" a="1"/>
  <c r="V30" i="35" s="1"/>
  <c r="AK30" i="35" s="1"/>
  <c r="T47" i="35" a="1"/>
  <c r="T47" i="35" s="1"/>
  <c r="S35" i="35" a="1"/>
  <c r="S35" i="35" s="1"/>
  <c r="Q43" i="35" a="1"/>
  <c r="Q43" i="35" s="1"/>
  <c r="AF43" i="35" s="1"/>
  <c r="Q32" i="35" a="1"/>
  <c r="Q32" i="35" s="1"/>
  <c r="AF32" i="35" s="1"/>
  <c r="N51" i="35" a="1"/>
  <c r="N51" i="35" s="1"/>
  <c r="AC51" i="35" s="1"/>
  <c r="N39" i="35" a="1"/>
  <c r="N39" i="35" s="1"/>
  <c r="AC39" i="35" s="1"/>
  <c r="Q31" i="35" a="1"/>
  <c r="Q31" i="35" s="1"/>
  <c r="AF31" i="35" s="1"/>
  <c r="P54" i="35" a="1"/>
  <c r="P54" i="35" s="1"/>
  <c r="M34" i="35" a="1"/>
  <c r="M34" i="35" s="1"/>
  <c r="V51" i="35" a="1"/>
  <c r="V51" i="35" s="1"/>
  <c r="T45" i="35" a="1"/>
  <c r="T45" i="35" s="1"/>
  <c r="AI45" i="35" s="1"/>
  <c r="M35" i="35" a="1"/>
  <c r="M35" i="35" s="1"/>
  <c r="V50" i="35" a="1"/>
  <c r="V50" i="35" s="1"/>
  <c r="AK50" i="35" s="1"/>
  <c r="Y42" i="35" a="1"/>
  <c r="Y42" i="35" s="1"/>
  <c r="AN42" i="35" s="1"/>
  <c r="V54" i="35" a="1"/>
  <c r="V54" i="35" s="1"/>
  <c r="AK54" i="35" s="1"/>
  <c r="T22" i="35" a="1"/>
  <c r="T22" i="35" s="1"/>
  <c r="AI22" i="35" s="1"/>
  <c r="M31" i="35" a="1"/>
  <c r="M31" i="35" s="1"/>
  <c r="N23" i="35" a="1"/>
  <c r="N23" i="35" s="1"/>
  <c r="AC23" i="35" s="1"/>
  <c r="Z41" i="35" a="1"/>
  <c r="Z41" i="35" s="1"/>
  <c r="AO41" i="35" s="1"/>
  <c r="V29" i="35" a="1"/>
  <c r="V29" i="35" s="1"/>
  <c r="S47" i="35" a="1"/>
  <c r="S47" i="35" s="1"/>
  <c r="U47" i="35" s="1"/>
  <c r="T34" i="35" a="1"/>
  <c r="T34" i="35" s="1"/>
  <c r="AI34" i="35" s="1"/>
  <c r="S22" i="35" a="1"/>
  <c r="S22" i="35" s="1"/>
  <c r="P43" i="35" a="1"/>
  <c r="P43" i="35" s="1"/>
  <c r="P32" i="35" a="1"/>
  <c r="P32" i="35" s="1"/>
  <c r="N52" i="35" a="1"/>
  <c r="N52" i="35" s="1"/>
  <c r="AC52" i="35" s="1"/>
  <c r="N40" i="35" a="1"/>
  <c r="N40" i="35" s="1"/>
  <c r="AC40" i="35" s="1"/>
  <c r="M32" i="35" a="1"/>
  <c r="M32" i="35" s="1"/>
  <c r="V28" i="35" a="1"/>
  <c r="V28" i="35" s="1"/>
  <c r="AK28" i="35" s="1"/>
  <c r="S34" i="35" a="1"/>
  <c r="S34" i="35" s="1"/>
  <c r="Q54" i="35" a="1"/>
  <c r="Q54" i="35" s="1"/>
  <c r="AF54" i="35" s="1"/>
  <c r="N53" i="35" a="1"/>
  <c r="N53" i="35" s="1"/>
  <c r="AC53" i="35" s="1"/>
  <c r="N54" i="35" a="1"/>
  <c r="N54" i="35" s="1"/>
  <c r="AC54" i="35" s="1"/>
  <c r="Y39" i="35" a="1"/>
  <c r="Y39" i="35" s="1"/>
  <c r="AN39" i="35" s="1"/>
  <c r="S33" i="35" a="1"/>
  <c r="S33" i="35" s="1"/>
  <c r="Q29" i="35" a="1"/>
  <c r="Q29" i="35" s="1"/>
  <c r="AF29" i="35" s="1"/>
  <c r="Y41" i="35" a="1"/>
  <c r="Y41" i="35" s="1"/>
  <c r="V53" i="35" a="1"/>
  <c r="V53" i="35" s="1"/>
  <c r="AK53" i="35" s="1"/>
  <c r="T46" i="35" a="1"/>
  <c r="T46" i="35" s="1"/>
  <c r="AI46" i="35" s="1"/>
  <c r="Q42" i="35" a="1"/>
  <c r="Q42" i="35" s="1"/>
  <c r="AF42" i="35" s="1"/>
  <c r="P42" i="35" a="1"/>
  <c r="P42" i="35" s="1"/>
  <c r="Y40" i="35" a="1"/>
  <c r="Y40" i="35" s="1"/>
  <c r="AN40" i="35" s="1"/>
  <c r="V52" i="35" a="1"/>
  <c r="V52" i="35" s="1"/>
  <c r="V27" i="35" a="1"/>
  <c r="V27" i="35" s="1"/>
  <c r="AK27" i="35" s="1"/>
  <c r="S46" i="35" a="1"/>
  <c r="S46" i="35" s="1"/>
  <c r="T33" i="35" a="1"/>
  <c r="T33" i="35" s="1"/>
  <c r="AI33" i="35" s="1"/>
  <c r="P31" i="35" a="1"/>
  <c r="P31" i="35" s="1"/>
  <c r="V26" i="35" a="1"/>
  <c r="V26" i="35" s="1"/>
  <c r="S45" i="35" a="1"/>
  <c r="S45" i="35" s="1"/>
  <c r="P53" i="35" a="1"/>
  <c r="P53" i="35" s="1"/>
  <c r="Q41" i="35" a="1"/>
  <c r="Q41" i="35" s="1"/>
  <c r="AF41" i="35" s="1"/>
  <c r="P30" i="35" a="1"/>
  <c r="P30" i="35" s="1"/>
  <c r="N24" i="35" a="1"/>
  <c r="N24" i="35" s="1"/>
  <c r="AC24" i="35" s="1"/>
  <c r="Z35" i="35" a="1"/>
  <c r="Z35" i="35" s="1"/>
  <c r="Z39" i="35" a="1"/>
  <c r="Z39" i="35" s="1"/>
  <c r="W22" i="35" a="1"/>
  <c r="W22" i="35" s="1"/>
  <c r="Z43" i="35" a="1"/>
  <c r="Z43" i="35" s="1"/>
  <c r="W26" i="35" a="1"/>
  <c r="W26" i="35" s="1"/>
  <c r="AL26" i="35" s="1"/>
  <c r="W48" i="35" a="1"/>
  <c r="W48" i="35" s="1"/>
  <c r="Z47" i="35" a="1"/>
  <c r="Z47" i="35" s="1"/>
  <c r="AA47" i="35" s="1"/>
  <c r="W30" i="35" a="1"/>
  <c r="W30" i="35" s="1"/>
  <c r="Z49" i="35" a="1"/>
  <c r="Z49" i="35" s="1"/>
  <c r="AA49" i="35" s="1"/>
  <c r="Z51" i="35" a="1"/>
  <c r="Z51" i="35" s="1"/>
  <c r="W34" i="35" a="1"/>
  <c r="W34" i="35" s="1"/>
  <c r="Z53" i="35" a="1"/>
  <c r="Z53" i="35" s="1"/>
  <c r="AO53" i="35" s="1"/>
  <c r="Z24" i="35" a="1"/>
  <c r="Z24" i="35" s="1"/>
  <c r="W38" i="35" a="1"/>
  <c r="W38" i="35" s="1"/>
  <c r="Z52" i="35" a="1"/>
  <c r="Z52" i="35" s="1"/>
  <c r="AO52" i="35" s="1"/>
  <c r="Z29" i="35" a="1"/>
  <c r="Z29" i="35" s="1"/>
  <c r="Z28" i="35" a="1"/>
  <c r="Z28" i="35" s="1"/>
  <c r="W42" i="35" a="1"/>
  <c r="W42" i="35" s="1"/>
  <c r="AL42" i="35" s="1"/>
  <c r="Z37" i="35" a="1"/>
  <c r="Z37" i="35" s="1"/>
  <c r="Z32" i="35" a="1"/>
  <c r="Z32" i="35" s="1"/>
  <c r="W46" i="35" a="1"/>
  <c r="W46" i="35" s="1"/>
  <c r="Z45" i="35" a="1"/>
  <c r="Z45" i="35" s="1"/>
  <c r="AO45" i="35" s="1"/>
  <c r="Z36" i="35" a="1"/>
  <c r="Z36" i="35" s="1"/>
  <c r="W50" i="35" a="1"/>
  <c r="W50" i="35" s="1"/>
  <c r="Z40" i="35" a="1"/>
  <c r="Z40" i="35" s="1"/>
  <c r="W54" i="35" a="1"/>
  <c r="W54" i="35" s="1"/>
  <c r="Z44" i="35" a="1"/>
  <c r="Z44" i="35" s="1"/>
  <c r="Z48" i="35" a="1"/>
  <c r="Z48" i="35" s="1"/>
  <c r="W23" i="35" a="1"/>
  <c r="W23" i="35" s="1"/>
  <c r="T40" i="35" a="1"/>
  <c r="T40" i="35" s="1"/>
  <c r="AI40" i="35" s="1"/>
  <c r="W37" i="35" a="1"/>
  <c r="W37" i="35" s="1"/>
  <c r="AL37" i="35" s="1"/>
  <c r="W27" i="35" a="1"/>
  <c r="W27" i="35" s="1"/>
  <c r="W45" i="35" a="1"/>
  <c r="W45" i="35" s="1"/>
  <c r="W31" i="35" a="1"/>
  <c r="W31" i="35" s="1"/>
  <c r="W35" i="35" a="1"/>
  <c r="W35" i="35" s="1"/>
  <c r="Z22" i="35" a="1"/>
  <c r="Z22" i="35" s="1"/>
  <c r="W53" i="35" a="1"/>
  <c r="W53" i="35" s="1"/>
  <c r="W39" i="35" a="1"/>
  <c r="W39" i="35" s="1"/>
  <c r="Z26" i="35" a="1"/>
  <c r="Z26" i="35" s="1"/>
  <c r="W29" i="35" a="1"/>
  <c r="W29" i="35" s="1"/>
  <c r="AL29" i="35" s="1"/>
  <c r="W43" i="35" a="1"/>
  <c r="W43" i="35" s="1"/>
  <c r="Z30" i="35" a="1"/>
  <c r="Z30" i="35" s="1"/>
  <c r="W47" i="35" a="1"/>
  <c r="W47" i="35" s="1"/>
  <c r="X47" i="35" s="1"/>
  <c r="T42" i="35" a="1"/>
  <c r="T42" i="35" s="1"/>
  <c r="AI42" i="35" s="1"/>
  <c r="Z34" i="35" a="1"/>
  <c r="Z34" i="35" s="1"/>
  <c r="W25" i="35" a="1"/>
  <c r="W25" i="35" s="1"/>
  <c r="AL25" i="35" s="1"/>
  <c r="W51" i="35" a="1"/>
  <c r="W51" i="35" s="1"/>
  <c r="AL51" i="35" s="1"/>
  <c r="Z33" i="35" a="1"/>
  <c r="Z33" i="35" s="1"/>
  <c r="AO33" i="35" s="1"/>
  <c r="Z38" i="35" a="1"/>
  <c r="Z38" i="35" s="1"/>
  <c r="W33" i="35" a="1"/>
  <c r="W33" i="35" s="1"/>
  <c r="W24" i="35" a="1"/>
  <c r="W24" i="35" s="1"/>
  <c r="W40" i="35" a="1"/>
  <c r="W40" i="35" s="1"/>
  <c r="Z42" i="35" a="1"/>
  <c r="Z42" i="35" s="1"/>
  <c r="W41" i="35" a="1"/>
  <c r="W41" i="35" s="1"/>
  <c r="W28" i="35" a="1"/>
  <c r="W28" i="35" s="1"/>
  <c r="W49" i="35" a="1"/>
  <c r="W49" i="35" s="1"/>
  <c r="Z23" i="35" a="1"/>
  <c r="Z23" i="35" s="1"/>
  <c r="Z46" i="35" a="1"/>
  <c r="Z46" i="35" s="1"/>
  <c r="W32" i="35" a="1"/>
  <c r="W32" i="35" s="1"/>
  <c r="W52" i="35" a="1"/>
  <c r="W52" i="35" s="1"/>
  <c r="AL52" i="35" s="1"/>
  <c r="Z50" i="35" a="1"/>
  <c r="Z50" i="35" s="1"/>
  <c r="W36" i="35" a="1"/>
  <c r="W36" i="35" s="1"/>
  <c r="AL36" i="35" s="1"/>
  <c r="Z54" i="35" a="1"/>
  <c r="Z54" i="35" s="1"/>
  <c r="W44" i="35" a="1"/>
  <c r="W44" i="35" s="1"/>
  <c r="Z27" i="35" a="1"/>
  <c r="Z27" i="35" s="1"/>
  <c r="Z31" i="35" a="1"/>
  <c r="Z31" i="35" s="1"/>
  <c r="AK49" i="32"/>
  <c r="AB41" i="35"/>
  <c r="O41" i="35"/>
  <c r="AD41" i="35" s="1"/>
  <c r="J156" i="32" a="1"/>
  <c r="J156" i="32" s="1"/>
  <c r="I156" i="32" a="1"/>
  <c r="I156" i="32" s="1"/>
  <c r="J153" i="32" a="1"/>
  <c r="J153" i="32" s="1"/>
  <c r="I153" i="32" a="1"/>
  <c r="I153" i="32" s="1"/>
  <c r="J164" i="32" a="1"/>
  <c r="J164" i="32" s="1"/>
  <c r="I164" i="32" a="1"/>
  <c r="I164" i="32" s="1"/>
  <c r="I117" i="32" a="1"/>
  <c r="I117" i="32" s="1"/>
  <c r="J117" i="32" a="1"/>
  <c r="J117" i="32" s="1"/>
  <c r="I149" i="32" a="1"/>
  <c r="I149" i="32" s="1"/>
  <c r="J149" i="32" a="1"/>
  <c r="J149" i="32" s="1"/>
  <c r="J119" i="32" a="1"/>
  <c r="J119" i="32" s="1"/>
  <c r="I119" i="32" a="1"/>
  <c r="I119" i="32" s="1"/>
  <c r="I151" i="32" a="1"/>
  <c r="I151" i="32" s="1"/>
  <c r="J151" i="32" a="1"/>
  <c r="J151" i="32" s="1"/>
  <c r="I108" i="32" a="1"/>
  <c r="I108" i="32" s="1"/>
  <c r="J108" i="32" a="1"/>
  <c r="J108" i="32" s="1"/>
  <c r="J107" i="32" a="1"/>
  <c r="J107" i="32" s="1"/>
  <c r="I107" i="32" a="1"/>
  <c r="I107" i="32" s="1"/>
  <c r="J103" i="32" a="1"/>
  <c r="J103" i="32" s="1"/>
  <c r="I103" i="32" a="1"/>
  <c r="I103" i="32" s="1"/>
  <c r="J162" i="32" a="1"/>
  <c r="J162" i="32" s="1"/>
  <c r="I162" i="32" a="1"/>
  <c r="I162" i="32" s="1"/>
  <c r="J148" i="32" a="1"/>
  <c r="J148" i="32" s="1"/>
  <c r="I148" i="32" a="1"/>
  <c r="I148" i="32" s="1"/>
  <c r="I82" i="32" a="1"/>
  <c r="I82" i="32" s="1"/>
  <c r="J82" i="32" a="1"/>
  <c r="J82" i="32" s="1"/>
  <c r="I74" i="32" a="1"/>
  <c r="I74" i="32" s="1"/>
  <c r="J74" i="32" a="1"/>
  <c r="J74" i="32" s="1"/>
  <c r="J67" i="32" a="1"/>
  <c r="J67" i="32" s="1"/>
  <c r="I67" i="32" a="1"/>
  <c r="I67" i="32" s="1"/>
  <c r="I112" i="32" a="1"/>
  <c r="I112" i="32" s="1"/>
  <c r="J112" i="32" a="1"/>
  <c r="J112" i="32" s="1"/>
  <c r="I54" i="32" a="1"/>
  <c r="I54" i="32" s="1"/>
  <c r="J54" i="32" a="1"/>
  <c r="J54" i="32" s="1"/>
  <c r="I52" i="32" a="1"/>
  <c r="I52" i="32" s="1"/>
  <c r="J52" i="32" a="1"/>
  <c r="J52" i="32" s="1"/>
  <c r="J49" i="32" a="1"/>
  <c r="J49" i="32" s="1"/>
  <c r="I49" i="32" a="1"/>
  <c r="I49" i="32" s="1"/>
  <c r="I155" i="32" a="1"/>
  <c r="I155" i="32" s="1"/>
  <c r="J155" i="32" a="1"/>
  <c r="J155" i="32" s="1"/>
  <c r="J152" i="32" a="1"/>
  <c r="J152" i="32" s="1"/>
  <c r="I152" i="32" a="1"/>
  <c r="I152" i="32" s="1"/>
  <c r="I93" i="32" a="1"/>
  <c r="I93" i="32" s="1"/>
  <c r="J93" i="32" a="1"/>
  <c r="J93" i="32" s="1"/>
  <c r="J91" i="32" a="1"/>
  <c r="J91" i="32" s="1"/>
  <c r="I91" i="32" a="1"/>
  <c r="I91" i="32" s="1"/>
  <c r="J89" i="32" a="1"/>
  <c r="J89" i="32" s="1"/>
  <c r="I89" i="32" a="1"/>
  <c r="I89" i="32" s="1"/>
  <c r="I76" i="32" a="1"/>
  <c r="I76" i="32" s="1"/>
  <c r="J76" i="32" a="1"/>
  <c r="J76" i="32" s="1"/>
  <c r="J56" i="32" a="1"/>
  <c r="J56" i="32" s="1"/>
  <c r="I56" i="32" a="1"/>
  <c r="I56" i="32" s="1"/>
  <c r="J145" i="32" a="1"/>
  <c r="J145" i="32" s="1"/>
  <c r="I145" i="32" a="1"/>
  <c r="I145" i="32" s="1"/>
  <c r="J157" i="32" a="1"/>
  <c r="J157" i="32" s="1"/>
  <c r="I157" i="32" a="1"/>
  <c r="I157" i="32" s="1"/>
  <c r="I98" i="32" a="1"/>
  <c r="I98" i="32" s="1"/>
  <c r="J98" i="32" a="1"/>
  <c r="J98" i="32" s="1"/>
  <c r="I95" i="32" a="1"/>
  <c r="I95" i="32" s="1"/>
  <c r="J95" i="32" a="1"/>
  <c r="J95" i="32" s="1"/>
  <c r="I142" i="32" a="1"/>
  <c r="I142" i="32" s="1"/>
  <c r="J142" i="32" a="1"/>
  <c r="J142" i="32" s="1"/>
  <c r="I78" i="32" a="1"/>
  <c r="I78" i="32" s="1"/>
  <c r="J78" i="32" a="1"/>
  <c r="J78" i="32" s="1"/>
  <c r="J61" i="32" a="1"/>
  <c r="J61" i="32" s="1"/>
  <c r="I61" i="32" a="1"/>
  <c r="I61" i="32" s="1"/>
  <c r="I58" i="32" a="1"/>
  <c r="I58" i="32" s="1"/>
  <c r="J58" i="32" a="1"/>
  <c r="J58" i="32" s="1"/>
  <c r="J57" i="32" a="1"/>
  <c r="J57" i="32" s="1"/>
  <c r="I57" i="32" a="1"/>
  <c r="I57" i="32" s="1"/>
  <c r="I168" i="32" a="1"/>
  <c r="I168" i="32" s="1"/>
  <c r="J168" i="32" a="1"/>
  <c r="J168" i="32" s="1"/>
  <c r="J166" i="32" a="1"/>
  <c r="J166" i="32" s="1"/>
  <c r="I166" i="32" a="1"/>
  <c r="I166" i="32" s="1"/>
  <c r="J161" i="32" a="1"/>
  <c r="J161" i="32" s="1"/>
  <c r="I161" i="32" a="1"/>
  <c r="I161" i="32" s="1"/>
  <c r="J102" i="32" a="1"/>
  <c r="J102" i="32" s="1"/>
  <c r="I102" i="32" a="1"/>
  <c r="I102" i="32" s="1"/>
  <c r="I87" i="32" a="1"/>
  <c r="I87" i="32" s="1"/>
  <c r="J87" i="32" a="1"/>
  <c r="J87" i="32" s="1"/>
  <c r="J73" i="32" a="1"/>
  <c r="J73" i="32" s="1"/>
  <c r="I73" i="32" a="1"/>
  <c r="I73" i="32" s="1"/>
  <c r="J72" i="32" a="1"/>
  <c r="J72" i="32" s="1"/>
  <c r="I72" i="32" a="1"/>
  <c r="I72" i="32" s="1"/>
  <c r="I70" i="32" a="1"/>
  <c r="I70" i="32" s="1"/>
  <c r="J70" i="32" a="1"/>
  <c r="J70" i="32" s="1"/>
  <c r="J123" i="32" a="1"/>
  <c r="J123" i="32" s="1"/>
  <c r="I123" i="32" a="1"/>
  <c r="I123" i="32" s="1"/>
  <c r="I64" i="32" a="1"/>
  <c r="I64" i="32" s="1"/>
  <c r="J64" i="32" a="1"/>
  <c r="J64" i="32" s="1"/>
  <c r="J63" i="32" a="1"/>
  <c r="J63" i="32" s="1"/>
  <c r="I63" i="32" a="1"/>
  <c r="I63" i="32" s="1"/>
  <c r="J169" i="32" a="1"/>
  <c r="J169" i="32" s="1"/>
  <c r="I169" i="32" a="1"/>
  <c r="I169" i="32" s="1"/>
  <c r="I110" i="32" a="1"/>
  <c r="I110" i="32" s="1"/>
  <c r="J110" i="32" a="1"/>
  <c r="J110" i="32" s="1"/>
  <c r="I48" i="32" a="1"/>
  <c r="I48" i="32" s="1"/>
  <c r="J48" i="32" a="1"/>
  <c r="J48" i="32" s="1"/>
  <c r="J13" i="32" a="1"/>
  <c r="J13" i="32" s="1"/>
  <c r="J31" i="32" a="1"/>
  <c r="J31" i="32" s="1"/>
  <c r="AE9" i="32" a="1"/>
  <c r="AE9" i="32" s="1"/>
  <c r="AF10" i="32" a="1"/>
  <c r="AF10" i="32" s="1"/>
  <c r="AF9" i="32" a="1"/>
  <c r="AF9" i="32" s="1"/>
  <c r="AE10" i="32" a="1"/>
  <c r="AE10" i="32" s="1"/>
  <c r="J25" i="32" a="1"/>
  <c r="J25" i="32" s="1"/>
  <c r="AE14" i="32" a="1"/>
  <c r="AE14" i="32" s="1"/>
  <c r="J53" i="32" s="1" a="1"/>
  <c r="J53" i="32" s="1"/>
  <c r="AF30" i="32" a="1"/>
  <c r="AF30" i="32" s="1"/>
  <c r="AE28" i="32" a="1"/>
  <c r="AE28" i="32" s="1"/>
  <c r="AE19" i="32" a="1"/>
  <c r="AE19" i="32" s="1"/>
  <c r="AF21" i="32" a="1"/>
  <c r="AF21" i="32" s="1"/>
  <c r="AF19" i="32" a="1"/>
  <c r="AF19" i="32" s="1"/>
  <c r="AF36" i="32" a="1"/>
  <c r="AF36" i="32" s="1"/>
  <c r="AF51" i="32" a="1"/>
  <c r="AF51" i="32" s="1"/>
  <c r="AF58" i="32" a="1"/>
  <c r="AF58" i="32" s="1"/>
  <c r="AE58" i="32" a="1"/>
  <c r="AE58" i="32" s="1"/>
  <c r="AE21" i="32" a="1"/>
  <c r="AE21" i="32" s="1"/>
  <c r="AG38" i="32" a="1"/>
  <c r="AG38" i="32" s="1"/>
  <c r="AE53" i="32" a="1"/>
  <c r="AE53" i="32" s="1"/>
  <c r="AE60" i="32" a="1"/>
  <c r="AE60" i="32" s="1"/>
  <c r="AG60" i="32" a="1"/>
  <c r="AG60" i="32" s="1"/>
  <c r="AF45" i="32" a="1"/>
  <c r="AF45" i="32" s="1"/>
  <c r="AF60" i="32" a="1"/>
  <c r="AF60" i="32" s="1"/>
  <c r="AF28" i="32" a="1"/>
  <c r="AF28" i="32" s="1"/>
  <c r="AF43" i="32" a="1"/>
  <c r="AF43" i="32" s="1"/>
  <c r="AF56" i="32" a="1"/>
  <c r="AF56" i="32" s="1"/>
  <c r="AF55" i="32" a="1"/>
  <c r="AF55" i="32" s="1"/>
  <c r="AF53" i="32" a="1"/>
  <c r="AF53" i="32" s="1"/>
  <c r="AG30" i="32" a="1"/>
  <c r="AG30" i="32" s="1"/>
  <c r="AG45" i="32" a="1"/>
  <c r="AG45" i="32" s="1"/>
  <c r="AE55" i="32" a="1"/>
  <c r="AE55" i="32" s="1"/>
  <c r="AE30" i="32" a="1"/>
  <c r="AE30" i="32" s="1"/>
  <c r="AF38" i="32" a="1"/>
  <c r="AF38" i="32" s="1"/>
  <c r="AG56" i="32" a="1"/>
  <c r="AG56" i="32" s="1"/>
  <c r="AF63" i="32" a="1"/>
  <c r="AF63" i="32" s="1"/>
  <c r="AG49" i="32" a="1"/>
  <c r="AG49" i="32" s="1"/>
  <c r="AG48" i="32" a="1"/>
  <c r="AG48" i="32" s="1"/>
  <c r="AG46" i="32" a="1"/>
  <c r="AG46" i="32" s="1"/>
  <c r="I118" i="32" s="1" a="1"/>
  <c r="I118" i="32" s="1"/>
  <c r="AG42" i="32" a="1"/>
  <c r="AG42" i="32" s="1"/>
  <c r="J132" i="32" s="1" a="1"/>
  <c r="J132" i="32" s="1"/>
  <c r="AG41" i="32" a="1"/>
  <c r="AG41" i="32" s="1"/>
  <c r="I131" i="32" s="1" a="1"/>
  <c r="I131" i="32" s="1"/>
  <c r="AG40" i="32" a="1"/>
  <c r="AG40" i="32" s="1"/>
  <c r="J130" i="32" s="1" a="1"/>
  <c r="J130" i="32" s="1"/>
  <c r="AG39" i="32" a="1"/>
  <c r="AG39" i="32" s="1"/>
  <c r="J129" i="32" s="1" a="1"/>
  <c r="J129" i="32" s="1"/>
  <c r="AE63" i="32" a="1"/>
  <c r="AE63" i="32" s="1"/>
  <c r="I47" i="32" s="1" a="1"/>
  <c r="I47" i="32" s="1"/>
  <c r="AF49" i="32" a="1"/>
  <c r="AF49" i="32" s="1"/>
  <c r="I80" i="32" s="1" a="1"/>
  <c r="I80" i="32" s="1"/>
  <c r="AF42" i="32" a="1"/>
  <c r="AF42" i="32" s="1"/>
  <c r="AG35" i="32" a="1"/>
  <c r="AG35" i="32" s="1"/>
  <c r="J111" i="32" s="1" a="1"/>
  <c r="J111" i="32" s="1"/>
  <c r="AG27" i="32" a="1"/>
  <c r="AG27" i="32" s="1"/>
  <c r="AG26" i="32" a="1"/>
  <c r="AG26" i="32" s="1"/>
  <c r="AE59" i="32" a="1"/>
  <c r="AE59" i="32" s="1"/>
  <c r="J126" i="32" s="1" a="1"/>
  <c r="J126" i="32" s="1"/>
  <c r="AE54" i="32" a="1"/>
  <c r="AE54" i="32" s="1"/>
  <c r="I42" i="32" s="1" a="1"/>
  <c r="I42" i="32" s="1"/>
  <c r="AE50" i="32" a="1"/>
  <c r="AE50" i="32" s="1"/>
  <c r="I122" i="32" s="1" a="1"/>
  <c r="I122" i="32" s="1"/>
  <c r="AF34" i="32" a="1"/>
  <c r="AF34" i="32" s="1"/>
  <c r="AF25" i="32" a="1"/>
  <c r="AF25" i="32" s="1"/>
  <c r="AG62" i="32" a="1"/>
  <c r="AG62" i="32" s="1"/>
  <c r="AG61" i="32" a="1"/>
  <c r="AG61" i="32" s="1"/>
  <c r="AE33" i="32" a="1"/>
  <c r="AE33" i="32" s="1"/>
  <c r="J150" i="32" s="1" a="1"/>
  <c r="J150" i="32" s="1"/>
  <c r="AE29" i="32" a="1"/>
  <c r="AE29" i="32" s="1"/>
  <c r="J65" i="32" s="1" a="1"/>
  <c r="J65" i="32" s="1"/>
  <c r="AE22" i="32" a="1"/>
  <c r="AE22" i="32" s="1"/>
  <c r="J18" i="32" s="1" a="1"/>
  <c r="J18" i="32" s="1"/>
  <c r="AE16" i="32" a="1"/>
  <c r="AE16" i="32" s="1"/>
  <c r="J55" i="32" s="1" a="1"/>
  <c r="J55" i="32" s="1"/>
  <c r="J16" i="32" a="1"/>
  <c r="J16" i="32" s="1"/>
  <c r="I36" i="32" a="1"/>
  <c r="I36" i="32" s="1"/>
  <c r="J37" i="32" a="1"/>
  <c r="J37" i="32" s="1"/>
  <c r="I11" i="32" a="1"/>
  <c r="I11" i="32" s="1"/>
  <c r="I37" i="32" a="1"/>
  <c r="I37" i="32" s="1"/>
  <c r="I25" i="32" a="1"/>
  <c r="I25" i="32" s="1"/>
  <c r="I13" i="32" a="1"/>
  <c r="I13" i="32" s="1"/>
  <c r="I29" i="32" a="1"/>
  <c r="I29" i="32" s="1"/>
  <c r="I21" i="32" a="1"/>
  <c r="I21" i="32" s="1"/>
  <c r="I23" i="32" a="1"/>
  <c r="I23" i="32" s="1"/>
  <c r="J10" i="32" a="1"/>
  <c r="J10" i="32" s="1"/>
  <c r="I31" i="32" a="1"/>
  <c r="I31" i="32" s="1"/>
  <c r="J9" i="32" a="1"/>
  <c r="J9" i="32" s="1"/>
  <c r="L20" i="32" a="1"/>
  <c r="L20" i="32" s="1"/>
  <c r="I20" i="32" a="1"/>
  <c r="I20" i="32" s="1"/>
  <c r="L14" i="32" a="1"/>
  <c r="L14" i="32" s="1"/>
  <c r="I14" i="32" a="1"/>
  <c r="I14" i="32" s="1"/>
  <c r="J41" i="32" a="1"/>
  <c r="J41" i="32" s="1"/>
  <c r="J32" i="32" a="1"/>
  <c r="J32" i="32" s="1"/>
  <c r="J26" i="32" a="1"/>
  <c r="J26" i="32" s="1"/>
  <c r="J45" i="32" a="1"/>
  <c r="J45" i="32" s="1"/>
  <c r="J43" i="32" a="1"/>
  <c r="J43" i="32" s="1"/>
  <c r="I41" i="32" a="1"/>
  <c r="I41" i="32" s="1"/>
  <c r="J39" i="32" a="1"/>
  <c r="J39" i="32" s="1"/>
  <c r="I38" i="32" a="1"/>
  <c r="I38" i="32" s="1"/>
  <c r="I35" i="32" a="1"/>
  <c r="I35" i="32" s="1"/>
  <c r="J33" i="32" a="1"/>
  <c r="J33" i="32" s="1"/>
  <c r="I32" i="32" a="1"/>
  <c r="I32" i="32" s="1"/>
  <c r="J30" i="32" a="1"/>
  <c r="J30" i="32" s="1"/>
  <c r="I26" i="32" a="1"/>
  <c r="I26" i="32" s="1"/>
  <c r="J19" i="32" a="1"/>
  <c r="J19" i="32" s="1"/>
  <c r="I16" i="32" a="1"/>
  <c r="I16" i="32" s="1"/>
  <c r="J14" i="32" a="1"/>
  <c r="J14" i="32" s="1"/>
  <c r="J12" i="32" a="1"/>
  <c r="J12" i="32" s="1"/>
  <c r="J38" i="32" a="1"/>
  <c r="J38" i="32" s="1"/>
  <c r="J46" i="32" a="1"/>
  <c r="J46" i="32" s="1"/>
  <c r="I45" i="32" a="1"/>
  <c r="I45" i="32" s="1"/>
  <c r="I43" i="32" a="1"/>
  <c r="I43" i="32" s="1"/>
  <c r="I39" i="32" a="1"/>
  <c r="I39" i="32" s="1"/>
  <c r="J36" i="32" a="1"/>
  <c r="J36" i="32" s="1"/>
  <c r="J34" i="32" a="1"/>
  <c r="J34" i="32" s="1"/>
  <c r="I33" i="32" a="1"/>
  <c r="I33" i="32" s="1"/>
  <c r="I30" i="32" a="1"/>
  <c r="I30" i="32" s="1"/>
  <c r="J28" i="32" a="1"/>
  <c r="J28" i="32" s="1"/>
  <c r="I24" i="32" a="1"/>
  <c r="I24" i="32" s="1"/>
  <c r="J22" i="32" a="1"/>
  <c r="J22" i="32" s="1"/>
  <c r="I12" i="32" a="1"/>
  <c r="I12" i="32" s="1"/>
  <c r="L17" i="32" a="1"/>
  <c r="L17" i="32" s="1"/>
  <c r="I17" i="32" a="1"/>
  <c r="I17" i="32" s="1"/>
  <c r="L10" i="32" a="1"/>
  <c r="L10" i="32" s="1"/>
  <c r="J35" i="32" a="1"/>
  <c r="J35" i="32" s="1"/>
  <c r="J17" i="32" a="1"/>
  <c r="J17" i="32" s="1"/>
  <c r="L21" i="32" a="1"/>
  <c r="L21" i="32" s="1"/>
  <c r="J21" i="32" a="1"/>
  <c r="J21" i="32" s="1"/>
  <c r="L15" i="32" a="1"/>
  <c r="L15" i="32" s="1"/>
  <c r="J15" i="32" a="1"/>
  <c r="J15" i="32" s="1"/>
  <c r="L11" i="32" a="1"/>
  <c r="L11" i="32" s="1"/>
  <c r="J11" i="32" a="1"/>
  <c r="J11" i="32" s="1"/>
  <c r="I46" i="32" a="1"/>
  <c r="I46" i="32" s="1"/>
  <c r="I34" i="32" a="1"/>
  <c r="I34" i="32" s="1"/>
  <c r="J29" i="32" a="1"/>
  <c r="J29" i="32" s="1"/>
  <c r="I28" i="32" a="1"/>
  <c r="I28" i="32" s="1"/>
  <c r="J23" i="32" a="1"/>
  <c r="J23" i="32" s="1"/>
  <c r="I22" i="32" a="1"/>
  <c r="I22" i="32" s="1"/>
  <c r="J20" i="32" a="1"/>
  <c r="J20" i="32" s="1"/>
  <c r="I15" i="32" a="1"/>
  <c r="I15" i="32" s="1"/>
  <c r="L31" i="32" a="1"/>
  <c r="L31" i="32" s="1"/>
  <c r="L25" i="32" a="1"/>
  <c r="L25" i="32" s="1"/>
  <c r="L19" i="32" a="1"/>
  <c r="L19" i="32" s="1"/>
  <c r="L37" i="32" a="1"/>
  <c r="L37" i="32" s="1"/>
  <c r="L13" i="32" a="1"/>
  <c r="L13" i="32" s="1"/>
  <c r="L18" i="32" a="1"/>
  <c r="L18" i="32" s="1"/>
  <c r="L36" i="32" a="1"/>
  <c r="L36" i="32" s="1"/>
  <c r="Z38" i="30"/>
  <c r="Z37" i="30"/>
  <c r="Z36" i="30"/>
  <c r="V35" i="30"/>
  <c r="X30" i="35" l="1"/>
  <c r="AM30" i="35" s="1"/>
  <c r="AL30" i="35"/>
  <c r="AH54" i="35"/>
  <c r="U54" i="35"/>
  <c r="AJ54" i="35" s="1"/>
  <c r="X35" i="35"/>
  <c r="AM35" i="35" s="1"/>
  <c r="AL35" i="35"/>
  <c r="X31" i="35"/>
  <c r="AM31" i="35" s="1"/>
  <c r="AL31" i="35"/>
  <c r="AE29" i="35"/>
  <c r="R29" i="35"/>
  <c r="AG29" i="35" s="1"/>
  <c r="J27" i="32" a="1"/>
  <c r="J27" i="32" s="1"/>
  <c r="AA50" i="35"/>
  <c r="AP50" i="35" s="1"/>
  <c r="AO50" i="35"/>
  <c r="X45" i="35"/>
  <c r="AM45" i="35" s="1"/>
  <c r="AL45" i="35"/>
  <c r="AH34" i="35"/>
  <c r="U34" i="35"/>
  <c r="AJ34" i="35" s="1"/>
  <c r="AH35" i="35"/>
  <c r="U35" i="35"/>
  <c r="AJ35" i="35" s="1"/>
  <c r="AB28" i="35"/>
  <c r="O28" i="35"/>
  <c r="AD28" i="35" s="1"/>
  <c r="X49" i="35"/>
  <c r="AA22" i="35"/>
  <c r="AP22" i="35" s="1"/>
  <c r="AO22" i="35"/>
  <c r="J24" i="32" a="1"/>
  <c r="J24" i="32" s="1"/>
  <c r="AB39" i="35"/>
  <c r="O39" i="35"/>
  <c r="AD39" i="35" s="1"/>
  <c r="X27" i="35"/>
  <c r="AM27" i="35" s="1"/>
  <c r="AL27" i="35"/>
  <c r="AA43" i="35"/>
  <c r="AP43" i="35" s="1"/>
  <c r="AO43" i="35"/>
  <c r="AE34" i="35"/>
  <c r="R34" i="35"/>
  <c r="AG34" i="35" s="1"/>
  <c r="AN52" i="35"/>
  <c r="AA52" i="35"/>
  <c r="AP52" i="35" s="1"/>
  <c r="I27" i="32" a="1"/>
  <c r="I27" i="32" s="1"/>
  <c r="X32" i="35"/>
  <c r="AM32" i="35" s="1"/>
  <c r="AL32" i="35"/>
  <c r="X22" i="35"/>
  <c r="AM22" i="35" s="1"/>
  <c r="AL22" i="35"/>
  <c r="AB32" i="35"/>
  <c r="O32" i="35"/>
  <c r="AD32" i="35" s="1"/>
  <c r="AK25" i="35"/>
  <c r="X25" i="35"/>
  <c r="AM25" i="35" s="1"/>
  <c r="AK42" i="35"/>
  <c r="X42" i="35"/>
  <c r="AM42" i="35" s="1"/>
  <c r="R50" i="35"/>
  <c r="AG50" i="35" s="1"/>
  <c r="AE50" i="35"/>
  <c r="AH43" i="35"/>
  <c r="U43" i="35"/>
  <c r="AJ43" i="35" s="1"/>
  <c r="I40" i="32" a="1"/>
  <c r="I40" i="32" s="1"/>
  <c r="X44" i="35"/>
  <c r="AM44" i="35" s="1"/>
  <c r="AL44" i="35"/>
  <c r="AN45" i="35"/>
  <c r="AA45" i="35"/>
  <c r="AP45" i="35" s="1"/>
  <c r="U32" i="35"/>
  <c r="AJ32" i="35" s="1"/>
  <c r="AH32" i="35"/>
  <c r="AA54" i="35"/>
  <c r="AP54" i="35" s="1"/>
  <c r="AO54" i="35"/>
  <c r="AA46" i="35"/>
  <c r="AP46" i="35" s="1"/>
  <c r="AO46" i="35"/>
  <c r="AA39" i="35"/>
  <c r="AP39" i="35" s="1"/>
  <c r="AO39" i="35"/>
  <c r="O30" i="35"/>
  <c r="AD30" i="35" s="1"/>
  <c r="AB30" i="35"/>
  <c r="AH26" i="35"/>
  <c r="U26" i="35"/>
  <c r="AJ26" i="35" s="1"/>
  <c r="AB37" i="35"/>
  <c r="O37" i="35"/>
  <c r="AD37" i="35" s="1"/>
  <c r="AH29" i="35"/>
  <c r="U29" i="35"/>
  <c r="AJ29" i="35" s="1"/>
  <c r="AA23" i="35"/>
  <c r="AP23" i="35" s="1"/>
  <c r="AO23" i="35"/>
  <c r="AL23" i="35"/>
  <c r="AA35" i="35"/>
  <c r="AP35" i="35" s="1"/>
  <c r="AO35" i="35"/>
  <c r="AE44" i="35"/>
  <c r="R44" i="35"/>
  <c r="AG44" i="35" s="1"/>
  <c r="AB27" i="35"/>
  <c r="O27" i="35"/>
  <c r="AD27" i="35" s="1"/>
  <c r="AD55" i="35" s="1"/>
  <c r="E5" i="15" s="1"/>
  <c r="AA48" i="35"/>
  <c r="AE32" i="35"/>
  <c r="R32" i="35"/>
  <c r="AG32" i="35" s="1"/>
  <c r="AH23" i="35"/>
  <c r="U23" i="35"/>
  <c r="AJ23" i="35" s="1"/>
  <c r="AE23" i="35"/>
  <c r="R23" i="35"/>
  <c r="AG23" i="35" s="1"/>
  <c r="X28" i="35"/>
  <c r="AM28" i="35" s="1"/>
  <c r="AL28" i="35"/>
  <c r="AA44" i="35"/>
  <c r="AP44" i="35" s="1"/>
  <c r="AO44" i="35"/>
  <c r="R30" i="35"/>
  <c r="AG30" i="35" s="1"/>
  <c r="AE30" i="35"/>
  <c r="AE43" i="35"/>
  <c r="R43" i="35"/>
  <c r="AG43" i="35" s="1"/>
  <c r="AK37" i="35"/>
  <c r="X37" i="35"/>
  <c r="AM37" i="35" s="1"/>
  <c r="AE28" i="35"/>
  <c r="R28" i="35"/>
  <c r="AG28" i="35" s="1"/>
  <c r="X41" i="35"/>
  <c r="AM41" i="35" s="1"/>
  <c r="AL41" i="35"/>
  <c r="X54" i="35"/>
  <c r="AM54" i="35" s="1"/>
  <c r="AL54" i="35"/>
  <c r="AH22" i="35"/>
  <c r="U22" i="35"/>
  <c r="AJ22" i="35" s="1"/>
  <c r="U48" i="35"/>
  <c r="R22" i="35"/>
  <c r="AG22" i="35" s="1"/>
  <c r="AE22" i="35"/>
  <c r="AB53" i="35"/>
  <c r="O53" i="35"/>
  <c r="AD53" i="35" s="1"/>
  <c r="AB54" i="35"/>
  <c r="O54" i="35"/>
  <c r="AD54" i="35" s="1"/>
  <c r="AE40" i="35"/>
  <c r="AA42" i="35"/>
  <c r="AP42" i="35" s="1"/>
  <c r="AO42" i="35"/>
  <c r="AA40" i="35"/>
  <c r="AP40" i="35" s="1"/>
  <c r="AO40" i="35"/>
  <c r="R53" i="35"/>
  <c r="AG53" i="35" s="1"/>
  <c r="AE53" i="35"/>
  <c r="AE24" i="35"/>
  <c r="R24" i="35"/>
  <c r="AG24" i="35" s="1"/>
  <c r="R47" i="35"/>
  <c r="O42" i="35"/>
  <c r="AD42" i="35" s="1"/>
  <c r="AB42" i="35"/>
  <c r="AH31" i="35"/>
  <c r="U31" i="35"/>
  <c r="AJ31" i="35" s="1"/>
  <c r="X40" i="35"/>
  <c r="AM40" i="35" s="1"/>
  <c r="AL40" i="35"/>
  <c r="X50" i="35"/>
  <c r="AM50" i="35" s="1"/>
  <c r="AL50" i="35"/>
  <c r="AH45" i="35"/>
  <c r="U45" i="35"/>
  <c r="AJ45" i="35" s="1"/>
  <c r="AH37" i="35"/>
  <c r="U37" i="35"/>
  <c r="AJ37" i="35" s="1"/>
  <c r="AE36" i="35"/>
  <c r="R36" i="35"/>
  <c r="AG36" i="35" s="1"/>
  <c r="AB52" i="35"/>
  <c r="O52" i="35"/>
  <c r="AD52" i="35" s="1"/>
  <c r="AB24" i="35"/>
  <c r="O24" i="35"/>
  <c r="AD24" i="35" s="1"/>
  <c r="R27" i="35"/>
  <c r="AG27" i="35" s="1"/>
  <c r="AE27" i="35"/>
  <c r="X24" i="35"/>
  <c r="AM24" i="35" s="1"/>
  <c r="AL24" i="35"/>
  <c r="AA36" i="35"/>
  <c r="AP36" i="35" s="1"/>
  <c r="AO36" i="35"/>
  <c r="AK26" i="35"/>
  <c r="X26" i="35"/>
  <c r="AM26" i="35" s="1"/>
  <c r="AK29" i="35"/>
  <c r="X29" i="35"/>
  <c r="AM29" i="35" s="1"/>
  <c r="U50" i="35"/>
  <c r="AJ50" i="35" s="1"/>
  <c r="AH50" i="35"/>
  <c r="AH39" i="35"/>
  <c r="U39" i="35"/>
  <c r="AJ39" i="35" s="1"/>
  <c r="AH27" i="35"/>
  <c r="U27" i="35"/>
  <c r="AJ27" i="35" s="1"/>
  <c r="AB26" i="35"/>
  <c r="O26" i="35"/>
  <c r="AD26" i="35" s="1"/>
  <c r="X33" i="35"/>
  <c r="AM33" i="35" s="1"/>
  <c r="AL33" i="35"/>
  <c r="AE31" i="35"/>
  <c r="R31" i="35"/>
  <c r="AG31" i="35" s="1"/>
  <c r="U52" i="35"/>
  <c r="AJ52" i="35" s="1"/>
  <c r="AH52" i="35"/>
  <c r="AB51" i="35"/>
  <c r="O51" i="35"/>
  <c r="AD51" i="35" s="1"/>
  <c r="AB23" i="35"/>
  <c r="O23" i="35"/>
  <c r="AD23" i="35" s="1"/>
  <c r="AA38" i="35"/>
  <c r="AP38" i="35" s="1"/>
  <c r="AO38" i="35"/>
  <c r="X46" i="35"/>
  <c r="AM46" i="35" s="1"/>
  <c r="AL46" i="35"/>
  <c r="AH36" i="35"/>
  <c r="U36" i="35"/>
  <c r="AJ36" i="35" s="1"/>
  <c r="AE46" i="35"/>
  <c r="R46" i="35"/>
  <c r="AG46" i="35" s="1"/>
  <c r="AE37" i="35"/>
  <c r="R37" i="35"/>
  <c r="AG37" i="35" s="1"/>
  <c r="AA32" i="35"/>
  <c r="AP32" i="35" s="1"/>
  <c r="AO32" i="35"/>
  <c r="AH46" i="35"/>
  <c r="U46" i="35"/>
  <c r="AJ46" i="35" s="1"/>
  <c r="AB31" i="35"/>
  <c r="O31" i="35"/>
  <c r="AD31" i="35" s="1"/>
  <c r="AH25" i="35"/>
  <c r="U25" i="35"/>
  <c r="AJ25" i="35" s="1"/>
  <c r="U40" i="35"/>
  <c r="AJ40" i="35" s="1"/>
  <c r="AH40" i="35"/>
  <c r="AH42" i="35"/>
  <c r="U42" i="35"/>
  <c r="AJ42" i="35" s="1"/>
  <c r="O38" i="35"/>
  <c r="AD38" i="35" s="1"/>
  <c r="AB38" i="35"/>
  <c r="AA37" i="35"/>
  <c r="AP37" i="35" s="1"/>
  <c r="AO37" i="35"/>
  <c r="O46" i="35"/>
  <c r="AD46" i="35" s="1"/>
  <c r="AB46" i="35"/>
  <c r="J121" i="32" a="1"/>
  <c r="J121" i="32" s="1"/>
  <c r="AK52" i="35"/>
  <c r="X52" i="35"/>
  <c r="AM52" i="35" s="1"/>
  <c r="Y33" i="35" a="1"/>
  <c r="Y33" i="35" s="1"/>
  <c r="Q40" i="35" a="1"/>
  <c r="Q40" i="35" s="1"/>
  <c r="AF40" i="35" s="1"/>
  <c r="AF55" i="35" s="1"/>
  <c r="D6" i="15" s="1"/>
  <c r="AA34" i="35"/>
  <c r="AP34" i="35" s="1"/>
  <c r="AO34" i="35"/>
  <c r="AA28" i="35"/>
  <c r="AP28" i="35" s="1"/>
  <c r="AO28" i="35"/>
  <c r="AB25" i="35"/>
  <c r="AB55" i="35" s="1"/>
  <c r="O25" i="35"/>
  <c r="AD25" i="35" s="1"/>
  <c r="R25" i="35"/>
  <c r="AG25" i="35" s="1"/>
  <c r="AE25" i="35"/>
  <c r="R52" i="35"/>
  <c r="AG52" i="35" s="1"/>
  <c r="AE52" i="35"/>
  <c r="AA29" i="35"/>
  <c r="AP29" i="35" s="1"/>
  <c r="AO29" i="35"/>
  <c r="AE42" i="35"/>
  <c r="R42" i="35"/>
  <c r="AG42" i="35" s="1"/>
  <c r="AN25" i="35"/>
  <c r="AA25" i="35"/>
  <c r="AP25" i="35" s="1"/>
  <c r="AB43" i="35"/>
  <c r="O43" i="35"/>
  <c r="AD43" i="35" s="1"/>
  <c r="T31" i="35" a="1"/>
  <c r="T31" i="35" s="1"/>
  <c r="AI31" i="35" s="1"/>
  <c r="AI55" i="35" s="1"/>
  <c r="D7" i="15" s="1"/>
  <c r="O22" i="35"/>
  <c r="AD22" i="35" s="1"/>
  <c r="AB35" i="35"/>
  <c r="O35" i="35"/>
  <c r="AD35" i="35" s="1"/>
  <c r="AB29" i="35"/>
  <c r="O29" i="35"/>
  <c r="AD29" i="35" s="1"/>
  <c r="AH28" i="35"/>
  <c r="U28" i="35"/>
  <c r="AJ28" i="35" s="1"/>
  <c r="AB44" i="35"/>
  <c r="O44" i="35"/>
  <c r="AD44" i="35" s="1"/>
  <c r="S44" i="35" a="1"/>
  <c r="S44" i="35" s="1"/>
  <c r="AA30" i="35"/>
  <c r="AP30" i="35" s="1"/>
  <c r="AO30" i="35"/>
  <c r="X38" i="35"/>
  <c r="AM38" i="35" s="1"/>
  <c r="AL38" i="35"/>
  <c r="AE33" i="35"/>
  <c r="R33" i="35"/>
  <c r="AG33" i="35" s="1"/>
  <c r="AH53" i="35"/>
  <c r="U53" i="35"/>
  <c r="AJ53" i="35" s="1"/>
  <c r="O48" i="35"/>
  <c r="V23" i="35" a="1"/>
  <c r="V23" i="35" s="1"/>
  <c r="AK23" i="35" s="1"/>
  <c r="AK55" i="35" s="1"/>
  <c r="O36" i="35"/>
  <c r="AD36" i="35" s="1"/>
  <c r="X43" i="35"/>
  <c r="AM43" i="35" s="1"/>
  <c r="AL43" i="35"/>
  <c r="AA24" i="35"/>
  <c r="AP24" i="35" s="1"/>
  <c r="AO24" i="35"/>
  <c r="AK51" i="35"/>
  <c r="X51" i="35"/>
  <c r="AM51" i="35" s="1"/>
  <c r="AE45" i="35"/>
  <c r="R45" i="35"/>
  <c r="AG45" i="35" s="1"/>
  <c r="R35" i="35"/>
  <c r="AG35" i="35" s="1"/>
  <c r="AE35" i="35"/>
  <c r="P39" i="35" a="1"/>
  <c r="P39" i="35" s="1"/>
  <c r="V48" i="35" a="1"/>
  <c r="V48" i="35" s="1"/>
  <c r="X48" i="35" s="1"/>
  <c r="AN41" i="35"/>
  <c r="AA41" i="35"/>
  <c r="AP41" i="35" s="1"/>
  <c r="O34" i="35"/>
  <c r="AD34" i="35" s="1"/>
  <c r="AB34" i="35"/>
  <c r="U24" i="35"/>
  <c r="AJ24" i="35" s="1"/>
  <c r="AH24" i="35"/>
  <c r="AE26" i="35"/>
  <c r="R26" i="35"/>
  <c r="AG26" i="35" s="1"/>
  <c r="AE51" i="35"/>
  <c r="R51" i="35"/>
  <c r="AG51" i="35" s="1"/>
  <c r="AB45" i="35"/>
  <c r="O45" i="35"/>
  <c r="AD45" i="35" s="1"/>
  <c r="AA26" i="35"/>
  <c r="AP26" i="35" s="1"/>
  <c r="AO26" i="35"/>
  <c r="X34" i="35"/>
  <c r="AM34" i="35" s="1"/>
  <c r="AL34" i="35"/>
  <c r="AE54" i="35"/>
  <c r="R54" i="35"/>
  <c r="AG54" i="35" s="1"/>
  <c r="AH38" i="35"/>
  <c r="U38" i="35"/>
  <c r="AJ38" i="35" s="1"/>
  <c r="AN53" i="35"/>
  <c r="AA53" i="35"/>
  <c r="AP53" i="35" s="1"/>
  <c r="AE38" i="35"/>
  <c r="R38" i="35"/>
  <c r="AG38" i="35" s="1"/>
  <c r="AH30" i="35"/>
  <c r="U30" i="35"/>
  <c r="AJ30" i="35" s="1"/>
  <c r="AA31" i="35"/>
  <c r="AP31" i="35" s="1"/>
  <c r="AO31" i="35"/>
  <c r="X39" i="35"/>
  <c r="AM39" i="35" s="1"/>
  <c r="AL39" i="35"/>
  <c r="AA51" i="35"/>
  <c r="AP51" i="35" s="1"/>
  <c r="AO51" i="35"/>
  <c r="AH33" i="35"/>
  <c r="U33" i="35"/>
  <c r="AJ33" i="35" s="1"/>
  <c r="AH51" i="35"/>
  <c r="U51" i="35"/>
  <c r="AJ51" i="35" s="1"/>
  <c r="P41" i="35" a="1"/>
  <c r="P41" i="35" s="1"/>
  <c r="J40" i="32" a="1"/>
  <c r="J40" i="32" s="1"/>
  <c r="J44" i="32" a="1"/>
  <c r="J44" i="32" s="1"/>
  <c r="J47" i="32" a="1"/>
  <c r="J47" i="32" s="1"/>
  <c r="AA27" i="35"/>
  <c r="AP27" i="35" s="1"/>
  <c r="AO27" i="35"/>
  <c r="X53" i="35"/>
  <c r="AM53" i="35" s="1"/>
  <c r="AL53" i="35"/>
  <c r="AK36" i="35"/>
  <c r="X36" i="35"/>
  <c r="AM36" i="35" s="1"/>
  <c r="AH41" i="35"/>
  <c r="U41" i="35"/>
  <c r="AJ41" i="35" s="1"/>
  <c r="AB40" i="35"/>
  <c r="O40" i="35"/>
  <c r="AD40" i="35" s="1"/>
  <c r="Q52" i="35" a="1"/>
  <c r="Q52" i="35" s="1"/>
  <c r="AF52" i="35" s="1"/>
  <c r="I115" i="32" a="1"/>
  <c r="I115" i="32" s="1"/>
  <c r="J118" i="32" a="1"/>
  <c r="J118" i="32" s="1"/>
  <c r="J113" i="32" a="1"/>
  <c r="J113" i="32" s="1"/>
  <c r="I44" i="32" a="1"/>
  <c r="I44" i="32" s="1"/>
  <c r="J127" i="32" a="1"/>
  <c r="J127" i="32" s="1"/>
  <c r="I111" i="32" a="1"/>
  <c r="I111" i="32" s="1"/>
  <c r="J115" i="32" a="1"/>
  <c r="J115" i="32" s="1"/>
  <c r="I113" i="32" a="1"/>
  <c r="I113" i="32" s="1"/>
  <c r="J114" i="32" a="1"/>
  <c r="J114" i="32" s="1"/>
  <c r="J116" i="32" a="1"/>
  <c r="J116" i="32" s="1"/>
  <c r="I105" i="32" a="1"/>
  <c r="I105" i="32" s="1"/>
  <c r="I120" i="32" a="1"/>
  <c r="I120" i="32" s="1"/>
  <c r="I114" i="32" a="1"/>
  <c r="I114" i="32" s="1"/>
  <c r="I116" i="32" a="1"/>
  <c r="I116" i="32" s="1"/>
  <c r="J105" i="32" a="1"/>
  <c r="J105" i="32" s="1"/>
  <c r="J106" i="32" a="1"/>
  <c r="J106" i="32" s="1"/>
  <c r="I65" i="32" a="1"/>
  <c r="I65" i="32" s="1"/>
  <c r="I85" i="32" a="1"/>
  <c r="I85" i="32" s="1"/>
  <c r="I100" i="32" a="1"/>
  <c r="I100" i="32" s="1"/>
  <c r="I55" i="32" a="1"/>
  <c r="I55" i="32" s="1"/>
  <c r="J68" i="32" a="1"/>
  <c r="J68" i="32" s="1"/>
  <c r="I135" i="32" a="1"/>
  <c r="I135" i="32" s="1"/>
  <c r="I141" i="32" a="1"/>
  <c r="I141" i="32" s="1"/>
  <c r="I106" i="32" a="1"/>
  <c r="I106" i="32" s="1"/>
  <c r="J85" i="32" a="1"/>
  <c r="J85" i="32" s="1"/>
  <c r="J100" i="32" a="1"/>
  <c r="J100" i="32" s="1"/>
  <c r="I68" i="32" a="1"/>
  <c r="I68" i="32" s="1"/>
  <c r="J135" i="32" a="1"/>
  <c r="J135" i="32" s="1"/>
  <c r="J141" i="32" a="1"/>
  <c r="J141" i="32" s="1"/>
  <c r="J88" i="32" a="1"/>
  <c r="J88" i="32" s="1"/>
  <c r="I109" i="32" a="1"/>
  <c r="I109" i="32" s="1"/>
  <c r="I170" i="32" a="1"/>
  <c r="I170" i="32" s="1"/>
  <c r="I81" i="32" a="1"/>
  <c r="I81" i="32" s="1"/>
  <c r="J163" i="32" a="1"/>
  <c r="J163" i="32" s="1"/>
  <c r="J167" i="32" a="1"/>
  <c r="J167" i="32" s="1"/>
  <c r="I59" i="32" a="1"/>
  <c r="I59" i="32" s="1"/>
  <c r="J122" i="32" a="1"/>
  <c r="J122" i="32" s="1"/>
  <c r="I53" i="32" a="1"/>
  <c r="I53" i="32" s="1"/>
  <c r="I150" i="32" a="1"/>
  <c r="I150" i="32" s="1"/>
  <c r="J165" i="32" a="1"/>
  <c r="J165" i="32" s="1"/>
  <c r="I126" i="32" a="1"/>
  <c r="I126" i="32" s="1"/>
  <c r="J109" i="32" a="1"/>
  <c r="J109" i="32" s="1"/>
  <c r="J170" i="32" a="1"/>
  <c r="J170" i="32" s="1"/>
  <c r="J81" i="32" a="1"/>
  <c r="J81" i="32" s="1"/>
  <c r="I163" i="32" a="1"/>
  <c r="I163" i="32" s="1"/>
  <c r="I167" i="32" a="1"/>
  <c r="I167" i="32" s="1"/>
  <c r="J59" i="32" a="1"/>
  <c r="J59" i="32" s="1"/>
  <c r="I165" i="32" a="1"/>
  <c r="I165" i="32" s="1"/>
  <c r="I121" i="32" a="1"/>
  <c r="I121" i="32" s="1"/>
  <c r="I129" i="32" a="1"/>
  <c r="I129" i="32" s="1"/>
  <c r="J80" i="32" a="1"/>
  <c r="J80" i="32" s="1"/>
  <c r="J134" i="32" a="1"/>
  <c r="J134" i="32" s="1"/>
  <c r="I134" i="32" a="1"/>
  <c r="I134" i="32" s="1"/>
  <c r="J131" i="32" a="1"/>
  <c r="J131" i="32" s="1"/>
  <c r="J120" i="32" a="1"/>
  <c r="J120" i="32" s="1"/>
  <c r="I127" i="32" a="1"/>
  <c r="I127" i="32" s="1"/>
  <c r="I130" i="32" a="1"/>
  <c r="I130" i="32" s="1"/>
  <c r="I132" i="32" a="1"/>
  <c r="I132" i="32" s="1"/>
  <c r="I88" i="32" a="1"/>
  <c r="I88" i="32" s="1"/>
  <c r="J159" i="32" a="1"/>
  <c r="J159" i="32" s="1"/>
  <c r="I159" i="32" a="1"/>
  <c r="I159" i="32" s="1"/>
  <c r="I125" i="32" a="1"/>
  <c r="I125" i="32" s="1"/>
  <c r="J125" i="32" a="1"/>
  <c r="J125" i="32" s="1"/>
  <c r="I140" i="32" a="1"/>
  <c r="I140" i="32" s="1"/>
  <c r="J140" i="32" a="1"/>
  <c r="J140" i="32" s="1"/>
  <c r="J104" i="32" a="1"/>
  <c r="J104" i="32" s="1"/>
  <c r="I104" i="32" a="1"/>
  <c r="I104" i="32" s="1"/>
  <c r="J96" i="32" a="1"/>
  <c r="J96" i="32" s="1"/>
  <c r="I96" i="32" a="1"/>
  <c r="I96" i="32" s="1"/>
  <c r="J101" i="32" a="1"/>
  <c r="J101" i="32" s="1"/>
  <c r="I101" i="32" a="1"/>
  <c r="I101" i="32" s="1"/>
  <c r="I99" i="32" a="1"/>
  <c r="I99" i="32" s="1"/>
  <c r="J99" i="32" a="1"/>
  <c r="J99" i="32" s="1"/>
  <c r="I62" i="32" a="1"/>
  <c r="I62" i="32" s="1"/>
  <c r="J62" i="32" a="1"/>
  <c r="J62" i="32" s="1"/>
  <c r="J51" i="32" a="1"/>
  <c r="J51" i="32" s="1"/>
  <c r="I51" i="32" a="1"/>
  <c r="I51" i="32" s="1"/>
  <c r="I160" i="32" a="1"/>
  <c r="I160" i="32" s="1"/>
  <c r="J160" i="32" a="1"/>
  <c r="J160" i="32" s="1"/>
  <c r="J133" i="32" a="1"/>
  <c r="J133" i="32" s="1"/>
  <c r="I133" i="32" a="1"/>
  <c r="I133" i="32" s="1"/>
  <c r="J137" i="32" a="1"/>
  <c r="J137" i="32" s="1"/>
  <c r="I137" i="32" a="1"/>
  <c r="I137" i="32" s="1"/>
  <c r="I144" i="32" a="1"/>
  <c r="I144" i="32" s="1"/>
  <c r="J144" i="32" a="1"/>
  <c r="J144" i="32" s="1"/>
  <c r="I154" i="32" a="1"/>
  <c r="I154" i="32" s="1"/>
  <c r="J154" i="32" a="1"/>
  <c r="J154" i="32" s="1"/>
  <c r="J143" i="32" a="1"/>
  <c r="J143" i="32" s="1"/>
  <c r="I143" i="32" a="1"/>
  <c r="I143" i="32" s="1"/>
  <c r="I97" i="32" a="1"/>
  <c r="I97" i="32" s="1"/>
  <c r="J97" i="32" a="1"/>
  <c r="J97" i="32" s="1"/>
  <c r="I86" i="32" a="1"/>
  <c r="I86" i="32" s="1"/>
  <c r="J86" i="32" a="1"/>
  <c r="J86" i="32" s="1"/>
  <c r="J136" i="32" a="1"/>
  <c r="J136" i="32" s="1"/>
  <c r="I136" i="32" a="1"/>
  <c r="I136" i="32" s="1"/>
  <c r="I92" i="32" a="1"/>
  <c r="I92" i="32" s="1"/>
  <c r="J92" i="32" a="1"/>
  <c r="J92" i="32" s="1"/>
  <c r="I66" i="32" a="1"/>
  <c r="I66" i="32" s="1"/>
  <c r="J66" i="32" a="1"/>
  <c r="J66" i="32" s="1"/>
  <c r="I83" i="32" a="1"/>
  <c r="I83" i="32" s="1"/>
  <c r="J83" i="32" a="1"/>
  <c r="J83" i="32" s="1"/>
  <c r="I138" i="32" a="1"/>
  <c r="I138" i="32" s="1"/>
  <c r="J138" i="32" a="1"/>
  <c r="J138" i="32" s="1"/>
  <c r="J146" i="32" a="1"/>
  <c r="J146" i="32" s="1"/>
  <c r="I146" i="32" a="1"/>
  <c r="I146" i="32" s="1"/>
  <c r="I79" i="32" a="1"/>
  <c r="I79" i="32" s="1"/>
  <c r="J79" i="32" a="1"/>
  <c r="J79" i="32" s="1"/>
  <c r="I128" i="32" a="1"/>
  <c r="I128" i="32" s="1"/>
  <c r="J128" i="32" a="1"/>
  <c r="J128" i="32" s="1"/>
  <c r="I84" i="32" a="1"/>
  <c r="I84" i="32" s="1"/>
  <c r="J84" i="32" a="1"/>
  <c r="J84" i="32" s="1"/>
  <c r="I158" i="32" a="1"/>
  <c r="I158" i="32" s="1"/>
  <c r="J158" i="32" a="1"/>
  <c r="J158" i="32" s="1"/>
  <c r="J77" i="32" a="1"/>
  <c r="J77" i="32" s="1"/>
  <c r="I77" i="32" a="1"/>
  <c r="I77" i="32" s="1"/>
  <c r="I75" i="32" a="1"/>
  <c r="I75" i="32" s="1"/>
  <c r="J75" i="32" a="1"/>
  <c r="J75" i="32" s="1"/>
  <c r="J124" i="32" a="1"/>
  <c r="J124" i="32" s="1"/>
  <c r="I124" i="32" a="1"/>
  <c r="I124" i="32" s="1"/>
  <c r="I90" i="32" a="1"/>
  <c r="I90" i="32" s="1"/>
  <c r="J90" i="32" a="1"/>
  <c r="J90" i="32" s="1"/>
  <c r="I139" i="32" a="1"/>
  <c r="I139" i="32" s="1"/>
  <c r="J139" i="32" a="1"/>
  <c r="J139" i="32" s="1"/>
  <c r="I147" i="32" a="1"/>
  <c r="I147" i="32" s="1"/>
  <c r="J147" i="32" a="1"/>
  <c r="J147" i="32" s="1"/>
  <c r="J94" i="32" a="1"/>
  <c r="J94" i="32" s="1"/>
  <c r="I94" i="32" a="1"/>
  <c r="I94" i="32" s="1"/>
  <c r="J69" i="32" a="1"/>
  <c r="J69" i="32" s="1"/>
  <c r="I69" i="32" a="1"/>
  <c r="I69" i="32" s="1"/>
  <c r="I60" i="32" a="1"/>
  <c r="I60" i="32" s="1"/>
  <c r="J60" i="32" a="1"/>
  <c r="J60" i="32" s="1"/>
  <c r="J71" i="32" a="1"/>
  <c r="J71" i="32" s="1"/>
  <c r="I71" i="32" a="1"/>
  <c r="I71" i="32" s="1"/>
  <c r="I50" i="32" a="1"/>
  <c r="I50" i="32" s="1"/>
  <c r="J50" i="32" a="1"/>
  <c r="J50" i="32" s="1"/>
  <c r="I18" i="32" a="1"/>
  <c r="I18" i="32" s="1"/>
  <c r="J42" i="32" a="1"/>
  <c r="J42" i="32" s="1"/>
  <c r="E77" i="18"/>
  <c r="G77" i="18"/>
  <c r="F77" i="18"/>
  <c r="H77" i="18"/>
  <c r="I77" i="18"/>
  <c r="J77" i="18"/>
  <c r="K77" i="18"/>
  <c r="L77" i="18"/>
  <c r="M77" i="18"/>
  <c r="N77" i="18"/>
  <c r="O77" i="18"/>
  <c r="E78" i="18"/>
  <c r="G78" i="18"/>
  <c r="F78" i="18"/>
  <c r="H78" i="18"/>
  <c r="I78" i="18"/>
  <c r="J78" i="18"/>
  <c r="K78" i="18"/>
  <c r="L78" i="18"/>
  <c r="M78" i="18"/>
  <c r="N78" i="18"/>
  <c r="O78" i="18"/>
  <c r="E79" i="18"/>
  <c r="G79" i="18"/>
  <c r="F79" i="18"/>
  <c r="H79" i="18"/>
  <c r="I79" i="18"/>
  <c r="J79" i="18"/>
  <c r="K79" i="18"/>
  <c r="L79" i="18"/>
  <c r="M79" i="18"/>
  <c r="N79" i="18"/>
  <c r="O79" i="18"/>
  <c r="E80" i="18"/>
  <c r="G80" i="18"/>
  <c r="F80" i="18"/>
  <c r="H80" i="18"/>
  <c r="I80" i="18"/>
  <c r="J80" i="18"/>
  <c r="K80" i="18"/>
  <c r="L80" i="18"/>
  <c r="M80" i="18"/>
  <c r="N80" i="18"/>
  <c r="O80" i="18"/>
  <c r="E81" i="18"/>
  <c r="G81" i="18"/>
  <c r="F81" i="18"/>
  <c r="H81" i="18"/>
  <c r="I81" i="18"/>
  <c r="J81" i="18"/>
  <c r="K81" i="18"/>
  <c r="L81" i="18"/>
  <c r="M81" i="18"/>
  <c r="N81" i="18"/>
  <c r="O81" i="18"/>
  <c r="E82" i="18"/>
  <c r="G82" i="18"/>
  <c r="F82" i="18"/>
  <c r="H82" i="18"/>
  <c r="I82" i="18"/>
  <c r="J82" i="18"/>
  <c r="K82" i="18"/>
  <c r="L82" i="18"/>
  <c r="M82" i="18"/>
  <c r="N82" i="18"/>
  <c r="O82" i="18"/>
  <c r="E83" i="18"/>
  <c r="G83" i="18"/>
  <c r="F83" i="18"/>
  <c r="H83" i="18"/>
  <c r="I83" i="18"/>
  <c r="J83" i="18"/>
  <c r="K83" i="18"/>
  <c r="L83" i="18"/>
  <c r="M83" i="18"/>
  <c r="N83" i="18"/>
  <c r="O83" i="18"/>
  <c r="E84" i="18"/>
  <c r="G84" i="18"/>
  <c r="F84" i="18"/>
  <c r="H84" i="18"/>
  <c r="I84" i="18"/>
  <c r="J84" i="18"/>
  <c r="K84" i="18"/>
  <c r="L84" i="18"/>
  <c r="M84" i="18"/>
  <c r="N84" i="18"/>
  <c r="O84" i="18"/>
  <c r="E85" i="18"/>
  <c r="G85" i="18"/>
  <c r="F85" i="18"/>
  <c r="H85" i="18"/>
  <c r="I85" i="18"/>
  <c r="J85" i="18"/>
  <c r="K85" i="18"/>
  <c r="L85" i="18"/>
  <c r="M85" i="18"/>
  <c r="N85" i="18"/>
  <c r="O85" i="18"/>
  <c r="E86" i="18"/>
  <c r="G86" i="18"/>
  <c r="F86" i="18"/>
  <c r="H86" i="18"/>
  <c r="I86" i="18"/>
  <c r="J86" i="18"/>
  <c r="K86" i="18"/>
  <c r="L86" i="18"/>
  <c r="M86" i="18"/>
  <c r="N86" i="18"/>
  <c r="O86" i="18"/>
  <c r="E87" i="18"/>
  <c r="G87" i="18"/>
  <c r="F87" i="18"/>
  <c r="H87" i="18"/>
  <c r="I87" i="18"/>
  <c r="J87" i="18"/>
  <c r="K87" i="18"/>
  <c r="L87" i="18"/>
  <c r="M87" i="18"/>
  <c r="N87" i="18"/>
  <c r="O87" i="18"/>
  <c r="E88" i="18"/>
  <c r="G88" i="18"/>
  <c r="F88" i="18"/>
  <c r="H88" i="18"/>
  <c r="I88" i="18"/>
  <c r="J88" i="18"/>
  <c r="K88" i="18"/>
  <c r="L88" i="18"/>
  <c r="M88" i="18"/>
  <c r="N88" i="18"/>
  <c r="O88" i="18"/>
  <c r="E89" i="18"/>
  <c r="G89" i="18"/>
  <c r="F89" i="18"/>
  <c r="H89" i="18"/>
  <c r="I89" i="18"/>
  <c r="J89" i="18"/>
  <c r="K89" i="18"/>
  <c r="L89" i="18"/>
  <c r="M89" i="18"/>
  <c r="N89" i="18"/>
  <c r="O89" i="18"/>
  <c r="E90" i="18"/>
  <c r="G90" i="18"/>
  <c r="F90" i="18"/>
  <c r="H90" i="18"/>
  <c r="I90" i="18"/>
  <c r="J90" i="18"/>
  <c r="K90" i="18"/>
  <c r="L90" i="18"/>
  <c r="M90" i="18"/>
  <c r="N90" i="18"/>
  <c r="O90" i="18"/>
  <c r="E91" i="18"/>
  <c r="G91" i="18"/>
  <c r="F91" i="18"/>
  <c r="H91" i="18"/>
  <c r="I91" i="18"/>
  <c r="J91" i="18"/>
  <c r="K91" i="18"/>
  <c r="L91" i="18"/>
  <c r="M91" i="18"/>
  <c r="N91" i="18"/>
  <c r="O91" i="18"/>
  <c r="E92" i="18"/>
  <c r="G92" i="18"/>
  <c r="F92" i="18"/>
  <c r="H92" i="18"/>
  <c r="I92" i="18"/>
  <c r="J92" i="18"/>
  <c r="K92" i="18"/>
  <c r="L92" i="18"/>
  <c r="M92" i="18"/>
  <c r="N92" i="18"/>
  <c r="O92" i="18"/>
  <c r="E93" i="18"/>
  <c r="G93" i="18"/>
  <c r="F93" i="18"/>
  <c r="H93" i="18"/>
  <c r="I93" i="18"/>
  <c r="J93" i="18"/>
  <c r="K93" i="18"/>
  <c r="L93" i="18"/>
  <c r="M93" i="18"/>
  <c r="N93" i="18"/>
  <c r="O93" i="18"/>
  <c r="E94" i="18"/>
  <c r="G94" i="18"/>
  <c r="F94" i="18"/>
  <c r="H94" i="18"/>
  <c r="I94" i="18"/>
  <c r="J94" i="18"/>
  <c r="K94" i="18"/>
  <c r="L94" i="18"/>
  <c r="M94" i="18"/>
  <c r="N94" i="18"/>
  <c r="O94" i="18"/>
  <c r="E95" i="18"/>
  <c r="G95" i="18"/>
  <c r="F95" i="18"/>
  <c r="H95" i="18"/>
  <c r="I95" i="18"/>
  <c r="J95" i="18"/>
  <c r="K95" i="18"/>
  <c r="L95" i="18"/>
  <c r="M95" i="18"/>
  <c r="N95" i="18"/>
  <c r="O95" i="18"/>
  <c r="E96" i="18"/>
  <c r="G96" i="18"/>
  <c r="F96" i="18"/>
  <c r="H96" i="18"/>
  <c r="I96" i="18"/>
  <c r="J96" i="18"/>
  <c r="K96" i="18"/>
  <c r="L96" i="18"/>
  <c r="M96" i="18"/>
  <c r="N96" i="18"/>
  <c r="O96" i="18"/>
  <c r="E97" i="18"/>
  <c r="G97" i="18"/>
  <c r="F97" i="18"/>
  <c r="H97" i="18"/>
  <c r="I97" i="18"/>
  <c r="J97" i="18"/>
  <c r="K97" i="18"/>
  <c r="L97" i="18"/>
  <c r="M97" i="18"/>
  <c r="N97" i="18"/>
  <c r="O97" i="18"/>
  <c r="E98" i="18"/>
  <c r="G98" i="18"/>
  <c r="F98" i="18"/>
  <c r="H98" i="18"/>
  <c r="I98" i="18"/>
  <c r="J98" i="18"/>
  <c r="K98" i="18"/>
  <c r="L98" i="18"/>
  <c r="M98" i="18"/>
  <c r="N98" i="18"/>
  <c r="O98" i="18"/>
  <c r="E99" i="18"/>
  <c r="G99" i="18"/>
  <c r="F99" i="18"/>
  <c r="H99" i="18"/>
  <c r="I99" i="18"/>
  <c r="J99" i="18"/>
  <c r="K99" i="18"/>
  <c r="L99" i="18"/>
  <c r="M99" i="18"/>
  <c r="N99" i="18"/>
  <c r="O99" i="18"/>
  <c r="E100" i="18"/>
  <c r="G100" i="18"/>
  <c r="F100" i="18"/>
  <c r="H100" i="18"/>
  <c r="I100" i="18"/>
  <c r="J100" i="18"/>
  <c r="K100" i="18"/>
  <c r="L100" i="18"/>
  <c r="M100" i="18"/>
  <c r="N100" i="18"/>
  <c r="O100" i="18"/>
  <c r="E101" i="18"/>
  <c r="G101" i="18"/>
  <c r="F101" i="18"/>
  <c r="H101" i="18"/>
  <c r="I101" i="18"/>
  <c r="J101" i="18"/>
  <c r="K101" i="18"/>
  <c r="L101" i="18"/>
  <c r="M101" i="18"/>
  <c r="N101" i="18"/>
  <c r="O101" i="18"/>
  <c r="E102" i="18"/>
  <c r="G102" i="18"/>
  <c r="F102" i="18"/>
  <c r="H102" i="18"/>
  <c r="I102" i="18"/>
  <c r="J102" i="18"/>
  <c r="K102" i="18"/>
  <c r="L102" i="18"/>
  <c r="M102" i="18"/>
  <c r="N102" i="18"/>
  <c r="O102" i="18"/>
  <c r="E103" i="18"/>
  <c r="G103" i="18"/>
  <c r="F103" i="18"/>
  <c r="H103" i="18"/>
  <c r="I103" i="18"/>
  <c r="J103" i="18"/>
  <c r="K103" i="18"/>
  <c r="L103" i="18"/>
  <c r="M103" i="18"/>
  <c r="N103" i="18"/>
  <c r="O103" i="18"/>
  <c r="E104" i="18"/>
  <c r="G104" i="18"/>
  <c r="F104" i="18"/>
  <c r="H104" i="18"/>
  <c r="I104" i="18"/>
  <c r="J104" i="18"/>
  <c r="K104" i="18"/>
  <c r="L104" i="18"/>
  <c r="M104" i="18"/>
  <c r="N104" i="18"/>
  <c r="O104" i="18"/>
  <c r="E105" i="18"/>
  <c r="G105" i="18"/>
  <c r="F105" i="18"/>
  <c r="H105" i="18"/>
  <c r="I105" i="18"/>
  <c r="J105" i="18"/>
  <c r="K105" i="18"/>
  <c r="L105" i="18"/>
  <c r="M105" i="18"/>
  <c r="N105" i="18"/>
  <c r="O105" i="18"/>
  <c r="E106" i="18"/>
  <c r="G106" i="18"/>
  <c r="F106" i="18"/>
  <c r="H106" i="18"/>
  <c r="I106" i="18"/>
  <c r="J106" i="18"/>
  <c r="K106" i="18"/>
  <c r="L106" i="18"/>
  <c r="M106" i="18"/>
  <c r="N106" i="18"/>
  <c r="O106" i="18"/>
  <c r="E107" i="18"/>
  <c r="G107" i="18"/>
  <c r="F107" i="18"/>
  <c r="H107" i="18"/>
  <c r="I107" i="18"/>
  <c r="J107" i="18"/>
  <c r="K107" i="18"/>
  <c r="L107" i="18"/>
  <c r="M107" i="18"/>
  <c r="N107" i="18"/>
  <c r="O107" i="18"/>
  <c r="E108" i="18"/>
  <c r="G108" i="18"/>
  <c r="F108" i="18"/>
  <c r="H108" i="18"/>
  <c r="I108" i="18"/>
  <c r="J108" i="18"/>
  <c r="K108" i="18"/>
  <c r="L108" i="18"/>
  <c r="M108" i="18"/>
  <c r="N108" i="18"/>
  <c r="O108" i="18"/>
  <c r="E109" i="18"/>
  <c r="G109" i="18"/>
  <c r="F109" i="18"/>
  <c r="H109" i="18"/>
  <c r="I109" i="18"/>
  <c r="J109" i="18"/>
  <c r="K109" i="18"/>
  <c r="L109" i="18"/>
  <c r="M109" i="18"/>
  <c r="N109" i="18"/>
  <c r="O109" i="18"/>
  <c r="E110" i="18"/>
  <c r="G110" i="18"/>
  <c r="F110" i="18"/>
  <c r="H110" i="18"/>
  <c r="I110" i="18"/>
  <c r="J110" i="18"/>
  <c r="K110" i="18"/>
  <c r="L110" i="18"/>
  <c r="M110" i="18"/>
  <c r="N110" i="18"/>
  <c r="O110" i="18"/>
  <c r="E111" i="18"/>
  <c r="G111" i="18"/>
  <c r="F111" i="18"/>
  <c r="H111" i="18"/>
  <c r="I111" i="18"/>
  <c r="J111" i="18"/>
  <c r="K111" i="18"/>
  <c r="L111" i="18"/>
  <c r="M111" i="18"/>
  <c r="N111" i="18"/>
  <c r="O111" i="18"/>
  <c r="E112" i="18"/>
  <c r="G112" i="18"/>
  <c r="F112" i="18"/>
  <c r="H112" i="18"/>
  <c r="I112" i="18"/>
  <c r="J112" i="18"/>
  <c r="K112" i="18"/>
  <c r="L112" i="18"/>
  <c r="M112" i="18"/>
  <c r="N112" i="18"/>
  <c r="O112" i="18"/>
  <c r="E113" i="18"/>
  <c r="G113" i="18"/>
  <c r="F113" i="18"/>
  <c r="H113" i="18"/>
  <c r="I113" i="18"/>
  <c r="J113" i="18"/>
  <c r="K113" i="18"/>
  <c r="L113" i="18"/>
  <c r="M113" i="18"/>
  <c r="N113" i="18"/>
  <c r="O113" i="18"/>
  <c r="E114" i="18"/>
  <c r="G114" i="18"/>
  <c r="F114" i="18"/>
  <c r="H114" i="18"/>
  <c r="I114" i="18"/>
  <c r="J114" i="18"/>
  <c r="K114" i="18"/>
  <c r="L114" i="18"/>
  <c r="M114" i="18"/>
  <c r="N114" i="18"/>
  <c r="O114" i="18"/>
  <c r="E115" i="18"/>
  <c r="G115" i="18"/>
  <c r="F115" i="18"/>
  <c r="H115" i="18"/>
  <c r="I115" i="18"/>
  <c r="J115" i="18"/>
  <c r="K115" i="18"/>
  <c r="L115" i="18"/>
  <c r="M115" i="18"/>
  <c r="N115" i="18"/>
  <c r="O115" i="18"/>
  <c r="E116" i="18"/>
  <c r="G116" i="18"/>
  <c r="F116" i="18"/>
  <c r="H116" i="18"/>
  <c r="I116" i="18"/>
  <c r="J116" i="18"/>
  <c r="K116" i="18"/>
  <c r="L116" i="18"/>
  <c r="M116" i="18"/>
  <c r="N116" i="18"/>
  <c r="O116"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77" i="18"/>
  <c r="I7" i="31"/>
  <c r="I13" i="31"/>
  <c r="I25" i="31" s="1"/>
  <c r="I19" i="31"/>
  <c r="I31" i="31" s="1"/>
  <c r="I37" i="31"/>
  <c r="I43" i="31"/>
  <c r="I49" i="31"/>
  <c r="I55" i="31"/>
  <c r="I61" i="31"/>
  <c r="I103" i="31"/>
  <c r="I109" i="31"/>
  <c r="I115" i="31"/>
  <c r="I121" i="31"/>
  <c r="I127" i="31"/>
  <c r="I133" i="31"/>
  <c r="I139" i="31"/>
  <c r="I145" i="31"/>
  <c r="V2" i="30"/>
  <c r="V10" i="30" s="1"/>
  <c r="V18" i="30" s="1"/>
  <c r="V26" i="30" s="1"/>
  <c r="V34" i="30" s="1"/>
  <c r="W2" i="30"/>
  <c r="W10" i="30" s="1"/>
  <c r="W18" i="30" s="1"/>
  <c r="W26" i="30" s="1"/>
  <c r="W34" i="30" s="1"/>
  <c r="X2" i="30"/>
  <c r="X10" i="30" s="1"/>
  <c r="X18" i="30" s="1"/>
  <c r="X26" i="30" s="1"/>
  <c r="X34" i="30" s="1"/>
  <c r="Y2" i="30"/>
  <c r="Y10" i="30" s="1"/>
  <c r="Y18" i="30" s="1"/>
  <c r="Y26" i="30" s="1"/>
  <c r="Y34" i="30" s="1"/>
  <c r="Z2" i="30"/>
  <c r="Z10" i="30" s="1"/>
  <c r="Z18" i="30" s="1"/>
  <c r="Z26" i="30" s="1"/>
  <c r="Z34" i="30" s="1"/>
  <c r="AA2" i="30"/>
  <c r="AA10" i="30" s="1"/>
  <c r="AA18" i="30" s="1"/>
  <c r="AA26" i="30" s="1"/>
  <c r="AA34" i="30" s="1"/>
  <c r="AB2" i="30"/>
  <c r="AB10" i="30" s="1"/>
  <c r="AB18" i="30" s="1"/>
  <c r="AB26" i="30" s="1"/>
  <c r="AB34" i="30" s="1"/>
  <c r="AC2" i="30"/>
  <c r="AC10" i="30" s="1"/>
  <c r="AC18" i="30" s="1"/>
  <c r="AC26" i="30" s="1"/>
  <c r="AC34" i="30" s="1"/>
  <c r="AD2" i="30"/>
  <c r="AD10" i="30" s="1"/>
  <c r="AD18" i="30" s="1"/>
  <c r="AD26" i="30" s="1"/>
  <c r="AD34" i="30" s="1"/>
  <c r="AE2" i="30"/>
  <c r="AE10" i="30" s="1"/>
  <c r="AE18" i="30" s="1"/>
  <c r="AE26" i="30" s="1"/>
  <c r="AE34" i="30" s="1"/>
  <c r="S3" i="30"/>
  <c r="T3" i="30"/>
  <c r="V3" i="30"/>
  <c r="W3" i="30"/>
  <c r="X3" i="30"/>
  <c r="Y3" i="30"/>
  <c r="Z3" i="30"/>
  <c r="AA3" i="30"/>
  <c r="AB3" i="30"/>
  <c r="AC3" i="30"/>
  <c r="AD3" i="30"/>
  <c r="AE3" i="30"/>
  <c r="A4" i="30"/>
  <c r="A5" i="30" s="1"/>
  <c r="A6" i="30" s="1"/>
  <c r="A7" i="30" s="1"/>
  <c r="A8" i="30" s="1"/>
  <c r="A9" i="30" s="1"/>
  <c r="A10" i="30" s="1"/>
  <c r="S4" i="30"/>
  <c r="T4" i="30"/>
  <c r="V4" i="30"/>
  <c r="W4" i="30"/>
  <c r="X4" i="30"/>
  <c r="Y4" i="30"/>
  <c r="Z4" i="30"/>
  <c r="AA4" i="30"/>
  <c r="AB4" i="30"/>
  <c r="AC4" i="30"/>
  <c r="AD4" i="30"/>
  <c r="AE4" i="30"/>
  <c r="T5" i="30"/>
  <c r="S5" i="30"/>
  <c r="V5" i="30"/>
  <c r="W5" i="30"/>
  <c r="X5" i="30"/>
  <c r="Y5" i="30"/>
  <c r="Z5" i="30"/>
  <c r="AA5" i="30"/>
  <c r="AB5" i="30"/>
  <c r="AC5" i="30"/>
  <c r="AD5" i="30"/>
  <c r="AE5" i="30"/>
  <c r="T6" i="30"/>
  <c r="S6" i="30"/>
  <c r="V6" i="30"/>
  <c r="W6" i="30"/>
  <c r="X6" i="30"/>
  <c r="Y6" i="30"/>
  <c r="Z6" i="30"/>
  <c r="AA6" i="30"/>
  <c r="AB6" i="30"/>
  <c r="AC6" i="30"/>
  <c r="AD6" i="30"/>
  <c r="AE6" i="30"/>
  <c r="T11" i="30"/>
  <c r="S11" i="30"/>
  <c r="V11" i="30"/>
  <c r="W11" i="30"/>
  <c r="X11" i="30"/>
  <c r="Y11" i="30"/>
  <c r="Z11" i="30"/>
  <c r="AA11" i="30"/>
  <c r="AB11" i="30"/>
  <c r="AC11" i="30"/>
  <c r="AD11" i="30"/>
  <c r="AE11" i="30"/>
  <c r="A12" i="30"/>
  <c r="A13" i="30" s="1"/>
  <c r="A14" i="30" s="1"/>
  <c r="A15" i="30" s="1"/>
  <c r="A16" i="30" s="1"/>
  <c r="A17" i="30" s="1"/>
  <c r="A18" i="30" s="1"/>
  <c r="T12" i="30"/>
  <c r="S12" i="30"/>
  <c r="V12" i="30"/>
  <c r="W12" i="30"/>
  <c r="X12" i="30"/>
  <c r="Y12" i="30"/>
  <c r="Z12" i="30"/>
  <c r="AA12" i="30"/>
  <c r="AB12" i="30"/>
  <c r="AC12" i="30"/>
  <c r="AD12" i="30"/>
  <c r="AE12" i="30"/>
  <c r="S13" i="30"/>
  <c r="V13" i="30"/>
  <c r="W13" i="30"/>
  <c r="X13" i="30"/>
  <c r="Y13" i="30"/>
  <c r="Z13" i="30"/>
  <c r="AA13" i="30"/>
  <c r="AB13" i="30"/>
  <c r="AC13" i="30"/>
  <c r="AD13" i="30"/>
  <c r="AE13" i="30"/>
  <c r="S14" i="30"/>
  <c r="V14" i="30"/>
  <c r="W14" i="30"/>
  <c r="X14" i="30"/>
  <c r="Y14" i="30"/>
  <c r="Z14" i="30"/>
  <c r="AA14" i="30"/>
  <c r="AB14" i="30"/>
  <c r="AC14" i="30"/>
  <c r="AD14" i="30"/>
  <c r="AE14" i="30"/>
  <c r="T13" i="30"/>
  <c r="T14" i="30"/>
  <c r="S19" i="30"/>
  <c r="T19" i="30"/>
  <c r="V19" i="30"/>
  <c r="W19" i="30"/>
  <c r="X19" i="30"/>
  <c r="Y19" i="30"/>
  <c r="Z19" i="30"/>
  <c r="AA19" i="30"/>
  <c r="AB19" i="30"/>
  <c r="AC19" i="30"/>
  <c r="AD19" i="30"/>
  <c r="AE19" i="30"/>
  <c r="A20" i="30"/>
  <c r="A21" i="30" s="1"/>
  <c r="A22" i="30" s="1"/>
  <c r="A23" i="30" s="1"/>
  <c r="A24" i="30" s="1"/>
  <c r="A25" i="30" s="1"/>
  <c r="A26" i="30" s="1"/>
  <c r="S20" i="30"/>
  <c r="T20" i="30"/>
  <c r="V20" i="30"/>
  <c r="W20" i="30"/>
  <c r="X20" i="30"/>
  <c r="Y20" i="30"/>
  <c r="Z20" i="30"/>
  <c r="AA20" i="30"/>
  <c r="AB20" i="30"/>
  <c r="AC20" i="30"/>
  <c r="AD20" i="30"/>
  <c r="AE20" i="30"/>
  <c r="T21" i="30"/>
  <c r="S21" i="30"/>
  <c r="V21" i="30"/>
  <c r="W21" i="30"/>
  <c r="X21" i="30"/>
  <c r="Y21" i="30"/>
  <c r="Z21" i="30"/>
  <c r="AA21" i="30"/>
  <c r="AB21" i="30"/>
  <c r="AC21" i="30"/>
  <c r="AD21" i="30"/>
  <c r="AE21" i="30"/>
  <c r="T22" i="30"/>
  <c r="S22" i="30"/>
  <c r="V22" i="30"/>
  <c r="W22" i="30"/>
  <c r="X22" i="30"/>
  <c r="Y22" i="30"/>
  <c r="Z22" i="30"/>
  <c r="AA22" i="30"/>
  <c r="AB22" i="30"/>
  <c r="AC22" i="30"/>
  <c r="AD22" i="30"/>
  <c r="AE22" i="30"/>
  <c r="T27" i="30"/>
  <c r="S27" i="30"/>
  <c r="V27" i="30"/>
  <c r="W27" i="30"/>
  <c r="X27" i="30"/>
  <c r="Y27" i="30"/>
  <c r="Z27" i="30"/>
  <c r="AA27" i="30"/>
  <c r="AB27" i="30"/>
  <c r="AC27" i="30"/>
  <c r="AD27" i="30"/>
  <c r="AE27" i="30"/>
  <c r="A28" i="30"/>
  <c r="A29" i="30" s="1"/>
  <c r="A30" i="30" s="1"/>
  <c r="A31" i="30" s="1"/>
  <c r="A32" i="30" s="1"/>
  <c r="A33" i="30" s="1"/>
  <c r="A34" i="30" s="1"/>
  <c r="T28" i="30"/>
  <c r="S28" i="30"/>
  <c r="V28" i="30"/>
  <c r="W28" i="30"/>
  <c r="X28" i="30"/>
  <c r="Y28" i="30"/>
  <c r="Z28" i="30"/>
  <c r="AA28" i="30"/>
  <c r="AB28" i="30"/>
  <c r="AC28" i="30"/>
  <c r="AD28" i="30"/>
  <c r="AE28" i="30"/>
  <c r="S29" i="30"/>
  <c r="V29" i="30"/>
  <c r="W29" i="30"/>
  <c r="X29" i="30"/>
  <c r="Y29" i="30"/>
  <c r="Z29" i="30"/>
  <c r="AA29" i="30"/>
  <c r="AB29" i="30"/>
  <c r="AC29" i="30"/>
  <c r="AD29" i="30"/>
  <c r="AE29" i="30"/>
  <c r="S30" i="30"/>
  <c r="V30" i="30"/>
  <c r="W30" i="30"/>
  <c r="X30" i="30"/>
  <c r="Y30" i="30"/>
  <c r="Z30" i="30"/>
  <c r="AA30" i="30"/>
  <c r="AB30" i="30"/>
  <c r="AC30" i="30"/>
  <c r="AD30" i="30"/>
  <c r="AE30" i="30"/>
  <c r="T29" i="30"/>
  <c r="T30" i="30"/>
  <c r="S35" i="30"/>
  <c r="T35" i="30"/>
  <c r="W35" i="30"/>
  <c r="X35" i="30"/>
  <c r="Y35" i="30"/>
  <c r="Z35" i="30"/>
  <c r="AA35" i="30"/>
  <c r="AB35" i="30"/>
  <c r="AC35" i="30"/>
  <c r="AD35" i="30"/>
  <c r="AE35" i="30"/>
  <c r="A36" i="30"/>
  <c r="S36" i="30"/>
  <c r="T36" i="30"/>
  <c r="V36" i="30"/>
  <c r="W36" i="30"/>
  <c r="X36" i="30"/>
  <c r="Y36" i="30"/>
  <c r="AA36" i="30"/>
  <c r="AB36" i="30"/>
  <c r="AC36" i="30"/>
  <c r="AD36" i="30"/>
  <c r="AE36" i="30"/>
  <c r="A37" i="30"/>
  <c r="A38" i="30" s="1"/>
  <c r="A39" i="30" s="1"/>
  <c r="A40" i="30" s="1"/>
  <c r="A41" i="30" s="1"/>
  <c r="A42" i="30" s="1"/>
  <c r="T37" i="30"/>
  <c r="S37" i="30"/>
  <c r="V37" i="30"/>
  <c r="W37" i="30"/>
  <c r="X37" i="30"/>
  <c r="Y37" i="30"/>
  <c r="AA37" i="30"/>
  <c r="AB37" i="30"/>
  <c r="AC37" i="30"/>
  <c r="AD37" i="30"/>
  <c r="AE37" i="30"/>
  <c r="T38" i="30"/>
  <c r="S38" i="30"/>
  <c r="V38" i="30"/>
  <c r="W38" i="30"/>
  <c r="X38" i="30"/>
  <c r="Y38" i="30"/>
  <c r="AA38" i="30"/>
  <c r="AB38" i="30"/>
  <c r="AC38" i="30"/>
  <c r="AD38" i="30"/>
  <c r="AE38" i="30"/>
  <c r="AO55" i="35" l="1"/>
  <c r="D9" i="15" s="1"/>
  <c r="X23" i="35"/>
  <c r="AM23" i="35" s="1"/>
  <c r="AE41" i="35"/>
  <c r="R41" i="35"/>
  <c r="AG41" i="35" s="1"/>
  <c r="AL55" i="35"/>
  <c r="D8" i="15" s="1"/>
  <c r="AH44" i="35"/>
  <c r="AH55" i="35" s="1"/>
  <c r="U44" i="35"/>
  <c r="AJ44" i="35" s="1"/>
  <c r="AJ55" i="35" s="1"/>
  <c r="E7" i="15" s="1"/>
  <c r="AM55" i="35"/>
  <c r="E8" i="15" s="1"/>
  <c r="AN33" i="35"/>
  <c r="AN55" i="35" s="1"/>
  <c r="AA33" i="35"/>
  <c r="AP33" i="35" s="1"/>
  <c r="AP55" i="35" s="1"/>
  <c r="E9" i="15" s="1"/>
  <c r="AE39" i="35"/>
  <c r="AE55" i="35" s="1"/>
  <c r="R39" i="35"/>
  <c r="AG39" i="35" s="1"/>
  <c r="AG55" i="35" s="1"/>
  <c r="E6" i="15" s="1"/>
  <c r="R40" i="35"/>
  <c r="AG40" i="35" s="1"/>
  <c r="I79" i="31"/>
  <c r="I98" i="31"/>
  <c r="I94" i="31"/>
  <c r="I78" i="31"/>
  <c r="I97" i="31"/>
  <c r="I85" i="31"/>
  <c r="I77" i="31"/>
  <c r="I96" i="31"/>
  <c r="I88" i="31"/>
  <c r="I80" i="31"/>
  <c r="I76" i="31"/>
  <c r="I68" i="31"/>
  <c r="I86" i="31"/>
  <c r="I70" i="31"/>
  <c r="I89" i="31"/>
  <c r="I69" i="31"/>
  <c r="I95" i="31"/>
  <c r="I87" i="31"/>
  <c r="I71" i="31"/>
  <c r="I67" i="31"/>
  <c r="M8" i="27" a="1"/>
  <c r="M8" i="27" s="1"/>
  <c r="M11" i="27" a="1"/>
  <c r="M11" i="27" s="1"/>
  <c r="I8" i="31" s="1"/>
  <c r="M16" i="27" a="1"/>
  <c r="M16" i="27" s="1"/>
  <c r="I104" i="31" s="1"/>
  <c r="M19" i="27" a="1"/>
  <c r="M19" i="27" s="1"/>
  <c r="M24" i="27" a="1"/>
  <c r="M24" i="27" s="1"/>
  <c r="I50" i="31" s="1"/>
  <c r="M27" i="27" a="1"/>
  <c r="M27" i="27" s="1"/>
  <c r="I173" i="31" s="1"/>
  <c r="M30" i="27" a="1"/>
  <c r="M30" i="27" s="1"/>
  <c r="I160" i="31" s="1"/>
  <c r="M10" i="27" a="1"/>
  <c r="M10" i="27" s="1"/>
  <c r="I20" i="31" s="1"/>
  <c r="I32" i="31" s="1"/>
  <c r="M21" i="27" a="1"/>
  <c r="M21" i="27" s="1"/>
  <c r="I44" i="31" s="1"/>
  <c r="M33" i="27" a="1"/>
  <c r="M33" i="27" s="1"/>
  <c r="I140" i="31" s="1"/>
  <c r="M6" i="27" a="1"/>
  <c r="M6" i="27" s="1"/>
  <c r="M9" i="27" a="1"/>
  <c r="M9" i="27" s="1"/>
  <c r="I14" i="31" s="1"/>
  <c r="I26" i="31" s="1"/>
  <c r="M14" i="27" a="1"/>
  <c r="M14" i="27" s="1"/>
  <c r="I122" i="31" s="1"/>
  <c r="M17" i="27" a="1"/>
  <c r="M17" i="27" s="1"/>
  <c r="I110" i="31" s="1"/>
  <c r="M22" i="27" a="1"/>
  <c r="M22" i="27" s="1"/>
  <c r="M25" i="27" a="1"/>
  <c r="M25" i="27" s="1"/>
  <c r="I56" i="31" s="1"/>
  <c r="M31" i="27" a="1"/>
  <c r="M31" i="27" s="1"/>
  <c r="I167" i="31" s="1"/>
  <c r="M34" i="27" a="1"/>
  <c r="M34" i="27" s="1"/>
  <c r="I146" i="31" s="1"/>
  <c r="M18" i="27" a="1"/>
  <c r="M18" i="27" s="1"/>
  <c r="M29" i="27" a="1"/>
  <c r="M29" i="27" s="1"/>
  <c r="I153" i="31" s="1"/>
  <c r="M7" i="27" a="1"/>
  <c r="M7" i="27" s="1"/>
  <c r="M12" i="27" a="1"/>
  <c r="M12" i="27" s="1"/>
  <c r="M15" i="27" a="1"/>
  <c r="M15" i="27" s="1"/>
  <c r="I128" i="31" s="1"/>
  <c r="M20" i="27" a="1"/>
  <c r="M20" i="27" s="1"/>
  <c r="I38" i="31" s="1"/>
  <c r="M23" i="27" a="1"/>
  <c r="M23" i="27" s="1"/>
  <c r="M28" i="27" a="1"/>
  <c r="M28" i="27" s="1"/>
  <c r="I179" i="31" s="1"/>
  <c r="M32" i="27" a="1"/>
  <c r="M32" i="27" s="1"/>
  <c r="I134" i="31" s="1"/>
  <c r="M5" i="27" a="1"/>
  <c r="M5" i="27" s="1"/>
  <c r="M13" i="27" a="1"/>
  <c r="M13" i="27" s="1"/>
  <c r="I116" i="31" s="1"/>
  <c r="M26" i="27" a="1"/>
  <c r="M26" i="27" s="1"/>
  <c r="I62" i="31" s="1"/>
  <c r="T39" i="30"/>
  <c r="U35" i="30" s="1"/>
  <c r="T31" i="30"/>
  <c r="U29" i="30" s="1"/>
  <c r="T23" i="30"/>
  <c r="U22" i="30" s="1"/>
  <c r="T15" i="30"/>
  <c r="U12" i="30" s="1"/>
  <c r="T7" i="30"/>
  <c r="U6" i="30" s="1"/>
  <c r="U11" i="30" l="1"/>
  <c r="U27" i="30"/>
  <c r="U37" i="30"/>
  <c r="U20" i="30"/>
  <c r="U36" i="30"/>
  <c r="U3" i="30"/>
  <c r="U13" i="30"/>
  <c r="U14" i="30"/>
  <c r="U28" i="30"/>
  <c r="U5" i="30"/>
  <c r="U4" i="30"/>
  <c r="U30" i="30"/>
  <c r="U21" i="30"/>
  <c r="U38" i="30"/>
  <c r="U19" i="30"/>
  <c r="Q77" i="18" l="1"/>
  <c r="Q86" i="18"/>
  <c r="D5" i="29"/>
  <c r="W4" i="27"/>
  <c r="X4" i="27"/>
  <c r="Y4" i="27" s="1"/>
  <c r="W5" i="27"/>
  <c r="X5" i="27"/>
  <c r="Y5" i="27" s="1"/>
  <c r="W6" i="27"/>
  <c r="X6" i="27"/>
  <c r="Y6" i="27" s="1"/>
  <c r="W7" i="27"/>
  <c r="X7" i="27"/>
  <c r="Y7" i="27" s="1"/>
  <c r="W8" i="27"/>
  <c r="X8" i="27"/>
  <c r="Y8" i="27" s="1"/>
  <c r="W9" i="27"/>
  <c r="X9" i="27"/>
  <c r="Y9" i="27" s="1"/>
  <c r="W10" i="27"/>
  <c r="X10" i="27"/>
  <c r="Y10" i="27" s="1"/>
  <c r="W11" i="27"/>
  <c r="X11" i="27"/>
  <c r="Y11" i="27" s="1"/>
  <c r="W12" i="27"/>
  <c r="X12" i="27"/>
  <c r="W13" i="27"/>
  <c r="X13" i="27"/>
  <c r="W22" i="27"/>
  <c r="V23" i="27"/>
  <c r="W23" i="27"/>
  <c r="D36" i="27"/>
  <c r="L37" i="27"/>
  <c r="M37" i="27"/>
  <c r="S9" i="24"/>
  <c r="T9" i="24"/>
  <c r="S10" i="24"/>
  <c r="T10" i="24"/>
  <c r="S11" i="24"/>
  <c r="T11" i="24"/>
  <c r="S12" i="24"/>
  <c r="T12" i="24"/>
  <c r="S13" i="24"/>
  <c r="T13" i="24"/>
  <c r="S14" i="24"/>
  <c r="T14" i="24"/>
  <c r="S15" i="24"/>
  <c r="T15" i="24"/>
  <c r="S16" i="24"/>
  <c r="T16" i="24"/>
  <c r="S17" i="24"/>
  <c r="T17" i="24"/>
  <c r="S18" i="24"/>
  <c r="T18" i="24"/>
  <c r="D19" i="24"/>
  <c r="S24" i="24"/>
  <c r="T24" i="24"/>
  <c r="U24" i="24"/>
  <c r="V24" i="24"/>
  <c r="S25" i="24"/>
  <c r="T25" i="24"/>
  <c r="U25" i="24"/>
  <c r="V25" i="24"/>
  <c r="S26" i="24"/>
  <c r="T26" i="24"/>
  <c r="U26" i="24"/>
  <c r="V26" i="24"/>
  <c r="S27" i="24"/>
  <c r="T27" i="24"/>
  <c r="U27" i="24"/>
  <c r="V27" i="24"/>
  <c r="S28" i="24"/>
  <c r="T28" i="24"/>
  <c r="U28" i="24"/>
  <c r="V28" i="24"/>
  <c r="S29" i="24"/>
  <c r="T29" i="24"/>
  <c r="U29" i="24"/>
  <c r="V29" i="24"/>
  <c r="S30" i="24"/>
  <c r="T30" i="24"/>
  <c r="U30" i="24"/>
  <c r="V30" i="24"/>
  <c r="S31" i="24"/>
  <c r="T31" i="24"/>
  <c r="U31" i="24"/>
  <c r="V31" i="24"/>
  <c r="S32" i="24"/>
  <c r="T32" i="24"/>
  <c r="U32" i="24"/>
  <c r="V32" i="24"/>
  <c r="S33" i="24"/>
  <c r="T33" i="24"/>
  <c r="U33" i="24"/>
  <c r="V33" i="24"/>
  <c r="D34" i="24"/>
  <c r="G34" i="24"/>
  <c r="S39" i="24"/>
  <c r="T39" i="24"/>
  <c r="U39" i="24"/>
  <c r="V39" i="24"/>
  <c r="W39" i="24"/>
  <c r="X39" i="24"/>
  <c r="S40" i="24"/>
  <c r="T40" i="24"/>
  <c r="U40" i="24"/>
  <c r="V40" i="24"/>
  <c r="W40" i="24"/>
  <c r="X40" i="24"/>
  <c r="S41" i="24"/>
  <c r="T41" i="24"/>
  <c r="U41" i="24"/>
  <c r="V41" i="24"/>
  <c r="W41" i="24"/>
  <c r="X41" i="24"/>
  <c r="S42" i="24"/>
  <c r="T42" i="24"/>
  <c r="U42" i="24"/>
  <c r="V42" i="24"/>
  <c r="W42" i="24"/>
  <c r="X42" i="24"/>
  <c r="S43" i="24"/>
  <c r="T43" i="24"/>
  <c r="U43" i="24"/>
  <c r="V43" i="24"/>
  <c r="W43" i="24"/>
  <c r="X43" i="24"/>
  <c r="S44" i="24"/>
  <c r="T44" i="24"/>
  <c r="U44" i="24"/>
  <c r="V44" i="24"/>
  <c r="W44" i="24"/>
  <c r="X44" i="24"/>
  <c r="S45" i="24"/>
  <c r="T45" i="24"/>
  <c r="U45" i="24"/>
  <c r="V45" i="24"/>
  <c r="W45" i="24"/>
  <c r="X45" i="24"/>
  <c r="S46" i="24"/>
  <c r="T46" i="24"/>
  <c r="U46" i="24"/>
  <c r="V46" i="24"/>
  <c r="W46" i="24"/>
  <c r="X46" i="24"/>
  <c r="S47" i="24"/>
  <c r="T47" i="24"/>
  <c r="U47" i="24"/>
  <c r="V47" i="24"/>
  <c r="W47" i="24"/>
  <c r="X47" i="24"/>
  <c r="S48" i="24"/>
  <c r="T48" i="24"/>
  <c r="U48" i="24"/>
  <c r="V48" i="24"/>
  <c r="W48" i="24"/>
  <c r="X48" i="24"/>
  <c r="D49" i="24"/>
  <c r="G49" i="24"/>
  <c r="V54" i="24"/>
  <c r="W54" i="24"/>
  <c r="X54" i="24"/>
  <c r="Y54" i="24"/>
  <c r="Z54" i="24"/>
  <c r="AA54" i="24"/>
  <c r="AB54" i="24"/>
  <c r="AC54" i="24"/>
  <c r="V55" i="24"/>
  <c r="W55" i="24"/>
  <c r="X55" i="24"/>
  <c r="Y55" i="24"/>
  <c r="Z55" i="24"/>
  <c r="AA55" i="24"/>
  <c r="AB55" i="24"/>
  <c r="AC55" i="24"/>
  <c r="V56" i="24"/>
  <c r="W56" i="24"/>
  <c r="X56" i="24"/>
  <c r="Y56" i="24"/>
  <c r="Z56" i="24"/>
  <c r="AA56" i="24"/>
  <c r="AB56" i="24"/>
  <c r="AC56" i="24"/>
  <c r="V57" i="24"/>
  <c r="W57" i="24"/>
  <c r="X57" i="24"/>
  <c r="Y57" i="24"/>
  <c r="Z57" i="24"/>
  <c r="AA57" i="24"/>
  <c r="AB57" i="24"/>
  <c r="AC57" i="24"/>
  <c r="V58" i="24"/>
  <c r="W58" i="24"/>
  <c r="X58" i="24"/>
  <c r="Y58" i="24"/>
  <c r="Z58" i="24"/>
  <c r="AA58" i="24"/>
  <c r="AB58" i="24"/>
  <c r="AC58" i="24"/>
  <c r="V59" i="24"/>
  <c r="W59" i="24"/>
  <c r="X59" i="24"/>
  <c r="Y59" i="24"/>
  <c r="Z59" i="24"/>
  <c r="AA59" i="24"/>
  <c r="AB59" i="24"/>
  <c r="AC59" i="24"/>
  <c r="V60" i="24"/>
  <c r="W60" i="24"/>
  <c r="X60" i="24"/>
  <c r="Y60" i="24"/>
  <c r="Z60" i="24"/>
  <c r="AA60" i="24"/>
  <c r="AB60" i="24"/>
  <c r="AC60" i="24"/>
  <c r="V61" i="24"/>
  <c r="W61" i="24"/>
  <c r="X61" i="24"/>
  <c r="Y61" i="24"/>
  <c r="Z61" i="24"/>
  <c r="AA61" i="24"/>
  <c r="AB61" i="24"/>
  <c r="AC61" i="24"/>
  <c r="V62" i="24"/>
  <c r="W62" i="24"/>
  <c r="X62" i="24"/>
  <c r="Y62" i="24"/>
  <c r="Z62" i="24"/>
  <c r="AA62" i="24"/>
  <c r="AB62" i="24"/>
  <c r="AC62" i="24"/>
  <c r="V63" i="24"/>
  <c r="W63" i="24"/>
  <c r="X63" i="24"/>
  <c r="Y63" i="24"/>
  <c r="Z63" i="24"/>
  <c r="AA63" i="24"/>
  <c r="AB63" i="24"/>
  <c r="AC63" i="24"/>
  <c r="D64" i="24"/>
  <c r="G64" i="24"/>
  <c r="J64" i="24"/>
  <c r="K64" i="24"/>
  <c r="V68" i="24"/>
  <c r="W68" i="24"/>
  <c r="X68" i="24"/>
  <c r="Y68" i="24"/>
  <c r="Z68" i="24"/>
  <c r="AA68" i="24"/>
  <c r="AB68" i="24"/>
  <c r="AC68" i="24"/>
  <c r="V69" i="24"/>
  <c r="W69" i="24"/>
  <c r="X69" i="24"/>
  <c r="Y69" i="24"/>
  <c r="Z69" i="24"/>
  <c r="AA69" i="24"/>
  <c r="AB69" i="24"/>
  <c r="AC69" i="24"/>
  <c r="V70" i="24"/>
  <c r="W70" i="24"/>
  <c r="X70" i="24"/>
  <c r="Y70" i="24"/>
  <c r="Z70" i="24"/>
  <c r="AA70" i="24"/>
  <c r="AB70" i="24"/>
  <c r="AC70" i="24"/>
  <c r="V71" i="24"/>
  <c r="W71" i="24"/>
  <c r="X71" i="24"/>
  <c r="Y71" i="24"/>
  <c r="Z71" i="24"/>
  <c r="AA71" i="24"/>
  <c r="AB71" i="24"/>
  <c r="AC71" i="24"/>
  <c r="V72" i="24"/>
  <c r="W72" i="24"/>
  <c r="X72" i="24"/>
  <c r="Y72" i="24"/>
  <c r="Z72" i="24"/>
  <c r="AA72" i="24"/>
  <c r="AB72" i="24"/>
  <c r="AC72" i="24"/>
  <c r="V73" i="24"/>
  <c r="W73" i="24"/>
  <c r="X73" i="24"/>
  <c r="Y73" i="24"/>
  <c r="Z73" i="24"/>
  <c r="AA73" i="24"/>
  <c r="AB73" i="24"/>
  <c r="AC73" i="24"/>
  <c r="V74" i="24"/>
  <c r="W74" i="24"/>
  <c r="X74" i="24"/>
  <c r="Y74" i="24"/>
  <c r="Z74" i="24"/>
  <c r="AA74" i="24"/>
  <c r="AB74" i="24"/>
  <c r="AC74" i="24"/>
  <c r="V75" i="24"/>
  <c r="W75" i="24"/>
  <c r="X75" i="24"/>
  <c r="Y75" i="24"/>
  <c r="Z75" i="24"/>
  <c r="AA75" i="24"/>
  <c r="AB75" i="24"/>
  <c r="AC75" i="24"/>
  <c r="V76" i="24"/>
  <c r="W76" i="24"/>
  <c r="X76" i="24"/>
  <c r="Y76" i="24"/>
  <c r="Z76" i="24"/>
  <c r="AA76" i="24"/>
  <c r="AB76" i="24"/>
  <c r="AC76" i="24"/>
  <c r="V77" i="24"/>
  <c r="W77" i="24"/>
  <c r="X77" i="24"/>
  <c r="Y77" i="24"/>
  <c r="Z77" i="24"/>
  <c r="AA77" i="24"/>
  <c r="AB77" i="24"/>
  <c r="AC77" i="24"/>
  <c r="D78" i="24"/>
  <c r="G78" i="24"/>
  <c r="J78" i="24"/>
  <c r="K78" i="24"/>
  <c r="S82" i="24"/>
  <c r="T82" i="24"/>
  <c r="U82" i="24"/>
  <c r="V82" i="24"/>
  <c r="W82" i="24"/>
  <c r="S83" i="24"/>
  <c r="T83" i="24"/>
  <c r="U83" i="24"/>
  <c r="V83" i="24"/>
  <c r="W83" i="24"/>
  <c r="S84" i="24"/>
  <c r="T84" i="24"/>
  <c r="U84" i="24"/>
  <c r="V84" i="24"/>
  <c r="W84" i="24"/>
  <c r="S85" i="24"/>
  <c r="T85" i="24"/>
  <c r="U85" i="24"/>
  <c r="V85" i="24"/>
  <c r="W85" i="24"/>
  <c r="S86" i="24"/>
  <c r="T86" i="24"/>
  <c r="U86" i="24"/>
  <c r="V86" i="24"/>
  <c r="W86" i="24"/>
  <c r="S87" i="24"/>
  <c r="T87" i="24"/>
  <c r="U87" i="24"/>
  <c r="V87" i="24"/>
  <c r="W87" i="24"/>
  <c r="S88" i="24"/>
  <c r="T88" i="24"/>
  <c r="U88" i="24"/>
  <c r="V88" i="24"/>
  <c r="W88" i="24"/>
  <c r="S89" i="24"/>
  <c r="T89" i="24"/>
  <c r="U89" i="24"/>
  <c r="V89" i="24"/>
  <c r="W89" i="24"/>
  <c r="S90" i="24"/>
  <c r="T90" i="24"/>
  <c r="U90" i="24"/>
  <c r="V90" i="24"/>
  <c r="W90" i="24"/>
  <c r="S91" i="24"/>
  <c r="T91" i="24"/>
  <c r="U91" i="24"/>
  <c r="V91" i="24"/>
  <c r="W91" i="24"/>
  <c r="D92" i="24"/>
  <c r="G92" i="24"/>
  <c r="S96" i="24"/>
  <c r="T96" i="24"/>
  <c r="U96" i="24"/>
  <c r="V96" i="24"/>
  <c r="W96" i="24"/>
  <c r="X96" i="24"/>
  <c r="Y96" i="24"/>
  <c r="S97" i="24"/>
  <c r="T97" i="24"/>
  <c r="U97" i="24"/>
  <c r="V97" i="24"/>
  <c r="W97" i="24"/>
  <c r="X97" i="24"/>
  <c r="Y97" i="24"/>
  <c r="S98" i="24"/>
  <c r="T98" i="24"/>
  <c r="U98" i="24"/>
  <c r="V98" i="24"/>
  <c r="W98" i="24"/>
  <c r="X98" i="24"/>
  <c r="Y98" i="24"/>
  <c r="S99" i="24"/>
  <c r="T99" i="24"/>
  <c r="U99" i="24"/>
  <c r="V99" i="24"/>
  <c r="W99" i="24"/>
  <c r="X99" i="24"/>
  <c r="Y99" i="24"/>
  <c r="S100" i="24"/>
  <c r="T100" i="24"/>
  <c r="U100" i="24"/>
  <c r="V100" i="24"/>
  <c r="W100" i="24"/>
  <c r="X100" i="24"/>
  <c r="Y100" i="24"/>
  <c r="S101" i="24"/>
  <c r="T101" i="24"/>
  <c r="U101" i="24"/>
  <c r="V101" i="24"/>
  <c r="W101" i="24"/>
  <c r="X101" i="24"/>
  <c r="Y101" i="24"/>
  <c r="S102" i="24"/>
  <c r="T102" i="24"/>
  <c r="U102" i="24"/>
  <c r="V102" i="24"/>
  <c r="W102" i="24"/>
  <c r="X102" i="24"/>
  <c r="Y102" i="24"/>
  <c r="S103" i="24"/>
  <c r="T103" i="24"/>
  <c r="U103" i="24"/>
  <c r="V103" i="24"/>
  <c r="W103" i="24"/>
  <c r="X103" i="24"/>
  <c r="Y103" i="24"/>
  <c r="S104" i="24"/>
  <c r="T104" i="24"/>
  <c r="U104" i="24"/>
  <c r="V104" i="24"/>
  <c r="W104" i="24"/>
  <c r="X104" i="24"/>
  <c r="Y104" i="24"/>
  <c r="S105" i="24"/>
  <c r="T105" i="24"/>
  <c r="U105" i="24"/>
  <c r="V105" i="24"/>
  <c r="W105" i="24"/>
  <c r="X105" i="24"/>
  <c r="Y105" i="24"/>
  <c r="D106" i="24"/>
  <c r="G106" i="24"/>
  <c r="J106" i="24"/>
  <c r="V110" i="24"/>
  <c r="W110" i="24"/>
  <c r="X110" i="24"/>
  <c r="Y110" i="24"/>
  <c r="Z110" i="24"/>
  <c r="V111" i="24"/>
  <c r="W111" i="24"/>
  <c r="X111" i="24"/>
  <c r="Y111" i="24"/>
  <c r="Z111" i="24"/>
  <c r="V112" i="24"/>
  <c r="W112" i="24"/>
  <c r="X112" i="24"/>
  <c r="Y112" i="24"/>
  <c r="Z112" i="24"/>
  <c r="V113" i="24"/>
  <c r="W113" i="24"/>
  <c r="X113" i="24"/>
  <c r="Y113" i="24"/>
  <c r="Z113" i="24"/>
  <c r="V114" i="24"/>
  <c r="W114" i="24"/>
  <c r="X114" i="24"/>
  <c r="Y114" i="24"/>
  <c r="Z114" i="24"/>
  <c r="V115" i="24"/>
  <c r="W115" i="24"/>
  <c r="X115" i="24"/>
  <c r="Y115" i="24"/>
  <c r="Z115" i="24"/>
  <c r="V116" i="24"/>
  <c r="W116" i="24"/>
  <c r="X116" i="24"/>
  <c r="Y116" i="24"/>
  <c r="Z116" i="24"/>
  <c r="V117" i="24"/>
  <c r="W117" i="24"/>
  <c r="X117" i="24"/>
  <c r="Y117" i="24"/>
  <c r="Z117" i="24"/>
  <c r="V118" i="24"/>
  <c r="W118" i="24"/>
  <c r="X118" i="24"/>
  <c r="Y118" i="24"/>
  <c r="Z118" i="24"/>
  <c r="V119" i="24"/>
  <c r="W119" i="24"/>
  <c r="X119" i="24"/>
  <c r="Y119" i="24"/>
  <c r="Z119" i="24"/>
  <c r="D120" i="24"/>
  <c r="G120" i="24"/>
  <c r="J120" i="24"/>
  <c r="K120" i="24"/>
  <c r="S124" i="24"/>
  <c r="T124" i="24"/>
  <c r="U124" i="24"/>
  <c r="V124" i="24"/>
  <c r="W124" i="24"/>
  <c r="X124" i="24"/>
  <c r="S125" i="24"/>
  <c r="T125" i="24"/>
  <c r="U125" i="24"/>
  <c r="V125" i="24"/>
  <c r="W125" i="24"/>
  <c r="X125" i="24"/>
  <c r="S126" i="24"/>
  <c r="T126" i="24"/>
  <c r="U126" i="24"/>
  <c r="V126" i="24"/>
  <c r="W126" i="24"/>
  <c r="X126" i="24"/>
  <c r="S127" i="24"/>
  <c r="T127" i="24"/>
  <c r="U127" i="24"/>
  <c r="V127" i="24"/>
  <c r="W127" i="24"/>
  <c r="X127" i="24"/>
  <c r="S128" i="24"/>
  <c r="T128" i="24"/>
  <c r="U128" i="24"/>
  <c r="V128" i="24"/>
  <c r="W128" i="24"/>
  <c r="X128" i="24"/>
  <c r="S129" i="24"/>
  <c r="T129" i="24"/>
  <c r="U129" i="24"/>
  <c r="V129" i="24"/>
  <c r="W129" i="24"/>
  <c r="X129" i="24"/>
  <c r="S130" i="24"/>
  <c r="T130" i="24"/>
  <c r="U130" i="24"/>
  <c r="V130" i="24"/>
  <c r="W130" i="24"/>
  <c r="X130" i="24"/>
  <c r="S131" i="24"/>
  <c r="T131" i="24"/>
  <c r="U131" i="24"/>
  <c r="V131" i="24"/>
  <c r="W131" i="24"/>
  <c r="X131" i="24"/>
  <c r="S132" i="24"/>
  <c r="T132" i="24"/>
  <c r="U132" i="24"/>
  <c r="V132" i="24"/>
  <c r="W132" i="24"/>
  <c r="X132" i="24"/>
  <c r="S133" i="24"/>
  <c r="T133" i="24"/>
  <c r="U133" i="24"/>
  <c r="V133" i="24"/>
  <c r="W133" i="24"/>
  <c r="X133" i="24"/>
  <c r="D134" i="24"/>
  <c r="G134" i="24"/>
  <c r="I7" i="20"/>
  <c r="I8" i="20"/>
  <c r="I13" i="20"/>
  <c r="I14" i="20"/>
  <c r="I19" i="20"/>
  <c r="I20" i="20"/>
  <c r="I25" i="20"/>
  <c r="I26" i="20"/>
  <c r="I31" i="20"/>
  <c r="I32" i="20"/>
  <c r="I37" i="20"/>
  <c r="I38" i="20"/>
  <c r="I43" i="20"/>
  <c r="I44" i="20"/>
  <c r="G5" i="19"/>
  <c r="G6" i="19"/>
  <c r="B12" i="19" s="1"/>
  <c r="C12" i="19" s="1"/>
  <c r="G7" i="19"/>
  <c r="G8" i="19"/>
  <c r="B11" i="19"/>
  <c r="G16" i="19"/>
  <c r="G17" i="19"/>
  <c r="G18" i="19"/>
  <c r="G19" i="19"/>
  <c r="G20" i="19"/>
  <c r="G21" i="19"/>
  <c r="G22" i="19"/>
  <c r="G23" i="19"/>
  <c r="G24" i="19"/>
  <c r="G25" i="19"/>
  <c r="G26" i="19"/>
  <c r="G27" i="19"/>
  <c r="G28" i="19"/>
  <c r="G29" i="19"/>
  <c r="G30" i="19"/>
  <c r="G31" i="19"/>
  <c r="M39" i="19"/>
  <c r="M47" i="19" s="1"/>
  <c r="N39" i="19"/>
  <c r="O39" i="19"/>
  <c r="M40" i="19"/>
  <c r="M46" i="19" s="1"/>
  <c r="N40" i="19"/>
  <c r="O40" i="19"/>
  <c r="M41" i="19"/>
  <c r="N41" i="19"/>
  <c r="O41" i="19"/>
  <c r="M42" i="19"/>
  <c r="N42" i="19"/>
  <c r="O42" i="19"/>
  <c r="M43" i="19"/>
  <c r="N43" i="19"/>
  <c r="M44" i="19"/>
  <c r="S76" i="18"/>
  <c r="S84" i="18" s="1"/>
  <c r="S92" i="18" s="1"/>
  <c r="S100" i="18" s="1"/>
  <c r="S108" i="18" s="1"/>
  <c r="T76" i="18"/>
  <c r="T84" i="18" s="1"/>
  <c r="T92" i="18" s="1"/>
  <c r="T100" i="18" s="1"/>
  <c r="T108" i="18" s="1"/>
  <c r="U76" i="18"/>
  <c r="U84" i="18" s="1"/>
  <c r="U92" i="18" s="1"/>
  <c r="U100" i="18" s="1"/>
  <c r="U108" i="18" s="1"/>
  <c r="V76" i="18"/>
  <c r="V84" i="18" s="1"/>
  <c r="V92" i="18" s="1"/>
  <c r="V100" i="18" s="1"/>
  <c r="V108" i="18" s="1"/>
  <c r="W76" i="18"/>
  <c r="W84" i="18" s="1"/>
  <c r="W92" i="18" s="1"/>
  <c r="W100" i="18" s="1"/>
  <c r="W108" i="18" s="1"/>
  <c r="X76" i="18"/>
  <c r="X84" i="18" s="1"/>
  <c r="X92" i="18" s="1"/>
  <c r="X100" i="18" s="1"/>
  <c r="X108" i="18" s="1"/>
  <c r="Y76" i="18"/>
  <c r="Y84" i="18" s="1"/>
  <c r="Y92" i="18" s="1"/>
  <c r="Y100" i="18" s="1"/>
  <c r="Y108" i="18" s="1"/>
  <c r="Z76" i="18"/>
  <c r="Z84" i="18" s="1"/>
  <c r="Z92" i="18" s="1"/>
  <c r="Z100" i="18" s="1"/>
  <c r="Z108" i="18" s="1"/>
  <c r="AA76" i="18"/>
  <c r="AA84" i="18" s="1"/>
  <c r="AA92" i="18" s="1"/>
  <c r="AA100" i="18" s="1"/>
  <c r="AA108" i="18" s="1"/>
  <c r="AB76" i="18"/>
  <c r="AB84" i="18" s="1"/>
  <c r="AB92" i="18" s="1"/>
  <c r="AB100" i="18" s="1"/>
  <c r="AB108" i="18" s="1"/>
  <c r="P77" i="18"/>
  <c r="S77" i="18"/>
  <c r="T77" i="18"/>
  <c r="U77" i="18"/>
  <c r="V77" i="18"/>
  <c r="W77" i="18"/>
  <c r="X77" i="18"/>
  <c r="Y77" i="18"/>
  <c r="Z77" i="18"/>
  <c r="AA77" i="18"/>
  <c r="AB77" i="18"/>
  <c r="P78" i="18"/>
  <c r="Q78" i="18"/>
  <c r="S78" i="18"/>
  <c r="T78" i="18"/>
  <c r="U78" i="18"/>
  <c r="V78" i="18"/>
  <c r="W78" i="18"/>
  <c r="X78" i="18"/>
  <c r="Y78" i="18"/>
  <c r="Z78" i="18"/>
  <c r="AA78" i="18"/>
  <c r="AB78" i="18"/>
  <c r="Q79" i="18"/>
  <c r="P79" i="18"/>
  <c r="S79" i="18"/>
  <c r="T79" i="18"/>
  <c r="U79" i="18"/>
  <c r="V79" i="18"/>
  <c r="W79" i="18"/>
  <c r="X79" i="18"/>
  <c r="Y79" i="18"/>
  <c r="Z79" i="18"/>
  <c r="AA79" i="18"/>
  <c r="AB79" i="18"/>
  <c r="P80" i="18"/>
  <c r="S80" i="18"/>
  <c r="T80" i="18"/>
  <c r="U80" i="18"/>
  <c r="V80" i="18"/>
  <c r="W80" i="18"/>
  <c r="X80" i="18"/>
  <c r="Y80" i="18"/>
  <c r="Z80" i="18"/>
  <c r="AA80" i="18"/>
  <c r="AB80" i="18"/>
  <c r="Q80" i="18"/>
  <c r="P85" i="18"/>
  <c r="Q85" i="18"/>
  <c r="S85" i="18"/>
  <c r="T85" i="18"/>
  <c r="U85" i="18"/>
  <c r="V85" i="18"/>
  <c r="W85" i="18"/>
  <c r="X85" i="18"/>
  <c r="Y85" i="18"/>
  <c r="Z85" i="18"/>
  <c r="AA85" i="18"/>
  <c r="AB85" i="18"/>
  <c r="P86" i="18"/>
  <c r="S86" i="18"/>
  <c r="T86" i="18"/>
  <c r="U86" i="18"/>
  <c r="V86" i="18"/>
  <c r="W86" i="18"/>
  <c r="X86" i="18"/>
  <c r="Y86" i="18"/>
  <c r="Z86" i="18"/>
  <c r="AA86" i="18"/>
  <c r="AB86" i="18"/>
  <c r="T87" i="18"/>
  <c r="U87" i="18"/>
  <c r="V87" i="18"/>
  <c r="W87" i="18"/>
  <c r="X87" i="18"/>
  <c r="Y87" i="18"/>
  <c r="Z87" i="18"/>
  <c r="AA87" i="18"/>
  <c r="AB87" i="18"/>
  <c r="P88" i="18"/>
  <c r="S88" i="18"/>
  <c r="T88" i="18"/>
  <c r="U88" i="18"/>
  <c r="V88" i="18"/>
  <c r="W88" i="18"/>
  <c r="X88" i="18"/>
  <c r="Y88" i="18"/>
  <c r="Z88" i="18"/>
  <c r="AA88" i="18"/>
  <c r="AB88" i="18"/>
  <c r="T93" i="18"/>
  <c r="U93" i="18"/>
  <c r="V93" i="18"/>
  <c r="W93" i="18"/>
  <c r="X93" i="18"/>
  <c r="Y93" i="18"/>
  <c r="Z93" i="18"/>
  <c r="AA93" i="18"/>
  <c r="AB93" i="18"/>
  <c r="T94" i="18"/>
  <c r="U94" i="18"/>
  <c r="V94" i="18"/>
  <c r="W94" i="18"/>
  <c r="X94" i="18"/>
  <c r="Y94" i="18"/>
  <c r="Z94" i="18"/>
  <c r="AA94" i="18"/>
  <c r="AB94" i="18"/>
  <c r="T95" i="18"/>
  <c r="U95" i="18"/>
  <c r="V95" i="18"/>
  <c r="W95" i="18"/>
  <c r="X95" i="18"/>
  <c r="Y95" i="18"/>
  <c r="Z95" i="18"/>
  <c r="AA95" i="18"/>
  <c r="AB95" i="18"/>
  <c r="T96" i="18"/>
  <c r="U96" i="18"/>
  <c r="V96" i="18"/>
  <c r="W96" i="18"/>
  <c r="X96" i="18"/>
  <c r="Y96" i="18"/>
  <c r="Z96" i="18"/>
  <c r="AA96" i="18"/>
  <c r="AB96" i="18"/>
  <c r="T101" i="18"/>
  <c r="U101" i="18"/>
  <c r="V101" i="18"/>
  <c r="W101" i="18"/>
  <c r="X101" i="18"/>
  <c r="Y101" i="18"/>
  <c r="Z101" i="18"/>
  <c r="AA101" i="18"/>
  <c r="AB101" i="18"/>
  <c r="T102" i="18"/>
  <c r="U102" i="18"/>
  <c r="V102" i="18"/>
  <c r="W102" i="18"/>
  <c r="X102" i="18"/>
  <c r="Y102" i="18"/>
  <c r="Z102" i="18"/>
  <c r="AA102" i="18"/>
  <c r="AB102" i="18"/>
  <c r="T103" i="18"/>
  <c r="U103" i="18"/>
  <c r="V103" i="18"/>
  <c r="W103" i="18"/>
  <c r="X103" i="18"/>
  <c r="Y103" i="18"/>
  <c r="Z103" i="18"/>
  <c r="AA103" i="18"/>
  <c r="AB103" i="18"/>
  <c r="T104" i="18"/>
  <c r="U104" i="18"/>
  <c r="V104" i="18"/>
  <c r="W104" i="18"/>
  <c r="X104" i="18"/>
  <c r="Y104" i="18"/>
  <c r="Z104" i="18"/>
  <c r="AA104" i="18"/>
  <c r="AB104" i="18"/>
  <c r="T109" i="18"/>
  <c r="U109" i="18"/>
  <c r="V109" i="18"/>
  <c r="W109" i="18"/>
  <c r="X109" i="18"/>
  <c r="Y109" i="18"/>
  <c r="Z109" i="18"/>
  <c r="AA109" i="18"/>
  <c r="AB109" i="18"/>
  <c r="T110" i="18"/>
  <c r="U110" i="18"/>
  <c r="V110" i="18"/>
  <c r="W110" i="18"/>
  <c r="X110" i="18"/>
  <c r="Y110" i="18"/>
  <c r="Z110" i="18"/>
  <c r="AA110" i="18"/>
  <c r="AB110" i="18"/>
  <c r="T111" i="18"/>
  <c r="U111" i="18"/>
  <c r="V111" i="18"/>
  <c r="W111" i="18"/>
  <c r="X111" i="18"/>
  <c r="Y111" i="18"/>
  <c r="Z111" i="18"/>
  <c r="AA111" i="18"/>
  <c r="AB111" i="18"/>
  <c r="T112" i="18"/>
  <c r="U112" i="18"/>
  <c r="V112" i="18"/>
  <c r="W112" i="18"/>
  <c r="X112" i="18"/>
  <c r="Y112" i="18"/>
  <c r="Z112" i="18"/>
  <c r="AA112" i="18"/>
  <c r="AB112" i="18"/>
  <c r="D118" i="18"/>
  <c r="C118" i="18" s="1"/>
  <c r="E118" i="18"/>
  <c r="G118" i="18"/>
  <c r="F118" i="18"/>
  <c r="H118" i="18"/>
  <c r="I118" i="18"/>
  <c r="J118" i="18"/>
  <c r="K118" i="18"/>
  <c r="L118" i="18"/>
  <c r="M118" i="18"/>
  <c r="E119" i="18"/>
  <c r="G119" i="18"/>
  <c r="F119" i="18"/>
  <c r="H119" i="18"/>
  <c r="I119" i="18"/>
  <c r="J119" i="18"/>
  <c r="K119" i="18"/>
  <c r="L119" i="18"/>
  <c r="M119" i="18"/>
  <c r="E120" i="18"/>
  <c r="G120" i="18"/>
  <c r="F120" i="18"/>
  <c r="H120" i="18"/>
  <c r="I120" i="18"/>
  <c r="J120" i="18"/>
  <c r="K120" i="18"/>
  <c r="L120" i="18"/>
  <c r="M120" i="18"/>
  <c r="E121" i="18"/>
  <c r="G121" i="18"/>
  <c r="F121" i="18"/>
  <c r="H121" i="18"/>
  <c r="I121" i="18"/>
  <c r="J121" i="18"/>
  <c r="K121" i="18"/>
  <c r="L121" i="18"/>
  <c r="M121" i="18"/>
  <c r="E122" i="18"/>
  <c r="G122" i="18"/>
  <c r="F122" i="18"/>
  <c r="H122" i="18"/>
  <c r="I122" i="18"/>
  <c r="J122" i="18"/>
  <c r="K122" i="18"/>
  <c r="L122" i="18"/>
  <c r="M122" i="18"/>
  <c r="W15" i="27"/>
  <c r="L7" i="7"/>
  <c r="S8" i="7" s="1"/>
  <c r="E18" i="15" s="1"/>
  <c r="K16" i="7"/>
  <c r="G12" i="7"/>
  <c r="K12" i="7" s="1"/>
  <c r="H8" i="15"/>
  <c r="J8" i="15" s="1"/>
  <c r="H7" i="15"/>
  <c r="J7" i="15" s="1"/>
  <c r="H9" i="15"/>
  <c r="J9" i="15" s="1"/>
  <c r="K28" i="7"/>
  <c r="L28" i="7"/>
  <c r="K29" i="7"/>
  <c r="L29" i="7"/>
  <c r="K30" i="7"/>
  <c r="L30" i="7"/>
  <c r="K31" i="7"/>
  <c r="L31" i="7"/>
  <c r="K32" i="7"/>
  <c r="L32" i="7"/>
  <c r="K33" i="7"/>
  <c r="L33" i="7"/>
  <c r="K34" i="7"/>
  <c r="L34" i="7"/>
  <c r="K35" i="7"/>
  <c r="L35" i="7"/>
  <c r="K36" i="7"/>
  <c r="L36" i="7"/>
  <c r="K37" i="7"/>
  <c r="S11" i="7"/>
  <c r="E21" i="15" s="1"/>
  <c r="H21" i="15" s="1"/>
  <c r="K38" i="7"/>
  <c r="L38" i="7"/>
  <c r="K39" i="7"/>
  <c r="L39" i="7"/>
  <c r="K40" i="7"/>
  <c r="L40" i="7"/>
  <c r="K41" i="7"/>
  <c r="L41" i="7"/>
  <c r="K42" i="7"/>
  <c r="L42" i="7"/>
  <c r="K43" i="7"/>
  <c r="L43" i="7"/>
  <c r="K44" i="7"/>
  <c r="L44" i="7"/>
  <c r="K45" i="7"/>
  <c r="L45" i="7"/>
  <c r="K46" i="7"/>
  <c r="L46" i="7"/>
  <c r="K47" i="7"/>
  <c r="L47" i="7"/>
  <c r="G9" i="7"/>
  <c r="K9" i="7" s="1"/>
  <c r="H9" i="7"/>
  <c r="L9" i="7" s="1"/>
  <c r="G10" i="7"/>
  <c r="K10" i="7" s="1"/>
  <c r="H10" i="7"/>
  <c r="L10" i="7" s="1"/>
  <c r="G11" i="7"/>
  <c r="K11" i="7" s="1"/>
  <c r="H11" i="7"/>
  <c r="L11" i="7"/>
  <c r="H12" i="7"/>
  <c r="L12" i="7" s="1"/>
  <c r="G13" i="7"/>
  <c r="K13" i="7" s="1"/>
  <c r="H13" i="7"/>
  <c r="L13" i="7" s="1"/>
  <c r="G14" i="7"/>
  <c r="K14" i="7" s="1"/>
  <c r="H14" i="7"/>
  <c r="L14" i="7" s="1"/>
  <c r="K15" i="7"/>
  <c r="L15" i="7"/>
  <c r="L16" i="7"/>
  <c r="L17" i="7"/>
  <c r="K18" i="7"/>
  <c r="L18" i="7"/>
  <c r="K19" i="7"/>
  <c r="L19" i="7"/>
  <c r="K20" i="7"/>
  <c r="L20" i="7"/>
  <c r="K21" i="7"/>
  <c r="L21" i="7"/>
  <c r="K22" i="7"/>
  <c r="L22" i="7"/>
  <c r="K23" i="7"/>
  <c r="L23" i="7"/>
  <c r="L24" i="7"/>
  <c r="K25" i="7"/>
  <c r="L25" i="7"/>
  <c r="K26" i="7"/>
  <c r="L26" i="7"/>
  <c r="R10" i="7"/>
  <c r="D20" i="15" s="1"/>
  <c r="S10" i="7"/>
  <c r="E20" i="15" s="1"/>
  <c r="R6" i="8"/>
  <c r="R5" i="8"/>
  <c r="M13" i="8" s="1"/>
  <c r="R4" i="8"/>
  <c r="M7" i="7"/>
  <c r="H18" i="15"/>
  <c r="H5" i="15"/>
  <c r="M47" i="7"/>
  <c r="M8" i="7"/>
  <c r="K3" i="6"/>
  <c r="P2" i="6" s="1"/>
  <c r="M16" i="8" l="1"/>
  <c r="P10" i="8" s="1"/>
  <c r="P12" i="8"/>
  <c r="P13" i="8" s="1"/>
  <c r="P14" i="8" s="1"/>
  <c r="C11" i="19"/>
  <c r="K35" i="6"/>
  <c r="I16" i="6"/>
  <c r="K12" i="6"/>
  <c r="K47" i="6"/>
  <c r="I37" i="6"/>
  <c r="J17" i="6"/>
  <c r="I14" i="6"/>
  <c r="K18" i="6"/>
  <c r="I24" i="6"/>
  <c r="K26" i="6"/>
  <c r="K32" i="6"/>
  <c r="J30" i="6"/>
  <c r="I11" i="6"/>
  <c r="J38" i="6"/>
  <c r="K13" i="6"/>
  <c r="I8" i="6"/>
  <c r="K21" i="6"/>
  <c r="J11" i="6"/>
  <c r="J15" i="6"/>
  <c r="I23" i="6"/>
  <c r="I22" i="6"/>
  <c r="K39" i="6"/>
  <c r="I20" i="6"/>
  <c r="K16" i="6"/>
  <c r="I15" i="6"/>
  <c r="K17" i="6"/>
  <c r="K41" i="6"/>
  <c r="I27" i="6"/>
  <c r="I10" i="6"/>
  <c r="I41" i="6"/>
  <c r="J21" i="6"/>
  <c r="I18" i="6"/>
  <c r="K43" i="6"/>
  <c r="J28" i="6"/>
  <c r="J42" i="6"/>
  <c r="K22" i="6"/>
  <c r="J19" i="6"/>
  <c r="J20" i="6"/>
  <c r="K36" i="6"/>
  <c r="K46" i="6"/>
  <c r="K20" i="6"/>
  <c r="K15" i="6"/>
  <c r="K31" i="6"/>
  <c r="J8" i="6"/>
  <c r="I45" i="6"/>
  <c r="J25" i="6"/>
  <c r="K25" i="6"/>
  <c r="J23" i="6"/>
  <c r="I30" i="6"/>
  <c r="J47" i="6"/>
  <c r="I9" i="6"/>
  <c r="J46" i="6"/>
  <c r="K34" i="6"/>
  <c r="J9" i="6"/>
  <c r="J10" i="6"/>
  <c r="K8" i="6"/>
  <c r="I28" i="6"/>
  <c r="K24" i="6"/>
  <c r="I31" i="6"/>
  <c r="J12" i="6"/>
  <c r="J29" i="6"/>
  <c r="I26" i="6"/>
  <c r="K33" i="6"/>
  <c r="I13" i="6"/>
  <c r="J16" i="6"/>
  <c r="J27" i="6"/>
  <c r="J14" i="6"/>
  <c r="I32" i="6"/>
  <c r="J33" i="6"/>
  <c r="K10" i="6"/>
  <c r="I33" i="6"/>
  <c r="K11" i="6"/>
  <c r="J36" i="6"/>
  <c r="K28" i="6"/>
  <c r="I38" i="6"/>
  <c r="K30" i="6"/>
  <c r="I39" i="6"/>
  <c r="J31" i="6"/>
  <c r="K14" i="6"/>
  <c r="I19" i="6"/>
  <c r="I36" i="6"/>
  <c r="I17" i="6"/>
  <c r="J24" i="6"/>
  <c r="I43" i="6"/>
  <c r="J43" i="6"/>
  <c r="J18" i="6"/>
  <c r="K45" i="6"/>
  <c r="K9" i="6"/>
  <c r="K19" i="6"/>
  <c r="K29" i="6"/>
  <c r="J37" i="6"/>
  <c r="I34" i="6"/>
  <c r="J48" i="6"/>
  <c r="I48" i="6"/>
  <c r="I46" i="6"/>
  <c r="I21" i="6"/>
  <c r="J32" i="6"/>
  <c r="K38" i="6"/>
  <c r="J35" i="6"/>
  <c r="I40" i="6"/>
  <c r="J13" i="6"/>
  <c r="J22" i="6"/>
  <c r="I35" i="6"/>
  <c r="K23" i="6"/>
  <c r="K37" i="6"/>
  <c r="J41" i="6"/>
  <c r="I12" i="6"/>
  <c r="I25" i="6"/>
  <c r="J40" i="6"/>
  <c r="K42" i="6"/>
  <c r="J39" i="6"/>
  <c r="J44" i="6"/>
  <c r="I44" i="6"/>
  <c r="K48" i="6"/>
  <c r="J26" i="6"/>
  <c r="K40" i="6"/>
  <c r="K44" i="6"/>
  <c r="K27" i="6"/>
  <c r="I47" i="6"/>
  <c r="J45" i="6"/>
  <c r="I42" i="6"/>
  <c r="I29" i="6"/>
  <c r="J34" i="6"/>
  <c r="Y13" i="27"/>
  <c r="Y12" i="27"/>
  <c r="M9" i="7"/>
  <c r="M44" i="7"/>
  <c r="M45" i="7"/>
  <c r="M14" i="7"/>
  <c r="M12" i="7"/>
  <c r="R12" i="7"/>
  <c r="D22" i="15" s="1"/>
  <c r="M11" i="7"/>
  <c r="M10" i="7"/>
  <c r="M46" i="7"/>
  <c r="M13" i="7"/>
  <c r="S12" i="7"/>
  <c r="E22" i="15" s="1"/>
  <c r="M35" i="7"/>
  <c r="M39" i="7"/>
  <c r="M30" i="7"/>
  <c r="M34" i="7"/>
  <c r="M33" i="7"/>
  <c r="M29" i="7"/>
  <c r="M25" i="7"/>
  <c r="M23" i="7"/>
  <c r="M21" i="7"/>
  <c r="M19" i="7"/>
  <c r="H20" i="15"/>
  <c r="H11" i="15"/>
  <c r="M36" i="7"/>
  <c r="M26" i="7"/>
  <c r="M22" i="7"/>
  <c r="M18" i="7"/>
  <c r="M38" i="7"/>
  <c r="M24" i="7"/>
  <c r="M20" i="7"/>
  <c r="L27" i="7"/>
  <c r="M42" i="7"/>
  <c r="L37" i="7"/>
  <c r="M37" i="7" s="1"/>
  <c r="M32" i="7"/>
  <c r="D19" i="15"/>
  <c r="S9" i="7"/>
  <c r="E19" i="15" s="1"/>
  <c r="M15" i="7"/>
  <c r="M31" i="7"/>
  <c r="K27" i="7"/>
  <c r="K17" i="7"/>
  <c r="M17" i="7" s="1"/>
  <c r="M16" i="7"/>
  <c r="M43" i="7"/>
  <c r="M40" i="7"/>
  <c r="M28" i="7"/>
  <c r="M41" i="7"/>
  <c r="H6" i="15"/>
  <c r="J6" i="15" s="1"/>
  <c r="X15" i="27"/>
  <c r="Q94" i="18"/>
  <c r="S93" i="18"/>
  <c r="Q88" i="18"/>
  <c r="S94" i="18"/>
  <c r="P93" i="18"/>
  <c r="P94" i="18"/>
  <c r="P87" i="18"/>
  <c r="D119" i="18"/>
  <c r="C119" i="18" s="1"/>
  <c r="Q81" i="18"/>
  <c r="R78" i="18" s="1"/>
  <c r="Q93" i="18"/>
  <c r="S87" i="18"/>
  <c r="I17" i="19" l="1"/>
  <c r="I27" i="19"/>
  <c r="I31" i="19"/>
  <c r="I16" i="19"/>
  <c r="I18" i="19"/>
  <c r="I20" i="19"/>
  <c r="I24" i="19"/>
  <c r="I22" i="19"/>
  <c r="I26" i="19"/>
  <c r="I28" i="19"/>
  <c r="I30" i="19"/>
  <c r="I19" i="19"/>
  <c r="I21" i="19"/>
  <c r="I23" i="19"/>
  <c r="I25" i="19"/>
  <c r="I29" i="19"/>
  <c r="H22" i="15"/>
  <c r="H24" i="15" s="1"/>
  <c r="H19" i="15"/>
  <c r="M27" i="7"/>
  <c r="R79" i="18"/>
  <c r="R80" i="18"/>
  <c r="R77" i="18"/>
  <c r="Q95" i="18"/>
  <c r="S95" i="18"/>
  <c r="D120" i="18"/>
  <c r="C120" i="18" s="1"/>
  <c r="P95" i="18"/>
  <c r="S109" i="18"/>
  <c r="S102" i="18"/>
  <c r="P102" i="18"/>
  <c r="Q101" i="18"/>
  <c r="P101" i="18"/>
  <c r="S101" i="18"/>
  <c r="S96" i="18"/>
  <c r="P96" i="18"/>
  <c r="Q87" i="18"/>
  <c r="D121" i="18" l="1"/>
  <c r="C121" i="18" s="1"/>
  <c r="Q103" i="18"/>
  <c r="Q89" i="18"/>
  <c r="P103" i="18"/>
  <c r="S103" i="18"/>
  <c r="S104" i="18"/>
  <c r="P104" i="18"/>
  <c r="Q102" i="18"/>
  <c r="P109" i="18"/>
  <c r="Q96" i="18"/>
  <c r="Q110" i="18"/>
  <c r="P110" i="18"/>
  <c r="S110" i="18"/>
  <c r="Q109" i="18"/>
  <c r="R85" i="18" l="1"/>
  <c r="R86" i="18"/>
  <c r="R88" i="18"/>
  <c r="Q97" i="18"/>
  <c r="R87" i="18"/>
  <c r="Q111" i="18"/>
  <c r="P111" i="18"/>
  <c r="S111" i="18"/>
  <c r="D122" i="18"/>
  <c r="Q112" i="18"/>
  <c r="S112" i="18"/>
  <c r="P112" i="18"/>
  <c r="Q104" i="18"/>
  <c r="Q105" i="18" s="1"/>
  <c r="R101" i="18" s="1"/>
  <c r="Q113" i="18" l="1"/>
  <c r="R109" i="18" s="1"/>
  <c r="R104" i="18"/>
  <c r="R94" i="18"/>
  <c r="R93" i="18"/>
  <c r="R95" i="18"/>
  <c r="R102" i="18"/>
  <c r="R96" i="18"/>
  <c r="R103" i="18"/>
  <c r="C122" i="18"/>
  <c r="M126" i="18"/>
  <c r="H126" i="18"/>
  <c r="I126" i="18"/>
  <c r="G126" i="18"/>
  <c r="L126" i="18"/>
  <c r="E126" i="18"/>
  <c r="J126" i="18"/>
  <c r="D126" i="18"/>
  <c r="K126" i="18"/>
  <c r="F126" i="18"/>
  <c r="R110" i="18" l="1"/>
  <c r="R112" i="18"/>
  <c r="R111"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3" authorId="0" shapeId="0" xr:uid="{00000000-0006-0000-0100-000001000000}">
      <text>
        <r>
          <rPr>
            <b/>
            <sz val="8"/>
            <color indexed="81"/>
            <rFont val="Tahoma"/>
            <family val="2"/>
          </rPr>
          <t>Insert Table</t>
        </r>
      </text>
    </comment>
    <comment ref="P3" authorId="0" shapeId="0" xr:uid="{00000000-0006-0000-0100-000002000000}">
      <text>
        <r>
          <rPr>
            <b/>
            <sz val="8"/>
            <color indexed="81"/>
            <rFont val="Tahoma"/>
            <family val="2"/>
          </rPr>
          <t>Insert Table</t>
        </r>
      </text>
    </comment>
    <comment ref="B16" authorId="0" shapeId="0" xr:uid="{00000000-0006-0000-0100-000003000000}">
      <text>
        <r>
          <rPr>
            <b/>
            <sz val="8"/>
            <color indexed="81"/>
            <rFont val="Tahoma"/>
            <family val="2"/>
          </rPr>
          <t>Insert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Jacopo Tattini</author>
    <author>Mikkel Bosack Simonsen</author>
  </authors>
  <commentList>
    <comment ref="K3" authorId="0" shapeId="0" xr:uid="{00000000-0006-0000-0200-000001000000}">
      <text>
        <r>
          <rPr>
            <b/>
            <sz val="9"/>
            <color indexed="8"/>
            <rFont val="Calibri"/>
            <family val="2"/>
            <scheme val="minor"/>
          </rPr>
          <t>Jacopo Tattini:</t>
        </r>
        <r>
          <rPr>
            <sz val="9"/>
            <color indexed="8"/>
            <rFont val="Calibri"/>
            <family val="2"/>
            <scheme val="minor"/>
          </rPr>
          <t xml:space="preserve">
From Hjalmar Christiansen - Documentation of the
Danish National Travel Survey, table 6.3</t>
        </r>
      </text>
    </comment>
    <comment ref="B6" authorId="0" shapeId="0" xr:uid="{00000000-0006-0000-0200-000002000000}">
      <text>
        <r>
          <rPr>
            <b/>
            <sz val="9"/>
            <color indexed="8"/>
            <rFont val="Calibri"/>
            <family val="2"/>
            <scheme val="minor"/>
          </rPr>
          <t>Jacopo Tattini:</t>
        </r>
        <r>
          <rPr>
            <sz val="9"/>
            <color indexed="8"/>
            <rFont val="Calibri"/>
            <family val="2"/>
            <scheme val="minor"/>
          </rPr>
          <t xml:space="preserve">
From Statistik Denmark. Tables: FOLK 1, FRKM115</t>
        </r>
      </text>
    </comment>
    <comment ref="AE6" authorId="0" shapeId="0" xr:uid="{00000000-0006-0000-0200-000003000000}">
      <text>
        <r>
          <rPr>
            <b/>
            <sz val="9"/>
            <color indexed="8"/>
            <rFont val="Calibri"/>
            <family val="2"/>
            <scheme val="minor"/>
          </rPr>
          <t>Jacopo Tattini:</t>
        </r>
        <r>
          <rPr>
            <sz val="9"/>
            <color indexed="8"/>
            <rFont val="Calibri"/>
            <family val="2"/>
            <scheme val="minor"/>
          </rPr>
          <t xml:space="preserve">
From Statistik Denmark. Tables: FOLK 1, FRKM115</t>
        </r>
      </text>
    </comment>
    <comment ref="V16" authorId="1" shapeId="0" xr:uid="{00000000-0006-0000-0200-000004000000}">
      <text>
        <r>
          <rPr>
            <b/>
            <sz val="9"/>
            <color indexed="81"/>
            <rFont val="Tahoma"/>
            <family val="2"/>
          </rPr>
          <t>Mikkel Bosack Simonsen:</t>
        </r>
        <r>
          <rPr>
            <sz val="9"/>
            <color indexed="81"/>
            <rFont val="Tahoma"/>
            <family val="2"/>
          </rPr>
          <t xml:space="preserve">
Reference year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Jacopo Tattini</author>
    <author>Mikkel Bosack Simonsen</author>
  </authors>
  <commentList>
    <comment ref="J2" authorId="0" shapeId="0" xr:uid="{00000000-0006-0000-0300-000001000000}">
      <text>
        <r>
          <rPr>
            <b/>
            <sz val="9"/>
            <color indexed="81"/>
            <rFont val="Tahoma"/>
            <family val="2"/>
          </rPr>
          <t>Jacopo Tattini:</t>
        </r>
        <r>
          <rPr>
            <sz val="9"/>
            <color indexed="81"/>
            <rFont val="Tahoma"/>
            <family val="2"/>
          </rPr>
          <t xml:space="preserve">
This time consumption is the one of the frozen model. The mdoel is run wityhout any TTB and the time consumption in 2010 calculated for the model is this value</t>
        </r>
      </text>
    </comment>
    <comment ref="E15" authorId="1" shapeId="0" xr:uid="{00000000-0006-0000-0300-000002000000}">
      <text>
        <r>
          <rPr>
            <b/>
            <sz val="9"/>
            <color indexed="81"/>
            <rFont val="Tahoma"/>
            <family val="2"/>
          </rPr>
          <t>Mikkel Bosack Simonsen:</t>
        </r>
        <r>
          <rPr>
            <sz val="9"/>
            <color indexed="81"/>
            <rFont val="Tahoma"/>
            <family val="2"/>
          </rPr>
          <t xml:space="preserve">
Reference 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Mikkel Bosack Simonsen</author>
  </authors>
  <commentList>
    <comment ref="O3" authorId="0" shapeId="0" xr:uid="{00000000-0006-0000-0400-000001000000}">
      <text>
        <r>
          <rPr>
            <b/>
            <sz val="9"/>
            <color indexed="81"/>
            <rFont val="Tahoma"/>
            <family val="2"/>
          </rPr>
          <t>Mikkel Bosack Simonsen:</t>
        </r>
        <r>
          <rPr>
            <sz val="9"/>
            <color indexed="81"/>
            <rFont val="Tahoma"/>
            <family val="2"/>
          </rPr>
          <t xml:space="preserve">
source is Jacopo´s article Reaching carbon neutral transport sector in Denmark - Evidence from the incorporation of modal shift into the TIMES energy system modeling framework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Jacopo Tattini</author>
  </authors>
  <commentList>
    <comment ref="I7" authorId="0" shapeId="0" xr:uid="{00000000-0006-0000-0700-000001000000}">
      <text>
        <r>
          <rPr>
            <b/>
            <sz val="9"/>
            <color indexed="81"/>
            <rFont val="Tahoma"/>
            <family val="2"/>
          </rPr>
          <t>Jacopo Tattini:</t>
        </r>
        <r>
          <rPr>
            <sz val="9"/>
            <color indexed="81"/>
            <rFont val="Tahoma"/>
            <family val="2"/>
          </rPr>
          <t xml:space="preserve">
0.99*Walk production in 2010</t>
        </r>
      </text>
    </comment>
    <comment ref="I13" authorId="0" shapeId="0" xr:uid="{00000000-0006-0000-0700-000002000000}">
      <text>
        <r>
          <rPr>
            <b/>
            <sz val="9"/>
            <color indexed="81"/>
            <rFont val="Tahoma"/>
            <family val="2"/>
          </rPr>
          <t>Jacopo Tattini:</t>
        </r>
        <r>
          <rPr>
            <sz val="9"/>
            <color indexed="81"/>
            <rFont val="Tahoma"/>
            <family val="2"/>
          </rPr>
          <t xml:space="preserve">
0.99*Walk production in 2010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Jacopo Tattini</author>
  </authors>
  <commentList>
    <comment ref="K3" authorId="0" shapeId="0" xr:uid="{00000000-0006-0000-0F00-000001000000}">
      <text>
        <r>
          <rPr>
            <b/>
            <sz val="9"/>
            <color indexed="81"/>
            <rFont val="Tahoma"/>
            <family val="2"/>
          </rPr>
          <t>Jacopo Tattini:</t>
        </r>
        <r>
          <rPr>
            <sz val="9"/>
            <color indexed="81"/>
            <rFont val="Tahoma"/>
            <family val="2"/>
          </rPr>
          <t xml:space="preserve">
From Hjalmar Christiansen - Documentation of the
Danish National Travel Survey, table 6.3</t>
        </r>
      </text>
    </comment>
    <comment ref="B6" authorId="0" shapeId="0" xr:uid="{00000000-0006-0000-0F00-000002000000}">
      <text>
        <r>
          <rPr>
            <b/>
            <sz val="9"/>
            <color indexed="81"/>
            <rFont val="Tahoma"/>
            <family val="2"/>
          </rPr>
          <t>Jacopo Tattini:</t>
        </r>
        <r>
          <rPr>
            <sz val="9"/>
            <color indexed="81"/>
            <rFont val="Tahoma"/>
            <family val="2"/>
          </rPr>
          <t xml:space="preserve">
From Statistik Denmark. Tables: FOLK 1, FRKM115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<sst xmlns="http://schemas.openxmlformats.org/spreadsheetml/2006/main" count="3631" uniqueCount="468">
  <si>
    <t>Year</t>
  </si>
  <si>
    <t>Pset_PN</t>
  </si>
  <si>
    <t>Attribute</t>
  </si>
  <si>
    <t>~TFM_INS</t>
  </si>
  <si>
    <t>DKW</t>
  </si>
  <si>
    <t>DKE</t>
  </si>
  <si>
    <t>TIME</t>
  </si>
  <si>
    <t>MINTTB</t>
  </si>
  <si>
    <t>ACT_BND</t>
  </si>
  <si>
    <t>Average</t>
  </si>
  <si>
    <t>Total</t>
  </si>
  <si>
    <t>Population projection</t>
  </si>
  <si>
    <t>Travel Time [mnts]</t>
  </si>
  <si>
    <t>Days per year</t>
  </si>
  <si>
    <t>TPCL</t>
  </si>
  <si>
    <t>TU Average travel time [h]</t>
  </si>
  <si>
    <t>TU Schafer</t>
  </si>
  <si>
    <t>Population relative growth</t>
  </si>
  <si>
    <t>Mpkm car</t>
  </si>
  <si>
    <t>tot passengers by car</t>
  </si>
  <si>
    <t>Mvkm car</t>
  </si>
  <si>
    <t>Mkmcar/year</t>
  </si>
  <si>
    <t>TPCS</t>
  </si>
  <si>
    <t>Transport Passengers Cars Short Distance (&lt;25 km)</t>
  </si>
  <si>
    <t>Mpass-km</t>
  </si>
  <si>
    <t>TPCM</t>
  </si>
  <si>
    <t>Transport Passengers Cars Medium Distance (25-50 km)</t>
  </si>
  <si>
    <t>Transport Passengers Cars Long Distance (&gt;50 km)</t>
  </si>
  <si>
    <t>occupancy factor</t>
  </si>
  <si>
    <t>tot vehicles in DK in 2010</t>
  </si>
  <si>
    <t>days/year</t>
  </si>
  <si>
    <t>km/day</t>
  </si>
  <si>
    <t>speed km/h</t>
  </si>
  <si>
    <t>h/day</t>
  </si>
  <si>
    <t xml:space="preserve">Active Unit:  </t>
  </si>
  <si>
    <t>Travel time budget with 0.93[Mhs]</t>
  </si>
  <si>
    <t>Travel time budget calibrated with results of first run</t>
  </si>
  <si>
    <t>TIMEMTS</t>
  </si>
  <si>
    <t>TIMEMTM</t>
  </si>
  <si>
    <t>TIMEMTL</t>
  </si>
  <si>
    <t>TIMEMPS</t>
  </si>
  <si>
    <t>TIMEMPM</t>
  </si>
  <si>
    <t>TIMEMPL</t>
  </si>
  <si>
    <t>TIMETS</t>
  </si>
  <si>
    <t>TIMETM</t>
  </si>
  <si>
    <t>TIMETL</t>
  </si>
  <si>
    <t>TIMESTS</t>
  </si>
  <si>
    <t>TIMESTM</t>
  </si>
  <si>
    <t>TIMEMES</t>
  </si>
  <si>
    <t>TIMEBIS</t>
  </si>
  <si>
    <t>TIMEWS</t>
  </si>
  <si>
    <t>TIMECS</t>
  </si>
  <si>
    <t>TIMECM</t>
  </si>
  <si>
    <t>TIMECL</t>
  </si>
  <si>
    <t>TIMEBS</t>
  </si>
  <si>
    <t>TIMEBM</t>
  </si>
  <si>
    <t>TIMEBL</t>
  </si>
  <si>
    <t>Table Name: __TIME_Consumption_TTI</t>
  </si>
  <si>
    <t>MINTTB East</t>
  </si>
  <si>
    <t>MINTTB West</t>
  </si>
  <si>
    <t>Commodity</t>
  </si>
  <si>
    <t>Region\Period</t>
  </si>
  <si>
    <t>COST</t>
  </si>
  <si>
    <t>Moped</t>
  </si>
  <si>
    <t>Moto</t>
  </si>
  <si>
    <t>Walk</t>
  </si>
  <si>
    <t>Bike</t>
  </si>
  <si>
    <t>Metro</t>
  </si>
  <si>
    <t>S-train</t>
  </si>
  <si>
    <t>Train</t>
  </si>
  <si>
    <t>Coach</t>
  </si>
  <si>
    <t>Public bus</t>
  </si>
  <si>
    <t>Car</t>
  </si>
  <si>
    <t>L</t>
  </si>
  <si>
    <t>M</t>
  </si>
  <si>
    <t>S</t>
  </si>
  <si>
    <t>XS</t>
  </si>
  <si>
    <t>Distance projections according to the LTM model</t>
  </si>
  <si>
    <t>UP</t>
  </si>
  <si>
    <t>TPL</t>
  </si>
  <si>
    <t>TRA*</t>
  </si>
  <si>
    <t>TPCA*</t>
  </si>
  <si>
    <t>TPM</t>
  </si>
  <si>
    <t>TPS</t>
  </si>
  <si>
    <t>TPXS</t>
  </si>
  <si>
    <t>UC_Desc</t>
  </si>
  <si>
    <t>UC_RHSTS~0</t>
  </si>
  <si>
    <t>UC_RHSTS</t>
  </si>
  <si>
    <t>UC_FLO</t>
  </si>
  <si>
    <t>LimType</t>
  </si>
  <si>
    <t>Cset_CN</t>
  </si>
  <si>
    <t>Pset_CI</t>
  </si>
  <si>
    <t>UC_N</t>
  </si>
  <si>
    <t>TPCO*</t>
  </si>
  <si>
    <t>TPBU*</t>
  </si>
  <si>
    <t>LO</t>
  </si>
  <si>
    <t>TPR*, TPBU*</t>
  </si>
  <si>
    <t>Minimum share of long distance demand to be met by public transport</t>
  </si>
  <si>
    <t>UC_Min_Pub_Transp_Long</t>
  </si>
  <si>
    <t>~UC_T</t>
  </si>
  <si>
    <t>Minimum share of medium distance demand to be met by public transport</t>
  </si>
  <si>
    <t>UC_Min_Pub_Transp_Medium</t>
  </si>
  <si>
    <t>Minimum share of short distance demand to be met by public transport</t>
  </si>
  <si>
    <t>UC_Min_Pub_Transp_Short</t>
  </si>
  <si>
    <t>Minimum share of extra short distance demand to be met by public transport</t>
  </si>
  <si>
    <t>UC_Min_Pub_Transp_Extra_Short</t>
  </si>
  <si>
    <t>~UC_Sets: T_E:</t>
  </si>
  <si>
    <t>~UC_Sets: R_S: AllRegions</t>
  </si>
  <si>
    <t>UC - All Regions/Each Period</t>
  </si>
  <si>
    <t>average speed car</t>
  </si>
  <si>
    <t>average speed pub transp</t>
  </si>
  <si>
    <t>Bus</t>
  </si>
  <si>
    <t>Long</t>
  </si>
  <si>
    <t>Medium</t>
  </si>
  <si>
    <t>Short</t>
  </si>
  <si>
    <t>Weighted speed</t>
  </si>
  <si>
    <t>Travel demand in 2010</t>
  </si>
  <si>
    <t>Modal speed by trip distance [km/h]</t>
  </si>
  <si>
    <t>COM_PROJ</t>
  </si>
  <si>
    <t>Mpkm with public transport</t>
  </si>
  <si>
    <t>Mpkm</t>
  </si>
  <si>
    <t xml:space="preserve">Share of 10-25 km </t>
  </si>
  <si>
    <t>People in TU with car accessibility</t>
  </si>
  <si>
    <t>Share of short distance pkm between 10 and 25 km by car (From Master of Substitution Pattern)</t>
  </si>
  <si>
    <t>People in TU without car accessibility</t>
  </si>
  <si>
    <t>More cars</t>
  </si>
  <si>
    <t>1 car</t>
  </si>
  <si>
    <t>No cars</t>
  </si>
  <si>
    <t>Number of people normalized</t>
  </si>
  <si>
    <t>People in the category</t>
  </si>
  <si>
    <t>Number of families</t>
  </si>
  <si>
    <t>Total weight</t>
  </si>
  <si>
    <t>Car availability</t>
  </si>
  <si>
    <t>TPMP*</t>
  </si>
  <si>
    <t xml:space="preserve">Low production of short distance travel demand by moped </t>
  </si>
  <si>
    <t>UC_Low_Moped_Short</t>
  </si>
  <si>
    <t>TPMPS</t>
  </si>
  <si>
    <t>TPMPXS</t>
  </si>
  <si>
    <t xml:space="preserve">Low production of Extra short distance travel demand by moped </t>
  </si>
  <si>
    <t>UC_Low_Moped__ExtraShort</t>
  </si>
  <si>
    <t>Unreplacable share</t>
  </si>
  <si>
    <t>Demand in 2050 in Base model</t>
  </si>
  <si>
    <t>TPMT*</t>
  </si>
  <si>
    <t xml:space="preserve">Low production of short distance travel demand by moto </t>
  </si>
  <si>
    <t>UC_Low_Moto_Short</t>
  </si>
  <si>
    <t>TPMTS</t>
  </si>
  <si>
    <t>BIKEcom, TRA*</t>
  </si>
  <si>
    <t>TPBI*</t>
  </si>
  <si>
    <t xml:space="preserve">Low production of short distance travel demand by bike </t>
  </si>
  <si>
    <t>UC_Low_Bike_Short</t>
  </si>
  <si>
    <t>TPBIS</t>
  </si>
  <si>
    <t xml:space="preserve">Low production of extra short distance travel demand by bike </t>
  </si>
  <si>
    <t>UC_Low_Bike_ExtraShort</t>
  </si>
  <si>
    <t>TPBIXS</t>
  </si>
  <si>
    <t>BIKEcom</t>
  </si>
  <si>
    <t>TPWALK*</t>
  </si>
  <si>
    <t xml:space="preserve">Low production of short distance travel demand by walk </t>
  </si>
  <si>
    <t>UC_Low_Walk_Short</t>
  </si>
  <si>
    <t xml:space="preserve">Low production of extra short distance travel demand by walk </t>
  </si>
  <si>
    <t>UC_Low_Walk_ExtraShort</t>
  </si>
  <si>
    <t>TPWS</t>
  </si>
  <si>
    <t>TPWXS</t>
  </si>
  <si>
    <t>TPRS*</t>
  </si>
  <si>
    <t>Up production of medium distance travel demand by S-train</t>
  </si>
  <si>
    <t>UC_Up_S-train_M</t>
  </si>
  <si>
    <t>UC_RHSRTS~0</t>
  </si>
  <si>
    <t>~UC_T: UC_RHSRTS</t>
  </si>
  <si>
    <t>Up production of extra short distance travel demand by S-train</t>
  </si>
  <si>
    <t>UC_Up_S-train_S</t>
  </si>
  <si>
    <t>UC_Up_S-train_XS</t>
  </si>
  <si>
    <t>TPRM*</t>
  </si>
  <si>
    <t>Up production of short distance travel demand by metro</t>
  </si>
  <si>
    <t>UC_Up_Metro_S</t>
  </si>
  <si>
    <t>Up production of extra short distance travel demand by metro</t>
  </si>
  <si>
    <t>UC_Up_Metro_XS</t>
  </si>
  <si>
    <t>UPDATED</t>
  </si>
  <si>
    <t>TPRO*</t>
  </si>
  <si>
    <t xml:space="preserve">Up production of long distance travel demand by train </t>
  </si>
  <si>
    <t>UC_Up_Train_Long</t>
  </si>
  <si>
    <t xml:space="preserve">Up production of medium distance travel demand by train </t>
  </si>
  <si>
    <t>UC_Up_Train_M</t>
  </si>
  <si>
    <t xml:space="preserve">Up production of short distance travel demand by train </t>
  </si>
  <si>
    <t>UC_Up_Train_S</t>
  </si>
  <si>
    <t xml:space="preserve">Up production of long distance travel demand by moto </t>
  </si>
  <si>
    <t>UC_Up_Moto_L</t>
  </si>
  <si>
    <t xml:space="preserve">Up production of medium distance travel demand by moto </t>
  </si>
  <si>
    <t>UC_Up_Moto_M</t>
  </si>
  <si>
    <t xml:space="preserve">Up production of short distance travel demand by moto </t>
  </si>
  <si>
    <t>UC_Up_Moto_S</t>
  </si>
  <si>
    <t xml:space="preserve">Up production of short distance travel demand by moped </t>
  </si>
  <si>
    <t>UC_Up_Moped_S</t>
  </si>
  <si>
    <t xml:space="preserve">Up production of extra short distance travel demand by moped </t>
  </si>
  <si>
    <t>UC_Up_Moped_XS</t>
  </si>
  <si>
    <t xml:space="preserve">Up production of long distance travel demand by car </t>
  </si>
  <si>
    <t>UC_Up-Car_L</t>
  </si>
  <si>
    <t xml:space="preserve">Up production of medium distance travel demand by car </t>
  </si>
  <si>
    <t>UC_Up-Car_M</t>
  </si>
  <si>
    <t xml:space="preserve">Up production of short distance travel demand by car </t>
  </si>
  <si>
    <t>UC_Up-Car_S</t>
  </si>
  <si>
    <t xml:space="preserve">Up production of extra short distance travel demand by car </t>
  </si>
  <si>
    <t>UC_Up-Car_XS</t>
  </si>
  <si>
    <t>Up production of long distance travel demand by coach</t>
  </si>
  <si>
    <t>UC_Up_Coach_L</t>
  </si>
  <si>
    <t>Up production of medium distance travel demand by coach</t>
  </si>
  <si>
    <t>UC_Up_Coach_M</t>
  </si>
  <si>
    <t>Up production of short distance travel demand by coach</t>
  </si>
  <si>
    <t>UC_Up_Coach_S</t>
  </si>
  <si>
    <t xml:space="preserve">Up production of short distance travel demand by bus </t>
  </si>
  <si>
    <t>UC_Up-PublicBus_S</t>
  </si>
  <si>
    <t xml:space="preserve">Up production of extra short distance travel demand by bus </t>
  </si>
  <si>
    <t>UC_Up-PublicBus_XS</t>
  </si>
  <si>
    <t xml:space="preserve">Up production of short distance travel demand by bike </t>
  </si>
  <si>
    <t>UC_Up_Bike_S</t>
  </si>
  <si>
    <t xml:space="preserve">Up production of extra short distance travel demand by bike </t>
  </si>
  <si>
    <t>UC_Up_Bike_XS</t>
  </si>
  <si>
    <t xml:space="preserve">Up production of extra short distance travel demand by walk </t>
  </si>
  <si>
    <t>UC_Up_Walk_XS</t>
  </si>
  <si>
    <t>From Moped</t>
  </si>
  <si>
    <t>From Moto</t>
  </si>
  <si>
    <t>From S-train</t>
  </si>
  <si>
    <t>From Metro</t>
  </si>
  <si>
    <t>From Train</t>
  </si>
  <si>
    <t>From Coach</t>
  </si>
  <si>
    <t>From Public bus</t>
  </si>
  <si>
    <t>From Bike</t>
  </si>
  <si>
    <t>From Car</t>
  </si>
  <si>
    <t>From Walk</t>
  </si>
  <si>
    <t>To MOPED</t>
  </si>
  <si>
    <t>25-50.0</t>
  </si>
  <si>
    <t>15-25.0</t>
  </si>
  <si>
    <t>10-15.0</t>
  </si>
  <si>
    <t>5-10.0</t>
  </si>
  <si>
    <t>3-5.0</t>
  </si>
  <si>
    <t>2-3.0</t>
  </si>
  <si>
    <t>0-2</t>
  </si>
  <si>
    <t>Distance class [km]</t>
  </si>
  <si>
    <t>To MOTO</t>
  </si>
  <si>
    <t>50-75.0</t>
  </si>
  <si>
    <t>To S-TRAIN</t>
  </si>
  <si>
    <t>150-250.0</t>
  </si>
  <si>
    <t>100.0-150</t>
  </si>
  <si>
    <t>75-100.0</t>
  </si>
  <si>
    <t>To METRO</t>
  </si>
  <si>
    <t>To TRAIN</t>
  </si>
  <si>
    <t>To COACH</t>
  </si>
  <si>
    <t>To BUS</t>
  </si>
  <si>
    <t>To BIKE</t>
  </si>
  <si>
    <t>To WALK</t>
  </si>
  <si>
    <t>%</t>
  </si>
  <si>
    <t>Mode</t>
  </si>
  <si>
    <t>Total, not increase</t>
  </si>
  <si>
    <t>Riaggiorno tutti i valori con la differenza in % tra dem in 2050 prima e dopo aggiornamento</t>
  </si>
  <si>
    <t>OLD VALUES, BEFORE UPDATE DEMANDS FROM LTMM</t>
  </si>
  <si>
    <t>ok</t>
  </si>
  <si>
    <t>TPPROL</t>
  </si>
  <si>
    <t>TPPROM</t>
  </si>
  <si>
    <t>TPPROS</t>
  </si>
  <si>
    <t>TPPRSM</t>
  </si>
  <si>
    <t>TPPRSS</t>
  </si>
  <si>
    <t>TPPRSXS</t>
  </si>
  <si>
    <t>TPPRMS</t>
  </si>
  <si>
    <t>TPPRMXS</t>
  </si>
  <si>
    <t>TPPCOL</t>
  </si>
  <si>
    <t>TPPCOM</t>
  </si>
  <si>
    <t>TPPCOS</t>
  </si>
  <si>
    <t>TPPBL</t>
  </si>
  <si>
    <t>TPPBM</t>
  </si>
  <si>
    <t>TPPBS</t>
  </si>
  <si>
    <t>TPPBXS</t>
  </si>
  <si>
    <t>TPMPL</t>
  </si>
  <si>
    <t>TPMPM</t>
  </si>
  <si>
    <t>TPMTL</t>
  </si>
  <si>
    <t>TPMTM</t>
  </si>
  <si>
    <t>TPCXS</t>
  </si>
  <si>
    <t>Demand 2050</t>
  </si>
  <si>
    <t>All regions</t>
  </si>
  <si>
    <t>NEW VALUES</t>
  </si>
  <si>
    <t>Moped+Car</t>
  </si>
  <si>
    <t>Moto+Car</t>
  </si>
  <si>
    <t>Moto+Moped</t>
  </si>
  <si>
    <t>S-train+Car DKE</t>
  </si>
  <si>
    <t>S-train+Moped AllReg</t>
  </si>
  <si>
    <t>S-train+Moped DKE</t>
  </si>
  <si>
    <t>S-train+Moto Allreg</t>
  </si>
  <si>
    <t>S-train+Moto DKE</t>
  </si>
  <si>
    <t>Metro+Car DKE</t>
  </si>
  <si>
    <t>Metro+Moped AllReg</t>
  </si>
  <si>
    <t>Metro+Moped DKE</t>
  </si>
  <si>
    <t>Metro+Moto AllReg</t>
  </si>
  <si>
    <t>Metro+Moto DKE</t>
  </si>
  <si>
    <t>Metro+S-train</t>
  </si>
  <si>
    <t>Train+Car</t>
  </si>
  <si>
    <t>Train+Moped</t>
  </si>
  <si>
    <t>Train+Moto</t>
  </si>
  <si>
    <t>Train+S-train AllReg</t>
  </si>
  <si>
    <t>Train+S-train DKE</t>
  </si>
  <si>
    <t>Train+Metro Allreg</t>
  </si>
  <si>
    <t>Train+Metro DKE</t>
  </si>
  <si>
    <t>Coach+Car</t>
  </si>
  <si>
    <t>Coach+Moped</t>
  </si>
  <si>
    <t>Coach+Moto</t>
  </si>
  <si>
    <t>Coach+Strain Allreg</t>
  </si>
  <si>
    <t>Coach+Strain DKE</t>
  </si>
  <si>
    <t>Coach+metro Allreg</t>
  </si>
  <si>
    <t>Coach+metro DKE</t>
  </si>
  <si>
    <t>Coach+Train</t>
  </si>
  <si>
    <t>Bus+Car</t>
  </si>
  <si>
    <t>Bus+Moped</t>
  </si>
  <si>
    <t>Bus+Moto</t>
  </si>
  <si>
    <t>Bus+S-train AllReg</t>
  </si>
  <si>
    <t>Bus+S-train DKE</t>
  </si>
  <si>
    <t>Bus+metro AllReg</t>
  </si>
  <si>
    <t>Bus+metro DKE</t>
  </si>
  <si>
    <t>Bus+Train</t>
  </si>
  <si>
    <t>Bus+coach</t>
  </si>
  <si>
    <t>bike+car</t>
  </si>
  <si>
    <t>bike+coach</t>
  </si>
  <si>
    <t>bike-train</t>
  </si>
  <si>
    <t>bike-metro Allreg</t>
  </si>
  <si>
    <t>bike-metro DKE</t>
  </si>
  <si>
    <t>bike-strain Allreg</t>
  </si>
  <si>
    <t>bike-strain DKE</t>
  </si>
  <si>
    <t>bike+bus</t>
  </si>
  <si>
    <t>bike-moto</t>
  </si>
  <si>
    <t>bike-moped</t>
  </si>
  <si>
    <t>Walk+Car</t>
  </si>
  <si>
    <t>Walk+Moped</t>
  </si>
  <si>
    <t>Walk+Moto</t>
  </si>
  <si>
    <t>walk+coach</t>
  </si>
  <si>
    <t>walk+train</t>
  </si>
  <si>
    <t>walk-metro DKE</t>
  </si>
  <si>
    <t>walk-strain DKE</t>
  </si>
  <si>
    <t>walk+bus</t>
  </si>
  <si>
    <t>walk+bike</t>
  </si>
  <si>
    <t>Not necessary</t>
  </si>
  <si>
    <t>Date</t>
  </si>
  <si>
    <t>Name</t>
  </si>
  <si>
    <t>Sheet Name</t>
  </si>
  <si>
    <t>Cells</t>
  </si>
  <si>
    <t>Comments</t>
  </si>
  <si>
    <t>Mikkel Bosack Simonsen</t>
  </si>
  <si>
    <t>Explanation (2)</t>
  </si>
  <si>
    <t>Combining of all TTB needed files.</t>
  </si>
  <si>
    <t>S-Train</t>
  </si>
  <si>
    <t>Car DKE</t>
  </si>
  <si>
    <t>Max shift of two modes together (must be added to the sum of the two modes)</t>
  </si>
  <si>
    <t>Old values (2010 datasæt)</t>
  </si>
  <si>
    <t>BIke</t>
  </si>
  <si>
    <t>TPWALK</t>
  </si>
  <si>
    <t>Gang</t>
  </si>
  <si>
    <t>Transport demands for base year</t>
  </si>
  <si>
    <t>Maked red is unlimited</t>
  </si>
  <si>
    <t>UC_RHSTS~2050</t>
  </si>
  <si>
    <t>S-Train DKE</t>
  </si>
  <si>
    <t>S-train DKE</t>
  </si>
  <si>
    <t>Metro DKE</t>
  </si>
  <si>
    <t>Moto DKE</t>
  </si>
  <si>
    <t>Moped DKE</t>
  </si>
  <si>
    <t>Public bus DKE</t>
  </si>
  <si>
    <t>Coach DKE</t>
  </si>
  <si>
    <t>Train DKE</t>
  </si>
  <si>
    <t>Bike DKE</t>
  </si>
  <si>
    <t>Walk DKE</t>
  </si>
  <si>
    <t>UC_RHSTS~2010</t>
  </si>
  <si>
    <t>UC_Up_E-Bike_XS</t>
  </si>
  <si>
    <t>UC_Up_E-Bike_S</t>
  </si>
  <si>
    <t>TPBIKELC*</t>
  </si>
  <si>
    <t>UC_Min_PubBus_Transp_Extra_Short</t>
  </si>
  <si>
    <t>UC_Min_PubBus_Transp_Medium</t>
  </si>
  <si>
    <t>UC_Min_PubBus_Transp_Short</t>
  </si>
  <si>
    <t>UC_Min_PubBus_Transp_Long</t>
  </si>
  <si>
    <t>Upper bound is a maximum 150 % increase compared to LTM dataset</t>
  </si>
  <si>
    <t>min</t>
  </si>
  <si>
    <t>Hours per day/person</t>
  </si>
  <si>
    <t>Hours per year/person</t>
  </si>
  <si>
    <t>https://www.sciencedirect.com/science/article/pii/S0301421517307474?via%3Dihub</t>
  </si>
  <si>
    <t>Travel time budget calculations based on historical surveys made for denmark on travel time</t>
  </si>
  <si>
    <t>DEMAND calculated travel time budget</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</si>
  <si>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</si>
  <si>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</si>
  <si>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</si>
  <si>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</si>
  <si>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</si>
  <si>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</si>
  <si>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</si>
  <si>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</si>
  <si>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</si>
  <si>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</si>
  <si>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</si>
  <si>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</si>
  <si>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</si>
  <si>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</si>
  <si>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</si>
  <si>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</si>
  <si>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</si>
  <si>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</si>
  <si>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</si>
  <si>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</si>
  <si>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</si>
  <si>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</si>
  <si>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</si>
  <si>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</si>
  <si>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</si>
  <si>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</si>
  <si>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</si>
  <si>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</si>
  <si>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http://www.statistikbanken.dk/statbank5a/default.asp?w=1920</t>
  </si>
  <si>
    <t>Data on population projections from statistics denmark</t>
  </si>
  <si>
    <t>TTB from TIMES population</t>
  </si>
  <si>
    <t>Updated Population projections according to statistics denmark</t>
  </si>
  <si>
    <t>Difference bestween TU and DS population (w/wo Kids)</t>
  </si>
  <si>
    <t>Variation in procentral increase</t>
  </si>
  <si>
    <t>Adjsted Travel time budget according to new population growth and previos calculation e.g. travel time budget is calculated on the adult populations transport habbits</t>
  </si>
  <si>
    <t>Extra Short</t>
  </si>
  <si>
    <t>PSET_PN</t>
  </si>
  <si>
    <t>CSET_CN</t>
  </si>
  <si>
    <t>TIMECXS, TIMECS, TIMECM, TIMECL</t>
  </si>
  <si>
    <t>IN</t>
  </si>
  <si>
    <t>TIMEBXS, TIMEBS, TIMEBM, TIMEBL</t>
  </si>
  <si>
    <t>km/h</t>
  </si>
  <si>
    <t>counts</t>
  </si>
  <si>
    <t>weigth</t>
  </si>
  <si>
    <t>0-3 km</t>
  </si>
  <si>
    <t>TIMEMTS, TIMEMTM, TIMEMTL</t>
  </si>
  <si>
    <t>3-5 km</t>
  </si>
  <si>
    <t>TIMEMPXS, TIMEMPS, TIMEMPM, TIMEMPL</t>
  </si>
  <si>
    <t>5-9 km</t>
  </si>
  <si>
    <t>TIMETS, TIMETM, TIMETL</t>
  </si>
  <si>
    <t>Motorbike</t>
  </si>
  <si>
    <t>9-17 km</t>
  </si>
  <si>
    <t>TIMESTXS, TIMESTS, TIMESTM</t>
  </si>
  <si>
    <t>Mopeds</t>
  </si>
  <si>
    <t>17-25 km</t>
  </si>
  <si>
    <t>TIMEMEXS, TIMEMES</t>
  </si>
  <si>
    <t>TPW*</t>
  </si>
  <si>
    <t>TIMEWXS, TIMEWS</t>
  </si>
  <si>
    <t>ElBike</t>
  </si>
  <si>
    <t>TPBIKING*</t>
  </si>
  <si>
    <t>TIMEBIXS,TIMEBIS</t>
  </si>
  <si>
    <t>extra short</t>
  </si>
  <si>
    <t>TPELBIK1N</t>
  </si>
  <si>
    <t>TIMEBIXS,TIMEBIS,TIMEBIM</t>
  </si>
  <si>
    <t>Airplane</t>
  </si>
  <si>
    <t>short</t>
  </si>
  <si>
    <t>Ship</t>
  </si>
  <si>
    <t>Other_Indexes</t>
  </si>
  <si>
    <t>FLO_FUNC</t>
  </si>
  <si>
    <t>TIMECXS</t>
  </si>
  <si>
    <t>TIMEBXS</t>
  </si>
  <si>
    <t>TIMESTXS</t>
  </si>
  <si>
    <t>TIMEMEXS</t>
  </si>
  <si>
    <t>TIMEMPXS</t>
  </si>
  <si>
    <t>TIMEBIXS</t>
  </si>
  <si>
    <t>TPBIKELC1N</t>
  </si>
  <si>
    <t>ELC bike</t>
  </si>
  <si>
    <t>TIMEBIM</t>
  </si>
  <si>
    <t>TIMEWXS</t>
  </si>
  <si>
    <t>DK</t>
  </si>
  <si>
    <t>DK TT</t>
  </si>
  <si>
    <t>DKE tt</t>
  </si>
  <si>
    <t>DKWtt</t>
  </si>
  <si>
    <t>From Transport base constraint</t>
  </si>
  <si>
    <t>Travel time budgets</t>
  </si>
  <si>
    <t>Travel demands</t>
  </si>
  <si>
    <t>POPULATION calculated travel time budget</t>
  </si>
  <si>
    <t>*=IF(I11=99999,"*","UC_Up_"&amp;V11&amp;"-"&amp;W11&amp;"_"&amp;X11)</t>
  </si>
  <si>
    <t>*=IF(I10=99999,"*","UC_Up_"&amp;V10&amp;"-"&amp;W10&amp;"_"&amp;X10)</t>
  </si>
  <si>
    <t>*=IF(I9=99999,"*","UC_Up_"&amp;V9&amp;"-"&amp;W9&amp;"_"&amp;X9)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</si>
</sst>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quot;$&quot;* #,##0_);_(&quot;$&quot;* \(#,##0\);_(&quot;$&quot;* &quot;-&quot;_);_(@_)"/>
    <numFmt numFmtId="165" formatCode="_(&quot;$&quot;* #,##0.00_);_(&quot;$&quot;* \(#,##0.00\);_(&quot;$&quot;* &quot;-&quot;??_);_(@_)"/>
    <numFmt numFmtId="166" formatCode="_([$€]* #,##0.00_);_([$€]* \(#,##0.00\);_([$€]* &quot;-&quot;??_);_(@_)"/>
    <numFmt numFmtId="167" formatCode="_-[$€-2]* #,##0.00_-;\-[$€-2]* #,##0.00_-;_-[$€-2]* &quot;-&quot;??_-"/>
    <numFmt numFmtId="168" formatCode="[&gt;0.5]#,##0;[&lt;-0.5]\-#,##0;\-"/>
    <numFmt numFmtId="169" formatCode="_-* #,##0\ _F_-;\-* #,##0\ _F_-;_-* &quot;-&quot;\ _F_-;_-@_-"/>
    <numFmt numFmtId="170" formatCode="_-* #,##0.00\ _F_-;\-* #,##0.00\ _F_-;_-* &quot;-&quot;??\ _F_-;_-@_-"/>
    <numFmt numFmtId="171" formatCode="_-* #,##0\ &quot;F&quot;_-;\-* #,##0\ &quot;F&quot;_-;_-* &quot;-&quot;\ &quot;F&quot;_-;_-@_-"/>
    <numFmt numFmtId="172" formatCode="_-* #,##0.00\ &quot;F&quot;_-;\-* #,##0.00\ &quot;F&quot;_-;_-* &quot;-&quot;??\ &quot;F&quot;_-;_-@_-"/>
    <numFmt numFmtId="173" formatCode="#,##0.0;\-#,##0.0;&quot;-&quot;"/>
    <numFmt numFmtId="174" formatCode="_ * #,##0.00_ ;_ * \-#,##0.00_ ;_ * &quot;-&quot;??_ ;_ @_ "/>
    <numFmt numFmtId="175" formatCode="_ * #,##0_ ;_ * \-#,##0_ ;_ * &quot;-&quot;_ ;_ @_ "/>
    <numFmt numFmtId="176" formatCode="_ &quot;kr&quot;\ * #,##0_ ;_ &quot;kr&quot;\ * \-#,##0_ ;_ &quot;kr&quot;\ * &quot;-&quot;_ ;_ @_ "/>
    <numFmt numFmtId="177" formatCode="_ &quot;kr&quot;\ * #,##0.00_ ;_ &quot;kr&quot;\ * \-#,##0.00_ ;_ &quot;kr&quot;\ * &quot;-&quot;??_ ;_ @_ "/>
    <numFmt numFmtId="178" formatCode="#,##0.00;[Red]\-#,##0.00;_-* &quot;-&quot;_-;_-@_-"/>
    <numFmt numFmtId="179" formatCode="0.0000"/>
    <numFmt numFmtId="180" formatCode="_-[$€-2]* #,##0.000_-;\-[$€-2]* #,##0.000_-;_-[$€-2]* &quot;-&quot;??_-"/>
    <numFmt numFmtId="181" formatCode="0.0%"/>
    <numFmt numFmtId="182" formatCode="#,##0.0"/>
    <numFmt numFmtId="183" formatCode="_-[$€-2]\ * #,##0.00_-;\-[$€-2]\ * #,##0.00_-;_-[$€-2]\ * &quot;-&quot;??_-"/>
    <numFmt numFmtId="184" formatCode="#,##0;\-\ #,##0;_-\ &quot;- &quot;"/>
    <numFmt numFmtId="185" formatCode="_([$€-2]* #,##0.00_);_([$€-2]* \(#,##0.00\);_([$€-2]* &quot;-&quot;??_)"/>
    <numFmt numFmtId="186" formatCode="\(##\);\(##\)"/>
    <numFmt numFmtId="187" formatCode="_-* #,##0.00_-;\-* #,##0.00_-;_-* \-??_-;_-@_-"/>
    <numFmt numFmtId="188" formatCode="_-&quot;€&quot;\ * #,##0.00_-;\-&quot;€&quot;\ * #,##0.00_-;_-&quot;€&quot;\ * &quot;-&quot;??_-;_-@_-"/>
    <numFmt numFmtId="189" formatCode="#,##0.0000"/>
    <numFmt numFmtId="190" formatCode="_-* #,##0.00\ _k_r_-;\-* #,##0.00\ _k_r_-;_-* &quot;-&quot;??\ _k_r_-;_-@_-"/>
    <numFmt numFmtId="191" formatCode="???,???.00"/>
    <numFmt numFmtId="192" formatCode="#,##0;#\ ##0"/>
    <numFmt numFmtId="193" formatCode="_-* #,##0.00\ _€_-;\-* #,##0.00\ _€_-;_-* &quot;-&quot;??\ _€_-;_-@_-"/>
    <numFmt numFmtId="194" formatCode="#,##0.00\ &quot;F&quot;;[Red]\-#,##0.00\ &quot;F&quot;"/>
    <numFmt numFmtId="195" formatCode="#,##0.0_)"/>
    <numFmt numFmtId="196" formatCode="0.0;\-0.0"/>
    <numFmt numFmtId="197" formatCode="\$#,##0\ ;\(\$#,##0\)"/>
    <numFmt numFmtId="198" formatCode="0_ ;\-0\ "/>
    <numFmt numFmtId="199" formatCode="0.0"/>
    <numFmt numFmtId="200" formatCode="0.000"/>
    <numFmt numFmtId="201" formatCode="\Te\x\t"/>
    <numFmt numFmtId="202" formatCode="0.00000000"/>
    <numFmt numFmtId="203" formatCode="0.00000"/>
    <numFmt numFmtId="204" formatCode="0.0000000"/>
  </numFmts>
  <fonts count="166">
    <font>
      <sz val="11"/>
      <color theme="1"/>
      <name val="Calibri"/>
      <family val="2"/>
      <scheme val="minor"/>
    </font>
    <font>
      <sz val="11"/>
      <color indexed="8"/>
      <name val="Calibri"/>
      <family val="2"/>
    </font>
    <font>
      <b/>
      <sz val="11"/>
      <color indexed="8"/>
      <name val="Calibri"/>
      <family val="2"/>
    </font>
    <font>
      <b/>
      <sz val="10"/>
      <name val="Arial"/>
      <family val="2"/>
    </font>
    <font>
      <sz val="10"/>
      <name val="Arial"/>
      <family val="2"/>
    </font>
    <font>
      <b/>
      <sz val="10"/>
      <color indexed="12"/>
      <name val="Arial"/>
      <family val="2"/>
    </font>
    <font>
      <b/>
      <sz val="8"/>
      <color indexed="81"/>
      <name val="Tahoma"/>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2"/>
      <name val="Arial"/>
      <family val="2"/>
    </font>
    <font>
      <sz val="10"/>
      <color indexed="8"/>
      <name val="Arial"/>
      <family val="2"/>
    </font>
    <font>
      <sz val="10"/>
      <name val="Arial Cyr"/>
      <charset val="204"/>
    </font>
    <font>
      <sz val="9"/>
      <name val="Times New Roman"/>
      <family val="1"/>
    </font>
    <font>
      <b/>
      <sz val="9"/>
      <name val="Times New Roman"/>
      <family val="1"/>
    </font>
    <font>
      <sz val="10"/>
      <name val="Times New Roman"/>
      <family val="1"/>
    </font>
    <font>
      <b/>
      <i/>
      <sz val="10"/>
      <name val="Arial"/>
      <family val="2"/>
    </font>
    <font>
      <sz val="14"/>
      <color indexed="9"/>
      <name val="Arial"/>
      <family val="2"/>
    </font>
    <font>
      <sz val="14"/>
      <name val="Arial"/>
      <family val="2"/>
    </font>
    <font>
      <u/>
      <sz val="10"/>
      <color indexed="12"/>
      <name val="Arial"/>
      <family val="2"/>
    </font>
    <font>
      <u/>
      <sz val="9"/>
      <color indexed="12"/>
      <name val="Arial"/>
      <family val="2"/>
    </font>
    <font>
      <u/>
      <sz val="7.5"/>
      <color indexed="12"/>
      <name val="Arial"/>
      <family val="2"/>
    </font>
    <font>
      <sz val="10"/>
      <name val="Courier"/>
      <family val="3"/>
    </font>
    <font>
      <sz val="10"/>
      <name val="Helv"/>
    </font>
    <font>
      <i/>
      <sz val="12"/>
      <name val="Times New Roman"/>
      <family val="1"/>
    </font>
    <font>
      <sz val="8"/>
      <color indexed="9"/>
      <name val="Arial"/>
      <family val="2"/>
    </font>
    <font>
      <i/>
      <sz val="10"/>
      <name val="Arial"/>
      <family val="2"/>
    </font>
    <font>
      <sz val="11"/>
      <name val="Calibri"/>
      <family val="2"/>
    </font>
    <font>
      <u/>
      <sz val="10"/>
      <color indexed="36"/>
      <name val="Arial"/>
      <family val="2"/>
    </font>
    <font>
      <sz val="12"/>
      <name val="Arial"/>
      <family val="2"/>
    </font>
    <font>
      <sz val="9"/>
      <color indexed="8"/>
      <name val="Times New Roman"/>
      <family val="1"/>
    </font>
    <font>
      <sz val="11"/>
      <color indexed="60"/>
      <name val="Calibri"/>
      <family val="2"/>
      <charset val="161"/>
    </font>
    <font>
      <u/>
      <sz val="12"/>
      <color indexed="20"/>
      <name val="宋体"/>
      <charset val="134"/>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b/>
      <sz val="18"/>
      <color indexed="56"/>
      <name val="Cambria"/>
      <family val="1"/>
    </font>
    <font>
      <u/>
      <sz val="10"/>
      <color indexed="12"/>
      <name val="Tahoma"/>
      <family val="2"/>
    </font>
    <font>
      <sz val="10"/>
      <name val="Arial Cyr"/>
    </font>
    <font>
      <sz val="10"/>
      <name val="Arial"/>
      <family val="2"/>
    </font>
    <font>
      <sz val="10"/>
      <name val="MS Sans Serif"/>
      <family val="2"/>
    </font>
    <font>
      <sz val="8"/>
      <name val="Arial"/>
      <family val="2"/>
    </font>
    <font>
      <sz val="9"/>
      <name val="Arial"/>
      <family val="2"/>
    </font>
    <font>
      <sz val="10"/>
      <name val="Arial"/>
      <family val="2"/>
      <charset val="204"/>
    </font>
    <font>
      <sz val="10"/>
      <color indexed="12"/>
      <name val="Arial"/>
      <family val="2"/>
    </font>
    <font>
      <b/>
      <sz val="12"/>
      <color indexed="10"/>
      <name val="Arial"/>
      <family val="2"/>
    </font>
    <font>
      <sz val="8"/>
      <name val="Arial"/>
      <family val="2"/>
      <charset val="161"/>
    </font>
    <font>
      <sz val="8"/>
      <name val="Helvetica"/>
      <family val="2"/>
    </font>
    <font>
      <sz val="10"/>
      <name val="Arial"/>
      <family val="2"/>
      <charset val="161"/>
    </font>
    <font>
      <sz val="10"/>
      <color indexed="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rgb="FF9C0006"/>
      <name val="Calibri"/>
      <family val="2"/>
    </font>
    <font>
      <b/>
      <i/>
      <sz val="11"/>
      <color rgb="FFFF0000"/>
      <name val="Calibri"/>
      <family val="2"/>
      <scheme val="minor"/>
    </font>
    <font>
      <b/>
      <sz val="10"/>
      <color rgb="FFFA7D00"/>
      <name val="Calibri"/>
      <family val="2"/>
      <scheme val="minor"/>
    </font>
    <font>
      <sz val="10"/>
      <color theme="0"/>
      <name val="Gill Sans MT"/>
      <family val="2"/>
    </font>
    <font>
      <sz val="11"/>
      <color rgb="FF000000"/>
      <name val="Calibri"/>
      <family val="2"/>
    </font>
    <font>
      <u/>
      <sz val="11"/>
      <color theme="11"/>
      <name val="Calibri"/>
      <family val="2"/>
      <scheme val="minor"/>
    </font>
    <font>
      <b/>
      <sz val="11"/>
      <color rgb="FF000098"/>
      <name val="Calibri"/>
      <family val="2"/>
    </font>
    <font>
      <b/>
      <sz val="11"/>
      <color theme="7" tint="-0.499984740745262"/>
      <name val="Calibri"/>
      <family val="2"/>
    </font>
    <font>
      <u/>
      <sz val="11"/>
      <color theme="10"/>
      <name val="Calibri"/>
      <family val="2"/>
      <scheme val="minor"/>
    </font>
    <font>
      <sz val="10"/>
      <color rgb="FFFA7D00"/>
      <name val="Calibri"/>
      <family val="2"/>
      <scheme val="minor"/>
    </font>
    <font>
      <sz val="8"/>
      <color theme="0" tint="-0.499984740745262"/>
      <name val="Calibri"/>
      <family val="2"/>
    </font>
    <font>
      <sz val="11.5"/>
      <color theme="1"/>
      <name val="Calibri"/>
      <family val="2"/>
      <scheme val="minor"/>
    </font>
    <font>
      <sz val="11.5"/>
      <color theme="1"/>
      <name val="Arial"/>
      <family val="2"/>
    </font>
    <font>
      <sz val="10"/>
      <color theme="1"/>
      <name val="Arial"/>
      <family val="2"/>
    </font>
    <font>
      <sz val="10"/>
      <color theme="1"/>
      <name val="Calibri"/>
      <family val="2"/>
      <scheme val="minor"/>
    </font>
    <font>
      <sz val="11"/>
      <color theme="0" tint="-0.499984740745262"/>
      <name val="Calibri"/>
      <family val="2"/>
      <scheme val="minor"/>
    </font>
    <font>
      <sz val="11"/>
      <color theme="0" tint="-0.499984740745262"/>
      <name val="Calibri"/>
      <family val="2"/>
    </font>
    <font>
      <b/>
      <sz val="11"/>
      <color theme="0"/>
      <name val="Calibri"/>
      <family val="2"/>
    </font>
    <font>
      <sz val="11"/>
      <color rgb="FF000098"/>
      <name val="Calibri"/>
      <family val="2"/>
    </font>
    <font>
      <sz val="11"/>
      <color theme="7" tint="-0.499984740745262"/>
      <name val="Calibri"/>
      <family val="2"/>
    </font>
    <font>
      <b/>
      <sz val="10"/>
      <color theme="4"/>
      <name val="Arial"/>
      <family val="2"/>
    </font>
    <font>
      <b/>
      <sz val="18"/>
      <color theme="3"/>
      <name val="Cambria"/>
      <family val="2"/>
    </font>
    <font>
      <sz val="11"/>
      <color theme="1"/>
      <name val="Calibri"/>
      <family val="2"/>
    </font>
    <font>
      <sz val="10"/>
      <color theme="1"/>
      <name val="Calibri"/>
      <family val="2"/>
    </font>
    <font>
      <sz val="10"/>
      <color rgb="FF008FBC"/>
      <name val="Calibri"/>
      <family val="2"/>
      <scheme val="minor"/>
    </font>
    <font>
      <sz val="10"/>
      <name val="Calibri"/>
      <family val="2"/>
      <scheme val="minor"/>
    </font>
    <font>
      <sz val="10"/>
      <color rgb="FF006100"/>
      <name val="Arial"/>
      <family val="2"/>
    </font>
    <font>
      <u/>
      <sz val="10"/>
      <color theme="10"/>
      <name val="Arial"/>
      <family val="2"/>
    </font>
    <font>
      <u/>
      <sz val="10"/>
      <color theme="10"/>
      <name val="Arial"/>
      <family val="2"/>
    </font>
    <font>
      <sz val="9"/>
      <color indexed="81"/>
      <name val="Tahoma"/>
      <family val="2"/>
    </font>
    <font>
      <b/>
      <sz val="9"/>
      <color indexed="81"/>
      <name val="Tahoma"/>
      <family val="2"/>
    </font>
    <font>
      <sz val="10"/>
      <name val="Calibri"/>
      <family val="2"/>
    </font>
    <font>
      <sz val="7"/>
      <color indexed="45"/>
      <name val="Arial"/>
      <family val="2"/>
    </font>
    <font>
      <b/>
      <sz val="7"/>
      <color indexed="45"/>
      <name val="Arial"/>
      <family val="2"/>
    </font>
    <font>
      <sz val="11"/>
      <name val="Arial"/>
      <family val="2"/>
    </font>
    <font>
      <sz val="10"/>
      <name val="Geneva"/>
      <family val="2"/>
    </font>
    <font>
      <u/>
      <sz val="10"/>
      <color indexed="12"/>
      <name val="Geneva"/>
      <family val="2"/>
    </font>
    <font>
      <sz val="7"/>
      <name val="Arial"/>
      <family val="2"/>
    </font>
    <font>
      <sz val="10"/>
      <color indexed="63"/>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0"/>
      <color indexed="24"/>
      <name val="Arial"/>
      <family val="2"/>
    </font>
    <font>
      <b/>
      <sz val="18"/>
      <color indexed="24"/>
      <name val="Arial"/>
      <family val="2"/>
    </font>
    <font>
      <b/>
      <sz val="12"/>
      <color indexed="24"/>
      <name val="Arial"/>
      <family val="2"/>
    </font>
    <font>
      <b/>
      <sz val="11"/>
      <color indexed="10"/>
      <name val="Calibri"/>
      <family val="2"/>
      <scheme val="minor"/>
    </font>
    <font>
      <u/>
      <sz val="10"/>
      <color theme="10"/>
      <name val="Courier"/>
      <family val="3"/>
    </font>
    <font>
      <sz val="11"/>
      <color indexed="19"/>
      <name val="Calibri"/>
      <family val="2"/>
      <scheme val="minor"/>
    </font>
    <font>
      <sz val="9"/>
      <name val="Geneva"/>
    </font>
    <font>
      <i/>
      <sz val="10"/>
      <name val="Calibri"/>
      <family val="2"/>
    </font>
    <font>
      <b/>
      <sz val="11"/>
      <name val="Calibri"/>
      <family val="2"/>
    </font>
    <font>
      <u/>
      <sz val="8"/>
      <color indexed="12"/>
      <name val="Arial"/>
      <family val="2"/>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sz val="10"/>
      <color rgb="FFFF0000"/>
      <name val="Calibri"/>
      <family val="2"/>
    </font>
    <font>
      <sz val="9"/>
      <name val="Geneva"/>
      <family val="2"/>
    </font>
    <font>
      <sz val="11"/>
      <name val="Calibri"/>
      <family val="2"/>
      <scheme val="minor"/>
    </font>
    <font>
      <sz val="11"/>
      <color rgb="FFFF0000"/>
      <name val="Calibri"/>
      <family val="2"/>
    </font>
    <font>
      <b/>
      <sz val="9"/>
      <color indexed="8"/>
      <name val="Calibri"/>
      <family val="2"/>
      <scheme val="minor"/>
    </font>
    <font>
      <sz val="9"/>
      <color indexed="8"/>
      <name val="Calibri"/>
      <family val="2"/>
      <scheme val="minor"/>
    </font>
  </fonts>
  <fills count="1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indexed="26"/>
      </patternFill>
    </fill>
    <fill>
      <patternFill patternType="solid">
        <fgColor indexed="46"/>
        <bgColor indexed="64"/>
      </patternFill>
    </fill>
    <fill>
      <patternFill patternType="solid">
        <fgColor indexed="57"/>
        <bgColor indexed="64"/>
      </patternFill>
    </fill>
    <fill>
      <patternFill patternType="solid">
        <fgColor indexed="22"/>
      </patternFill>
    </fill>
    <fill>
      <patternFill patternType="solid">
        <fgColor indexed="62"/>
        <bgColor indexed="64"/>
      </patternFill>
    </fill>
    <fill>
      <patternFill patternType="solid">
        <fgColor indexed="41"/>
        <bgColor indexed="64"/>
      </patternFill>
    </fill>
    <fill>
      <patternFill patternType="solid">
        <fgColor indexed="15"/>
        <bgColor indexed="64"/>
      </patternFill>
    </fill>
    <fill>
      <patternFill patternType="solid">
        <fgColor indexed="55"/>
      </patternFill>
    </fill>
    <fill>
      <patternFill patternType="solid">
        <fgColor indexed="22"/>
        <bgColor indexed="64"/>
      </patternFill>
    </fill>
    <fill>
      <patternFill patternType="solid">
        <fgColor indexed="44"/>
        <bgColor indexed="64"/>
      </patternFill>
    </fill>
    <fill>
      <patternFill patternType="solid">
        <fgColor indexed="49"/>
        <bgColor indexed="64"/>
      </patternFill>
    </fill>
    <fill>
      <patternFill patternType="solid">
        <fgColor indexed="43"/>
      </patternFill>
    </fill>
    <fill>
      <patternFill patternType="solid">
        <fgColor indexed="55"/>
        <bgColor indexed="64"/>
      </patternFill>
    </fill>
    <fill>
      <patternFill patternType="darkTrellis"/>
    </fill>
    <fill>
      <patternFill patternType="solid">
        <fgColor indexed="63"/>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6"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24994659260841701"/>
        <bgColor indexed="64"/>
      </patternFill>
    </fill>
    <fill>
      <patternFill patternType="solid">
        <fgColor theme="6" tint="0.59996337778862885"/>
        <bgColor indexed="64"/>
      </patternFill>
    </fill>
    <fill>
      <patternFill patternType="solid">
        <fgColor theme="6" tint="0.39994506668294322"/>
        <bgColor indexed="64"/>
      </patternFill>
    </fill>
    <fill>
      <patternFill patternType="solid">
        <fgColor theme="2"/>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8" tint="0.59996337778862885"/>
        <bgColor indexed="64"/>
      </patternFill>
    </fill>
    <fill>
      <patternFill patternType="solid">
        <fgColor rgb="FFF2F2F2"/>
        <bgColor rgb="FF000000"/>
      </patternFill>
    </fill>
    <fill>
      <patternFill patternType="solid">
        <fgColor theme="0" tint="-4.9989318521683403E-2"/>
        <bgColor rgb="FF000000"/>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rgb="FFFF9999"/>
        <bgColor indexed="64"/>
      </patternFill>
    </fill>
    <fill>
      <patternFill patternType="solid">
        <fgColor theme="9" tint="0.59996337778862885"/>
        <bgColor indexed="64"/>
      </patternFill>
    </fill>
    <fill>
      <patternFill patternType="solid">
        <fgColor rgb="FFFFCCFF"/>
        <bgColor indexed="64"/>
      </patternFill>
    </fill>
    <fill>
      <patternFill patternType="solid">
        <fgColor rgb="FF7030A0"/>
        <bgColor indexed="64"/>
      </patternFill>
    </fill>
    <fill>
      <patternFill patternType="solid">
        <fgColor rgb="FFD9EADE"/>
        <bgColor rgb="FF000000"/>
      </patternFill>
    </fill>
    <fill>
      <patternFill patternType="solid">
        <fgColor rgb="FF8BC09C"/>
        <bgColor rgb="FF000000"/>
      </patternFill>
    </fill>
    <fill>
      <patternFill patternType="solid">
        <fgColor rgb="FF1B429A"/>
        <bgColor indexed="64"/>
      </patternFill>
    </fill>
    <fill>
      <patternFill patternType="solid">
        <fgColor theme="7" tint="0.59996337778862885"/>
        <bgColor indexed="64"/>
      </patternFill>
    </fill>
    <fill>
      <patternFill patternType="solid">
        <fgColor rgb="FFFFCC66"/>
        <bgColor indexed="64"/>
      </patternFill>
    </fill>
    <fill>
      <patternFill patternType="solid">
        <fgColor rgb="FFEAE6F0"/>
        <bgColor rgb="FF000000"/>
      </patternFill>
    </fill>
    <fill>
      <patternFill patternType="solid">
        <fgColor rgb="FFD5CCE1"/>
        <bgColor rgb="FFFFFFFF"/>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
      <patternFill patternType="solid">
        <fgColor indexed="9"/>
        <bgColor indexed="64"/>
      </patternFill>
    </fill>
    <fill>
      <patternFill patternType="solid">
        <fgColor rgb="FFFFC000"/>
        <bgColor indexed="64"/>
      </patternFill>
    </fill>
    <fill>
      <patternFill patternType="solid">
        <fgColor theme="0"/>
        <bgColor indexed="64"/>
      </patternFill>
    </fill>
    <fill>
      <patternFill patternType="solid">
        <fgColor indexed="9"/>
      </patternFill>
    </fill>
    <fill>
      <patternFill patternType="solid">
        <fgColor indexed="56"/>
      </patternFill>
    </fill>
    <fill>
      <patternFill patternType="solid">
        <fgColor indexed="54"/>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26"/>
        <bgColor indexed="64"/>
      </patternFill>
    </fill>
    <fill>
      <patternFill patternType="solid">
        <fgColor indexed="40"/>
      </patternFill>
    </fill>
    <fill>
      <patternFill patternType="solid">
        <fgColor rgb="FFBED6EE"/>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rgb="FFD9D9D9"/>
        <bgColor indexed="64"/>
      </patternFill>
    </fill>
    <fill>
      <patternFill patternType="solid">
        <fgColor rgb="FFFFCC00"/>
        <bgColor indexed="64"/>
      </patternFill>
    </fill>
    <fill>
      <patternFill patternType="solid">
        <fgColor rgb="FFFFFF99"/>
        <bgColor indexed="64"/>
      </patternFill>
    </fill>
    <fill>
      <patternFill patternType="solid">
        <fgColor theme="3" tint="0.39997558519241921"/>
        <bgColor indexed="64"/>
      </patternFill>
    </fill>
    <fill>
      <patternFill patternType="solid">
        <fgColor indexed="13"/>
        <bgColor indexed="64"/>
      </patternFill>
    </fill>
    <fill>
      <patternFill patternType="solid">
        <fgColor rgb="FF00B0F0"/>
        <bgColor indexed="64"/>
      </patternFill>
    </fill>
    <fill>
      <patternFill patternType="solid">
        <fgColor rgb="FF92D050"/>
        <bgColor indexed="64"/>
      </patternFill>
    </fill>
    <fill>
      <patternFill patternType="solid">
        <fgColor theme="9" tint="0.39997558519241921"/>
        <bgColor indexed="64"/>
      </patternFill>
    </fill>
  </fills>
  <borders count="74">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3"/>
      </left>
      <right style="thin">
        <color indexed="63"/>
      </right>
      <top style="thin">
        <color indexed="63"/>
      </top>
      <bottom style="thin">
        <color indexed="63"/>
      </bottom>
      <diagonal/>
    </border>
    <border>
      <left/>
      <right style="medium">
        <color indexed="64"/>
      </right>
      <top/>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style="double">
        <color indexed="64"/>
      </left>
      <right/>
      <top style="double">
        <color indexed="64"/>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14996795556505021"/>
      </left>
      <right style="thin">
        <color theme="0" tint="-0.14996795556505021"/>
      </right>
      <top/>
      <bottom style="thick">
        <color theme="0"/>
      </bottom>
      <diagonal/>
    </border>
    <border>
      <left/>
      <right/>
      <top/>
      <bottom style="thick">
        <color rgb="FF6AB0E0"/>
      </bottom>
      <diagonal/>
    </border>
    <border>
      <left/>
      <right/>
      <top/>
      <bottom style="medium">
        <color theme="7" tint="-0.499984740745262"/>
      </bottom>
      <diagonal/>
    </border>
    <border>
      <left/>
      <right/>
      <top/>
      <bottom style="medium">
        <color rgb="FF6AB0E0"/>
      </bottom>
      <diagonal/>
    </border>
    <border>
      <left/>
      <right/>
      <top/>
      <bottom style="thin">
        <color theme="7" tint="-0.499984740745262"/>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45"/>
      </top>
      <bottom style="thin">
        <color indexed="45"/>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bottom style="thick">
        <color indexed="44"/>
      </bottom>
      <diagonal/>
    </border>
    <border>
      <left/>
      <right/>
      <top style="thin">
        <color indexed="56"/>
      </top>
      <bottom style="double">
        <color indexed="56"/>
      </bottom>
      <diagonal/>
    </border>
    <border>
      <left/>
      <right/>
      <top style="double">
        <color indexed="64"/>
      </top>
      <bottom/>
      <diagonal/>
    </border>
    <border>
      <left style="medium">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52706">
    <xf numFmtId="0" fontId="0" fillId="0" borderId="0"/>
    <xf numFmtId="180" fontId="4" fillId="0" borderId="0"/>
    <xf numFmtId="0" fontId="4" fillId="0" borderId="0"/>
    <xf numFmtId="0" fontId="4" fillId="0" borderId="0"/>
    <xf numFmtId="0" fontId="4" fillId="0" borderId="0"/>
    <xf numFmtId="0" fontId="4" fillId="0" borderId="0"/>
    <xf numFmtId="0" fontId="4" fillId="0" borderId="0"/>
    <xf numFmtId="0" fontId="67" fillId="47"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67" fillId="47" borderId="0" applyNumberFormat="0" applyBorder="0" applyAlignment="0" applyProtection="0"/>
    <xf numFmtId="0" fontId="1" fillId="2"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67" fillId="48" borderId="0" applyNumberFormat="0" applyBorder="0" applyAlignment="0" applyProtection="0"/>
    <xf numFmtId="0" fontId="1" fillId="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1" fillId="4" borderId="0" applyNumberFormat="0" applyBorder="0" applyAlignment="0" applyProtection="0"/>
    <xf numFmtId="0" fontId="67" fillId="49" borderId="0" applyNumberFormat="0" applyBorder="0" applyAlignment="0" applyProtection="0"/>
    <xf numFmtId="0" fontId="1" fillId="4"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67" fillId="49" borderId="0" applyNumberFormat="0" applyBorder="0" applyAlignment="0" applyProtection="0"/>
    <xf numFmtId="0" fontId="1" fillId="4"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67" fillId="50" borderId="0" applyNumberFormat="0" applyBorder="0" applyAlignment="0" applyProtection="0"/>
    <xf numFmtId="0" fontId="1" fillId="5"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67" fillId="51" borderId="0" applyNumberFormat="0" applyBorder="0" applyAlignment="0" applyProtection="0"/>
    <xf numFmtId="0" fontId="1" fillId="6"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67" fillId="52" borderId="0" applyNumberFormat="0" applyBorder="0" applyAlignment="0" applyProtection="0"/>
    <xf numFmtId="0" fontId="1" fillId="7" borderId="0" applyNumberFormat="0" applyBorder="0" applyAlignment="0" applyProtection="0"/>
    <xf numFmtId="0" fontId="67" fillId="5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67" fillId="5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67" fillId="53" borderId="0" applyNumberFormat="0" applyBorder="0" applyAlignment="0" applyProtection="0"/>
    <xf numFmtId="0" fontId="1" fillId="8"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1" fillId="9" borderId="0" applyNumberFormat="0" applyBorder="0" applyAlignment="0" applyProtection="0"/>
    <xf numFmtId="0" fontId="67" fillId="54" borderId="0" applyNumberFormat="0" applyBorder="0" applyAlignment="0" applyProtection="0"/>
    <xf numFmtId="0" fontId="1" fillId="9"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67" fillId="54" borderId="0" applyNumberFormat="0" applyBorder="0" applyAlignment="0" applyProtection="0"/>
    <xf numFmtId="0" fontId="1" fillId="9"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1" fillId="10" borderId="0" applyNumberFormat="0" applyBorder="0" applyAlignment="0" applyProtection="0"/>
    <xf numFmtId="0" fontId="67" fillId="55" borderId="0" applyNumberFormat="0" applyBorder="0" applyAlignment="0" applyProtection="0"/>
    <xf numFmtId="0" fontId="1" fillId="10"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7" fillId="55" borderId="0" applyNumberFormat="0" applyBorder="0" applyAlignment="0" applyProtection="0"/>
    <xf numFmtId="0" fontId="1" fillId="10"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67" fillId="56" borderId="0" applyNumberFormat="0" applyBorder="0" applyAlignment="0" applyProtection="0"/>
    <xf numFmtId="0" fontId="1" fillId="5"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67" fillId="57" borderId="0" applyNumberFormat="0" applyBorder="0" applyAlignment="0" applyProtection="0"/>
    <xf numFmtId="0" fontId="1" fillId="8"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7" fillId="58" borderId="0" applyNumberFormat="0" applyBorder="0" applyAlignment="0" applyProtection="0"/>
    <xf numFmtId="0" fontId="1" fillId="11" borderId="0" applyNumberFormat="0" applyBorder="0" applyAlignment="0" applyProtection="0"/>
    <xf numFmtId="0" fontId="67" fillId="5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4" fillId="0" borderId="0" applyNumberFormat="0" applyFont="0" applyFill="0" applyBorder="0" applyProtection="0">
      <alignment horizontal="left" vertical="center" indent="5"/>
    </xf>
    <xf numFmtId="0" fontId="55" fillId="0" borderId="0" applyNumberFormat="0" applyFont="0" applyFill="0" applyBorder="0" applyProtection="0">
      <alignment horizontal="left" vertical="center" indent="5"/>
    </xf>
    <xf numFmtId="49" fontId="25" fillId="0" borderId="1" applyNumberFormat="0" applyFont="0" applyFill="0" applyBorder="0" applyProtection="0">
      <alignment horizontal="left" vertical="center" indent="5"/>
    </xf>
    <xf numFmtId="0" fontId="55" fillId="0" borderId="0" applyNumberFormat="0" applyFont="0" applyFill="0" applyBorder="0" applyProtection="0">
      <alignment horizontal="left" vertical="center" indent="5"/>
    </xf>
    <xf numFmtId="0" fontId="4" fillId="0" borderId="0" applyNumberFormat="0" applyFont="0" applyFill="0" applyBorder="0" applyProtection="0">
      <alignment horizontal="left" vertical="center" indent="5"/>
    </xf>
    <xf numFmtId="0" fontId="4" fillId="0" borderId="0" applyNumberFormat="0" applyFont="0" applyFill="0" applyBorder="0" applyProtection="0">
      <alignment horizontal="left" vertical="center" indent="5"/>
    </xf>
    <xf numFmtId="0" fontId="68" fillId="59"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68" fillId="60"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68" fillId="61"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68" fillId="61"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68" fillId="6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68" fillId="6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68" fillId="6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68" fillId="6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68" fillId="6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68" fillId="6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68" fillId="6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68" fillId="6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68" fillId="6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68" fillId="69"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68" fillId="7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4" fontId="25" fillId="20" borderId="2">
      <alignment horizontal="right" vertical="center"/>
    </xf>
    <xf numFmtId="4" fontId="42" fillId="21" borderId="2">
      <alignment horizontal="right" vertical="center"/>
    </xf>
    <xf numFmtId="4" fontId="42" fillId="21" borderId="2">
      <alignment horizontal="right" vertical="center"/>
    </xf>
    <xf numFmtId="0" fontId="1" fillId="22" borderId="2"/>
    <xf numFmtId="0" fontId="3" fillId="0" borderId="0">
      <alignment horizontal="center" vertical="center"/>
    </xf>
    <xf numFmtId="0" fontId="85" fillId="78" borderId="0"/>
    <xf numFmtId="0" fontId="3" fillId="79" borderId="3">
      <alignment horizontal="center" vertical="center" wrapText="1"/>
    </xf>
    <xf numFmtId="0" fontId="4" fillId="79" borderId="3">
      <alignment horizontal="center" vertical="center" wrapText="1"/>
    </xf>
    <xf numFmtId="0" fontId="4" fillId="79" borderId="3">
      <alignment horizontal="center" vertical="center" wrapText="1"/>
    </xf>
    <xf numFmtId="0" fontId="4" fillId="79" borderId="3">
      <alignment horizontal="center" vertical="center" wrapText="1"/>
    </xf>
    <xf numFmtId="0" fontId="4" fillId="79" borderId="3">
      <alignment horizontal="center" vertical="center" wrapText="1"/>
    </xf>
    <xf numFmtId="0" fontId="4" fillId="79" borderId="3">
      <alignment horizontal="center" vertical="center" wrapText="1"/>
    </xf>
    <xf numFmtId="0" fontId="3" fillId="79" borderId="3">
      <alignment horizontal="center" vertical="center" wrapText="1"/>
    </xf>
    <xf numFmtId="0" fontId="109" fillId="0" borderId="0"/>
    <xf numFmtId="0" fontId="69" fillId="71" borderId="0" applyNumberFormat="0" applyBorder="0" applyAlignment="0" applyProtection="0"/>
    <xf numFmtId="0" fontId="8" fillId="3" borderId="0" applyNumberFormat="0" applyBorder="0" applyAlignment="0" applyProtection="0"/>
    <xf numFmtId="0" fontId="84" fillId="7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97" fillId="77" borderId="32" applyNumberFormat="0" applyFont="0" applyAlignment="0" applyProtection="0"/>
    <xf numFmtId="4" fontId="26" fillId="0" borderId="5" applyFill="0" applyBorder="0" applyProtection="0">
      <alignment horizontal="right" vertical="center"/>
    </xf>
    <xf numFmtId="0" fontId="1" fillId="23" borderId="2"/>
    <xf numFmtId="0" fontId="1" fillId="80" borderId="2"/>
    <xf numFmtId="0" fontId="1" fillId="26" borderId="2"/>
    <xf numFmtId="0" fontId="9" fillId="27" borderId="6" applyNumberFormat="0" applyAlignment="0" applyProtection="0"/>
    <xf numFmtId="0" fontId="1" fillId="21" borderId="2"/>
    <xf numFmtId="0" fontId="1" fillId="81" borderId="2"/>
    <xf numFmtId="0" fontId="1" fillId="29" borderId="2"/>
    <xf numFmtId="0" fontId="1" fillId="30" borderId="2"/>
    <xf numFmtId="0" fontId="70" fillId="72" borderId="26" applyNumberFormat="0" applyAlignment="0" applyProtection="0"/>
    <xf numFmtId="3" fontId="39" fillId="78" borderId="0" applyNumberFormat="0" applyBorder="0"/>
    <xf numFmtId="3" fontId="39" fillId="82" borderId="0" applyNumberFormat="0" applyBorder="0"/>
    <xf numFmtId="3" fontId="39" fillId="83" borderId="0" applyNumberFormat="0" applyBorder="0"/>
    <xf numFmtId="0" fontId="9" fillId="27" borderId="6" applyNumberFormat="0" applyAlignment="0" applyProtection="0"/>
    <xf numFmtId="0" fontId="78" fillId="72" borderId="26" applyNumberFormat="0" applyAlignment="0" applyProtection="0"/>
    <xf numFmtId="0" fontId="86" fillId="72" borderId="2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17" fillId="0" borderId="7" applyNumberFormat="0" applyFill="0" applyAlignment="0" applyProtection="0"/>
    <xf numFmtId="0" fontId="10" fillId="31" borderId="8" applyNumberFormat="0" applyAlignment="0" applyProtection="0"/>
    <xf numFmtId="1" fontId="67" fillId="84" borderId="0"/>
    <xf numFmtId="2" fontId="67" fillId="84" borderId="0"/>
    <xf numFmtId="2" fontId="67" fillId="84" borderId="0"/>
    <xf numFmtId="2" fontId="67" fillId="84" borderId="0"/>
    <xf numFmtId="2" fontId="67" fillId="84" borderId="0"/>
    <xf numFmtId="2" fontId="67" fillId="84" borderId="0"/>
    <xf numFmtId="1" fontId="67" fillId="84" borderId="0"/>
    <xf numFmtId="1" fontId="67" fillId="84" borderId="0"/>
    <xf numFmtId="1" fontId="67" fillId="84" borderId="0"/>
    <xf numFmtId="1" fontId="67" fillId="84" borderId="0"/>
    <xf numFmtId="1" fontId="67" fillId="85" borderId="0"/>
    <xf numFmtId="1" fontId="67" fillId="85" borderId="0"/>
    <xf numFmtId="1" fontId="67" fillId="85" borderId="0"/>
    <xf numFmtId="1" fontId="67" fillId="85" borderId="0"/>
    <xf numFmtId="1" fontId="67" fillId="84" borderId="0"/>
    <xf numFmtId="1" fontId="67" fillId="85" borderId="0"/>
    <xf numFmtId="0" fontId="71" fillId="73" borderId="27" applyNumberFormat="0" applyAlignment="0" applyProtection="0"/>
    <xf numFmtId="0" fontId="10" fillId="31" borderId="8" applyNumberFormat="0" applyAlignment="0" applyProtection="0"/>
    <xf numFmtId="0" fontId="10" fillId="31" borderId="8" applyNumberFormat="0" applyAlignment="0" applyProtection="0"/>
    <xf numFmtId="0" fontId="10" fillId="31" borderId="8" applyNumberFormat="0" applyAlignment="0" applyProtection="0"/>
    <xf numFmtId="0" fontId="10" fillId="31" borderId="8" applyNumberFormat="0" applyAlignment="0" applyProtection="0"/>
    <xf numFmtId="49" fontId="4" fillId="20" borderId="9">
      <alignment vertical="top" wrapText="1"/>
    </xf>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7" fillId="86" borderId="35" applyProtection="0">
      <alignment horizontal="center" vertical="center"/>
    </xf>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4" fillId="0" borderId="0" applyFill="0" applyBorder="0" applyAlignment="0" applyProtection="0"/>
    <xf numFmtId="43" fontId="1" fillId="0" borderId="0" applyFont="0" applyFill="0" applyBorder="0" applyAlignment="0" applyProtection="0"/>
    <xf numFmtId="187" fontId="4" fillId="0" borderId="0" applyFill="0" applyBorder="0" applyAlignment="0" applyProtection="0"/>
    <xf numFmtId="187" fontId="4" fillId="0" borderId="0" applyFill="0" applyBorder="0" applyAlignment="0" applyProtection="0"/>
    <xf numFmtId="43" fontId="1"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190" fontId="4"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5"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25" fillId="0" borderId="10">
      <alignment horizontal="left" vertical="center" wrapText="1" indent="2"/>
    </xf>
    <xf numFmtId="2" fontId="67" fillId="87" borderId="0"/>
    <xf numFmtId="2" fontId="67" fillId="87" borderId="0"/>
    <xf numFmtId="2" fontId="67" fillId="87" borderId="0"/>
    <xf numFmtId="2" fontId="67" fillId="87" borderId="0"/>
    <xf numFmtId="2" fontId="67" fillId="87" borderId="0"/>
    <xf numFmtId="1" fontId="67" fillId="87" borderId="0"/>
    <xf numFmtId="2" fontId="67" fillId="87" borderId="0"/>
    <xf numFmtId="0" fontId="4" fillId="88" borderId="0"/>
    <xf numFmtId="0" fontId="4" fillId="88" borderId="0"/>
    <xf numFmtId="0" fontId="4" fillId="89" borderId="11">
      <alignment horizontal="center" vertical="center" wrapText="1"/>
    </xf>
    <xf numFmtId="0" fontId="4" fillId="89" borderId="11">
      <alignment horizontal="center" vertical="center" wrapText="1"/>
    </xf>
    <xf numFmtId="0" fontId="4" fillId="89" borderId="11">
      <alignment horizontal="center" vertical="center" wrapText="1"/>
    </xf>
    <xf numFmtId="0" fontId="4" fillId="89" borderId="12">
      <alignment horizontal="center" vertical="center" wrapText="1"/>
    </xf>
    <xf numFmtId="0" fontId="4" fillId="89" borderId="11">
      <alignment horizontal="center" vertical="center" wrapText="1"/>
    </xf>
    <xf numFmtId="0" fontId="4" fillId="89" borderId="12">
      <alignment horizontal="center" vertical="center" wrapText="1"/>
    </xf>
    <xf numFmtId="0" fontId="4" fillId="89" borderId="12">
      <alignment horizontal="center" vertical="center" wrapText="1"/>
    </xf>
    <xf numFmtId="0" fontId="4" fillId="89" borderId="12">
      <alignment horizontal="center" vertical="center" wrapText="1"/>
    </xf>
    <xf numFmtId="0" fontId="4" fillId="89" borderId="11">
      <alignment horizontal="center" vertical="center" wrapText="1"/>
    </xf>
    <xf numFmtId="0" fontId="28" fillId="0" borderId="0"/>
    <xf numFmtId="41" fontId="4" fillId="0" borderId="0" applyFont="0" applyFill="0" applyBorder="0" applyAlignment="0" applyProtection="0">
      <alignment wrapText="1"/>
    </xf>
    <xf numFmtId="43" fontId="4" fillId="0" borderId="0" applyFont="0" applyFill="0" applyBorder="0" applyAlignment="0" applyProtection="0">
      <alignment wrapText="1"/>
    </xf>
    <xf numFmtId="0" fontId="67" fillId="90" borderId="0"/>
    <xf numFmtId="0" fontId="67" fillId="90" borderId="0"/>
    <xf numFmtId="0" fontId="67" fillId="90" borderId="0"/>
    <xf numFmtId="3" fontId="45" fillId="0" borderId="9">
      <alignment horizontal="right" vertical="top"/>
    </xf>
    <xf numFmtId="0" fontId="88" fillId="91" borderId="0" applyProtection="0"/>
    <xf numFmtId="0" fontId="88" fillId="92" borderId="0" applyProtection="0"/>
    <xf numFmtId="0" fontId="3" fillId="34" borderId="2">
      <alignment horizontal="centerContinuous" vertical="top" wrapText="1"/>
    </xf>
    <xf numFmtId="0" fontId="46" fillId="0" borderId="0">
      <alignment vertical="top" wrapText="1"/>
    </xf>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3"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5"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5"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66" fontId="4" fillId="0" borderId="0" applyFont="0" applyFill="0" applyBorder="0" applyAlignment="0" applyProtection="0"/>
    <xf numFmtId="185"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60" fillId="0" borderId="0" applyFont="0" applyFill="0" applyBorder="0" applyAlignment="0" applyProtection="0"/>
    <xf numFmtId="183" fontId="60"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6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3" fontId="4" fillId="0" borderId="0" applyFont="0" applyFill="0" applyBorder="0" applyAlignment="0" applyProtection="0"/>
    <xf numFmtId="188" fontId="4" fillId="0" borderId="0" applyFont="0" applyFill="0" applyBorder="0" applyAlignment="0" applyProtection="0"/>
    <xf numFmtId="183"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66" fontId="4" fillId="0" borderId="0" applyFont="0" applyFill="0" applyBorder="0" applyAlignment="0" applyProtection="0"/>
    <xf numFmtId="183" fontId="4" fillId="0" borderId="0" applyFont="0" applyFill="0" applyBorder="0" applyAlignment="0" applyProtection="0"/>
    <xf numFmtId="188" fontId="4" fillId="0" borderId="0" applyFont="0" applyFill="0" applyBorder="0" applyAlignment="0" applyProtection="0"/>
    <xf numFmtId="16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66" fontId="4" fillId="0" borderId="0" applyFont="0" applyFill="0" applyBorder="0" applyAlignment="0" applyProtection="0"/>
    <xf numFmtId="183"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4" fillId="0" borderId="0" applyFont="0" applyFill="0" applyBorder="0" applyAlignment="0" applyProtection="0"/>
    <xf numFmtId="0" fontId="1" fillId="0" borderId="0"/>
    <xf numFmtId="0" fontId="72"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5" fillId="0" borderId="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0" fontId="40" fillId="0" borderId="0" applyNumberFormat="0" applyFill="0" applyBorder="0" applyAlignment="0" applyProtection="0">
      <alignment vertical="top"/>
      <protection locked="0"/>
    </xf>
    <xf numFmtId="0" fontId="89" fillId="0" borderId="0" applyNumberFormat="0" applyFill="0" applyBorder="0" applyAlignment="0" applyProtection="0"/>
    <xf numFmtId="0" fontId="40" fillId="0" borderId="0" applyNumberFormat="0" applyFill="0" applyBorder="0" applyAlignment="0" applyProtection="0">
      <alignment vertical="top"/>
      <protection locked="0"/>
    </xf>
    <xf numFmtId="0" fontId="97" fillId="0" borderId="0"/>
    <xf numFmtId="3" fontId="39" fillId="93" borderId="0" applyNumberFormat="0" applyBorder="0">
      <protection locked="0"/>
    </xf>
    <xf numFmtId="0" fontId="110" fillId="74" borderId="0" applyNumberFormat="0" applyBorder="0" applyAlignment="0" applyProtection="0"/>
    <xf numFmtId="0" fontId="73" fillId="7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73" fillId="74" borderId="0" applyNumberFormat="0" applyBorder="0" applyAlignment="0" applyProtection="0"/>
    <xf numFmtId="0" fontId="12" fillId="4" borderId="0" applyNumberFormat="0" applyBorder="0" applyAlignment="0" applyProtection="0"/>
    <xf numFmtId="1" fontId="4" fillId="94" borderId="0"/>
    <xf numFmtId="2" fontId="4" fillId="94" borderId="0"/>
    <xf numFmtId="0" fontId="29" fillId="95" borderId="0">
      <alignment horizontal="left"/>
    </xf>
    <xf numFmtId="0" fontId="90" fillId="0" borderId="36"/>
    <xf numFmtId="0" fontId="91" fillId="0" borderId="37"/>
    <xf numFmtId="0" fontId="74" fillId="0" borderId="28" applyNumberFormat="0" applyFill="0" applyAlignment="0" applyProtection="0"/>
    <xf numFmtId="0" fontId="13" fillId="0" borderId="13" applyNumberFormat="0" applyFill="0" applyAlignment="0" applyProtection="0"/>
    <xf numFmtId="0" fontId="13" fillId="0" borderId="13" applyNumberFormat="0" applyFill="0" applyAlignment="0" applyProtection="0"/>
    <xf numFmtId="0" fontId="13" fillId="0" borderId="13" applyNumberFormat="0" applyFill="0" applyAlignment="0" applyProtection="0"/>
    <xf numFmtId="0" fontId="13" fillId="0" borderId="13" applyNumberFormat="0" applyFill="0" applyAlignment="0" applyProtection="0"/>
    <xf numFmtId="0" fontId="75" fillId="0" borderId="29" applyNumberFormat="0" applyFill="0" applyAlignment="0" applyProtection="0"/>
    <xf numFmtId="0" fontId="14" fillId="0" borderId="14" applyNumberFormat="0" applyFill="0" applyAlignment="0" applyProtection="0"/>
    <xf numFmtId="0" fontId="14" fillId="0" borderId="14" applyNumberFormat="0" applyFill="0" applyAlignment="0" applyProtection="0"/>
    <xf numFmtId="0" fontId="14" fillId="0" borderId="14" applyNumberFormat="0" applyFill="0" applyAlignment="0" applyProtection="0"/>
    <xf numFmtId="0" fontId="14" fillId="0" borderId="14" applyNumberFormat="0" applyFill="0" applyAlignment="0" applyProtection="0"/>
    <xf numFmtId="0" fontId="76" fillId="0" borderId="30"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76"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 fillId="0" borderId="16" applyNumberFormat="0">
      <alignment horizontal="center" wrapText="1"/>
    </xf>
    <xf numFmtId="0" fontId="3" fillId="0" borderId="16" applyNumberFormat="0">
      <alignment horizontal="center" wrapText="1"/>
    </xf>
    <xf numFmtId="0" fontId="3" fillId="0" borderId="16" applyNumberFormat="0">
      <alignment horizontal="center" wrapText="1"/>
    </xf>
    <xf numFmtId="0" fontId="29" fillId="95" borderId="0">
      <alignment horizontal="left"/>
    </xf>
    <xf numFmtId="168" fontId="30" fillId="0" borderId="0">
      <alignment horizontal="left" vertical="center"/>
    </xf>
    <xf numFmtId="168" fontId="30" fillId="0" borderId="0">
      <alignment horizontal="left" vertical="center"/>
    </xf>
    <xf numFmtId="0" fontId="47" fillId="0" borderId="0" applyNumberFormat="0" applyFill="0" applyBorder="0" applyAlignment="0" applyProtection="0"/>
    <xf numFmtId="0" fontId="31"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92" fillId="0" borderId="0" applyNumberFormat="0" applyFill="0" applyBorder="0" applyAlignment="0" applyProtection="0"/>
    <xf numFmtId="0"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112" fillId="0" borderId="0" applyNumberFormat="0" applyFill="0" applyBorder="0" applyAlignment="0" applyProtection="0"/>
    <xf numFmtId="0" fontId="77" fillId="75" borderId="26" applyNumberFormat="0" applyAlignment="0" applyProtection="0"/>
    <xf numFmtId="0" fontId="16" fillId="7" borderId="6" applyNumberFormat="0" applyAlignment="0" applyProtection="0"/>
    <xf numFmtId="0" fontId="77" fillId="75" borderId="26" applyNumberFormat="0" applyAlignment="0" applyProtection="0"/>
    <xf numFmtId="0" fontId="16" fillId="7" borderId="6" applyNumberFormat="0" applyAlignment="0" applyProtection="0"/>
    <xf numFmtId="0" fontId="16" fillId="7" borderId="6" applyNumberFormat="0" applyAlignment="0" applyProtection="0"/>
    <xf numFmtId="0" fontId="16" fillId="7" borderId="6" applyNumberFormat="0" applyAlignment="0" applyProtection="0"/>
    <xf numFmtId="3" fontId="108" fillId="108" borderId="0" applyBorder="0" applyAlignment="0">
      <protection locked="0"/>
    </xf>
    <xf numFmtId="4" fontId="25" fillId="0" borderId="0" applyBorder="0">
      <alignment horizontal="right" vertical="center"/>
    </xf>
    <xf numFmtId="4" fontId="25" fillId="0" borderId="17">
      <alignment horizontal="right" vertical="center"/>
    </xf>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ill="0" applyBorder="0" applyAlignment="0" applyProtection="0"/>
    <xf numFmtId="174" fontId="67" fillId="0" borderId="0" applyFont="0" applyFill="0" applyBorder="0" applyAlignment="0" applyProtection="0"/>
    <xf numFmtId="174" fontId="97" fillId="0" borderId="0" applyFont="0" applyFill="0" applyBorder="0" applyAlignment="0" applyProtection="0"/>
    <xf numFmtId="0" fontId="1" fillId="0" borderId="0"/>
    <xf numFmtId="0" fontId="1" fillId="0" borderId="0"/>
    <xf numFmtId="0" fontId="1" fillId="32" borderId="2"/>
    <xf numFmtId="0" fontId="47" fillId="0" borderId="0"/>
    <xf numFmtId="0" fontId="31" fillId="0" borderId="0" applyNumberFormat="0" applyFill="0" applyBorder="0" applyAlignment="0" applyProtection="0">
      <alignment vertical="top"/>
      <protection locked="0"/>
    </xf>
    <xf numFmtId="0" fontId="111" fillId="0" borderId="0" applyNumberFormat="0" applyFill="0" applyBorder="0" applyAlignment="0" applyProtection="0"/>
    <xf numFmtId="2" fontId="67" fillId="96" borderId="3"/>
    <xf numFmtId="2" fontId="67" fillId="96" borderId="3"/>
    <xf numFmtId="2" fontId="67" fillId="96" borderId="3"/>
    <xf numFmtId="2" fontId="67" fillId="96" borderId="3"/>
    <xf numFmtId="0" fontId="78" fillId="0" borderId="31" applyNumberFormat="0" applyFill="0" applyAlignment="0" applyProtection="0"/>
    <xf numFmtId="0" fontId="17" fillId="0" borderId="7" applyNumberFormat="0" applyFill="0" applyAlignment="0" applyProtection="0"/>
    <xf numFmtId="0" fontId="93" fillId="0" borderId="31"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39" fillId="97" borderId="0" applyNumberFormat="0" applyBorder="0">
      <protection locked="0"/>
    </xf>
    <xf numFmtId="3" fontId="4" fillId="93" borderId="0"/>
    <xf numFmtId="178" fontId="4" fillId="93" borderId="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0" fontId="94" fillId="0" borderId="0"/>
    <xf numFmtId="0" fontId="79" fillId="76" borderId="0" applyNumberFormat="0" applyBorder="0" applyAlignment="0" applyProtection="0"/>
    <xf numFmtId="0" fontId="18" fillId="35" borderId="0" applyNumberFormat="0" applyBorder="0" applyAlignment="0" applyProtection="0"/>
    <xf numFmtId="0" fontId="43"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4" fontId="61" fillId="23" borderId="18" applyNumberFormat="0" applyFont="0" applyBorder="0" applyAlignment="0" applyProtection="0">
      <alignment horizontal="right"/>
    </xf>
    <xf numFmtId="0" fontId="4" fillId="0" borderId="0"/>
    <xf numFmtId="0" fontId="4" fillId="0" borderId="0"/>
    <xf numFmtId="0" fontId="4" fillId="0" borderId="0"/>
    <xf numFmtId="0" fontId="4" fillId="0" borderId="0"/>
    <xf numFmtId="0" fontId="4" fillId="0" borderId="0">
      <alignment vertical="top"/>
    </xf>
    <xf numFmtId="0" fontId="67" fillId="0" borderId="0"/>
    <xf numFmtId="0" fontId="67" fillId="0" borderId="0"/>
    <xf numFmtId="0" fontId="4" fillId="0" borderId="0"/>
    <xf numFmtId="0" fontId="95" fillId="0" borderId="0"/>
    <xf numFmtId="0" fontId="4" fillId="0" borderId="0"/>
    <xf numFmtId="0" fontId="41" fillId="0" borderId="0"/>
    <xf numFmtId="0" fontId="41" fillId="0" borderId="0"/>
    <xf numFmtId="0" fontId="41" fillId="0" borderId="0"/>
    <xf numFmtId="0" fontId="67" fillId="0" borderId="0"/>
    <xf numFmtId="0" fontId="95" fillId="0" borderId="0"/>
    <xf numFmtId="0" fontId="96" fillId="0" borderId="0"/>
    <xf numFmtId="0" fontId="96" fillId="0" borderId="0"/>
    <xf numFmtId="0" fontId="67" fillId="0" borderId="0"/>
    <xf numFmtId="0" fontId="4" fillId="0" borderId="0"/>
    <xf numFmtId="0" fontId="97" fillId="0" borderId="0"/>
    <xf numFmtId="0" fontId="27" fillId="0" borderId="0"/>
    <xf numFmtId="0" fontId="27" fillId="0" borderId="0"/>
    <xf numFmtId="0" fontId="2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97" fillId="0" borderId="0"/>
    <xf numFmtId="0" fontId="97" fillId="0" borderId="0"/>
    <xf numFmtId="0" fontId="1" fillId="0" borderId="0"/>
    <xf numFmtId="0" fontId="4" fillId="0" borderId="0"/>
    <xf numFmtId="0" fontId="67" fillId="0" borderId="0"/>
    <xf numFmtId="0" fontId="67" fillId="0" borderId="0"/>
    <xf numFmtId="0" fontId="4" fillId="0" borderId="0"/>
    <xf numFmtId="0" fontId="67" fillId="0" borderId="0"/>
    <xf numFmtId="0" fontId="67" fillId="0" borderId="0"/>
    <xf numFmtId="0" fontId="67" fillId="0" borderId="0"/>
    <xf numFmtId="0" fontId="67" fillId="0" borderId="0"/>
    <xf numFmtId="0" fontId="67" fillId="0" borderId="0"/>
    <xf numFmtId="0" fontId="4" fillId="0" borderId="0"/>
    <xf numFmtId="0" fontId="4" fillId="0" borderId="0"/>
    <xf numFmtId="0" fontId="95" fillId="0" borderId="0"/>
    <xf numFmtId="0" fontId="4" fillId="0" borderId="0"/>
    <xf numFmtId="0" fontId="4" fillId="0" borderId="0"/>
    <xf numFmtId="0" fontId="4" fillId="0" borderId="0"/>
    <xf numFmtId="0" fontId="95"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7" fillId="0" borderId="0"/>
    <xf numFmtId="0" fontId="1" fillId="0" borderId="0"/>
    <xf numFmtId="0" fontId="35" fillId="0" borderId="0"/>
    <xf numFmtId="0" fontId="4" fillId="0" borderId="0"/>
    <xf numFmtId="0" fontId="4" fillId="0" borderId="0"/>
    <xf numFmtId="0" fontId="67" fillId="0" borderId="0"/>
    <xf numFmtId="0" fontId="4" fillId="0" borderId="0"/>
    <xf numFmtId="0" fontId="4" fillId="0" borderId="0"/>
    <xf numFmtId="0" fontId="67" fillId="0" borderId="0"/>
    <xf numFmtId="0" fontId="67" fillId="0" borderId="0"/>
    <xf numFmtId="0" fontId="67" fillId="0" borderId="0"/>
    <xf numFmtId="0" fontId="67" fillId="0" borderId="0"/>
    <xf numFmtId="0" fontId="4" fillId="0" borderId="0"/>
    <xf numFmtId="0" fontId="67" fillId="0" borderId="0"/>
    <xf numFmtId="0" fontId="4" fillId="0" borderId="0"/>
    <xf numFmtId="0" fontId="1" fillId="0" borderId="0"/>
    <xf numFmtId="0" fontId="1" fillId="0" borderId="0"/>
    <xf numFmtId="0" fontId="67" fillId="0" borderId="0"/>
    <xf numFmtId="0" fontId="4" fillId="0" borderId="0"/>
    <xf numFmtId="0" fontId="67" fillId="0" borderId="0"/>
    <xf numFmtId="0" fontId="4" fillId="0" borderId="0"/>
    <xf numFmtId="0" fontId="4" fillId="0" borderId="0"/>
    <xf numFmtId="0" fontId="4" fillId="0" borderId="0"/>
    <xf numFmtId="0" fontId="67" fillId="0" borderId="0"/>
    <xf numFmtId="0" fontId="4" fillId="0" borderId="0"/>
    <xf numFmtId="0" fontId="67" fillId="0" borderId="0"/>
    <xf numFmtId="0" fontId="4" fillId="0" borderId="0"/>
    <xf numFmtId="0" fontId="4" fillId="0" borderId="0"/>
    <xf numFmtId="0" fontId="4" fillId="0" borderId="0"/>
    <xf numFmtId="0" fontId="4" fillId="0" borderId="0"/>
    <xf numFmtId="0" fontId="67" fillId="0" borderId="0"/>
    <xf numFmtId="0" fontId="4" fillId="0" borderId="0"/>
    <xf numFmtId="0" fontId="1" fillId="0" borderId="0"/>
    <xf numFmtId="0" fontId="4" fillId="0" borderId="0"/>
    <xf numFmtId="0" fontId="4" fillId="0" borderId="0"/>
    <xf numFmtId="0" fontId="4" fillId="0" borderId="0"/>
    <xf numFmtId="0" fontId="4" fillId="0" borderId="0"/>
    <xf numFmtId="0" fontId="67"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98" fillId="0" borderId="0"/>
    <xf numFmtId="0" fontId="4" fillId="0" borderId="0"/>
    <xf numFmtId="0" fontId="4" fillId="0" borderId="0"/>
    <xf numFmtId="0" fontId="4" fillId="0" borderId="0"/>
    <xf numFmtId="0" fontId="67" fillId="0" borderId="0"/>
    <xf numFmtId="0" fontId="67" fillId="0" borderId="0"/>
    <xf numFmtId="0" fontId="98" fillId="0" borderId="0"/>
    <xf numFmtId="0" fontId="98" fillId="0" borderId="0"/>
    <xf numFmtId="0" fontId="67" fillId="0" borderId="0"/>
    <xf numFmtId="0" fontId="4" fillId="0" borderId="0"/>
    <xf numFmtId="0" fontId="67" fillId="0" borderId="0"/>
    <xf numFmtId="0" fontId="67" fillId="0" borderId="0"/>
    <xf numFmtId="0" fontId="4" fillId="0" borderId="0"/>
    <xf numFmtId="0" fontId="67" fillId="0" borderId="0"/>
    <xf numFmtId="0" fontId="67" fillId="0" borderId="0"/>
    <xf numFmtId="0" fontId="1" fillId="0" borderId="0"/>
    <xf numFmtId="0" fontId="4" fillId="0" borderId="0"/>
    <xf numFmtId="0" fontId="4" fillId="0" borderId="0"/>
    <xf numFmtId="0" fontId="4" fillId="0" borderId="0"/>
    <xf numFmtId="0" fontId="58" fillId="0" borderId="0"/>
    <xf numFmtId="0" fontId="4" fillId="0" borderId="0"/>
    <xf numFmtId="0" fontId="4" fillId="0" borderId="0"/>
    <xf numFmtId="0" fontId="4" fillId="0" borderId="0"/>
    <xf numFmtId="0" fontId="67" fillId="0" borderId="0"/>
    <xf numFmtId="0" fontId="4" fillId="0" borderId="0"/>
    <xf numFmtId="0" fontId="4" fillId="0" borderId="0"/>
    <xf numFmtId="0" fontId="1" fillId="0" borderId="0"/>
    <xf numFmtId="0" fontId="1" fillId="0" borderId="0"/>
    <xf numFmtId="0" fontId="4" fillId="0" borderId="0"/>
    <xf numFmtId="0" fontId="67" fillId="0" borderId="0"/>
    <xf numFmtId="0" fontId="67" fillId="0" borderId="0"/>
    <xf numFmtId="0" fontId="1" fillId="0" borderId="0"/>
    <xf numFmtId="0" fontId="1" fillId="0" borderId="0"/>
    <xf numFmtId="0" fontId="6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7" fillId="0" borderId="0"/>
    <xf numFmtId="0" fontId="4" fillId="0" borderId="0"/>
    <xf numFmtId="0" fontId="88" fillId="0" borderId="0"/>
    <xf numFmtId="0" fontId="56" fillId="0" borderId="0"/>
    <xf numFmtId="0" fontId="4" fillId="0" borderId="0"/>
    <xf numFmtId="0" fontId="67" fillId="0" borderId="0"/>
    <xf numFmtId="0" fontId="106" fillId="0" borderId="0"/>
    <xf numFmtId="0" fontId="67" fillId="0" borderId="0"/>
    <xf numFmtId="0" fontId="1" fillId="0" borderId="0"/>
    <xf numFmtId="0" fontId="6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7" fillId="0" borderId="0"/>
    <xf numFmtId="0" fontId="4" fillId="0" borderId="0"/>
    <xf numFmtId="0" fontId="4" fillId="0" borderId="0"/>
    <xf numFmtId="0" fontId="1" fillId="0" borderId="0"/>
    <xf numFmtId="0" fontId="1" fillId="0" borderId="0"/>
    <xf numFmtId="0" fontId="4" fillId="0" borderId="0"/>
    <xf numFmtId="0" fontId="4" fillId="0" borderId="0"/>
    <xf numFmtId="0" fontId="97" fillId="0" borderId="0"/>
    <xf numFmtId="0" fontId="97" fillId="0" borderId="0"/>
    <xf numFmtId="0" fontId="4" fillId="0" borderId="0"/>
    <xf numFmtId="0" fontId="4" fillId="0" borderId="0"/>
    <xf numFmtId="0" fontId="4" fillId="0" borderId="0"/>
    <xf numFmtId="0" fontId="4" fillId="0" borderId="0"/>
    <xf numFmtId="0" fontId="67" fillId="0" borderId="0"/>
    <xf numFmtId="191" fontId="59" fillId="0" borderId="0" applyNumberFormat="0" applyProtection="0">
      <alignment horizontal="center" vertical="center"/>
    </xf>
    <xf numFmtId="0" fontId="67" fillId="0" borderId="0"/>
    <xf numFmtId="0" fontId="67" fillId="0" borderId="0"/>
    <xf numFmtId="0" fontId="1" fillId="0" borderId="0"/>
    <xf numFmtId="0" fontId="67" fillId="0" borderId="0"/>
    <xf numFmtId="0" fontId="67" fillId="0" borderId="0"/>
    <xf numFmtId="0" fontId="67" fillId="0" borderId="0"/>
    <xf numFmtId="0" fontId="4" fillId="0" borderId="0"/>
    <xf numFmtId="0" fontId="88" fillId="0" borderId="0" applyNumberFormat="0" applyBorder="0" applyAlignment="0"/>
    <xf numFmtId="0" fontId="67" fillId="0" borderId="0"/>
    <xf numFmtId="0" fontId="1" fillId="0" borderId="0"/>
    <xf numFmtId="0" fontId="107" fillId="0" borderId="0"/>
    <xf numFmtId="0" fontId="4" fillId="0" borderId="0"/>
    <xf numFmtId="0" fontId="67" fillId="0" borderId="0"/>
    <xf numFmtId="0" fontId="4" fillId="0" borderId="0"/>
    <xf numFmtId="0" fontId="67" fillId="0" borderId="0"/>
    <xf numFmtId="0" fontId="4" fillId="0" borderId="0"/>
    <xf numFmtId="0" fontId="63" fillId="0" borderId="0"/>
    <xf numFmtId="0" fontId="1" fillId="0" borderId="0"/>
    <xf numFmtId="0" fontId="4" fillId="0" borderId="0"/>
    <xf numFmtId="0" fontId="67" fillId="0" borderId="0"/>
    <xf numFmtId="0" fontId="4" fillId="0" borderId="0"/>
    <xf numFmtId="0" fontId="67" fillId="0" borderId="0"/>
    <xf numFmtId="0" fontId="1" fillId="0" borderId="0"/>
    <xf numFmtId="0" fontId="67" fillId="0" borderId="0"/>
    <xf numFmtId="0" fontId="4" fillId="0" borderId="0"/>
    <xf numFmtId="0" fontId="4" fillId="0" borderId="0"/>
    <xf numFmtId="0" fontId="4" fillId="0" borderId="0"/>
    <xf numFmtId="0" fontId="65" fillId="0" borderId="0"/>
    <xf numFmtId="0" fontId="4" fillId="0" borderId="0"/>
    <xf numFmtId="0" fontId="4" fillId="0" borderId="0"/>
    <xf numFmtId="0" fontId="4" fillId="0" borderId="0"/>
    <xf numFmtId="0" fontId="67" fillId="0" borderId="0"/>
    <xf numFmtId="0" fontId="67" fillId="0" borderId="0"/>
    <xf numFmtId="0" fontId="67" fillId="0" borderId="0"/>
    <xf numFmtId="0" fontId="107" fillId="0" borderId="0"/>
    <xf numFmtId="0" fontId="4" fillId="0" borderId="0"/>
    <xf numFmtId="0" fontId="4" fillId="0" borderId="0"/>
    <xf numFmtId="0" fontId="4" fillId="0" borderId="0"/>
    <xf numFmtId="0" fontId="4" fillId="0" borderId="0"/>
    <xf numFmtId="0" fontId="67" fillId="0" borderId="0"/>
    <xf numFmtId="0" fontId="4" fillId="0" borderId="0"/>
    <xf numFmtId="0" fontId="4" fillId="0" borderId="0"/>
    <xf numFmtId="0" fontId="67" fillId="0" borderId="0"/>
    <xf numFmtId="0" fontId="4" fillId="0" borderId="0"/>
    <xf numFmtId="0" fontId="4" fillId="0" borderId="0"/>
    <xf numFmtId="0" fontId="67" fillId="0" borderId="0"/>
    <xf numFmtId="0" fontId="58" fillId="0" borderId="0"/>
    <xf numFmtId="0" fontId="67" fillId="0" borderId="0"/>
    <xf numFmtId="0" fontId="67" fillId="0" borderId="0"/>
    <xf numFmtId="0" fontId="4" fillId="0" borderId="0"/>
    <xf numFmtId="0" fontId="88" fillId="0" borderId="0" applyNumberFormat="0" applyBorder="0" applyAlignment="0"/>
    <xf numFmtId="4" fontId="25" fillId="0" borderId="2" applyFill="0" applyBorder="0" applyProtection="0">
      <alignment horizontal="right" vertical="center"/>
    </xf>
    <xf numFmtId="0" fontId="26" fillId="0" borderId="0" applyNumberFormat="0" applyFill="0" applyBorder="0" applyProtection="0">
      <alignment horizontal="left" vertical="center"/>
    </xf>
    <xf numFmtId="0" fontId="25" fillId="0" borderId="2" applyNumberFormat="0" applyFill="0" applyAlignment="0" applyProtection="0"/>
    <xf numFmtId="0" fontId="24" fillId="36" borderId="0" applyNumberFormat="0" applyFont="0" applyBorder="0" applyAlignment="0" applyProtection="0"/>
    <xf numFmtId="0" fontId="55" fillId="36" borderId="0" applyNumberFormat="0" applyFont="0" applyBorder="0" applyAlignment="0" applyProtection="0"/>
    <xf numFmtId="0" fontId="64" fillId="32" borderId="0" applyNumberFormat="0" applyFont="0" applyBorder="0" applyAlignment="0" applyProtection="0"/>
    <xf numFmtId="0" fontId="55" fillId="36" borderId="0" applyNumberFormat="0" applyFont="0" applyBorder="0" applyAlignment="0" applyProtection="0"/>
    <xf numFmtId="0" fontId="4" fillId="36" borderId="0" applyNumberFormat="0" applyFont="0" applyBorder="0" applyAlignment="0" applyProtection="0"/>
    <xf numFmtId="0" fontId="4" fillId="36" borderId="0" applyNumberFormat="0" applyFon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34" fillId="0" borderId="0"/>
    <xf numFmtId="0" fontId="4" fillId="24" borderId="4" applyNumberFormat="0" applyFont="0" applyAlignment="0" applyProtection="0"/>
    <xf numFmtId="0" fontId="4" fillId="24" borderId="4" applyNumberFormat="0" applyFont="0" applyAlignment="0" applyProtection="0"/>
    <xf numFmtId="0" fontId="4" fillId="24" borderId="4" applyNumberFormat="0" applyFont="0" applyAlignment="0" applyProtection="0"/>
    <xf numFmtId="0" fontId="60" fillId="24" borderId="4" applyNumberFormat="0" applyFont="0" applyAlignment="0" applyProtection="0"/>
    <xf numFmtId="0" fontId="60" fillId="24" borderId="4" applyNumberFormat="0" applyFont="0" applyAlignment="0" applyProtection="0"/>
    <xf numFmtId="0" fontId="1" fillId="24" borderId="4"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4" fillId="24" borderId="4" applyNumberFormat="0" applyFont="0" applyAlignment="0" applyProtection="0"/>
    <xf numFmtId="0" fontId="67" fillId="77" borderId="32" applyNumberFormat="0" applyFont="0" applyAlignment="0" applyProtection="0"/>
    <xf numFmtId="0" fontId="4" fillId="24" borderId="4" applyNumberFormat="0" applyFont="0" applyAlignment="0" applyProtection="0"/>
    <xf numFmtId="0" fontId="4" fillId="24" borderId="4" applyNumberFormat="0" applyFont="0" applyAlignment="0" applyProtection="0"/>
    <xf numFmtId="0" fontId="4" fillId="24" borderId="4" applyNumberFormat="0" applyFont="0" applyAlignment="0" applyProtection="0"/>
    <xf numFmtId="0" fontId="4" fillId="24" borderId="4" applyNumberFormat="0" applyFont="0" applyAlignment="0" applyProtection="0"/>
    <xf numFmtId="0" fontId="4" fillId="24" borderId="4" applyNumberFormat="0" applyFont="0" applyAlignment="0" applyProtection="0"/>
    <xf numFmtId="0" fontId="4" fillId="24" borderId="4" applyNumberFormat="0" applyFont="0" applyAlignment="0" applyProtection="0"/>
    <xf numFmtId="0" fontId="4" fillId="24" borderId="4" applyNumberFormat="0" applyFont="0" applyAlignment="0" applyProtection="0"/>
    <xf numFmtId="0" fontId="4" fillId="77" borderId="32" applyNumberFormat="0" applyFont="0" applyAlignment="0" applyProtection="0"/>
    <xf numFmtId="186" fontId="48" fillId="0" borderId="0">
      <alignment horizontal="right"/>
    </xf>
    <xf numFmtId="173" fontId="4" fillId="0" borderId="0" applyFont="0" applyFill="0" applyBorder="0" applyAlignment="0" applyProtection="0"/>
    <xf numFmtId="173"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0" fontId="80" fillId="72" borderId="33" applyNumberFormat="0" applyAlignment="0" applyProtection="0"/>
    <xf numFmtId="0" fontId="19" fillId="27" borderId="19" applyNumberFormat="0" applyAlignment="0" applyProtection="0"/>
    <xf numFmtId="0" fontId="19" fillId="27" borderId="19" applyNumberFormat="0" applyAlignment="0" applyProtection="0"/>
    <xf numFmtId="0" fontId="80" fillId="72" borderId="33" applyNumberFormat="0" applyAlignment="0" applyProtection="0"/>
    <xf numFmtId="0" fontId="19" fillId="27" borderId="19" applyNumberFormat="0" applyAlignment="0" applyProtection="0"/>
    <xf numFmtId="0" fontId="19" fillId="27" borderId="19" applyNumberFormat="0" applyAlignment="0" applyProtection="0"/>
    <xf numFmtId="189" fontId="25" fillId="37" borderId="2" applyNumberFormat="0" applyFont="0" applyBorder="0" applyAlignment="0" applyProtection="0">
      <alignment horizontal="right" vertical="center"/>
    </xf>
    <xf numFmtId="0" fontId="35" fillId="0" borderId="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67"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3" fillId="0" borderId="0" applyFont="0" applyFill="0" applyBorder="0" applyAlignment="0" applyProtection="0"/>
    <xf numFmtId="9" fontId="67"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8"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88"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174" fontId="35" fillId="0" borderId="0" applyFont="0" applyFill="0" applyBorder="0" applyAlignment="0" applyProtection="0"/>
    <xf numFmtId="0" fontId="66" fillId="27" borderId="6" applyNumberFormat="0" applyFill="0" applyBorder="0" applyAlignment="0" applyProtection="0"/>
    <xf numFmtId="9" fontId="4" fillId="0" borderId="0" applyFont="0" applyFill="0" applyBorder="0" applyAlignment="0" applyProtection="0"/>
    <xf numFmtId="9" fontId="67" fillId="0" borderId="0" applyFont="0" applyFill="0" applyBorder="0" applyAlignment="0" applyProtection="0"/>
    <xf numFmtId="9" fontId="97" fillId="0" borderId="0" applyFont="0" applyFill="0" applyBorder="0" applyAlignment="0" applyProtection="0"/>
    <xf numFmtId="168" fontId="27" fillId="0" borderId="0" applyFill="0" applyBorder="0" applyAlignment="0" applyProtection="0"/>
    <xf numFmtId="175" fontId="35" fillId="0" borderId="0" applyFont="0" applyFill="0" applyBorder="0" applyAlignment="0" applyProtection="0"/>
    <xf numFmtId="176" fontId="35" fillId="0" borderId="0" applyFont="0" applyFill="0" applyBorder="0" applyAlignment="0" applyProtection="0"/>
    <xf numFmtId="179" fontId="99" fillId="98" borderId="2"/>
    <xf numFmtId="179" fontId="1" fillId="99" borderId="20" applyFont="0" applyBorder="0"/>
    <xf numFmtId="179" fontId="1" fillId="99" borderId="20" applyFont="0" applyBorder="0"/>
    <xf numFmtId="179" fontId="1" fillId="99" borderId="20" applyFont="0" applyBorder="0"/>
    <xf numFmtId="179" fontId="67" fillId="99" borderId="20" applyFont="0" applyBorder="0"/>
    <xf numFmtId="0" fontId="4" fillId="0" borderId="0"/>
    <xf numFmtId="0" fontId="4" fillId="0" borderId="0"/>
    <xf numFmtId="0" fontId="100" fillId="0" borderId="0"/>
    <xf numFmtId="2" fontId="88" fillId="100" borderId="0" applyProtection="0"/>
    <xf numFmtId="0" fontId="88" fillId="101" borderId="0" applyProtection="0"/>
    <xf numFmtId="2" fontId="99" fillId="85" borderId="18" applyBorder="0"/>
    <xf numFmtId="0" fontId="25" fillId="36" borderId="2"/>
    <xf numFmtId="0" fontId="101" fillId="102" borderId="36"/>
    <xf numFmtId="0" fontId="36" fillId="0" borderId="0"/>
    <xf numFmtId="0" fontId="36" fillId="0" borderId="0"/>
    <xf numFmtId="0" fontId="46" fillId="0" borderId="0">
      <alignment vertical="top" wrapText="1"/>
    </xf>
    <xf numFmtId="0" fontId="46" fillId="0" borderId="0">
      <alignment vertical="top" wrapText="1"/>
    </xf>
    <xf numFmtId="0" fontId="46" fillId="0" borderId="0">
      <alignment vertical="top" wrapText="1"/>
    </xf>
    <xf numFmtId="0" fontId="36" fillId="0" borderId="0"/>
    <xf numFmtId="0" fontId="36" fillId="0" borderId="0"/>
    <xf numFmtId="0" fontId="36" fillId="0" borderId="0"/>
    <xf numFmtId="0" fontId="36" fillId="0" borderId="0"/>
    <xf numFmtId="0" fontId="36" fillId="0" borderId="0"/>
    <xf numFmtId="0" fontId="36" fillId="0" borderId="0"/>
    <xf numFmtId="0" fontId="23" fillId="0" borderId="0">
      <alignment vertical="top"/>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3" fillId="38" borderId="2" applyNumberFormat="0" applyProtection="0">
      <alignment horizontal="right"/>
    </xf>
    <xf numFmtId="0" fontId="3" fillId="38" borderId="2" applyNumberFormat="0" applyProtection="0">
      <alignment horizontal="right"/>
    </xf>
    <xf numFmtId="0" fontId="3" fillId="38" borderId="2" applyNumberFormat="0" applyProtection="0">
      <alignment horizontal="right"/>
    </xf>
    <xf numFmtId="0" fontId="3" fillId="38" borderId="2" applyNumberFormat="0" applyProtection="0">
      <alignment horizontal="right"/>
    </xf>
    <xf numFmtId="0" fontId="22" fillId="38" borderId="0" applyNumberFormat="0" applyBorder="0" applyProtection="0">
      <alignment horizontal="left"/>
    </xf>
    <xf numFmtId="0" fontId="3" fillId="38" borderId="2" applyNumberFormat="0" applyProtection="0">
      <alignment horizontal="left"/>
    </xf>
    <xf numFmtId="0" fontId="3" fillId="38" borderId="2" applyNumberFormat="0" applyProtection="0">
      <alignment horizontal="left"/>
    </xf>
    <xf numFmtId="0" fontId="3" fillId="38" borderId="2" applyNumberFormat="0" applyProtection="0">
      <alignment horizontal="left"/>
    </xf>
    <xf numFmtId="0" fontId="3" fillId="38" borderId="2" applyNumberFormat="0" applyProtection="0">
      <alignment horizontal="left"/>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4" fillId="0" borderId="2" applyNumberFormat="0" applyFill="0" applyProtection="0">
      <alignment horizontal="right"/>
    </xf>
    <xf numFmtId="0" fontId="37" fillId="28" borderId="0" applyNumberFormat="0" applyBorder="0" applyProtection="0">
      <alignment horizontal="left"/>
    </xf>
    <xf numFmtId="0" fontId="102" fillId="0" borderId="38"/>
    <xf numFmtId="0" fontId="103" fillId="103" borderId="39"/>
    <xf numFmtId="0" fontId="104" fillId="0" borderId="0"/>
    <xf numFmtId="0" fontId="104" fillId="0" borderId="0"/>
    <xf numFmtId="182" fontId="49" fillId="39" borderId="21">
      <alignment vertical="center"/>
    </xf>
    <xf numFmtId="181" fontId="50" fillId="39" borderId="21">
      <alignment vertical="center"/>
    </xf>
    <xf numFmtId="182" fontId="51" fillId="40" borderId="21">
      <alignment vertical="center"/>
    </xf>
    <xf numFmtId="0" fontId="4" fillId="41" borderId="22" applyBorder="0">
      <alignment horizontal="left" vertical="center"/>
    </xf>
    <xf numFmtId="49" fontId="4" fillId="42" borderId="2">
      <alignment vertical="center" wrapText="1"/>
    </xf>
    <xf numFmtId="0" fontId="4" fillId="43" borderId="23">
      <alignment horizontal="left" vertical="center" wrapText="1"/>
    </xf>
    <xf numFmtId="0" fontId="52" fillId="44" borderId="2">
      <alignment horizontal="left" vertical="center" wrapText="1"/>
    </xf>
    <xf numFmtId="0" fontId="4" fillId="45" borderId="2">
      <alignment horizontal="left" vertical="center" wrapText="1"/>
    </xf>
    <xf numFmtId="0" fontId="4" fillId="46" borderId="2">
      <alignment horizontal="left" vertical="center" wrapText="1"/>
    </xf>
    <xf numFmtId="0" fontId="21" fillId="0" borderId="0" applyNumberFormat="0" applyFill="0" applyBorder="0" applyAlignment="0" applyProtection="0"/>
    <xf numFmtId="0" fontId="11" fillId="0" borderId="0" applyNumberFormat="0" applyFill="0" applyBorder="0" applyAlignment="0" applyProtection="0"/>
    <xf numFmtId="0" fontId="81" fillId="0" borderId="0" applyNumberFormat="0" applyFill="0" applyBorder="0" applyAlignment="0" applyProtection="0"/>
    <xf numFmtId="0" fontId="20" fillId="0" borderId="0" applyNumberFormat="0" applyFill="0" applyBorder="0" applyAlignment="0" applyProtection="0"/>
    <xf numFmtId="0" fontId="105" fillId="0" borderId="0" applyNumberFormat="0" applyFill="0" applyBorder="0" applyAlignment="0" applyProtection="0"/>
    <xf numFmtId="0" fontId="53" fillId="0" borderId="0" applyNumberFormat="0" applyFill="0" applyBorder="0" applyAlignment="0" applyProtection="0"/>
    <xf numFmtId="0" fontId="81"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81" fillId="0" borderId="0" applyNumberFormat="0" applyFill="0" applyBorder="0" applyAlignment="0" applyProtection="0"/>
    <xf numFmtId="0" fontId="105" fillId="0" borderId="0" applyNumberFormat="0" applyFill="0" applyBorder="0" applyAlignment="0" applyProtection="0"/>
    <xf numFmtId="0" fontId="20" fillId="0" borderId="0" applyNumberFormat="0" applyFill="0" applyBorder="0" applyAlignment="0" applyProtection="0"/>
    <xf numFmtId="0" fontId="13" fillId="0" borderId="13" applyNumberFormat="0" applyFill="0" applyAlignment="0" applyProtection="0"/>
    <xf numFmtId="0" fontId="14" fillId="0" borderId="14" applyNumberFormat="0" applyFill="0" applyAlignment="0" applyProtection="0"/>
    <xf numFmtId="0" fontId="15" fillId="0" borderId="15" applyNumberFormat="0" applyFill="0" applyAlignment="0" applyProtection="0"/>
    <xf numFmtId="0" fontId="15" fillId="0" borderId="0" applyNumberFormat="0" applyFill="0" applyBorder="0" applyAlignment="0" applyProtection="0"/>
    <xf numFmtId="0" fontId="1" fillId="104" borderId="0">
      <alignment horizontal="center" vertical="center" wrapText="1"/>
    </xf>
    <xf numFmtId="0" fontId="82" fillId="0" borderId="34" applyNumberFormat="0" applyFill="0" applyAlignment="0" applyProtection="0"/>
    <xf numFmtId="0" fontId="2" fillId="0" borderId="24" applyNumberFormat="0" applyFill="0" applyAlignment="0" applyProtection="0"/>
    <xf numFmtId="0" fontId="2" fillId="0" borderId="24" applyNumberFormat="0" applyFill="0" applyAlignment="0" applyProtection="0"/>
    <xf numFmtId="0" fontId="2" fillId="0" borderId="24" applyNumberFormat="0" applyFill="0" applyAlignment="0" applyProtection="0"/>
    <xf numFmtId="0" fontId="2" fillId="0" borderId="24" applyNumberFormat="0" applyFill="0" applyAlignment="0" applyProtection="0"/>
    <xf numFmtId="0" fontId="2" fillId="0" borderId="24" applyNumberFormat="0" applyFill="0" applyAlignment="0" applyProtection="0"/>
    <xf numFmtId="4" fontId="61" fillId="25" borderId="0" applyNumberFormat="0" applyFont="0" applyBorder="0" applyAlignment="0" applyProtection="0">
      <alignment horizontal="right"/>
    </xf>
    <xf numFmtId="2" fontId="88" fillId="105" borderId="0" applyProtection="0"/>
    <xf numFmtId="0" fontId="88" fillId="106" borderId="0" applyProtection="0"/>
    <xf numFmtId="0" fontId="38" fillId="107" borderId="12">
      <alignment horizontal="center" vertical="center" wrapText="1"/>
    </xf>
    <xf numFmtId="0" fontId="38" fillId="107" borderId="12">
      <alignment horizontal="center" vertical="center" wrapText="1"/>
    </xf>
    <xf numFmtId="0" fontId="38" fillId="107" borderId="12">
      <alignment vertical="center" wrapText="1"/>
    </xf>
    <xf numFmtId="0" fontId="38" fillId="107" borderId="12">
      <alignment horizontal="center" vertical="center" wrapText="1"/>
    </xf>
    <xf numFmtId="0" fontId="38" fillId="107" borderId="12">
      <alignment vertical="center" wrapText="1"/>
    </xf>
    <xf numFmtId="0" fontId="8" fillId="3" borderId="0" applyNumberFormat="0" applyBorder="0" applyAlignment="0" applyProtection="0"/>
    <xf numFmtId="0" fontId="12" fillId="4" borderId="0" applyNumberFormat="0" applyBorder="0" applyAlignment="0" applyProtection="0"/>
    <xf numFmtId="177" fontId="35" fillId="0" borderId="0" applyFont="0" applyFill="0" applyBorder="0" applyAlignment="0" applyProtection="0"/>
    <xf numFmtId="164" fontId="4" fillId="0" borderId="0" applyFont="0" applyFill="0" applyBorder="0" applyAlignment="0" applyProtection="0">
      <alignment wrapText="1"/>
    </xf>
    <xf numFmtId="165" fontId="4" fillId="0" borderId="0" applyFont="0" applyFill="0" applyBorder="0" applyAlignment="0" applyProtection="0">
      <alignment wrapText="1"/>
    </xf>
    <xf numFmtId="0" fontId="83"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62" fillId="0" borderId="25">
      <alignment horizontal="center"/>
      <protection hidden="1"/>
    </xf>
    <xf numFmtId="4" fontId="25" fillId="0" borderId="0"/>
    <xf numFmtId="0" fontId="44" fillId="0" borderId="0" applyNumberFormat="0" applyFill="0" applyBorder="0" applyAlignment="0" applyProtection="0">
      <alignment vertical="center"/>
    </xf>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117" fillId="0" borderId="45" applyNumberFormat="0">
      <alignment vertical="center"/>
    </xf>
    <xf numFmtId="192" fontId="116" fillId="0" borderId="45">
      <alignment horizontal="right" vertical="center"/>
    </xf>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57" fillId="0" borderId="0"/>
    <xf numFmtId="0" fontId="67" fillId="0" borderId="0"/>
    <xf numFmtId="0" fontId="4" fillId="0" borderId="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9" fontId="25" fillId="0" borderId="2" applyNumberFormat="0" applyFont="0" applyFill="0" applyBorder="0" applyProtection="0">
      <alignment horizontal="left" vertical="center" indent="2"/>
    </xf>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3" borderId="0" applyNumberFormat="0" applyBorder="0" applyAlignment="0" applyProtection="0"/>
    <xf numFmtId="0" fontId="68" fillId="3" borderId="0" applyNumberFormat="0" applyBorder="0" applyAlignment="0" applyProtection="0"/>
    <xf numFmtId="0" fontId="68" fillId="3" borderId="0" applyNumberFormat="0" applyBorder="0" applyAlignment="0" applyProtection="0"/>
    <xf numFmtId="0" fontId="68" fillId="3" borderId="0" applyNumberFormat="0" applyBorder="0" applyAlignment="0" applyProtection="0"/>
    <xf numFmtId="0" fontId="68" fillId="3" borderId="0" applyNumberFormat="0" applyBorder="0" applyAlignment="0" applyProtection="0"/>
    <xf numFmtId="0" fontId="68" fillId="3" borderId="0" applyNumberFormat="0" applyBorder="0" applyAlignment="0" applyProtection="0"/>
    <xf numFmtId="0" fontId="68" fillId="3"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195" fontId="121" fillId="0" borderId="0" applyAlignment="0" applyProtection="0"/>
    <xf numFmtId="195" fontId="121" fillId="0" borderId="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 fillId="77" borderId="32" applyNumberFormat="0" applyFont="0" applyAlignment="0" applyProtection="0"/>
    <xf numFmtId="0" fontId="148" fillId="114" borderId="26" applyNumberFormat="0" applyAlignment="0" applyProtection="0"/>
    <xf numFmtId="0" fontId="148" fillId="114" borderId="26" applyNumberFormat="0" applyAlignment="0" applyProtection="0"/>
    <xf numFmtId="0" fontId="148" fillId="114" borderId="26" applyNumberFormat="0" applyAlignment="0" applyProtection="0"/>
    <xf numFmtId="0" fontId="148" fillId="114" borderId="26" applyNumberFormat="0" applyAlignment="0" applyProtection="0"/>
    <xf numFmtId="0" fontId="148" fillId="114" borderId="26" applyNumberFormat="0" applyAlignment="0" applyProtection="0"/>
    <xf numFmtId="3" fontId="145" fillId="0" borderId="0" applyFont="0" applyFill="0" applyBorder="0" applyAlignment="0" applyProtection="0"/>
    <xf numFmtId="196" fontId="4" fillId="0" borderId="0"/>
    <xf numFmtId="196" fontId="4" fillId="0" borderId="0"/>
    <xf numFmtId="196" fontId="4" fillId="0" borderId="0"/>
    <xf numFmtId="196" fontId="4" fillId="0" borderId="0"/>
    <xf numFmtId="196" fontId="4" fillId="0" borderId="0"/>
    <xf numFmtId="0" fontId="35" fillId="0" borderId="0"/>
    <xf numFmtId="197" fontId="145" fillId="0" borderId="0" applyFont="0" applyFill="0" applyBorder="0" applyAlignment="0" applyProtection="0"/>
    <xf numFmtId="0" fontId="145" fillId="0" borderId="0" applyFont="0" applyFill="0" applyBorder="0" applyAlignment="0" applyProtection="0"/>
    <xf numFmtId="0" fontId="35" fillId="0" borderId="0"/>
    <xf numFmtId="2" fontId="145" fillId="0" borderId="0" applyFont="0" applyFill="0" applyBorder="0" applyAlignment="0" applyProtection="0"/>
    <xf numFmtId="0" fontId="73" fillId="6" borderId="0" applyNumberFormat="0" applyBorder="0" applyAlignment="0" applyProtection="0"/>
    <xf numFmtId="0" fontId="73" fillId="6" borderId="0" applyNumberFormat="0" applyBorder="0" applyAlignment="0" applyProtection="0"/>
    <xf numFmtId="0" fontId="73" fillId="6" borderId="0" applyNumberFormat="0" applyBorder="0" applyAlignment="0" applyProtection="0"/>
    <xf numFmtId="0" fontId="73" fillId="6" borderId="0" applyNumberFormat="0" applyBorder="0" applyAlignment="0" applyProtection="0"/>
    <xf numFmtId="0" fontId="73" fillId="6" borderId="0" applyNumberFormat="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77" fillId="35" borderId="26" applyNumberFormat="0" applyAlignment="0" applyProtection="0"/>
    <xf numFmtId="0" fontId="77" fillId="35" borderId="26" applyNumberFormat="0" applyAlignment="0" applyProtection="0"/>
    <xf numFmtId="0" fontId="77" fillId="35" borderId="26" applyNumberFormat="0" applyAlignment="0" applyProtection="0"/>
    <xf numFmtId="0" fontId="77" fillId="35" borderId="26" applyNumberFormat="0" applyAlignment="0" applyProtection="0"/>
    <xf numFmtId="0" fontId="77" fillId="35" borderId="26" applyNumberFormat="0" applyAlignment="0" applyProtection="0"/>
    <xf numFmtId="193" fontId="4" fillId="0" borderId="0" applyFont="0" applyFill="0" applyBorder="0" applyAlignment="0" applyProtection="0"/>
    <xf numFmtId="19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4" fontId="34"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34" fillId="0" borderId="0" applyFont="0" applyFill="0" applyBorder="0" applyAlignment="0" applyProtection="0"/>
    <xf numFmtId="43" fontId="4" fillId="0" borderId="0" applyFont="0" applyFill="0" applyBorder="0" applyAlignment="0" applyProtection="0"/>
    <xf numFmtId="174" fontId="34" fillId="0" borderId="0" applyFont="0" applyFill="0" applyBorder="0" applyAlignment="0" applyProtection="0"/>
    <xf numFmtId="174" fontId="3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34" fillId="0" borderId="0" applyFont="0" applyFill="0" applyBorder="0" applyAlignment="0" applyProtection="0"/>
    <xf numFmtId="193" fontId="4" fillId="0" borderId="0" applyFont="0" applyFill="0" applyBorder="0" applyAlignment="0" applyProtection="0"/>
    <xf numFmtId="0" fontId="12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111" fillId="0" borderId="0" applyNumberFormat="0" applyFill="0" applyBorder="0" applyAlignment="0" applyProtection="0"/>
    <xf numFmtId="0" fontId="149" fillId="0" borderId="0" applyNumberFormat="0" applyFill="0" applyBorder="0" applyAlignment="0" applyProtection="0">
      <alignment vertical="top"/>
    </xf>
    <xf numFmtId="0" fontId="31" fillId="0" borderId="0" applyNumberFormat="0" applyFill="0" applyBorder="0" applyAlignment="0" applyProtection="0">
      <alignment vertical="top"/>
      <protection locked="0"/>
    </xf>
    <xf numFmtId="0" fontId="120" fillId="0" borderId="0" applyNumberFormat="0" applyFill="0" applyBorder="0" applyAlignment="0" applyProtection="0">
      <alignment vertical="top"/>
      <protection locked="0"/>
    </xf>
    <xf numFmtId="0" fontId="68" fillId="115" borderId="0" applyNumberFormat="0" applyBorder="0" applyAlignment="0" applyProtection="0"/>
    <xf numFmtId="0" fontId="68" fillId="115" borderId="0" applyNumberFormat="0" applyBorder="0" applyAlignment="0" applyProtection="0"/>
    <xf numFmtId="0" fontId="68" fillId="115" borderId="0" applyNumberFormat="0" applyBorder="0" applyAlignment="0" applyProtection="0"/>
    <xf numFmtId="0" fontId="68" fillId="115" borderId="0" applyNumberFormat="0" applyBorder="0" applyAlignment="0" applyProtection="0"/>
    <xf numFmtId="0" fontId="68" fillId="115"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6" borderId="0" applyNumberFormat="0" applyBorder="0" applyAlignment="0" applyProtection="0"/>
    <xf numFmtId="0" fontId="68" fillId="116" borderId="0" applyNumberFormat="0" applyBorder="0" applyAlignment="0" applyProtection="0"/>
    <xf numFmtId="0" fontId="68" fillId="116" borderId="0" applyNumberFormat="0" applyBorder="0" applyAlignment="0" applyProtection="0"/>
    <xf numFmtId="0" fontId="68" fillId="116" borderId="0" applyNumberFormat="0" applyBorder="0" applyAlignment="0" applyProtection="0"/>
    <xf numFmtId="0" fontId="68" fillId="116"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150" fillId="76" borderId="0" applyNumberFormat="0" applyBorder="0" applyAlignment="0" applyProtection="0"/>
    <xf numFmtId="0" fontId="150" fillId="76" borderId="0" applyNumberFormat="0" applyBorder="0" applyAlignment="0" applyProtection="0"/>
    <xf numFmtId="0" fontId="150" fillId="76" borderId="0" applyNumberFormat="0" applyBorder="0" applyAlignment="0" applyProtection="0"/>
    <xf numFmtId="0" fontId="150" fillId="76" borderId="0" applyNumberFormat="0" applyBorder="0" applyAlignment="0" applyProtection="0"/>
    <xf numFmtId="0" fontId="150" fillId="76" borderId="0" applyNumberFormat="0" applyBorder="0" applyAlignment="0" applyProtection="0"/>
    <xf numFmtId="0" fontId="67" fillId="0" borderId="0"/>
    <xf numFmtId="0" fontId="4" fillId="0" borderId="0"/>
    <xf numFmtId="0" fontId="67" fillId="0" borderId="0"/>
    <xf numFmtId="0" fontId="88" fillId="0" borderId="0" applyNumberFormat="0" applyBorder="0" applyAlignment="0"/>
    <xf numFmtId="0" fontId="4" fillId="0" borderId="0"/>
    <xf numFmtId="0" fontId="67" fillId="0" borderId="0"/>
    <xf numFmtId="0" fontId="67" fillId="0" borderId="0"/>
    <xf numFmtId="0" fontId="4" fillId="0" borderId="0"/>
    <xf numFmtId="0" fontId="34" fillId="0" borderId="0">
      <alignment vertical="top"/>
    </xf>
    <xf numFmtId="0" fontId="67" fillId="0" borderId="0"/>
    <xf numFmtId="0" fontId="67" fillId="0" borderId="0"/>
    <xf numFmtId="0" fontId="67" fillId="0" borderId="0"/>
    <xf numFmtId="0" fontId="4" fillId="0" borderId="0"/>
    <xf numFmtId="0" fontId="4" fillId="0" borderId="0"/>
    <xf numFmtId="0" fontId="145" fillId="0" borderId="0"/>
    <xf numFmtId="0" fontId="145" fillId="0" borderId="0"/>
    <xf numFmtId="0" fontId="145" fillId="0" borderId="0"/>
    <xf numFmtId="0" fontId="4" fillId="0" borderId="0"/>
    <xf numFmtId="0" fontId="34" fillId="0" borderId="0">
      <alignment vertical="top"/>
    </xf>
    <xf numFmtId="0" fontId="4" fillId="0" borderId="0"/>
    <xf numFmtId="0" fontId="67" fillId="0" borderId="0"/>
    <xf numFmtId="0" fontId="4" fillId="0" borderId="0"/>
    <xf numFmtId="0" fontId="34" fillId="0" borderId="0">
      <alignment vertical="top"/>
    </xf>
    <xf numFmtId="0" fontId="34" fillId="0" borderId="0">
      <alignment vertical="top"/>
    </xf>
    <xf numFmtId="0" fontId="67" fillId="0" borderId="0"/>
    <xf numFmtId="0" fontId="4" fillId="0" borderId="0"/>
    <xf numFmtId="0" fontId="4" fillId="0" borderId="0"/>
    <xf numFmtId="0" fontId="4"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23" fillId="0" borderId="0"/>
    <xf numFmtId="0" fontId="4" fillId="0" borderId="0"/>
    <xf numFmtId="0" fontId="4" fillId="0" borderId="0"/>
    <xf numFmtId="0" fontId="67" fillId="0" borderId="0"/>
    <xf numFmtId="0" fontId="4" fillId="0" borderId="0"/>
    <xf numFmtId="0" fontId="67" fillId="0" borderId="0"/>
    <xf numFmtId="0" fontId="34" fillId="0" borderId="0">
      <alignment vertical="top"/>
    </xf>
    <xf numFmtId="0" fontId="67" fillId="0" borderId="0"/>
    <xf numFmtId="0" fontId="34" fillId="0" borderId="0">
      <alignment vertical="top"/>
    </xf>
    <xf numFmtId="0" fontId="4" fillId="0" borderId="0"/>
    <xf numFmtId="0" fontId="67" fillId="0" borderId="0"/>
    <xf numFmtId="0" fontId="67" fillId="0" borderId="0"/>
    <xf numFmtId="0" fontId="4" fillId="0" borderId="0"/>
    <xf numFmtId="0" fontId="4" fillId="0" borderId="0"/>
    <xf numFmtId="0" fontId="67" fillId="0" borderId="0"/>
    <xf numFmtId="0" fontId="67" fillId="0" borderId="0"/>
    <xf numFmtId="0" fontId="4" fillId="0" borderId="0"/>
    <xf numFmtId="0" fontId="34" fillId="0" borderId="0">
      <alignment vertical="top"/>
    </xf>
    <xf numFmtId="0" fontId="67" fillId="0" borderId="0"/>
    <xf numFmtId="0" fontId="67" fillId="0" borderId="0"/>
    <xf numFmtId="0" fontId="67" fillId="0" borderId="0"/>
    <xf numFmtId="0" fontId="4" fillId="0" borderId="0"/>
    <xf numFmtId="0" fontId="4" fillId="0" borderId="0"/>
    <xf numFmtId="0" fontId="67" fillId="0" borderId="0"/>
    <xf numFmtId="0" fontId="4" fillId="0" borderId="0"/>
    <xf numFmtId="0" fontId="4" fillId="0" borderId="0"/>
    <xf numFmtId="0" fontId="57" fillId="0" borderId="0"/>
    <xf numFmtId="0" fontId="67" fillId="0" borderId="0"/>
    <xf numFmtId="0" fontId="67" fillId="0" borderId="0"/>
    <xf numFmtId="0" fontId="34" fillId="0" borderId="0">
      <alignment vertical="top"/>
    </xf>
    <xf numFmtId="0" fontId="67" fillId="0" borderId="0"/>
    <xf numFmtId="49" fontId="26" fillId="0" borderId="2" applyNumberFormat="0" applyFill="0" applyBorder="0" applyProtection="0">
      <alignment horizontal="left" vertical="center"/>
    </xf>
    <xf numFmtId="0" fontId="1" fillId="77" borderId="32" applyNumberFormat="0" applyFont="0" applyAlignment="0" applyProtection="0"/>
    <xf numFmtId="0" fontId="80" fillId="114" borderId="33" applyNumberFormat="0" applyAlignment="0" applyProtection="0"/>
    <xf numFmtId="0" fontId="80" fillId="114" borderId="33" applyNumberFormat="0" applyAlignment="0" applyProtection="0"/>
    <xf numFmtId="0" fontId="80" fillId="114" borderId="33" applyNumberFormat="0" applyAlignment="0" applyProtection="0"/>
    <xf numFmtId="0" fontId="80" fillId="114" borderId="33" applyNumberFormat="0" applyAlignment="0" applyProtection="0"/>
    <xf numFmtId="0" fontId="80" fillId="114" borderId="33" applyNumberFormat="0" applyAlignment="0" applyProtection="0"/>
    <xf numFmtId="0" fontId="141" fillId="0" borderId="46" applyNumberFormat="0" applyFill="0" applyAlignment="0" applyProtection="0"/>
    <xf numFmtId="0" fontId="141" fillId="0" borderId="46" applyNumberFormat="0" applyFill="0" applyAlignment="0" applyProtection="0"/>
    <xf numFmtId="0" fontId="141" fillId="0" borderId="46" applyNumberFormat="0" applyFill="0" applyAlignment="0" applyProtection="0"/>
    <xf numFmtId="0" fontId="141" fillId="0" borderId="46" applyNumberFormat="0" applyFill="0" applyAlignment="0" applyProtection="0"/>
    <xf numFmtId="0" fontId="141" fillId="0" borderId="46" applyNumberFormat="0" applyFill="0" applyAlignment="0" applyProtection="0"/>
    <xf numFmtId="0" fontId="142" fillId="0" borderId="47" applyNumberFormat="0" applyFill="0" applyAlignment="0" applyProtection="0"/>
    <xf numFmtId="0" fontId="142" fillId="0" borderId="47" applyNumberFormat="0" applyFill="0" applyAlignment="0" applyProtection="0"/>
    <xf numFmtId="0" fontId="142" fillId="0" borderId="47" applyNumberFormat="0" applyFill="0" applyAlignment="0" applyProtection="0"/>
    <xf numFmtId="0" fontId="142" fillId="0" borderId="47" applyNumberFormat="0" applyFill="0" applyAlignment="0" applyProtection="0"/>
    <xf numFmtId="0" fontId="142" fillId="0" borderId="47" applyNumberFormat="0" applyFill="0" applyAlignment="0" applyProtection="0"/>
    <xf numFmtId="0" fontId="143" fillId="0" borderId="48" applyNumberFormat="0" applyFill="0" applyAlignment="0" applyProtection="0"/>
    <xf numFmtId="0" fontId="143" fillId="0" borderId="48" applyNumberFormat="0" applyFill="0" applyAlignment="0" applyProtection="0"/>
    <xf numFmtId="0" fontId="143" fillId="0" borderId="48" applyNumberFormat="0" applyFill="0" applyAlignment="0" applyProtection="0"/>
    <xf numFmtId="0" fontId="143" fillId="0" borderId="48" applyNumberFormat="0" applyFill="0" applyAlignment="0" applyProtection="0"/>
    <xf numFmtId="0" fontId="143" fillId="0" borderId="48" applyNumberFormat="0" applyFill="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35" fillId="0" borderId="0"/>
    <xf numFmtId="9" fontId="119" fillId="0" borderId="0" applyFont="0" applyFill="0" applyBorder="0" applyAlignment="0" applyProtection="0"/>
    <xf numFmtId="9" fontId="119" fillId="0" borderId="0" applyFont="0" applyFill="0" applyBorder="0" applyAlignment="0" applyProtection="0"/>
    <xf numFmtId="9" fontId="1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9" fillId="0" borderId="0" applyFont="0" applyFill="0" applyBorder="0" applyAlignment="0" applyProtection="0"/>
    <xf numFmtId="9" fontId="119" fillId="0" borderId="0" applyFont="0" applyFill="0" applyBorder="0" applyAlignment="0" applyProtection="0"/>
    <xf numFmtId="9" fontId="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4" fillId="0" borderId="0" applyFont="0" applyFill="0" applyBorder="0" applyAlignment="0" applyProtection="0"/>
    <xf numFmtId="10" fontId="14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4" fillId="0" borderId="0" applyFont="0" applyFill="0" applyBorder="0" applyAlignment="0" applyProtection="0"/>
    <xf numFmtId="0" fontId="21" fillId="0" borderId="49" applyNumberFormat="0" applyFill="0" applyAlignment="0" applyProtection="0"/>
    <xf numFmtId="0" fontId="21" fillId="0" borderId="49" applyNumberFormat="0" applyFill="0" applyAlignment="0" applyProtection="0"/>
    <xf numFmtId="0" fontId="21" fillId="0" borderId="49" applyNumberFormat="0" applyFill="0" applyAlignment="0" applyProtection="0"/>
    <xf numFmtId="0" fontId="21" fillId="0" borderId="49" applyNumberFormat="0" applyFill="0" applyAlignment="0" applyProtection="0"/>
    <xf numFmtId="0" fontId="21" fillId="0" borderId="49" applyNumberFormat="0" applyFill="0" applyAlignment="0" applyProtection="0"/>
    <xf numFmtId="0" fontId="21" fillId="0" borderId="49" applyNumberFormat="0" applyFill="0" applyAlignment="0" applyProtection="0"/>
    <xf numFmtId="0" fontId="21" fillId="0" borderId="49" applyNumberFormat="0" applyFill="0" applyAlignment="0" applyProtection="0"/>
    <xf numFmtId="4" fontId="123" fillId="22" borderId="50" applyNumberFormat="0" applyProtection="0">
      <alignment vertical="center"/>
    </xf>
    <xf numFmtId="4" fontId="124" fillId="22" borderId="50" applyNumberFormat="0" applyProtection="0">
      <alignment vertical="center"/>
    </xf>
    <xf numFmtId="4" fontId="125" fillId="35" borderId="50" applyNumberFormat="0" applyProtection="0">
      <alignment horizontal="left" vertical="center" indent="1"/>
    </xf>
    <xf numFmtId="0" fontId="4" fillId="0" borderId="0"/>
    <xf numFmtId="4" fontId="126" fillId="114" borderId="50" applyNumberFormat="0" applyProtection="0">
      <alignment horizontal="left" vertical="center" indent="1"/>
    </xf>
    <xf numFmtId="4" fontId="127" fillId="117" borderId="50" applyNumberFormat="0" applyProtection="0">
      <alignment vertical="center"/>
    </xf>
    <xf numFmtId="0" fontId="4" fillId="0" borderId="0"/>
    <xf numFmtId="0" fontId="4" fillId="0" borderId="0"/>
    <xf numFmtId="0" fontId="4" fillId="0" borderId="0"/>
    <xf numFmtId="4" fontId="118" fillId="21" borderId="50" applyNumberFormat="0" applyProtection="0">
      <alignment vertical="center"/>
    </xf>
    <xf numFmtId="0" fontId="4" fillId="0" borderId="0"/>
    <xf numFmtId="0" fontId="4" fillId="0" borderId="0"/>
    <xf numFmtId="0" fontId="4" fillId="0" borderId="0"/>
    <xf numFmtId="4" fontId="127" fillId="118" borderId="50" applyNumberFormat="0" applyProtection="0">
      <alignment vertical="center"/>
    </xf>
    <xf numFmtId="0" fontId="4" fillId="0" borderId="0"/>
    <xf numFmtId="0" fontId="4" fillId="0" borderId="0"/>
    <xf numFmtId="0" fontId="4" fillId="0" borderId="0"/>
    <xf numFmtId="4" fontId="128" fillId="117" borderId="50" applyNumberFormat="0" applyProtection="0">
      <alignment vertical="center"/>
    </xf>
    <xf numFmtId="4" fontId="129" fillId="119" borderId="50" applyNumberFormat="0" applyProtection="0">
      <alignment horizontal="left" vertical="center" indent="1"/>
    </xf>
    <xf numFmtId="4" fontId="129" fillId="114" borderId="50" applyNumberFormat="0" applyProtection="0">
      <alignment horizontal="left" vertical="center" indent="1"/>
    </xf>
    <xf numFmtId="4" fontId="129" fillId="114" borderId="50" applyNumberFormat="0" applyProtection="0">
      <alignment horizontal="left" vertical="center" indent="1"/>
    </xf>
    <xf numFmtId="4" fontId="130" fillId="33" borderId="50" applyNumberFormat="0" applyProtection="0">
      <alignment vertical="center"/>
    </xf>
    <xf numFmtId="4" fontId="45" fillId="111" borderId="50" applyNumberFormat="0" applyProtection="0">
      <alignment horizontal="left" vertical="center" indent="1"/>
    </xf>
    <xf numFmtId="4" fontId="131" fillId="114" borderId="0" applyNumberFormat="0" applyProtection="0">
      <alignment horizontal="left" vertical="center" indent="1"/>
    </xf>
    <xf numFmtId="4" fontId="132" fillId="114" borderId="0" applyNumberFormat="0" applyProtection="0">
      <alignment horizontal="left" vertical="center" inden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 fontId="133" fillId="111" borderId="50" applyNumberFormat="0" applyProtection="0">
      <alignment vertical="center"/>
    </xf>
    <xf numFmtId="4" fontId="134" fillId="111" borderId="50" applyNumberFormat="0" applyProtection="0">
      <alignment vertical="center"/>
    </xf>
    <xf numFmtId="4" fontId="135" fillId="29" borderId="50" applyNumberFormat="0" applyProtection="0">
      <alignment horizontal="left" vertical="center" indent="1"/>
    </xf>
    <xf numFmtId="0" fontId="4" fillId="0" borderId="0"/>
    <xf numFmtId="4" fontId="136" fillId="111" borderId="50" applyNumberFormat="0" applyProtection="0">
      <alignment horizontal="right" vertical="center"/>
    </xf>
    <xf numFmtId="4" fontId="137" fillId="111" borderId="50" applyNumberFormat="0" applyProtection="0">
      <alignment vertical="center"/>
    </xf>
    <xf numFmtId="4" fontId="136" fillId="24" borderId="50" applyNumberFormat="0" applyProtection="0">
      <alignment horizontal="left" vertical="center"/>
    </xf>
    <xf numFmtId="0" fontId="4" fillId="0" borderId="0"/>
    <xf numFmtId="4" fontId="138" fillId="111" borderId="50" applyNumberFormat="0" applyProtection="0">
      <alignment vertical="center"/>
    </xf>
    <xf numFmtId="4" fontId="139" fillId="111" borderId="50" applyNumberFormat="0" applyProtection="0">
      <alignment vertical="center"/>
    </xf>
    <xf numFmtId="4" fontId="135" fillId="120" borderId="50" applyNumberFormat="0" applyProtection="0">
      <alignment horizontal="left" vertical="center" indent="1"/>
    </xf>
    <xf numFmtId="4" fontId="140" fillId="121" borderId="0" applyNumberFormat="0" applyProtection="0">
      <alignment horizontal="left" indent="1"/>
    </xf>
    <xf numFmtId="4" fontId="122" fillId="111" borderId="50" applyNumberFormat="0" applyProtection="0">
      <alignment vertical="center"/>
    </xf>
    <xf numFmtId="0" fontId="41" fillId="0" borderId="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82" fillId="0" borderId="51" applyNumberFormat="0" applyFill="0" applyAlignment="0" applyProtection="0"/>
    <xf numFmtId="0" fontId="82" fillId="0" borderId="51" applyNumberFormat="0" applyFill="0" applyAlignment="0" applyProtection="0"/>
    <xf numFmtId="0" fontId="145" fillId="0" borderId="52" applyNumberFormat="0" applyFont="0" applyFill="0" applyAlignment="0" applyProtection="0"/>
    <xf numFmtId="0" fontId="82" fillId="0" borderId="51" applyNumberFormat="0" applyFill="0" applyAlignment="0" applyProtection="0"/>
    <xf numFmtId="0" fontId="82" fillId="0" borderId="51" applyNumberFormat="0" applyFill="0" applyAlignment="0" applyProtection="0"/>
    <xf numFmtId="0" fontId="82" fillId="0" borderId="51" applyNumberFormat="0" applyFill="0" applyAlignment="0" applyProtection="0"/>
    <xf numFmtId="0" fontId="69" fillId="5" borderId="0" applyNumberFormat="0" applyBorder="0" applyAlignment="0" applyProtection="0"/>
    <xf numFmtId="0" fontId="69" fillId="5" borderId="0" applyNumberFormat="0" applyBorder="0" applyAlignment="0" applyProtection="0"/>
    <xf numFmtId="0" fontId="69" fillId="5" borderId="0" applyNumberFormat="0" applyBorder="0" applyAlignment="0" applyProtection="0"/>
    <xf numFmtId="0" fontId="69" fillId="5" borderId="0" applyNumberFormat="0" applyBorder="0" applyAlignment="0" applyProtection="0"/>
    <xf numFmtId="0" fontId="69" fillId="5" borderId="0" applyNumberFormat="0" applyBorder="0" applyAlignment="0" applyProtection="0"/>
    <xf numFmtId="194" fontId="119" fillId="0" borderId="0" applyFont="0" applyFill="0" applyBorder="0" applyAlignment="0" applyProtection="0"/>
    <xf numFmtId="194" fontId="119" fillId="0" borderId="0" applyFont="0" applyFill="0" applyBorder="0" applyAlignment="0" applyProtection="0"/>
    <xf numFmtId="194" fontId="119" fillId="0" borderId="0" applyFont="0" applyFill="0" applyBorder="0" applyAlignment="0" applyProtection="0"/>
    <xf numFmtId="194" fontId="119" fillId="0" borderId="0" applyFont="0" applyFill="0" applyBorder="0" applyAlignment="0" applyProtection="0"/>
    <xf numFmtId="194" fontId="119" fillId="0" borderId="0" applyFont="0" applyFill="0" applyBorder="0" applyAlignment="0" applyProtection="0"/>
    <xf numFmtId="0" fontId="119" fillId="0" borderId="0"/>
    <xf numFmtId="0" fontId="81" fillId="0" borderId="0" applyNumberFormat="0" applyFill="0" applyBorder="0" applyAlignment="0" applyProtection="0"/>
    <xf numFmtId="0" fontId="74" fillId="0" borderId="28" applyNumberFormat="0" applyFill="0" applyAlignment="0" applyProtection="0"/>
    <xf numFmtId="0" fontId="75" fillId="0" borderId="29" applyNumberFormat="0" applyFill="0" applyAlignment="0" applyProtection="0"/>
    <xf numFmtId="0" fontId="76" fillId="0" borderId="30" applyNumberFormat="0" applyFill="0" applyAlignment="0" applyProtection="0"/>
    <xf numFmtId="0" fontId="76" fillId="0" borderId="0" applyNumberFormat="0" applyFill="0" applyBorder="0" applyAlignment="0" applyProtection="0"/>
    <xf numFmtId="0" fontId="73" fillId="74" borderId="0" applyNumberFormat="0" applyBorder="0" applyAlignment="0" applyProtection="0"/>
    <xf numFmtId="0" fontId="69" fillId="71" borderId="0" applyNumberFormat="0" applyBorder="0" applyAlignment="0" applyProtection="0"/>
    <xf numFmtId="0" fontId="79" fillId="76" borderId="0" applyNumberFormat="0" applyBorder="0" applyAlignment="0" applyProtection="0"/>
    <xf numFmtId="0" fontId="77" fillId="75" borderId="26" applyNumberFormat="0" applyAlignment="0" applyProtection="0"/>
    <xf numFmtId="0" fontId="80" fillId="72" borderId="33" applyNumberFormat="0" applyAlignment="0" applyProtection="0"/>
    <xf numFmtId="0" fontId="70" fillId="72" borderId="26" applyNumberFormat="0" applyAlignment="0" applyProtection="0"/>
    <xf numFmtId="0" fontId="78" fillId="0" borderId="31" applyNumberFormat="0" applyFill="0" applyAlignment="0" applyProtection="0"/>
    <xf numFmtId="0" fontId="82" fillId="0" borderId="34" applyNumberFormat="0" applyFill="0" applyAlignment="0" applyProtection="0"/>
    <xf numFmtId="0" fontId="68" fillId="65"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8" fillId="59" borderId="0" applyNumberFormat="0" applyBorder="0" applyAlignment="0" applyProtection="0"/>
    <xf numFmtId="0" fontId="68" fillId="66"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8" fillId="60" borderId="0" applyNumberFormat="0" applyBorder="0" applyAlignment="0" applyProtection="0"/>
    <xf numFmtId="0" fontId="68" fillId="67"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8" fillId="61" borderId="0" applyNumberFormat="0" applyBorder="0" applyAlignment="0" applyProtection="0"/>
    <xf numFmtId="0" fontId="68" fillId="68"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8" fillId="62"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8" fillId="63" borderId="0" applyNumberFormat="0" applyBorder="0" applyAlignment="0" applyProtection="0"/>
    <xf numFmtId="0" fontId="68" fillId="70"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8" fillId="64"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3" fontId="145"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8" fillId="61" borderId="0" applyNumberFormat="0" applyBorder="0" applyAlignment="0" applyProtection="0"/>
    <xf numFmtId="0" fontId="68" fillId="62" borderId="0" applyNumberFormat="0" applyBorder="0" applyAlignment="0" applyProtection="0"/>
    <xf numFmtId="0" fontId="68" fillId="6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0" fontId="34" fillId="0" borderId="0">
      <alignment vertical="top"/>
    </xf>
    <xf numFmtId="0" fontId="67" fillId="6"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9"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6"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75" fillId="0" borderId="29" applyNumberFormat="0" applyFill="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76" fillId="0" borderId="30" applyNumberFormat="0" applyFill="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24" borderId="0" applyNumberFormat="0" applyBorder="0" applyAlignment="0" applyProtection="0"/>
    <xf numFmtId="0" fontId="67" fillId="9" borderId="0" applyNumberFormat="0" applyBorder="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35"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0" borderId="0"/>
    <xf numFmtId="0" fontId="67" fillId="0" borderId="0"/>
    <xf numFmtId="0" fontId="67" fillId="9"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7" borderId="0" applyNumberFormat="0" applyBorder="0" applyAlignment="0" applyProtection="0"/>
    <xf numFmtId="9" fontId="67" fillId="0" borderId="0" applyFont="0" applyFill="0" applyBorder="0" applyAlignment="0" applyProtection="0"/>
    <xf numFmtId="0" fontId="79" fillId="76" borderId="0" applyNumberFormat="0" applyBorder="0" applyAlignment="0" applyProtection="0"/>
    <xf numFmtId="0" fontId="67" fillId="24"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145" fillId="0" borderId="0"/>
    <xf numFmtId="3" fontId="145" fillId="0" borderId="0" applyFont="0" applyFill="0" applyBorder="0" applyAlignment="0" applyProtection="0"/>
    <xf numFmtId="197" fontId="145" fillId="0" borderId="0" applyFont="0" applyFill="0" applyBorder="0" applyAlignment="0" applyProtection="0"/>
    <xf numFmtId="0" fontId="145" fillId="0" borderId="0" applyFont="0" applyFill="0" applyBorder="0" applyAlignment="0" applyProtection="0"/>
    <xf numFmtId="2" fontId="145" fillId="0" borderId="0" applyFont="0" applyFill="0" applyBorder="0" applyAlignment="0" applyProtection="0"/>
    <xf numFmtId="0" fontId="146" fillId="0" borderId="0" applyNumberFormat="0" applyFill="0" applyBorder="0" applyAlignment="0" applyProtection="0"/>
    <xf numFmtId="0" fontId="147" fillId="0" borderId="0" applyNumberFormat="0" applyFill="0" applyBorder="0" applyAlignment="0" applyProtection="0"/>
    <xf numFmtId="10" fontId="145" fillId="0" borderId="0" applyFont="0" applyFill="0" applyBorder="0" applyAlignment="0" applyProtection="0"/>
    <xf numFmtId="0" fontId="145" fillId="0" borderId="52" applyNumberFormat="0" applyFont="0" applyFill="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9"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145" fillId="0" borderId="0"/>
    <xf numFmtId="0" fontId="146" fillId="0" borderId="0" applyNumberFormat="0" applyFill="0" applyBorder="0" applyAlignment="0" applyProtection="0"/>
    <xf numFmtId="0" fontId="147" fillId="0" borderId="0" applyNumberFormat="0" applyFill="0" applyBorder="0" applyAlignment="0" applyProtection="0"/>
    <xf numFmtId="0" fontId="67" fillId="24" borderId="0" applyNumberFormat="0" applyBorder="0" applyAlignment="0" applyProtection="0"/>
    <xf numFmtId="0" fontId="67" fillId="3" borderId="0" applyNumberFormat="0" applyBorder="0" applyAlignment="0" applyProtection="0"/>
    <xf numFmtId="0" fontId="68" fillId="62"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5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74" fillId="0" borderId="28" applyNumberFormat="0" applyFill="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8" fillId="65" borderId="0" applyNumberFormat="0" applyBorder="0" applyAlignment="0" applyProtection="0"/>
    <xf numFmtId="0" fontId="67" fillId="24" borderId="0" applyNumberFormat="0" applyBorder="0" applyAlignment="0" applyProtection="0"/>
    <xf numFmtId="0" fontId="68" fillId="68" borderId="0" applyNumberFormat="0" applyBorder="0" applyAlignment="0" applyProtection="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78" fillId="0" borderId="31" applyNumberFormat="0" applyFill="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80" fillId="72" borderId="33" applyNumberFormat="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8" fillId="6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6" borderId="0" applyNumberFormat="0" applyBorder="0" applyAlignment="0" applyProtection="0"/>
    <xf numFmtId="0" fontId="68" fillId="70" borderId="0" applyNumberFormat="0" applyBorder="0" applyAlignment="0" applyProtection="0"/>
    <xf numFmtId="0" fontId="67" fillId="48" borderId="0" applyNumberFormat="0" applyBorder="0" applyAlignment="0" applyProtection="0"/>
    <xf numFmtId="0" fontId="69" fillId="71"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76" fillId="0" borderId="0" applyNumberFormat="0" applyFill="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8" fillId="59"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4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81" fillId="0" borderId="0" applyNumberFormat="0" applyFill="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0"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0" borderId="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82" fillId="0" borderId="34" applyNumberFormat="0" applyFill="0" applyAlignment="0" applyProtection="0"/>
    <xf numFmtId="0" fontId="67" fillId="9" borderId="0" applyNumberFormat="0" applyBorder="0" applyAlignment="0" applyProtection="0"/>
    <xf numFmtId="0" fontId="68" fillId="61" borderId="0" applyNumberFormat="0" applyBorder="0" applyAlignment="0" applyProtection="0"/>
    <xf numFmtId="0" fontId="4" fillId="0" borderId="0"/>
    <xf numFmtId="0" fontId="67" fillId="0" borderId="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70" fillId="72" borderId="26" applyNumberFormat="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8" fillId="6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49"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77" fillId="75" borderId="26" applyNumberFormat="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2"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8" fillId="60"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9" fontId="67" fillId="0" borderId="0" applyFont="0" applyFill="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3" borderId="0" applyNumberFormat="0" applyBorder="0" applyAlignment="0" applyProtection="0"/>
    <xf numFmtId="0" fontId="68" fillId="63" borderId="0" applyNumberFormat="0" applyBorder="0" applyAlignment="0" applyProtection="0"/>
    <xf numFmtId="0" fontId="68" fillId="66" borderId="0" applyNumberFormat="0" applyBorder="0" applyAlignment="0" applyProtection="0"/>
    <xf numFmtId="0" fontId="73" fillId="7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145" fillId="0" borderId="0" applyFont="0" applyFill="0" applyBorder="0" applyAlignment="0" applyProtection="0"/>
    <xf numFmtId="3" fontId="145" fillId="0" borderId="0" applyFont="0" applyFill="0" applyBorder="0" applyAlignment="0" applyProtection="0"/>
    <xf numFmtId="0" fontId="145" fillId="0" borderId="0" applyFont="0" applyFill="0" applyBorder="0" applyAlignment="0" applyProtection="0"/>
    <xf numFmtId="0" fontId="145" fillId="0" borderId="0" applyFont="0" applyFill="0" applyBorder="0" applyAlignment="0" applyProtection="0"/>
    <xf numFmtId="3" fontId="145" fillId="0" borderId="0" applyFont="0" applyFill="0" applyBorder="0" applyAlignment="0" applyProtection="0"/>
    <xf numFmtId="3" fontId="145" fillId="0" borderId="0" applyFont="0" applyFill="0" applyBorder="0" applyAlignment="0" applyProtection="0"/>
    <xf numFmtId="0" fontId="145" fillId="0" borderId="0" applyFont="0" applyFill="0" applyBorder="0" applyAlignment="0" applyProtection="0"/>
    <xf numFmtId="0" fontId="145" fillId="0" borderId="0" applyFont="0" applyFill="0" applyBorder="0" applyAlignment="0" applyProtection="0"/>
    <xf numFmtId="0" fontId="145" fillId="0" borderId="0" applyFont="0" applyFill="0" applyBorder="0" applyAlignment="0" applyProtection="0"/>
    <xf numFmtId="3" fontId="145" fillId="0" borderId="0" applyFont="0" applyFill="0" applyBorder="0" applyAlignment="0" applyProtection="0"/>
    <xf numFmtId="3" fontId="145" fillId="0" borderId="0" applyFont="0" applyFill="0" applyBorder="0" applyAlignment="0" applyProtection="0"/>
    <xf numFmtId="3" fontId="145" fillId="0" borderId="0" applyFont="0" applyFill="0" applyBorder="0" applyAlignment="0" applyProtection="0"/>
    <xf numFmtId="0" fontId="145" fillId="0" borderId="0" applyFont="0" applyFill="0" applyBorder="0" applyAlignment="0" applyProtection="0"/>
    <xf numFmtId="3" fontId="145" fillId="0" borderId="0" applyFont="0" applyFill="0" applyBorder="0" applyAlignment="0" applyProtection="0"/>
    <xf numFmtId="3" fontId="145" fillId="0" borderId="0" applyFont="0" applyFill="0" applyBorder="0" applyAlignment="0" applyProtection="0"/>
    <xf numFmtId="3" fontId="145" fillId="0" borderId="0" applyFont="0" applyFill="0" applyBorder="0" applyAlignment="0" applyProtection="0"/>
    <xf numFmtId="0" fontId="145" fillId="0" borderId="0" applyFont="0" applyFill="0" applyBorder="0" applyAlignment="0" applyProtection="0"/>
    <xf numFmtId="3" fontId="145" fillId="0" borderId="0" applyFont="0" applyFill="0" applyBorder="0" applyAlignment="0" applyProtection="0"/>
    <xf numFmtId="0" fontId="145" fillId="0" borderId="0" applyFont="0" applyFill="0" applyBorder="0" applyAlignment="0" applyProtection="0"/>
    <xf numFmtId="0" fontId="145" fillId="0" borderId="0" applyFont="0" applyFill="0" applyBorder="0" applyAlignment="0" applyProtection="0"/>
    <xf numFmtId="3" fontId="145" fillId="0" borderId="0" applyFont="0" applyFill="0" applyBorder="0" applyAlignment="0" applyProtection="0"/>
    <xf numFmtId="3" fontId="145" fillId="0" borderId="0" applyFont="0" applyFill="0" applyBorder="0" applyAlignment="0" applyProtection="0"/>
    <xf numFmtId="0" fontId="145" fillId="0" borderId="0" applyFont="0" applyFill="0" applyBorder="0" applyAlignment="0" applyProtection="0"/>
    <xf numFmtId="0" fontId="145" fillId="0" borderId="0" applyFont="0" applyFill="0" applyBorder="0" applyAlignment="0" applyProtection="0"/>
    <xf numFmtId="0" fontId="145" fillId="0" borderId="0" applyFont="0" applyFill="0" applyBorder="0" applyAlignment="0" applyProtection="0"/>
    <xf numFmtId="3" fontId="145" fillId="0" borderId="0" applyFont="0" applyFill="0" applyBorder="0" applyAlignment="0" applyProtection="0"/>
    <xf numFmtId="0" fontId="145" fillId="0" borderId="0" applyFont="0" applyFill="0" applyBorder="0" applyAlignment="0" applyProtection="0"/>
    <xf numFmtId="9" fontId="67" fillId="0" borderId="0" applyFont="0" applyFill="0" applyBorder="0" applyAlignment="0" applyProtection="0"/>
    <xf numFmtId="0" fontId="67" fillId="0" borderId="0"/>
    <xf numFmtId="9" fontId="67" fillId="0" borderId="0" applyFont="0" applyFill="0" applyBorder="0" applyAlignment="0" applyProtection="0"/>
    <xf numFmtId="174" fontId="67"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196" fontId="4" fillId="0" borderId="0"/>
    <xf numFmtId="196" fontId="4" fillId="0" borderId="0"/>
    <xf numFmtId="196" fontId="4" fillId="0" borderId="0"/>
    <xf numFmtId="196" fontId="4" fillId="0" borderId="0"/>
    <xf numFmtId="196" fontId="4" fillId="0" borderId="0"/>
    <xf numFmtId="167" fontId="4" fillId="0" borderId="0" applyFont="0" applyFill="0" applyBorder="0" applyAlignment="0" applyProtection="0"/>
    <xf numFmtId="193" fontId="4" fillId="0" borderId="0" applyFont="0" applyFill="0" applyBorder="0" applyAlignment="0" applyProtection="0"/>
    <xf numFmtId="19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9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43" fontId="67" fillId="0" borderId="0" applyFont="0" applyFill="0" applyBorder="0" applyAlignment="0" applyProtection="0"/>
    <xf numFmtId="0" fontId="67" fillId="0" borderId="0"/>
    <xf numFmtId="0" fontId="67" fillId="0" borderId="0"/>
    <xf numFmtId="0" fontId="67" fillId="0" borderId="0"/>
    <xf numFmtId="9" fontId="67" fillId="0" borderId="0" applyFont="0" applyFill="0" applyBorder="0" applyAlignment="0" applyProtection="0"/>
    <xf numFmtId="167" fontId="4" fillId="0" borderId="0" applyFont="0" applyFill="0" applyBorder="0" applyAlignment="0" applyProtection="0"/>
    <xf numFmtId="174" fontId="4" fillId="0" borderId="0" applyFont="0" applyFill="0" applyBorder="0" applyAlignment="0" applyProtection="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4" fillId="77" borderId="32" applyNumberFormat="0" applyFont="0" applyAlignment="0" applyProtection="0"/>
    <xf numFmtId="0" fontId="67" fillId="0" borderId="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3"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3"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88" fontId="60"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5" fontId="57"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0" fontId="4" fillId="0" borderId="0"/>
    <xf numFmtId="0" fontId="67" fillId="0" borderId="0"/>
    <xf numFmtId="0" fontId="67" fillId="0" borderId="0"/>
    <xf numFmtId="0" fontId="60" fillId="0" borderId="0"/>
    <xf numFmtId="0" fontId="60" fillId="24" borderId="4" applyNumberFormat="0" applyFont="0" applyAlignment="0" applyProtection="0"/>
    <xf numFmtId="0" fontId="60" fillId="24" borderId="4" applyNumberFormat="0" applyFont="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184" fontId="60" fillId="0" borderId="0" applyFont="0" applyFill="0" applyBorder="0" applyAlignment="0" applyProtection="0"/>
    <xf numFmtId="9" fontId="67"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4"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0" fontId="67" fillId="0" borderId="0"/>
    <xf numFmtId="49" fontId="25" fillId="0" borderId="1" applyNumberFormat="0" applyFont="0" applyFill="0" applyBorder="0" applyProtection="0">
      <alignment horizontal="left" vertical="center" indent="5"/>
    </xf>
    <xf numFmtId="0" fontId="67" fillId="0" borderId="0"/>
    <xf numFmtId="0" fontId="67" fillId="0" borderId="0"/>
    <xf numFmtId="0" fontId="67" fillId="0" borderId="0"/>
    <xf numFmtId="0" fontId="19" fillId="27" borderId="57" applyNumberFormat="0" applyAlignment="0" applyProtection="0"/>
    <xf numFmtId="0" fontId="60" fillId="24" borderId="56" applyNumberFormat="0" applyFont="0" applyAlignment="0" applyProtection="0"/>
    <xf numFmtId="0" fontId="60" fillId="24" borderId="56" applyNumberFormat="0" applyFont="0" applyAlignment="0" applyProtection="0"/>
    <xf numFmtId="0" fontId="60" fillId="24" borderId="56" applyNumberFormat="0" applyFont="0" applyAlignment="0" applyProtection="0"/>
    <xf numFmtId="0" fontId="60" fillId="24" borderId="56" applyNumberFormat="0" applyFont="0" applyAlignment="0" applyProtection="0"/>
    <xf numFmtId="0" fontId="4" fillId="24" borderId="56" applyNumberFormat="0" applyFont="0" applyAlignment="0" applyProtection="0"/>
    <xf numFmtId="9" fontId="67" fillId="0" borderId="0" applyFont="0" applyFill="0" applyBorder="0" applyAlignment="0" applyProtection="0"/>
    <xf numFmtId="0" fontId="56" fillId="0" borderId="0"/>
    <xf numFmtId="0" fontId="9" fillId="27" borderId="55" applyNumberFormat="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0" fontId="25" fillId="0" borderId="53">
      <alignment horizontal="left" vertical="center" wrapText="1" indent="2"/>
    </xf>
    <xf numFmtId="0" fontId="16" fillId="7" borderId="55" applyNumberFormat="0" applyAlignment="0" applyProtection="0"/>
    <xf numFmtId="0" fontId="16" fillId="7" borderId="55" applyNumberFormat="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58" fillId="0" borderId="0"/>
    <xf numFmtId="4" fontId="25" fillId="0" borderId="54" applyFill="0" applyBorder="0" applyProtection="0">
      <alignment horizontal="right" vertical="center"/>
    </xf>
    <xf numFmtId="0" fontId="25" fillId="0" borderId="54" applyNumberFormat="0" applyFill="0" applyAlignment="0" applyProtection="0"/>
    <xf numFmtId="0" fontId="4" fillId="24" borderId="56" applyNumberFormat="0" applyFont="0" applyAlignment="0" applyProtection="0"/>
    <xf numFmtId="0" fontId="4" fillId="24" borderId="56" applyNumberFormat="0" applyFont="0" applyAlignment="0" applyProtection="0"/>
    <xf numFmtId="0" fontId="60" fillId="24" borderId="56" applyNumberFormat="0" applyFont="0" applyAlignment="0" applyProtection="0"/>
    <xf numFmtId="0" fontId="60" fillId="24" borderId="56" applyNumberFormat="0" applyFont="0" applyAlignment="0" applyProtection="0"/>
    <xf numFmtId="0" fontId="19" fillId="27" borderId="57" applyNumberFormat="0" applyAlignment="0" applyProtection="0"/>
    <xf numFmtId="0" fontId="19" fillId="27" borderId="57" applyNumberFormat="0" applyAlignment="0" applyProtection="0"/>
    <xf numFmtId="189" fontId="25" fillId="37" borderId="54" applyNumberFormat="0" applyFont="0" applyBorder="0" applyAlignment="0" applyProtection="0">
      <alignment horizontal="right" vertical="center"/>
    </xf>
    <xf numFmtId="9" fontId="67" fillId="0" borderId="0" applyFont="0" applyFill="0" applyBorder="0" applyAlignment="0" applyProtection="0"/>
    <xf numFmtId="9" fontId="58" fillId="0" borderId="0" applyFont="0" applyFill="0" applyBorder="0" applyAlignment="0" applyProtection="0"/>
    <xf numFmtId="0" fontId="2" fillId="0" borderId="58" applyNumberFormat="0" applyFill="0" applyAlignment="0" applyProtection="0"/>
    <xf numFmtId="167" fontId="4" fillId="0" borderId="0" applyFont="0" applyFill="0" applyBorder="0" applyAlignment="0" applyProtection="0"/>
    <xf numFmtId="167" fontId="4" fillId="0" borderId="0" applyFont="0" applyFill="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6" fillId="27" borderId="55" applyNumberFormat="0" applyFill="0" applyBorder="0" applyAlignment="0" applyProtection="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4" fillId="24" borderId="56" applyNumberFormat="0" applyFont="0" applyAlignment="0" applyProtection="0"/>
    <xf numFmtId="0" fontId="4" fillId="24" borderId="56" applyNumberFormat="0" applyFont="0" applyAlignment="0" applyProtection="0"/>
    <xf numFmtId="9" fontId="67" fillId="0" borderId="0" applyFont="0" applyFill="0" applyBorder="0" applyAlignment="0" applyProtection="0"/>
    <xf numFmtId="0" fontId="4" fillId="77" borderId="32" applyNumberFormat="0" applyFont="0" applyAlignment="0" applyProtection="0"/>
    <xf numFmtId="0" fontId="67" fillId="0" borderId="0"/>
    <xf numFmtId="0" fontId="67" fillId="51" borderId="0" applyNumberFormat="0" applyBorder="0" applyAlignment="0" applyProtection="0"/>
    <xf numFmtId="43" fontId="4"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9" fontId="25" fillId="0" borderId="54" applyNumberFormat="0" applyFont="0" applyFill="0" applyBorder="0" applyProtection="0">
      <alignment horizontal="left" vertical="center" indent="2"/>
    </xf>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9" fontId="26" fillId="0" borderId="54" applyNumberFormat="0" applyFill="0" applyBorder="0" applyProtection="0">
      <alignment horizontal="left" vertical="center"/>
    </xf>
    <xf numFmtId="0" fontId="82" fillId="0" borderId="59" applyNumberFormat="0" applyFill="0" applyAlignment="0" applyProtection="0"/>
    <xf numFmtId="0" fontId="82" fillId="0" borderId="59" applyNumberFormat="0" applyFill="0" applyAlignment="0" applyProtection="0"/>
    <xf numFmtId="0" fontId="82" fillId="0" borderId="59" applyNumberFormat="0" applyFill="0" applyAlignment="0" applyProtection="0"/>
    <xf numFmtId="0" fontId="82" fillId="0" borderId="59" applyNumberFormat="0" applyFill="0" applyAlignment="0" applyProtection="0"/>
    <xf numFmtId="0" fontId="82" fillId="0" borderId="59" applyNumberFormat="0" applyFill="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0" fontId="67" fillId="6"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9"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6"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24" borderId="0" applyNumberFormat="0" applyBorder="0" applyAlignment="0" applyProtection="0"/>
    <xf numFmtId="0" fontId="67" fillId="9" borderId="0" applyNumberFormat="0" applyBorder="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35"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0" borderId="0"/>
    <xf numFmtId="0" fontId="67" fillId="0" borderId="0"/>
    <xf numFmtId="0" fontId="67" fillId="9"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7" borderId="0" applyNumberFormat="0" applyBorder="0" applyAlignment="0" applyProtection="0"/>
    <xf numFmtId="9" fontId="67" fillId="0" borderId="0" applyFont="0" applyFill="0" applyBorder="0" applyAlignment="0" applyProtection="0"/>
    <xf numFmtId="0" fontId="67" fillId="24"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9"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5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6" borderId="0" applyNumberFormat="0" applyBorder="0" applyAlignment="0" applyProtection="0"/>
    <xf numFmtId="0" fontId="67" fillId="48"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4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0"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0" borderId="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9" borderId="0" applyNumberFormat="0" applyBorder="0" applyAlignment="0" applyProtection="0"/>
    <xf numFmtId="0" fontId="67" fillId="0" borderId="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49"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2"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9" fontId="67" fillId="0" borderId="0" applyFont="0" applyFill="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9" fontId="67"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2" fillId="0" borderId="58" applyNumberFormat="0" applyFill="0" applyAlignment="0" applyProtection="0"/>
    <xf numFmtId="0" fontId="67" fillId="0" borderId="0"/>
    <xf numFmtId="0" fontId="67" fillId="0" borderId="0"/>
    <xf numFmtId="0" fontId="67" fillId="0" borderId="0"/>
    <xf numFmtId="0" fontId="60" fillId="24" borderId="56" applyNumberFormat="0" applyFont="0" applyAlignment="0" applyProtection="0"/>
    <xf numFmtId="0" fontId="60" fillId="24" borderId="56" applyNumberFormat="0" applyFont="0" applyAlignment="0" applyProtection="0"/>
    <xf numFmtId="9" fontId="67" fillId="0" borderId="0" applyFont="0" applyFill="0" applyBorder="0" applyAlignment="0" applyProtection="0"/>
    <xf numFmtId="167" fontId="4" fillId="0" borderId="0"/>
    <xf numFmtId="3" fontId="4" fillId="113" borderId="26" applyFont="0" applyFill="0" applyBorder="0" applyAlignment="0" applyProtection="0"/>
    <xf numFmtId="3" fontId="155" fillId="122" borderId="26" applyNumberFormat="0" applyBorder="0" applyAlignment="0" applyProtection="0"/>
    <xf numFmtId="0" fontId="115" fillId="113" borderId="26" applyNumberFormat="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15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4" fontId="25" fillId="0" borderId="54" applyFill="0" applyBorder="0" applyProtection="0">
      <alignment horizontal="right" vertical="center"/>
    </xf>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67"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67" fontId="154" fillId="0" borderId="0" applyNumberFormat="0" applyFill="0" applyBorder="0" applyAlignment="0" applyProtection="0">
      <alignment vertical="top"/>
      <protection locked="0"/>
    </xf>
    <xf numFmtId="17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67" fillId="0" borderId="0" applyFont="0" applyFill="0" applyBorder="0" applyAlignment="0" applyProtection="0"/>
    <xf numFmtId="0" fontId="92" fillId="0" borderId="0" applyNumberFormat="0" applyFill="0" applyBorder="0" applyAlignment="0" applyProtection="0"/>
    <xf numFmtId="198" fontId="156" fillId="82" borderId="0" applyNumberFormat="0" applyBorder="0" applyAlignment="0" applyProtection="0">
      <alignment horizontal="center" vertical="top" wrapText="1"/>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0" fontId="35" fillId="0" borderId="0"/>
    <xf numFmtId="0" fontId="58" fillId="0" borderId="0" applyFill="0" applyBorder="0"/>
    <xf numFmtId="0" fontId="35" fillId="0" borderId="0"/>
    <xf numFmtId="0" fontId="67" fillId="0" borderId="0"/>
    <xf numFmtId="0" fontId="67" fillId="0" borderId="0"/>
    <xf numFmtId="0" fontId="4" fillId="0" borderId="0"/>
    <xf numFmtId="0" fontId="67" fillId="0" borderId="0"/>
    <xf numFmtId="0" fontId="4" fillId="0" borderId="0"/>
    <xf numFmtId="0" fontId="60" fillId="0" borderId="0"/>
    <xf numFmtId="0" fontId="67" fillId="0" borderId="0"/>
    <xf numFmtId="198" fontId="115" fillId="113" borderId="0" applyNumberFormat="0" applyBorder="0" applyAlignment="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60"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60" fillId="24" borderId="56" applyNumberFormat="0" applyFont="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0" fontId="19" fillId="27" borderId="57" applyNumberFormat="0" applyAlignment="0" applyProtection="0"/>
    <xf numFmtId="0" fontId="19" fillId="27" borderId="57" applyNumberFormat="0" applyAlignment="0" applyProtection="0"/>
    <xf numFmtId="0" fontId="157" fillId="112" borderId="0" applyNumberFormat="0" applyAlignment="0" applyProtection="0"/>
    <xf numFmtId="0" fontId="158" fillId="123" borderId="0" applyNumberFormat="0" applyAlignment="0" applyProtection="0"/>
    <xf numFmtId="0" fontId="159" fillId="124" borderId="0" applyNumberFormat="0" applyAlignment="0" applyProtection="0"/>
    <xf numFmtId="198" fontId="153" fillId="111" borderId="0" applyNumberFormat="0" applyFill="0" applyBorder="0" applyAlignment="0">
      <alignment horizontal="center"/>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5" fillId="0" borderId="53">
      <alignment horizontal="left" vertical="center" wrapText="1" indent="2"/>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7" fillId="0" borderId="0" applyFont="0" applyFill="0" applyBorder="0" applyAlignment="0" applyProtection="0"/>
    <xf numFmtId="0" fontId="2" fillId="0" borderId="58" applyNumberFormat="0" applyFill="0" applyAlignment="0" applyProtection="0"/>
    <xf numFmtId="0" fontId="160" fillId="72" borderId="26" applyNumberFormat="0" applyFill="0" applyBorder="0" applyAlignment="0" applyProtection="0"/>
    <xf numFmtId="0" fontId="152" fillId="72" borderId="26" applyFill="0" applyBorder="0" applyAlignment="0" applyProtection="0"/>
    <xf numFmtId="0" fontId="67" fillId="0" borderId="0"/>
    <xf numFmtId="174" fontId="67" fillId="0" borderId="0" applyFont="0" applyFill="0" applyBorder="0" applyAlignment="0" applyProtection="0"/>
    <xf numFmtId="0" fontId="84" fillId="71" borderId="0" applyNumberFormat="0" applyBorder="0" applyAlignment="0" applyProtection="0"/>
    <xf numFmtId="0" fontId="70" fillId="72" borderId="26" applyNumberFormat="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07" fillId="0" borderId="0"/>
    <xf numFmtId="0" fontId="107" fillId="0" borderId="0"/>
    <xf numFmtId="0" fontId="107" fillId="0" borderId="0"/>
    <xf numFmtId="167" fontId="4" fillId="0" borderId="0"/>
    <xf numFmtId="3" fontId="4" fillId="113" borderId="26" applyFont="0" applyFill="0" applyBorder="0" applyAlignment="0" applyProtection="0"/>
    <xf numFmtId="0" fontId="4" fillId="0" borderId="0" applyNumberFormat="0" applyFont="0" applyFill="0" applyBorder="0" applyProtection="0">
      <alignment horizontal="left" vertical="center" indent="5"/>
    </xf>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66"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67"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67" fillId="0" borderId="0"/>
    <xf numFmtId="0" fontId="67" fillId="0" borderId="0"/>
    <xf numFmtId="0" fontId="4" fillId="0" borderId="0"/>
    <xf numFmtId="0" fontId="67" fillId="0" borderId="0"/>
    <xf numFmtId="0" fontId="4" fillId="0" borderId="0"/>
    <xf numFmtId="0" fontId="67" fillId="0" borderId="0"/>
    <xf numFmtId="0" fontId="4" fillId="36" borderId="0" applyNumberFormat="0" applyFont="0" applyBorder="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7" fillId="0" borderId="0" applyFont="0" applyFill="0" applyBorder="0" applyAlignment="0" applyProtection="0"/>
    <xf numFmtId="0" fontId="67" fillId="0" borderId="0"/>
    <xf numFmtId="174" fontId="67" fillId="0" borderId="0" applyFont="0" applyFill="0" applyBorder="0" applyAlignment="0" applyProtection="0"/>
    <xf numFmtId="174" fontId="60" fillId="0" borderId="0" applyFont="0" applyFill="0" applyBorder="0" applyAlignment="0" applyProtection="0"/>
    <xf numFmtId="174" fontId="6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0" fillId="0" borderId="0" applyFont="0" applyFill="0" applyBorder="0" applyAlignment="0" applyProtection="0"/>
    <xf numFmtId="174" fontId="161" fillId="0" borderId="0" applyFont="0" applyFill="0" applyBorder="0" applyAlignment="0" applyProtection="0"/>
    <xf numFmtId="174" fontId="4"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67" fillId="0" borderId="0" applyFont="0" applyFill="0" applyBorder="0" applyAlignment="0" applyProtection="0"/>
    <xf numFmtId="174" fontId="4"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0" fontId="67" fillId="0" borderId="0"/>
    <xf numFmtId="9" fontId="67" fillId="0" borderId="0" applyFont="0" applyFill="0" applyBorder="0" applyAlignment="0" applyProtection="0"/>
    <xf numFmtId="43" fontId="67" fillId="0" borderId="0" applyFont="0" applyFill="0" applyBorder="0" applyAlignment="0" applyProtection="0"/>
    <xf numFmtId="43" fontId="67" fillId="0" borderId="0" applyFont="0" applyFill="0" applyBorder="0" applyAlignment="0" applyProtection="0"/>
    <xf numFmtId="174" fontId="67" fillId="0" borderId="0" applyFont="0" applyFill="0" applyBorder="0" applyAlignment="0" applyProtection="0"/>
    <xf numFmtId="0" fontId="107" fillId="0" borderId="0"/>
    <xf numFmtId="0" fontId="84" fillId="71" borderId="0" applyNumberFormat="0" applyBorder="0" applyAlignment="0" applyProtection="0"/>
    <xf numFmtId="0" fontId="67" fillId="0" borderId="0"/>
    <xf numFmtId="0" fontId="67" fillId="0" borderId="0"/>
    <xf numFmtId="0" fontId="67" fillId="0" borderId="0"/>
    <xf numFmtId="0" fontId="67" fillId="0" borderId="0"/>
    <xf numFmtId="0" fontId="107" fillId="0" borderId="0"/>
    <xf numFmtId="0" fontId="107" fillId="0" borderId="0"/>
    <xf numFmtId="0" fontId="67" fillId="0" borderId="0"/>
    <xf numFmtId="0" fontId="67" fillId="0" borderId="0"/>
    <xf numFmtId="0" fontId="67" fillId="0" borderId="0"/>
    <xf numFmtId="0" fontId="67" fillId="0" borderId="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67" fillId="0" borderId="0"/>
    <xf numFmtId="0" fontId="67" fillId="54" borderId="0" applyNumberFormat="0" applyBorder="0" applyAlignment="0" applyProtection="0"/>
    <xf numFmtId="0" fontId="67" fillId="51" borderId="0" applyNumberFormat="0" applyBorder="0" applyAlignment="0" applyProtection="0"/>
    <xf numFmtId="0" fontId="56" fillId="0" borderId="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0" fontId="16" fillId="7" borderId="55" applyNumberFormat="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25" fillId="0" borderId="54" applyNumberFormat="0" applyFill="0" applyAlignment="0" applyProtection="0"/>
    <xf numFmtId="0" fontId="19" fillId="27" borderId="57" applyNumberFormat="0" applyAlignment="0" applyProtection="0"/>
    <xf numFmtId="189" fontId="25" fillId="37" borderId="54" applyNumberFormat="0" applyFont="0" applyBorder="0" applyAlignment="0" applyProtection="0">
      <alignment horizontal="right" vertical="center"/>
    </xf>
    <xf numFmtId="9" fontId="4" fillId="0" borderId="0" applyFont="0" applyFill="0" applyBorder="0" applyAlignment="0" applyProtection="0"/>
    <xf numFmtId="9" fontId="67" fillId="0" borderId="0" applyFont="0" applyFill="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4" fillId="77" borderId="32" applyNumberFormat="0" applyFont="0" applyAlignment="0" applyProtection="0"/>
    <xf numFmtId="0" fontId="67" fillId="0" borderId="0"/>
    <xf numFmtId="0" fontId="67" fillId="54" borderId="0" applyNumberFormat="0" applyBorder="0" applyAlignment="0" applyProtection="0"/>
    <xf numFmtId="43" fontId="4"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9" fontId="25" fillId="0" borderId="54" applyNumberFormat="0" applyFont="0" applyFill="0" applyBorder="0" applyProtection="0">
      <alignment horizontal="left" vertical="center" indent="2"/>
    </xf>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9" fontId="26" fillId="0" borderId="54" applyNumberFormat="0" applyFill="0" applyBorder="0" applyProtection="0">
      <alignment horizontal="left" vertical="center"/>
    </xf>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0" fontId="67" fillId="6"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9"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6"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24" borderId="0" applyNumberFormat="0" applyBorder="0" applyAlignment="0" applyProtection="0"/>
    <xf numFmtId="0" fontId="67" fillId="9" borderId="0" applyNumberFormat="0" applyBorder="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35"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0" borderId="0"/>
    <xf numFmtId="0" fontId="67" fillId="0" borderId="0"/>
    <xf numFmtId="0" fontId="67" fillId="9"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7" borderId="0" applyNumberFormat="0" applyBorder="0" applyAlignment="0" applyProtection="0"/>
    <xf numFmtId="9" fontId="67" fillId="0" borderId="0" applyFont="0" applyFill="0" applyBorder="0" applyAlignment="0" applyProtection="0"/>
    <xf numFmtId="0" fontId="67" fillId="24"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9"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5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6" borderId="0" applyNumberFormat="0" applyBorder="0" applyAlignment="0" applyProtection="0"/>
    <xf numFmtId="0" fontId="67" fillId="48"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4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0"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0" borderId="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9" borderId="0" applyNumberFormat="0" applyBorder="0" applyAlignment="0" applyProtection="0"/>
    <xf numFmtId="0" fontId="67" fillId="0" borderId="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49"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2"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9" fontId="67" fillId="0" borderId="0" applyFont="0" applyFill="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9" fontId="67"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1"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0" fontId="60" fillId="24" borderId="56" applyNumberFormat="0" applyFont="0" applyAlignment="0" applyProtection="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0" fontId="19" fillId="27" borderId="57" applyNumberFormat="0" applyAlignment="0" applyProtection="0"/>
    <xf numFmtId="0" fontId="60" fillId="24" borderId="56" applyNumberFormat="0" applyFont="0" applyAlignment="0" applyProtection="0"/>
    <xf numFmtId="0" fontId="60" fillId="24" borderId="56" applyNumberFormat="0" applyFont="0" applyAlignment="0" applyProtection="0"/>
    <xf numFmtId="0" fontId="60" fillId="24" borderId="56" applyNumberFormat="0" applyFont="0" applyAlignment="0" applyProtection="0"/>
    <xf numFmtId="0" fontId="60" fillId="24" borderId="56" applyNumberFormat="0" applyFont="0" applyAlignment="0" applyProtection="0"/>
    <xf numFmtId="0" fontId="4" fillId="24" borderId="56" applyNumberFormat="0" applyFont="0" applyAlignment="0" applyProtection="0"/>
    <xf numFmtId="9" fontId="67" fillId="0" borderId="0" applyFont="0" applyFill="0" applyBorder="0" applyAlignment="0" applyProtection="0"/>
    <xf numFmtId="49" fontId="25" fillId="0" borderId="1" applyNumberFormat="0" applyFont="0" applyFill="0" applyBorder="0" applyProtection="0">
      <alignment horizontal="left" vertical="center" indent="5"/>
    </xf>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0" fontId="25" fillId="0" borderId="53">
      <alignment horizontal="left" vertical="center" wrapText="1" indent="2"/>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4" fontId="25" fillId="0" borderId="54" applyFill="0" applyBorder="0" applyProtection="0">
      <alignment horizontal="right" vertical="center"/>
    </xf>
    <xf numFmtId="0" fontId="25" fillId="0" borderId="54" applyNumberFormat="0" applyFill="0" applyAlignment="0" applyProtection="0"/>
    <xf numFmtId="0" fontId="4" fillId="24" borderId="56" applyNumberFormat="0" applyFont="0" applyAlignment="0" applyProtection="0"/>
    <xf numFmtId="0" fontId="4" fillId="24" borderId="56" applyNumberFormat="0" applyFont="0" applyAlignment="0" applyProtection="0"/>
    <xf numFmtId="0" fontId="60" fillId="24" borderId="56" applyNumberFormat="0" applyFont="0" applyAlignment="0" applyProtection="0"/>
    <xf numFmtId="0" fontId="60" fillId="24" borderId="56" applyNumberFormat="0" applyFont="0" applyAlignment="0" applyProtection="0"/>
    <xf numFmtId="0" fontId="19" fillId="27" borderId="57" applyNumberFormat="0" applyAlignment="0" applyProtection="0"/>
    <xf numFmtId="0" fontId="19" fillId="27" borderId="57" applyNumberFormat="0" applyAlignment="0" applyProtection="0"/>
    <xf numFmtId="189" fontId="25" fillId="37" borderId="54" applyNumberFormat="0" applyFont="0" applyBorder="0" applyAlignment="0" applyProtection="0">
      <alignment horizontal="right" vertical="center"/>
    </xf>
    <xf numFmtId="9" fontId="67" fillId="0" borderId="0" applyFont="0" applyFill="0" applyBorder="0" applyAlignment="0" applyProtection="0"/>
    <xf numFmtId="0" fontId="2" fillId="0" borderId="58" applyNumberFormat="0" applyFill="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4" fillId="24" borderId="56" applyNumberFormat="0" applyFont="0" applyAlignment="0" applyProtection="0"/>
    <xf numFmtId="0" fontId="4" fillId="24" borderId="56" applyNumberFormat="0" applyFont="0" applyAlignment="0" applyProtection="0"/>
    <xf numFmtId="9" fontId="67" fillId="0" borderId="0" applyFont="0" applyFill="0" applyBorder="0" applyAlignment="0" applyProtection="0"/>
    <xf numFmtId="0" fontId="67" fillId="0" borderId="0"/>
    <xf numFmtId="0" fontId="67" fillId="54" borderId="0" applyNumberFormat="0" applyBorder="0" applyAlignment="0" applyProtection="0"/>
    <xf numFmtId="0" fontId="67" fillId="51" borderId="0" applyNumberFormat="0" applyBorder="0" applyAlignment="0" applyProtection="0"/>
    <xf numFmtId="43" fontId="4"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9" fontId="25" fillId="0" borderId="54" applyNumberFormat="0" applyFont="0" applyFill="0" applyBorder="0" applyProtection="0">
      <alignment horizontal="left" vertical="center" indent="2"/>
    </xf>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9" fontId="26" fillId="0" borderId="54" applyNumberFormat="0" applyFill="0" applyBorder="0" applyProtection="0">
      <alignment horizontal="left" vertical="center"/>
    </xf>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0" fontId="67" fillId="6"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9"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6"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24" borderId="0" applyNumberFormat="0" applyBorder="0" applyAlignment="0" applyProtection="0"/>
    <xf numFmtId="0" fontId="67" fillId="9" borderId="0" applyNumberFormat="0" applyBorder="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35"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0" borderId="0"/>
    <xf numFmtId="0" fontId="67" fillId="0" borderId="0"/>
    <xf numFmtId="0" fontId="67" fillId="9"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7" borderId="0" applyNumberFormat="0" applyBorder="0" applyAlignment="0" applyProtection="0"/>
    <xf numFmtId="9" fontId="67" fillId="0" borderId="0" applyFont="0" applyFill="0" applyBorder="0" applyAlignment="0" applyProtection="0"/>
    <xf numFmtId="0" fontId="67" fillId="24"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9"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5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6" borderId="0" applyNumberFormat="0" applyBorder="0" applyAlignment="0" applyProtection="0"/>
    <xf numFmtId="0" fontId="67" fillId="48"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4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0"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0" borderId="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9" borderId="0" applyNumberFormat="0" applyBorder="0" applyAlignment="0" applyProtection="0"/>
    <xf numFmtId="0" fontId="67" fillId="0" borderId="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49"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2"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9" fontId="67" fillId="0" borderId="0" applyFont="0" applyFill="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9" fontId="67"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2" fillId="0" borderId="58" applyNumberFormat="0" applyFill="0" applyAlignment="0" applyProtection="0"/>
    <xf numFmtId="0" fontId="67" fillId="0" borderId="0"/>
    <xf numFmtId="0" fontId="67" fillId="0" borderId="0"/>
    <xf numFmtId="0" fontId="67" fillId="0" borderId="0"/>
    <xf numFmtId="0" fontId="60" fillId="24" borderId="56" applyNumberFormat="0" applyFont="0" applyAlignment="0" applyProtection="0"/>
    <xf numFmtId="0" fontId="60" fillId="24" borderId="56" applyNumberFormat="0" applyFont="0" applyAlignment="0" applyProtection="0"/>
    <xf numFmtId="9" fontId="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6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0" fontId="67" fillId="0" borderId="0"/>
    <xf numFmtId="9" fontId="67" fillId="0" borderId="0" applyFont="0" applyFill="0" applyBorder="0" applyAlignment="0" applyProtection="0"/>
    <xf numFmtId="43" fontId="67" fillId="0" borderId="0" applyFont="0" applyFill="0" applyBorder="0" applyAlignment="0" applyProtection="0"/>
    <xf numFmtId="43" fontId="67" fillId="0" borderId="0" applyFont="0" applyFill="0" applyBorder="0" applyAlignment="0" applyProtection="0"/>
    <xf numFmtId="174"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4" fillId="24" borderId="56" applyNumberFormat="0" applyFont="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67" fillId="51" borderId="0" applyNumberFormat="0" applyBorder="0" applyAlignment="0" applyProtection="0"/>
    <xf numFmtId="43" fontId="4"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0" fontId="67" fillId="6"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9"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6"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24" borderId="0" applyNumberFormat="0" applyBorder="0" applyAlignment="0" applyProtection="0"/>
    <xf numFmtId="0" fontId="67" fillId="9" borderId="0" applyNumberFormat="0" applyBorder="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35"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0" borderId="0"/>
    <xf numFmtId="0" fontId="67" fillId="0" borderId="0"/>
    <xf numFmtId="0" fontId="67" fillId="9"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7" borderId="0" applyNumberFormat="0" applyBorder="0" applyAlignment="0" applyProtection="0"/>
    <xf numFmtId="9" fontId="67" fillId="0" borderId="0" applyFont="0" applyFill="0" applyBorder="0" applyAlignment="0" applyProtection="0"/>
    <xf numFmtId="0" fontId="67" fillId="24"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9"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5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6" borderId="0" applyNumberFormat="0" applyBorder="0" applyAlignment="0" applyProtection="0"/>
    <xf numFmtId="0" fontId="67" fillId="48"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4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0"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0" borderId="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9" borderId="0" applyNumberFormat="0" applyBorder="0" applyAlignment="0" applyProtection="0"/>
    <xf numFmtId="0" fontId="67" fillId="0" borderId="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49"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2"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9" fontId="67" fillId="0" borderId="0" applyFont="0" applyFill="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9" fontId="67"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9" fontId="67" fillId="0" borderId="0" applyFont="0" applyFill="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67" fillId="54" borderId="0" applyNumberFormat="0" applyBorder="0" applyAlignment="0" applyProtection="0"/>
    <xf numFmtId="0" fontId="67" fillId="51" borderId="0" applyNumberFormat="0" applyBorder="0" applyAlignment="0" applyProtection="0"/>
    <xf numFmtId="43" fontId="4"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0" fontId="67" fillId="6"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9"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6"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6"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24" borderId="0" applyNumberFormat="0" applyBorder="0" applyAlignment="0" applyProtection="0"/>
    <xf numFmtId="0" fontId="67" fillId="9" borderId="0" applyNumberFormat="0" applyBorder="0" applyAlignment="0" applyProtection="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35"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0" borderId="0"/>
    <xf numFmtId="0" fontId="67" fillId="0" borderId="0"/>
    <xf numFmtId="0" fontId="67" fillId="9"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7" borderId="0" applyNumberFormat="0" applyBorder="0" applyAlignment="0" applyProtection="0"/>
    <xf numFmtId="9" fontId="67" fillId="0" borderId="0" applyFont="0" applyFill="0" applyBorder="0" applyAlignment="0" applyProtection="0"/>
    <xf numFmtId="0" fontId="67" fillId="24"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0" borderId="0"/>
    <xf numFmtId="0" fontId="67" fillId="0" borderId="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9"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58"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0" borderId="0"/>
    <xf numFmtId="174" fontId="67" fillId="0" borderId="0" applyFont="0" applyFill="0" applyBorder="0" applyAlignment="0" applyProtection="0"/>
    <xf numFmtId="0" fontId="67" fillId="0" borderId="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5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5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8"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6" borderId="0" applyNumberFormat="0" applyBorder="0" applyAlignment="0" applyProtection="0"/>
    <xf numFmtId="0" fontId="67" fillId="48"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8"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77" borderId="32" applyNumberFormat="0" applyFont="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4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50"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0" borderId="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9" borderId="0" applyNumberFormat="0" applyBorder="0" applyAlignment="0" applyProtection="0"/>
    <xf numFmtId="0" fontId="67" fillId="0" borderId="0"/>
    <xf numFmtId="0" fontId="67" fillId="0" borderId="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7" borderId="32" applyNumberFormat="0" applyFont="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49"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3" borderId="0" applyNumberFormat="0" applyBorder="0" applyAlignment="0" applyProtection="0"/>
    <xf numFmtId="0" fontId="67" fillId="52"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0" borderId="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0" borderId="0"/>
    <xf numFmtId="0" fontId="67" fillId="24" borderId="0" applyNumberFormat="0" applyBorder="0" applyAlignment="0" applyProtection="0"/>
    <xf numFmtId="0" fontId="67" fillId="3"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9" fontId="67" fillId="0" borderId="0" applyFont="0" applyFill="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3"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35"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6"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7" borderId="0" applyNumberFormat="0" applyBorder="0" applyAlignment="0" applyProtection="0"/>
    <xf numFmtId="0" fontId="67" fillId="7"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9"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0" fontId="67" fillId="77" borderId="32" applyNumberFormat="0" applyFont="0" applyAlignment="0" applyProtection="0"/>
    <xf numFmtId="174" fontId="67" fillId="0" borderId="0" applyFont="0" applyFill="0" applyBorder="0" applyAlignment="0" applyProtection="0"/>
    <xf numFmtId="0" fontId="67" fillId="0" borderId="0"/>
    <xf numFmtId="9" fontId="67" fillId="0" borderId="0" applyFont="0" applyFill="0" applyBorder="0" applyAlignment="0" applyProtection="0"/>
    <xf numFmtId="0" fontId="67" fillId="0" borderId="0"/>
    <xf numFmtId="0" fontId="67" fillId="0" borderId="0"/>
    <xf numFmtId="9" fontId="67"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6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174" fontId="67" fillId="0" borderId="0" applyFont="0" applyFill="0" applyBorder="0" applyAlignment="0" applyProtection="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174" fontId="67" fillId="0" borderId="0" applyFont="0" applyFill="0" applyBorder="0" applyAlignment="0" applyProtection="0"/>
    <xf numFmtId="0" fontId="67" fillId="0" borderId="0"/>
    <xf numFmtId="9" fontId="67" fillId="0" borderId="0" applyFont="0" applyFill="0" applyBorder="0" applyAlignment="0" applyProtection="0"/>
    <xf numFmtId="43" fontId="67" fillId="0" borderId="0" applyFont="0" applyFill="0" applyBorder="0" applyAlignment="0" applyProtection="0"/>
    <xf numFmtId="43" fontId="67" fillId="0" borderId="0" applyFont="0" applyFill="0" applyBorder="0" applyAlignment="0" applyProtection="0"/>
    <xf numFmtId="174"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54" borderId="0" applyNumberFormat="0" applyBorder="0" applyAlignment="0" applyProtection="0"/>
    <xf numFmtId="0" fontId="67" fillId="51"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0" borderId="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4" fontId="25" fillId="0" borderId="60" applyFill="0" applyBorder="0" applyProtection="0">
      <alignment horizontal="right" vertical="center"/>
    </xf>
    <xf numFmtId="0" fontId="25" fillId="0" borderId="60" applyNumberFormat="0" applyFill="0" applyAlignment="0" applyProtection="0"/>
    <xf numFmtId="189" fontId="25" fillId="37" borderId="60" applyNumberFormat="0" applyFont="0" applyBorder="0" applyAlignment="0" applyProtection="0">
      <alignment horizontal="right" vertical="center"/>
    </xf>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67" fillId="47" borderId="0" applyNumberFormat="0" applyBorder="0" applyAlignment="0" applyProtection="0"/>
    <xf numFmtId="0" fontId="67" fillId="53" borderId="0" applyNumberFormat="0" applyBorder="0" applyAlignment="0" applyProtection="0"/>
    <xf numFmtId="0" fontId="67" fillId="48" borderId="0" applyNumberFormat="0" applyBorder="0" applyAlignment="0" applyProtection="0"/>
    <xf numFmtId="0" fontId="67" fillId="54" borderId="0" applyNumberFormat="0" applyBorder="0" applyAlignment="0" applyProtection="0"/>
    <xf numFmtId="0" fontId="67" fillId="49"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6" borderId="0" applyNumberFormat="0" applyBorder="0" applyAlignment="0" applyProtection="0"/>
    <xf numFmtId="0" fontId="67" fillId="51" borderId="0" applyNumberFormat="0" applyBorder="0" applyAlignment="0" applyProtection="0"/>
    <xf numFmtId="0" fontId="67" fillId="57" borderId="0" applyNumberFormat="0" applyBorder="0" applyAlignment="0" applyProtection="0"/>
    <xf numFmtId="0" fontId="67" fillId="52" borderId="0" applyNumberFormat="0" applyBorder="0" applyAlignment="0" applyProtection="0"/>
    <xf numFmtId="0" fontId="67" fillId="58" borderId="0" applyNumberFormat="0" applyBorder="0" applyAlignment="0" applyProtection="0"/>
    <xf numFmtId="0" fontId="67" fillId="0" borderId="0"/>
    <xf numFmtId="0" fontId="67" fillId="77" borderId="32" applyNumberFormat="0" applyFont="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174"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9" fontId="67" fillId="0" borderId="0" applyFont="0" applyFill="0" applyBorder="0" applyAlignment="0" applyProtection="0"/>
    <xf numFmtId="0" fontId="88" fillId="0" borderId="0" applyNumberFormat="0" applyBorder="0" applyAlignment="0"/>
    <xf numFmtId="9" fontId="67" fillId="0" borderId="0" applyFont="0" applyFill="0" applyBorder="0" applyAlignment="0" applyProtection="0"/>
    <xf numFmtId="0" fontId="4" fillId="0" borderId="0"/>
  </cellStyleXfs>
  <cellXfs count="160">
    <xf numFmtId="0" fontId="0" fillId="0" borderId="0" xfId="0"/>
    <xf numFmtId="0" fontId="5" fillId="0" borderId="0" xfId="0" applyFont="1"/>
    <xf numFmtId="0" fontId="3" fillId="0" borderId="0" xfId="0" applyFont="1" applyAlignment="1">
      <alignment horizontal="center"/>
    </xf>
    <xf numFmtId="0" fontId="3" fillId="22" borderId="12" xfId="0" applyFont="1" applyFill="1" applyBorder="1"/>
    <xf numFmtId="0" fontId="3" fillId="33" borderId="12" xfId="0" applyFont="1" applyFill="1" applyBorder="1"/>
    <xf numFmtId="0" fontId="3" fillId="93" borderId="12" xfId="0" applyFont="1" applyFill="1" applyBorder="1"/>
    <xf numFmtId="0" fontId="0" fillId="0" borderId="0" xfId="0"/>
    <xf numFmtId="1" fontId="0" fillId="0" borderId="0" xfId="0" applyNumberFormat="1"/>
    <xf numFmtId="0" fontId="0" fillId="0" borderId="18" xfId="0" applyBorder="1"/>
    <xf numFmtId="0" fontId="0" fillId="0" borderId="0" xfId="0" applyBorder="1"/>
    <xf numFmtId="0" fontId="0" fillId="0" borderId="42" xfId="0" applyBorder="1"/>
    <xf numFmtId="0" fontId="0" fillId="0" borderId="43" xfId="0" applyBorder="1"/>
    <xf numFmtId="0" fontId="0" fillId="0" borderId="16" xfId="0" applyBorder="1"/>
    <xf numFmtId="2" fontId="0" fillId="109" borderId="0" xfId="0" applyNumberFormat="1" applyFill="1"/>
    <xf numFmtId="1" fontId="0" fillId="0" borderId="0" xfId="0" applyNumberFormat="1" applyBorder="1"/>
    <xf numFmtId="0" fontId="88" fillId="0" borderId="18" xfId="1708" applyFill="1" applyBorder="1" applyProtection="1"/>
    <xf numFmtId="0" fontId="88" fillId="0" borderId="42" xfId="1708" applyFill="1" applyBorder="1" applyProtection="1"/>
    <xf numFmtId="0" fontId="88" fillId="0" borderId="43" xfId="1708" applyFill="1" applyBorder="1" applyProtection="1"/>
    <xf numFmtId="0" fontId="88" fillId="0" borderId="44" xfId="1708" applyFill="1" applyBorder="1" applyProtection="1"/>
    <xf numFmtId="0" fontId="88" fillId="0" borderId="42" xfId="1708" applyFill="1" applyBorder="1" applyProtection="1"/>
    <xf numFmtId="0" fontId="88" fillId="0" borderId="44" xfId="1708" applyFill="1" applyBorder="1" applyProtection="1"/>
    <xf numFmtId="0" fontId="88" fillId="0" borderId="42" xfId="1708" applyFill="1" applyBorder="1" applyProtection="1"/>
    <xf numFmtId="0" fontId="88" fillId="0" borderId="44" xfId="1708" applyFill="1" applyBorder="1" applyProtection="1"/>
    <xf numFmtId="0" fontId="0" fillId="0" borderId="0" xfId="0"/>
    <xf numFmtId="0" fontId="0" fillId="109" borderId="0" xfId="0" applyFill="1"/>
    <xf numFmtId="0" fontId="0" fillId="0" borderId="61" xfId="0" applyBorder="1"/>
    <xf numFmtId="0" fontId="0" fillId="0" borderId="62" xfId="0" applyBorder="1"/>
    <xf numFmtId="0" fontId="0" fillId="0" borderId="63" xfId="0" applyBorder="1"/>
    <xf numFmtId="0" fontId="0" fillId="0" borderId="44" xfId="0" applyFill="1" applyBorder="1"/>
    <xf numFmtId="0" fontId="0" fillId="0" borderId="0" xfId="0" applyFill="1"/>
    <xf numFmtId="2" fontId="0" fillId="0" borderId="0" xfId="0" applyNumberFormat="1"/>
    <xf numFmtId="199" fontId="0" fillId="0" borderId="0" xfId="0" applyNumberFormat="1"/>
    <xf numFmtId="200" fontId="0" fillId="109" borderId="0" xfId="0" applyNumberFormat="1" applyFill="1"/>
    <xf numFmtId="0" fontId="83" fillId="0" borderId="0" xfId="0" applyFont="1"/>
    <xf numFmtId="2" fontId="83" fillId="0" borderId="0" xfId="0" applyNumberFormat="1" applyFont="1"/>
    <xf numFmtId="0" fontId="0" fillId="0" borderId="0" xfId="0" applyFont="1"/>
    <xf numFmtId="201" fontId="109" fillId="0" borderId="0" xfId="1668" applyNumberFormat="1" applyFont="1" applyFill="1" applyBorder="1"/>
    <xf numFmtId="179" fontId="0" fillId="0" borderId="0" xfId="0" applyNumberFormat="1"/>
    <xf numFmtId="9" fontId="0" fillId="0" borderId="0" xfId="52704" applyFont="1"/>
    <xf numFmtId="0" fontId="1" fillId="0" borderId="0" xfId="0" applyNumberFormat="1" applyFont="1" applyFill="1" applyBorder="1" applyAlignment="1" applyProtection="1"/>
    <xf numFmtId="1" fontId="1" fillId="0" borderId="0" xfId="0" applyNumberFormat="1" applyFont="1" applyFill="1" applyBorder="1" applyAlignment="1" applyProtection="1"/>
    <xf numFmtId="0" fontId="1" fillId="0" borderId="16" xfId="0" applyNumberFormat="1" applyFont="1" applyFill="1" applyBorder="1" applyAlignment="1" applyProtection="1"/>
    <xf numFmtId="202" fontId="1" fillId="0" borderId="0" xfId="0" applyNumberFormat="1" applyFont="1" applyFill="1" applyBorder="1" applyAlignment="1" applyProtection="1"/>
    <xf numFmtId="0" fontId="3" fillId="125" borderId="0" xfId="0" applyNumberFormat="1" applyFont="1" applyFill="1" applyBorder="1" applyAlignment="1" applyProtection="1"/>
    <xf numFmtId="0" fontId="4" fillId="0" borderId="0" xfId="0" applyNumberFormat="1" applyFont="1" applyFill="1" applyBorder="1" applyAlignment="1" applyProtection="1"/>
    <xf numFmtId="0" fontId="3" fillId="0" borderId="0" xfId="0" applyNumberFormat="1" applyFont="1" applyFill="1" applyBorder="1" applyAlignment="1" applyProtection="1"/>
    <xf numFmtId="0" fontId="3" fillId="109" borderId="0" xfId="0" applyNumberFormat="1" applyFont="1" applyFill="1" applyBorder="1" applyAlignment="1" applyProtection="1"/>
    <xf numFmtId="0" fontId="3" fillId="126" borderId="0" xfId="0" applyNumberFormat="1" applyFont="1" applyFill="1" applyBorder="1" applyAlignment="1" applyProtection="1"/>
    <xf numFmtId="0" fontId="2" fillId="0" borderId="0" xfId="0" applyNumberFormat="1" applyFont="1" applyFill="1" applyBorder="1" applyAlignment="1" applyProtection="1"/>
    <xf numFmtId="1" fontId="0" fillId="0" borderId="44" xfId="0" applyNumberFormat="1" applyBorder="1"/>
    <xf numFmtId="1" fontId="0" fillId="0" borderId="16" xfId="0" applyNumberFormat="1" applyBorder="1"/>
    <xf numFmtId="0" fontId="0" fillId="0" borderId="44" xfId="0" applyBorder="1"/>
    <xf numFmtId="1" fontId="0" fillId="0" borderId="42" xfId="0" applyNumberFormat="1" applyBorder="1"/>
    <xf numFmtId="1" fontId="0" fillId="0" borderId="0" xfId="0" applyNumberFormat="1" applyFill="1"/>
    <xf numFmtId="1" fontId="0" fillId="109" borderId="0" xfId="0" applyNumberFormat="1" applyFill="1"/>
    <xf numFmtId="0" fontId="82" fillId="0" borderId="0" xfId="0" applyFont="1" applyFill="1"/>
    <xf numFmtId="0" fontId="0" fillId="127" borderId="0" xfId="0" applyFill="1"/>
    <xf numFmtId="0" fontId="0" fillId="128" borderId="0" xfId="0" applyFill="1"/>
    <xf numFmtId="10" fontId="0" fillId="109" borderId="0" xfId="0" applyNumberFormat="1" applyFill="1"/>
    <xf numFmtId="181" fontId="67" fillId="0" borderId="0" xfId="52704" applyNumberFormat="1" applyFont="1" applyFill="1"/>
    <xf numFmtId="1" fontId="67" fillId="0" borderId="0" xfId="52704" applyNumberFormat="1" applyFont="1"/>
    <xf numFmtId="181" fontId="67" fillId="110" borderId="0" xfId="52704" applyNumberFormat="1" applyFont="1" applyFill="1"/>
    <xf numFmtId="199" fontId="0" fillId="0" borderId="0" xfId="0" applyNumberFormat="1" applyFill="1"/>
    <xf numFmtId="0" fontId="3" fillId="32" borderId="0" xfId="0" applyFont="1" applyFill="1" applyBorder="1"/>
    <xf numFmtId="0" fontId="18" fillId="35" borderId="0" xfId="1488"/>
    <xf numFmtId="0" fontId="18" fillId="35" borderId="0" xfId="1488" applyAlignment="1">
      <alignment wrapText="1"/>
    </xf>
    <xf numFmtId="0" fontId="2" fillId="129" borderId="0" xfId="52705" applyFont="1" applyFill="1"/>
    <xf numFmtId="0" fontId="2" fillId="108" borderId="0" xfId="52705" applyFont="1" applyFill="1"/>
    <xf numFmtId="0" fontId="2" fillId="94" borderId="0" xfId="52705" applyFont="1" applyFill="1"/>
    <xf numFmtId="9" fontId="0" fillId="0" borderId="0" xfId="52704" applyFont="1" applyFill="1"/>
    <xf numFmtId="9" fontId="0" fillId="0" borderId="0" xfId="0" applyNumberFormat="1"/>
    <xf numFmtId="9" fontId="0" fillId="0" borderId="0" xfId="52704" applyNumberFormat="1" applyFont="1"/>
    <xf numFmtId="0" fontId="2" fillId="0" borderId="0" xfId="52705" applyFont="1"/>
    <xf numFmtId="0" fontId="0" fillId="130" borderId="0" xfId="0" applyFill="1"/>
    <xf numFmtId="0" fontId="0" fillId="131" borderId="0" xfId="0" applyFill="1"/>
    <xf numFmtId="0" fontId="162" fillId="0" borderId="0" xfId="0" applyFont="1" applyFill="1"/>
    <xf numFmtId="1" fontId="0" fillId="110" borderId="0" xfId="0" applyNumberFormat="1" applyFill="1"/>
    <xf numFmtId="1" fontId="0" fillId="0" borderId="64" xfId="0" applyNumberFormat="1" applyBorder="1"/>
    <xf numFmtId="9" fontId="0" fillId="0" borderId="44" xfId="52704" applyNumberFormat="1" applyFont="1" applyBorder="1"/>
    <xf numFmtId="1" fontId="0" fillId="0" borderId="43" xfId="0" applyNumberFormat="1" applyBorder="1"/>
    <xf numFmtId="9" fontId="0" fillId="0" borderId="42" xfId="52704" applyNumberFormat="1" applyFont="1" applyBorder="1"/>
    <xf numFmtId="1" fontId="0" fillId="0" borderId="18" xfId="0" applyNumberFormat="1" applyBorder="1"/>
    <xf numFmtId="0" fontId="0" fillId="0" borderId="64" xfId="0" applyBorder="1"/>
    <xf numFmtId="0" fontId="0" fillId="132" borderId="0" xfId="0" applyFill="1"/>
    <xf numFmtId="0" fontId="3" fillId="32" borderId="0" xfId="0" applyFont="1" applyFill="1" applyBorder="1" applyAlignment="1"/>
    <xf numFmtId="0" fontId="18" fillId="35" borderId="0" xfId="1488" applyAlignment="1"/>
    <xf numFmtId="0" fontId="2" fillId="129" borderId="0" xfId="52705" applyFont="1" applyFill="1" applyAlignment="1"/>
    <xf numFmtId="0" fontId="2" fillId="108" borderId="0" xfId="52705" applyFont="1" applyFill="1" applyAlignment="1"/>
    <xf numFmtId="0" fontId="2" fillId="94" borderId="0" xfId="52705" applyFont="1" applyFill="1" applyAlignment="1"/>
    <xf numFmtId="203" fontId="0" fillId="0" borderId="0" xfId="0" applyNumberFormat="1"/>
    <xf numFmtId="0" fontId="82" fillId="0" borderId="0" xfId="0" applyFont="1"/>
    <xf numFmtId="1" fontId="0" fillId="0" borderId="16" xfId="0" applyNumberFormat="1" applyFill="1" applyBorder="1"/>
    <xf numFmtId="1" fontId="0" fillId="0" borderId="0" xfId="0" applyNumberFormat="1" applyFill="1" applyBorder="1"/>
    <xf numFmtId="0" fontId="0" fillId="0" borderId="0" xfId="0" applyFont="1" applyAlignment="1">
      <alignment horizontal="left"/>
    </xf>
    <xf numFmtId="14" fontId="0" fillId="0" borderId="0" xfId="0" applyNumberFormat="1" applyFont="1" applyAlignment="1">
      <alignment horizontal="left"/>
    </xf>
    <xf numFmtId="0" fontId="0" fillId="0" borderId="0" xfId="1087" applyFont="1" applyFill="1" applyBorder="1"/>
    <xf numFmtId="0" fontId="0" fillId="0" borderId="0" xfId="0" applyFill="1" applyBorder="1"/>
    <xf numFmtId="1" fontId="1" fillId="0" borderId="16" xfId="0" applyNumberFormat="1" applyFont="1" applyFill="1" applyBorder="1" applyAlignment="1" applyProtection="1"/>
    <xf numFmtId="0" fontId="1" fillId="0" borderId="0" xfId="0" applyNumberFormat="1" applyFont="1" applyFill="1" applyBorder="1" applyAlignment="1" applyProtection="1">
      <alignment vertical="center"/>
    </xf>
    <xf numFmtId="0" fontId="1" fillId="110" borderId="0" xfId="0" applyNumberFormat="1" applyFont="1" applyFill="1" applyBorder="1" applyAlignment="1" applyProtection="1"/>
    <xf numFmtId="1" fontId="1" fillId="110" borderId="0" xfId="0" applyNumberFormat="1" applyFont="1" applyFill="1" applyBorder="1" applyAlignment="1" applyProtection="1"/>
    <xf numFmtId="0" fontId="1" fillId="0" borderId="65" xfId="0" applyNumberFormat="1" applyFont="1" applyFill="1" applyBorder="1" applyAlignment="1" applyProtection="1"/>
    <xf numFmtId="1" fontId="1" fillId="0" borderId="65" xfId="0" applyNumberFormat="1" applyFont="1" applyFill="1" applyBorder="1" applyAlignment="1" applyProtection="1"/>
    <xf numFmtId="1" fontId="1" fillId="110" borderId="65" xfId="0" applyNumberFormat="1" applyFont="1" applyFill="1" applyBorder="1" applyAlignment="1" applyProtection="1"/>
    <xf numFmtId="1" fontId="163" fillId="0" borderId="0" xfId="0" applyNumberFormat="1" applyFont="1" applyFill="1" applyBorder="1" applyAlignment="1" applyProtection="1"/>
    <xf numFmtId="1" fontId="163" fillId="0" borderId="65" xfId="0" applyNumberFormat="1" applyFont="1" applyFill="1" applyBorder="1" applyAlignment="1" applyProtection="1"/>
    <xf numFmtId="0" fontId="163" fillId="0" borderId="65" xfId="0" applyNumberFormat="1" applyFont="1" applyFill="1" applyBorder="1" applyAlignment="1" applyProtection="1"/>
    <xf numFmtId="1" fontId="1" fillId="0" borderId="0" xfId="0" applyNumberFormat="1" applyFont="1" applyFill="1" applyBorder="1" applyAlignment="1" applyProtection="1">
      <alignment vertical="center"/>
    </xf>
    <xf numFmtId="179" fontId="1" fillId="0" borderId="0" xfId="0" applyNumberFormat="1" applyFont="1" applyFill="1" applyBorder="1" applyAlignment="1" applyProtection="1"/>
    <xf numFmtId="0" fontId="1" fillId="0" borderId="0" xfId="0" applyFont="1" applyFill="1" applyProtection="1"/>
    <xf numFmtId="0" fontId="0" fillId="0" borderId="0" xfId="0" applyAlignment="1">
      <alignment horizontal="right"/>
    </xf>
    <xf numFmtId="0" fontId="1" fillId="0" borderId="66" xfId="0" applyNumberFormat="1" applyFont="1" applyFill="1" applyBorder="1" applyAlignment="1" applyProtection="1"/>
    <xf numFmtId="0" fontId="1" fillId="0" borderId="67" xfId="0" applyNumberFormat="1" applyFont="1" applyFill="1" applyBorder="1" applyAlignment="1" applyProtection="1"/>
    <xf numFmtId="0" fontId="1" fillId="0" borderId="68" xfId="0" applyNumberFormat="1" applyFont="1" applyFill="1" applyBorder="1" applyAlignment="1" applyProtection="1"/>
    <xf numFmtId="2" fontId="1" fillId="109" borderId="0" xfId="0" applyNumberFormat="1" applyFont="1" applyFill="1" applyBorder="1" applyAlignment="1" applyProtection="1"/>
    <xf numFmtId="0" fontId="1" fillId="0" borderId="69" xfId="0" applyNumberFormat="1" applyFont="1" applyFill="1" applyBorder="1" applyAlignment="1" applyProtection="1"/>
    <xf numFmtId="0" fontId="1" fillId="0" borderId="70" xfId="0" applyNumberFormat="1" applyFont="1" applyFill="1" applyBorder="1" applyAlignment="1" applyProtection="1"/>
    <xf numFmtId="0" fontId="1" fillId="0" borderId="71" xfId="0" applyNumberFormat="1" applyFont="1" applyFill="1" applyBorder="1" applyAlignment="1" applyProtection="1"/>
    <xf numFmtId="0" fontId="1" fillId="0" borderId="72" xfId="0" applyNumberFormat="1" applyFont="1" applyFill="1" applyBorder="1" applyAlignment="1" applyProtection="1"/>
    <xf numFmtId="0" fontId="1" fillId="0" borderId="73" xfId="0" applyNumberFormat="1" applyFont="1" applyFill="1" applyBorder="1" applyAlignment="1" applyProtection="1"/>
    <xf numFmtId="0" fontId="0" fillId="0" borderId="72" xfId="0" applyBorder="1"/>
    <xf numFmtId="0" fontId="0" fillId="0" borderId="0" xfId="0" applyBorder="1" applyAlignment="1">
      <alignment horizontal="center"/>
    </xf>
    <xf numFmtId="0" fontId="0" fillId="0" borderId="73" xfId="0" applyBorder="1" applyAlignment="1">
      <alignment horizontal="center"/>
    </xf>
    <xf numFmtId="0" fontId="0" fillId="0" borderId="0" xfId="0" applyFill="1" applyBorder="1" applyAlignment="1">
      <alignment horizontal="center"/>
    </xf>
    <xf numFmtId="0" fontId="3" fillId="94" borderId="12" xfId="0" applyFont="1" applyFill="1" applyBorder="1"/>
    <xf numFmtId="0" fontId="3" fillId="78" borderId="12" xfId="0" applyFont="1" applyFill="1" applyBorder="1"/>
    <xf numFmtId="0" fontId="3" fillId="108" borderId="12" xfId="0" applyFont="1" applyFill="1" applyBorder="1"/>
    <xf numFmtId="1" fontId="0" fillId="0" borderId="0" xfId="0" applyNumberFormat="1" applyBorder="1" applyAlignment="1">
      <alignment horizontal="center"/>
    </xf>
    <xf numFmtId="1" fontId="0" fillId="0" borderId="73" xfId="0" applyNumberFormat="1" applyBorder="1" applyAlignment="1">
      <alignment horizontal="center"/>
    </xf>
    <xf numFmtId="16" fontId="0" fillId="0" borderId="0" xfId="0" applyNumberFormat="1"/>
    <xf numFmtId="1" fontId="0" fillId="0" borderId="0" xfId="0" applyNumberFormat="1" applyAlignment="1">
      <alignment horizontal="center" vertical="center"/>
    </xf>
    <xf numFmtId="0" fontId="0" fillId="0" borderId="0" xfId="0" applyAlignment="1">
      <alignment horizontal="center" vertical="center"/>
    </xf>
    <xf numFmtId="1" fontId="0" fillId="0" borderId="0" xfId="0" applyNumberFormat="1" applyAlignment="1">
      <alignment horizontal="center"/>
    </xf>
    <xf numFmtId="1" fontId="0" fillId="0" borderId="0" xfId="0" applyNumberFormat="1" applyBorder="1" applyAlignment="1">
      <alignment horizontal="center" vertical="center"/>
    </xf>
    <xf numFmtId="0" fontId="0" fillId="0" borderId="69" xfId="0" applyBorder="1"/>
    <xf numFmtId="0" fontId="0" fillId="0" borderId="70" xfId="0" applyBorder="1" applyAlignment="1">
      <alignment horizontal="center" vertical="center"/>
    </xf>
    <xf numFmtId="1" fontId="0" fillId="0" borderId="70" xfId="0" applyNumberFormat="1" applyBorder="1" applyAlignment="1">
      <alignment horizontal="center"/>
    </xf>
    <xf numFmtId="1" fontId="0" fillId="0" borderId="71" xfId="0" applyNumberFormat="1" applyBorder="1" applyAlignment="1">
      <alignment horizontal="center"/>
    </xf>
    <xf numFmtId="0" fontId="3" fillId="80" borderId="12" xfId="0" applyFont="1" applyFill="1" applyBorder="1"/>
    <xf numFmtId="200" fontId="0" fillId="0" borderId="0" xfId="0" applyNumberFormat="1"/>
    <xf numFmtId="204" fontId="1" fillId="0" borderId="0" xfId="0" applyNumberFormat="1" applyFont="1" applyFill="1" applyBorder="1" applyAlignment="1" applyProtection="1"/>
    <xf numFmtId="0" fontId="1" fillId="0" borderId="66" xfId="0" applyNumberFormat="1" applyFont="1" applyFill="1" applyBorder="1" applyAlignment="1" applyProtection="1">
      <alignment horizontal="center"/>
    </xf>
    <xf numFmtId="0" fontId="1" fillId="0" borderId="67" xfId="0" applyNumberFormat="1" applyFont="1" applyFill="1" applyBorder="1" applyAlignment="1" applyProtection="1">
      <alignment horizontal="center"/>
    </xf>
    <xf numFmtId="0" fontId="1" fillId="0" borderId="68" xfId="0" applyNumberFormat="1" applyFont="1" applyFill="1" applyBorder="1" applyAlignment="1" applyProtection="1">
      <alignment horizontal="center"/>
    </xf>
    <xf numFmtId="0" fontId="1" fillId="110" borderId="66" xfId="0" applyNumberFormat="1" applyFont="1" applyFill="1" applyBorder="1" applyAlignment="1" applyProtection="1">
      <alignment horizontal="center"/>
    </xf>
    <xf numFmtId="0" fontId="1" fillId="110" borderId="67" xfId="0" applyNumberFormat="1" applyFont="1" applyFill="1" applyBorder="1" applyAlignment="1" applyProtection="1">
      <alignment horizontal="center"/>
    </xf>
    <xf numFmtId="0" fontId="1" fillId="110" borderId="68" xfId="0" applyNumberFormat="1" applyFont="1" applyFill="1" applyBorder="1" applyAlignment="1" applyProtection="1">
      <alignment horizontal="center"/>
    </xf>
    <xf numFmtId="0" fontId="0" fillId="110" borderId="0" xfId="0" applyFill="1" applyAlignment="1">
      <alignment horizontal="left"/>
    </xf>
    <xf numFmtId="0" fontId="82" fillId="0" borderId="72" xfId="0" applyFont="1" applyBorder="1" applyAlignment="1">
      <alignment horizontal="center" vertical="center"/>
    </xf>
    <xf numFmtId="0" fontId="82" fillId="0" borderId="0" xfId="0" applyFont="1" applyBorder="1" applyAlignment="1">
      <alignment horizontal="center" vertical="center"/>
    </xf>
    <xf numFmtId="0" fontId="0" fillId="0" borderId="0" xfId="0" applyAlignment="1">
      <alignment horizontal="center"/>
    </xf>
    <xf numFmtId="0" fontId="1" fillId="0" borderId="0" xfId="0" applyNumberFormat="1" applyFont="1" applyFill="1" applyBorder="1" applyAlignment="1" applyProtection="1">
      <alignment horizontal="center" vertical="center"/>
    </xf>
    <xf numFmtId="0" fontId="0" fillId="0" borderId="62" xfId="0" applyBorder="1" applyAlignment="1">
      <alignment horizontal="center"/>
    </xf>
    <xf numFmtId="0" fontId="0" fillId="0" borderId="63" xfId="0" applyBorder="1" applyAlignment="1">
      <alignment horizontal="center"/>
    </xf>
    <xf numFmtId="0" fontId="0" fillId="110" borderId="40" xfId="0" applyFill="1" applyBorder="1" applyAlignment="1">
      <alignment horizontal="center"/>
    </xf>
    <xf numFmtId="0" fontId="0" fillId="110" borderId="3" xfId="0" applyFill="1" applyBorder="1" applyAlignment="1">
      <alignment horizontal="center"/>
    </xf>
    <xf numFmtId="0" fontId="0" fillId="110" borderId="41" xfId="0" applyFill="1" applyBorder="1" applyAlignment="1">
      <alignment horizontal="center"/>
    </xf>
    <xf numFmtId="0" fontId="0" fillId="0" borderId="40" xfId="0" applyBorder="1" applyAlignment="1">
      <alignment horizontal="center"/>
    </xf>
    <xf numFmtId="0" fontId="0" fillId="0" borderId="3" xfId="0" applyBorder="1" applyAlignment="1">
      <alignment horizontal="center"/>
    </xf>
    <xf numFmtId="0" fontId="0" fillId="0" borderId="41" xfId="0" applyBorder="1" applyAlignment="1">
      <alignment horizontal="center"/>
    </xf>
  </cellXfs>
  <cellStyles count="52706">
    <cellStyle name=" 1" xfId="1" xr:uid="{00000000-0005-0000-0000-000000000000}"/>
    <cellStyle name=" 1 2" xfId="2" xr:uid="{00000000-0005-0000-0000-000001000000}"/>
    <cellStyle name=" 1 3" xfId="3" xr:uid="{00000000-0005-0000-0000-000002000000}"/>
    <cellStyle name=" 1 4" xfId="4" xr:uid="{00000000-0005-0000-0000-000003000000}"/>
    <cellStyle name=" 1 5" xfId="5" xr:uid="{00000000-0005-0000-0000-000004000000}"/>
    <cellStyle name=" 1 6" xfId="6" xr:uid="{00000000-0005-0000-0000-000005000000}"/>
    <cellStyle name="_x000a_shell=progma 2" xfId="18899" xr:uid="{00000000-0005-0000-0000-000006000000}"/>
    <cellStyle name="_x000a_shell=progma 2 2" xfId="20168" xr:uid="{00000000-0005-0000-0000-000007000000}"/>
    <cellStyle name="1.000" xfId="18900" xr:uid="{00000000-0005-0000-0000-000008000000}"/>
    <cellStyle name="1.000 2" xfId="20169" xr:uid="{00000000-0005-0000-0000-000009000000}"/>
    <cellStyle name="20 % - Markeringsfarve1 10" xfId="3830" xr:uid="{00000000-0005-0000-0000-00000A000000}"/>
    <cellStyle name="20 % - Markeringsfarve1 10 2" xfId="3831" xr:uid="{00000000-0005-0000-0000-00000B000000}"/>
    <cellStyle name="20 % - Markeringsfarve1 10 2 2" xfId="9694" xr:uid="{00000000-0005-0000-0000-00000C000000}"/>
    <cellStyle name="20 % - Markeringsfarve1 10 2 2 2" xfId="17548" xr:uid="{00000000-0005-0000-0000-00000D000000}"/>
    <cellStyle name="20 % - Markeringsfarve1 10 2 2 2 2" xfId="33824" xr:uid="{00000000-0005-0000-0000-00000E000000}"/>
    <cellStyle name="20 % - Markeringsfarve1 10 2 2 2 3" xfId="48783" xr:uid="{00000000-0005-0000-0000-00000F000000}"/>
    <cellStyle name="20 % - Markeringsfarve1 10 2 2 3" xfId="26822" xr:uid="{00000000-0005-0000-0000-000010000000}"/>
    <cellStyle name="20 % - Markeringsfarve1 10 2 2 4" xfId="41786" xr:uid="{00000000-0005-0000-0000-000011000000}"/>
    <cellStyle name="20 % - Markeringsfarve1 10 2 3" xfId="12316" xr:uid="{00000000-0005-0000-0000-000012000000}"/>
    <cellStyle name="20 % - Markeringsfarve1 10 2 3 2" xfId="28595" xr:uid="{00000000-0005-0000-0000-000013000000}"/>
    <cellStyle name="20 % - Markeringsfarve1 10 2 3 3" xfId="43556" xr:uid="{00000000-0005-0000-0000-000014000000}"/>
    <cellStyle name="20 % - Markeringsfarve1 10 2 4" xfId="21593" xr:uid="{00000000-0005-0000-0000-000015000000}"/>
    <cellStyle name="20 % - Markeringsfarve1 10 2 5" xfId="36559" xr:uid="{00000000-0005-0000-0000-000016000000}"/>
    <cellStyle name="20 % - Markeringsfarve1 10 3" xfId="3832" xr:uid="{00000000-0005-0000-0000-000017000000}"/>
    <cellStyle name="20 % - Markeringsfarve1 10 3 2" xfId="9313" xr:uid="{00000000-0005-0000-0000-000018000000}"/>
    <cellStyle name="20 % - Markeringsfarve1 10 3 2 2" xfId="17176" xr:uid="{00000000-0005-0000-0000-000019000000}"/>
    <cellStyle name="20 % - Markeringsfarve1 10 3 2 2 2" xfId="33452" xr:uid="{00000000-0005-0000-0000-00001A000000}"/>
    <cellStyle name="20 % - Markeringsfarve1 10 3 2 2 3" xfId="48411" xr:uid="{00000000-0005-0000-0000-00001B000000}"/>
    <cellStyle name="20 % - Markeringsfarve1 10 3 2 3" xfId="26450" xr:uid="{00000000-0005-0000-0000-00001C000000}"/>
    <cellStyle name="20 % - Markeringsfarve1 10 3 2 4" xfId="41414" xr:uid="{00000000-0005-0000-0000-00001D000000}"/>
    <cellStyle name="20 % - Markeringsfarve1 10 3 3" xfId="12317" xr:uid="{00000000-0005-0000-0000-00001E000000}"/>
    <cellStyle name="20 % - Markeringsfarve1 10 3 3 2" xfId="28596" xr:uid="{00000000-0005-0000-0000-00001F000000}"/>
    <cellStyle name="20 % - Markeringsfarve1 10 3 3 3" xfId="43557" xr:uid="{00000000-0005-0000-0000-000020000000}"/>
    <cellStyle name="20 % - Markeringsfarve1 10 3 4" xfId="21594" xr:uid="{00000000-0005-0000-0000-000021000000}"/>
    <cellStyle name="20 % - Markeringsfarve1 10 3 5" xfId="36560" xr:uid="{00000000-0005-0000-0000-000022000000}"/>
    <cellStyle name="20 % - Markeringsfarve1 10 4" xfId="7619" xr:uid="{00000000-0005-0000-0000-000023000000}"/>
    <cellStyle name="20 % - Markeringsfarve1 10 4 2" xfId="15484" xr:uid="{00000000-0005-0000-0000-000024000000}"/>
    <cellStyle name="20 % - Markeringsfarve1 10 4 2 2" xfId="31760" xr:uid="{00000000-0005-0000-0000-000025000000}"/>
    <cellStyle name="20 % - Markeringsfarve1 10 4 2 3" xfId="46719" xr:uid="{00000000-0005-0000-0000-000026000000}"/>
    <cellStyle name="20 % - Markeringsfarve1 10 4 3" xfId="24758" xr:uid="{00000000-0005-0000-0000-000027000000}"/>
    <cellStyle name="20 % - Markeringsfarve1 10 4 4" xfId="39722" xr:uid="{00000000-0005-0000-0000-000028000000}"/>
    <cellStyle name="20 % - Markeringsfarve1 10 5" xfId="12315" xr:uid="{00000000-0005-0000-0000-000029000000}"/>
    <cellStyle name="20 % - Markeringsfarve1 10 5 2" xfId="28594" xr:uid="{00000000-0005-0000-0000-00002A000000}"/>
    <cellStyle name="20 % - Markeringsfarve1 10 5 3" xfId="43555" xr:uid="{00000000-0005-0000-0000-00002B000000}"/>
    <cellStyle name="20 % - Markeringsfarve1 10 6" xfId="21592" xr:uid="{00000000-0005-0000-0000-00002C000000}"/>
    <cellStyle name="20 % - Markeringsfarve1 10 7" xfId="36558" xr:uid="{00000000-0005-0000-0000-00002D000000}"/>
    <cellStyle name="20 % - Markeringsfarve1 11" xfId="3833" xr:uid="{00000000-0005-0000-0000-00002E000000}"/>
    <cellStyle name="20 % - Markeringsfarve1 11 2" xfId="3834" xr:uid="{00000000-0005-0000-0000-00002F000000}"/>
    <cellStyle name="20 % - Markeringsfarve1 11 2 2" xfId="10729" xr:uid="{00000000-0005-0000-0000-000030000000}"/>
    <cellStyle name="20 % - Markeringsfarve1 11 2 2 2" xfId="18573" xr:uid="{00000000-0005-0000-0000-000031000000}"/>
    <cellStyle name="20 % - Markeringsfarve1 11 2 2 2 2" xfId="34849" xr:uid="{00000000-0005-0000-0000-000032000000}"/>
    <cellStyle name="20 % - Markeringsfarve1 11 2 2 2 3" xfId="49808" xr:uid="{00000000-0005-0000-0000-000033000000}"/>
    <cellStyle name="20 % - Markeringsfarve1 11 2 2 3" xfId="27847" xr:uid="{00000000-0005-0000-0000-000034000000}"/>
    <cellStyle name="20 % - Markeringsfarve1 11 2 2 4" xfId="42811" xr:uid="{00000000-0005-0000-0000-000035000000}"/>
    <cellStyle name="20 % - Markeringsfarve1 11 2 3" xfId="12319" xr:uid="{00000000-0005-0000-0000-000036000000}"/>
    <cellStyle name="20 % - Markeringsfarve1 11 2 3 2" xfId="28598" xr:uid="{00000000-0005-0000-0000-000037000000}"/>
    <cellStyle name="20 % - Markeringsfarve1 11 2 3 3" xfId="43559" xr:uid="{00000000-0005-0000-0000-000038000000}"/>
    <cellStyle name="20 % - Markeringsfarve1 11 2 4" xfId="21596" xr:uid="{00000000-0005-0000-0000-000039000000}"/>
    <cellStyle name="20 % - Markeringsfarve1 11 2 5" xfId="36562" xr:uid="{00000000-0005-0000-0000-00003A000000}"/>
    <cellStyle name="20 % - Markeringsfarve1 11 3" xfId="7620" xr:uid="{00000000-0005-0000-0000-00003B000000}"/>
    <cellStyle name="20 % - Markeringsfarve1 11 3 2" xfId="15485" xr:uid="{00000000-0005-0000-0000-00003C000000}"/>
    <cellStyle name="20 % - Markeringsfarve1 11 3 2 2" xfId="31761" xr:uid="{00000000-0005-0000-0000-00003D000000}"/>
    <cellStyle name="20 % - Markeringsfarve1 11 3 2 3" xfId="46720" xr:uid="{00000000-0005-0000-0000-00003E000000}"/>
    <cellStyle name="20 % - Markeringsfarve1 11 3 3" xfId="24759" xr:uid="{00000000-0005-0000-0000-00003F000000}"/>
    <cellStyle name="20 % - Markeringsfarve1 11 3 4" xfId="39723" xr:uid="{00000000-0005-0000-0000-000040000000}"/>
    <cellStyle name="20 % - Markeringsfarve1 11 4" xfId="12318" xr:uid="{00000000-0005-0000-0000-000041000000}"/>
    <cellStyle name="20 % - Markeringsfarve1 11 4 2" xfId="28597" xr:uid="{00000000-0005-0000-0000-000042000000}"/>
    <cellStyle name="20 % - Markeringsfarve1 11 4 3" xfId="43558" xr:uid="{00000000-0005-0000-0000-000043000000}"/>
    <cellStyle name="20 % - Markeringsfarve1 11 5" xfId="21595" xr:uid="{00000000-0005-0000-0000-000044000000}"/>
    <cellStyle name="20 % - Markeringsfarve1 11 6" xfId="36561" xr:uid="{00000000-0005-0000-0000-000045000000}"/>
    <cellStyle name="20 % - Markeringsfarve1 12" xfId="3835" xr:uid="{00000000-0005-0000-0000-000046000000}"/>
    <cellStyle name="20 % - Markeringsfarve1 12 2" xfId="3836" xr:uid="{00000000-0005-0000-0000-000047000000}"/>
    <cellStyle name="20 % - Markeringsfarve1 12 2 2" xfId="9305" xr:uid="{00000000-0005-0000-0000-000048000000}"/>
    <cellStyle name="20 % - Markeringsfarve1 12 2 2 2" xfId="17168" xr:uid="{00000000-0005-0000-0000-000049000000}"/>
    <cellStyle name="20 % - Markeringsfarve1 12 2 2 2 2" xfId="33444" xr:uid="{00000000-0005-0000-0000-00004A000000}"/>
    <cellStyle name="20 % - Markeringsfarve1 12 2 2 2 3" xfId="48403" xr:uid="{00000000-0005-0000-0000-00004B000000}"/>
    <cellStyle name="20 % - Markeringsfarve1 12 2 2 3" xfId="26442" xr:uid="{00000000-0005-0000-0000-00004C000000}"/>
    <cellStyle name="20 % - Markeringsfarve1 12 2 2 4" xfId="41406" xr:uid="{00000000-0005-0000-0000-00004D000000}"/>
    <cellStyle name="20 % - Markeringsfarve1 12 2 3" xfId="12321" xr:uid="{00000000-0005-0000-0000-00004E000000}"/>
    <cellStyle name="20 % - Markeringsfarve1 12 2 3 2" xfId="28600" xr:uid="{00000000-0005-0000-0000-00004F000000}"/>
    <cellStyle name="20 % - Markeringsfarve1 12 2 3 3" xfId="43561" xr:uid="{00000000-0005-0000-0000-000050000000}"/>
    <cellStyle name="20 % - Markeringsfarve1 12 2 4" xfId="21598" xr:uid="{00000000-0005-0000-0000-000051000000}"/>
    <cellStyle name="20 % - Markeringsfarve1 12 2 5" xfId="36564" xr:uid="{00000000-0005-0000-0000-000052000000}"/>
    <cellStyle name="20 % - Markeringsfarve1 12 3" xfId="7621" xr:uid="{00000000-0005-0000-0000-000053000000}"/>
    <cellStyle name="20 % - Markeringsfarve1 12 3 2" xfId="15486" xr:uid="{00000000-0005-0000-0000-000054000000}"/>
    <cellStyle name="20 % - Markeringsfarve1 12 3 2 2" xfId="31762" xr:uid="{00000000-0005-0000-0000-000055000000}"/>
    <cellStyle name="20 % - Markeringsfarve1 12 3 2 3" xfId="46721" xr:uid="{00000000-0005-0000-0000-000056000000}"/>
    <cellStyle name="20 % - Markeringsfarve1 12 3 3" xfId="24760" xr:uid="{00000000-0005-0000-0000-000057000000}"/>
    <cellStyle name="20 % - Markeringsfarve1 12 3 4" xfId="39724" xr:uid="{00000000-0005-0000-0000-000058000000}"/>
    <cellStyle name="20 % - Markeringsfarve1 12 4" xfId="12320" xr:uid="{00000000-0005-0000-0000-000059000000}"/>
    <cellStyle name="20 % - Markeringsfarve1 12 4 2" xfId="28599" xr:uid="{00000000-0005-0000-0000-00005A000000}"/>
    <cellStyle name="20 % - Markeringsfarve1 12 4 3" xfId="43560" xr:uid="{00000000-0005-0000-0000-00005B000000}"/>
    <cellStyle name="20 % - Markeringsfarve1 12 5" xfId="21597" xr:uid="{00000000-0005-0000-0000-00005C000000}"/>
    <cellStyle name="20 % - Markeringsfarve1 12 6" xfId="36563" xr:uid="{00000000-0005-0000-0000-00005D000000}"/>
    <cellStyle name="20 % - Markeringsfarve1 13" xfId="3837" xr:uid="{00000000-0005-0000-0000-00005E000000}"/>
    <cellStyle name="20 % - Markeringsfarve1 13 2" xfId="3838" xr:uid="{00000000-0005-0000-0000-00005F000000}"/>
    <cellStyle name="20 % - Markeringsfarve1 13 2 2" xfId="10608" xr:uid="{00000000-0005-0000-0000-000060000000}"/>
    <cellStyle name="20 % - Markeringsfarve1 13 2 2 2" xfId="18456" xr:uid="{00000000-0005-0000-0000-000061000000}"/>
    <cellStyle name="20 % - Markeringsfarve1 13 2 2 2 2" xfId="34732" xr:uid="{00000000-0005-0000-0000-000062000000}"/>
    <cellStyle name="20 % - Markeringsfarve1 13 2 2 2 3" xfId="49691" xr:uid="{00000000-0005-0000-0000-000063000000}"/>
    <cellStyle name="20 % - Markeringsfarve1 13 2 2 3" xfId="27730" xr:uid="{00000000-0005-0000-0000-000064000000}"/>
    <cellStyle name="20 % - Markeringsfarve1 13 2 2 4" xfId="42694" xr:uid="{00000000-0005-0000-0000-000065000000}"/>
    <cellStyle name="20 % - Markeringsfarve1 13 2 3" xfId="12323" xr:uid="{00000000-0005-0000-0000-000066000000}"/>
    <cellStyle name="20 % - Markeringsfarve1 13 2 3 2" xfId="28602" xr:uid="{00000000-0005-0000-0000-000067000000}"/>
    <cellStyle name="20 % - Markeringsfarve1 13 2 3 3" xfId="43563" xr:uid="{00000000-0005-0000-0000-000068000000}"/>
    <cellStyle name="20 % - Markeringsfarve1 13 2 4" xfId="21600" xr:uid="{00000000-0005-0000-0000-000069000000}"/>
    <cellStyle name="20 % - Markeringsfarve1 13 2 5" xfId="36566" xr:uid="{00000000-0005-0000-0000-00006A000000}"/>
    <cellStyle name="20 % - Markeringsfarve1 13 3" xfId="7618" xr:uid="{00000000-0005-0000-0000-00006B000000}"/>
    <cellStyle name="20 % - Markeringsfarve1 13 3 2" xfId="15483" xr:uid="{00000000-0005-0000-0000-00006C000000}"/>
    <cellStyle name="20 % - Markeringsfarve1 13 3 2 2" xfId="31759" xr:uid="{00000000-0005-0000-0000-00006D000000}"/>
    <cellStyle name="20 % - Markeringsfarve1 13 3 2 3" xfId="46718" xr:uid="{00000000-0005-0000-0000-00006E000000}"/>
    <cellStyle name="20 % - Markeringsfarve1 13 3 3" xfId="24757" xr:uid="{00000000-0005-0000-0000-00006F000000}"/>
    <cellStyle name="20 % - Markeringsfarve1 13 3 4" xfId="39721" xr:uid="{00000000-0005-0000-0000-000070000000}"/>
    <cellStyle name="20 % - Markeringsfarve1 13 4" xfId="12322" xr:uid="{00000000-0005-0000-0000-000071000000}"/>
    <cellStyle name="20 % - Markeringsfarve1 13 4 2" xfId="28601" xr:uid="{00000000-0005-0000-0000-000072000000}"/>
    <cellStyle name="20 % - Markeringsfarve1 13 4 3" xfId="43562" xr:uid="{00000000-0005-0000-0000-000073000000}"/>
    <cellStyle name="20 % - Markeringsfarve1 13 5" xfId="21599" xr:uid="{00000000-0005-0000-0000-000074000000}"/>
    <cellStyle name="20 % - Markeringsfarve1 13 6" xfId="36565" xr:uid="{00000000-0005-0000-0000-000075000000}"/>
    <cellStyle name="20 % - Markeringsfarve1 14" xfId="3839" xr:uid="{00000000-0005-0000-0000-000076000000}"/>
    <cellStyle name="20 % - Markeringsfarve1 14 2" xfId="8915" xr:uid="{00000000-0005-0000-0000-000077000000}"/>
    <cellStyle name="20 % - Markeringsfarve1 14 2 2" xfId="16781" xr:uid="{00000000-0005-0000-0000-000078000000}"/>
    <cellStyle name="20 % - Markeringsfarve1 14 2 2 2" xfId="33057" xr:uid="{00000000-0005-0000-0000-000079000000}"/>
    <cellStyle name="20 % - Markeringsfarve1 14 2 2 3" xfId="48016" xr:uid="{00000000-0005-0000-0000-00007A000000}"/>
    <cellStyle name="20 % - Markeringsfarve1 14 2 3" xfId="26055" xr:uid="{00000000-0005-0000-0000-00007B000000}"/>
    <cellStyle name="20 % - Markeringsfarve1 14 2 4" xfId="41019" xr:uid="{00000000-0005-0000-0000-00007C000000}"/>
    <cellStyle name="20 % - Markeringsfarve1 14 3" xfId="12324" xr:uid="{00000000-0005-0000-0000-00007D000000}"/>
    <cellStyle name="20 % - Markeringsfarve1 14 3 2" xfId="28603" xr:uid="{00000000-0005-0000-0000-00007E000000}"/>
    <cellStyle name="20 % - Markeringsfarve1 14 3 3" xfId="43564" xr:uid="{00000000-0005-0000-0000-00007F000000}"/>
    <cellStyle name="20 % - Markeringsfarve1 14 4" xfId="21601" xr:uid="{00000000-0005-0000-0000-000080000000}"/>
    <cellStyle name="20 % - Markeringsfarve1 14 5" xfId="36567" xr:uid="{00000000-0005-0000-0000-000081000000}"/>
    <cellStyle name="20 % - Markeringsfarve1 15" xfId="3840" xr:uid="{00000000-0005-0000-0000-000082000000}"/>
    <cellStyle name="20 % - Markeringsfarve1 15 2" xfId="10778" xr:uid="{00000000-0005-0000-0000-000083000000}"/>
    <cellStyle name="20 % - Markeringsfarve1 15 2 2" xfId="18620" xr:uid="{00000000-0005-0000-0000-000084000000}"/>
    <cellStyle name="20 % - Markeringsfarve1 15 2 2 2" xfId="34896" xr:uid="{00000000-0005-0000-0000-000085000000}"/>
    <cellStyle name="20 % - Markeringsfarve1 15 2 2 3" xfId="49855" xr:uid="{00000000-0005-0000-0000-000086000000}"/>
    <cellStyle name="20 % - Markeringsfarve1 15 2 3" xfId="27894" xr:uid="{00000000-0005-0000-0000-000087000000}"/>
    <cellStyle name="20 % - Markeringsfarve1 15 2 4" xfId="42858" xr:uid="{00000000-0005-0000-0000-000088000000}"/>
    <cellStyle name="20 % - Markeringsfarve1 15 3" xfId="12325" xr:uid="{00000000-0005-0000-0000-000089000000}"/>
    <cellStyle name="20 % - Markeringsfarve1 15 3 2" xfId="28604" xr:uid="{00000000-0005-0000-0000-00008A000000}"/>
    <cellStyle name="20 % - Markeringsfarve1 15 3 3" xfId="43565" xr:uid="{00000000-0005-0000-0000-00008B000000}"/>
    <cellStyle name="20 % - Markeringsfarve1 15 4" xfId="21602" xr:uid="{00000000-0005-0000-0000-00008C000000}"/>
    <cellStyle name="20 % - Markeringsfarve1 15 5" xfId="36568" xr:uid="{00000000-0005-0000-0000-00008D000000}"/>
    <cellStyle name="20 % - Markeringsfarve1 16" xfId="3841" xr:uid="{00000000-0005-0000-0000-00008E000000}"/>
    <cellStyle name="20 % - Markeringsfarve1 16 2" xfId="9321" xr:uid="{00000000-0005-0000-0000-00008F000000}"/>
    <cellStyle name="20 % - Markeringsfarve1 16 2 2" xfId="17184" xr:uid="{00000000-0005-0000-0000-000090000000}"/>
    <cellStyle name="20 % - Markeringsfarve1 16 2 2 2" xfId="33460" xr:uid="{00000000-0005-0000-0000-000091000000}"/>
    <cellStyle name="20 % - Markeringsfarve1 16 2 2 3" xfId="48419" xr:uid="{00000000-0005-0000-0000-000092000000}"/>
    <cellStyle name="20 % - Markeringsfarve1 16 2 3" xfId="26458" xr:uid="{00000000-0005-0000-0000-000093000000}"/>
    <cellStyle name="20 % - Markeringsfarve1 16 2 4" xfId="41422" xr:uid="{00000000-0005-0000-0000-000094000000}"/>
    <cellStyle name="20 % - Markeringsfarve1 16 3" xfId="12326" xr:uid="{00000000-0005-0000-0000-000095000000}"/>
    <cellStyle name="20 % - Markeringsfarve1 16 3 2" xfId="28605" xr:uid="{00000000-0005-0000-0000-000096000000}"/>
    <cellStyle name="20 % - Markeringsfarve1 16 3 3" xfId="43566" xr:uid="{00000000-0005-0000-0000-000097000000}"/>
    <cellStyle name="20 % - Markeringsfarve1 16 4" xfId="21603" xr:uid="{00000000-0005-0000-0000-000098000000}"/>
    <cellStyle name="20 % - Markeringsfarve1 16 5" xfId="36569" xr:uid="{00000000-0005-0000-0000-000099000000}"/>
    <cellStyle name="20 % - Markeringsfarve1 17" xfId="7596" xr:uid="{00000000-0005-0000-0000-00009A000000}"/>
    <cellStyle name="20 % - Markeringsfarve1 17 2" xfId="15471" xr:uid="{00000000-0005-0000-0000-00009B000000}"/>
    <cellStyle name="20 % - Markeringsfarve1 17 2 2" xfId="31747" xr:uid="{00000000-0005-0000-0000-00009C000000}"/>
    <cellStyle name="20 % - Markeringsfarve1 17 2 3" xfId="46706" xr:uid="{00000000-0005-0000-0000-00009D000000}"/>
    <cellStyle name="20 % - Markeringsfarve1 17 3" xfId="24745" xr:uid="{00000000-0005-0000-0000-00009E000000}"/>
    <cellStyle name="20 % - Markeringsfarve1 17 4" xfId="39709" xr:uid="{00000000-0005-0000-0000-00009F000000}"/>
    <cellStyle name="20 % - Markeringsfarve1 18" xfId="3829" xr:uid="{00000000-0005-0000-0000-0000A0000000}"/>
    <cellStyle name="20 % - Markeringsfarve1 18 2" xfId="12314" xr:uid="{00000000-0005-0000-0000-0000A1000000}"/>
    <cellStyle name="20 % - Markeringsfarve1 18 2 2" xfId="28593" xr:uid="{00000000-0005-0000-0000-0000A2000000}"/>
    <cellStyle name="20 % - Markeringsfarve1 18 2 3" xfId="43554" xr:uid="{00000000-0005-0000-0000-0000A3000000}"/>
    <cellStyle name="20 % - Markeringsfarve1 18 3" xfId="21591" xr:uid="{00000000-0005-0000-0000-0000A4000000}"/>
    <cellStyle name="20 % - Markeringsfarve1 18 4" xfId="36557" xr:uid="{00000000-0005-0000-0000-0000A5000000}"/>
    <cellStyle name="20 % - Markeringsfarve1 2" xfId="3842" xr:uid="{00000000-0005-0000-0000-0000A6000000}"/>
    <cellStyle name="20 % - Markeringsfarve1 2 10" xfId="3843" xr:uid="{00000000-0005-0000-0000-0000A7000000}"/>
    <cellStyle name="20 % - Markeringsfarve1 2 10 2" xfId="8948" xr:uid="{00000000-0005-0000-0000-0000A8000000}"/>
    <cellStyle name="20 % - Markeringsfarve1 2 10 2 2" xfId="16812" xr:uid="{00000000-0005-0000-0000-0000A9000000}"/>
    <cellStyle name="20 % - Markeringsfarve1 2 10 2 2 2" xfId="33088" xr:uid="{00000000-0005-0000-0000-0000AA000000}"/>
    <cellStyle name="20 % - Markeringsfarve1 2 10 2 2 3" xfId="48047" xr:uid="{00000000-0005-0000-0000-0000AB000000}"/>
    <cellStyle name="20 % - Markeringsfarve1 2 10 2 3" xfId="26086" xr:uid="{00000000-0005-0000-0000-0000AC000000}"/>
    <cellStyle name="20 % - Markeringsfarve1 2 10 2 4" xfId="41050" xr:uid="{00000000-0005-0000-0000-0000AD000000}"/>
    <cellStyle name="20 % - Markeringsfarve1 2 10 3" xfId="12328" xr:uid="{00000000-0005-0000-0000-0000AE000000}"/>
    <cellStyle name="20 % - Markeringsfarve1 2 10 3 2" xfId="28607" xr:uid="{00000000-0005-0000-0000-0000AF000000}"/>
    <cellStyle name="20 % - Markeringsfarve1 2 10 3 3" xfId="43568" xr:uid="{00000000-0005-0000-0000-0000B0000000}"/>
    <cellStyle name="20 % - Markeringsfarve1 2 10 4" xfId="21605" xr:uid="{00000000-0005-0000-0000-0000B1000000}"/>
    <cellStyle name="20 % - Markeringsfarve1 2 10 5" xfId="36571" xr:uid="{00000000-0005-0000-0000-0000B2000000}"/>
    <cellStyle name="20 % - Markeringsfarve1 2 11" xfId="3844" xr:uid="{00000000-0005-0000-0000-0000B3000000}"/>
    <cellStyle name="20 % - Markeringsfarve1 2 11 2" xfId="9319" xr:uid="{00000000-0005-0000-0000-0000B4000000}"/>
    <cellStyle name="20 % - Markeringsfarve1 2 11 2 2" xfId="17182" xr:uid="{00000000-0005-0000-0000-0000B5000000}"/>
    <cellStyle name="20 % - Markeringsfarve1 2 11 2 2 2" xfId="33458" xr:uid="{00000000-0005-0000-0000-0000B6000000}"/>
    <cellStyle name="20 % - Markeringsfarve1 2 11 2 2 3" xfId="48417" xr:uid="{00000000-0005-0000-0000-0000B7000000}"/>
    <cellStyle name="20 % - Markeringsfarve1 2 11 2 3" xfId="26456" xr:uid="{00000000-0005-0000-0000-0000B8000000}"/>
    <cellStyle name="20 % - Markeringsfarve1 2 11 2 4" xfId="41420" xr:uid="{00000000-0005-0000-0000-0000B9000000}"/>
    <cellStyle name="20 % - Markeringsfarve1 2 11 3" xfId="12329" xr:uid="{00000000-0005-0000-0000-0000BA000000}"/>
    <cellStyle name="20 % - Markeringsfarve1 2 11 3 2" xfId="28608" xr:uid="{00000000-0005-0000-0000-0000BB000000}"/>
    <cellStyle name="20 % - Markeringsfarve1 2 11 3 3" xfId="43569" xr:uid="{00000000-0005-0000-0000-0000BC000000}"/>
    <cellStyle name="20 % - Markeringsfarve1 2 11 4" xfId="21606" xr:uid="{00000000-0005-0000-0000-0000BD000000}"/>
    <cellStyle name="20 % - Markeringsfarve1 2 11 5" xfId="36572" xr:uid="{00000000-0005-0000-0000-0000BE000000}"/>
    <cellStyle name="20 % - Markeringsfarve1 2 12" xfId="7622" xr:uid="{00000000-0005-0000-0000-0000BF000000}"/>
    <cellStyle name="20 % - Markeringsfarve1 2 12 2" xfId="15487" xr:uid="{00000000-0005-0000-0000-0000C0000000}"/>
    <cellStyle name="20 % - Markeringsfarve1 2 12 2 2" xfId="31763" xr:uid="{00000000-0005-0000-0000-0000C1000000}"/>
    <cellStyle name="20 % - Markeringsfarve1 2 12 2 3" xfId="46722" xr:uid="{00000000-0005-0000-0000-0000C2000000}"/>
    <cellStyle name="20 % - Markeringsfarve1 2 12 3" xfId="24761" xr:uid="{00000000-0005-0000-0000-0000C3000000}"/>
    <cellStyle name="20 % - Markeringsfarve1 2 12 4" xfId="39725" xr:uid="{00000000-0005-0000-0000-0000C4000000}"/>
    <cellStyle name="20 % - Markeringsfarve1 2 13" xfId="12327" xr:uid="{00000000-0005-0000-0000-0000C5000000}"/>
    <cellStyle name="20 % - Markeringsfarve1 2 13 2" xfId="28606" xr:uid="{00000000-0005-0000-0000-0000C6000000}"/>
    <cellStyle name="20 % - Markeringsfarve1 2 13 3" xfId="43567" xr:uid="{00000000-0005-0000-0000-0000C7000000}"/>
    <cellStyle name="20 % - Markeringsfarve1 2 14" xfId="21604" xr:uid="{00000000-0005-0000-0000-0000C8000000}"/>
    <cellStyle name="20 % - Markeringsfarve1 2 15" xfId="36570" xr:uid="{00000000-0005-0000-0000-0000C9000000}"/>
    <cellStyle name="20 % - Markeringsfarve1 2 2" xfId="3845" xr:uid="{00000000-0005-0000-0000-0000CA000000}"/>
    <cellStyle name="20 % - Markeringsfarve1 2 2 10" xfId="7623" xr:uid="{00000000-0005-0000-0000-0000CB000000}"/>
    <cellStyle name="20 % - Markeringsfarve1 2 2 10 2" xfId="15488" xr:uid="{00000000-0005-0000-0000-0000CC000000}"/>
    <cellStyle name="20 % - Markeringsfarve1 2 2 10 2 2" xfId="31764" xr:uid="{00000000-0005-0000-0000-0000CD000000}"/>
    <cellStyle name="20 % - Markeringsfarve1 2 2 10 2 3" xfId="46723" xr:uid="{00000000-0005-0000-0000-0000CE000000}"/>
    <cellStyle name="20 % - Markeringsfarve1 2 2 10 3" xfId="24762" xr:uid="{00000000-0005-0000-0000-0000CF000000}"/>
    <cellStyle name="20 % - Markeringsfarve1 2 2 10 4" xfId="39726" xr:uid="{00000000-0005-0000-0000-0000D0000000}"/>
    <cellStyle name="20 % - Markeringsfarve1 2 2 11" xfId="12330" xr:uid="{00000000-0005-0000-0000-0000D1000000}"/>
    <cellStyle name="20 % - Markeringsfarve1 2 2 11 2" xfId="28609" xr:uid="{00000000-0005-0000-0000-0000D2000000}"/>
    <cellStyle name="20 % - Markeringsfarve1 2 2 11 3" xfId="43570" xr:uid="{00000000-0005-0000-0000-0000D3000000}"/>
    <cellStyle name="20 % - Markeringsfarve1 2 2 12" xfId="21607" xr:uid="{00000000-0005-0000-0000-0000D4000000}"/>
    <cellStyle name="20 % - Markeringsfarve1 2 2 13" xfId="36573" xr:uid="{00000000-0005-0000-0000-0000D5000000}"/>
    <cellStyle name="20 % - Markeringsfarve1 2 2 2" xfId="3846" xr:uid="{00000000-0005-0000-0000-0000D6000000}"/>
    <cellStyle name="20 % - Markeringsfarve1 2 2 2 2" xfId="3847" xr:uid="{00000000-0005-0000-0000-0000D7000000}"/>
    <cellStyle name="20 % - Markeringsfarve1 2 2 2 2 2" xfId="3848" xr:uid="{00000000-0005-0000-0000-0000D8000000}"/>
    <cellStyle name="20 % - Markeringsfarve1 2 2 2 2 2 2" xfId="9878" xr:uid="{00000000-0005-0000-0000-0000D9000000}"/>
    <cellStyle name="20 % - Markeringsfarve1 2 2 2 2 2 2 2" xfId="17733" xr:uid="{00000000-0005-0000-0000-0000DA000000}"/>
    <cellStyle name="20 % - Markeringsfarve1 2 2 2 2 2 2 2 2" xfId="34009" xr:uid="{00000000-0005-0000-0000-0000DB000000}"/>
    <cellStyle name="20 % - Markeringsfarve1 2 2 2 2 2 2 2 3" xfId="48968" xr:uid="{00000000-0005-0000-0000-0000DC000000}"/>
    <cellStyle name="20 % - Markeringsfarve1 2 2 2 2 2 2 3" xfId="27007" xr:uid="{00000000-0005-0000-0000-0000DD000000}"/>
    <cellStyle name="20 % - Markeringsfarve1 2 2 2 2 2 2 4" xfId="41971" xr:uid="{00000000-0005-0000-0000-0000DE000000}"/>
    <cellStyle name="20 % - Markeringsfarve1 2 2 2 2 2 3" xfId="12333" xr:uid="{00000000-0005-0000-0000-0000DF000000}"/>
    <cellStyle name="20 % - Markeringsfarve1 2 2 2 2 2 3 2" xfId="28612" xr:uid="{00000000-0005-0000-0000-0000E0000000}"/>
    <cellStyle name="20 % - Markeringsfarve1 2 2 2 2 2 3 3" xfId="43573" xr:uid="{00000000-0005-0000-0000-0000E1000000}"/>
    <cellStyle name="20 % - Markeringsfarve1 2 2 2 2 2 4" xfId="21610" xr:uid="{00000000-0005-0000-0000-0000E2000000}"/>
    <cellStyle name="20 % - Markeringsfarve1 2 2 2 2 2 5" xfId="36576" xr:uid="{00000000-0005-0000-0000-0000E3000000}"/>
    <cellStyle name="20 % - Markeringsfarve1 2 2 2 2 3" xfId="8452" xr:uid="{00000000-0005-0000-0000-0000E4000000}"/>
    <cellStyle name="20 % - Markeringsfarve1 2 2 2 2 3 2" xfId="16322" xr:uid="{00000000-0005-0000-0000-0000E5000000}"/>
    <cellStyle name="20 % - Markeringsfarve1 2 2 2 2 3 2 2" xfId="32598" xr:uid="{00000000-0005-0000-0000-0000E6000000}"/>
    <cellStyle name="20 % - Markeringsfarve1 2 2 2 2 3 2 3" xfId="47557" xr:uid="{00000000-0005-0000-0000-0000E7000000}"/>
    <cellStyle name="20 % - Markeringsfarve1 2 2 2 2 3 3" xfId="25596" xr:uid="{00000000-0005-0000-0000-0000E8000000}"/>
    <cellStyle name="20 % - Markeringsfarve1 2 2 2 2 3 4" xfId="40560" xr:uid="{00000000-0005-0000-0000-0000E9000000}"/>
    <cellStyle name="20 % - Markeringsfarve1 2 2 2 2 4" xfId="12332" xr:uid="{00000000-0005-0000-0000-0000EA000000}"/>
    <cellStyle name="20 % - Markeringsfarve1 2 2 2 2 4 2" xfId="28611" xr:uid="{00000000-0005-0000-0000-0000EB000000}"/>
    <cellStyle name="20 % - Markeringsfarve1 2 2 2 2 4 3" xfId="43572" xr:uid="{00000000-0005-0000-0000-0000EC000000}"/>
    <cellStyle name="20 % - Markeringsfarve1 2 2 2 2 5" xfId="21609" xr:uid="{00000000-0005-0000-0000-0000ED000000}"/>
    <cellStyle name="20 % - Markeringsfarve1 2 2 2 2 6" xfId="36575" xr:uid="{00000000-0005-0000-0000-0000EE000000}"/>
    <cellStyle name="20 % - Markeringsfarve1 2 2 2 3" xfId="3849" xr:uid="{00000000-0005-0000-0000-0000EF000000}"/>
    <cellStyle name="20 % - Markeringsfarve1 2 2 2 3 2" xfId="9109" xr:uid="{00000000-0005-0000-0000-0000F0000000}"/>
    <cellStyle name="20 % - Markeringsfarve1 2 2 2 3 2 2" xfId="16973" xr:uid="{00000000-0005-0000-0000-0000F1000000}"/>
    <cellStyle name="20 % - Markeringsfarve1 2 2 2 3 2 2 2" xfId="33249" xr:uid="{00000000-0005-0000-0000-0000F2000000}"/>
    <cellStyle name="20 % - Markeringsfarve1 2 2 2 3 2 2 3" xfId="48208" xr:uid="{00000000-0005-0000-0000-0000F3000000}"/>
    <cellStyle name="20 % - Markeringsfarve1 2 2 2 3 2 3" xfId="26247" xr:uid="{00000000-0005-0000-0000-0000F4000000}"/>
    <cellStyle name="20 % - Markeringsfarve1 2 2 2 3 2 4" xfId="41211" xr:uid="{00000000-0005-0000-0000-0000F5000000}"/>
    <cellStyle name="20 % - Markeringsfarve1 2 2 2 3 3" xfId="12334" xr:uid="{00000000-0005-0000-0000-0000F6000000}"/>
    <cellStyle name="20 % - Markeringsfarve1 2 2 2 3 3 2" xfId="28613" xr:uid="{00000000-0005-0000-0000-0000F7000000}"/>
    <cellStyle name="20 % - Markeringsfarve1 2 2 2 3 3 3" xfId="43574" xr:uid="{00000000-0005-0000-0000-0000F8000000}"/>
    <cellStyle name="20 % - Markeringsfarve1 2 2 2 3 4" xfId="21611" xr:uid="{00000000-0005-0000-0000-0000F9000000}"/>
    <cellStyle name="20 % - Markeringsfarve1 2 2 2 3 5" xfId="36577" xr:uid="{00000000-0005-0000-0000-0000FA000000}"/>
    <cellStyle name="20 % - Markeringsfarve1 2 2 2 4" xfId="3850" xr:uid="{00000000-0005-0000-0000-0000FB000000}"/>
    <cellStyle name="20 % - Markeringsfarve1 2 2 2 4 2" xfId="10585" xr:uid="{00000000-0005-0000-0000-0000FC000000}"/>
    <cellStyle name="20 % - Markeringsfarve1 2 2 2 4 2 2" xfId="18434" xr:uid="{00000000-0005-0000-0000-0000FD000000}"/>
    <cellStyle name="20 % - Markeringsfarve1 2 2 2 4 2 2 2" xfId="34710" xr:uid="{00000000-0005-0000-0000-0000FE000000}"/>
    <cellStyle name="20 % - Markeringsfarve1 2 2 2 4 2 2 3" xfId="49669" xr:uid="{00000000-0005-0000-0000-0000FF000000}"/>
    <cellStyle name="20 % - Markeringsfarve1 2 2 2 4 2 3" xfId="27708" xr:uid="{00000000-0005-0000-0000-000000010000}"/>
    <cellStyle name="20 % - Markeringsfarve1 2 2 2 4 2 4" xfId="42672" xr:uid="{00000000-0005-0000-0000-000001010000}"/>
    <cellStyle name="20 % - Markeringsfarve1 2 2 2 4 3" xfId="12335" xr:uid="{00000000-0005-0000-0000-000002010000}"/>
    <cellStyle name="20 % - Markeringsfarve1 2 2 2 4 3 2" xfId="28614" xr:uid="{00000000-0005-0000-0000-000003010000}"/>
    <cellStyle name="20 % - Markeringsfarve1 2 2 2 4 3 3" xfId="43575" xr:uid="{00000000-0005-0000-0000-000004010000}"/>
    <cellStyle name="20 % - Markeringsfarve1 2 2 2 4 4" xfId="21612" xr:uid="{00000000-0005-0000-0000-000005010000}"/>
    <cellStyle name="20 % - Markeringsfarve1 2 2 2 4 5" xfId="36578" xr:uid="{00000000-0005-0000-0000-000006010000}"/>
    <cellStyle name="20 % - Markeringsfarve1 2 2 2 5" xfId="7624" xr:uid="{00000000-0005-0000-0000-000007010000}"/>
    <cellStyle name="20 % - Markeringsfarve1 2 2 2 5 2" xfId="15489" xr:uid="{00000000-0005-0000-0000-000008010000}"/>
    <cellStyle name="20 % - Markeringsfarve1 2 2 2 5 2 2" xfId="31765" xr:uid="{00000000-0005-0000-0000-000009010000}"/>
    <cellStyle name="20 % - Markeringsfarve1 2 2 2 5 2 3" xfId="46724" xr:uid="{00000000-0005-0000-0000-00000A010000}"/>
    <cellStyle name="20 % - Markeringsfarve1 2 2 2 5 3" xfId="24763" xr:uid="{00000000-0005-0000-0000-00000B010000}"/>
    <cellStyle name="20 % - Markeringsfarve1 2 2 2 5 4" xfId="39727" xr:uid="{00000000-0005-0000-0000-00000C010000}"/>
    <cellStyle name="20 % - Markeringsfarve1 2 2 2 6" xfId="12331" xr:uid="{00000000-0005-0000-0000-00000D010000}"/>
    <cellStyle name="20 % - Markeringsfarve1 2 2 2 6 2" xfId="28610" xr:uid="{00000000-0005-0000-0000-00000E010000}"/>
    <cellStyle name="20 % - Markeringsfarve1 2 2 2 6 3" xfId="43571" xr:uid="{00000000-0005-0000-0000-00000F010000}"/>
    <cellStyle name="20 % - Markeringsfarve1 2 2 2 7" xfId="21608" xr:uid="{00000000-0005-0000-0000-000010010000}"/>
    <cellStyle name="20 % - Markeringsfarve1 2 2 2 8" xfId="36574" xr:uid="{00000000-0005-0000-0000-000011010000}"/>
    <cellStyle name="20 % - Markeringsfarve1 2 2 3" xfId="3851" xr:uid="{00000000-0005-0000-0000-000012010000}"/>
    <cellStyle name="20 % - Markeringsfarve1 2 2 3 2" xfId="3852" xr:uid="{00000000-0005-0000-0000-000013010000}"/>
    <cellStyle name="20 % - Markeringsfarve1 2 2 3 2 2" xfId="3853" xr:uid="{00000000-0005-0000-0000-000014010000}"/>
    <cellStyle name="20 % - Markeringsfarve1 2 2 3 2 2 2" xfId="9932" xr:uid="{00000000-0005-0000-0000-000015010000}"/>
    <cellStyle name="20 % - Markeringsfarve1 2 2 3 2 2 2 2" xfId="17787" xr:uid="{00000000-0005-0000-0000-000016010000}"/>
    <cellStyle name="20 % - Markeringsfarve1 2 2 3 2 2 2 2 2" xfId="34063" xr:uid="{00000000-0005-0000-0000-000017010000}"/>
    <cellStyle name="20 % - Markeringsfarve1 2 2 3 2 2 2 2 3" xfId="49022" xr:uid="{00000000-0005-0000-0000-000018010000}"/>
    <cellStyle name="20 % - Markeringsfarve1 2 2 3 2 2 2 3" xfId="27061" xr:uid="{00000000-0005-0000-0000-000019010000}"/>
    <cellStyle name="20 % - Markeringsfarve1 2 2 3 2 2 2 4" xfId="42025" xr:uid="{00000000-0005-0000-0000-00001A010000}"/>
    <cellStyle name="20 % - Markeringsfarve1 2 2 3 2 2 3" xfId="12338" xr:uid="{00000000-0005-0000-0000-00001B010000}"/>
    <cellStyle name="20 % - Markeringsfarve1 2 2 3 2 2 3 2" xfId="28617" xr:uid="{00000000-0005-0000-0000-00001C010000}"/>
    <cellStyle name="20 % - Markeringsfarve1 2 2 3 2 2 3 3" xfId="43578" xr:uid="{00000000-0005-0000-0000-00001D010000}"/>
    <cellStyle name="20 % - Markeringsfarve1 2 2 3 2 2 4" xfId="21615" xr:uid="{00000000-0005-0000-0000-00001E010000}"/>
    <cellStyle name="20 % - Markeringsfarve1 2 2 3 2 2 5" xfId="36581" xr:uid="{00000000-0005-0000-0000-00001F010000}"/>
    <cellStyle name="20 % - Markeringsfarve1 2 2 3 2 3" xfId="8497" xr:uid="{00000000-0005-0000-0000-000020010000}"/>
    <cellStyle name="20 % - Markeringsfarve1 2 2 3 2 3 2" xfId="16367" xr:uid="{00000000-0005-0000-0000-000021010000}"/>
    <cellStyle name="20 % - Markeringsfarve1 2 2 3 2 3 2 2" xfId="32643" xr:uid="{00000000-0005-0000-0000-000022010000}"/>
    <cellStyle name="20 % - Markeringsfarve1 2 2 3 2 3 2 3" xfId="47602" xr:uid="{00000000-0005-0000-0000-000023010000}"/>
    <cellStyle name="20 % - Markeringsfarve1 2 2 3 2 3 3" xfId="25641" xr:uid="{00000000-0005-0000-0000-000024010000}"/>
    <cellStyle name="20 % - Markeringsfarve1 2 2 3 2 3 4" xfId="40605" xr:uid="{00000000-0005-0000-0000-000025010000}"/>
    <cellStyle name="20 % - Markeringsfarve1 2 2 3 2 4" xfId="12337" xr:uid="{00000000-0005-0000-0000-000026010000}"/>
    <cellStyle name="20 % - Markeringsfarve1 2 2 3 2 4 2" xfId="28616" xr:uid="{00000000-0005-0000-0000-000027010000}"/>
    <cellStyle name="20 % - Markeringsfarve1 2 2 3 2 4 3" xfId="43577" xr:uid="{00000000-0005-0000-0000-000028010000}"/>
    <cellStyle name="20 % - Markeringsfarve1 2 2 3 2 5" xfId="21614" xr:uid="{00000000-0005-0000-0000-000029010000}"/>
    <cellStyle name="20 % - Markeringsfarve1 2 2 3 2 6" xfId="36580" xr:uid="{00000000-0005-0000-0000-00002A010000}"/>
    <cellStyle name="20 % - Markeringsfarve1 2 2 3 3" xfId="3854" xr:uid="{00000000-0005-0000-0000-00002B010000}"/>
    <cellStyle name="20 % - Markeringsfarve1 2 2 3 3 2" xfId="9163" xr:uid="{00000000-0005-0000-0000-00002C010000}"/>
    <cellStyle name="20 % - Markeringsfarve1 2 2 3 3 2 2" xfId="17027" xr:uid="{00000000-0005-0000-0000-00002D010000}"/>
    <cellStyle name="20 % - Markeringsfarve1 2 2 3 3 2 2 2" xfId="33303" xr:uid="{00000000-0005-0000-0000-00002E010000}"/>
    <cellStyle name="20 % - Markeringsfarve1 2 2 3 3 2 2 3" xfId="48262" xr:uid="{00000000-0005-0000-0000-00002F010000}"/>
    <cellStyle name="20 % - Markeringsfarve1 2 2 3 3 2 3" xfId="26301" xr:uid="{00000000-0005-0000-0000-000030010000}"/>
    <cellStyle name="20 % - Markeringsfarve1 2 2 3 3 2 4" xfId="41265" xr:uid="{00000000-0005-0000-0000-000031010000}"/>
    <cellStyle name="20 % - Markeringsfarve1 2 2 3 3 3" xfId="12339" xr:uid="{00000000-0005-0000-0000-000032010000}"/>
    <cellStyle name="20 % - Markeringsfarve1 2 2 3 3 3 2" xfId="28618" xr:uid="{00000000-0005-0000-0000-000033010000}"/>
    <cellStyle name="20 % - Markeringsfarve1 2 2 3 3 3 3" xfId="43579" xr:uid="{00000000-0005-0000-0000-000034010000}"/>
    <cellStyle name="20 % - Markeringsfarve1 2 2 3 3 4" xfId="21616" xr:uid="{00000000-0005-0000-0000-000035010000}"/>
    <cellStyle name="20 % - Markeringsfarve1 2 2 3 3 5" xfId="36582" xr:uid="{00000000-0005-0000-0000-000036010000}"/>
    <cellStyle name="20 % - Markeringsfarve1 2 2 3 4" xfId="3855" xr:uid="{00000000-0005-0000-0000-000037010000}"/>
    <cellStyle name="20 % - Markeringsfarve1 2 2 3 4 2" xfId="10584" xr:uid="{00000000-0005-0000-0000-000038010000}"/>
    <cellStyle name="20 % - Markeringsfarve1 2 2 3 4 2 2" xfId="18433" xr:uid="{00000000-0005-0000-0000-000039010000}"/>
    <cellStyle name="20 % - Markeringsfarve1 2 2 3 4 2 2 2" xfId="34709" xr:uid="{00000000-0005-0000-0000-00003A010000}"/>
    <cellStyle name="20 % - Markeringsfarve1 2 2 3 4 2 2 3" xfId="49668" xr:uid="{00000000-0005-0000-0000-00003B010000}"/>
    <cellStyle name="20 % - Markeringsfarve1 2 2 3 4 2 3" xfId="27707" xr:uid="{00000000-0005-0000-0000-00003C010000}"/>
    <cellStyle name="20 % - Markeringsfarve1 2 2 3 4 2 4" xfId="42671" xr:uid="{00000000-0005-0000-0000-00003D010000}"/>
    <cellStyle name="20 % - Markeringsfarve1 2 2 3 4 3" xfId="12340" xr:uid="{00000000-0005-0000-0000-00003E010000}"/>
    <cellStyle name="20 % - Markeringsfarve1 2 2 3 4 3 2" xfId="28619" xr:uid="{00000000-0005-0000-0000-00003F010000}"/>
    <cellStyle name="20 % - Markeringsfarve1 2 2 3 4 3 3" xfId="43580" xr:uid="{00000000-0005-0000-0000-000040010000}"/>
    <cellStyle name="20 % - Markeringsfarve1 2 2 3 4 4" xfId="21617" xr:uid="{00000000-0005-0000-0000-000041010000}"/>
    <cellStyle name="20 % - Markeringsfarve1 2 2 3 4 5" xfId="36583" xr:uid="{00000000-0005-0000-0000-000042010000}"/>
    <cellStyle name="20 % - Markeringsfarve1 2 2 3 5" xfId="7625" xr:uid="{00000000-0005-0000-0000-000043010000}"/>
    <cellStyle name="20 % - Markeringsfarve1 2 2 3 5 2" xfId="15490" xr:uid="{00000000-0005-0000-0000-000044010000}"/>
    <cellStyle name="20 % - Markeringsfarve1 2 2 3 5 2 2" xfId="31766" xr:uid="{00000000-0005-0000-0000-000045010000}"/>
    <cellStyle name="20 % - Markeringsfarve1 2 2 3 5 2 3" xfId="46725" xr:uid="{00000000-0005-0000-0000-000046010000}"/>
    <cellStyle name="20 % - Markeringsfarve1 2 2 3 5 3" xfId="24764" xr:uid="{00000000-0005-0000-0000-000047010000}"/>
    <cellStyle name="20 % - Markeringsfarve1 2 2 3 5 4" xfId="39728" xr:uid="{00000000-0005-0000-0000-000048010000}"/>
    <cellStyle name="20 % - Markeringsfarve1 2 2 3 6" xfId="12336" xr:uid="{00000000-0005-0000-0000-000049010000}"/>
    <cellStyle name="20 % - Markeringsfarve1 2 2 3 6 2" xfId="28615" xr:uid="{00000000-0005-0000-0000-00004A010000}"/>
    <cellStyle name="20 % - Markeringsfarve1 2 2 3 6 3" xfId="43576" xr:uid="{00000000-0005-0000-0000-00004B010000}"/>
    <cellStyle name="20 % - Markeringsfarve1 2 2 3 7" xfId="21613" xr:uid="{00000000-0005-0000-0000-00004C010000}"/>
    <cellStyle name="20 % - Markeringsfarve1 2 2 3 8" xfId="36579" xr:uid="{00000000-0005-0000-0000-00004D010000}"/>
    <cellStyle name="20 % - Markeringsfarve1 2 2 4" xfId="3856" xr:uid="{00000000-0005-0000-0000-00004E010000}"/>
    <cellStyle name="20 % - Markeringsfarve1 2 2 4 2" xfId="3857" xr:uid="{00000000-0005-0000-0000-00004F010000}"/>
    <cellStyle name="20 % - Markeringsfarve1 2 2 4 2 2" xfId="3858" xr:uid="{00000000-0005-0000-0000-000050010000}"/>
    <cellStyle name="20 % - Markeringsfarve1 2 2 4 2 2 2" xfId="10116" xr:uid="{00000000-0005-0000-0000-000051010000}"/>
    <cellStyle name="20 % - Markeringsfarve1 2 2 4 2 2 2 2" xfId="17971" xr:uid="{00000000-0005-0000-0000-000052010000}"/>
    <cellStyle name="20 % - Markeringsfarve1 2 2 4 2 2 2 2 2" xfId="34247" xr:uid="{00000000-0005-0000-0000-000053010000}"/>
    <cellStyle name="20 % - Markeringsfarve1 2 2 4 2 2 2 2 3" xfId="49206" xr:uid="{00000000-0005-0000-0000-000054010000}"/>
    <cellStyle name="20 % - Markeringsfarve1 2 2 4 2 2 2 3" xfId="27245" xr:uid="{00000000-0005-0000-0000-000055010000}"/>
    <cellStyle name="20 % - Markeringsfarve1 2 2 4 2 2 2 4" xfId="42209" xr:uid="{00000000-0005-0000-0000-000056010000}"/>
    <cellStyle name="20 % - Markeringsfarve1 2 2 4 2 2 3" xfId="12343" xr:uid="{00000000-0005-0000-0000-000057010000}"/>
    <cellStyle name="20 % - Markeringsfarve1 2 2 4 2 2 3 2" xfId="28622" xr:uid="{00000000-0005-0000-0000-000058010000}"/>
    <cellStyle name="20 % - Markeringsfarve1 2 2 4 2 2 3 3" xfId="43583" xr:uid="{00000000-0005-0000-0000-000059010000}"/>
    <cellStyle name="20 % - Markeringsfarve1 2 2 4 2 2 4" xfId="21620" xr:uid="{00000000-0005-0000-0000-00005A010000}"/>
    <cellStyle name="20 % - Markeringsfarve1 2 2 4 2 2 5" xfId="36586" xr:uid="{00000000-0005-0000-0000-00005B010000}"/>
    <cellStyle name="20 % - Markeringsfarve1 2 2 4 2 3" xfId="8654" xr:uid="{00000000-0005-0000-0000-00005C010000}"/>
    <cellStyle name="20 % - Markeringsfarve1 2 2 4 2 3 2" xfId="16521" xr:uid="{00000000-0005-0000-0000-00005D010000}"/>
    <cellStyle name="20 % - Markeringsfarve1 2 2 4 2 3 2 2" xfId="32797" xr:uid="{00000000-0005-0000-0000-00005E010000}"/>
    <cellStyle name="20 % - Markeringsfarve1 2 2 4 2 3 2 3" xfId="47756" xr:uid="{00000000-0005-0000-0000-00005F010000}"/>
    <cellStyle name="20 % - Markeringsfarve1 2 2 4 2 3 3" xfId="25795" xr:uid="{00000000-0005-0000-0000-000060010000}"/>
    <cellStyle name="20 % - Markeringsfarve1 2 2 4 2 3 4" xfId="40759" xr:uid="{00000000-0005-0000-0000-000061010000}"/>
    <cellStyle name="20 % - Markeringsfarve1 2 2 4 2 4" xfId="12342" xr:uid="{00000000-0005-0000-0000-000062010000}"/>
    <cellStyle name="20 % - Markeringsfarve1 2 2 4 2 4 2" xfId="28621" xr:uid="{00000000-0005-0000-0000-000063010000}"/>
    <cellStyle name="20 % - Markeringsfarve1 2 2 4 2 4 3" xfId="43582" xr:uid="{00000000-0005-0000-0000-000064010000}"/>
    <cellStyle name="20 % - Markeringsfarve1 2 2 4 2 5" xfId="21619" xr:uid="{00000000-0005-0000-0000-000065010000}"/>
    <cellStyle name="20 % - Markeringsfarve1 2 2 4 2 6" xfId="36585" xr:uid="{00000000-0005-0000-0000-000066010000}"/>
    <cellStyle name="20 % - Markeringsfarve1 2 2 4 3" xfId="3859" xr:uid="{00000000-0005-0000-0000-000067010000}"/>
    <cellStyle name="20 % - Markeringsfarve1 2 2 4 3 2" xfId="9393" xr:uid="{00000000-0005-0000-0000-000068010000}"/>
    <cellStyle name="20 % - Markeringsfarve1 2 2 4 3 2 2" xfId="17256" xr:uid="{00000000-0005-0000-0000-000069010000}"/>
    <cellStyle name="20 % - Markeringsfarve1 2 2 4 3 2 2 2" xfId="33532" xr:uid="{00000000-0005-0000-0000-00006A010000}"/>
    <cellStyle name="20 % - Markeringsfarve1 2 2 4 3 2 2 3" xfId="48491" xr:uid="{00000000-0005-0000-0000-00006B010000}"/>
    <cellStyle name="20 % - Markeringsfarve1 2 2 4 3 2 3" xfId="26530" xr:uid="{00000000-0005-0000-0000-00006C010000}"/>
    <cellStyle name="20 % - Markeringsfarve1 2 2 4 3 2 4" xfId="41494" xr:uid="{00000000-0005-0000-0000-00006D010000}"/>
    <cellStyle name="20 % - Markeringsfarve1 2 2 4 3 3" xfId="12344" xr:uid="{00000000-0005-0000-0000-00006E010000}"/>
    <cellStyle name="20 % - Markeringsfarve1 2 2 4 3 3 2" xfId="28623" xr:uid="{00000000-0005-0000-0000-00006F010000}"/>
    <cellStyle name="20 % - Markeringsfarve1 2 2 4 3 3 3" xfId="43584" xr:uid="{00000000-0005-0000-0000-000070010000}"/>
    <cellStyle name="20 % - Markeringsfarve1 2 2 4 3 4" xfId="21621" xr:uid="{00000000-0005-0000-0000-000071010000}"/>
    <cellStyle name="20 % - Markeringsfarve1 2 2 4 3 5" xfId="36587" xr:uid="{00000000-0005-0000-0000-000072010000}"/>
    <cellStyle name="20 % - Markeringsfarve1 2 2 4 4" xfId="3860" xr:uid="{00000000-0005-0000-0000-000073010000}"/>
    <cellStyle name="20 % - Markeringsfarve1 2 2 4 4 2" xfId="10583" xr:uid="{00000000-0005-0000-0000-000074010000}"/>
    <cellStyle name="20 % - Markeringsfarve1 2 2 4 4 2 2" xfId="18432" xr:uid="{00000000-0005-0000-0000-000075010000}"/>
    <cellStyle name="20 % - Markeringsfarve1 2 2 4 4 2 2 2" xfId="34708" xr:uid="{00000000-0005-0000-0000-000076010000}"/>
    <cellStyle name="20 % - Markeringsfarve1 2 2 4 4 2 2 3" xfId="49667" xr:uid="{00000000-0005-0000-0000-000077010000}"/>
    <cellStyle name="20 % - Markeringsfarve1 2 2 4 4 2 3" xfId="27706" xr:uid="{00000000-0005-0000-0000-000078010000}"/>
    <cellStyle name="20 % - Markeringsfarve1 2 2 4 4 2 4" xfId="42670" xr:uid="{00000000-0005-0000-0000-000079010000}"/>
    <cellStyle name="20 % - Markeringsfarve1 2 2 4 4 3" xfId="12345" xr:uid="{00000000-0005-0000-0000-00007A010000}"/>
    <cellStyle name="20 % - Markeringsfarve1 2 2 4 4 3 2" xfId="28624" xr:uid="{00000000-0005-0000-0000-00007B010000}"/>
    <cellStyle name="20 % - Markeringsfarve1 2 2 4 4 3 3" xfId="43585" xr:uid="{00000000-0005-0000-0000-00007C010000}"/>
    <cellStyle name="20 % - Markeringsfarve1 2 2 4 4 4" xfId="21622" xr:uid="{00000000-0005-0000-0000-00007D010000}"/>
    <cellStyle name="20 % - Markeringsfarve1 2 2 4 4 5" xfId="36588" xr:uid="{00000000-0005-0000-0000-00007E010000}"/>
    <cellStyle name="20 % - Markeringsfarve1 2 2 4 5" xfId="7626" xr:uid="{00000000-0005-0000-0000-00007F010000}"/>
    <cellStyle name="20 % - Markeringsfarve1 2 2 4 5 2" xfId="15491" xr:uid="{00000000-0005-0000-0000-000080010000}"/>
    <cellStyle name="20 % - Markeringsfarve1 2 2 4 5 2 2" xfId="31767" xr:uid="{00000000-0005-0000-0000-000081010000}"/>
    <cellStyle name="20 % - Markeringsfarve1 2 2 4 5 2 3" xfId="46726" xr:uid="{00000000-0005-0000-0000-000082010000}"/>
    <cellStyle name="20 % - Markeringsfarve1 2 2 4 5 3" xfId="24765" xr:uid="{00000000-0005-0000-0000-000083010000}"/>
    <cellStyle name="20 % - Markeringsfarve1 2 2 4 5 4" xfId="39729" xr:uid="{00000000-0005-0000-0000-000084010000}"/>
    <cellStyle name="20 % - Markeringsfarve1 2 2 4 6" xfId="12341" xr:uid="{00000000-0005-0000-0000-000085010000}"/>
    <cellStyle name="20 % - Markeringsfarve1 2 2 4 6 2" xfId="28620" xr:uid="{00000000-0005-0000-0000-000086010000}"/>
    <cellStyle name="20 % - Markeringsfarve1 2 2 4 6 3" xfId="43581" xr:uid="{00000000-0005-0000-0000-000087010000}"/>
    <cellStyle name="20 % - Markeringsfarve1 2 2 4 7" xfId="21618" xr:uid="{00000000-0005-0000-0000-000088010000}"/>
    <cellStyle name="20 % - Markeringsfarve1 2 2 4 8" xfId="36584" xr:uid="{00000000-0005-0000-0000-000089010000}"/>
    <cellStyle name="20 % - Markeringsfarve1 2 2 5" xfId="3861" xr:uid="{00000000-0005-0000-0000-00008A010000}"/>
    <cellStyle name="20 % - Markeringsfarve1 2 2 5 2" xfId="3862" xr:uid="{00000000-0005-0000-0000-00008B010000}"/>
    <cellStyle name="20 % - Markeringsfarve1 2 2 5 2 2" xfId="3863" xr:uid="{00000000-0005-0000-0000-00008C010000}"/>
    <cellStyle name="20 % - Markeringsfarve1 2 2 5 2 2 2" xfId="10233" xr:uid="{00000000-0005-0000-0000-00008D010000}"/>
    <cellStyle name="20 % - Markeringsfarve1 2 2 5 2 2 2 2" xfId="18088" xr:uid="{00000000-0005-0000-0000-00008E010000}"/>
    <cellStyle name="20 % - Markeringsfarve1 2 2 5 2 2 2 2 2" xfId="34364" xr:uid="{00000000-0005-0000-0000-00008F010000}"/>
    <cellStyle name="20 % - Markeringsfarve1 2 2 5 2 2 2 2 3" xfId="49323" xr:uid="{00000000-0005-0000-0000-000090010000}"/>
    <cellStyle name="20 % - Markeringsfarve1 2 2 5 2 2 2 3" xfId="27362" xr:uid="{00000000-0005-0000-0000-000091010000}"/>
    <cellStyle name="20 % - Markeringsfarve1 2 2 5 2 2 2 4" xfId="42326" xr:uid="{00000000-0005-0000-0000-000092010000}"/>
    <cellStyle name="20 % - Markeringsfarve1 2 2 5 2 2 3" xfId="12348" xr:uid="{00000000-0005-0000-0000-000093010000}"/>
    <cellStyle name="20 % - Markeringsfarve1 2 2 5 2 2 3 2" xfId="28627" xr:uid="{00000000-0005-0000-0000-000094010000}"/>
    <cellStyle name="20 % - Markeringsfarve1 2 2 5 2 2 3 3" xfId="43588" xr:uid="{00000000-0005-0000-0000-000095010000}"/>
    <cellStyle name="20 % - Markeringsfarve1 2 2 5 2 2 4" xfId="21625" xr:uid="{00000000-0005-0000-0000-000096010000}"/>
    <cellStyle name="20 % - Markeringsfarve1 2 2 5 2 2 5" xfId="36591" xr:uid="{00000000-0005-0000-0000-000097010000}"/>
    <cellStyle name="20 % - Markeringsfarve1 2 2 5 2 3" xfId="8753" xr:uid="{00000000-0005-0000-0000-000098010000}"/>
    <cellStyle name="20 % - Markeringsfarve1 2 2 5 2 3 2" xfId="16620" xr:uid="{00000000-0005-0000-0000-000099010000}"/>
    <cellStyle name="20 % - Markeringsfarve1 2 2 5 2 3 2 2" xfId="32896" xr:uid="{00000000-0005-0000-0000-00009A010000}"/>
    <cellStyle name="20 % - Markeringsfarve1 2 2 5 2 3 2 3" xfId="47855" xr:uid="{00000000-0005-0000-0000-00009B010000}"/>
    <cellStyle name="20 % - Markeringsfarve1 2 2 5 2 3 3" xfId="25894" xr:uid="{00000000-0005-0000-0000-00009C010000}"/>
    <cellStyle name="20 % - Markeringsfarve1 2 2 5 2 3 4" xfId="40858" xr:uid="{00000000-0005-0000-0000-00009D010000}"/>
    <cellStyle name="20 % - Markeringsfarve1 2 2 5 2 4" xfId="12347" xr:uid="{00000000-0005-0000-0000-00009E010000}"/>
    <cellStyle name="20 % - Markeringsfarve1 2 2 5 2 4 2" xfId="28626" xr:uid="{00000000-0005-0000-0000-00009F010000}"/>
    <cellStyle name="20 % - Markeringsfarve1 2 2 5 2 4 3" xfId="43587" xr:uid="{00000000-0005-0000-0000-0000A0010000}"/>
    <cellStyle name="20 % - Markeringsfarve1 2 2 5 2 5" xfId="21624" xr:uid="{00000000-0005-0000-0000-0000A1010000}"/>
    <cellStyle name="20 % - Markeringsfarve1 2 2 5 2 6" xfId="36590" xr:uid="{00000000-0005-0000-0000-0000A2010000}"/>
    <cellStyle name="20 % - Markeringsfarve1 2 2 5 3" xfId="3864" xr:uid="{00000000-0005-0000-0000-0000A3010000}"/>
    <cellStyle name="20 % - Markeringsfarve1 2 2 5 3 2" xfId="9510" xr:uid="{00000000-0005-0000-0000-0000A4010000}"/>
    <cellStyle name="20 % - Markeringsfarve1 2 2 5 3 2 2" xfId="17373" xr:uid="{00000000-0005-0000-0000-0000A5010000}"/>
    <cellStyle name="20 % - Markeringsfarve1 2 2 5 3 2 2 2" xfId="33649" xr:uid="{00000000-0005-0000-0000-0000A6010000}"/>
    <cellStyle name="20 % - Markeringsfarve1 2 2 5 3 2 2 3" xfId="48608" xr:uid="{00000000-0005-0000-0000-0000A7010000}"/>
    <cellStyle name="20 % - Markeringsfarve1 2 2 5 3 2 3" xfId="26647" xr:uid="{00000000-0005-0000-0000-0000A8010000}"/>
    <cellStyle name="20 % - Markeringsfarve1 2 2 5 3 2 4" xfId="41611" xr:uid="{00000000-0005-0000-0000-0000A9010000}"/>
    <cellStyle name="20 % - Markeringsfarve1 2 2 5 3 3" xfId="12349" xr:uid="{00000000-0005-0000-0000-0000AA010000}"/>
    <cellStyle name="20 % - Markeringsfarve1 2 2 5 3 3 2" xfId="28628" xr:uid="{00000000-0005-0000-0000-0000AB010000}"/>
    <cellStyle name="20 % - Markeringsfarve1 2 2 5 3 3 3" xfId="43589" xr:uid="{00000000-0005-0000-0000-0000AC010000}"/>
    <cellStyle name="20 % - Markeringsfarve1 2 2 5 3 4" xfId="21626" xr:uid="{00000000-0005-0000-0000-0000AD010000}"/>
    <cellStyle name="20 % - Markeringsfarve1 2 2 5 3 5" xfId="36592" xr:uid="{00000000-0005-0000-0000-0000AE010000}"/>
    <cellStyle name="20 % - Markeringsfarve1 2 2 5 4" xfId="3865" xr:uid="{00000000-0005-0000-0000-0000AF010000}"/>
    <cellStyle name="20 % - Markeringsfarve1 2 2 5 4 2" xfId="10582" xr:uid="{00000000-0005-0000-0000-0000B0010000}"/>
    <cellStyle name="20 % - Markeringsfarve1 2 2 5 4 2 2" xfId="18431" xr:uid="{00000000-0005-0000-0000-0000B1010000}"/>
    <cellStyle name="20 % - Markeringsfarve1 2 2 5 4 2 2 2" xfId="34707" xr:uid="{00000000-0005-0000-0000-0000B2010000}"/>
    <cellStyle name="20 % - Markeringsfarve1 2 2 5 4 2 2 3" xfId="49666" xr:uid="{00000000-0005-0000-0000-0000B3010000}"/>
    <cellStyle name="20 % - Markeringsfarve1 2 2 5 4 2 3" xfId="27705" xr:uid="{00000000-0005-0000-0000-0000B4010000}"/>
    <cellStyle name="20 % - Markeringsfarve1 2 2 5 4 2 4" xfId="42669" xr:uid="{00000000-0005-0000-0000-0000B5010000}"/>
    <cellStyle name="20 % - Markeringsfarve1 2 2 5 4 3" xfId="12350" xr:uid="{00000000-0005-0000-0000-0000B6010000}"/>
    <cellStyle name="20 % - Markeringsfarve1 2 2 5 4 3 2" xfId="28629" xr:uid="{00000000-0005-0000-0000-0000B7010000}"/>
    <cellStyle name="20 % - Markeringsfarve1 2 2 5 4 3 3" xfId="43590" xr:uid="{00000000-0005-0000-0000-0000B8010000}"/>
    <cellStyle name="20 % - Markeringsfarve1 2 2 5 4 4" xfId="21627" xr:uid="{00000000-0005-0000-0000-0000B9010000}"/>
    <cellStyle name="20 % - Markeringsfarve1 2 2 5 4 5" xfId="36593" xr:uid="{00000000-0005-0000-0000-0000BA010000}"/>
    <cellStyle name="20 % - Markeringsfarve1 2 2 5 5" xfId="7627" xr:uid="{00000000-0005-0000-0000-0000BB010000}"/>
    <cellStyle name="20 % - Markeringsfarve1 2 2 5 5 2" xfId="15492" xr:uid="{00000000-0005-0000-0000-0000BC010000}"/>
    <cellStyle name="20 % - Markeringsfarve1 2 2 5 5 2 2" xfId="31768" xr:uid="{00000000-0005-0000-0000-0000BD010000}"/>
    <cellStyle name="20 % - Markeringsfarve1 2 2 5 5 2 3" xfId="46727" xr:uid="{00000000-0005-0000-0000-0000BE010000}"/>
    <cellStyle name="20 % - Markeringsfarve1 2 2 5 5 3" xfId="24766" xr:uid="{00000000-0005-0000-0000-0000BF010000}"/>
    <cellStyle name="20 % - Markeringsfarve1 2 2 5 5 4" xfId="39730" xr:uid="{00000000-0005-0000-0000-0000C0010000}"/>
    <cellStyle name="20 % - Markeringsfarve1 2 2 5 6" xfId="12346" xr:uid="{00000000-0005-0000-0000-0000C1010000}"/>
    <cellStyle name="20 % - Markeringsfarve1 2 2 5 6 2" xfId="28625" xr:uid="{00000000-0005-0000-0000-0000C2010000}"/>
    <cellStyle name="20 % - Markeringsfarve1 2 2 5 6 3" xfId="43586" xr:uid="{00000000-0005-0000-0000-0000C3010000}"/>
    <cellStyle name="20 % - Markeringsfarve1 2 2 5 7" xfId="21623" xr:uid="{00000000-0005-0000-0000-0000C4010000}"/>
    <cellStyle name="20 % - Markeringsfarve1 2 2 5 8" xfId="36589" xr:uid="{00000000-0005-0000-0000-0000C5010000}"/>
    <cellStyle name="20 % - Markeringsfarve1 2 2 6" xfId="3866" xr:uid="{00000000-0005-0000-0000-0000C6010000}"/>
    <cellStyle name="20 % - Markeringsfarve1 2 2 6 2" xfId="3867" xr:uid="{00000000-0005-0000-0000-0000C7010000}"/>
    <cellStyle name="20 % - Markeringsfarve1 2 2 6 2 2" xfId="3868" xr:uid="{00000000-0005-0000-0000-0000C8010000}"/>
    <cellStyle name="20 % - Markeringsfarve1 2 2 6 2 2 2" xfId="10287" xr:uid="{00000000-0005-0000-0000-0000C9010000}"/>
    <cellStyle name="20 % - Markeringsfarve1 2 2 6 2 2 2 2" xfId="18142" xr:uid="{00000000-0005-0000-0000-0000CA010000}"/>
    <cellStyle name="20 % - Markeringsfarve1 2 2 6 2 2 2 2 2" xfId="34418" xr:uid="{00000000-0005-0000-0000-0000CB010000}"/>
    <cellStyle name="20 % - Markeringsfarve1 2 2 6 2 2 2 2 3" xfId="49377" xr:uid="{00000000-0005-0000-0000-0000CC010000}"/>
    <cellStyle name="20 % - Markeringsfarve1 2 2 6 2 2 2 3" xfId="27416" xr:uid="{00000000-0005-0000-0000-0000CD010000}"/>
    <cellStyle name="20 % - Markeringsfarve1 2 2 6 2 2 2 4" xfId="42380" xr:uid="{00000000-0005-0000-0000-0000CE010000}"/>
    <cellStyle name="20 % - Markeringsfarve1 2 2 6 2 2 3" xfId="12353" xr:uid="{00000000-0005-0000-0000-0000CF010000}"/>
    <cellStyle name="20 % - Markeringsfarve1 2 2 6 2 2 3 2" xfId="28632" xr:uid="{00000000-0005-0000-0000-0000D0010000}"/>
    <cellStyle name="20 % - Markeringsfarve1 2 2 6 2 2 3 3" xfId="43593" xr:uid="{00000000-0005-0000-0000-0000D1010000}"/>
    <cellStyle name="20 % - Markeringsfarve1 2 2 6 2 2 4" xfId="21630" xr:uid="{00000000-0005-0000-0000-0000D2010000}"/>
    <cellStyle name="20 % - Markeringsfarve1 2 2 6 2 2 5" xfId="36596" xr:uid="{00000000-0005-0000-0000-0000D3010000}"/>
    <cellStyle name="20 % - Markeringsfarve1 2 2 6 2 3" xfId="8799" xr:uid="{00000000-0005-0000-0000-0000D4010000}"/>
    <cellStyle name="20 % - Markeringsfarve1 2 2 6 2 3 2" xfId="16666" xr:uid="{00000000-0005-0000-0000-0000D5010000}"/>
    <cellStyle name="20 % - Markeringsfarve1 2 2 6 2 3 2 2" xfId="32942" xr:uid="{00000000-0005-0000-0000-0000D6010000}"/>
    <cellStyle name="20 % - Markeringsfarve1 2 2 6 2 3 2 3" xfId="47901" xr:uid="{00000000-0005-0000-0000-0000D7010000}"/>
    <cellStyle name="20 % - Markeringsfarve1 2 2 6 2 3 3" xfId="25940" xr:uid="{00000000-0005-0000-0000-0000D8010000}"/>
    <cellStyle name="20 % - Markeringsfarve1 2 2 6 2 3 4" xfId="40904" xr:uid="{00000000-0005-0000-0000-0000D9010000}"/>
    <cellStyle name="20 % - Markeringsfarve1 2 2 6 2 4" xfId="12352" xr:uid="{00000000-0005-0000-0000-0000DA010000}"/>
    <cellStyle name="20 % - Markeringsfarve1 2 2 6 2 4 2" xfId="28631" xr:uid="{00000000-0005-0000-0000-0000DB010000}"/>
    <cellStyle name="20 % - Markeringsfarve1 2 2 6 2 4 3" xfId="43592" xr:uid="{00000000-0005-0000-0000-0000DC010000}"/>
    <cellStyle name="20 % - Markeringsfarve1 2 2 6 2 5" xfId="21629" xr:uid="{00000000-0005-0000-0000-0000DD010000}"/>
    <cellStyle name="20 % - Markeringsfarve1 2 2 6 2 6" xfId="36595" xr:uid="{00000000-0005-0000-0000-0000DE010000}"/>
    <cellStyle name="20 % - Markeringsfarve1 2 2 6 3" xfId="3869" xr:uid="{00000000-0005-0000-0000-0000DF010000}"/>
    <cellStyle name="20 % - Markeringsfarve1 2 2 6 3 2" xfId="9565" xr:uid="{00000000-0005-0000-0000-0000E0010000}"/>
    <cellStyle name="20 % - Markeringsfarve1 2 2 6 3 2 2" xfId="17428" xr:uid="{00000000-0005-0000-0000-0000E1010000}"/>
    <cellStyle name="20 % - Markeringsfarve1 2 2 6 3 2 2 2" xfId="33704" xr:uid="{00000000-0005-0000-0000-0000E2010000}"/>
    <cellStyle name="20 % - Markeringsfarve1 2 2 6 3 2 2 3" xfId="48663" xr:uid="{00000000-0005-0000-0000-0000E3010000}"/>
    <cellStyle name="20 % - Markeringsfarve1 2 2 6 3 2 3" xfId="26702" xr:uid="{00000000-0005-0000-0000-0000E4010000}"/>
    <cellStyle name="20 % - Markeringsfarve1 2 2 6 3 2 4" xfId="41666" xr:uid="{00000000-0005-0000-0000-0000E5010000}"/>
    <cellStyle name="20 % - Markeringsfarve1 2 2 6 3 3" xfId="12354" xr:uid="{00000000-0005-0000-0000-0000E6010000}"/>
    <cellStyle name="20 % - Markeringsfarve1 2 2 6 3 3 2" xfId="28633" xr:uid="{00000000-0005-0000-0000-0000E7010000}"/>
    <cellStyle name="20 % - Markeringsfarve1 2 2 6 3 3 3" xfId="43594" xr:uid="{00000000-0005-0000-0000-0000E8010000}"/>
    <cellStyle name="20 % - Markeringsfarve1 2 2 6 3 4" xfId="21631" xr:uid="{00000000-0005-0000-0000-0000E9010000}"/>
    <cellStyle name="20 % - Markeringsfarve1 2 2 6 3 5" xfId="36597" xr:uid="{00000000-0005-0000-0000-0000EA010000}"/>
    <cellStyle name="20 % - Markeringsfarve1 2 2 6 4" xfId="3870" xr:uid="{00000000-0005-0000-0000-0000EB010000}"/>
    <cellStyle name="20 % - Markeringsfarve1 2 2 6 4 2" xfId="10581" xr:uid="{00000000-0005-0000-0000-0000EC010000}"/>
    <cellStyle name="20 % - Markeringsfarve1 2 2 6 4 2 2" xfId="18430" xr:uid="{00000000-0005-0000-0000-0000ED010000}"/>
    <cellStyle name="20 % - Markeringsfarve1 2 2 6 4 2 2 2" xfId="34706" xr:uid="{00000000-0005-0000-0000-0000EE010000}"/>
    <cellStyle name="20 % - Markeringsfarve1 2 2 6 4 2 2 3" xfId="49665" xr:uid="{00000000-0005-0000-0000-0000EF010000}"/>
    <cellStyle name="20 % - Markeringsfarve1 2 2 6 4 2 3" xfId="27704" xr:uid="{00000000-0005-0000-0000-0000F0010000}"/>
    <cellStyle name="20 % - Markeringsfarve1 2 2 6 4 2 4" xfId="42668" xr:uid="{00000000-0005-0000-0000-0000F1010000}"/>
    <cellStyle name="20 % - Markeringsfarve1 2 2 6 4 3" xfId="12355" xr:uid="{00000000-0005-0000-0000-0000F2010000}"/>
    <cellStyle name="20 % - Markeringsfarve1 2 2 6 4 3 2" xfId="28634" xr:uid="{00000000-0005-0000-0000-0000F3010000}"/>
    <cellStyle name="20 % - Markeringsfarve1 2 2 6 4 3 3" xfId="43595" xr:uid="{00000000-0005-0000-0000-0000F4010000}"/>
    <cellStyle name="20 % - Markeringsfarve1 2 2 6 4 4" xfId="21632" xr:uid="{00000000-0005-0000-0000-0000F5010000}"/>
    <cellStyle name="20 % - Markeringsfarve1 2 2 6 4 5" xfId="36598" xr:uid="{00000000-0005-0000-0000-0000F6010000}"/>
    <cellStyle name="20 % - Markeringsfarve1 2 2 6 5" xfId="7628" xr:uid="{00000000-0005-0000-0000-0000F7010000}"/>
    <cellStyle name="20 % - Markeringsfarve1 2 2 6 5 2" xfId="15493" xr:uid="{00000000-0005-0000-0000-0000F8010000}"/>
    <cellStyle name="20 % - Markeringsfarve1 2 2 6 5 2 2" xfId="31769" xr:uid="{00000000-0005-0000-0000-0000F9010000}"/>
    <cellStyle name="20 % - Markeringsfarve1 2 2 6 5 2 3" xfId="46728" xr:uid="{00000000-0005-0000-0000-0000FA010000}"/>
    <cellStyle name="20 % - Markeringsfarve1 2 2 6 5 3" xfId="24767" xr:uid="{00000000-0005-0000-0000-0000FB010000}"/>
    <cellStyle name="20 % - Markeringsfarve1 2 2 6 5 4" xfId="39731" xr:uid="{00000000-0005-0000-0000-0000FC010000}"/>
    <cellStyle name="20 % - Markeringsfarve1 2 2 6 6" xfId="12351" xr:uid="{00000000-0005-0000-0000-0000FD010000}"/>
    <cellStyle name="20 % - Markeringsfarve1 2 2 6 6 2" xfId="28630" xr:uid="{00000000-0005-0000-0000-0000FE010000}"/>
    <cellStyle name="20 % - Markeringsfarve1 2 2 6 6 3" xfId="43591" xr:uid="{00000000-0005-0000-0000-0000FF010000}"/>
    <cellStyle name="20 % - Markeringsfarve1 2 2 6 7" xfId="21628" xr:uid="{00000000-0005-0000-0000-000000020000}"/>
    <cellStyle name="20 % - Markeringsfarve1 2 2 6 8" xfId="36594" xr:uid="{00000000-0005-0000-0000-000001020000}"/>
    <cellStyle name="20 % - Markeringsfarve1 2 2 7" xfId="3871" xr:uid="{00000000-0005-0000-0000-000002020000}"/>
    <cellStyle name="20 % - Markeringsfarve1 2 2 7 2" xfId="3872" xr:uid="{00000000-0005-0000-0000-000003020000}"/>
    <cellStyle name="20 % - Markeringsfarve1 2 2 7 2 2" xfId="9760" xr:uid="{00000000-0005-0000-0000-000004020000}"/>
    <cellStyle name="20 % - Markeringsfarve1 2 2 7 2 2 2" xfId="17614" xr:uid="{00000000-0005-0000-0000-000005020000}"/>
    <cellStyle name="20 % - Markeringsfarve1 2 2 7 2 2 2 2" xfId="33890" xr:uid="{00000000-0005-0000-0000-000006020000}"/>
    <cellStyle name="20 % - Markeringsfarve1 2 2 7 2 2 2 3" xfId="48849" xr:uid="{00000000-0005-0000-0000-000007020000}"/>
    <cellStyle name="20 % - Markeringsfarve1 2 2 7 2 2 3" xfId="26888" xr:uid="{00000000-0005-0000-0000-000008020000}"/>
    <cellStyle name="20 % - Markeringsfarve1 2 2 7 2 2 4" xfId="41852" xr:uid="{00000000-0005-0000-0000-000009020000}"/>
    <cellStyle name="20 % - Markeringsfarve1 2 2 7 2 3" xfId="12357" xr:uid="{00000000-0005-0000-0000-00000A020000}"/>
    <cellStyle name="20 % - Markeringsfarve1 2 2 7 2 3 2" xfId="28636" xr:uid="{00000000-0005-0000-0000-00000B020000}"/>
    <cellStyle name="20 % - Markeringsfarve1 2 2 7 2 3 3" xfId="43597" xr:uid="{00000000-0005-0000-0000-00000C020000}"/>
    <cellStyle name="20 % - Markeringsfarve1 2 2 7 2 4" xfId="21634" xr:uid="{00000000-0005-0000-0000-00000D020000}"/>
    <cellStyle name="20 % - Markeringsfarve1 2 2 7 2 5" xfId="36600" xr:uid="{00000000-0005-0000-0000-00000E020000}"/>
    <cellStyle name="20 % - Markeringsfarve1 2 2 7 3" xfId="8353" xr:uid="{00000000-0005-0000-0000-00000F020000}"/>
    <cellStyle name="20 % - Markeringsfarve1 2 2 7 3 2" xfId="16223" xr:uid="{00000000-0005-0000-0000-000010020000}"/>
    <cellStyle name="20 % - Markeringsfarve1 2 2 7 3 2 2" xfId="32499" xr:uid="{00000000-0005-0000-0000-000011020000}"/>
    <cellStyle name="20 % - Markeringsfarve1 2 2 7 3 2 3" xfId="47458" xr:uid="{00000000-0005-0000-0000-000012020000}"/>
    <cellStyle name="20 % - Markeringsfarve1 2 2 7 3 3" xfId="25497" xr:uid="{00000000-0005-0000-0000-000013020000}"/>
    <cellStyle name="20 % - Markeringsfarve1 2 2 7 3 4" xfId="40461" xr:uid="{00000000-0005-0000-0000-000014020000}"/>
    <cellStyle name="20 % - Markeringsfarve1 2 2 7 4" xfId="12356" xr:uid="{00000000-0005-0000-0000-000015020000}"/>
    <cellStyle name="20 % - Markeringsfarve1 2 2 7 4 2" xfId="28635" xr:uid="{00000000-0005-0000-0000-000016020000}"/>
    <cellStyle name="20 % - Markeringsfarve1 2 2 7 4 3" xfId="43596" xr:uid="{00000000-0005-0000-0000-000017020000}"/>
    <cellStyle name="20 % - Markeringsfarve1 2 2 7 5" xfId="21633" xr:uid="{00000000-0005-0000-0000-000018020000}"/>
    <cellStyle name="20 % - Markeringsfarve1 2 2 7 6" xfId="36599" xr:uid="{00000000-0005-0000-0000-000019020000}"/>
    <cellStyle name="20 % - Markeringsfarve1 2 2 8" xfId="3873" xr:uid="{00000000-0005-0000-0000-00001A020000}"/>
    <cellStyle name="20 % - Markeringsfarve1 2 2 8 2" xfId="8988" xr:uid="{00000000-0005-0000-0000-00001B020000}"/>
    <cellStyle name="20 % - Markeringsfarve1 2 2 8 2 2" xfId="16852" xr:uid="{00000000-0005-0000-0000-00001C020000}"/>
    <cellStyle name="20 % - Markeringsfarve1 2 2 8 2 2 2" xfId="33128" xr:uid="{00000000-0005-0000-0000-00001D020000}"/>
    <cellStyle name="20 % - Markeringsfarve1 2 2 8 2 2 3" xfId="48087" xr:uid="{00000000-0005-0000-0000-00001E020000}"/>
    <cellStyle name="20 % - Markeringsfarve1 2 2 8 2 3" xfId="26126" xr:uid="{00000000-0005-0000-0000-00001F020000}"/>
    <cellStyle name="20 % - Markeringsfarve1 2 2 8 2 4" xfId="41090" xr:uid="{00000000-0005-0000-0000-000020020000}"/>
    <cellStyle name="20 % - Markeringsfarve1 2 2 8 3" xfId="12358" xr:uid="{00000000-0005-0000-0000-000021020000}"/>
    <cellStyle name="20 % - Markeringsfarve1 2 2 8 3 2" xfId="28637" xr:uid="{00000000-0005-0000-0000-000022020000}"/>
    <cellStyle name="20 % - Markeringsfarve1 2 2 8 3 3" xfId="43598" xr:uid="{00000000-0005-0000-0000-000023020000}"/>
    <cellStyle name="20 % - Markeringsfarve1 2 2 8 4" xfId="21635" xr:uid="{00000000-0005-0000-0000-000024020000}"/>
    <cellStyle name="20 % - Markeringsfarve1 2 2 8 5" xfId="36601" xr:uid="{00000000-0005-0000-0000-000025020000}"/>
    <cellStyle name="20 % - Markeringsfarve1 2 2 9" xfId="3874" xr:uid="{00000000-0005-0000-0000-000026020000}"/>
    <cellStyle name="20 % - Markeringsfarve1 2 2 9 2" xfId="10586" xr:uid="{00000000-0005-0000-0000-000027020000}"/>
    <cellStyle name="20 % - Markeringsfarve1 2 2 9 2 2" xfId="18435" xr:uid="{00000000-0005-0000-0000-000028020000}"/>
    <cellStyle name="20 % - Markeringsfarve1 2 2 9 2 2 2" xfId="34711" xr:uid="{00000000-0005-0000-0000-000029020000}"/>
    <cellStyle name="20 % - Markeringsfarve1 2 2 9 2 2 3" xfId="49670" xr:uid="{00000000-0005-0000-0000-00002A020000}"/>
    <cellStyle name="20 % - Markeringsfarve1 2 2 9 2 3" xfId="27709" xr:uid="{00000000-0005-0000-0000-00002B020000}"/>
    <cellStyle name="20 % - Markeringsfarve1 2 2 9 2 4" xfId="42673" xr:uid="{00000000-0005-0000-0000-00002C020000}"/>
    <cellStyle name="20 % - Markeringsfarve1 2 2 9 3" xfId="12359" xr:uid="{00000000-0005-0000-0000-00002D020000}"/>
    <cellStyle name="20 % - Markeringsfarve1 2 2 9 3 2" xfId="28638" xr:uid="{00000000-0005-0000-0000-00002E020000}"/>
    <cellStyle name="20 % - Markeringsfarve1 2 2 9 3 3" xfId="43599" xr:uid="{00000000-0005-0000-0000-00002F020000}"/>
    <cellStyle name="20 % - Markeringsfarve1 2 2 9 4" xfId="21636" xr:uid="{00000000-0005-0000-0000-000030020000}"/>
    <cellStyle name="20 % - Markeringsfarve1 2 2 9 5" xfId="36602" xr:uid="{00000000-0005-0000-0000-000031020000}"/>
    <cellStyle name="20 % - Markeringsfarve1 2 3" xfId="3875" xr:uid="{00000000-0005-0000-0000-000032020000}"/>
    <cellStyle name="20 % - Markeringsfarve1 2 3 10" xfId="7629" xr:uid="{00000000-0005-0000-0000-000033020000}"/>
    <cellStyle name="20 % - Markeringsfarve1 2 3 10 2" xfId="15494" xr:uid="{00000000-0005-0000-0000-000034020000}"/>
    <cellStyle name="20 % - Markeringsfarve1 2 3 10 2 2" xfId="31770" xr:uid="{00000000-0005-0000-0000-000035020000}"/>
    <cellStyle name="20 % - Markeringsfarve1 2 3 10 2 3" xfId="46729" xr:uid="{00000000-0005-0000-0000-000036020000}"/>
    <cellStyle name="20 % - Markeringsfarve1 2 3 10 3" xfId="24768" xr:uid="{00000000-0005-0000-0000-000037020000}"/>
    <cellStyle name="20 % - Markeringsfarve1 2 3 10 4" xfId="39732" xr:uid="{00000000-0005-0000-0000-000038020000}"/>
    <cellStyle name="20 % - Markeringsfarve1 2 3 11" xfId="12360" xr:uid="{00000000-0005-0000-0000-000039020000}"/>
    <cellStyle name="20 % - Markeringsfarve1 2 3 11 2" xfId="28639" xr:uid="{00000000-0005-0000-0000-00003A020000}"/>
    <cellStyle name="20 % - Markeringsfarve1 2 3 11 3" xfId="43600" xr:uid="{00000000-0005-0000-0000-00003B020000}"/>
    <cellStyle name="20 % - Markeringsfarve1 2 3 12" xfId="21637" xr:uid="{00000000-0005-0000-0000-00003C020000}"/>
    <cellStyle name="20 % - Markeringsfarve1 2 3 13" xfId="36603" xr:uid="{00000000-0005-0000-0000-00003D020000}"/>
    <cellStyle name="20 % - Markeringsfarve1 2 3 2" xfId="3876" xr:uid="{00000000-0005-0000-0000-00003E020000}"/>
    <cellStyle name="20 % - Markeringsfarve1 2 3 2 2" xfId="3877" xr:uid="{00000000-0005-0000-0000-00003F020000}"/>
    <cellStyle name="20 % - Markeringsfarve1 2 3 2 2 2" xfId="3878" xr:uid="{00000000-0005-0000-0000-000040020000}"/>
    <cellStyle name="20 % - Markeringsfarve1 2 3 2 2 2 2" xfId="9917" xr:uid="{00000000-0005-0000-0000-000041020000}"/>
    <cellStyle name="20 % - Markeringsfarve1 2 3 2 2 2 2 2" xfId="17772" xr:uid="{00000000-0005-0000-0000-000042020000}"/>
    <cellStyle name="20 % - Markeringsfarve1 2 3 2 2 2 2 2 2" xfId="34048" xr:uid="{00000000-0005-0000-0000-000043020000}"/>
    <cellStyle name="20 % - Markeringsfarve1 2 3 2 2 2 2 2 3" xfId="49007" xr:uid="{00000000-0005-0000-0000-000044020000}"/>
    <cellStyle name="20 % - Markeringsfarve1 2 3 2 2 2 2 3" xfId="27046" xr:uid="{00000000-0005-0000-0000-000045020000}"/>
    <cellStyle name="20 % - Markeringsfarve1 2 3 2 2 2 2 4" xfId="42010" xr:uid="{00000000-0005-0000-0000-000046020000}"/>
    <cellStyle name="20 % - Markeringsfarve1 2 3 2 2 2 3" xfId="12363" xr:uid="{00000000-0005-0000-0000-000047020000}"/>
    <cellStyle name="20 % - Markeringsfarve1 2 3 2 2 2 3 2" xfId="28642" xr:uid="{00000000-0005-0000-0000-000048020000}"/>
    <cellStyle name="20 % - Markeringsfarve1 2 3 2 2 2 3 3" xfId="43603" xr:uid="{00000000-0005-0000-0000-000049020000}"/>
    <cellStyle name="20 % - Markeringsfarve1 2 3 2 2 2 4" xfId="21640" xr:uid="{00000000-0005-0000-0000-00004A020000}"/>
    <cellStyle name="20 % - Markeringsfarve1 2 3 2 2 2 5" xfId="36606" xr:uid="{00000000-0005-0000-0000-00004B020000}"/>
    <cellStyle name="20 % - Markeringsfarve1 2 3 2 2 3" xfId="8485" xr:uid="{00000000-0005-0000-0000-00004C020000}"/>
    <cellStyle name="20 % - Markeringsfarve1 2 3 2 2 3 2" xfId="16355" xr:uid="{00000000-0005-0000-0000-00004D020000}"/>
    <cellStyle name="20 % - Markeringsfarve1 2 3 2 2 3 2 2" xfId="32631" xr:uid="{00000000-0005-0000-0000-00004E020000}"/>
    <cellStyle name="20 % - Markeringsfarve1 2 3 2 2 3 2 3" xfId="47590" xr:uid="{00000000-0005-0000-0000-00004F020000}"/>
    <cellStyle name="20 % - Markeringsfarve1 2 3 2 2 3 3" xfId="25629" xr:uid="{00000000-0005-0000-0000-000050020000}"/>
    <cellStyle name="20 % - Markeringsfarve1 2 3 2 2 3 4" xfId="40593" xr:uid="{00000000-0005-0000-0000-000051020000}"/>
    <cellStyle name="20 % - Markeringsfarve1 2 3 2 2 4" xfId="12362" xr:uid="{00000000-0005-0000-0000-000052020000}"/>
    <cellStyle name="20 % - Markeringsfarve1 2 3 2 2 4 2" xfId="28641" xr:uid="{00000000-0005-0000-0000-000053020000}"/>
    <cellStyle name="20 % - Markeringsfarve1 2 3 2 2 4 3" xfId="43602" xr:uid="{00000000-0005-0000-0000-000054020000}"/>
    <cellStyle name="20 % - Markeringsfarve1 2 3 2 2 5" xfId="21639" xr:uid="{00000000-0005-0000-0000-000055020000}"/>
    <cellStyle name="20 % - Markeringsfarve1 2 3 2 2 6" xfId="36605" xr:uid="{00000000-0005-0000-0000-000056020000}"/>
    <cellStyle name="20 % - Markeringsfarve1 2 3 2 3" xfId="3879" xr:uid="{00000000-0005-0000-0000-000057020000}"/>
    <cellStyle name="20 % - Markeringsfarve1 2 3 2 3 2" xfId="9148" xr:uid="{00000000-0005-0000-0000-000058020000}"/>
    <cellStyle name="20 % - Markeringsfarve1 2 3 2 3 2 2" xfId="17012" xr:uid="{00000000-0005-0000-0000-000059020000}"/>
    <cellStyle name="20 % - Markeringsfarve1 2 3 2 3 2 2 2" xfId="33288" xr:uid="{00000000-0005-0000-0000-00005A020000}"/>
    <cellStyle name="20 % - Markeringsfarve1 2 3 2 3 2 2 3" xfId="48247" xr:uid="{00000000-0005-0000-0000-00005B020000}"/>
    <cellStyle name="20 % - Markeringsfarve1 2 3 2 3 2 3" xfId="26286" xr:uid="{00000000-0005-0000-0000-00005C020000}"/>
    <cellStyle name="20 % - Markeringsfarve1 2 3 2 3 2 4" xfId="41250" xr:uid="{00000000-0005-0000-0000-00005D020000}"/>
    <cellStyle name="20 % - Markeringsfarve1 2 3 2 3 3" xfId="12364" xr:uid="{00000000-0005-0000-0000-00005E020000}"/>
    <cellStyle name="20 % - Markeringsfarve1 2 3 2 3 3 2" xfId="28643" xr:uid="{00000000-0005-0000-0000-00005F020000}"/>
    <cellStyle name="20 % - Markeringsfarve1 2 3 2 3 3 3" xfId="43604" xr:uid="{00000000-0005-0000-0000-000060020000}"/>
    <cellStyle name="20 % - Markeringsfarve1 2 3 2 3 4" xfId="21641" xr:uid="{00000000-0005-0000-0000-000061020000}"/>
    <cellStyle name="20 % - Markeringsfarve1 2 3 2 3 5" xfId="36607" xr:uid="{00000000-0005-0000-0000-000062020000}"/>
    <cellStyle name="20 % - Markeringsfarve1 2 3 2 4" xfId="3880" xr:uid="{00000000-0005-0000-0000-000063020000}"/>
    <cellStyle name="20 % - Markeringsfarve1 2 3 2 4 2" xfId="10579" xr:uid="{00000000-0005-0000-0000-000064020000}"/>
    <cellStyle name="20 % - Markeringsfarve1 2 3 2 4 2 2" xfId="18428" xr:uid="{00000000-0005-0000-0000-000065020000}"/>
    <cellStyle name="20 % - Markeringsfarve1 2 3 2 4 2 2 2" xfId="34704" xr:uid="{00000000-0005-0000-0000-000066020000}"/>
    <cellStyle name="20 % - Markeringsfarve1 2 3 2 4 2 2 3" xfId="49663" xr:uid="{00000000-0005-0000-0000-000067020000}"/>
    <cellStyle name="20 % - Markeringsfarve1 2 3 2 4 2 3" xfId="27702" xr:uid="{00000000-0005-0000-0000-000068020000}"/>
    <cellStyle name="20 % - Markeringsfarve1 2 3 2 4 2 4" xfId="42666" xr:uid="{00000000-0005-0000-0000-000069020000}"/>
    <cellStyle name="20 % - Markeringsfarve1 2 3 2 4 3" xfId="12365" xr:uid="{00000000-0005-0000-0000-00006A020000}"/>
    <cellStyle name="20 % - Markeringsfarve1 2 3 2 4 3 2" xfId="28644" xr:uid="{00000000-0005-0000-0000-00006B020000}"/>
    <cellStyle name="20 % - Markeringsfarve1 2 3 2 4 3 3" xfId="43605" xr:uid="{00000000-0005-0000-0000-00006C020000}"/>
    <cellStyle name="20 % - Markeringsfarve1 2 3 2 4 4" xfId="21642" xr:uid="{00000000-0005-0000-0000-00006D020000}"/>
    <cellStyle name="20 % - Markeringsfarve1 2 3 2 4 5" xfId="36608" xr:uid="{00000000-0005-0000-0000-00006E020000}"/>
    <cellStyle name="20 % - Markeringsfarve1 2 3 2 5" xfId="7630" xr:uid="{00000000-0005-0000-0000-00006F020000}"/>
    <cellStyle name="20 % - Markeringsfarve1 2 3 2 5 2" xfId="15495" xr:uid="{00000000-0005-0000-0000-000070020000}"/>
    <cellStyle name="20 % - Markeringsfarve1 2 3 2 5 2 2" xfId="31771" xr:uid="{00000000-0005-0000-0000-000071020000}"/>
    <cellStyle name="20 % - Markeringsfarve1 2 3 2 5 2 3" xfId="46730" xr:uid="{00000000-0005-0000-0000-000072020000}"/>
    <cellStyle name="20 % - Markeringsfarve1 2 3 2 5 3" xfId="24769" xr:uid="{00000000-0005-0000-0000-000073020000}"/>
    <cellStyle name="20 % - Markeringsfarve1 2 3 2 5 4" xfId="39733" xr:uid="{00000000-0005-0000-0000-000074020000}"/>
    <cellStyle name="20 % - Markeringsfarve1 2 3 2 6" xfId="12361" xr:uid="{00000000-0005-0000-0000-000075020000}"/>
    <cellStyle name="20 % - Markeringsfarve1 2 3 2 6 2" xfId="28640" xr:uid="{00000000-0005-0000-0000-000076020000}"/>
    <cellStyle name="20 % - Markeringsfarve1 2 3 2 6 3" xfId="43601" xr:uid="{00000000-0005-0000-0000-000077020000}"/>
    <cellStyle name="20 % - Markeringsfarve1 2 3 2 7" xfId="21638" xr:uid="{00000000-0005-0000-0000-000078020000}"/>
    <cellStyle name="20 % - Markeringsfarve1 2 3 2 8" xfId="36604" xr:uid="{00000000-0005-0000-0000-000079020000}"/>
    <cellStyle name="20 % - Markeringsfarve1 2 3 3" xfId="3881" xr:uid="{00000000-0005-0000-0000-00007A020000}"/>
    <cellStyle name="20 % - Markeringsfarve1 2 3 3 2" xfId="3882" xr:uid="{00000000-0005-0000-0000-00007B020000}"/>
    <cellStyle name="20 % - Markeringsfarve1 2 3 3 2 2" xfId="3883" xr:uid="{00000000-0005-0000-0000-00007C020000}"/>
    <cellStyle name="20 % - Markeringsfarve1 2 3 3 2 2 2" xfId="9933" xr:uid="{00000000-0005-0000-0000-00007D020000}"/>
    <cellStyle name="20 % - Markeringsfarve1 2 3 3 2 2 2 2" xfId="17788" xr:uid="{00000000-0005-0000-0000-00007E020000}"/>
    <cellStyle name="20 % - Markeringsfarve1 2 3 3 2 2 2 2 2" xfId="34064" xr:uid="{00000000-0005-0000-0000-00007F020000}"/>
    <cellStyle name="20 % - Markeringsfarve1 2 3 3 2 2 2 2 3" xfId="49023" xr:uid="{00000000-0005-0000-0000-000080020000}"/>
    <cellStyle name="20 % - Markeringsfarve1 2 3 3 2 2 2 3" xfId="27062" xr:uid="{00000000-0005-0000-0000-000081020000}"/>
    <cellStyle name="20 % - Markeringsfarve1 2 3 3 2 2 2 4" xfId="42026" xr:uid="{00000000-0005-0000-0000-000082020000}"/>
    <cellStyle name="20 % - Markeringsfarve1 2 3 3 2 2 3" xfId="12368" xr:uid="{00000000-0005-0000-0000-000083020000}"/>
    <cellStyle name="20 % - Markeringsfarve1 2 3 3 2 2 3 2" xfId="28647" xr:uid="{00000000-0005-0000-0000-000084020000}"/>
    <cellStyle name="20 % - Markeringsfarve1 2 3 3 2 2 3 3" xfId="43608" xr:uid="{00000000-0005-0000-0000-000085020000}"/>
    <cellStyle name="20 % - Markeringsfarve1 2 3 3 2 2 4" xfId="21645" xr:uid="{00000000-0005-0000-0000-000086020000}"/>
    <cellStyle name="20 % - Markeringsfarve1 2 3 3 2 2 5" xfId="36611" xr:uid="{00000000-0005-0000-0000-000087020000}"/>
    <cellStyle name="20 % - Markeringsfarve1 2 3 3 2 3" xfId="8498" xr:uid="{00000000-0005-0000-0000-000088020000}"/>
    <cellStyle name="20 % - Markeringsfarve1 2 3 3 2 3 2" xfId="16368" xr:uid="{00000000-0005-0000-0000-000089020000}"/>
    <cellStyle name="20 % - Markeringsfarve1 2 3 3 2 3 2 2" xfId="32644" xr:uid="{00000000-0005-0000-0000-00008A020000}"/>
    <cellStyle name="20 % - Markeringsfarve1 2 3 3 2 3 2 3" xfId="47603" xr:uid="{00000000-0005-0000-0000-00008B020000}"/>
    <cellStyle name="20 % - Markeringsfarve1 2 3 3 2 3 3" xfId="25642" xr:uid="{00000000-0005-0000-0000-00008C020000}"/>
    <cellStyle name="20 % - Markeringsfarve1 2 3 3 2 3 4" xfId="40606" xr:uid="{00000000-0005-0000-0000-00008D020000}"/>
    <cellStyle name="20 % - Markeringsfarve1 2 3 3 2 4" xfId="12367" xr:uid="{00000000-0005-0000-0000-00008E020000}"/>
    <cellStyle name="20 % - Markeringsfarve1 2 3 3 2 4 2" xfId="28646" xr:uid="{00000000-0005-0000-0000-00008F020000}"/>
    <cellStyle name="20 % - Markeringsfarve1 2 3 3 2 4 3" xfId="43607" xr:uid="{00000000-0005-0000-0000-000090020000}"/>
    <cellStyle name="20 % - Markeringsfarve1 2 3 3 2 5" xfId="21644" xr:uid="{00000000-0005-0000-0000-000091020000}"/>
    <cellStyle name="20 % - Markeringsfarve1 2 3 3 2 6" xfId="36610" xr:uid="{00000000-0005-0000-0000-000092020000}"/>
    <cellStyle name="20 % - Markeringsfarve1 2 3 3 3" xfId="3884" xr:uid="{00000000-0005-0000-0000-000093020000}"/>
    <cellStyle name="20 % - Markeringsfarve1 2 3 3 3 2" xfId="9164" xr:uid="{00000000-0005-0000-0000-000094020000}"/>
    <cellStyle name="20 % - Markeringsfarve1 2 3 3 3 2 2" xfId="17028" xr:uid="{00000000-0005-0000-0000-000095020000}"/>
    <cellStyle name="20 % - Markeringsfarve1 2 3 3 3 2 2 2" xfId="33304" xr:uid="{00000000-0005-0000-0000-000096020000}"/>
    <cellStyle name="20 % - Markeringsfarve1 2 3 3 3 2 2 3" xfId="48263" xr:uid="{00000000-0005-0000-0000-000097020000}"/>
    <cellStyle name="20 % - Markeringsfarve1 2 3 3 3 2 3" xfId="26302" xr:uid="{00000000-0005-0000-0000-000098020000}"/>
    <cellStyle name="20 % - Markeringsfarve1 2 3 3 3 2 4" xfId="41266" xr:uid="{00000000-0005-0000-0000-000099020000}"/>
    <cellStyle name="20 % - Markeringsfarve1 2 3 3 3 3" xfId="12369" xr:uid="{00000000-0005-0000-0000-00009A020000}"/>
    <cellStyle name="20 % - Markeringsfarve1 2 3 3 3 3 2" xfId="28648" xr:uid="{00000000-0005-0000-0000-00009B020000}"/>
    <cellStyle name="20 % - Markeringsfarve1 2 3 3 3 3 3" xfId="43609" xr:uid="{00000000-0005-0000-0000-00009C020000}"/>
    <cellStyle name="20 % - Markeringsfarve1 2 3 3 3 4" xfId="21646" xr:uid="{00000000-0005-0000-0000-00009D020000}"/>
    <cellStyle name="20 % - Markeringsfarve1 2 3 3 3 5" xfId="36612" xr:uid="{00000000-0005-0000-0000-00009E020000}"/>
    <cellStyle name="20 % - Markeringsfarve1 2 3 3 4" xfId="3885" xr:uid="{00000000-0005-0000-0000-00009F020000}"/>
    <cellStyle name="20 % - Markeringsfarve1 2 3 3 4 2" xfId="10578" xr:uid="{00000000-0005-0000-0000-0000A0020000}"/>
    <cellStyle name="20 % - Markeringsfarve1 2 3 3 4 2 2" xfId="18427" xr:uid="{00000000-0005-0000-0000-0000A1020000}"/>
    <cellStyle name="20 % - Markeringsfarve1 2 3 3 4 2 2 2" xfId="34703" xr:uid="{00000000-0005-0000-0000-0000A2020000}"/>
    <cellStyle name="20 % - Markeringsfarve1 2 3 3 4 2 2 3" xfId="49662" xr:uid="{00000000-0005-0000-0000-0000A3020000}"/>
    <cellStyle name="20 % - Markeringsfarve1 2 3 3 4 2 3" xfId="27701" xr:uid="{00000000-0005-0000-0000-0000A4020000}"/>
    <cellStyle name="20 % - Markeringsfarve1 2 3 3 4 2 4" xfId="42665" xr:uid="{00000000-0005-0000-0000-0000A5020000}"/>
    <cellStyle name="20 % - Markeringsfarve1 2 3 3 4 3" xfId="12370" xr:uid="{00000000-0005-0000-0000-0000A6020000}"/>
    <cellStyle name="20 % - Markeringsfarve1 2 3 3 4 3 2" xfId="28649" xr:uid="{00000000-0005-0000-0000-0000A7020000}"/>
    <cellStyle name="20 % - Markeringsfarve1 2 3 3 4 3 3" xfId="43610" xr:uid="{00000000-0005-0000-0000-0000A8020000}"/>
    <cellStyle name="20 % - Markeringsfarve1 2 3 3 4 4" xfId="21647" xr:uid="{00000000-0005-0000-0000-0000A9020000}"/>
    <cellStyle name="20 % - Markeringsfarve1 2 3 3 4 5" xfId="36613" xr:uid="{00000000-0005-0000-0000-0000AA020000}"/>
    <cellStyle name="20 % - Markeringsfarve1 2 3 3 5" xfId="7631" xr:uid="{00000000-0005-0000-0000-0000AB020000}"/>
    <cellStyle name="20 % - Markeringsfarve1 2 3 3 5 2" xfId="15496" xr:uid="{00000000-0005-0000-0000-0000AC020000}"/>
    <cellStyle name="20 % - Markeringsfarve1 2 3 3 5 2 2" xfId="31772" xr:uid="{00000000-0005-0000-0000-0000AD020000}"/>
    <cellStyle name="20 % - Markeringsfarve1 2 3 3 5 2 3" xfId="46731" xr:uid="{00000000-0005-0000-0000-0000AE020000}"/>
    <cellStyle name="20 % - Markeringsfarve1 2 3 3 5 3" xfId="24770" xr:uid="{00000000-0005-0000-0000-0000AF020000}"/>
    <cellStyle name="20 % - Markeringsfarve1 2 3 3 5 4" xfId="39734" xr:uid="{00000000-0005-0000-0000-0000B0020000}"/>
    <cellStyle name="20 % - Markeringsfarve1 2 3 3 6" xfId="12366" xr:uid="{00000000-0005-0000-0000-0000B1020000}"/>
    <cellStyle name="20 % - Markeringsfarve1 2 3 3 6 2" xfId="28645" xr:uid="{00000000-0005-0000-0000-0000B2020000}"/>
    <cellStyle name="20 % - Markeringsfarve1 2 3 3 6 3" xfId="43606" xr:uid="{00000000-0005-0000-0000-0000B3020000}"/>
    <cellStyle name="20 % - Markeringsfarve1 2 3 3 7" xfId="21643" xr:uid="{00000000-0005-0000-0000-0000B4020000}"/>
    <cellStyle name="20 % - Markeringsfarve1 2 3 3 8" xfId="36609" xr:uid="{00000000-0005-0000-0000-0000B5020000}"/>
    <cellStyle name="20 % - Markeringsfarve1 2 3 4" xfId="3886" xr:uid="{00000000-0005-0000-0000-0000B6020000}"/>
    <cellStyle name="20 % - Markeringsfarve1 2 3 4 2" xfId="3887" xr:uid="{00000000-0005-0000-0000-0000B7020000}"/>
    <cellStyle name="20 % - Markeringsfarve1 2 3 4 2 2" xfId="3888" xr:uid="{00000000-0005-0000-0000-0000B8020000}"/>
    <cellStyle name="20 % - Markeringsfarve1 2 3 4 2 2 2" xfId="10155" xr:uid="{00000000-0005-0000-0000-0000B9020000}"/>
    <cellStyle name="20 % - Markeringsfarve1 2 3 4 2 2 2 2" xfId="18010" xr:uid="{00000000-0005-0000-0000-0000BA020000}"/>
    <cellStyle name="20 % - Markeringsfarve1 2 3 4 2 2 2 2 2" xfId="34286" xr:uid="{00000000-0005-0000-0000-0000BB020000}"/>
    <cellStyle name="20 % - Markeringsfarve1 2 3 4 2 2 2 2 3" xfId="49245" xr:uid="{00000000-0005-0000-0000-0000BC020000}"/>
    <cellStyle name="20 % - Markeringsfarve1 2 3 4 2 2 2 3" xfId="27284" xr:uid="{00000000-0005-0000-0000-0000BD020000}"/>
    <cellStyle name="20 % - Markeringsfarve1 2 3 4 2 2 2 4" xfId="42248" xr:uid="{00000000-0005-0000-0000-0000BE020000}"/>
    <cellStyle name="20 % - Markeringsfarve1 2 3 4 2 2 3" xfId="12373" xr:uid="{00000000-0005-0000-0000-0000BF020000}"/>
    <cellStyle name="20 % - Markeringsfarve1 2 3 4 2 2 3 2" xfId="28652" xr:uid="{00000000-0005-0000-0000-0000C0020000}"/>
    <cellStyle name="20 % - Markeringsfarve1 2 3 4 2 2 3 3" xfId="43613" xr:uid="{00000000-0005-0000-0000-0000C1020000}"/>
    <cellStyle name="20 % - Markeringsfarve1 2 3 4 2 2 4" xfId="21650" xr:uid="{00000000-0005-0000-0000-0000C2020000}"/>
    <cellStyle name="20 % - Markeringsfarve1 2 3 4 2 2 5" xfId="36616" xr:uid="{00000000-0005-0000-0000-0000C3020000}"/>
    <cellStyle name="20 % - Markeringsfarve1 2 3 4 2 3" xfId="8687" xr:uid="{00000000-0005-0000-0000-0000C4020000}"/>
    <cellStyle name="20 % - Markeringsfarve1 2 3 4 2 3 2" xfId="16554" xr:uid="{00000000-0005-0000-0000-0000C5020000}"/>
    <cellStyle name="20 % - Markeringsfarve1 2 3 4 2 3 2 2" xfId="32830" xr:uid="{00000000-0005-0000-0000-0000C6020000}"/>
    <cellStyle name="20 % - Markeringsfarve1 2 3 4 2 3 2 3" xfId="47789" xr:uid="{00000000-0005-0000-0000-0000C7020000}"/>
    <cellStyle name="20 % - Markeringsfarve1 2 3 4 2 3 3" xfId="25828" xr:uid="{00000000-0005-0000-0000-0000C8020000}"/>
    <cellStyle name="20 % - Markeringsfarve1 2 3 4 2 3 4" xfId="40792" xr:uid="{00000000-0005-0000-0000-0000C9020000}"/>
    <cellStyle name="20 % - Markeringsfarve1 2 3 4 2 4" xfId="12372" xr:uid="{00000000-0005-0000-0000-0000CA020000}"/>
    <cellStyle name="20 % - Markeringsfarve1 2 3 4 2 4 2" xfId="28651" xr:uid="{00000000-0005-0000-0000-0000CB020000}"/>
    <cellStyle name="20 % - Markeringsfarve1 2 3 4 2 4 3" xfId="43612" xr:uid="{00000000-0005-0000-0000-0000CC020000}"/>
    <cellStyle name="20 % - Markeringsfarve1 2 3 4 2 5" xfId="21649" xr:uid="{00000000-0005-0000-0000-0000CD020000}"/>
    <cellStyle name="20 % - Markeringsfarve1 2 3 4 2 6" xfId="36615" xr:uid="{00000000-0005-0000-0000-0000CE020000}"/>
    <cellStyle name="20 % - Markeringsfarve1 2 3 4 3" xfId="3889" xr:uid="{00000000-0005-0000-0000-0000CF020000}"/>
    <cellStyle name="20 % - Markeringsfarve1 2 3 4 3 2" xfId="9432" xr:uid="{00000000-0005-0000-0000-0000D0020000}"/>
    <cellStyle name="20 % - Markeringsfarve1 2 3 4 3 2 2" xfId="17295" xr:uid="{00000000-0005-0000-0000-0000D1020000}"/>
    <cellStyle name="20 % - Markeringsfarve1 2 3 4 3 2 2 2" xfId="33571" xr:uid="{00000000-0005-0000-0000-0000D2020000}"/>
    <cellStyle name="20 % - Markeringsfarve1 2 3 4 3 2 2 3" xfId="48530" xr:uid="{00000000-0005-0000-0000-0000D3020000}"/>
    <cellStyle name="20 % - Markeringsfarve1 2 3 4 3 2 3" xfId="26569" xr:uid="{00000000-0005-0000-0000-0000D4020000}"/>
    <cellStyle name="20 % - Markeringsfarve1 2 3 4 3 2 4" xfId="41533" xr:uid="{00000000-0005-0000-0000-0000D5020000}"/>
    <cellStyle name="20 % - Markeringsfarve1 2 3 4 3 3" xfId="12374" xr:uid="{00000000-0005-0000-0000-0000D6020000}"/>
    <cellStyle name="20 % - Markeringsfarve1 2 3 4 3 3 2" xfId="28653" xr:uid="{00000000-0005-0000-0000-0000D7020000}"/>
    <cellStyle name="20 % - Markeringsfarve1 2 3 4 3 3 3" xfId="43614" xr:uid="{00000000-0005-0000-0000-0000D8020000}"/>
    <cellStyle name="20 % - Markeringsfarve1 2 3 4 3 4" xfId="21651" xr:uid="{00000000-0005-0000-0000-0000D9020000}"/>
    <cellStyle name="20 % - Markeringsfarve1 2 3 4 3 5" xfId="36617" xr:uid="{00000000-0005-0000-0000-0000DA020000}"/>
    <cellStyle name="20 % - Markeringsfarve1 2 3 4 4" xfId="3890" xr:uid="{00000000-0005-0000-0000-0000DB020000}"/>
    <cellStyle name="20 % - Markeringsfarve1 2 3 4 4 2" xfId="10577" xr:uid="{00000000-0005-0000-0000-0000DC020000}"/>
    <cellStyle name="20 % - Markeringsfarve1 2 3 4 4 2 2" xfId="18426" xr:uid="{00000000-0005-0000-0000-0000DD020000}"/>
    <cellStyle name="20 % - Markeringsfarve1 2 3 4 4 2 2 2" xfId="34702" xr:uid="{00000000-0005-0000-0000-0000DE020000}"/>
    <cellStyle name="20 % - Markeringsfarve1 2 3 4 4 2 2 3" xfId="49661" xr:uid="{00000000-0005-0000-0000-0000DF020000}"/>
    <cellStyle name="20 % - Markeringsfarve1 2 3 4 4 2 3" xfId="27700" xr:uid="{00000000-0005-0000-0000-0000E0020000}"/>
    <cellStyle name="20 % - Markeringsfarve1 2 3 4 4 2 4" xfId="42664" xr:uid="{00000000-0005-0000-0000-0000E1020000}"/>
    <cellStyle name="20 % - Markeringsfarve1 2 3 4 4 3" xfId="12375" xr:uid="{00000000-0005-0000-0000-0000E2020000}"/>
    <cellStyle name="20 % - Markeringsfarve1 2 3 4 4 3 2" xfId="28654" xr:uid="{00000000-0005-0000-0000-0000E3020000}"/>
    <cellStyle name="20 % - Markeringsfarve1 2 3 4 4 3 3" xfId="43615" xr:uid="{00000000-0005-0000-0000-0000E4020000}"/>
    <cellStyle name="20 % - Markeringsfarve1 2 3 4 4 4" xfId="21652" xr:uid="{00000000-0005-0000-0000-0000E5020000}"/>
    <cellStyle name="20 % - Markeringsfarve1 2 3 4 4 5" xfId="36618" xr:uid="{00000000-0005-0000-0000-0000E6020000}"/>
    <cellStyle name="20 % - Markeringsfarve1 2 3 4 5" xfId="7632" xr:uid="{00000000-0005-0000-0000-0000E7020000}"/>
    <cellStyle name="20 % - Markeringsfarve1 2 3 4 5 2" xfId="15497" xr:uid="{00000000-0005-0000-0000-0000E8020000}"/>
    <cellStyle name="20 % - Markeringsfarve1 2 3 4 5 2 2" xfId="31773" xr:uid="{00000000-0005-0000-0000-0000E9020000}"/>
    <cellStyle name="20 % - Markeringsfarve1 2 3 4 5 2 3" xfId="46732" xr:uid="{00000000-0005-0000-0000-0000EA020000}"/>
    <cellStyle name="20 % - Markeringsfarve1 2 3 4 5 3" xfId="24771" xr:uid="{00000000-0005-0000-0000-0000EB020000}"/>
    <cellStyle name="20 % - Markeringsfarve1 2 3 4 5 4" xfId="39735" xr:uid="{00000000-0005-0000-0000-0000EC020000}"/>
    <cellStyle name="20 % - Markeringsfarve1 2 3 4 6" xfId="12371" xr:uid="{00000000-0005-0000-0000-0000ED020000}"/>
    <cellStyle name="20 % - Markeringsfarve1 2 3 4 6 2" xfId="28650" xr:uid="{00000000-0005-0000-0000-0000EE020000}"/>
    <cellStyle name="20 % - Markeringsfarve1 2 3 4 6 3" xfId="43611" xr:uid="{00000000-0005-0000-0000-0000EF020000}"/>
    <cellStyle name="20 % - Markeringsfarve1 2 3 4 7" xfId="21648" xr:uid="{00000000-0005-0000-0000-0000F0020000}"/>
    <cellStyle name="20 % - Markeringsfarve1 2 3 4 8" xfId="36614" xr:uid="{00000000-0005-0000-0000-0000F1020000}"/>
    <cellStyle name="20 % - Markeringsfarve1 2 3 5" xfId="3891" xr:uid="{00000000-0005-0000-0000-0000F2020000}"/>
    <cellStyle name="20 % - Markeringsfarve1 2 3 5 2" xfId="3892" xr:uid="{00000000-0005-0000-0000-0000F3020000}"/>
    <cellStyle name="20 % - Markeringsfarve1 2 3 5 2 2" xfId="3893" xr:uid="{00000000-0005-0000-0000-0000F4020000}"/>
    <cellStyle name="20 % - Markeringsfarve1 2 3 5 2 2 2" xfId="10272" xr:uid="{00000000-0005-0000-0000-0000F5020000}"/>
    <cellStyle name="20 % - Markeringsfarve1 2 3 5 2 2 2 2" xfId="18127" xr:uid="{00000000-0005-0000-0000-0000F6020000}"/>
    <cellStyle name="20 % - Markeringsfarve1 2 3 5 2 2 2 2 2" xfId="34403" xr:uid="{00000000-0005-0000-0000-0000F7020000}"/>
    <cellStyle name="20 % - Markeringsfarve1 2 3 5 2 2 2 2 3" xfId="49362" xr:uid="{00000000-0005-0000-0000-0000F8020000}"/>
    <cellStyle name="20 % - Markeringsfarve1 2 3 5 2 2 2 3" xfId="27401" xr:uid="{00000000-0005-0000-0000-0000F9020000}"/>
    <cellStyle name="20 % - Markeringsfarve1 2 3 5 2 2 2 4" xfId="42365" xr:uid="{00000000-0005-0000-0000-0000FA020000}"/>
    <cellStyle name="20 % - Markeringsfarve1 2 3 5 2 2 3" xfId="12378" xr:uid="{00000000-0005-0000-0000-0000FB020000}"/>
    <cellStyle name="20 % - Markeringsfarve1 2 3 5 2 2 3 2" xfId="28657" xr:uid="{00000000-0005-0000-0000-0000FC020000}"/>
    <cellStyle name="20 % - Markeringsfarve1 2 3 5 2 2 3 3" xfId="43618" xr:uid="{00000000-0005-0000-0000-0000FD020000}"/>
    <cellStyle name="20 % - Markeringsfarve1 2 3 5 2 2 4" xfId="21655" xr:uid="{00000000-0005-0000-0000-0000FE020000}"/>
    <cellStyle name="20 % - Markeringsfarve1 2 3 5 2 2 5" xfId="36621" xr:uid="{00000000-0005-0000-0000-0000FF020000}"/>
    <cellStyle name="20 % - Markeringsfarve1 2 3 5 2 3" xfId="8786" xr:uid="{00000000-0005-0000-0000-000000030000}"/>
    <cellStyle name="20 % - Markeringsfarve1 2 3 5 2 3 2" xfId="16653" xr:uid="{00000000-0005-0000-0000-000001030000}"/>
    <cellStyle name="20 % - Markeringsfarve1 2 3 5 2 3 2 2" xfId="32929" xr:uid="{00000000-0005-0000-0000-000002030000}"/>
    <cellStyle name="20 % - Markeringsfarve1 2 3 5 2 3 2 3" xfId="47888" xr:uid="{00000000-0005-0000-0000-000003030000}"/>
    <cellStyle name="20 % - Markeringsfarve1 2 3 5 2 3 3" xfId="25927" xr:uid="{00000000-0005-0000-0000-000004030000}"/>
    <cellStyle name="20 % - Markeringsfarve1 2 3 5 2 3 4" xfId="40891" xr:uid="{00000000-0005-0000-0000-000005030000}"/>
    <cellStyle name="20 % - Markeringsfarve1 2 3 5 2 4" xfId="12377" xr:uid="{00000000-0005-0000-0000-000006030000}"/>
    <cellStyle name="20 % - Markeringsfarve1 2 3 5 2 4 2" xfId="28656" xr:uid="{00000000-0005-0000-0000-000007030000}"/>
    <cellStyle name="20 % - Markeringsfarve1 2 3 5 2 4 3" xfId="43617" xr:uid="{00000000-0005-0000-0000-000008030000}"/>
    <cellStyle name="20 % - Markeringsfarve1 2 3 5 2 5" xfId="21654" xr:uid="{00000000-0005-0000-0000-000009030000}"/>
    <cellStyle name="20 % - Markeringsfarve1 2 3 5 2 6" xfId="36620" xr:uid="{00000000-0005-0000-0000-00000A030000}"/>
    <cellStyle name="20 % - Markeringsfarve1 2 3 5 3" xfId="3894" xr:uid="{00000000-0005-0000-0000-00000B030000}"/>
    <cellStyle name="20 % - Markeringsfarve1 2 3 5 3 2" xfId="9549" xr:uid="{00000000-0005-0000-0000-00000C030000}"/>
    <cellStyle name="20 % - Markeringsfarve1 2 3 5 3 2 2" xfId="17412" xr:uid="{00000000-0005-0000-0000-00000D030000}"/>
    <cellStyle name="20 % - Markeringsfarve1 2 3 5 3 2 2 2" xfId="33688" xr:uid="{00000000-0005-0000-0000-00000E030000}"/>
    <cellStyle name="20 % - Markeringsfarve1 2 3 5 3 2 2 3" xfId="48647" xr:uid="{00000000-0005-0000-0000-00000F030000}"/>
    <cellStyle name="20 % - Markeringsfarve1 2 3 5 3 2 3" xfId="26686" xr:uid="{00000000-0005-0000-0000-000010030000}"/>
    <cellStyle name="20 % - Markeringsfarve1 2 3 5 3 2 4" xfId="41650" xr:uid="{00000000-0005-0000-0000-000011030000}"/>
    <cellStyle name="20 % - Markeringsfarve1 2 3 5 3 3" xfId="12379" xr:uid="{00000000-0005-0000-0000-000012030000}"/>
    <cellStyle name="20 % - Markeringsfarve1 2 3 5 3 3 2" xfId="28658" xr:uid="{00000000-0005-0000-0000-000013030000}"/>
    <cellStyle name="20 % - Markeringsfarve1 2 3 5 3 3 3" xfId="43619" xr:uid="{00000000-0005-0000-0000-000014030000}"/>
    <cellStyle name="20 % - Markeringsfarve1 2 3 5 3 4" xfId="21656" xr:uid="{00000000-0005-0000-0000-000015030000}"/>
    <cellStyle name="20 % - Markeringsfarve1 2 3 5 3 5" xfId="36622" xr:uid="{00000000-0005-0000-0000-000016030000}"/>
    <cellStyle name="20 % - Markeringsfarve1 2 3 5 4" xfId="3895" xr:uid="{00000000-0005-0000-0000-000017030000}"/>
    <cellStyle name="20 % - Markeringsfarve1 2 3 5 4 2" xfId="10576" xr:uid="{00000000-0005-0000-0000-000018030000}"/>
    <cellStyle name="20 % - Markeringsfarve1 2 3 5 4 2 2" xfId="18425" xr:uid="{00000000-0005-0000-0000-000019030000}"/>
    <cellStyle name="20 % - Markeringsfarve1 2 3 5 4 2 2 2" xfId="34701" xr:uid="{00000000-0005-0000-0000-00001A030000}"/>
    <cellStyle name="20 % - Markeringsfarve1 2 3 5 4 2 2 3" xfId="49660" xr:uid="{00000000-0005-0000-0000-00001B030000}"/>
    <cellStyle name="20 % - Markeringsfarve1 2 3 5 4 2 3" xfId="27699" xr:uid="{00000000-0005-0000-0000-00001C030000}"/>
    <cellStyle name="20 % - Markeringsfarve1 2 3 5 4 2 4" xfId="42663" xr:uid="{00000000-0005-0000-0000-00001D030000}"/>
    <cellStyle name="20 % - Markeringsfarve1 2 3 5 4 3" xfId="12380" xr:uid="{00000000-0005-0000-0000-00001E030000}"/>
    <cellStyle name="20 % - Markeringsfarve1 2 3 5 4 3 2" xfId="28659" xr:uid="{00000000-0005-0000-0000-00001F030000}"/>
    <cellStyle name="20 % - Markeringsfarve1 2 3 5 4 3 3" xfId="43620" xr:uid="{00000000-0005-0000-0000-000020030000}"/>
    <cellStyle name="20 % - Markeringsfarve1 2 3 5 4 4" xfId="21657" xr:uid="{00000000-0005-0000-0000-000021030000}"/>
    <cellStyle name="20 % - Markeringsfarve1 2 3 5 4 5" xfId="36623" xr:uid="{00000000-0005-0000-0000-000022030000}"/>
    <cellStyle name="20 % - Markeringsfarve1 2 3 5 5" xfId="7633" xr:uid="{00000000-0005-0000-0000-000023030000}"/>
    <cellStyle name="20 % - Markeringsfarve1 2 3 5 5 2" xfId="15498" xr:uid="{00000000-0005-0000-0000-000024030000}"/>
    <cellStyle name="20 % - Markeringsfarve1 2 3 5 5 2 2" xfId="31774" xr:uid="{00000000-0005-0000-0000-000025030000}"/>
    <cellStyle name="20 % - Markeringsfarve1 2 3 5 5 2 3" xfId="46733" xr:uid="{00000000-0005-0000-0000-000026030000}"/>
    <cellStyle name="20 % - Markeringsfarve1 2 3 5 5 3" xfId="24772" xr:uid="{00000000-0005-0000-0000-000027030000}"/>
    <cellStyle name="20 % - Markeringsfarve1 2 3 5 5 4" xfId="39736" xr:uid="{00000000-0005-0000-0000-000028030000}"/>
    <cellStyle name="20 % - Markeringsfarve1 2 3 5 6" xfId="12376" xr:uid="{00000000-0005-0000-0000-000029030000}"/>
    <cellStyle name="20 % - Markeringsfarve1 2 3 5 6 2" xfId="28655" xr:uid="{00000000-0005-0000-0000-00002A030000}"/>
    <cellStyle name="20 % - Markeringsfarve1 2 3 5 6 3" xfId="43616" xr:uid="{00000000-0005-0000-0000-00002B030000}"/>
    <cellStyle name="20 % - Markeringsfarve1 2 3 5 7" xfId="21653" xr:uid="{00000000-0005-0000-0000-00002C030000}"/>
    <cellStyle name="20 % - Markeringsfarve1 2 3 5 8" xfId="36619" xr:uid="{00000000-0005-0000-0000-00002D030000}"/>
    <cellStyle name="20 % - Markeringsfarve1 2 3 6" xfId="3896" xr:uid="{00000000-0005-0000-0000-00002E030000}"/>
    <cellStyle name="20 % - Markeringsfarve1 2 3 6 2" xfId="3897" xr:uid="{00000000-0005-0000-0000-00002F030000}"/>
    <cellStyle name="20 % - Markeringsfarve1 2 3 6 2 2" xfId="3898" xr:uid="{00000000-0005-0000-0000-000030030000}"/>
    <cellStyle name="20 % - Markeringsfarve1 2 3 6 2 2 2" xfId="10288" xr:uid="{00000000-0005-0000-0000-000031030000}"/>
    <cellStyle name="20 % - Markeringsfarve1 2 3 6 2 2 2 2" xfId="18143" xr:uid="{00000000-0005-0000-0000-000032030000}"/>
    <cellStyle name="20 % - Markeringsfarve1 2 3 6 2 2 2 2 2" xfId="34419" xr:uid="{00000000-0005-0000-0000-000033030000}"/>
    <cellStyle name="20 % - Markeringsfarve1 2 3 6 2 2 2 2 3" xfId="49378" xr:uid="{00000000-0005-0000-0000-000034030000}"/>
    <cellStyle name="20 % - Markeringsfarve1 2 3 6 2 2 2 3" xfId="27417" xr:uid="{00000000-0005-0000-0000-000035030000}"/>
    <cellStyle name="20 % - Markeringsfarve1 2 3 6 2 2 2 4" xfId="42381" xr:uid="{00000000-0005-0000-0000-000036030000}"/>
    <cellStyle name="20 % - Markeringsfarve1 2 3 6 2 2 3" xfId="12383" xr:uid="{00000000-0005-0000-0000-000037030000}"/>
    <cellStyle name="20 % - Markeringsfarve1 2 3 6 2 2 3 2" xfId="28662" xr:uid="{00000000-0005-0000-0000-000038030000}"/>
    <cellStyle name="20 % - Markeringsfarve1 2 3 6 2 2 3 3" xfId="43623" xr:uid="{00000000-0005-0000-0000-000039030000}"/>
    <cellStyle name="20 % - Markeringsfarve1 2 3 6 2 2 4" xfId="21660" xr:uid="{00000000-0005-0000-0000-00003A030000}"/>
    <cellStyle name="20 % - Markeringsfarve1 2 3 6 2 2 5" xfId="36626" xr:uid="{00000000-0005-0000-0000-00003B030000}"/>
    <cellStyle name="20 % - Markeringsfarve1 2 3 6 2 3" xfId="8800" xr:uid="{00000000-0005-0000-0000-00003C030000}"/>
    <cellStyle name="20 % - Markeringsfarve1 2 3 6 2 3 2" xfId="16667" xr:uid="{00000000-0005-0000-0000-00003D030000}"/>
    <cellStyle name="20 % - Markeringsfarve1 2 3 6 2 3 2 2" xfId="32943" xr:uid="{00000000-0005-0000-0000-00003E030000}"/>
    <cellStyle name="20 % - Markeringsfarve1 2 3 6 2 3 2 3" xfId="47902" xr:uid="{00000000-0005-0000-0000-00003F030000}"/>
    <cellStyle name="20 % - Markeringsfarve1 2 3 6 2 3 3" xfId="25941" xr:uid="{00000000-0005-0000-0000-000040030000}"/>
    <cellStyle name="20 % - Markeringsfarve1 2 3 6 2 3 4" xfId="40905" xr:uid="{00000000-0005-0000-0000-000041030000}"/>
    <cellStyle name="20 % - Markeringsfarve1 2 3 6 2 4" xfId="12382" xr:uid="{00000000-0005-0000-0000-000042030000}"/>
    <cellStyle name="20 % - Markeringsfarve1 2 3 6 2 4 2" xfId="28661" xr:uid="{00000000-0005-0000-0000-000043030000}"/>
    <cellStyle name="20 % - Markeringsfarve1 2 3 6 2 4 3" xfId="43622" xr:uid="{00000000-0005-0000-0000-000044030000}"/>
    <cellStyle name="20 % - Markeringsfarve1 2 3 6 2 5" xfId="21659" xr:uid="{00000000-0005-0000-0000-000045030000}"/>
    <cellStyle name="20 % - Markeringsfarve1 2 3 6 2 6" xfId="36625" xr:uid="{00000000-0005-0000-0000-000046030000}"/>
    <cellStyle name="20 % - Markeringsfarve1 2 3 6 3" xfId="3899" xr:uid="{00000000-0005-0000-0000-000047030000}"/>
    <cellStyle name="20 % - Markeringsfarve1 2 3 6 3 2" xfId="9566" xr:uid="{00000000-0005-0000-0000-000048030000}"/>
    <cellStyle name="20 % - Markeringsfarve1 2 3 6 3 2 2" xfId="17429" xr:uid="{00000000-0005-0000-0000-000049030000}"/>
    <cellStyle name="20 % - Markeringsfarve1 2 3 6 3 2 2 2" xfId="33705" xr:uid="{00000000-0005-0000-0000-00004A030000}"/>
    <cellStyle name="20 % - Markeringsfarve1 2 3 6 3 2 2 3" xfId="48664" xr:uid="{00000000-0005-0000-0000-00004B030000}"/>
    <cellStyle name="20 % - Markeringsfarve1 2 3 6 3 2 3" xfId="26703" xr:uid="{00000000-0005-0000-0000-00004C030000}"/>
    <cellStyle name="20 % - Markeringsfarve1 2 3 6 3 2 4" xfId="41667" xr:uid="{00000000-0005-0000-0000-00004D030000}"/>
    <cellStyle name="20 % - Markeringsfarve1 2 3 6 3 3" xfId="12384" xr:uid="{00000000-0005-0000-0000-00004E030000}"/>
    <cellStyle name="20 % - Markeringsfarve1 2 3 6 3 3 2" xfId="28663" xr:uid="{00000000-0005-0000-0000-00004F030000}"/>
    <cellStyle name="20 % - Markeringsfarve1 2 3 6 3 3 3" xfId="43624" xr:uid="{00000000-0005-0000-0000-000050030000}"/>
    <cellStyle name="20 % - Markeringsfarve1 2 3 6 3 4" xfId="21661" xr:uid="{00000000-0005-0000-0000-000051030000}"/>
    <cellStyle name="20 % - Markeringsfarve1 2 3 6 3 5" xfId="36627" xr:uid="{00000000-0005-0000-0000-000052030000}"/>
    <cellStyle name="20 % - Markeringsfarve1 2 3 6 4" xfId="3900" xr:uid="{00000000-0005-0000-0000-000053030000}"/>
    <cellStyle name="20 % - Markeringsfarve1 2 3 6 4 2" xfId="10575" xr:uid="{00000000-0005-0000-0000-000054030000}"/>
    <cellStyle name="20 % - Markeringsfarve1 2 3 6 4 2 2" xfId="18424" xr:uid="{00000000-0005-0000-0000-000055030000}"/>
    <cellStyle name="20 % - Markeringsfarve1 2 3 6 4 2 2 2" xfId="34700" xr:uid="{00000000-0005-0000-0000-000056030000}"/>
    <cellStyle name="20 % - Markeringsfarve1 2 3 6 4 2 2 3" xfId="49659" xr:uid="{00000000-0005-0000-0000-000057030000}"/>
    <cellStyle name="20 % - Markeringsfarve1 2 3 6 4 2 3" xfId="27698" xr:uid="{00000000-0005-0000-0000-000058030000}"/>
    <cellStyle name="20 % - Markeringsfarve1 2 3 6 4 2 4" xfId="42662" xr:uid="{00000000-0005-0000-0000-000059030000}"/>
    <cellStyle name="20 % - Markeringsfarve1 2 3 6 4 3" xfId="12385" xr:uid="{00000000-0005-0000-0000-00005A030000}"/>
    <cellStyle name="20 % - Markeringsfarve1 2 3 6 4 3 2" xfId="28664" xr:uid="{00000000-0005-0000-0000-00005B030000}"/>
    <cellStyle name="20 % - Markeringsfarve1 2 3 6 4 3 3" xfId="43625" xr:uid="{00000000-0005-0000-0000-00005C030000}"/>
    <cellStyle name="20 % - Markeringsfarve1 2 3 6 4 4" xfId="21662" xr:uid="{00000000-0005-0000-0000-00005D030000}"/>
    <cellStyle name="20 % - Markeringsfarve1 2 3 6 4 5" xfId="36628" xr:uid="{00000000-0005-0000-0000-00005E030000}"/>
    <cellStyle name="20 % - Markeringsfarve1 2 3 6 5" xfId="7634" xr:uid="{00000000-0005-0000-0000-00005F030000}"/>
    <cellStyle name="20 % - Markeringsfarve1 2 3 6 5 2" xfId="15499" xr:uid="{00000000-0005-0000-0000-000060030000}"/>
    <cellStyle name="20 % - Markeringsfarve1 2 3 6 5 2 2" xfId="31775" xr:uid="{00000000-0005-0000-0000-000061030000}"/>
    <cellStyle name="20 % - Markeringsfarve1 2 3 6 5 2 3" xfId="46734" xr:uid="{00000000-0005-0000-0000-000062030000}"/>
    <cellStyle name="20 % - Markeringsfarve1 2 3 6 5 3" xfId="24773" xr:uid="{00000000-0005-0000-0000-000063030000}"/>
    <cellStyle name="20 % - Markeringsfarve1 2 3 6 5 4" xfId="39737" xr:uid="{00000000-0005-0000-0000-000064030000}"/>
    <cellStyle name="20 % - Markeringsfarve1 2 3 6 6" xfId="12381" xr:uid="{00000000-0005-0000-0000-000065030000}"/>
    <cellStyle name="20 % - Markeringsfarve1 2 3 6 6 2" xfId="28660" xr:uid="{00000000-0005-0000-0000-000066030000}"/>
    <cellStyle name="20 % - Markeringsfarve1 2 3 6 6 3" xfId="43621" xr:uid="{00000000-0005-0000-0000-000067030000}"/>
    <cellStyle name="20 % - Markeringsfarve1 2 3 6 7" xfId="21658" xr:uid="{00000000-0005-0000-0000-000068030000}"/>
    <cellStyle name="20 % - Markeringsfarve1 2 3 6 8" xfId="36624" xr:uid="{00000000-0005-0000-0000-000069030000}"/>
    <cellStyle name="20 % - Markeringsfarve1 2 3 7" xfId="3901" xr:uid="{00000000-0005-0000-0000-00006A030000}"/>
    <cellStyle name="20 % - Markeringsfarve1 2 3 7 2" xfId="3902" xr:uid="{00000000-0005-0000-0000-00006B030000}"/>
    <cellStyle name="20 % - Markeringsfarve1 2 3 7 2 2" xfId="9799" xr:uid="{00000000-0005-0000-0000-00006C030000}"/>
    <cellStyle name="20 % - Markeringsfarve1 2 3 7 2 2 2" xfId="17653" xr:uid="{00000000-0005-0000-0000-00006D030000}"/>
    <cellStyle name="20 % - Markeringsfarve1 2 3 7 2 2 2 2" xfId="33929" xr:uid="{00000000-0005-0000-0000-00006E030000}"/>
    <cellStyle name="20 % - Markeringsfarve1 2 3 7 2 2 2 3" xfId="48888" xr:uid="{00000000-0005-0000-0000-00006F030000}"/>
    <cellStyle name="20 % - Markeringsfarve1 2 3 7 2 2 3" xfId="26927" xr:uid="{00000000-0005-0000-0000-000070030000}"/>
    <cellStyle name="20 % - Markeringsfarve1 2 3 7 2 2 4" xfId="41891" xr:uid="{00000000-0005-0000-0000-000071030000}"/>
    <cellStyle name="20 % - Markeringsfarve1 2 3 7 2 3" xfId="12387" xr:uid="{00000000-0005-0000-0000-000072030000}"/>
    <cellStyle name="20 % - Markeringsfarve1 2 3 7 2 3 2" xfId="28666" xr:uid="{00000000-0005-0000-0000-000073030000}"/>
    <cellStyle name="20 % - Markeringsfarve1 2 3 7 2 3 3" xfId="43627" xr:uid="{00000000-0005-0000-0000-000074030000}"/>
    <cellStyle name="20 % - Markeringsfarve1 2 3 7 2 4" xfId="21664" xr:uid="{00000000-0005-0000-0000-000075030000}"/>
    <cellStyle name="20 % - Markeringsfarve1 2 3 7 2 5" xfId="36630" xr:uid="{00000000-0005-0000-0000-000076030000}"/>
    <cellStyle name="20 % - Markeringsfarve1 2 3 7 3" xfId="8386" xr:uid="{00000000-0005-0000-0000-000077030000}"/>
    <cellStyle name="20 % - Markeringsfarve1 2 3 7 3 2" xfId="16256" xr:uid="{00000000-0005-0000-0000-000078030000}"/>
    <cellStyle name="20 % - Markeringsfarve1 2 3 7 3 2 2" xfId="32532" xr:uid="{00000000-0005-0000-0000-000079030000}"/>
    <cellStyle name="20 % - Markeringsfarve1 2 3 7 3 2 3" xfId="47491" xr:uid="{00000000-0005-0000-0000-00007A030000}"/>
    <cellStyle name="20 % - Markeringsfarve1 2 3 7 3 3" xfId="25530" xr:uid="{00000000-0005-0000-0000-00007B030000}"/>
    <cellStyle name="20 % - Markeringsfarve1 2 3 7 3 4" xfId="40494" xr:uid="{00000000-0005-0000-0000-00007C030000}"/>
    <cellStyle name="20 % - Markeringsfarve1 2 3 7 4" xfId="12386" xr:uid="{00000000-0005-0000-0000-00007D030000}"/>
    <cellStyle name="20 % - Markeringsfarve1 2 3 7 4 2" xfId="28665" xr:uid="{00000000-0005-0000-0000-00007E030000}"/>
    <cellStyle name="20 % - Markeringsfarve1 2 3 7 4 3" xfId="43626" xr:uid="{00000000-0005-0000-0000-00007F030000}"/>
    <cellStyle name="20 % - Markeringsfarve1 2 3 7 5" xfId="21663" xr:uid="{00000000-0005-0000-0000-000080030000}"/>
    <cellStyle name="20 % - Markeringsfarve1 2 3 7 6" xfId="36629" xr:uid="{00000000-0005-0000-0000-000081030000}"/>
    <cellStyle name="20 % - Markeringsfarve1 2 3 8" xfId="3903" xr:uid="{00000000-0005-0000-0000-000082030000}"/>
    <cellStyle name="20 % - Markeringsfarve1 2 3 8 2" xfId="9027" xr:uid="{00000000-0005-0000-0000-000083030000}"/>
    <cellStyle name="20 % - Markeringsfarve1 2 3 8 2 2" xfId="16891" xr:uid="{00000000-0005-0000-0000-000084030000}"/>
    <cellStyle name="20 % - Markeringsfarve1 2 3 8 2 2 2" xfId="33167" xr:uid="{00000000-0005-0000-0000-000085030000}"/>
    <cellStyle name="20 % - Markeringsfarve1 2 3 8 2 2 3" xfId="48126" xr:uid="{00000000-0005-0000-0000-000086030000}"/>
    <cellStyle name="20 % - Markeringsfarve1 2 3 8 2 3" xfId="26165" xr:uid="{00000000-0005-0000-0000-000087030000}"/>
    <cellStyle name="20 % - Markeringsfarve1 2 3 8 2 4" xfId="41129" xr:uid="{00000000-0005-0000-0000-000088030000}"/>
    <cellStyle name="20 % - Markeringsfarve1 2 3 8 3" xfId="12388" xr:uid="{00000000-0005-0000-0000-000089030000}"/>
    <cellStyle name="20 % - Markeringsfarve1 2 3 8 3 2" xfId="28667" xr:uid="{00000000-0005-0000-0000-00008A030000}"/>
    <cellStyle name="20 % - Markeringsfarve1 2 3 8 3 3" xfId="43628" xr:uid="{00000000-0005-0000-0000-00008B030000}"/>
    <cellStyle name="20 % - Markeringsfarve1 2 3 8 4" xfId="21665" xr:uid="{00000000-0005-0000-0000-00008C030000}"/>
    <cellStyle name="20 % - Markeringsfarve1 2 3 8 5" xfId="36631" xr:uid="{00000000-0005-0000-0000-00008D030000}"/>
    <cellStyle name="20 % - Markeringsfarve1 2 3 9" xfId="3904" xr:uid="{00000000-0005-0000-0000-00008E030000}"/>
    <cellStyle name="20 % - Markeringsfarve1 2 3 9 2" xfId="10580" xr:uid="{00000000-0005-0000-0000-00008F030000}"/>
    <cellStyle name="20 % - Markeringsfarve1 2 3 9 2 2" xfId="18429" xr:uid="{00000000-0005-0000-0000-000090030000}"/>
    <cellStyle name="20 % - Markeringsfarve1 2 3 9 2 2 2" xfId="34705" xr:uid="{00000000-0005-0000-0000-000091030000}"/>
    <cellStyle name="20 % - Markeringsfarve1 2 3 9 2 2 3" xfId="49664" xr:uid="{00000000-0005-0000-0000-000092030000}"/>
    <cellStyle name="20 % - Markeringsfarve1 2 3 9 2 3" xfId="27703" xr:uid="{00000000-0005-0000-0000-000093030000}"/>
    <cellStyle name="20 % - Markeringsfarve1 2 3 9 2 4" xfId="42667" xr:uid="{00000000-0005-0000-0000-000094030000}"/>
    <cellStyle name="20 % - Markeringsfarve1 2 3 9 3" xfId="12389" xr:uid="{00000000-0005-0000-0000-000095030000}"/>
    <cellStyle name="20 % - Markeringsfarve1 2 3 9 3 2" xfId="28668" xr:uid="{00000000-0005-0000-0000-000096030000}"/>
    <cellStyle name="20 % - Markeringsfarve1 2 3 9 3 3" xfId="43629" xr:uid="{00000000-0005-0000-0000-000097030000}"/>
    <cellStyle name="20 % - Markeringsfarve1 2 3 9 4" xfId="21666" xr:uid="{00000000-0005-0000-0000-000098030000}"/>
    <cellStyle name="20 % - Markeringsfarve1 2 3 9 5" xfId="36632" xr:uid="{00000000-0005-0000-0000-000099030000}"/>
    <cellStyle name="20 % - Markeringsfarve1 2 4" xfId="3905" xr:uid="{00000000-0005-0000-0000-00009A030000}"/>
    <cellStyle name="20 % - Markeringsfarve1 2 4 2" xfId="3906" xr:uid="{00000000-0005-0000-0000-00009B030000}"/>
    <cellStyle name="20 % - Markeringsfarve1 2 4 2 2" xfId="3907" xr:uid="{00000000-0005-0000-0000-00009C030000}"/>
    <cellStyle name="20 % - Markeringsfarve1 2 4 2 2 2" xfId="9839" xr:uid="{00000000-0005-0000-0000-00009D030000}"/>
    <cellStyle name="20 % - Markeringsfarve1 2 4 2 2 2 2" xfId="17694" xr:uid="{00000000-0005-0000-0000-00009E030000}"/>
    <cellStyle name="20 % - Markeringsfarve1 2 4 2 2 2 2 2" xfId="33970" xr:uid="{00000000-0005-0000-0000-00009F030000}"/>
    <cellStyle name="20 % - Markeringsfarve1 2 4 2 2 2 2 3" xfId="48929" xr:uid="{00000000-0005-0000-0000-0000A0030000}"/>
    <cellStyle name="20 % - Markeringsfarve1 2 4 2 2 2 3" xfId="26968" xr:uid="{00000000-0005-0000-0000-0000A1030000}"/>
    <cellStyle name="20 % - Markeringsfarve1 2 4 2 2 2 4" xfId="41932" xr:uid="{00000000-0005-0000-0000-0000A2030000}"/>
    <cellStyle name="20 % - Markeringsfarve1 2 4 2 2 3" xfId="12392" xr:uid="{00000000-0005-0000-0000-0000A3030000}"/>
    <cellStyle name="20 % - Markeringsfarve1 2 4 2 2 3 2" xfId="28671" xr:uid="{00000000-0005-0000-0000-0000A4030000}"/>
    <cellStyle name="20 % - Markeringsfarve1 2 4 2 2 3 3" xfId="43632" xr:uid="{00000000-0005-0000-0000-0000A5030000}"/>
    <cellStyle name="20 % - Markeringsfarve1 2 4 2 2 4" xfId="21669" xr:uid="{00000000-0005-0000-0000-0000A6030000}"/>
    <cellStyle name="20 % - Markeringsfarve1 2 4 2 2 5" xfId="36635" xr:uid="{00000000-0005-0000-0000-0000A7030000}"/>
    <cellStyle name="20 % - Markeringsfarve1 2 4 2 3" xfId="8419" xr:uid="{00000000-0005-0000-0000-0000A8030000}"/>
    <cellStyle name="20 % - Markeringsfarve1 2 4 2 3 2" xfId="16289" xr:uid="{00000000-0005-0000-0000-0000A9030000}"/>
    <cellStyle name="20 % - Markeringsfarve1 2 4 2 3 2 2" xfId="32565" xr:uid="{00000000-0005-0000-0000-0000AA030000}"/>
    <cellStyle name="20 % - Markeringsfarve1 2 4 2 3 2 3" xfId="47524" xr:uid="{00000000-0005-0000-0000-0000AB030000}"/>
    <cellStyle name="20 % - Markeringsfarve1 2 4 2 3 3" xfId="25563" xr:uid="{00000000-0005-0000-0000-0000AC030000}"/>
    <cellStyle name="20 % - Markeringsfarve1 2 4 2 3 4" xfId="40527" xr:uid="{00000000-0005-0000-0000-0000AD030000}"/>
    <cellStyle name="20 % - Markeringsfarve1 2 4 2 4" xfId="12391" xr:uid="{00000000-0005-0000-0000-0000AE030000}"/>
    <cellStyle name="20 % - Markeringsfarve1 2 4 2 4 2" xfId="28670" xr:uid="{00000000-0005-0000-0000-0000AF030000}"/>
    <cellStyle name="20 % - Markeringsfarve1 2 4 2 4 3" xfId="43631" xr:uid="{00000000-0005-0000-0000-0000B0030000}"/>
    <cellStyle name="20 % - Markeringsfarve1 2 4 2 5" xfId="21668" xr:uid="{00000000-0005-0000-0000-0000B1030000}"/>
    <cellStyle name="20 % - Markeringsfarve1 2 4 2 6" xfId="36634" xr:uid="{00000000-0005-0000-0000-0000B2030000}"/>
    <cellStyle name="20 % - Markeringsfarve1 2 4 3" xfId="3908" xr:uid="{00000000-0005-0000-0000-0000B3030000}"/>
    <cellStyle name="20 % - Markeringsfarve1 2 4 3 2" xfId="9070" xr:uid="{00000000-0005-0000-0000-0000B4030000}"/>
    <cellStyle name="20 % - Markeringsfarve1 2 4 3 2 2" xfId="16934" xr:uid="{00000000-0005-0000-0000-0000B5030000}"/>
    <cellStyle name="20 % - Markeringsfarve1 2 4 3 2 2 2" xfId="33210" xr:uid="{00000000-0005-0000-0000-0000B6030000}"/>
    <cellStyle name="20 % - Markeringsfarve1 2 4 3 2 2 3" xfId="48169" xr:uid="{00000000-0005-0000-0000-0000B7030000}"/>
    <cellStyle name="20 % - Markeringsfarve1 2 4 3 2 3" xfId="26208" xr:uid="{00000000-0005-0000-0000-0000B8030000}"/>
    <cellStyle name="20 % - Markeringsfarve1 2 4 3 2 4" xfId="41172" xr:uid="{00000000-0005-0000-0000-0000B9030000}"/>
    <cellStyle name="20 % - Markeringsfarve1 2 4 3 3" xfId="12393" xr:uid="{00000000-0005-0000-0000-0000BA030000}"/>
    <cellStyle name="20 % - Markeringsfarve1 2 4 3 3 2" xfId="28672" xr:uid="{00000000-0005-0000-0000-0000BB030000}"/>
    <cellStyle name="20 % - Markeringsfarve1 2 4 3 3 3" xfId="43633" xr:uid="{00000000-0005-0000-0000-0000BC030000}"/>
    <cellStyle name="20 % - Markeringsfarve1 2 4 3 4" xfId="21670" xr:uid="{00000000-0005-0000-0000-0000BD030000}"/>
    <cellStyle name="20 % - Markeringsfarve1 2 4 3 5" xfId="36636" xr:uid="{00000000-0005-0000-0000-0000BE030000}"/>
    <cellStyle name="20 % - Markeringsfarve1 2 4 4" xfId="3909" xr:uid="{00000000-0005-0000-0000-0000BF030000}"/>
    <cellStyle name="20 % - Markeringsfarve1 2 4 4 2" xfId="10574" xr:uid="{00000000-0005-0000-0000-0000C0030000}"/>
    <cellStyle name="20 % - Markeringsfarve1 2 4 4 2 2" xfId="18423" xr:uid="{00000000-0005-0000-0000-0000C1030000}"/>
    <cellStyle name="20 % - Markeringsfarve1 2 4 4 2 2 2" xfId="34699" xr:uid="{00000000-0005-0000-0000-0000C2030000}"/>
    <cellStyle name="20 % - Markeringsfarve1 2 4 4 2 2 3" xfId="49658" xr:uid="{00000000-0005-0000-0000-0000C3030000}"/>
    <cellStyle name="20 % - Markeringsfarve1 2 4 4 2 3" xfId="27697" xr:uid="{00000000-0005-0000-0000-0000C4030000}"/>
    <cellStyle name="20 % - Markeringsfarve1 2 4 4 2 4" xfId="42661" xr:uid="{00000000-0005-0000-0000-0000C5030000}"/>
    <cellStyle name="20 % - Markeringsfarve1 2 4 4 3" xfId="12394" xr:uid="{00000000-0005-0000-0000-0000C6030000}"/>
    <cellStyle name="20 % - Markeringsfarve1 2 4 4 3 2" xfId="28673" xr:uid="{00000000-0005-0000-0000-0000C7030000}"/>
    <cellStyle name="20 % - Markeringsfarve1 2 4 4 3 3" xfId="43634" xr:uid="{00000000-0005-0000-0000-0000C8030000}"/>
    <cellStyle name="20 % - Markeringsfarve1 2 4 4 4" xfId="21671" xr:uid="{00000000-0005-0000-0000-0000C9030000}"/>
    <cellStyle name="20 % - Markeringsfarve1 2 4 4 5" xfId="36637" xr:uid="{00000000-0005-0000-0000-0000CA030000}"/>
    <cellStyle name="20 % - Markeringsfarve1 2 4 5" xfId="7635" xr:uid="{00000000-0005-0000-0000-0000CB030000}"/>
    <cellStyle name="20 % - Markeringsfarve1 2 4 5 2" xfId="15500" xr:uid="{00000000-0005-0000-0000-0000CC030000}"/>
    <cellStyle name="20 % - Markeringsfarve1 2 4 5 2 2" xfId="31776" xr:uid="{00000000-0005-0000-0000-0000CD030000}"/>
    <cellStyle name="20 % - Markeringsfarve1 2 4 5 2 3" xfId="46735" xr:uid="{00000000-0005-0000-0000-0000CE030000}"/>
    <cellStyle name="20 % - Markeringsfarve1 2 4 5 3" xfId="24774" xr:uid="{00000000-0005-0000-0000-0000CF030000}"/>
    <cellStyle name="20 % - Markeringsfarve1 2 4 5 4" xfId="39738" xr:uid="{00000000-0005-0000-0000-0000D0030000}"/>
    <cellStyle name="20 % - Markeringsfarve1 2 4 6" xfId="12390" xr:uid="{00000000-0005-0000-0000-0000D1030000}"/>
    <cellStyle name="20 % - Markeringsfarve1 2 4 6 2" xfId="28669" xr:uid="{00000000-0005-0000-0000-0000D2030000}"/>
    <cellStyle name="20 % - Markeringsfarve1 2 4 6 3" xfId="43630" xr:uid="{00000000-0005-0000-0000-0000D3030000}"/>
    <cellStyle name="20 % - Markeringsfarve1 2 4 7" xfId="21667" xr:uid="{00000000-0005-0000-0000-0000D4030000}"/>
    <cellStyle name="20 % - Markeringsfarve1 2 4 8" xfId="36633" xr:uid="{00000000-0005-0000-0000-0000D5030000}"/>
    <cellStyle name="20 % - Markeringsfarve1 2 5" xfId="3910" xr:uid="{00000000-0005-0000-0000-0000D6030000}"/>
    <cellStyle name="20 % - Markeringsfarve1 2 5 2" xfId="3911" xr:uid="{00000000-0005-0000-0000-0000D7030000}"/>
    <cellStyle name="20 % - Markeringsfarve1 2 5 2 2" xfId="3912" xr:uid="{00000000-0005-0000-0000-0000D8030000}"/>
    <cellStyle name="20 % - Markeringsfarve1 2 5 2 2 2" xfId="9931" xr:uid="{00000000-0005-0000-0000-0000D9030000}"/>
    <cellStyle name="20 % - Markeringsfarve1 2 5 2 2 2 2" xfId="17786" xr:uid="{00000000-0005-0000-0000-0000DA030000}"/>
    <cellStyle name="20 % - Markeringsfarve1 2 5 2 2 2 2 2" xfId="34062" xr:uid="{00000000-0005-0000-0000-0000DB030000}"/>
    <cellStyle name="20 % - Markeringsfarve1 2 5 2 2 2 2 3" xfId="49021" xr:uid="{00000000-0005-0000-0000-0000DC030000}"/>
    <cellStyle name="20 % - Markeringsfarve1 2 5 2 2 2 3" xfId="27060" xr:uid="{00000000-0005-0000-0000-0000DD030000}"/>
    <cellStyle name="20 % - Markeringsfarve1 2 5 2 2 2 4" xfId="42024" xr:uid="{00000000-0005-0000-0000-0000DE030000}"/>
    <cellStyle name="20 % - Markeringsfarve1 2 5 2 2 3" xfId="12397" xr:uid="{00000000-0005-0000-0000-0000DF030000}"/>
    <cellStyle name="20 % - Markeringsfarve1 2 5 2 2 3 2" xfId="28676" xr:uid="{00000000-0005-0000-0000-0000E0030000}"/>
    <cellStyle name="20 % - Markeringsfarve1 2 5 2 2 3 3" xfId="43637" xr:uid="{00000000-0005-0000-0000-0000E1030000}"/>
    <cellStyle name="20 % - Markeringsfarve1 2 5 2 2 4" xfId="21674" xr:uid="{00000000-0005-0000-0000-0000E2030000}"/>
    <cellStyle name="20 % - Markeringsfarve1 2 5 2 2 5" xfId="36640" xr:uid="{00000000-0005-0000-0000-0000E3030000}"/>
    <cellStyle name="20 % - Markeringsfarve1 2 5 2 3" xfId="8496" xr:uid="{00000000-0005-0000-0000-0000E4030000}"/>
    <cellStyle name="20 % - Markeringsfarve1 2 5 2 3 2" xfId="16366" xr:uid="{00000000-0005-0000-0000-0000E5030000}"/>
    <cellStyle name="20 % - Markeringsfarve1 2 5 2 3 2 2" xfId="32642" xr:uid="{00000000-0005-0000-0000-0000E6030000}"/>
    <cellStyle name="20 % - Markeringsfarve1 2 5 2 3 2 3" xfId="47601" xr:uid="{00000000-0005-0000-0000-0000E7030000}"/>
    <cellStyle name="20 % - Markeringsfarve1 2 5 2 3 3" xfId="25640" xr:uid="{00000000-0005-0000-0000-0000E8030000}"/>
    <cellStyle name="20 % - Markeringsfarve1 2 5 2 3 4" xfId="40604" xr:uid="{00000000-0005-0000-0000-0000E9030000}"/>
    <cellStyle name="20 % - Markeringsfarve1 2 5 2 4" xfId="12396" xr:uid="{00000000-0005-0000-0000-0000EA030000}"/>
    <cellStyle name="20 % - Markeringsfarve1 2 5 2 4 2" xfId="28675" xr:uid="{00000000-0005-0000-0000-0000EB030000}"/>
    <cellStyle name="20 % - Markeringsfarve1 2 5 2 4 3" xfId="43636" xr:uid="{00000000-0005-0000-0000-0000EC030000}"/>
    <cellStyle name="20 % - Markeringsfarve1 2 5 2 5" xfId="21673" xr:uid="{00000000-0005-0000-0000-0000ED030000}"/>
    <cellStyle name="20 % - Markeringsfarve1 2 5 2 6" xfId="36639" xr:uid="{00000000-0005-0000-0000-0000EE030000}"/>
    <cellStyle name="20 % - Markeringsfarve1 2 5 3" xfId="3913" xr:uid="{00000000-0005-0000-0000-0000EF030000}"/>
    <cellStyle name="20 % - Markeringsfarve1 2 5 3 2" xfId="9162" xr:uid="{00000000-0005-0000-0000-0000F0030000}"/>
    <cellStyle name="20 % - Markeringsfarve1 2 5 3 2 2" xfId="17026" xr:uid="{00000000-0005-0000-0000-0000F1030000}"/>
    <cellStyle name="20 % - Markeringsfarve1 2 5 3 2 2 2" xfId="33302" xr:uid="{00000000-0005-0000-0000-0000F2030000}"/>
    <cellStyle name="20 % - Markeringsfarve1 2 5 3 2 2 3" xfId="48261" xr:uid="{00000000-0005-0000-0000-0000F3030000}"/>
    <cellStyle name="20 % - Markeringsfarve1 2 5 3 2 3" xfId="26300" xr:uid="{00000000-0005-0000-0000-0000F4030000}"/>
    <cellStyle name="20 % - Markeringsfarve1 2 5 3 2 4" xfId="41264" xr:uid="{00000000-0005-0000-0000-0000F5030000}"/>
    <cellStyle name="20 % - Markeringsfarve1 2 5 3 3" xfId="12398" xr:uid="{00000000-0005-0000-0000-0000F6030000}"/>
    <cellStyle name="20 % - Markeringsfarve1 2 5 3 3 2" xfId="28677" xr:uid="{00000000-0005-0000-0000-0000F7030000}"/>
    <cellStyle name="20 % - Markeringsfarve1 2 5 3 3 3" xfId="43638" xr:uid="{00000000-0005-0000-0000-0000F8030000}"/>
    <cellStyle name="20 % - Markeringsfarve1 2 5 3 4" xfId="21675" xr:uid="{00000000-0005-0000-0000-0000F9030000}"/>
    <cellStyle name="20 % - Markeringsfarve1 2 5 3 5" xfId="36641" xr:uid="{00000000-0005-0000-0000-0000FA030000}"/>
    <cellStyle name="20 % - Markeringsfarve1 2 5 4" xfId="3914" xr:uid="{00000000-0005-0000-0000-0000FB030000}"/>
    <cellStyle name="20 % - Markeringsfarve1 2 5 4 2" xfId="10573" xr:uid="{00000000-0005-0000-0000-0000FC030000}"/>
    <cellStyle name="20 % - Markeringsfarve1 2 5 4 2 2" xfId="18422" xr:uid="{00000000-0005-0000-0000-0000FD030000}"/>
    <cellStyle name="20 % - Markeringsfarve1 2 5 4 2 2 2" xfId="34698" xr:uid="{00000000-0005-0000-0000-0000FE030000}"/>
    <cellStyle name="20 % - Markeringsfarve1 2 5 4 2 2 3" xfId="49657" xr:uid="{00000000-0005-0000-0000-0000FF030000}"/>
    <cellStyle name="20 % - Markeringsfarve1 2 5 4 2 3" xfId="27696" xr:uid="{00000000-0005-0000-0000-000000040000}"/>
    <cellStyle name="20 % - Markeringsfarve1 2 5 4 2 4" xfId="42660" xr:uid="{00000000-0005-0000-0000-000001040000}"/>
    <cellStyle name="20 % - Markeringsfarve1 2 5 4 3" xfId="12399" xr:uid="{00000000-0005-0000-0000-000002040000}"/>
    <cellStyle name="20 % - Markeringsfarve1 2 5 4 3 2" xfId="28678" xr:uid="{00000000-0005-0000-0000-000003040000}"/>
    <cellStyle name="20 % - Markeringsfarve1 2 5 4 3 3" xfId="43639" xr:uid="{00000000-0005-0000-0000-000004040000}"/>
    <cellStyle name="20 % - Markeringsfarve1 2 5 4 4" xfId="21676" xr:uid="{00000000-0005-0000-0000-000005040000}"/>
    <cellStyle name="20 % - Markeringsfarve1 2 5 4 5" xfId="36642" xr:uid="{00000000-0005-0000-0000-000006040000}"/>
    <cellStyle name="20 % - Markeringsfarve1 2 5 5" xfId="7636" xr:uid="{00000000-0005-0000-0000-000007040000}"/>
    <cellStyle name="20 % - Markeringsfarve1 2 5 5 2" xfId="15501" xr:uid="{00000000-0005-0000-0000-000008040000}"/>
    <cellStyle name="20 % - Markeringsfarve1 2 5 5 2 2" xfId="31777" xr:uid="{00000000-0005-0000-0000-000009040000}"/>
    <cellStyle name="20 % - Markeringsfarve1 2 5 5 2 3" xfId="46736" xr:uid="{00000000-0005-0000-0000-00000A040000}"/>
    <cellStyle name="20 % - Markeringsfarve1 2 5 5 3" xfId="24775" xr:uid="{00000000-0005-0000-0000-00000B040000}"/>
    <cellStyle name="20 % - Markeringsfarve1 2 5 5 4" xfId="39739" xr:uid="{00000000-0005-0000-0000-00000C040000}"/>
    <cellStyle name="20 % - Markeringsfarve1 2 5 6" xfId="12395" xr:uid="{00000000-0005-0000-0000-00000D040000}"/>
    <cellStyle name="20 % - Markeringsfarve1 2 5 6 2" xfId="28674" xr:uid="{00000000-0005-0000-0000-00000E040000}"/>
    <cellStyle name="20 % - Markeringsfarve1 2 5 6 3" xfId="43635" xr:uid="{00000000-0005-0000-0000-00000F040000}"/>
    <cellStyle name="20 % - Markeringsfarve1 2 5 7" xfId="21672" xr:uid="{00000000-0005-0000-0000-000010040000}"/>
    <cellStyle name="20 % - Markeringsfarve1 2 5 8" xfId="36638" xr:uid="{00000000-0005-0000-0000-000011040000}"/>
    <cellStyle name="20 % - Markeringsfarve1 2 6" xfId="3915" xr:uid="{00000000-0005-0000-0000-000012040000}"/>
    <cellStyle name="20 % - Markeringsfarve1 2 6 2" xfId="3916" xr:uid="{00000000-0005-0000-0000-000013040000}"/>
    <cellStyle name="20 % - Markeringsfarve1 2 6 2 2" xfId="3917" xr:uid="{00000000-0005-0000-0000-000014040000}"/>
    <cellStyle name="20 % - Markeringsfarve1 2 6 2 2 2" xfId="10077" xr:uid="{00000000-0005-0000-0000-000015040000}"/>
    <cellStyle name="20 % - Markeringsfarve1 2 6 2 2 2 2" xfId="17932" xr:uid="{00000000-0005-0000-0000-000016040000}"/>
    <cellStyle name="20 % - Markeringsfarve1 2 6 2 2 2 2 2" xfId="34208" xr:uid="{00000000-0005-0000-0000-000017040000}"/>
    <cellStyle name="20 % - Markeringsfarve1 2 6 2 2 2 2 3" xfId="49167" xr:uid="{00000000-0005-0000-0000-000018040000}"/>
    <cellStyle name="20 % - Markeringsfarve1 2 6 2 2 2 3" xfId="27206" xr:uid="{00000000-0005-0000-0000-000019040000}"/>
    <cellStyle name="20 % - Markeringsfarve1 2 6 2 2 2 4" xfId="42170" xr:uid="{00000000-0005-0000-0000-00001A040000}"/>
    <cellStyle name="20 % - Markeringsfarve1 2 6 2 2 3" xfId="12402" xr:uid="{00000000-0005-0000-0000-00001B040000}"/>
    <cellStyle name="20 % - Markeringsfarve1 2 6 2 2 3 2" xfId="28681" xr:uid="{00000000-0005-0000-0000-00001C040000}"/>
    <cellStyle name="20 % - Markeringsfarve1 2 6 2 2 3 3" xfId="43642" xr:uid="{00000000-0005-0000-0000-00001D040000}"/>
    <cellStyle name="20 % - Markeringsfarve1 2 6 2 2 4" xfId="21679" xr:uid="{00000000-0005-0000-0000-00001E040000}"/>
    <cellStyle name="20 % - Markeringsfarve1 2 6 2 2 5" xfId="36645" xr:uid="{00000000-0005-0000-0000-00001F040000}"/>
    <cellStyle name="20 % - Markeringsfarve1 2 6 2 3" xfId="8621" xr:uid="{00000000-0005-0000-0000-000020040000}"/>
    <cellStyle name="20 % - Markeringsfarve1 2 6 2 3 2" xfId="16488" xr:uid="{00000000-0005-0000-0000-000021040000}"/>
    <cellStyle name="20 % - Markeringsfarve1 2 6 2 3 2 2" xfId="32764" xr:uid="{00000000-0005-0000-0000-000022040000}"/>
    <cellStyle name="20 % - Markeringsfarve1 2 6 2 3 2 3" xfId="47723" xr:uid="{00000000-0005-0000-0000-000023040000}"/>
    <cellStyle name="20 % - Markeringsfarve1 2 6 2 3 3" xfId="25762" xr:uid="{00000000-0005-0000-0000-000024040000}"/>
    <cellStyle name="20 % - Markeringsfarve1 2 6 2 3 4" xfId="40726" xr:uid="{00000000-0005-0000-0000-000025040000}"/>
    <cellStyle name="20 % - Markeringsfarve1 2 6 2 4" xfId="12401" xr:uid="{00000000-0005-0000-0000-000026040000}"/>
    <cellStyle name="20 % - Markeringsfarve1 2 6 2 4 2" xfId="28680" xr:uid="{00000000-0005-0000-0000-000027040000}"/>
    <cellStyle name="20 % - Markeringsfarve1 2 6 2 4 3" xfId="43641" xr:uid="{00000000-0005-0000-0000-000028040000}"/>
    <cellStyle name="20 % - Markeringsfarve1 2 6 2 5" xfId="21678" xr:uid="{00000000-0005-0000-0000-000029040000}"/>
    <cellStyle name="20 % - Markeringsfarve1 2 6 2 6" xfId="36644" xr:uid="{00000000-0005-0000-0000-00002A040000}"/>
    <cellStyle name="20 % - Markeringsfarve1 2 6 3" xfId="3918" xr:uid="{00000000-0005-0000-0000-00002B040000}"/>
    <cellStyle name="20 % - Markeringsfarve1 2 6 3 2" xfId="9354" xr:uid="{00000000-0005-0000-0000-00002C040000}"/>
    <cellStyle name="20 % - Markeringsfarve1 2 6 3 2 2" xfId="17217" xr:uid="{00000000-0005-0000-0000-00002D040000}"/>
    <cellStyle name="20 % - Markeringsfarve1 2 6 3 2 2 2" xfId="33493" xr:uid="{00000000-0005-0000-0000-00002E040000}"/>
    <cellStyle name="20 % - Markeringsfarve1 2 6 3 2 2 3" xfId="48452" xr:uid="{00000000-0005-0000-0000-00002F040000}"/>
    <cellStyle name="20 % - Markeringsfarve1 2 6 3 2 3" xfId="26491" xr:uid="{00000000-0005-0000-0000-000030040000}"/>
    <cellStyle name="20 % - Markeringsfarve1 2 6 3 2 4" xfId="41455" xr:uid="{00000000-0005-0000-0000-000031040000}"/>
    <cellStyle name="20 % - Markeringsfarve1 2 6 3 3" xfId="12403" xr:uid="{00000000-0005-0000-0000-000032040000}"/>
    <cellStyle name="20 % - Markeringsfarve1 2 6 3 3 2" xfId="28682" xr:uid="{00000000-0005-0000-0000-000033040000}"/>
    <cellStyle name="20 % - Markeringsfarve1 2 6 3 3 3" xfId="43643" xr:uid="{00000000-0005-0000-0000-000034040000}"/>
    <cellStyle name="20 % - Markeringsfarve1 2 6 3 4" xfId="21680" xr:uid="{00000000-0005-0000-0000-000035040000}"/>
    <cellStyle name="20 % - Markeringsfarve1 2 6 3 5" xfId="36646" xr:uid="{00000000-0005-0000-0000-000036040000}"/>
    <cellStyle name="20 % - Markeringsfarve1 2 6 4" xfId="3919" xr:uid="{00000000-0005-0000-0000-000037040000}"/>
    <cellStyle name="20 % - Markeringsfarve1 2 6 4 2" xfId="10572" xr:uid="{00000000-0005-0000-0000-000038040000}"/>
    <cellStyle name="20 % - Markeringsfarve1 2 6 4 2 2" xfId="18421" xr:uid="{00000000-0005-0000-0000-000039040000}"/>
    <cellStyle name="20 % - Markeringsfarve1 2 6 4 2 2 2" xfId="34697" xr:uid="{00000000-0005-0000-0000-00003A040000}"/>
    <cellStyle name="20 % - Markeringsfarve1 2 6 4 2 2 3" xfId="49656" xr:uid="{00000000-0005-0000-0000-00003B040000}"/>
    <cellStyle name="20 % - Markeringsfarve1 2 6 4 2 3" xfId="27695" xr:uid="{00000000-0005-0000-0000-00003C040000}"/>
    <cellStyle name="20 % - Markeringsfarve1 2 6 4 2 4" xfId="42659" xr:uid="{00000000-0005-0000-0000-00003D040000}"/>
    <cellStyle name="20 % - Markeringsfarve1 2 6 4 3" xfId="12404" xr:uid="{00000000-0005-0000-0000-00003E040000}"/>
    <cellStyle name="20 % - Markeringsfarve1 2 6 4 3 2" xfId="28683" xr:uid="{00000000-0005-0000-0000-00003F040000}"/>
    <cellStyle name="20 % - Markeringsfarve1 2 6 4 3 3" xfId="43644" xr:uid="{00000000-0005-0000-0000-000040040000}"/>
    <cellStyle name="20 % - Markeringsfarve1 2 6 4 4" xfId="21681" xr:uid="{00000000-0005-0000-0000-000041040000}"/>
    <cellStyle name="20 % - Markeringsfarve1 2 6 4 5" xfId="36647" xr:uid="{00000000-0005-0000-0000-000042040000}"/>
    <cellStyle name="20 % - Markeringsfarve1 2 6 5" xfId="7637" xr:uid="{00000000-0005-0000-0000-000043040000}"/>
    <cellStyle name="20 % - Markeringsfarve1 2 6 5 2" xfId="15502" xr:uid="{00000000-0005-0000-0000-000044040000}"/>
    <cellStyle name="20 % - Markeringsfarve1 2 6 5 2 2" xfId="31778" xr:uid="{00000000-0005-0000-0000-000045040000}"/>
    <cellStyle name="20 % - Markeringsfarve1 2 6 5 2 3" xfId="46737" xr:uid="{00000000-0005-0000-0000-000046040000}"/>
    <cellStyle name="20 % - Markeringsfarve1 2 6 5 3" xfId="24776" xr:uid="{00000000-0005-0000-0000-000047040000}"/>
    <cellStyle name="20 % - Markeringsfarve1 2 6 5 4" xfId="39740" xr:uid="{00000000-0005-0000-0000-000048040000}"/>
    <cellStyle name="20 % - Markeringsfarve1 2 6 6" xfId="12400" xr:uid="{00000000-0005-0000-0000-000049040000}"/>
    <cellStyle name="20 % - Markeringsfarve1 2 6 6 2" xfId="28679" xr:uid="{00000000-0005-0000-0000-00004A040000}"/>
    <cellStyle name="20 % - Markeringsfarve1 2 6 6 3" xfId="43640" xr:uid="{00000000-0005-0000-0000-00004B040000}"/>
    <cellStyle name="20 % - Markeringsfarve1 2 6 7" xfId="21677" xr:uid="{00000000-0005-0000-0000-00004C040000}"/>
    <cellStyle name="20 % - Markeringsfarve1 2 6 8" xfId="36643" xr:uid="{00000000-0005-0000-0000-00004D040000}"/>
    <cellStyle name="20 % - Markeringsfarve1 2 7" xfId="3920" xr:uid="{00000000-0005-0000-0000-00004E040000}"/>
    <cellStyle name="20 % - Markeringsfarve1 2 7 2" xfId="3921" xr:uid="{00000000-0005-0000-0000-00004F040000}"/>
    <cellStyle name="20 % - Markeringsfarve1 2 7 2 2" xfId="3922" xr:uid="{00000000-0005-0000-0000-000050040000}"/>
    <cellStyle name="20 % - Markeringsfarve1 2 7 2 2 2" xfId="10194" xr:uid="{00000000-0005-0000-0000-000051040000}"/>
    <cellStyle name="20 % - Markeringsfarve1 2 7 2 2 2 2" xfId="18049" xr:uid="{00000000-0005-0000-0000-000052040000}"/>
    <cellStyle name="20 % - Markeringsfarve1 2 7 2 2 2 2 2" xfId="34325" xr:uid="{00000000-0005-0000-0000-000053040000}"/>
    <cellStyle name="20 % - Markeringsfarve1 2 7 2 2 2 2 3" xfId="49284" xr:uid="{00000000-0005-0000-0000-000054040000}"/>
    <cellStyle name="20 % - Markeringsfarve1 2 7 2 2 2 3" xfId="27323" xr:uid="{00000000-0005-0000-0000-000055040000}"/>
    <cellStyle name="20 % - Markeringsfarve1 2 7 2 2 2 4" xfId="42287" xr:uid="{00000000-0005-0000-0000-000056040000}"/>
    <cellStyle name="20 % - Markeringsfarve1 2 7 2 2 3" xfId="12407" xr:uid="{00000000-0005-0000-0000-000057040000}"/>
    <cellStyle name="20 % - Markeringsfarve1 2 7 2 2 3 2" xfId="28686" xr:uid="{00000000-0005-0000-0000-000058040000}"/>
    <cellStyle name="20 % - Markeringsfarve1 2 7 2 2 3 3" xfId="43647" xr:uid="{00000000-0005-0000-0000-000059040000}"/>
    <cellStyle name="20 % - Markeringsfarve1 2 7 2 2 4" xfId="21684" xr:uid="{00000000-0005-0000-0000-00005A040000}"/>
    <cellStyle name="20 % - Markeringsfarve1 2 7 2 2 5" xfId="36650" xr:uid="{00000000-0005-0000-0000-00005B040000}"/>
    <cellStyle name="20 % - Markeringsfarve1 2 7 2 3" xfId="8720" xr:uid="{00000000-0005-0000-0000-00005C040000}"/>
    <cellStyle name="20 % - Markeringsfarve1 2 7 2 3 2" xfId="16587" xr:uid="{00000000-0005-0000-0000-00005D040000}"/>
    <cellStyle name="20 % - Markeringsfarve1 2 7 2 3 2 2" xfId="32863" xr:uid="{00000000-0005-0000-0000-00005E040000}"/>
    <cellStyle name="20 % - Markeringsfarve1 2 7 2 3 2 3" xfId="47822" xr:uid="{00000000-0005-0000-0000-00005F040000}"/>
    <cellStyle name="20 % - Markeringsfarve1 2 7 2 3 3" xfId="25861" xr:uid="{00000000-0005-0000-0000-000060040000}"/>
    <cellStyle name="20 % - Markeringsfarve1 2 7 2 3 4" xfId="40825" xr:uid="{00000000-0005-0000-0000-000061040000}"/>
    <cellStyle name="20 % - Markeringsfarve1 2 7 2 4" xfId="12406" xr:uid="{00000000-0005-0000-0000-000062040000}"/>
    <cellStyle name="20 % - Markeringsfarve1 2 7 2 4 2" xfId="28685" xr:uid="{00000000-0005-0000-0000-000063040000}"/>
    <cellStyle name="20 % - Markeringsfarve1 2 7 2 4 3" xfId="43646" xr:uid="{00000000-0005-0000-0000-000064040000}"/>
    <cellStyle name="20 % - Markeringsfarve1 2 7 2 5" xfId="21683" xr:uid="{00000000-0005-0000-0000-000065040000}"/>
    <cellStyle name="20 % - Markeringsfarve1 2 7 2 6" xfId="36649" xr:uid="{00000000-0005-0000-0000-000066040000}"/>
    <cellStyle name="20 % - Markeringsfarve1 2 7 3" xfId="3923" xr:uid="{00000000-0005-0000-0000-000067040000}"/>
    <cellStyle name="20 % - Markeringsfarve1 2 7 3 2" xfId="9471" xr:uid="{00000000-0005-0000-0000-000068040000}"/>
    <cellStyle name="20 % - Markeringsfarve1 2 7 3 2 2" xfId="17334" xr:uid="{00000000-0005-0000-0000-000069040000}"/>
    <cellStyle name="20 % - Markeringsfarve1 2 7 3 2 2 2" xfId="33610" xr:uid="{00000000-0005-0000-0000-00006A040000}"/>
    <cellStyle name="20 % - Markeringsfarve1 2 7 3 2 2 3" xfId="48569" xr:uid="{00000000-0005-0000-0000-00006B040000}"/>
    <cellStyle name="20 % - Markeringsfarve1 2 7 3 2 3" xfId="26608" xr:uid="{00000000-0005-0000-0000-00006C040000}"/>
    <cellStyle name="20 % - Markeringsfarve1 2 7 3 2 4" xfId="41572" xr:uid="{00000000-0005-0000-0000-00006D040000}"/>
    <cellStyle name="20 % - Markeringsfarve1 2 7 3 3" xfId="12408" xr:uid="{00000000-0005-0000-0000-00006E040000}"/>
    <cellStyle name="20 % - Markeringsfarve1 2 7 3 3 2" xfId="28687" xr:uid="{00000000-0005-0000-0000-00006F040000}"/>
    <cellStyle name="20 % - Markeringsfarve1 2 7 3 3 3" xfId="43648" xr:uid="{00000000-0005-0000-0000-000070040000}"/>
    <cellStyle name="20 % - Markeringsfarve1 2 7 3 4" xfId="21685" xr:uid="{00000000-0005-0000-0000-000071040000}"/>
    <cellStyle name="20 % - Markeringsfarve1 2 7 3 5" xfId="36651" xr:uid="{00000000-0005-0000-0000-000072040000}"/>
    <cellStyle name="20 % - Markeringsfarve1 2 7 4" xfId="3924" xr:uid="{00000000-0005-0000-0000-000073040000}"/>
    <cellStyle name="20 % - Markeringsfarve1 2 7 4 2" xfId="10571" xr:uid="{00000000-0005-0000-0000-000074040000}"/>
    <cellStyle name="20 % - Markeringsfarve1 2 7 4 2 2" xfId="18420" xr:uid="{00000000-0005-0000-0000-000075040000}"/>
    <cellStyle name="20 % - Markeringsfarve1 2 7 4 2 2 2" xfId="34696" xr:uid="{00000000-0005-0000-0000-000076040000}"/>
    <cellStyle name="20 % - Markeringsfarve1 2 7 4 2 2 3" xfId="49655" xr:uid="{00000000-0005-0000-0000-000077040000}"/>
    <cellStyle name="20 % - Markeringsfarve1 2 7 4 2 3" xfId="27694" xr:uid="{00000000-0005-0000-0000-000078040000}"/>
    <cellStyle name="20 % - Markeringsfarve1 2 7 4 2 4" xfId="42658" xr:uid="{00000000-0005-0000-0000-000079040000}"/>
    <cellStyle name="20 % - Markeringsfarve1 2 7 4 3" xfId="12409" xr:uid="{00000000-0005-0000-0000-00007A040000}"/>
    <cellStyle name="20 % - Markeringsfarve1 2 7 4 3 2" xfId="28688" xr:uid="{00000000-0005-0000-0000-00007B040000}"/>
    <cellStyle name="20 % - Markeringsfarve1 2 7 4 3 3" xfId="43649" xr:uid="{00000000-0005-0000-0000-00007C040000}"/>
    <cellStyle name="20 % - Markeringsfarve1 2 7 4 4" xfId="21686" xr:uid="{00000000-0005-0000-0000-00007D040000}"/>
    <cellStyle name="20 % - Markeringsfarve1 2 7 4 5" xfId="36652" xr:uid="{00000000-0005-0000-0000-00007E040000}"/>
    <cellStyle name="20 % - Markeringsfarve1 2 7 5" xfId="7638" xr:uid="{00000000-0005-0000-0000-00007F040000}"/>
    <cellStyle name="20 % - Markeringsfarve1 2 7 5 2" xfId="15503" xr:uid="{00000000-0005-0000-0000-000080040000}"/>
    <cellStyle name="20 % - Markeringsfarve1 2 7 5 2 2" xfId="31779" xr:uid="{00000000-0005-0000-0000-000081040000}"/>
    <cellStyle name="20 % - Markeringsfarve1 2 7 5 2 3" xfId="46738" xr:uid="{00000000-0005-0000-0000-000082040000}"/>
    <cellStyle name="20 % - Markeringsfarve1 2 7 5 3" xfId="24777" xr:uid="{00000000-0005-0000-0000-000083040000}"/>
    <cellStyle name="20 % - Markeringsfarve1 2 7 5 4" xfId="39741" xr:uid="{00000000-0005-0000-0000-000084040000}"/>
    <cellStyle name="20 % - Markeringsfarve1 2 7 6" xfId="12405" xr:uid="{00000000-0005-0000-0000-000085040000}"/>
    <cellStyle name="20 % - Markeringsfarve1 2 7 6 2" xfId="28684" xr:uid="{00000000-0005-0000-0000-000086040000}"/>
    <cellStyle name="20 % - Markeringsfarve1 2 7 6 3" xfId="43645" xr:uid="{00000000-0005-0000-0000-000087040000}"/>
    <cellStyle name="20 % - Markeringsfarve1 2 7 7" xfId="21682" xr:uid="{00000000-0005-0000-0000-000088040000}"/>
    <cellStyle name="20 % - Markeringsfarve1 2 7 8" xfId="36648" xr:uid="{00000000-0005-0000-0000-000089040000}"/>
    <cellStyle name="20 % - Markeringsfarve1 2 8" xfId="3925" xr:uid="{00000000-0005-0000-0000-00008A040000}"/>
    <cellStyle name="20 % - Markeringsfarve1 2 8 2" xfId="3926" xr:uid="{00000000-0005-0000-0000-00008B040000}"/>
    <cellStyle name="20 % - Markeringsfarve1 2 8 2 2" xfId="3927" xr:uid="{00000000-0005-0000-0000-00008C040000}"/>
    <cellStyle name="20 % - Markeringsfarve1 2 8 2 2 2" xfId="10286" xr:uid="{00000000-0005-0000-0000-00008D040000}"/>
    <cellStyle name="20 % - Markeringsfarve1 2 8 2 2 2 2" xfId="18141" xr:uid="{00000000-0005-0000-0000-00008E040000}"/>
    <cellStyle name="20 % - Markeringsfarve1 2 8 2 2 2 2 2" xfId="34417" xr:uid="{00000000-0005-0000-0000-00008F040000}"/>
    <cellStyle name="20 % - Markeringsfarve1 2 8 2 2 2 2 3" xfId="49376" xr:uid="{00000000-0005-0000-0000-000090040000}"/>
    <cellStyle name="20 % - Markeringsfarve1 2 8 2 2 2 3" xfId="27415" xr:uid="{00000000-0005-0000-0000-000091040000}"/>
    <cellStyle name="20 % - Markeringsfarve1 2 8 2 2 2 4" xfId="42379" xr:uid="{00000000-0005-0000-0000-000092040000}"/>
    <cellStyle name="20 % - Markeringsfarve1 2 8 2 2 3" xfId="12412" xr:uid="{00000000-0005-0000-0000-000093040000}"/>
    <cellStyle name="20 % - Markeringsfarve1 2 8 2 2 3 2" xfId="28691" xr:uid="{00000000-0005-0000-0000-000094040000}"/>
    <cellStyle name="20 % - Markeringsfarve1 2 8 2 2 3 3" xfId="43652" xr:uid="{00000000-0005-0000-0000-000095040000}"/>
    <cellStyle name="20 % - Markeringsfarve1 2 8 2 2 4" xfId="21689" xr:uid="{00000000-0005-0000-0000-000096040000}"/>
    <cellStyle name="20 % - Markeringsfarve1 2 8 2 2 5" xfId="36655" xr:uid="{00000000-0005-0000-0000-000097040000}"/>
    <cellStyle name="20 % - Markeringsfarve1 2 8 2 3" xfId="8798" xr:uid="{00000000-0005-0000-0000-000098040000}"/>
    <cellStyle name="20 % - Markeringsfarve1 2 8 2 3 2" xfId="16665" xr:uid="{00000000-0005-0000-0000-000099040000}"/>
    <cellStyle name="20 % - Markeringsfarve1 2 8 2 3 2 2" xfId="32941" xr:uid="{00000000-0005-0000-0000-00009A040000}"/>
    <cellStyle name="20 % - Markeringsfarve1 2 8 2 3 2 3" xfId="47900" xr:uid="{00000000-0005-0000-0000-00009B040000}"/>
    <cellStyle name="20 % - Markeringsfarve1 2 8 2 3 3" xfId="25939" xr:uid="{00000000-0005-0000-0000-00009C040000}"/>
    <cellStyle name="20 % - Markeringsfarve1 2 8 2 3 4" xfId="40903" xr:uid="{00000000-0005-0000-0000-00009D040000}"/>
    <cellStyle name="20 % - Markeringsfarve1 2 8 2 4" xfId="12411" xr:uid="{00000000-0005-0000-0000-00009E040000}"/>
    <cellStyle name="20 % - Markeringsfarve1 2 8 2 4 2" xfId="28690" xr:uid="{00000000-0005-0000-0000-00009F040000}"/>
    <cellStyle name="20 % - Markeringsfarve1 2 8 2 4 3" xfId="43651" xr:uid="{00000000-0005-0000-0000-0000A0040000}"/>
    <cellStyle name="20 % - Markeringsfarve1 2 8 2 5" xfId="21688" xr:uid="{00000000-0005-0000-0000-0000A1040000}"/>
    <cellStyle name="20 % - Markeringsfarve1 2 8 2 6" xfId="36654" xr:uid="{00000000-0005-0000-0000-0000A2040000}"/>
    <cellStyle name="20 % - Markeringsfarve1 2 8 3" xfId="3928" xr:uid="{00000000-0005-0000-0000-0000A3040000}"/>
    <cellStyle name="20 % - Markeringsfarve1 2 8 3 2" xfId="9564" xr:uid="{00000000-0005-0000-0000-0000A4040000}"/>
    <cellStyle name="20 % - Markeringsfarve1 2 8 3 2 2" xfId="17427" xr:uid="{00000000-0005-0000-0000-0000A5040000}"/>
    <cellStyle name="20 % - Markeringsfarve1 2 8 3 2 2 2" xfId="33703" xr:uid="{00000000-0005-0000-0000-0000A6040000}"/>
    <cellStyle name="20 % - Markeringsfarve1 2 8 3 2 2 3" xfId="48662" xr:uid="{00000000-0005-0000-0000-0000A7040000}"/>
    <cellStyle name="20 % - Markeringsfarve1 2 8 3 2 3" xfId="26701" xr:uid="{00000000-0005-0000-0000-0000A8040000}"/>
    <cellStyle name="20 % - Markeringsfarve1 2 8 3 2 4" xfId="41665" xr:uid="{00000000-0005-0000-0000-0000A9040000}"/>
    <cellStyle name="20 % - Markeringsfarve1 2 8 3 3" xfId="12413" xr:uid="{00000000-0005-0000-0000-0000AA040000}"/>
    <cellStyle name="20 % - Markeringsfarve1 2 8 3 3 2" xfId="28692" xr:uid="{00000000-0005-0000-0000-0000AB040000}"/>
    <cellStyle name="20 % - Markeringsfarve1 2 8 3 3 3" xfId="43653" xr:uid="{00000000-0005-0000-0000-0000AC040000}"/>
    <cellStyle name="20 % - Markeringsfarve1 2 8 3 4" xfId="21690" xr:uid="{00000000-0005-0000-0000-0000AD040000}"/>
    <cellStyle name="20 % - Markeringsfarve1 2 8 3 5" xfId="36656" xr:uid="{00000000-0005-0000-0000-0000AE040000}"/>
    <cellStyle name="20 % - Markeringsfarve1 2 8 4" xfId="3929" xr:uid="{00000000-0005-0000-0000-0000AF040000}"/>
    <cellStyle name="20 % - Markeringsfarve1 2 8 4 2" xfId="10570" xr:uid="{00000000-0005-0000-0000-0000B0040000}"/>
    <cellStyle name="20 % - Markeringsfarve1 2 8 4 2 2" xfId="18419" xr:uid="{00000000-0005-0000-0000-0000B1040000}"/>
    <cellStyle name="20 % - Markeringsfarve1 2 8 4 2 2 2" xfId="34695" xr:uid="{00000000-0005-0000-0000-0000B2040000}"/>
    <cellStyle name="20 % - Markeringsfarve1 2 8 4 2 2 3" xfId="49654" xr:uid="{00000000-0005-0000-0000-0000B3040000}"/>
    <cellStyle name="20 % - Markeringsfarve1 2 8 4 2 3" xfId="27693" xr:uid="{00000000-0005-0000-0000-0000B4040000}"/>
    <cellStyle name="20 % - Markeringsfarve1 2 8 4 2 4" xfId="42657" xr:uid="{00000000-0005-0000-0000-0000B5040000}"/>
    <cellStyle name="20 % - Markeringsfarve1 2 8 4 3" xfId="12414" xr:uid="{00000000-0005-0000-0000-0000B6040000}"/>
    <cellStyle name="20 % - Markeringsfarve1 2 8 4 3 2" xfId="28693" xr:uid="{00000000-0005-0000-0000-0000B7040000}"/>
    <cellStyle name="20 % - Markeringsfarve1 2 8 4 3 3" xfId="43654" xr:uid="{00000000-0005-0000-0000-0000B8040000}"/>
    <cellStyle name="20 % - Markeringsfarve1 2 8 4 4" xfId="21691" xr:uid="{00000000-0005-0000-0000-0000B9040000}"/>
    <cellStyle name="20 % - Markeringsfarve1 2 8 4 5" xfId="36657" xr:uid="{00000000-0005-0000-0000-0000BA040000}"/>
    <cellStyle name="20 % - Markeringsfarve1 2 8 5" xfId="7639" xr:uid="{00000000-0005-0000-0000-0000BB040000}"/>
    <cellStyle name="20 % - Markeringsfarve1 2 8 5 2" xfId="15504" xr:uid="{00000000-0005-0000-0000-0000BC040000}"/>
    <cellStyle name="20 % - Markeringsfarve1 2 8 5 2 2" xfId="31780" xr:uid="{00000000-0005-0000-0000-0000BD040000}"/>
    <cellStyle name="20 % - Markeringsfarve1 2 8 5 2 3" xfId="46739" xr:uid="{00000000-0005-0000-0000-0000BE040000}"/>
    <cellStyle name="20 % - Markeringsfarve1 2 8 5 3" xfId="24778" xr:uid="{00000000-0005-0000-0000-0000BF040000}"/>
    <cellStyle name="20 % - Markeringsfarve1 2 8 5 4" xfId="39742" xr:uid="{00000000-0005-0000-0000-0000C0040000}"/>
    <cellStyle name="20 % - Markeringsfarve1 2 8 6" xfId="12410" xr:uid="{00000000-0005-0000-0000-0000C1040000}"/>
    <cellStyle name="20 % - Markeringsfarve1 2 8 6 2" xfId="28689" xr:uid="{00000000-0005-0000-0000-0000C2040000}"/>
    <cellStyle name="20 % - Markeringsfarve1 2 8 6 3" xfId="43650" xr:uid="{00000000-0005-0000-0000-0000C3040000}"/>
    <cellStyle name="20 % - Markeringsfarve1 2 8 7" xfId="21687" xr:uid="{00000000-0005-0000-0000-0000C4040000}"/>
    <cellStyle name="20 % - Markeringsfarve1 2 8 8" xfId="36653" xr:uid="{00000000-0005-0000-0000-0000C5040000}"/>
    <cellStyle name="20 % - Markeringsfarve1 2 9" xfId="3930" xr:uid="{00000000-0005-0000-0000-0000C6040000}"/>
    <cellStyle name="20 % - Markeringsfarve1 2 9 2" xfId="3931" xr:uid="{00000000-0005-0000-0000-0000C7040000}"/>
    <cellStyle name="20 % - Markeringsfarve1 2 9 2 2" xfId="9721" xr:uid="{00000000-0005-0000-0000-0000C8040000}"/>
    <cellStyle name="20 % - Markeringsfarve1 2 9 2 2 2" xfId="17575" xr:uid="{00000000-0005-0000-0000-0000C9040000}"/>
    <cellStyle name="20 % - Markeringsfarve1 2 9 2 2 2 2" xfId="33851" xr:uid="{00000000-0005-0000-0000-0000CA040000}"/>
    <cellStyle name="20 % - Markeringsfarve1 2 9 2 2 2 3" xfId="48810" xr:uid="{00000000-0005-0000-0000-0000CB040000}"/>
    <cellStyle name="20 % - Markeringsfarve1 2 9 2 2 3" xfId="26849" xr:uid="{00000000-0005-0000-0000-0000CC040000}"/>
    <cellStyle name="20 % - Markeringsfarve1 2 9 2 2 4" xfId="41813" xr:uid="{00000000-0005-0000-0000-0000CD040000}"/>
    <cellStyle name="20 % - Markeringsfarve1 2 9 2 3" xfId="12416" xr:uid="{00000000-0005-0000-0000-0000CE040000}"/>
    <cellStyle name="20 % - Markeringsfarve1 2 9 2 3 2" xfId="28695" xr:uid="{00000000-0005-0000-0000-0000CF040000}"/>
    <cellStyle name="20 % - Markeringsfarve1 2 9 2 3 3" xfId="43656" xr:uid="{00000000-0005-0000-0000-0000D0040000}"/>
    <cellStyle name="20 % - Markeringsfarve1 2 9 2 4" xfId="21693" xr:uid="{00000000-0005-0000-0000-0000D1040000}"/>
    <cellStyle name="20 % - Markeringsfarve1 2 9 2 5" xfId="36659" xr:uid="{00000000-0005-0000-0000-0000D2040000}"/>
    <cellStyle name="20 % - Markeringsfarve1 2 9 3" xfId="8320" xr:uid="{00000000-0005-0000-0000-0000D3040000}"/>
    <cellStyle name="20 % - Markeringsfarve1 2 9 3 2" xfId="16190" xr:uid="{00000000-0005-0000-0000-0000D4040000}"/>
    <cellStyle name="20 % - Markeringsfarve1 2 9 3 2 2" xfId="32466" xr:uid="{00000000-0005-0000-0000-0000D5040000}"/>
    <cellStyle name="20 % - Markeringsfarve1 2 9 3 2 3" xfId="47425" xr:uid="{00000000-0005-0000-0000-0000D6040000}"/>
    <cellStyle name="20 % - Markeringsfarve1 2 9 3 3" xfId="25464" xr:uid="{00000000-0005-0000-0000-0000D7040000}"/>
    <cellStyle name="20 % - Markeringsfarve1 2 9 3 4" xfId="40428" xr:uid="{00000000-0005-0000-0000-0000D8040000}"/>
    <cellStyle name="20 % - Markeringsfarve1 2 9 4" xfId="12415" xr:uid="{00000000-0005-0000-0000-0000D9040000}"/>
    <cellStyle name="20 % - Markeringsfarve1 2 9 4 2" xfId="28694" xr:uid="{00000000-0005-0000-0000-0000DA040000}"/>
    <cellStyle name="20 % - Markeringsfarve1 2 9 4 3" xfId="43655" xr:uid="{00000000-0005-0000-0000-0000DB040000}"/>
    <cellStyle name="20 % - Markeringsfarve1 2 9 5" xfId="21692" xr:uid="{00000000-0005-0000-0000-0000DC040000}"/>
    <cellStyle name="20 % - Markeringsfarve1 2 9 6" xfId="36658" xr:uid="{00000000-0005-0000-0000-0000DD040000}"/>
    <cellStyle name="20 % - Markeringsfarve1 3" xfId="3932" xr:uid="{00000000-0005-0000-0000-0000DE040000}"/>
    <cellStyle name="20 % - Markeringsfarve1 3 10" xfId="3933" xr:uid="{00000000-0005-0000-0000-0000DF040000}"/>
    <cellStyle name="20 % - Markeringsfarve1 3 10 2" xfId="8934" xr:uid="{00000000-0005-0000-0000-0000E0040000}"/>
    <cellStyle name="20 % - Markeringsfarve1 3 10 2 2" xfId="16799" xr:uid="{00000000-0005-0000-0000-0000E1040000}"/>
    <cellStyle name="20 % - Markeringsfarve1 3 10 2 2 2" xfId="33075" xr:uid="{00000000-0005-0000-0000-0000E2040000}"/>
    <cellStyle name="20 % - Markeringsfarve1 3 10 2 2 3" xfId="48034" xr:uid="{00000000-0005-0000-0000-0000E3040000}"/>
    <cellStyle name="20 % - Markeringsfarve1 3 10 2 3" xfId="26073" xr:uid="{00000000-0005-0000-0000-0000E4040000}"/>
    <cellStyle name="20 % - Markeringsfarve1 3 10 2 4" xfId="41037" xr:uid="{00000000-0005-0000-0000-0000E5040000}"/>
    <cellStyle name="20 % - Markeringsfarve1 3 10 3" xfId="12418" xr:uid="{00000000-0005-0000-0000-0000E6040000}"/>
    <cellStyle name="20 % - Markeringsfarve1 3 10 3 2" xfId="28697" xr:uid="{00000000-0005-0000-0000-0000E7040000}"/>
    <cellStyle name="20 % - Markeringsfarve1 3 10 3 3" xfId="43658" xr:uid="{00000000-0005-0000-0000-0000E8040000}"/>
    <cellStyle name="20 % - Markeringsfarve1 3 10 4" xfId="21695" xr:uid="{00000000-0005-0000-0000-0000E9040000}"/>
    <cellStyle name="20 % - Markeringsfarve1 3 10 5" xfId="36661" xr:uid="{00000000-0005-0000-0000-0000EA040000}"/>
    <cellStyle name="20 % - Markeringsfarve1 3 11" xfId="3934" xr:uid="{00000000-0005-0000-0000-0000EB040000}"/>
    <cellStyle name="20 % - Markeringsfarve1 3 11 2" xfId="10569" xr:uid="{00000000-0005-0000-0000-0000EC040000}"/>
    <cellStyle name="20 % - Markeringsfarve1 3 11 2 2" xfId="18418" xr:uid="{00000000-0005-0000-0000-0000ED040000}"/>
    <cellStyle name="20 % - Markeringsfarve1 3 11 2 2 2" xfId="34694" xr:uid="{00000000-0005-0000-0000-0000EE040000}"/>
    <cellStyle name="20 % - Markeringsfarve1 3 11 2 2 3" xfId="49653" xr:uid="{00000000-0005-0000-0000-0000EF040000}"/>
    <cellStyle name="20 % - Markeringsfarve1 3 11 2 3" xfId="27692" xr:uid="{00000000-0005-0000-0000-0000F0040000}"/>
    <cellStyle name="20 % - Markeringsfarve1 3 11 2 4" xfId="42656" xr:uid="{00000000-0005-0000-0000-0000F1040000}"/>
    <cellStyle name="20 % - Markeringsfarve1 3 11 3" xfId="12419" xr:uid="{00000000-0005-0000-0000-0000F2040000}"/>
    <cellStyle name="20 % - Markeringsfarve1 3 11 3 2" xfId="28698" xr:uid="{00000000-0005-0000-0000-0000F3040000}"/>
    <cellStyle name="20 % - Markeringsfarve1 3 11 3 3" xfId="43659" xr:uid="{00000000-0005-0000-0000-0000F4040000}"/>
    <cellStyle name="20 % - Markeringsfarve1 3 11 4" xfId="21696" xr:uid="{00000000-0005-0000-0000-0000F5040000}"/>
    <cellStyle name="20 % - Markeringsfarve1 3 11 5" xfId="36662" xr:uid="{00000000-0005-0000-0000-0000F6040000}"/>
    <cellStyle name="20 % - Markeringsfarve1 3 12" xfId="7640" xr:uid="{00000000-0005-0000-0000-0000F7040000}"/>
    <cellStyle name="20 % - Markeringsfarve1 3 12 2" xfId="15505" xr:uid="{00000000-0005-0000-0000-0000F8040000}"/>
    <cellStyle name="20 % - Markeringsfarve1 3 12 2 2" xfId="31781" xr:uid="{00000000-0005-0000-0000-0000F9040000}"/>
    <cellStyle name="20 % - Markeringsfarve1 3 12 2 3" xfId="46740" xr:uid="{00000000-0005-0000-0000-0000FA040000}"/>
    <cellStyle name="20 % - Markeringsfarve1 3 12 3" xfId="24779" xr:uid="{00000000-0005-0000-0000-0000FB040000}"/>
    <cellStyle name="20 % - Markeringsfarve1 3 12 4" xfId="39743" xr:uid="{00000000-0005-0000-0000-0000FC040000}"/>
    <cellStyle name="20 % - Markeringsfarve1 3 13" xfId="12417" xr:uid="{00000000-0005-0000-0000-0000FD040000}"/>
    <cellStyle name="20 % - Markeringsfarve1 3 13 2" xfId="28696" xr:uid="{00000000-0005-0000-0000-0000FE040000}"/>
    <cellStyle name="20 % - Markeringsfarve1 3 13 3" xfId="43657" xr:uid="{00000000-0005-0000-0000-0000FF040000}"/>
    <cellStyle name="20 % - Markeringsfarve1 3 14" xfId="21694" xr:uid="{00000000-0005-0000-0000-000000050000}"/>
    <cellStyle name="20 % - Markeringsfarve1 3 15" xfId="36660" xr:uid="{00000000-0005-0000-0000-000001050000}"/>
    <cellStyle name="20 % - Markeringsfarve1 3 2" xfId="3935" xr:uid="{00000000-0005-0000-0000-000002050000}"/>
    <cellStyle name="20 % - Markeringsfarve1 3 2 10" xfId="7641" xr:uid="{00000000-0005-0000-0000-000003050000}"/>
    <cellStyle name="20 % - Markeringsfarve1 3 2 10 2" xfId="15506" xr:uid="{00000000-0005-0000-0000-000004050000}"/>
    <cellStyle name="20 % - Markeringsfarve1 3 2 10 2 2" xfId="31782" xr:uid="{00000000-0005-0000-0000-000005050000}"/>
    <cellStyle name="20 % - Markeringsfarve1 3 2 10 2 3" xfId="46741" xr:uid="{00000000-0005-0000-0000-000006050000}"/>
    <cellStyle name="20 % - Markeringsfarve1 3 2 10 3" xfId="24780" xr:uid="{00000000-0005-0000-0000-000007050000}"/>
    <cellStyle name="20 % - Markeringsfarve1 3 2 10 4" xfId="39744" xr:uid="{00000000-0005-0000-0000-000008050000}"/>
    <cellStyle name="20 % - Markeringsfarve1 3 2 11" xfId="12420" xr:uid="{00000000-0005-0000-0000-000009050000}"/>
    <cellStyle name="20 % - Markeringsfarve1 3 2 11 2" xfId="28699" xr:uid="{00000000-0005-0000-0000-00000A050000}"/>
    <cellStyle name="20 % - Markeringsfarve1 3 2 11 3" xfId="43660" xr:uid="{00000000-0005-0000-0000-00000B050000}"/>
    <cellStyle name="20 % - Markeringsfarve1 3 2 12" xfId="21697" xr:uid="{00000000-0005-0000-0000-00000C050000}"/>
    <cellStyle name="20 % - Markeringsfarve1 3 2 13" xfId="36663" xr:uid="{00000000-0005-0000-0000-00000D050000}"/>
    <cellStyle name="20 % - Markeringsfarve1 3 2 2" xfId="3936" xr:uid="{00000000-0005-0000-0000-00000E050000}"/>
    <cellStyle name="20 % - Markeringsfarve1 3 2 2 2" xfId="3937" xr:uid="{00000000-0005-0000-0000-00000F050000}"/>
    <cellStyle name="20 % - Markeringsfarve1 3 2 2 2 2" xfId="3938" xr:uid="{00000000-0005-0000-0000-000010050000}"/>
    <cellStyle name="20 % - Markeringsfarve1 3 2 2 2 2 2" xfId="9866" xr:uid="{00000000-0005-0000-0000-000011050000}"/>
    <cellStyle name="20 % - Markeringsfarve1 3 2 2 2 2 2 2" xfId="17721" xr:uid="{00000000-0005-0000-0000-000012050000}"/>
    <cellStyle name="20 % - Markeringsfarve1 3 2 2 2 2 2 2 2" xfId="33997" xr:uid="{00000000-0005-0000-0000-000013050000}"/>
    <cellStyle name="20 % - Markeringsfarve1 3 2 2 2 2 2 2 3" xfId="48956" xr:uid="{00000000-0005-0000-0000-000014050000}"/>
    <cellStyle name="20 % - Markeringsfarve1 3 2 2 2 2 2 3" xfId="26995" xr:uid="{00000000-0005-0000-0000-000015050000}"/>
    <cellStyle name="20 % - Markeringsfarve1 3 2 2 2 2 2 4" xfId="41959" xr:uid="{00000000-0005-0000-0000-000016050000}"/>
    <cellStyle name="20 % - Markeringsfarve1 3 2 2 2 2 3" xfId="12423" xr:uid="{00000000-0005-0000-0000-000017050000}"/>
    <cellStyle name="20 % - Markeringsfarve1 3 2 2 2 2 3 2" xfId="28702" xr:uid="{00000000-0005-0000-0000-000018050000}"/>
    <cellStyle name="20 % - Markeringsfarve1 3 2 2 2 2 3 3" xfId="43663" xr:uid="{00000000-0005-0000-0000-000019050000}"/>
    <cellStyle name="20 % - Markeringsfarve1 3 2 2 2 2 4" xfId="21700" xr:uid="{00000000-0005-0000-0000-00001A050000}"/>
    <cellStyle name="20 % - Markeringsfarve1 3 2 2 2 2 5" xfId="36666" xr:uid="{00000000-0005-0000-0000-00001B050000}"/>
    <cellStyle name="20 % - Markeringsfarve1 3 2 2 2 3" xfId="8442" xr:uid="{00000000-0005-0000-0000-00001C050000}"/>
    <cellStyle name="20 % - Markeringsfarve1 3 2 2 2 3 2" xfId="16312" xr:uid="{00000000-0005-0000-0000-00001D050000}"/>
    <cellStyle name="20 % - Markeringsfarve1 3 2 2 2 3 2 2" xfId="32588" xr:uid="{00000000-0005-0000-0000-00001E050000}"/>
    <cellStyle name="20 % - Markeringsfarve1 3 2 2 2 3 2 3" xfId="47547" xr:uid="{00000000-0005-0000-0000-00001F050000}"/>
    <cellStyle name="20 % - Markeringsfarve1 3 2 2 2 3 3" xfId="25586" xr:uid="{00000000-0005-0000-0000-000020050000}"/>
    <cellStyle name="20 % - Markeringsfarve1 3 2 2 2 3 4" xfId="40550" xr:uid="{00000000-0005-0000-0000-000021050000}"/>
    <cellStyle name="20 % - Markeringsfarve1 3 2 2 2 4" xfId="12422" xr:uid="{00000000-0005-0000-0000-000022050000}"/>
    <cellStyle name="20 % - Markeringsfarve1 3 2 2 2 4 2" xfId="28701" xr:uid="{00000000-0005-0000-0000-000023050000}"/>
    <cellStyle name="20 % - Markeringsfarve1 3 2 2 2 4 3" xfId="43662" xr:uid="{00000000-0005-0000-0000-000024050000}"/>
    <cellStyle name="20 % - Markeringsfarve1 3 2 2 2 5" xfId="21699" xr:uid="{00000000-0005-0000-0000-000025050000}"/>
    <cellStyle name="20 % - Markeringsfarve1 3 2 2 2 6" xfId="36665" xr:uid="{00000000-0005-0000-0000-000026050000}"/>
    <cellStyle name="20 % - Markeringsfarve1 3 2 2 3" xfId="3939" xr:uid="{00000000-0005-0000-0000-000027050000}"/>
    <cellStyle name="20 % - Markeringsfarve1 3 2 2 3 2" xfId="9097" xr:uid="{00000000-0005-0000-0000-000028050000}"/>
    <cellStyle name="20 % - Markeringsfarve1 3 2 2 3 2 2" xfId="16961" xr:uid="{00000000-0005-0000-0000-000029050000}"/>
    <cellStyle name="20 % - Markeringsfarve1 3 2 2 3 2 2 2" xfId="33237" xr:uid="{00000000-0005-0000-0000-00002A050000}"/>
    <cellStyle name="20 % - Markeringsfarve1 3 2 2 3 2 2 3" xfId="48196" xr:uid="{00000000-0005-0000-0000-00002B050000}"/>
    <cellStyle name="20 % - Markeringsfarve1 3 2 2 3 2 3" xfId="26235" xr:uid="{00000000-0005-0000-0000-00002C050000}"/>
    <cellStyle name="20 % - Markeringsfarve1 3 2 2 3 2 4" xfId="41199" xr:uid="{00000000-0005-0000-0000-00002D050000}"/>
    <cellStyle name="20 % - Markeringsfarve1 3 2 2 3 3" xfId="12424" xr:uid="{00000000-0005-0000-0000-00002E050000}"/>
    <cellStyle name="20 % - Markeringsfarve1 3 2 2 3 3 2" xfId="28703" xr:uid="{00000000-0005-0000-0000-00002F050000}"/>
    <cellStyle name="20 % - Markeringsfarve1 3 2 2 3 3 3" xfId="43664" xr:uid="{00000000-0005-0000-0000-000030050000}"/>
    <cellStyle name="20 % - Markeringsfarve1 3 2 2 3 4" xfId="21701" xr:uid="{00000000-0005-0000-0000-000031050000}"/>
    <cellStyle name="20 % - Markeringsfarve1 3 2 2 3 5" xfId="36667" xr:uid="{00000000-0005-0000-0000-000032050000}"/>
    <cellStyle name="20 % - Markeringsfarve1 3 2 2 4" xfId="3940" xr:uid="{00000000-0005-0000-0000-000033050000}"/>
    <cellStyle name="20 % - Markeringsfarve1 3 2 2 4 2" xfId="10567" xr:uid="{00000000-0005-0000-0000-000034050000}"/>
    <cellStyle name="20 % - Markeringsfarve1 3 2 2 4 2 2" xfId="18416" xr:uid="{00000000-0005-0000-0000-000035050000}"/>
    <cellStyle name="20 % - Markeringsfarve1 3 2 2 4 2 2 2" xfId="34692" xr:uid="{00000000-0005-0000-0000-000036050000}"/>
    <cellStyle name="20 % - Markeringsfarve1 3 2 2 4 2 2 3" xfId="49651" xr:uid="{00000000-0005-0000-0000-000037050000}"/>
    <cellStyle name="20 % - Markeringsfarve1 3 2 2 4 2 3" xfId="27690" xr:uid="{00000000-0005-0000-0000-000038050000}"/>
    <cellStyle name="20 % - Markeringsfarve1 3 2 2 4 2 4" xfId="42654" xr:uid="{00000000-0005-0000-0000-000039050000}"/>
    <cellStyle name="20 % - Markeringsfarve1 3 2 2 4 3" xfId="12425" xr:uid="{00000000-0005-0000-0000-00003A050000}"/>
    <cellStyle name="20 % - Markeringsfarve1 3 2 2 4 3 2" xfId="28704" xr:uid="{00000000-0005-0000-0000-00003B050000}"/>
    <cellStyle name="20 % - Markeringsfarve1 3 2 2 4 3 3" xfId="43665" xr:uid="{00000000-0005-0000-0000-00003C050000}"/>
    <cellStyle name="20 % - Markeringsfarve1 3 2 2 4 4" xfId="21702" xr:uid="{00000000-0005-0000-0000-00003D050000}"/>
    <cellStyle name="20 % - Markeringsfarve1 3 2 2 4 5" xfId="36668" xr:uid="{00000000-0005-0000-0000-00003E050000}"/>
    <cellStyle name="20 % - Markeringsfarve1 3 2 2 5" xfId="7642" xr:uid="{00000000-0005-0000-0000-00003F050000}"/>
    <cellStyle name="20 % - Markeringsfarve1 3 2 2 5 2" xfId="15507" xr:uid="{00000000-0005-0000-0000-000040050000}"/>
    <cellStyle name="20 % - Markeringsfarve1 3 2 2 5 2 2" xfId="31783" xr:uid="{00000000-0005-0000-0000-000041050000}"/>
    <cellStyle name="20 % - Markeringsfarve1 3 2 2 5 2 3" xfId="46742" xr:uid="{00000000-0005-0000-0000-000042050000}"/>
    <cellStyle name="20 % - Markeringsfarve1 3 2 2 5 3" xfId="24781" xr:uid="{00000000-0005-0000-0000-000043050000}"/>
    <cellStyle name="20 % - Markeringsfarve1 3 2 2 5 4" xfId="39745" xr:uid="{00000000-0005-0000-0000-000044050000}"/>
    <cellStyle name="20 % - Markeringsfarve1 3 2 2 6" xfId="12421" xr:uid="{00000000-0005-0000-0000-000045050000}"/>
    <cellStyle name="20 % - Markeringsfarve1 3 2 2 6 2" xfId="28700" xr:uid="{00000000-0005-0000-0000-000046050000}"/>
    <cellStyle name="20 % - Markeringsfarve1 3 2 2 6 3" xfId="43661" xr:uid="{00000000-0005-0000-0000-000047050000}"/>
    <cellStyle name="20 % - Markeringsfarve1 3 2 2 7" xfId="21698" xr:uid="{00000000-0005-0000-0000-000048050000}"/>
    <cellStyle name="20 % - Markeringsfarve1 3 2 2 8" xfId="36664" xr:uid="{00000000-0005-0000-0000-000049050000}"/>
    <cellStyle name="20 % - Markeringsfarve1 3 2 3" xfId="3941" xr:uid="{00000000-0005-0000-0000-00004A050000}"/>
    <cellStyle name="20 % - Markeringsfarve1 3 2 3 2" xfId="3942" xr:uid="{00000000-0005-0000-0000-00004B050000}"/>
    <cellStyle name="20 % - Markeringsfarve1 3 2 3 2 2" xfId="3943" xr:uid="{00000000-0005-0000-0000-00004C050000}"/>
    <cellStyle name="20 % - Markeringsfarve1 3 2 3 2 2 2" xfId="9935" xr:uid="{00000000-0005-0000-0000-00004D050000}"/>
    <cellStyle name="20 % - Markeringsfarve1 3 2 3 2 2 2 2" xfId="17790" xr:uid="{00000000-0005-0000-0000-00004E050000}"/>
    <cellStyle name="20 % - Markeringsfarve1 3 2 3 2 2 2 2 2" xfId="34066" xr:uid="{00000000-0005-0000-0000-00004F050000}"/>
    <cellStyle name="20 % - Markeringsfarve1 3 2 3 2 2 2 2 3" xfId="49025" xr:uid="{00000000-0005-0000-0000-000050050000}"/>
    <cellStyle name="20 % - Markeringsfarve1 3 2 3 2 2 2 3" xfId="27064" xr:uid="{00000000-0005-0000-0000-000051050000}"/>
    <cellStyle name="20 % - Markeringsfarve1 3 2 3 2 2 2 4" xfId="42028" xr:uid="{00000000-0005-0000-0000-000052050000}"/>
    <cellStyle name="20 % - Markeringsfarve1 3 2 3 2 2 3" xfId="12428" xr:uid="{00000000-0005-0000-0000-000053050000}"/>
    <cellStyle name="20 % - Markeringsfarve1 3 2 3 2 2 3 2" xfId="28707" xr:uid="{00000000-0005-0000-0000-000054050000}"/>
    <cellStyle name="20 % - Markeringsfarve1 3 2 3 2 2 3 3" xfId="43668" xr:uid="{00000000-0005-0000-0000-000055050000}"/>
    <cellStyle name="20 % - Markeringsfarve1 3 2 3 2 2 4" xfId="21705" xr:uid="{00000000-0005-0000-0000-000056050000}"/>
    <cellStyle name="20 % - Markeringsfarve1 3 2 3 2 2 5" xfId="36671" xr:uid="{00000000-0005-0000-0000-000057050000}"/>
    <cellStyle name="20 % - Markeringsfarve1 3 2 3 2 3" xfId="8500" xr:uid="{00000000-0005-0000-0000-000058050000}"/>
    <cellStyle name="20 % - Markeringsfarve1 3 2 3 2 3 2" xfId="16370" xr:uid="{00000000-0005-0000-0000-000059050000}"/>
    <cellStyle name="20 % - Markeringsfarve1 3 2 3 2 3 2 2" xfId="32646" xr:uid="{00000000-0005-0000-0000-00005A050000}"/>
    <cellStyle name="20 % - Markeringsfarve1 3 2 3 2 3 2 3" xfId="47605" xr:uid="{00000000-0005-0000-0000-00005B050000}"/>
    <cellStyle name="20 % - Markeringsfarve1 3 2 3 2 3 3" xfId="25644" xr:uid="{00000000-0005-0000-0000-00005C050000}"/>
    <cellStyle name="20 % - Markeringsfarve1 3 2 3 2 3 4" xfId="40608" xr:uid="{00000000-0005-0000-0000-00005D050000}"/>
    <cellStyle name="20 % - Markeringsfarve1 3 2 3 2 4" xfId="12427" xr:uid="{00000000-0005-0000-0000-00005E050000}"/>
    <cellStyle name="20 % - Markeringsfarve1 3 2 3 2 4 2" xfId="28706" xr:uid="{00000000-0005-0000-0000-00005F050000}"/>
    <cellStyle name="20 % - Markeringsfarve1 3 2 3 2 4 3" xfId="43667" xr:uid="{00000000-0005-0000-0000-000060050000}"/>
    <cellStyle name="20 % - Markeringsfarve1 3 2 3 2 5" xfId="21704" xr:uid="{00000000-0005-0000-0000-000061050000}"/>
    <cellStyle name="20 % - Markeringsfarve1 3 2 3 2 6" xfId="36670" xr:uid="{00000000-0005-0000-0000-000062050000}"/>
    <cellStyle name="20 % - Markeringsfarve1 3 2 3 3" xfId="3944" xr:uid="{00000000-0005-0000-0000-000063050000}"/>
    <cellStyle name="20 % - Markeringsfarve1 3 2 3 3 2" xfId="9166" xr:uid="{00000000-0005-0000-0000-000064050000}"/>
    <cellStyle name="20 % - Markeringsfarve1 3 2 3 3 2 2" xfId="17030" xr:uid="{00000000-0005-0000-0000-000065050000}"/>
    <cellStyle name="20 % - Markeringsfarve1 3 2 3 3 2 2 2" xfId="33306" xr:uid="{00000000-0005-0000-0000-000066050000}"/>
    <cellStyle name="20 % - Markeringsfarve1 3 2 3 3 2 2 3" xfId="48265" xr:uid="{00000000-0005-0000-0000-000067050000}"/>
    <cellStyle name="20 % - Markeringsfarve1 3 2 3 3 2 3" xfId="26304" xr:uid="{00000000-0005-0000-0000-000068050000}"/>
    <cellStyle name="20 % - Markeringsfarve1 3 2 3 3 2 4" xfId="41268" xr:uid="{00000000-0005-0000-0000-000069050000}"/>
    <cellStyle name="20 % - Markeringsfarve1 3 2 3 3 3" xfId="12429" xr:uid="{00000000-0005-0000-0000-00006A050000}"/>
    <cellStyle name="20 % - Markeringsfarve1 3 2 3 3 3 2" xfId="28708" xr:uid="{00000000-0005-0000-0000-00006B050000}"/>
    <cellStyle name="20 % - Markeringsfarve1 3 2 3 3 3 3" xfId="43669" xr:uid="{00000000-0005-0000-0000-00006C050000}"/>
    <cellStyle name="20 % - Markeringsfarve1 3 2 3 3 4" xfId="21706" xr:uid="{00000000-0005-0000-0000-00006D050000}"/>
    <cellStyle name="20 % - Markeringsfarve1 3 2 3 3 5" xfId="36672" xr:uid="{00000000-0005-0000-0000-00006E050000}"/>
    <cellStyle name="20 % - Markeringsfarve1 3 2 3 4" xfId="3945" xr:uid="{00000000-0005-0000-0000-00006F050000}"/>
    <cellStyle name="20 % - Markeringsfarve1 3 2 3 4 2" xfId="10566" xr:uid="{00000000-0005-0000-0000-000070050000}"/>
    <cellStyle name="20 % - Markeringsfarve1 3 2 3 4 2 2" xfId="18415" xr:uid="{00000000-0005-0000-0000-000071050000}"/>
    <cellStyle name="20 % - Markeringsfarve1 3 2 3 4 2 2 2" xfId="34691" xr:uid="{00000000-0005-0000-0000-000072050000}"/>
    <cellStyle name="20 % - Markeringsfarve1 3 2 3 4 2 2 3" xfId="49650" xr:uid="{00000000-0005-0000-0000-000073050000}"/>
    <cellStyle name="20 % - Markeringsfarve1 3 2 3 4 2 3" xfId="27689" xr:uid="{00000000-0005-0000-0000-000074050000}"/>
    <cellStyle name="20 % - Markeringsfarve1 3 2 3 4 2 4" xfId="42653" xr:uid="{00000000-0005-0000-0000-000075050000}"/>
    <cellStyle name="20 % - Markeringsfarve1 3 2 3 4 3" xfId="12430" xr:uid="{00000000-0005-0000-0000-000076050000}"/>
    <cellStyle name="20 % - Markeringsfarve1 3 2 3 4 3 2" xfId="28709" xr:uid="{00000000-0005-0000-0000-000077050000}"/>
    <cellStyle name="20 % - Markeringsfarve1 3 2 3 4 3 3" xfId="43670" xr:uid="{00000000-0005-0000-0000-000078050000}"/>
    <cellStyle name="20 % - Markeringsfarve1 3 2 3 4 4" xfId="21707" xr:uid="{00000000-0005-0000-0000-000079050000}"/>
    <cellStyle name="20 % - Markeringsfarve1 3 2 3 4 5" xfId="36673" xr:uid="{00000000-0005-0000-0000-00007A050000}"/>
    <cellStyle name="20 % - Markeringsfarve1 3 2 3 5" xfId="7643" xr:uid="{00000000-0005-0000-0000-00007B050000}"/>
    <cellStyle name="20 % - Markeringsfarve1 3 2 3 5 2" xfId="15508" xr:uid="{00000000-0005-0000-0000-00007C050000}"/>
    <cellStyle name="20 % - Markeringsfarve1 3 2 3 5 2 2" xfId="31784" xr:uid="{00000000-0005-0000-0000-00007D050000}"/>
    <cellStyle name="20 % - Markeringsfarve1 3 2 3 5 2 3" xfId="46743" xr:uid="{00000000-0005-0000-0000-00007E050000}"/>
    <cellStyle name="20 % - Markeringsfarve1 3 2 3 5 3" xfId="24782" xr:uid="{00000000-0005-0000-0000-00007F050000}"/>
    <cellStyle name="20 % - Markeringsfarve1 3 2 3 5 4" xfId="39746" xr:uid="{00000000-0005-0000-0000-000080050000}"/>
    <cellStyle name="20 % - Markeringsfarve1 3 2 3 6" xfId="12426" xr:uid="{00000000-0005-0000-0000-000081050000}"/>
    <cellStyle name="20 % - Markeringsfarve1 3 2 3 6 2" xfId="28705" xr:uid="{00000000-0005-0000-0000-000082050000}"/>
    <cellStyle name="20 % - Markeringsfarve1 3 2 3 6 3" xfId="43666" xr:uid="{00000000-0005-0000-0000-000083050000}"/>
    <cellStyle name="20 % - Markeringsfarve1 3 2 3 7" xfId="21703" xr:uid="{00000000-0005-0000-0000-000084050000}"/>
    <cellStyle name="20 % - Markeringsfarve1 3 2 3 8" xfId="36669" xr:uid="{00000000-0005-0000-0000-000085050000}"/>
    <cellStyle name="20 % - Markeringsfarve1 3 2 4" xfId="3946" xr:uid="{00000000-0005-0000-0000-000086050000}"/>
    <cellStyle name="20 % - Markeringsfarve1 3 2 4 2" xfId="3947" xr:uid="{00000000-0005-0000-0000-000087050000}"/>
    <cellStyle name="20 % - Markeringsfarve1 3 2 4 2 2" xfId="3948" xr:uid="{00000000-0005-0000-0000-000088050000}"/>
    <cellStyle name="20 % - Markeringsfarve1 3 2 4 2 2 2" xfId="10104" xr:uid="{00000000-0005-0000-0000-000089050000}"/>
    <cellStyle name="20 % - Markeringsfarve1 3 2 4 2 2 2 2" xfId="17959" xr:uid="{00000000-0005-0000-0000-00008A050000}"/>
    <cellStyle name="20 % - Markeringsfarve1 3 2 4 2 2 2 2 2" xfId="34235" xr:uid="{00000000-0005-0000-0000-00008B050000}"/>
    <cellStyle name="20 % - Markeringsfarve1 3 2 4 2 2 2 2 3" xfId="49194" xr:uid="{00000000-0005-0000-0000-00008C050000}"/>
    <cellStyle name="20 % - Markeringsfarve1 3 2 4 2 2 2 3" xfId="27233" xr:uid="{00000000-0005-0000-0000-00008D050000}"/>
    <cellStyle name="20 % - Markeringsfarve1 3 2 4 2 2 2 4" xfId="42197" xr:uid="{00000000-0005-0000-0000-00008E050000}"/>
    <cellStyle name="20 % - Markeringsfarve1 3 2 4 2 2 3" xfId="12433" xr:uid="{00000000-0005-0000-0000-00008F050000}"/>
    <cellStyle name="20 % - Markeringsfarve1 3 2 4 2 2 3 2" xfId="28712" xr:uid="{00000000-0005-0000-0000-000090050000}"/>
    <cellStyle name="20 % - Markeringsfarve1 3 2 4 2 2 3 3" xfId="43673" xr:uid="{00000000-0005-0000-0000-000091050000}"/>
    <cellStyle name="20 % - Markeringsfarve1 3 2 4 2 2 4" xfId="21710" xr:uid="{00000000-0005-0000-0000-000092050000}"/>
    <cellStyle name="20 % - Markeringsfarve1 3 2 4 2 2 5" xfId="36676" xr:uid="{00000000-0005-0000-0000-000093050000}"/>
    <cellStyle name="20 % - Markeringsfarve1 3 2 4 2 3" xfId="8644" xr:uid="{00000000-0005-0000-0000-000094050000}"/>
    <cellStyle name="20 % - Markeringsfarve1 3 2 4 2 3 2" xfId="16511" xr:uid="{00000000-0005-0000-0000-000095050000}"/>
    <cellStyle name="20 % - Markeringsfarve1 3 2 4 2 3 2 2" xfId="32787" xr:uid="{00000000-0005-0000-0000-000096050000}"/>
    <cellStyle name="20 % - Markeringsfarve1 3 2 4 2 3 2 3" xfId="47746" xr:uid="{00000000-0005-0000-0000-000097050000}"/>
    <cellStyle name="20 % - Markeringsfarve1 3 2 4 2 3 3" xfId="25785" xr:uid="{00000000-0005-0000-0000-000098050000}"/>
    <cellStyle name="20 % - Markeringsfarve1 3 2 4 2 3 4" xfId="40749" xr:uid="{00000000-0005-0000-0000-000099050000}"/>
    <cellStyle name="20 % - Markeringsfarve1 3 2 4 2 4" xfId="12432" xr:uid="{00000000-0005-0000-0000-00009A050000}"/>
    <cellStyle name="20 % - Markeringsfarve1 3 2 4 2 4 2" xfId="28711" xr:uid="{00000000-0005-0000-0000-00009B050000}"/>
    <cellStyle name="20 % - Markeringsfarve1 3 2 4 2 4 3" xfId="43672" xr:uid="{00000000-0005-0000-0000-00009C050000}"/>
    <cellStyle name="20 % - Markeringsfarve1 3 2 4 2 5" xfId="21709" xr:uid="{00000000-0005-0000-0000-00009D050000}"/>
    <cellStyle name="20 % - Markeringsfarve1 3 2 4 2 6" xfId="36675" xr:uid="{00000000-0005-0000-0000-00009E050000}"/>
    <cellStyle name="20 % - Markeringsfarve1 3 2 4 3" xfId="3949" xr:uid="{00000000-0005-0000-0000-00009F050000}"/>
    <cellStyle name="20 % - Markeringsfarve1 3 2 4 3 2" xfId="9381" xr:uid="{00000000-0005-0000-0000-0000A0050000}"/>
    <cellStyle name="20 % - Markeringsfarve1 3 2 4 3 2 2" xfId="17244" xr:uid="{00000000-0005-0000-0000-0000A1050000}"/>
    <cellStyle name="20 % - Markeringsfarve1 3 2 4 3 2 2 2" xfId="33520" xr:uid="{00000000-0005-0000-0000-0000A2050000}"/>
    <cellStyle name="20 % - Markeringsfarve1 3 2 4 3 2 2 3" xfId="48479" xr:uid="{00000000-0005-0000-0000-0000A3050000}"/>
    <cellStyle name="20 % - Markeringsfarve1 3 2 4 3 2 3" xfId="26518" xr:uid="{00000000-0005-0000-0000-0000A4050000}"/>
    <cellStyle name="20 % - Markeringsfarve1 3 2 4 3 2 4" xfId="41482" xr:uid="{00000000-0005-0000-0000-0000A5050000}"/>
    <cellStyle name="20 % - Markeringsfarve1 3 2 4 3 3" xfId="12434" xr:uid="{00000000-0005-0000-0000-0000A6050000}"/>
    <cellStyle name="20 % - Markeringsfarve1 3 2 4 3 3 2" xfId="28713" xr:uid="{00000000-0005-0000-0000-0000A7050000}"/>
    <cellStyle name="20 % - Markeringsfarve1 3 2 4 3 3 3" xfId="43674" xr:uid="{00000000-0005-0000-0000-0000A8050000}"/>
    <cellStyle name="20 % - Markeringsfarve1 3 2 4 3 4" xfId="21711" xr:uid="{00000000-0005-0000-0000-0000A9050000}"/>
    <cellStyle name="20 % - Markeringsfarve1 3 2 4 3 5" xfId="36677" xr:uid="{00000000-0005-0000-0000-0000AA050000}"/>
    <cellStyle name="20 % - Markeringsfarve1 3 2 4 4" xfId="3950" xr:uid="{00000000-0005-0000-0000-0000AB050000}"/>
    <cellStyle name="20 % - Markeringsfarve1 3 2 4 4 2" xfId="10565" xr:uid="{00000000-0005-0000-0000-0000AC050000}"/>
    <cellStyle name="20 % - Markeringsfarve1 3 2 4 4 2 2" xfId="18414" xr:uid="{00000000-0005-0000-0000-0000AD050000}"/>
    <cellStyle name="20 % - Markeringsfarve1 3 2 4 4 2 2 2" xfId="34690" xr:uid="{00000000-0005-0000-0000-0000AE050000}"/>
    <cellStyle name="20 % - Markeringsfarve1 3 2 4 4 2 2 3" xfId="49649" xr:uid="{00000000-0005-0000-0000-0000AF050000}"/>
    <cellStyle name="20 % - Markeringsfarve1 3 2 4 4 2 3" xfId="27688" xr:uid="{00000000-0005-0000-0000-0000B0050000}"/>
    <cellStyle name="20 % - Markeringsfarve1 3 2 4 4 2 4" xfId="42652" xr:uid="{00000000-0005-0000-0000-0000B1050000}"/>
    <cellStyle name="20 % - Markeringsfarve1 3 2 4 4 3" xfId="12435" xr:uid="{00000000-0005-0000-0000-0000B2050000}"/>
    <cellStyle name="20 % - Markeringsfarve1 3 2 4 4 3 2" xfId="28714" xr:uid="{00000000-0005-0000-0000-0000B3050000}"/>
    <cellStyle name="20 % - Markeringsfarve1 3 2 4 4 3 3" xfId="43675" xr:uid="{00000000-0005-0000-0000-0000B4050000}"/>
    <cellStyle name="20 % - Markeringsfarve1 3 2 4 4 4" xfId="21712" xr:uid="{00000000-0005-0000-0000-0000B5050000}"/>
    <cellStyle name="20 % - Markeringsfarve1 3 2 4 4 5" xfId="36678" xr:uid="{00000000-0005-0000-0000-0000B6050000}"/>
    <cellStyle name="20 % - Markeringsfarve1 3 2 4 5" xfId="7644" xr:uid="{00000000-0005-0000-0000-0000B7050000}"/>
    <cellStyle name="20 % - Markeringsfarve1 3 2 4 5 2" xfId="15509" xr:uid="{00000000-0005-0000-0000-0000B8050000}"/>
    <cellStyle name="20 % - Markeringsfarve1 3 2 4 5 2 2" xfId="31785" xr:uid="{00000000-0005-0000-0000-0000B9050000}"/>
    <cellStyle name="20 % - Markeringsfarve1 3 2 4 5 2 3" xfId="46744" xr:uid="{00000000-0005-0000-0000-0000BA050000}"/>
    <cellStyle name="20 % - Markeringsfarve1 3 2 4 5 3" xfId="24783" xr:uid="{00000000-0005-0000-0000-0000BB050000}"/>
    <cellStyle name="20 % - Markeringsfarve1 3 2 4 5 4" xfId="39747" xr:uid="{00000000-0005-0000-0000-0000BC050000}"/>
    <cellStyle name="20 % - Markeringsfarve1 3 2 4 6" xfId="12431" xr:uid="{00000000-0005-0000-0000-0000BD050000}"/>
    <cellStyle name="20 % - Markeringsfarve1 3 2 4 6 2" xfId="28710" xr:uid="{00000000-0005-0000-0000-0000BE050000}"/>
    <cellStyle name="20 % - Markeringsfarve1 3 2 4 6 3" xfId="43671" xr:uid="{00000000-0005-0000-0000-0000BF050000}"/>
    <cellStyle name="20 % - Markeringsfarve1 3 2 4 7" xfId="21708" xr:uid="{00000000-0005-0000-0000-0000C0050000}"/>
    <cellStyle name="20 % - Markeringsfarve1 3 2 4 8" xfId="36674" xr:uid="{00000000-0005-0000-0000-0000C1050000}"/>
    <cellStyle name="20 % - Markeringsfarve1 3 2 5" xfId="3951" xr:uid="{00000000-0005-0000-0000-0000C2050000}"/>
    <cellStyle name="20 % - Markeringsfarve1 3 2 5 2" xfId="3952" xr:uid="{00000000-0005-0000-0000-0000C3050000}"/>
    <cellStyle name="20 % - Markeringsfarve1 3 2 5 2 2" xfId="3953" xr:uid="{00000000-0005-0000-0000-0000C4050000}"/>
    <cellStyle name="20 % - Markeringsfarve1 3 2 5 2 2 2" xfId="10221" xr:uid="{00000000-0005-0000-0000-0000C5050000}"/>
    <cellStyle name="20 % - Markeringsfarve1 3 2 5 2 2 2 2" xfId="18076" xr:uid="{00000000-0005-0000-0000-0000C6050000}"/>
    <cellStyle name="20 % - Markeringsfarve1 3 2 5 2 2 2 2 2" xfId="34352" xr:uid="{00000000-0005-0000-0000-0000C7050000}"/>
    <cellStyle name="20 % - Markeringsfarve1 3 2 5 2 2 2 2 3" xfId="49311" xr:uid="{00000000-0005-0000-0000-0000C8050000}"/>
    <cellStyle name="20 % - Markeringsfarve1 3 2 5 2 2 2 3" xfId="27350" xr:uid="{00000000-0005-0000-0000-0000C9050000}"/>
    <cellStyle name="20 % - Markeringsfarve1 3 2 5 2 2 2 4" xfId="42314" xr:uid="{00000000-0005-0000-0000-0000CA050000}"/>
    <cellStyle name="20 % - Markeringsfarve1 3 2 5 2 2 3" xfId="12438" xr:uid="{00000000-0005-0000-0000-0000CB050000}"/>
    <cellStyle name="20 % - Markeringsfarve1 3 2 5 2 2 3 2" xfId="28717" xr:uid="{00000000-0005-0000-0000-0000CC050000}"/>
    <cellStyle name="20 % - Markeringsfarve1 3 2 5 2 2 3 3" xfId="43678" xr:uid="{00000000-0005-0000-0000-0000CD050000}"/>
    <cellStyle name="20 % - Markeringsfarve1 3 2 5 2 2 4" xfId="21715" xr:uid="{00000000-0005-0000-0000-0000CE050000}"/>
    <cellStyle name="20 % - Markeringsfarve1 3 2 5 2 2 5" xfId="36681" xr:uid="{00000000-0005-0000-0000-0000CF050000}"/>
    <cellStyle name="20 % - Markeringsfarve1 3 2 5 2 3" xfId="8743" xr:uid="{00000000-0005-0000-0000-0000D0050000}"/>
    <cellStyle name="20 % - Markeringsfarve1 3 2 5 2 3 2" xfId="16610" xr:uid="{00000000-0005-0000-0000-0000D1050000}"/>
    <cellStyle name="20 % - Markeringsfarve1 3 2 5 2 3 2 2" xfId="32886" xr:uid="{00000000-0005-0000-0000-0000D2050000}"/>
    <cellStyle name="20 % - Markeringsfarve1 3 2 5 2 3 2 3" xfId="47845" xr:uid="{00000000-0005-0000-0000-0000D3050000}"/>
    <cellStyle name="20 % - Markeringsfarve1 3 2 5 2 3 3" xfId="25884" xr:uid="{00000000-0005-0000-0000-0000D4050000}"/>
    <cellStyle name="20 % - Markeringsfarve1 3 2 5 2 3 4" xfId="40848" xr:uid="{00000000-0005-0000-0000-0000D5050000}"/>
    <cellStyle name="20 % - Markeringsfarve1 3 2 5 2 4" xfId="12437" xr:uid="{00000000-0005-0000-0000-0000D6050000}"/>
    <cellStyle name="20 % - Markeringsfarve1 3 2 5 2 4 2" xfId="28716" xr:uid="{00000000-0005-0000-0000-0000D7050000}"/>
    <cellStyle name="20 % - Markeringsfarve1 3 2 5 2 4 3" xfId="43677" xr:uid="{00000000-0005-0000-0000-0000D8050000}"/>
    <cellStyle name="20 % - Markeringsfarve1 3 2 5 2 5" xfId="21714" xr:uid="{00000000-0005-0000-0000-0000D9050000}"/>
    <cellStyle name="20 % - Markeringsfarve1 3 2 5 2 6" xfId="36680" xr:uid="{00000000-0005-0000-0000-0000DA050000}"/>
    <cellStyle name="20 % - Markeringsfarve1 3 2 5 3" xfId="3954" xr:uid="{00000000-0005-0000-0000-0000DB050000}"/>
    <cellStyle name="20 % - Markeringsfarve1 3 2 5 3 2" xfId="9498" xr:uid="{00000000-0005-0000-0000-0000DC050000}"/>
    <cellStyle name="20 % - Markeringsfarve1 3 2 5 3 2 2" xfId="17361" xr:uid="{00000000-0005-0000-0000-0000DD050000}"/>
    <cellStyle name="20 % - Markeringsfarve1 3 2 5 3 2 2 2" xfId="33637" xr:uid="{00000000-0005-0000-0000-0000DE050000}"/>
    <cellStyle name="20 % - Markeringsfarve1 3 2 5 3 2 2 3" xfId="48596" xr:uid="{00000000-0005-0000-0000-0000DF050000}"/>
    <cellStyle name="20 % - Markeringsfarve1 3 2 5 3 2 3" xfId="26635" xr:uid="{00000000-0005-0000-0000-0000E0050000}"/>
    <cellStyle name="20 % - Markeringsfarve1 3 2 5 3 2 4" xfId="41599" xr:uid="{00000000-0005-0000-0000-0000E1050000}"/>
    <cellStyle name="20 % - Markeringsfarve1 3 2 5 3 3" xfId="12439" xr:uid="{00000000-0005-0000-0000-0000E2050000}"/>
    <cellStyle name="20 % - Markeringsfarve1 3 2 5 3 3 2" xfId="28718" xr:uid="{00000000-0005-0000-0000-0000E3050000}"/>
    <cellStyle name="20 % - Markeringsfarve1 3 2 5 3 3 3" xfId="43679" xr:uid="{00000000-0005-0000-0000-0000E4050000}"/>
    <cellStyle name="20 % - Markeringsfarve1 3 2 5 3 4" xfId="21716" xr:uid="{00000000-0005-0000-0000-0000E5050000}"/>
    <cellStyle name="20 % - Markeringsfarve1 3 2 5 3 5" xfId="36682" xr:uid="{00000000-0005-0000-0000-0000E6050000}"/>
    <cellStyle name="20 % - Markeringsfarve1 3 2 5 4" xfId="3955" xr:uid="{00000000-0005-0000-0000-0000E7050000}"/>
    <cellStyle name="20 % - Markeringsfarve1 3 2 5 4 2" xfId="10564" xr:uid="{00000000-0005-0000-0000-0000E8050000}"/>
    <cellStyle name="20 % - Markeringsfarve1 3 2 5 4 2 2" xfId="18413" xr:uid="{00000000-0005-0000-0000-0000E9050000}"/>
    <cellStyle name="20 % - Markeringsfarve1 3 2 5 4 2 2 2" xfId="34689" xr:uid="{00000000-0005-0000-0000-0000EA050000}"/>
    <cellStyle name="20 % - Markeringsfarve1 3 2 5 4 2 2 3" xfId="49648" xr:uid="{00000000-0005-0000-0000-0000EB050000}"/>
    <cellStyle name="20 % - Markeringsfarve1 3 2 5 4 2 3" xfId="27687" xr:uid="{00000000-0005-0000-0000-0000EC050000}"/>
    <cellStyle name="20 % - Markeringsfarve1 3 2 5 4 2 4" xfId="42651" xr:uid="{00000000-0005-0000-0000-0000ED050000}"/>
    <cellStyle name="20 % - Markeringsfarve1 3 2 5 4 3" xfId="12440" xr:uid="{00000000-0005-0000-0000-0000EE050000}"/>
    <cellStyle name="20 % - Markeringsfarve1 3 2 5 4 3 2" xfId="28719" xr:uid="{00000000-0005-0000-0000-0000EF050000}"/>
    <cellStyle name="20 % - Markeringsfarve1 3 2 5 4 3 3" xfId="43680" xr:uid="{00000000-0005-0000-0000-0000F0050000}"/>
    <cellStyle name="20 % - Markeringsfarve1 3 2 5 4 4" xfId="21717" xr:uid="{00000000-0005-0000-0000-0000F1050000}"/>
    <cellStyle name="20 % - Markeringsfarve1 3 2 5 4 5" xfId="36683" xr:uid="{00000000-0005-0000-0000-0000F2050000}"/>
    <cellStyle name="20 % - Markeringsfarve1 3 2 5 5" xfId="7645" xr:uid="{00000000-0005-0000-0000-0000F3050000}"/>
    <cellStyle name="20 % - Markeringsfarve1 3 2 5 5 2" xfId="15510" xr:uid="{00000000-0005-0000-0000-0000F4050000}"/>
    <cellStyle name="20 % - Markeringsfarve1 3 2 5 5 2 2" xfId="31786" xr:uid="{00000000-0005-0000-0000-0000F5050000}"/>
    <cellStyle name="20 % - Markeringsfarve1 3 2 5 5 2 3" xfId="46745" xr:uid="{00000000-0005-0000-0000-0000F6050000}"/>
    <cellStyle name="20 % - Markeringsfarve1 3 2 5 5 3" xfId="24784" xr:uid="{00000000-0005-0000-0000-0000F7050000}"/>
    <cellStyle name="20 % - Markeringsfarve1 3 2 5 5 4" xfId="39748" xr:uid="{00000000-0005-0000-0000-0000F8050000}"/>
    <cellStyle name="20 % - Markeringsfarve1 3 2 5 6" xfId="12436" xr:uid="{00000000-0005-0000-0000-0000F9050000}"/>
    <cellStyle name="20 % - Markeringsfarve1 3 2 5 6 2" xfId="28715" xr:uid="{00000000-0005-0000-0000-0000FA050000}"/>
    <cellStyle name="20 % - Markeringsfarve1 3 2 5 6 3" xfId="43676" xr:uid="{00000000-0005-0000-0000-0000FB050000}"/>
    <cellStyle name="20 % - Markeringsfarve1 3 2 5 7" xfId="21713" xr:uid="{00000000-0005-0000-0000-0000FC050000}"/>
    <cellStyle name="20 % - Markeringsfarve1 3 2 5 8" xfId="36679" xr:uid="{00000000-0005-0000-0000-0000FD050000}"/>
    <cellStyle name="20 % - Markeringsfarve1 3 2 6" xfId="3956" xr:uid="{00000000-0005-0000-0000-0000FE050000}"/>
    <cellStyle name="20 % - Markeringsfarve1 3 2 6 2" xfId="3957" xr:uid="{00000000-0005-0000-0000-0000FF050000}"/>
    <cellStyle name="20 % - Markeringsfarve1 3 2 6 2 2" xfId="3958" xr:uid="{00000000-0005-0000-0000-000000060000}"/>
    <cellStyle name="20 % - Markeringsfarve1 3 2 6 2 2 2" xfId="10290" xr:uid="{00000000-0005-0000-0000-000001060000}"/>
    <cellStyle name="20 % - Markeringsfarve1 3 2 6 2 2 2 2" xfId="18145" xr:uid="{00000000-0005-0000-0000-000002060000}"/>
    <cellStyle name="20 % - Markeringsfarve1 3 2 6 2 2 2 2 2" xfId="34421" xr:uid="{00000000-0005-0000-0000-000003060000}"/>
    <cellStyle name="20 % - Markeringsfarve1 3 2 6 2 2 2 2 3" xfId="49380" xr:uid="{00000000-0005-0000-0000-000004060000}"/>
    <cellStyle name="20 % - Markeringsfarve1 3 2 6 2 2 2 3" xfId="27419" xr:uid="{00000000-0005-0000-0000-000005060000}"/>
    <cellStyle name="20 % - Markeringsfarve1 3 2 6 2 2 2 4" xfId="42383" xr:uid="{00000000-0005-0000-0000-000006060000}"/>
    <cellStyle name="20 % - Markeringsfarve1 3 2 6 2 2 3" xfId="12443" xr:uid="{00000000-0005-0000-0000-000007060000}"/>
    <cellStyle name="20 % - Markeringsfarve1 3 2 6 2 2 3 2" xfId="28722" xr:uid="{00000000-0005-0000-0000-000008060000}"/>
    <cellStyle name="20 % - Markeringsfarve1 3 2 6 2 2 3 3" xfId="43683" xr:uid="{00000000-0005-0000-0000-000009060000}"/>
    <cellStyle name="20 % - Markeringsfarve1 3 2 6 2 2 4" xfId="21720" xr:uid="{00000000-0005-0000-0000-00000A060000}"/>
    <cellStyle name="20 % - Markeringsfarve1 3 2 6 2 2 5" xfId="36686" xr:uid="{00000000-0005-0000-0000-00000B060000}"/>
    <cellStyle name="20 % - Markeringsfarve1 3 2 6 2 3" xfId="8802" xr:uid="{00000000-0005-0000-0000-00000C060000}"/>
    <cellStyle name="20 % - Markeringsfarve1 3 2 6 2 3 2" xfId="16669" xr:uid="{00000000-0005-0000-0000-00000D060000}"/>
    <cellStyle name="20 % - Markeringsfarve1 3 2 6 2 3 2 2" xfId="32945" xr:uid="{00000000-0005-0000-0000-00000E060000}"/>
    <cellStyle name="20 % - Markeringsfarve1 3 2 6 2 3 2 3" xfId="47904" xr:uid="{00000000-0005-0000-0000-00000F060000}"/>
    <cellStyle name="20 % - Markeringsfarve1 3 2 6 2 3 3" xfId="25943" xr:uid="{00000000-0005-0000-0000-000010060000}"/>
    <cellStyle name="20 % - Markeringsfarve1 3 2 6 2 3 4" xfId="40907" xr:uid="{00000000-0005-0000-0000-000011060000}"/>
    <cellStyle name="20 % - Markeringsfarve1 3 2 6 2 4" xfId="12442" xr:uid="{00000000-0005-0000-0000-000012060000}"/>
    <cellStyle name="20 % - Markeringsfarve1 3 2 6 2 4 2" xfId="28721" xr:uid="{00000000-0005-0000-0000-000013060000}"/>
    <cellStyle name="20 % - Markeringsfarve1 3 2 6 2 4 3" xfId="43682" xr:uid="{00000000-0005-0000-0000-000014060000}"/>
    <cellStyle name="20 % - Markeringsfarve1 3 2 6 2 5" xfId="21719" xr:uid="{00000000-0005-0000-0000-000015060000}"/>
    <cellStyle name="20 % - Markeringsfarve1 3 2 6 2 6" xfId="36685" xr:uid="{00000000-0005-0000-0000-000016060000}"/>
    <cellStyle name="20 % - Markeringsfarve1 3 2 6 3" xfId="3959" xr:uid="{00000000-0005-0000-0000-000017060000}"/>
    <cellStyle name="20 % - Markeringsfarve1 3 2 6 3 2" xfId="9568" xr:uid="{00000000-0005-0000-0000-000018060000}"/>
    <cellStyle name="20 % - Markeringsfarve1 3 2 6 3 2 2" xfId="17431" xr:uid="{00000000-0005-0000-0000-000019060000}"/>
    <cellStyle name="20 % - Markeringsfarve1 3 2 6 3 2 2 2" xfId="33707" xr:uid="{00000000-0005-0000-0000-00001A060000}"/>
    <cellStyle name="20 % - Markeringsfarve1 3 2 6 3 2 2 3" xfId="48666" xr:uid="{00000000-0005-0000-0000-00001B060000}"/>
    <cellStyle name="20 % - Markeringsfarve1 3 2 6 3 2 3" xfId="26705" xr:uid="{00000000-0005-0000-0000-00001C060000}"/>
    <cellStyle name="20 % - Markeringsfarve1 3 2 6 3 2 4" xfId="41669" xr:uid="{00000000-0005-0000-0000-00001D060000}"/>
    <cellStyle name="20 % - Markeringsfarve1 3 2 6 3 3" xfId="12444" xr:uid="{00000000-0005-0000-0000-00001E060000}"/>
    <cellStyle name="20 % - Markeringsfarve1 3 2 6 3 3 2" xfId="28723" xr:uid="{00000000-0005-0000-0000-00001F060000}"/>
    <cellStyle name="20 % - Markeringsfarve1 3 2 6 3 3 3" xfId="43684" xr:uid="{00000000-0005-0000-0000-000020060000}"/>
    <cellStyle name="20 % - Markeringsfarve1 3 2 6 3 4" xfId="21721" xr:uid="{00000000-0005-0000-0000-000021060000}"/>
    <cellStyle name="20 % - Markeringsfarve1 3 2 6 3 5" xfId="36687" xr:uid="{00000000-0005-0000-0000-000022060000}"/>
    <cellStyle name="20 % - Markeringsfarve1 3 2 6 4" xfId="3960" xr:uid="{00000000-0005-0000-0000-000023060000}"/>
    <cellStyle name="20 % - Markeringsfarve1 3 2 6 4 2" xfId="10563" xr:uid="{00000000-0005-0000-0000-000024060000}"/>
    <cellStyle name="20 % - Markeringsfarve1 3 2 6 4 2 2" xfId="18412" xr:uid="{00000000-0005-0000-0000-000025060000}"/>
    <cellStyle name="20 % - Markeringsfarve1 3 2 6 4 2 2 2" xfId="34688" xr:uid="{00000000-0005-0000-0000-000026060000}"/>
    <cellStyle name="20 % - Markeringsfarve1 3 2 6 4 2 2 3" xfId="49647" xr:uid="{00000000-0005-0000-0000-000027060000}"/>
    <cellStyle name="20 % - Markeringsfarve1 3 2 6 4 2 3" xfId="27686" xr:uid="{00000000-0005-0000-0000-000028060000}"/>
    <cellStyle name="20 % - Markeringsfarve1 3 2 6 4 2 4" xfId="42650" xr:uid="{00000000-0005-0000-0000-000029060000}"/>
    <cellStyle name="20 % - Markeringsfarve1 3 2 6 4 3" xfId="12445" xr:uid="{00000000-0005-0000-0000-00002A060000}"/>
    <cellStyle name="20 % - Markeringsfarve1 3 2 6 4 3 2" xfId="28724" xr:uid="{00000000-0005-0000-0000-00002B060000}"/>
    <cellStyle name="20 % - Markeringsfarve1 3 2 6 4 3 3" xfId="43685" xr:uid="{00000000-0005-0000-0000-00002C060000}"/>
    <cellStyle name="20 % - Markeringsfarve1 3 2 6 4 4" xfId="21722" xr:uid="{00000000-0005-0000-0000-00002D060000}"/>
    <cellStyle name="20 % - Markeringsfarve1 3 2 6 4 5" xfId="36688" xr:uid="{00000000-0005-0000-0000-00002E060000}"/>
    <cellStyle name="20 % - Markeringsfarve1 3 2 6 5" xfId="7646" xr:uid="{00000000-0005-0000-0000-00002F060000}"/>
    <cellStyle name="20 % - Markeringsfarve1 3 2 6 5 2" xfId="15511" xr:uid="{00000000-0005-0000-0000-000030060000}"/>
    <cellStyle name="20 % - Markeringsfarve1 3 2 6 5 2 2" xfId="31787" xr:uid="{00000000-0005-0000-0000-000031060000}"/>
    <cellStyle name="20 % - Markeringsfarve1 3 2 6 5 2 3" xfId="46746" xr:uid="{00000000-0005-0000-0000-000032060000}"/>
    <cellStyle name="20 % - Markeringsfarve1 3 2 6 5 3" xfId="24785" xr:uid="{00000000-0005-0000-0000-000033060000}"/>
    <cellStyle name="20 % - Markeringsfarve1 3 2 6 5 4" xfId="39749" xr:uid="{00000000-0005-0000-0000-000034060000}"/>
    <cellStyle name="20 % - Markeringsfarve1 3 2 6 6" xfId="12441" xr:uid="{00000000-0005-0000-0000-000035060000}"/>
    <cellStyle name="20 % - Markeringsfarve1 3 2 6 6 2" xfId="28720" xr:uid="{00000000-0005-0000-0000-000036060000}"/>
    <cellStyle name="20 % - Markeringsfarve1 3 2 6 6 3" xfId="43681" xr:uid="{00000000-0005-0000-0000-000037060000}"/>
    <cellStyle name="20 % - Markeringsfarve1 3 2 6 7" xfId="21718" xr:uid="{00000000-0005-0000-0000-000038060000}"/>
    <cellStyle name="20 % - Markeringsfarve1 3 2 6 8" xfId="36684" xr:uid="{00000000-0005-0000-0000-000039060000}"/>
    <cellStyle name="20 % - Markeringsfarve1 3 2 7" xfId="3961" xr:uid="{00000000-0005-0000-0000-00003A060000}"/>
    <cellStyle name="20 % - Markeringsfarve1 3 2 7 2" xfId="3962" xr:uid="{00000000-0005-0000-0000-00003B060000}"/>
    <cellStyle name="20 % - Markeringsfarve1 3 2 7 2 2" xfId="9748" xr:uid="{00000000-0005-0000-0000-00003C060000}"/>
    <cellStyle name="20 % - Markeringsfarve1 3 2 7 2 2 2" xfId="17602" xr:uid="{00000000-0005-0000-0000-00003D060000}"/>
    <cellStyle name="20 % - Markeringsfarve1 3 2 7 2 2 2 2" xfId="33878" xr:uid="{00000000-0005-0000-0000-00003E060000}"/>
    <cellStyle name="20 % - Markeringsfarve1 3 2 7 2 2 2 3" xfId="48837" xr:uid="{00000000-0005-0000-0000-00003F060000}"/>
    <cellStyle name="20 % - Markeringsfarve1 3 2 7 2 2 3" xfId="26876" xr:uid="{00000000-0005-0000-0000-000040060000}"/>
    <cellStyle name="20 % - Markeringsfarve1 3 2 7 2 2 4" xfId="41840" xr:uid="{00000000-0005-0000-0000-000041060000}"/>
    <cellStyle name="20 % - Markeringsfarve1 3 2 7 2 3" xfId="12447" xr:uid="{00000000-0005-0000-0000-000042060000}"/>
    <cellStyle name="20 % - Markeringsfarve1 3 2 7 2 3 2" xfId="28726" xr:uid="{00000000-0005-0000-0000-000043060000}"/>
    <cellStyle name="20 % - Markeringsfarve1 3 2 7 2 3 3" xfId="43687" xr:uid="{00000000-0005-0000-0000-000044060000}"/>
    <cellStyle name="20 % - Markeringsfarve1 3 2 7 2 4" xfId="21724" xr:uid="{00000000-0005-0000-0000-000045060000}"/>
    <cellStyle name="20 % - Markeringsfarve1 3 2 7 2 5" xfId="36690" xr:uid="{00000000-0005-0000-0000-000046060000}"/>
    <cellStyle name="20 % - Markeringsfarve1 3 2 7 3" xfId="8343" xr:uid="{00000000-0005-0000-0000-000047060000}"/>
    <cellStyle name="20 % - Markeringsfarve1 3 2 7 3 2" xfId="16213" xr:uid="{00000000-0005-0000-0000-000048060000}"/>
    <cellStyle name="20 % - Markeringsfarve1 3 2 7 3 2 2" xfId="32489" xr:uid="{00000000-0005-0000-0000-000049060000}"/>
    <cellStyle name="20 % - Markeringsfarve1 3 2 7 3 2 3" xfId="47448" xr:uid="{00000000-0005-0000-0000-00004A060000}"/>
    <cellStyle name="20 % - Markeringsfarve1 3 2 7 3 3" xfId="25487" xr:uid="{00000000-0005-0000-0000-00004B060000}"/>
    <cellStyle name="20 % - Markeringsfarve1 3 2 7 3 4" xfId="40451" xr:uid="{00000000-0005-0000-0000-00004C060000}"/>
    <cellStyle name="20 % - Markeringsfarve1 3 2 7 4" xfId="12446" xr:uid="{00000000-0005-0000-0000-00004D060000}"/>
    <cellStyle name="20 % - Markeringsfarve1 3 2 7 4 2" xfId="28725" xr:uid="{00000000-0005-0000-0000-00004E060000}"/>
    <cellStyle name="20 % - Markeringsfarve1 3 2 7 4 3" xfId="43686" xr:uid="{00000000-0005-0000-0000-00004F060000}"/>
    <cellStyle name="20 % - Markeringsfarve1 3 2 7 5" xfId="21723" xr:uid="{00000000-0005-0000-0000-000050060000}"/>
    <cellStyle name="20 % - Markeringsfarve1 3 2 7 6" xfId="36689" xr:uid="{00000000-0005-0000-0000-000051060000}"/>
    <cellStyle name="20 % - Markeringsfarve1 3 2 8" xfId="3963" xr:uid="{00000000-0005-0000-0000-000052060000}"/>
    <cellStyle name="20 % - Markeringsfarve1 3 2 8 2" xfId="8976" xr:uid="{00000000-0005-0000-0000-000053060000}"/>
    <cellStyle name="20 % - Markeringsfarve1 3 2 8 2 2" xfId="16840" xr:uid="{00000000-0005-0000-0000-000054060000}"/>
    <cellStyle name="20 % - Markeringsfarve1 3 2 8 2 2 2" xfId="33116" xr:uid="{00000000-0005-0000-0000-000055060000}"/>
    <cellStyle name="20 % - Markeringsfarve1 3 2 8 2 2 3" xfId="48075" xr:uid="{00000000-0005-0000-0000-000056060000}"/>
    <cellStyle name="20 % - Markeringsfarve1 3 2 8 2 3" xfId="26114" xr:uid="{00000000-0005-0000-0000-000057060000}"/>
    <cellStyle name="20 % - Markeringsfarve1 3 2 8 2 4" xfId="41078" xr:uid="{00000000-0005-0000-0000-000058060000}"/>
    <cellStyle name="20 % - Markeringsfarve1 3 2 8 3" xfId="12448" xr:uid="{00000000-0005-0000-0000-000059060000}"/>
    <cellStyle name="20 % - Markeringsfarve1 3 2 8 3 2" xfId="28727" xr:uid="{00000000-0005-0000-0000-00005A060000}"/>
    <cellStyle name="20 % - Markeringsfarve1 3 2 8 3 3" xfId="43688" xr:uid="{00000000-0005-0000-0000-00005B060000}"/>
    <cellStyle name="20 % - Markeringsfarve1 3 2 8 4" xfId="21725" xr:uid="{00000000-0005-0000-0000-00005C060000}"/>
    <cellStyle name="20 % - Markeringsfarve1 3 2 8 5" xfId="36691" xr:uid="{00000000-0005-0000-0000-00005D060000}"/>
    <cellStyle name="20 % - Markeringsfarve1 3 2 9" xfId="3964" xr:uid="{00000000-0005-0000-0000-00005E060000}"/>
    <cellStyle name="20 % - Markeringsfarve1 3 2 9 2" xfId="10568" xr:uid="{00000000-0005-0000-0000-00005F060000}"/>
    <cellStyle name="20 % - Markeringsfarve1 3 2 9 2 2" xfId="18417" xr:uid="{00000000-0005-0000-0000-000060060000}"/>
    <cellStyle name="20 % - Markeringsfarve1 3 2 9 2 2 2" xfId="34693" xr:uid="{00000000-0005-0000-0000-000061060000}"/>
    <cellStyle name="20 % - Markeringsfarve1 3 2 9 2 2 3" xfId="49652" xr:uid="{00000000-0005-0000-0000-000062060000}"/>
    <cellStyle name="20 % - Markeringsfarve1 3 2 9 2 3" xfId="27691" xr:uid="{00000000-0005-0000-0000-000063060000}"/>
    <cellStyle name="20 % - Markeringsfarve1 3 2 9 2 4" xfId="42655" xr:uid="{00000000-0005-0000-0000-000064060000}"/>
    <cellStyle name="20 % - Markeringsfarve1 3 2 9 3" xfId="12449" xr:uid="{00000000-0005-0000-0000-000065060000}"/>
    <cellStyle name="20 % - Markeringsfarve1 3 2 9 3 2" xfId="28728" xr:uid="{00000000-0005-0000-0000-000066060000}"/>
    <cellStyle name="20 % - Markeringsfarve1 3 2 9 3 3" xfId="43689" xr:uid="{00000000-0005-0000-0000-000067060000}"/>
    <cellStyle name="20 % - Markeringsfarve1 3 2 9 4" xfId="21726" xr:uid="{00000000-0005-0000-0000-000068060000}"/>
    <cellStyle name="20 % - Markeringsfarve1 3 2 9 5" xfId="36692" xr:uid="{00000000-0005-0000-0000-000069060000}"/>
    <cellStyle name="20 % - Markeringsfarve1 3 3" xfId="3965" xr:uid="{00000000-0005-0000-0000-00006A060000}"/>
    <cellStyle name="20 % - Markeringsfarve1 3 3 10" xfId="7647" xr:uid="{00000000-0005-0000-0000-00006B060000}"/>
    <cellStyle name="20 % - Markeringsfarve1 3 3 10 2" xfId="15512" xr:uid="{00000000-0005-0000-0000-00006C060000}"/>
    <cellStyle name="20 % - Markeringsfarve1 3 3 10 2 2" xfId="31788" xr:uid="{00000000-0005-0000-0000-00006D060000}"/>
    <cellStyle name="20 % - Markeringsfarve1 3 3 10 2 3" xfId="46747" xr:uid="{00000000-0005-0000-0000-00006E060000}"/>
    <cellStyle name="20 % - Markeringsfarve1 3 3 10 3" xfId="24786" xr:uid="{00000000-0005-0000-0000-00006F060000}"/>
    <cellStyle name="20 % - Markeringsfarve1 3 3 10 4" xfId="39750" xr:uid="{00000000-0005-0000-0000-000070060000}"/>
    <cellStyle name="20 % - Markeringsfarve1 3 3 11" xfId="12450" xr:uid="{00000000-0005-0000-0000-000071060000}"/>
    <cellStyle name="20 % - Markeringsfarve1 3 3 11 2" xfId="28729" xr:uid="{00000000-0005-0000-0000-000072060000}"/>
    <cellStyle name="20 % - Markeringsfarve1 3 3 11 3" xfId="43690" xr:uid="{00000000-0005-0000-0000-000073060000}"/>
    <cellStyle name="20 % - Markeringsfarve1 3 3 12" xfId="21727" xr:uid="{00000000-0005-0000-0000-000074060000}"/>
    <cellStyle name="20 % - Markeringsfarve1 3 3 13" xfId="36693" xr:uid="{00000000-0005-0000-0000-000075060000}"/>
    <cellStyle name="20 % - Markeringsfarve1 3 3 2" xfId="3966" xr:uid="{00000000-0005-0000-0000-000076060000}"/>
    <cellStyle name="20 % - Markeringsfarve1 3 3 2 2" xfId="3967" xr:uid="{00000000-0005-0000-0000-000077060000}"/>
    <cellStyle name="20 % - Markeringsfarve1 3 3 2 2 2" xfId="3968" xr:uid="{00000000-0005-0000-0000-000078060000}"/>
    <cellStyle name="20 % - Markeringsfarve1 3 3 2 2 2 2" xfId="9905" xr:uid="{00000000-0005-0000-0000-000079060000}"/>
    <cellStyle name="20 % - Markeringsfarve1 3 3 2 2 2 2 2" xfId="17760" xr:uid="{00000000-0005-0000-0000-00007A060000}"/>
    <cellStyle name="20 % - Markeringsfarve1 3 3 2 2 2 2 2 2" xfId="34036" xr:uid="{00000000-0005-0000-0000-00007B060000}"/>
    <cellStyle name="20 % - Markeringsfarve1 3 3 2 2 2 2 2 3" xfId="48995" xr:uid="{00000000-0005-0000-0000-00007C060000}"/>
    <cellStyle name="20 % - Markeringsfarve1 3 3 2 2 2 2 3" xfId="27034" xr:uid="{00000000-0005-0000-0000-00007D060000}"/>
    <cellStyle name="20 % - Markeringsfarve1 3 3 2 2 2 2 4" xfId="41998" xr:uid="{00000000-0005-0000-0000-00007E060000}"/>
    <cellStyle name="20 % - Markeringsfarve1 3 3 2 2 2 3" xfId="12453" xr:uid="{00000000-0005-0000-0000-00007F060000}"/>
    <cellStyle name="20 % - Markeringsfarve1 3 3 2 2 2 3 2" xfId="28732" xr:uid="{00000000-0005-0000-0000-000080060000}"/>
    <cellStyle name="20 % - Markeringsfarve1 3 3 2 2 2 3 3" xfId="43693" xr:uid="{00000000-0005-0000-0000-000081060000}"/>
    <cellStyle name="20 % - Markeringsfarve1 3 3 2 2 2 4" xfId="21730" xr:uid="{00000000-0005-0000-0000-000082060000}"/>
    <cellStyle name="20 % - Markeringsfarve1 3 3 2 2 2 5" xfId="36696" xr:uid="{00000000-0005-0000-0000-000083060000}"/>
    <cellStyle name="20 % - Markeringsfarve1 3 3 2 2 3" xfId="8475" xr:uid="{00000000-0005-0000-0000-000084060000}"/>
    <cellStyle name="20 % - Markeringsfarve1 3 3 2 2 3 2" xfId="16345" xr:uid="{00000000-0005-0000-0000-000085060000}"/>
    <cellStyle name="20 % - Markeringsfarve1 3 3 2 2 3 2 2" xfId="32621" xr:uid="{00000000-0005-0000-0000-000086060000}"/>
    <cellStyle name="20 % - Markeringsfarve1 3 3 2 2 3 2 3" xfId="47580" xr:uid="{00000000-0005-0000-0000-000087060000}"/>
    <cellStyle name="20 % - Markeringsfarve1 3 3 2 2 3 3" xfId="25619" xr:uid="{00000000-0005-0000-0000-000088060000}"/>
    <cellStyle name="20 % - Markeringsfarve1 3 3 2 2 3 4" xfId="40583" xr:uid="{00000000-0005-0000-0000-000089060000}"/>
    <cellStyle name="20 % - Markeringsfarve1 3 3 2 2 4" xfId="12452" xr:uid="{00000000-0005-0000-0000-00008A060000}"/>
    <cellStyle name="20 % - Markeringsfarve1 3 3 2 2 4 2" xfId="28731" xr:uid="{00000000-0005-0000-0000-00008B060000}"/>
    <cellStyle name="20 % - Markeringsfarve1 3 3 2 2 4 3" xfId="43692" xr:uid="{00000000-0005-0000-0000-00008C060000}"/>
    <cellStyle name="20 % - Markeringsfarve1 3 3 2 2 5" xfId="21729" xr:uid="{00000000-0005-0000-0000-00008D060000}"/>
    <cellStyle name="20 % - Markeringsfarve1 3 3 2 2 6" xfId="36695" xr:uid="{00000000-0005-0000-0000-00008E060000}"/>
    <cellStyle name="20 % - Markeringsfarve1 3 3 2 3" xfId="3969" xr:uid="{00000000-0005-0000-0000-00008F060000}"/>
    <cellStyle name="20 % - Markeringsfarve1 3 3 2 3 2" xfId="9136" xr:uid="{00000000-0005-0000-0000-000090060000}"/>
    <cellStyle name="20 % - Markeringsfarve1 3 3 2 3 2 2" xfId="17000" xr:uid="{00000000-0005-0000-0000-000091060000}"/>
    <cellStyle name="20 % - Markeringsfarve1 3 3 2 3 2 2 2" xfId="33276" xr:uid="{00000000-0005-0000-0000-000092060000}"/>
    <cellStyle name="20 % - Markeringsfarve1 3 3 2 3 2 2 3" xfId="48235" xr:uid="{00000000-0005-0000-0000-000093060000}"/>
    <cellStyle name="20 % - Markeringsfarve1 3 3 2 3 2 3" xfId="26274" xr:uid="{00000000-0005-0000-0000-000094060000}"/>
    <cellStyle name="20 % - Markeringsfarve1 3 3 2 3 2 4" xfId="41238" xr:uid="{00000000-0005-0000-0000-000095060000}"/>
    <cellStyle name="20 % - Markeringsfarve1 3 3 2 3 3" xfId="12454" xr:uid="{00000000-0005-0000-0000-000096060000}"/>
    <cellStyle name="20 % - Markeringsfarve1 3 3 2 3 3 2" xfId="28733" xr:uid="{00000000-0005-0000-0000-000097060000}"/>
    <cellStyle name="20 % - Markeringsfarve1 3 3 2 3 3 3" xfId="43694" xr:uid="{00000000-0005-0000-0000-000098060000}"/>
    <cellStyle name="20 % - Markeringsfarve1 3 3 2 3 4" xfId="21731" xr:uid="{00000000-0005-0000-0000-000099060000}"/>
    <cellStyle name="20 % - Markeringsfarve1 3 3 2 3 5" xfId="36697" xr:uid="{00000000-0005-0000-0000-00009A060000}"/>
    <cellStyle name="20 % - Markeringsfarve1 3 3 2 4" xfId="3970" xr:uid="{00000000-0005-0000-0000-00009B060000}"/>
    <cellStyle name="20 % - Markeringsfarve1 3 3 2 4 2" xfId="10561" xr:uid="{00000000-0005-0000-0000-00009C060000}"/>
    <cellStyle name="20 % - Markeringsfarve1 3 3 2 4 2 2" xfId="18410" xr:uid="{00000000-0005-0000-0000-00009D060000}"/>
    <cellStyle name="20 % - Markeringsfarve1 3 3 2 4 2 2 2" xfId="34686" xr:uid="{00000000-0005-0000-0000-00009E060000}"/>
    <cellStyle name="20 % - Markeringsfarve1 3 3 2 4 2 2 3" xfId="49645" xr:uid="{00000000-0005-0000-0000-00009F060000}"/>
    <cellStyle name="20 % - Markeringsfarve1 3 3 2 4 2 3" xfId="27684" xr:uid="{00000000-0005-0000-0000-0000A0060000}"/>
    <cellStyle name="20 % - Markeringsfarve1 3 3 2 4 2 4" xfId="42648" xr:uid="{00000000-0005-0000-0000-0000A1060000}"/>
    <cellStyle name="20 % - Markeringsfarve1 3 3 2 4 3" xfId="12455" xr:uid="{00000000-0005-0000-0000-0000A2060000}"/>
    <cellStyle name="20 % - Markeringsfarve1 3 3 2 4 3 2" xfId="28734" xr:uid="{00000000-0005-0000-0000-0000A3060000}"/>
    <cellStyle name="20 % - Markeringsfarve1 3 3 2 4 3 3" xfId="43695" xr:uid="{00000000-0005-0000-0000-0000A4060000}"/>
    <cellStyle name="20 % - Markeringsfarve1 3 3 2 4 4" xfId="21732" xr:uid="{00000000-0005-0000-0000-0000A5060000}"/>
    <cellStyle name="20 % - Markeringsfarve1 3 3 2 4 5" xfId="36698" xr:uid="{00000000-0005-0000-0000-0000A6060000}"/>
    <cellStyle name="20 % - Markeringsfarve1 3 3 2 5" xfId="7648" xr:uid="{00000000-0005-0000-0000-0000A7060000}"/>
    <cellStyle name="20 % - Markeringsfarve1 3 3 2 5 2" xfId="15513" xr:uid="{00000000-0005-0000-0000-0000A8060000}"/>
    <cellStyle name="20 % - Markeringsfarve1 3 3 2 5 2 2" xfId="31789" xr:uid="{00000000-0005-0000-0000-0000A9060000}"/>
    <cellStyle name="20 % - Markeringsfarve1 3 3 2 5 2 3" xfId="46748" xr:uid="{00000000-0005-0000-0000-0000AA060000}"/>
    <cellStyle name="20 % - Markeringsfarve1 3 3 2 5 3" xfId="24787" xr:uid="{00000000-0005-0000-0000-0000AB060000}"/>
    <cellStyle name="20 % - Markeringsfarve1 3 3 2 5 4" xfId="39751" xr:uid="{00000000-0005-0000-0000-0000AC060000}"/>
    <cellStyle name="20 % - Markeringsfarve1 3 3 2 6" xfId="12451" xr:uid="{00000000-0005-0000-0000-0000AD060000}"/>
    <cellStyle name="20 % - Markeringsfarve1 3 3 2 6 2" xfId="28730" xr:uid="{00000000-0005-0000-0000-0000AE060000}"/>
    <cellStyle name="20 % - Markeringsfarve1 3 3 2 6 3" xfId="43691" xr:uid="{00000000-0005-0000-0000-0000AF060000}"/>
    <cellStyle name="20 % - Markeringsfarve1 3 3 2 7" xfId="21728" xr:uid="{00000000-0005-0000-0000-0000B0060000}"/>
    <cellStyle name="20 % - Markeringsfarve1 3 3 2 8" xfId="36694" xr:uid="{00000000-0005-0000-0000-0000B1060000}"/>
    <cellStyle name="20 % - Markeringsfarve1 3 3 3" xfId="3971" xr:uid="{00000000-0005-0000-0000-0000B2060000}"/>
    <cellStyle name="20 % - Markeringsfarve1 3 3 3 2" xfId="3972" xr:uid="{00000000-0005-0000-0000-0000B3060000}"/>
    <cellStyle name="20 % - Markeringsfarve1 3 3 3 2 2" xfId="3973" xr:uid="{00000000-0005-0000-0000-0000B4060000}"/>
    <cellStyle name="20 % - Markeringsfarve1 3 3 3 2 2 2" xfId="9936" xr:uid="{00000000-0005-0000-0000-0000B5060000}"/>
    <cellStyle name="20 % - Markeringsfarve1 3 3 3 2 2 2 2" xfId="17791" xr:uid="{00000000-0005-0000-0000-0000B6060000}"/>
    <cellStyle name="20 % - Markeringsfarve1 3 3 3 2 2 2 2 2" xfId="34067" xr:uid="{00000000-0005-0000-0000-0000B7060000}"/>
    <cellStyle name="20 % - Markeringsfarve1 3 3 3 2 2 2 2 3" xfId="49026" xr:uid="{00000000-0005-0000-0000-0000B8060000}"/>
    <cellStyle name="20 % - Markeringsfarve1 3 3 3 2 2 2 3" xfId="27065" xr:uid="{00000000-0005-0000-0000-0000B9060000}"/>
    <cellStyle name="20 % - Markeringsfarve1 3 3 3 2 2 2 4" xfId="42029" xr:uid="{00000000-0005-0000-0000-0000BA060000}"/>
    <cellStyle name="20 % - Markeringsfarve1 3 3 3 2 2 3" xfId="12458" xr:uid="{00000000-0005-0000-0000-0000BB060000}"/>
    <cellStyle name="20 % - Markeringsfarve1 3 3 3 2 2 3 2" xfId="28737" xr:uid="{00000000-0005-0000-0000-0000BC060000}"/>
    <cellStyle name="20 % - Markeringsfarve1 3 3 3 2 2 3 3" xfId="43698" xr:uid="{00000000-0005-0000-0000-0000BD060000}"/>
    <cellStyle name="20 % - Markeringsfarve1 3 3 3 2 2 4" xfId="21735" xr:uid="{00000000-0005-0000-0000-0000BE060000}"/>
    <cellStyle name="20 % - Markeringsfarve1 3 3 3 2 2 5" xfId="36701" xr:uid="{00000000-0005-0000-0000-0000BF060000}"/>
    <cellStyle name="20 % - Markeringsfarve1 3 3 3 2 3" xfId="8501" xr:uid="{00000000-0005-0000-0000-0000C0060000}"/>
    <cellStyle name="20 % - Markeringsfarve1 3 3 3 2 3 2" xfId="16371" xr:uid="{00000000-0005-0000-0000-0000C1060000}"/>
    <cellStyle name="20 % - Markeringsfarve1 3 3 3 2 3 2 2" xfId="32647" xr:uid="{00000000-0005-0000-0000-0000C2060000}"/>
    <cellStyle name="20 % - Markeringsfarve1 3 3 3 2 3 2 3" xfId="47606" xr:uid="{00000000-0005-0000-0000-0000C3060000}"/>
    <cellStyle name="20 % - Markeringsfarve1 3 3 3 2 3 3" xfId="25645" xr:uid="{00000000-0005-0000-0000-0000C4060000}"/>
    <cellStyle name="20 % - Markeringsfarve1 3 3 3 2 3 4" xfId="40609" xr:uid="{00000000-0005-0000-0000-0000C5060000}"/>
    <cellStyle name="20 % - Markeringsfarve1 3 3 3 2 4" xfId="12457" xr:uid="{00000000-0005-0000-0000-0000C6060000}"/>
    <cellStyle name="20 % - Markeringsfarve1 3 3 3 2 4 2" xfId="28736" xr:uid="{00000000-0005-0000-0000-0000C7060000}"/>
    <cellStyle name="20 % - Markeringsfarve1 3 3 3 2 4 3" xfId="43697" xr:uid="{00000000-0005-0000-0000-0000C8060000}"/>
    <cellStyle name="20 % - Markeringsfarve1 3 3 3 2 5" xfId="21734" xr:uid="{00000000-0005-0000-0000-0000C9060000}"/>
    <cellStyle name="20 % - Markeringsfarve1 3 3 3 2 6" xfId="36700" xr:uid="{00000000-0005-0000-0000-0000CA060000}"/>
    <cellStyle name="20 % - Markeringsfarve1 3 3 3 3" xfId="3974" xr:uid="{00000000-0005-0000-0000-0000CB060000}"/>
    <cellStyle name="20 % - Markeringsfarve1 3 3 3 3 2" xfId="9167" xr:uid="{00000000-0005-0000-0000-0000CC060000}"/>
    <cellStyle name="20 % - Markeringsfarve1 3 3 3 3 2 2" xfId="17031" xr:uid="{00000000-0005-0000-0000-0000CD060000}"/>
    <cellStyle name="20 % - Markeringsfarve1 3 3 3 3 2 2 2" xfId="33307" xr:uid="{00000000-0005-0000-0000-0000CE060000}"/>
    <cellStyle name="20 % - Markeringsfarve1 3 3 3 3 2 2 3" xfId="48266" xr:uid="{00000000-0005-0000-0000-0000CF060000}"/>
    <cellStyle name="20 % - Markeringsfarve1 3 3 3 3 2 3" xfId="26305" xr:uid="{00000000-0005-0000-0000-0000D0060000}"/>
    <cellStyle name="20 % - Markeringsfarve1 3 3 3 3 2 4" xfId="41269" xr:uid="{00000000-0005-0000-0000-0000D1060000}"/>
    <cellStyle name="20 % - Markeringsfarve1 3 3 3 3 3" xfId="12459" xr:uid="{00000000-0005-0000-0000-0000D2060000}"/>
    <cellStyle name="20 % - Markeringsfarve1 3 3 3 3 3 2" xfId="28738" xr:uid="{00000000-0005-0000-0000-0000D3060000}"/>
    <cellStyle name="20 % - Markeringsfarve1 3 3 3 3 3 3" xfId="43699" xr:uid="{00000000-0005-0000-0000-0000D4060000}"/>
    <cellStyle name="20 % - Markeringsfarve1 3 3 3 3 4" xfId="21736" xr:uid="{00000000-0005-0000-0000-0000D5060000}"/>
    <cellStyle name="20 % - Markeringsfarve1 3 3 3 3 5" xfId="36702" xr:uid="{00000000-0005-0000-0000-0000D6060000}"/>
    <cellStyle name="20 % - Markeringsfarve1 3 3 3 4" xfId="3975" xr:uid="{00000000-0005-0000-0000-0000D7060000}"/>
    <cellStyle name="20 % - Markeringsfarve1 3 3 3 4 2" xfId="10560" xr:uid="{00000000-0005-0000-0000-0000D8060000}"/>
    <cellStyle name="20 % - Markeringsfarve1 3 3 3 4 2 2" xfId="18409" xr:uid="{00000000-0005-0000-0000-0000D9060000}"/>
    <cellStyle name="20 % - Markeringsfarve1 3 3 3 4 2 2 2" xfId="34685" xr:uid="{00000000-0005-0000-0000-0000DA060000}"/>
    <cellStyle name="20 % - Markeringsfarve1 3 3 3 4 2 2 3" xfId="49644" xr:uid="{00000000-0005-0000-0000-0000DB060000}"/>
    <cellStyle name="20 % - Markeringsfarve1 3 3 3 4 2 3" xfId="27683" xr:uid="{00000000-0005-0000-0000-0000DC060000}"/>
    <cellStyle name="20 % - Markeringsfarve1 3 3 3 4 2 4" xfId="42647" xr:uid="{00000000-0005-0000-0000-0000DD060000}"/>
    <cellStyle name="20 % - Markeringsfarve1 3 3 3 4 3" xfId="12460" xr:uid="{00000000-0005-0000-0000-0000DE060000}"/>
    <cellStyle name="20 % - Markeringsfarve1 3 3 3 4 3 2" xfId="28739" xr:uid="{00000000-0005-0000-0000-0000DF060000}"/>
    <cellStyle name="20 % - Markeringsfarve1 3 3 3 4 3 3" xfId="43700" xr:uid="{00000000-0005-0000-0000-0000E0060000}"/>
    <cellStyle name="20 % - Markeringsfarve1 3 3 3 4 4" xfId="21737" xr:uid="{00000000-0005-0000-0000-0000E1060000}"/>
    <cellStyle name="20 % - Markeringsfarve1 3 3 3 4 5" xfId="36703" xr:uid="{00000000-0005-0000-0000-0000E2060000}"/>
    <cellStyle name="20 % - Markeringsfarve1 3 3 3 5" xfId="7649" xr:uid="{00000000-0005-0000-0000-0000E3060000}"/>
    <cellStyle name="20 % - Markeringsfarve1 3 3 3 5 2" xfId="15514" xr:uid="{00000000-0005-0000-0000-0000E4060000}"/>
    <cellStyle name="20 % - Markeringsfarve1 3 3 3 5 2 2" xfId="31790" xr:uid="{00000000-0005-0000-0000-0000E5060000}"/>
    <cellStyle name="20 % - Markeringsfarve1 3 3 3 5 2 3" xfId="46749" xr:uid="{00000000-0005-0000-0000-0000E6060000}"/>
    <cellStyle name="20 % - Markeringsfarve1 3 3 3 5 3" xfId="24788" xr:uid="{00000000-0005-0000-0000-0000E7060000}"/>
    <cellStyle name="20 % - Markeringsfarve1 3 3 3 5 4" xfId="39752" xr:uid="{00000000-0005-0000-0000-0000E8060000}"/>
    <cellStyle name="20 % - Markeringsfarve1 3 3 3 6" xfId="12456" xr:uid="{00000000-0005-0000-0000-0000E9060000}"/>
    <cellStyle name="20 % - Markeringsfarve1 3 3 3 6 2" xfId="28735" xr:uid="{00000000-0005-0000-0000-0000EA060000}"/>
    <cellStyle name="20 % - Markeringsfarve1 3 3 3 6 3" xfId="43696" xr:uid="{00000000-0005-0000-0000-0000EB060000}"/>
    <cellStyle name="20 % - Markeringsfarve1 3 3 3 7" xfId="21733" xr:uid="{00000000-0005-0000-0000-0000EC060000}"/>
    <cellStyle name="20 % - Markeringsfarve1 3 3 3 8" xfId="36699" xr:uid="{00000000-0005-0000-0000-0000ED060000}"/>
    <cellStyle name="20 % - Markeringsfarve1 3 3 4" xfId="3976" xr:uid="{00000000-0005-0000-0000-0000EE060000}"/>
    <cellStyle name="20 % - Markeringsfarve1 3 3 4 2" xfId="3977" xr:uid="{00000000-0005-0000-0000-0000EF060000}"/>
    <cellStyle name="20 % - Markeringsfarve1 3 3 4 2 2" xfId="3978" xr:uid="{00000000-0005-0000-0000-0000F0060000}"/>
    <cellStyle name="20 % - Markeringsfarve1 3 3 4 2 2 2" xfId="10143" xr:uid="{00000000-0005-0000-0000-0000F1060000}"/>
    <cellStyle name="20 % - Markeringsfarve1 3 3 4 2 2 2 2" xfId="17998" xr:uid="{00000000-0005-0000-0000-0000F2060000}"/>
    <cellStyle name="20 % - Markeringsfarve1 3 3 4 2 2 2 2 2" xfId="34274" xr:uid="{00000000-0005-0000-0000-0000F3060000}"/>
    <cellStyle name="20 % - Markeringsfarve1 3 3 4 2 2 2 2 3" xfId="49233" xr:uid="{00000000-0005-0000-0000-0000F4060000}"/>
    <cellStyle name="20 % - Markeringsfarve1 3 3 4 2 2 2 3" xfId="27272" xr:uid="{00000000-0005-0000-0000-0000F5060000}"/>
    <cellStyle name="20 % - Markeringsfarve1 3 3 4 2 2 2 4" xfId="42236" xr:uid="{00000000-0005-0000-0000-0000F6060000}"/>
    <cellStyle name="20 % - Markeringsfarve1 3 3 4 2 2 3" xfId="12463" xr:uid="{00000000-0005-0000-0000-0000F7060000}"/>
    <cellStyle name="20 % - Markeringsfarve1 3 3 4 2 2 3 2" xfId="28742" xr:uid="{00000000-0005-0000-0000-0000F8060000}"/>
    <cellStyle name="20 % - Markeringsfarve1 3 3 4 2 2 3 3" xfId="43703" xr:uid="{00000000-0005-0000-0000-0000F9060000}"/>
    <cellStyle name="20 % - Markeringsfarve1 3 3 4 2 2 4" xfId="21740" xr:uid="{00000000-0005-0000-0000-0000FA060000}"/>
    <cellStyle name="20 % - Markeringsfarve1 3 3 4 2 2 5" xfId="36706" xr:uid="{00000000-0005-0000-0000-0000FB060000}"/>
    <cellStyle name="20 % - Markeringsfarve1 3 3 4 2 3" xfId="8677" xr:uid="{00000000-0005-0000-0000-0000FC060000}"/>
    <cellStyle name="20 % - Markeringsfarve1 3 3 4 2 3 2" xfId="16544" xr:uid="{00000000-0005-0000-0000-0000FD060000}"/>
    <cellStyle name="20 % - Markeringsfarve1 3 3 4 2 3 2 2" xfId="32820" xr:uid="{00000000-0005-0000-0000-0000FE060000}"/>
    <cellStyle name="20 % - Markeringsfarve1 3 3 4 2 3 2 3" xfId="47779" xr:uid="{00000000-0005-0000-0000-0000FF060000}"/>
    <cellStyle name="20 % - Markeringsfarve1 3 3 4 2 3 3" xfId="25818" xr:uid="{00000000-0005-0000-0000-000000070000}"/>
    <cellStyle name="20 % - Markeringsfarve1 3 3 4 2 3 4" xfId="40782" xr:uid="{00000000-0005-0000-0000-000001070000}"/>
    <cellStyle name="20 % - Markeringsfarve1 3 3 4 2 4" xfId="12462" xr:uid="{00000000-0005-0000-0000-000002070000}"/>
    <cellStyle name="20 % - Markeringsfarve1 3 3 4 2 4 2" xfId="28741" xr:uid="{00000000-0005-0000-0000-000003070000}"/>
    <cellStyle name="20 % - Markeringsfarve1 3 3 4 2 4 3" xfId="43702" xr:uid="{00000000-0005-0000-0000-000004070000}"/>
    <cellStyle name="20 % - Markeringsfarve1 3 3 4 2 5" xfId="21739" xr:uid="{00000000-0005-0000-0000-000005070000}"/>
    <cellStyle name="20 % - Markeringsfarve1 3 3 4 2 6" xfId="36705" xr:uid="{00000000-0005-0000-0000-000006070000}"/>
    <cellStyle name="20 % - Markeringsfarve1 3 3 4 3" xfId="3979" xr:uid="{00000000-0005-0000-0000-000007070000}"/>
    <cellStyle name="20 % - Markeringsfarve1 3 3 4 3 2" xfId="9420" xr:uid="{00000000-0005-0000-0000-000008070000}"/>
    <cellStyle name="20 % - Markeringsfarve1 3 3 4 3 2 2" xfId="17283" xr:uid="{00000000-0005-0000-0000-000009070000}"/>
    <cellStyle name="20 % - Markeringsfarve1 3 3 4 3 2 2 2" xfId="33559" xr:uid="{00000000-0005-0000-0000-00000A070000}"/>
    <cellStyle name="20 % - Markeringsfarve1 3 3 4 3 2 2 3" xfId="48518" xr:uid="{00000000-0005-0000-0000-00000B070000}"/>
    <cellStyle name="20 % - Markeringsfarve1 3 3 4 3 2 3" xfId="26557" xr:uid="{00000000-0005-0000-0000-00000C070000}"/>
    <cellStyle name="20 % - Markeringsfarve1 3 3 4 3 2 4" xfId="41521" xr:uid="{00000000-0005-0000-0000-00000D070000}"/>
    <cellStyle name="20 % - Markeringsfarve1 3 3 4 3 3" xfId="12464" xr:uid="{00000000-0005-0000-0000-00000E070000}"/>
    <cellStyle name="20 % - Markeringsfarve1 3 3 4 3 3 2" xfId="28743" xr:uid="{00000000-0005-0000-0000-00000F070000}"/>
    <cellStyle name="20 % - Markeringsfarve1 3 3 4 3 3 3" xfId="43704" xr:uid="{00000000-0005-0000-0000-000010070000}"/>
    <cellStyle name="20 % - Markeringsfarve1 3 3 4 3 4" xfId="21741" xr:uid="{00000000-0005-0000-0000-000011070000}"/>
    <cellStyle name="20 % - Markeringsfarve1 3 3 4 3 5" xfId="36707" xr:uid="{00000000-0005-0000-0000-000012070000}"/>
    <cellStyle name="20 % - Markeringsfarve1 3 3 4 4" xfId="3980" xr:uid="{00000000-0005-0000-0000-000013070000}"/>
    <cellStyle name="20 % - Markeringsfarve1 3 3 4 4 2" xfId="10559" xr:uid="{00000000-0005-0000-0000-000014070000}"/>
    <cellStyle name="20 % - Markeringsfarve1 3 3 4 4 2 2" xfId="18408" xr:uid="{00000000-0005-0000-0000-000015070000}"/>
    <cellStyle name="20 % - Markeringsfarve1 3 3 4 4 2 2 2" xfId="34684" xr:uid="{00000000-0005-0000-0000-000016070000}"/>
    <cellStyle name="20 % - Markeringsfarve1 3 3 4 4 2 2 3" xfId="49643" xr:uid="{00000000-0005-0000-0000-000017070000}"/>
    <cellStyle name="20 % - Markeringsfarve1 3 3 4 4 2 3" xfId="27682" xr:uid="{00000000-0005-0000-0000-000018070000}"/>
    <cellStyle name="20 % - Markeringsfarve1 3 3 4 4 2 4" xfId="42646" xr:uid="{00000000-0005-0000-0000-000019070000}"/>
    <cellStyle name="20 % - Markeringsfarve1 3 3 4 4 3" xfId="12465" xr:uid="{00000000-0005-0000-0000-00001A070000}"/>
    <cellStyle name="20 % - Markeringsfarve1 3 3 4 4 3 2" xfId="28744" xr:uid="{00000000-0005-0000-0000-00001B070000}"/>
    <cellStyle name="20 % - Markeringsfarve1 3 3 4 4 3 3" xfId="43705" xr:uid="{00000000-0005-0000-0000-00001C070000}"/>
    <cellStyle name="20 % - Markeringsfarve1 3 3 4 4 4" xfId="21742" xr:uid="{00000000-0005-0000-0000-00001D070000}"/>
    <cellStyle name="20 % - Markeringsfarve1 3 3 4 4 5" xfId="36708" xr:uid="{00000000-0005-0000-0000-00001E070000}"/>
    <cellStyle name="20 % - Markeringsfarve1 3 3 4 5" xfId="7650" xr:uid="{00000000-0005-0000-0000-00001F070000}"/>
    <cellStyle name="20 % - Markeringsfarve1 3 3 4 5 2" xfId="15515" xr:uid="{00000000-0005-0000-0000-000020070000}"/>
    <cellStyle name="20 % - Markeringsfarve1 3 3 4 5 2 2" xfId="31791" xr:uid="{00000000-0005-0000-0000-000021070000}"/>
    <cellStyle name="20 % - Markeringsfarve1 3 3 4 5 2 3" xfId="46750" xr:uid="{00000000-0005-0000-0000-000022070000}"/>
    <cellStyle name="20 % - Markeringsfarve1 3 3 4 5 3" xfId="24789" xr:uid="{00000000-0005-0000-0000-000023070000}"/>
    <cellStyle name="20 % - Markeringsfarve1 3 3 4 5 4" xfId="39753" xr:uid="{00000000-0005-0000-0000-000024070000}"/>
    <cellStyle name="20 % - Markeringsfarve1 3 3 4 6" xfId="12461" xr:uid="{00000000-0005-0000-0000-000025070000}"/>
    <cellStyle name="20 % - Markeringsfarve1 3 3 4 6 2" xfId="28740" xr:uid="{00000000-0005-0000-0000-000026070000}"/>
    <cellStyle name="20 % - Markeringsfarve1 3 3 4 6 3" xfId="43701" xr:uid="{00000000-0005-0000-0000-000027070000}"/>
    <cellStyle name="20 % - Markeringsfarve1 3 3 4 7" xfId="21738" xr:uid="{00000000-0005-0000-0000-000028070000}"/>
    <cellStyle name="20 % - Markeringsfarve1 3 3 4 8" xfId="36704" xr:uid="{00000000-0005-0000-0000-000029070000}"/>
    <cellStyle name="20 % - Markeringsfarve1 3 3 5" xfId="3981" xr:uid="{00000000-0005-0000-0000-00002A070000}"/>
    <cellStyle name="20 % - Markeringsfarve1 3 3 5 2" xfId="3982" xr:uid="{00000000-0005-0000-0000-00002B070000}"/>
    <cellStyle name="20 % - Markeringsfarve1 3 3 5 2 2" xfId="3983" xr:uid="{00000000-0005-0000-0000-00002C070000}"/>
    <cellStyle name="20 % - Markeringsfarve1 3 3 5 2 2 2" xfId="10260" xr:uid="{00000000-0005-0000-0000-00002D070000}"/>
    <cellStyle name="20 % - Markeringsfarve1 3 3 5 2 2 2 2" xfId="18115" xr:uid="{00000000-0005-0000-0000-00002E070000}"/>
    <cellStyle name="20 % - Markeringsfarve1 3 3 5 2 2 2 2 2" xfId="34391" xr:uid="{00000000-0005-0000-0000-00002F070000}"/>
    <cellStyle name="20 % - Markeringsfarve1 3 3 5 2 2 2 2 3" xfId="49350" xr:uid="{00000000-0005-0000-0000-000030070000}"/>
    <cellStyle name="20 % - Markeringsfarve1 3 3 5 2 2 2 3" xfId="27389" xr:uid="{00000000-0005-0000-0000-000031070000}"/>
    <cellStyle name="20 % - Markeringsfarve1 3 3 5 2 2 2 4" xfId="42353" xr:uid="{00000000-0005-0000-0000-000032070000}"/>
    <cellStyle name="20 % - Markeringsfarve1 3 3 5 2 2 3" xfId="12468" xr:uid="{00000000-0005-0000-0000-000033070000}"/>
    <cellStyle name="20 % - Markeringsfarve1 3 3 5 2 2 3 2" xfId="28747" xr:uid="{00000000-0005-0000-0000-000034070000}"/>
    <cellStyle name="20 % - Markeringsfarve1 3 3 5 2 2 3 3" xfId="43708" xr:uid="{00000000-0005-0000-0000-000035070000}"/>
    <cellStyle name="20 % - Markeringsfarve1 3 3 5 2 2 4" xfId="21745" xr:uid="{00000000-0005-0000-0000-000036070000}"/>
    <cellStyle name="20 % - Markeringsfarve1 3 3 5 2 2 5" xfId="36711" xr:uid="{00000000-0005-0000-0000-000037070000}"/>
    <cellStyle name="20 % - Markeringsfarve1 3 3 5 2 3" xfId="8776" xr:uid="{00000000-0005-0000-0000-000038070000}"/>
    <cellStyle name="20 % - Markeringsfarve1 3 3 5 2 3 2" xfId="16643" xr:uid="{00000000-0005-0000-0000-000039070000}"/>
    <cellStyle name="20 % - Markeringsfarve1 3 3 5 2 3 2 2" xfId="32919" xr:uid="{00000000-0005-0000-0000-00003A070000}"/>
    <cellStyle name="20 % - Markeringsfarve1 3 3 5 2 3 2 3" xfId="47878" xr:uid="{00000000-0005-0000-0000-00003B070000}"/>
    <cellStyle name="20 % - Markeringsfarve1 3 3 5 2 3 3" xfId="25917" xr:uid="{00000000-0005-0000-0000-00003C070000}"/>
    <cellStyle name="20 % - Markeringsfarve1 3 3 5 2 3 4" xfId="40881" xr:uid="{00000000-0005-0000-0000-00003D070000}"/>
    <cellStyle name="20 % - Markeringsfarve1 3 3 5 2 4" xfId="12467" xr:uid="{00000000-0005-0000-0000-00003E070000}"/>
    <cellStyle name="20 % - Markeringsfarve1 3 3 5 2 4 2" xfId="28746" xr:uid="{00000000-0005-0000-0000-00003F070000}"/>
    <cellStyle name="20 % - Markeringsfarve1 3 3 5 2 4 3" xfId="43707" xr:uid="{00000000-0005-0000-0000-000040070000}"/>
    <cellStyle name="20 % - Markeringsfarve1 3 3 5 2 5" xfId="21744" xr:uid="{00000000-0005-0000-0000-000041070000}"/>
    <cellStyle name="20 % - Markeringsfarve1 3 3 5 2 6" xfId="36710" xr:uid="{00000000-0005-0000-0000-000042070000}"/>
    <cellStyle name="20 % - Markeringsfarve1 3 3 5 3" xfId="3984" xr:uid="{00000000-0005-0000-0000-000043070000}"/>
    <cellStyle name="20 % - Markeringsfarve1 3 3 5 3 2" xfId="9537" xr:uid="{00000000-0005-0000-0000-000044070000}"/>
    <cellStyle name="20 % - Markeringsfarve1 3 3 5 3 2 2" xfId="17400" xr:uid="{00000000-0005-0000-0000-000045070000}"/>
    <cellStyle name="20 % - Markeringsfarve1 3 3 5 3 2 2 2" xfId="33676" xr:uid="{00000000-0005-0000-0000-000046070000}"/>
    <cellStyle name="20 % - Markeringsfarve1 3 3 5 3 2 2 3" xfId="48635" xr:uid="{00000000-0005-0000-0000-000047070000}"/>
    <cellStyle name="20 % - Markeringsfarve1 3 3 5 3 2 3" xfId="26674" xr:uid="{00000000-0005-0000-0000-000048070000}"/>
    <cellStyle name="20 % - Markeringsfarve1 3 3 5 3 2 4" xfId="41638" xr:uid="{00000000-0005-0000-0000-000049070000}"/>
    <cellStyle name="20 % - Markeringsfarve1 3 3 5 3 3" xfId="12469" xr:uid="{00000000-0005-0000-0000-00004A070000}"/>
    <cellStyle name="20 % - Markeringsfarve1 3 3 5 3 3 2" xfId="28748" xr:uid="{00000000-0005-0000-0000-00004B070000}"/>
    <cellStyle name="20 % - Markeringsfarve1 3 3 5 3 3 3" xfId="43709" xr:uid="{00000000-0005-0000-0000-00004C070000}"/>
    <cellStyle name="20 % - Markeringsfarve1 3 3 5 3 4" xfId="21746" xr:uid="{00000000-0005-0000-0000-00004D070000}"/>
    <cellStyle name="20 % - Markeringsfarve1 3 3 5 3 5" xfId="36712" xr:uid="{00000000-0005-0000-0000-00004E070000}"/>
    <cellStyle name="20 % - Markeringsfarve1 3 3 5 4" xfId="3985" xr:uid="{00000000-0005-0000-0000-00004F070000}"/>
    <cellStyle name="20 % - Markeringsfarve1 3 3 5 4 2" xfId="10558" xr:uid="{00000000-0005-0000-0000-000050070000}"/>
    <cellStyle name="20 % - Markeringsfarve1 3 3 5 4 2 2" xfId="18407" xr:uid="{00000000-0005-0000-0000-000051070000}"/>
    <cellStyle name="20 % - Markeringsfarve1 3 3 5 4 2 2 2" xfId="34683" xr:uid="{00000000-0005-0000-0000-000052070000}"/>
    <cellStyle name="20 % - Markeringsfarve1 3 3 5 4 2 2 3" xfId="49642" xr:uid="{00000000-0005-0000-0000-000053070000}"/>
    <cellStyle name="20 % - Markeringsfarve1 3 3 5 4 2 3" xfId="27681" xr:uid="{00000000-0005-0000-0000-000054070000}"/>
    <cellStyle name="20 % - Markeringsfarve1 3 3 5 4 2 4" xfId="42645" xr:uid="{00000000-0005-0000-0000-000055070000}"/>
    <cellStyle name="20 % - Markeringsfarve1 3 3 5 4 3" xfId="12470" xr:uid="{00000000-0005-0000-0000-000056070000}"/>
    <cellStyle name="20 % - Markeringsfarve1 3 3 5 4 3 2" xfId="28749" xr:uid="{00000000-0005-0000-0000-000057070000}"/>
    <cellStyle name="20 % - Markeringsfarve1 3 3 5 4 3 3" xfId="43710" xr:uid="{00000000-0005-0000-0000-000058070000}"/>
    <cellStyle name="20 % - Markeringsfarve1 3 3 5 4 4" xfId="21747" xr:uid="{00000000-0005-0000-0000-000059070000}"/>
    <cellStyle name="20 % - Markeringsfarve1 3 3 5 4 5" xfId="36713" xr:uid="{00000000-0005-0000-0000-00005A070000}"/>
    <cellStyle name="20 % - Markeringsfarve1 3 3 5 5" xfId="7651" xr:uid="{00000000-0005-0000-0000-00005B070000}"/>
    <cellStyle name="20 % - Markeringsfarve1 3 3 5 5 2" xfId="15516" xr:uid="{00000000-0005-0000-0000-00005C070000}"/>
    <cellStyle name="20 % - Markeringsfarve1 3 3 5 5 2 2" xfId="31792" xr:uid="{00000000-0005-0000-0000-00005D070000}"/>
    <cellStyle name="20 % - Markeringsfarve1 3 3 5 5 2 3" xfId="46751" xr:uid="{00000000-0005-0000-0000-00005E070000}"/>
    <cellStyle name="20 % - Markeringsfarve1 3 3 5 5 3" xfId="24790" xr:uid="{00000000-0005-0000-0000-00005F070000}"/>
    <cellStyle name="20 % - Markeringsfarve1 3 3 5 5 4" xfId="39754" xr:uid="{00000000-0005-0000-0000-000060070000}"/>
    <cellStyle name="20 % - Markeringsfarve1 3 3 5 6" xfId="12466" xr:uid="{00000000-0005-0000-0000-000061070000}"/>
    <cellStyle name="20 % - Markeringsfarve1 3 3 5 6 2" xfId="28745" xr:uid="{00000000-0005-0000-0000-000062070000}"/>
    <cellStyle name="20 % - Markeringsfarve1 3 3 5 6 3" xfId="43706" xr:uid="{00000000-0005-0000-0000-000063070000}"/>
    <cellStyle name="20 % - Markeringsfarve1 3 3 5 7" xfId="21743" xr:uid="{00000000-0005-0000-0000-000064070000}"/>
    <cellStyle name="20 % - Markeringsfarve1 3 3 5 8" xfId="36709" xr:uid="{00000000-0005-0000-0000-000065070000}"/>
    <cellStyle name="20 % - Markeringsfarve1 3 3 6" xfId="3986" xr:uid="{00000000-0005-0000-0000-000066070000}"/>
    <cellStyle name="20 % - Markeringsfarve1 3 3 6 2" xfId="3987" xr:uid="{00000000-0005-0000-0000-000067070000}"/>
    <cellStyle name="20 % - Markeringsfarve1 3 3 6 2 2" xfId="3988" xr:uid="{00000000-0005-0000-0000-000068070000}"/>
    <cellStyle name="20 % - Markeringsfarve1 3 3 6 2 2 2" xfId="10291" xr:uid="{00000000-0005-0000-0000-000069070000}"/>
    <cellStyle name="20 % - Markeringsfarve1 3 3 6 2 2 2 2" xfId="18146" xr:uid="{00000000-0005-0000-0000-00006A070000}"/>
    <cellStyle name="20 % - Markeringsfarve1 3 3 6 2 2 2 2 2" xfId="34422" xr:uid="{00000000-0005-0000-0000-00006B070000}"/>
    <cellStyle name="20 % - Markeringsfarve1 3 3 6 2 2 2 2 3" xfId="49381" xr:uid="{00000000-0005-0000-0000-00006C070000}"/>
    <cellStyle name="20 % - Markeringsfarve1 3 3 6 2 2 2 3" xfId="27420" xr:uid="{00000000-0005-0000-0000-00006D070000}"/>
    <cellStyle name="20 % - Markeringsfarve1 3 3 6 2 2 2 4" xfId="42384" xr:uid="{00000000-0005-0000-0000-00006E070000}"/>
    <cellStyle name="20 % - Markeringsfarve1 3 3 6 2 2 3" xfId="12473" xr:uid="{00000000-0005-0000-0000-00006F070000}"/>
    <cellStyle name="20 % - Markeringsfarve1 3 3 6 2 2 3 2" xfId="28752" xr:uid="{00000000-0005-0000-0000-000070070000}"/>
    <cellStyle name="20 % - Markeringsfarve1 3 3 6 2 2 3 3" xfId="43713" xr:uid="{00000000-0005-0000-0000-000071070000}"/>
    <cellStyle name="20 % - Markeringsfarve1 3 3 6 2 2 4" xfId="21750" xr:uid="{00000000-0005-0000-0000-000072070000}"/>
    <cellStyle name="20 % - Markeringsfarve1 3 3 6 2 2 5" xfId="36716" xr:uid="{00000000-0005-0000-0000-000073070000}"/>
    <cellStyle name="20 % - Markeringsfarve1 3 3 6 2 3" xfId="8803" xr:uid="{00000000-0005-0000-0000-000074070000}"/>
    <cellStyle name="20 % - Markeringsfarve1 3 3 6 2 3 2" xfId="16670" xr:uid="{00000000-0005-0000-0000-000075070000}"/>
    <cellStyle name="20 % - Markeringsfarve1 3 3 6 2 3 2 2" xfId="32946" xr:uid="{00000000-0005-0000-0000-000076070000}"/>
    <cellStyle name="20 % - Markeringsfarve1 3 3 6 2 3 2 3" xfId="47905" xr:uid="{00000000-0005-0000-0000-000077070000}"/>
    <cellStyle name="20 % - Markeringsfarve1 3 3 6 2 3 3" xfId="25944" xr:uid="{00000000-0005-0000-0000-000078070000}"/>
    <cellStyle name="20 % - Markeringsfarve1 3 3 6 2 3 4" xfId="40908" xr:uid="{00000000-0005-0000-0000-000079070000}"/>
    <cellStyle name="20 % - Markeringsfarve1 3 3 6 2 4" xfId="12472" xr:uid="{00000000-0005-0000-0000-00007A070000}"/>
    <cellStyle name="20 % - Markeringsfarve1 3 3 6 2 4 2" xfId="28751" xr:uid="{00000000-0005-0000-0000-00007B070000}"/>
    <cellStyle name="20 % - Markeringsfarve1 3 3 6 2 4 3" xfId="43712" xr:uid="{00000000-0005-0000-0000-00007C070000}"/>
    <cellStyle name="20 % - Markeringsfarve1 3 3 6 2 5" xfId="21749" xr:uid="{00000000-0005-0000-0000-00007D070000}"/>
    <cellStyle name="20 % - Markeringsfarve1 3 3 6 2 6" xfId="36715" xr:uid="{00000000-0005-0000-0000-00007E070000}"/>
    <cellStyle name="20 % - Markeringsfarve1 3 3 6 3" xfId="3989" xr:uid="{00000000-0005-0000-0000-00007F070000}"/>
    <cellStyle name="20 % - Markeringsfarve1 3 3 6 3 2" xfId="9569" xr:uid="{00000000-0005-0000-0000-000080070000}"/>
    <cellStyle name="20 % - Markeringsfarve1 3 3 6 3 2 2" xfId="17432" xr:uid="{00000000-0005-0000-0000-000081070000}"/>
    <cellStyle name="20 % - Markeringsfarve1 3 3 6 3 2 2 2" xfId="33708" xr:uid="{00000000-0005-0000-0000-000082070000}"/>
    <cellStyle name="20 % - Markeringsfarve1 3 3 6 3 2 2 3" xfId="48667" xr:uid="{00000000-0005-0000-0000-000083070000}"/>
    <cellStyle name="20 % - Markeringsfarve1 3 3 6 3 2 3" xfId="26706" xr:uid="{00000000-0005-0000-0000-000084070000}"/>
    <cellStyle name="20 % - Markeringsfarve1 3 3 6 3 2 4" xfId="41670" xr:uid="{00000000-0005-0000-0000-000085070000}"/>
    <cellStyle name="20 % - Markeringsfarve1 3 3 6 3 3" xfId="12474" xr:uid="{00000000-0005-0000-0000-000086070000}"/>
    <cellStyle name="20 % - Markeringsfarve1 3 3 6 3 3 2" xfId="28753" xr:uid="{00000000-0005-0000-0000-000087070000}"/>
    <cellStyle name="20 % - Markeringsfarve1 3 3 6 3 3 3" xfId="43714" xr:uid="{00000000-0005-0000-0000-000088070000}"/>
    <cellStyle name="20 % - Markeringsfarve1 3 3 6 3 4" xfId="21751" xr:uid="{00000000-0005-0000-0000-000089070000}"/>
    <cellStyle name="20 % - Markeringsfarve1 3 3 6 3 5" xfId="36717" xr:uid="{00000000-0005-0000-0000-00008A070000}"/>
    <cellStyle name="20 % - Markeringsfarve1 3 3 6 4" xfId="3990" xr:uid="{00000000-0005-0000-0000-00008B070000}"/>
    <cellStyle name="20 % - Markeringsfarve1 3 3 6 4 2" xfId="10557" xr:uid="{00000000-0005-0000-0000-00008C070000}"/>
    <cellStyle name="20 % - Markeringsfarve1 3 3 6 4 2 2" xfId="18406" xr:uid="{00000000-0005-0000-0000-00008D070000}"/>
    <cellStyle name="20 % - Markeringsfarve1 3 3 6 4 2 2 2" xfId="34682" xr:uid="{00000000-0005-0000-0000-00008E070000}"/>
    <cellStyle name="20 % - Markeringsfarve1 3 3 6 4 2 2 3" xfId="49641" xr:uid="{00000000-0005-0000-0000-00008F070000}"/>
    <cellStyle name="20 % - Markeringsfarve1 3 3 6 4 2 3" xfId="27680" xr:uid="{00000000-0005-0000-0000-000090070000}"/>
    <cellStyle name="20 % - Markeringsfarve1 3 3 6 4 2 4" xfId="42644" xr:uid="{00000000-0005-0000-0000-000091070000}"/>
    <cellStyle name="20 % - Markeringsfarve1 3 3 6 4 3" xfId="12475" xr:uid="{00000000-0005-0000-0000-000092070000}"/>
    <cellStyle name="20 % - Markeringsfarve1 3 3 6 4 3 2" xfId="28754" xr:uid="{00000000-0005-0000-0000-000093070000}"/>
    <cellStyle name="20 % - Markeringsfarve1 3 3 6 4 3 3" xfId="43715" xr:uid="{00000000-0005-0000-0000-000094070000}"/>
    <cellStyle name="20 % - Markeringsfarve1 3 3 6 4 4" xfId="21752" xr:uid="{00000000-0005-0000-0000-000095070000}"/>
    <cellStyle name="20 % - Markeringsfarve1 3 3 6 4 5" xfId="36718" xr:uid="{00000000-0005-0000-0000-000096070000}"/>
    <cellStyle name="20 % - Markeringsfarve1 3 3 6 5" xfId="7652" xr:uid="{00000000-0005-0000-0000-000097070000}"/>
    <cellStyle name="20 % - Markeringsfarve1 3 3 6 5 2" xfId="15517" xr:uid="{00000000-0005-0000-0000-000098070000}"/>
    <cellStyle name="20 % - Markeringsfarve1 3 3 6 5 2 2" xfId="31793" xr:uid="{00000000-0005-0000-0000-000099070000}"/>
    <cellStyle name="20 % - Markeringsfarve1 3 3 6 5 2 3" xfId="46752" xr:uid="{00000000-0005-0000-0000-00009A070000}"/>
    <cellStyle name="20 % - Markeringsfarve1 3 3 6 5 3" xfId="24791" xr:uid="{00000000-0005-0000-0000-00009B070000}"/>
    <cellStyle name="20 % - Markeringsfarve1 3 3 6 5 4" xfId="39755" xr:uid="{00000000-0005-0000-0000-00009C070000}"/>
    <cellStyle name="20 % - Markeringsfarve1 3 3 6 6" xfId="12471" xr:uid="{00000000-0005-0000-0000-00009D070000}"/>
    <cellStyle name="20 % - Markeringsfarve1 3 3 6 6 2" xfId="28750" xr:uid="{00000000-0005-0000-0000-00009E070000}"/>
    <cellStyle name="20 % - Markeringsfarve1 3 3 6 6 3" xfId="43711" xr:uid="{00000000-0005-0000-0000-00009F070000}"/>
    <cellStyle name="20 % - Markeringsfarve1 3 3 6 7" xfId="21748" xr:uid="{00000000-0005-0000-0000-0000A0070000}"/>
    <cellStyle name="20 % - Markeringsfarve1 3 3 6 8" xfId="36714" xr:uid="{00000000-0005-0000-0000-0000A1070000}"/>
    <cellStyle name="20 % - Markeringsfarve1 3 3 7" xfId="3991" xr:uid="{00000000-0005-0000-0000-0000A2070000}"/>
    <cellStyle name="20 % - Markeringsfarve1 3 3 7 2" xfId="3992" xr:uid="{00000000-0005-0000-0000-0000A3070000}"/>
    <cellStyle name="20 % - Markeringsfarve1 3 3 7 2 2" xfId="9787" xr:uid="{00000000-0005-0000-0000-0000A4070000}"/>
    <cellStyle name="20 % - Markeringsfarve1 3 3 7 2 2 2" xfId="17641" xr:uid="{00000000-0005-0000-0000-0000A5070000}"/>
    <cellStyle name="20 % - Markeringsfarve1 3 3 7 2 2 2 2" xfId="33917" xr:uid="{00000000-0005-0000-0000-0000A6070000}"/>
    <cellStyle name="20 % - Markeringsfarve1 3 3 7 2 2 2 3" xfId="48876" xr:uid="{00000000-0005-0000-0000-0000A7070000}"/>
    <cellStyle name="20 % - Markeringsfarve1 3 3 7 2 2 3" xfId="26915" xr:uid="{00000000-0005-0000-0000-0000A8070000}"/>
    <cellStyle name="20 % - Markeringsfarve1 3 3 7 2 2 4" xfId="41879" xr:uid="{00000000-0005-0000-0000-0000A9070000}"/>
    <cellStyle name="20 % - Markeringsfarve1 3 3 7 2 3" xfId="12477" xr:uid="{00000000-0005-0000-0000-0000AA070000}"/>
    <cellStyle name="20 % - Markeringsfarve1 3 3 7 2 3 2" xfId="28756" xr:uid="{00000000-0005-0000-0000-0000AB070000}"/>
    <cellStyle name="20 % - Markeringsfarve1 3 3 7 2 3 3" xfId="43717" xr:uid="{00000000-0005-0000-0000-0000AC070000}"/>
    <cellStyle name="20 % - Markeringsfarve1 3 3 7 2 4" xfId="21754" xr:uid="{00000000-0005-0000-0000-0000AD070000}"/>
    <cellStyle name="20 % - Markeringsfarve1 3 3 7 2 5" xfId="36720" xr:uid="{00000000-0005-0000-0000-0000AE070000}"/>
    <cellStyle name="20 % - Markeringsfarve1 3 3 7 3" xfId="8376" xr:uid="{00000000-0005-0000-0000-0000AF070000}"/>
    <cellStyle name="20 % - Markeringsfarve1 3 3 7 3 2" xfId="16246" xr:uid="{00000000-0005-0000-0000-0000B0070000}"/>
    <cellStyle name="20 % - Markeringsfarve1 3 3 7 3 2 2" xfId="32522" xr:uid="{00000000-0005-0000-0000-0000B1070000}"/>
    <cellStyle name="20 % - Markeringsfarve1 3 3 7 3 2 3" xfId="47481" xr:uid="{00000000-0005-0000-0000-0000B2070000}"/>
    <cellStyle name="20 % - Markeringsfarve1 3 3 7 3 3" xfId="25520" xr:uid="{00000000-0005-0000-0000-0000B3070000}"/>
    <cellStyle name="20 % - Markeringsfarve1 3 3 7 3 4" xfId="40484" xr:uid="{00000000-0005-0000-0000-0000B4070000}"/>
    <cellStyle name="20 % - Markeringsfarve1 3 3 7 4" xfId="12476" xr:uid="{00000000-0005-0000-0000-0000B5070000}"/>
    <cellStyle name="20 % - Markeringsfarve1 3 3 7 4 2" xfId="28755" xr:uid="{00000000-0005-0000-0000-0000B6070000}"/>
    <cellStyle name="20 % - Markeringsfarve1 3 3 7 4 3" xfId="43716" xr:uid="{00000000-0005-0000-0000-0000B7070000}"/>
    <cellStyle name="20 % - Markeringsfarve1 3 3 7 5" xfId="21753" xr:uid="{00000000-0005-0000-0000-0000B8070000}"/>
    <cellStyle name="20 % - Markeringsfarve1 3 3 7 6" xfId="36719" xr:uid="{00000000-0005-0000-0000-0000B9070000}"/>
    <cellStyle name="20 % - Markeringsfarve1 3 3 8" xfId="3993" xr:uid="{00000000-0005-0000-0000-0000BA070000}"/>
    <cellStyle name="20 % - Markeringsfarve1 3 3 8 2" xfId="9015" xr:uid="{00000000-0005-0000-0000-0000BB070000}"/>
    <cellStyle name="20 % - Markeringsfarve1 3 3 8 2 2" xfId="16879" xr:uid="{00000000-0005-0000-0000-0000BC070000}"/>
    <cellStyle name="20 % - Markeringsfarve1 3 3 8 2 2 2" xfId="33155" xr:uid="{00000000-0005-0000-0000-0000BD070000}"/>
    <cellStyle name="20 % - Markeringsfarve1 3 3 8 2 2 3" xfId="48114" xr:uid="{00000000-0005-0000-0000-0000BE070000}"/>
    <cellStyle name="20 % - Markeringsfarve1 3 3 8 2 3" xfId="26153" xr:uid="{00000000-0005-0000-0000-0000BF070000}"/>
    <cellStyle name="20 % - Markeringsfarve1 3 3 8 2 4" xfId="41117" xr:uid="{00000000-0005-0000-0000-0000C0070000}"/>
    <cellStyle name="20 % - Markeringsfarve1 3 3 8 3" xfId="12478" xr:uid="{00000000-0005-0000-0000-0000C1070000}"/>
    <cellStyle name="20 % - Markeringsfarve1 3 3 8 3 2" xfId="28757" xr:uid="{00000000-0005-0000-0000-0000C2070000}"/>
    <cellStyle name="20 % - Markeringsfarve1 3 3 8 3 3" xfId="43718" xr:uid="{00000000-0005-0000-0000-0000C3070000}"/>
    <cellStyle name="20 % - Markeringsfarve1 3 3 8 4" xfId="21755" xr:uid="{00000000-0005-0000-0000-0000C4070000}"/>
    <cellStyle name="20 % - Markeringsfarve1 3 3 8 5" xfId="36721" xr:uid="{00000000-0005-0000-0000-0000C5070000}"/>
    <cellStyle name="20 % - Markeringsfarve1 3 3 9" xfId="3994" xr:uid="{00000000-0005-0000-0000-0000C6070000}"/>
    <cellStyle name="20 % - Markeringsfarve1 3 3 9 2" xfId="10562" xr:uid="{00000000-0005-0000-0000-0000C7070000}"/>
    <cellStyle name="20 % - Markeringsfarve1 3 3 9 2 2" xfId="18411" xr:uid="{00000000-0005-0000-0000-0000C8070000}"/>
    <cellStyle name="20 % - Markeringsfarve1 3 3 9 2 2 2" xfId="34687" xr:uid="{00000000-0005-0000-0000-0000C9070000}"/>
    <cellStyle name="20 % - Markeringsfarve1 3 3 9 2 2 3" xfId="49646" xr:uid="{00000000-0005-0000-0000-0000CA070000}"/>
    <cellStyle name="20 % - Markeringsfarve1 3 3 9 2 3" xfId="27685" xr:uid="{00000000-0005-0000-0000-0000CB070000}"/>
    <cellStyle name="20 % - Markeringsfarve1 3 3 9 2 4" xfId="42649" xr:uid="{00000000-0005-0000-0000-0000CC070000}"/>
    <cellStyle name="20 % - Markeringsfarve1 3 3 9 3" xfId="12479" xr:uid="{00000000-0005-0000-0000-0000CD070000}"/>
    <cellStyle name="20 % - Markeringsfarve1 3 3 9 3 2" xfId="28758" xr:uid="{00000000-0005-0000-0000-0000CE070000}"/>
    <cellStyle name="20 % - Markeringsfarve1 3 3 9 3 3" xfId="43719" xr:uid="{00000000-0005-0000-0000-0000CF070000}"/>
    <cellStyle name="20 % - Markeringsfarve1 3 3 9 4" xfId="21756" xr:uid="{00000000-0005-0000-0000-0000D0070000}"/>
    <cellStyle name="20 % - Markeringsfarve1 3 3 9 5" xfId="36722" xr:uid="{00000000-0005-0000-0000-0000D1070000}"/>
    <cellStyle name="20 % - Markeringsfarve1 3 4" xfId="3995" xr:uid="{00000000-0005-0000-0000-0000D2070000}"/>
    <cellStyle name="20 % - Markeringsfarve1 3 4 2" xfId="3996" xr:uid="{00000000-0005-0000-0000-0000D3070000}"/>
    <cellStyle name="20 % - Markeringsfarve1 3 4 2 2" xfId="3997" xr:uid="{00000000-0005-0000-0000-0000D4070000}"/>
    <cellStyle name="20 % - Markeringsfarve1 3 4 2 2 2" xfId="9827" xr:uid="{00000000-0005-0000-0000-0000D5070000}"/>
    <cellStyle name="20 % - Markeringsfarve1 3 4 2 2 2 2" xfId="17682" xr:uid="{00000000-0005-0000-0000-0000D6070000}"/>
    <cellStyle name="20 % - Markeringsfarve1 3 4 2 2 2 2 2" xfId="33958" xr:uid="{00000000-0005-0000-0000-0000D7070000}"/>
    <cellStyle name="20 % - Markeringsfarve1 3 4 2 2 2 2 3" xfId="48917" xr:uid="{00000000-0005-0000-0000-0000D8070000}"/>
    <cellStyle name="20 % - Markeringsfarve1 3 4 2 2 2 3" xfId="26956" xr:uid="{00000000-0005-0000-0000-0000D9070000}"/>
    <cellStyle name="20 % - Markeringsfarve1 3 4 2 2 2 4" xfId="41920" xr:uid="{00000000-0005-0000-0000-0000DA070000}"/>
    <cellStyle name="20 % - Markeringsfarve1 3 4 2 2 3" xfId="12482" xr:uid="{00000000-0005-0000-0000-0000DB070000}"/>
    <cellStyle name="20 % - Markeringsfarve1 3 4 2 2 3 2" xfId="28761" xr:uid="{00000000-0005-0000-0000-0000DC070000}"/>
    <cellStyle name="20 % - Markeringsfarve1 3 4 2 2 3 3" xfId="43722" xr:uid="{00000000-0005-0000-0000-0000DD070000}"/>
    <cellStyle name="20 % - Markeringsfarve1 3 4 2 2 4" xfId="21759" xr:uid="{00000000-0005-0000-0000-0000DE070000}"/>
    <cellStyle name="20 % - Markeringsfarve1 3 4 2 2 5" xfId="36725" xr:uid="{00000000-0005-0000-0000-0000DF070000}"/>
    <cellStyle name="20 % - Markeringsfarve1 3 4 2 3" xfId="8409" xr:uid="{00000000-0005-0000-0000-0000E0070000}"/>
    <cellStyle name="20 % - Markeringsfarve1 3 4 2 3 2" xfId="16279" xr:uid="{00000000-0005-0000-0000-0000E1070000}"/>
    <cellStyle name="20 % - Markeringsfarve1 3 4 2 3 2 2" xfId="32555" xr:uid="{00000000-0005-0000-0000-0000E2070000}"/>
    <cellStyle name="20 % - Markeringsfarve1 3 4 2 3 2 3" xfId="47514" xr:uid="{00000000-0005-0000-0000-0000E3070000}"/>
    <cellStyle name="20 % - Markeringsfarve1 3 4 2 3 3" xfId="25553" xr:uid="{00000000-0005-0000-0000-0000E4070000}"/>
    <cellStyle name="20 % - Markeringsfarve1 3 4 2 3 4" xfId="40517" xr:uid="{00000000-0005-0000-0000-0000E5070000}"/>
    <cellStyle name="20 % - Markeringsfarve1 3 4 2 4" xfId="12481" xr:uid="{00000000-0005-0000-0000-0000E6070000}"/>
    <cellStyle name="20 % - Markeringsfarve1 3 4 2 4 2" xfId="28760" xr:uid="{00000000-0005-0000-0000-0000E7070000}"/>
    <cellStyle name="20 % - Markeringsfarve1 3 4 2 4 3" xfId="43721" xr:uid="{00000000-0005-0000-0000-0000E8070000}"/>
    <cellStyle name="20 % - Markeringsfarve1 3 4 2 5" xfId="21758" xr:uid="{00000000-0005-0000-0000-0000E9070000}"/>
    <cellStyle name="20 % - Markeringsfarve1 3 4 2 6" xfId="36724" xr:uid="{00000000-0005-0000-0000-0000EA070000}"/>
    <cellStyle name="20 % - Markeringsfarve1 3 4 3" xfId="3998" xr:uid="{00000000-0005-0000-0000-0000EB070000}"/>
    <cellStyle name="20 % - Markeringsfarve1 3 4 3 2" xfId="9058" xr:uid="{00000000-0005-0000-0000-0000EC070000}"/>
    <cellStyle name="20 % - Markeringsfarve1 3 4 3 2 2" xfId="16922" xr:uid="{00000000-0005-0000-0000-0000ED070000}"/>
    <cellStyle name="20 % - Markeringsfarve1 3 4 3 2 2 2" xfId="33198" xr:uid="{00000000-0005-0000-0000-0000EE070000}"/>
    <cellStyle name="20 % - Markeringsfarve1 3 4 3 2 2 3" xfId="48157" xr:uid="{00000000-0005-0000-0000-0000EF070000}"/>
    <cellStyle name="20 % - Markeringsfarve1 3 4 3 2 3" xfId="26196" xr:uid="{00000000-0005-0000-0000-0000F0070000}"/>
    <cellStyle name="20 % - Markeringsfarve1 3 4 3 2 4" xfId="41160" xr:uid="{00000000-0005-0000-0000-0000F1070000}"/>
    <cellStyle name="20 % - Markeringsfarve1 3 4 3 3" xfId="12483" xr:uid="{00000000-0005-0000-0000-0000F2070000}"/>
    <cellStyle name="20 % - Markeringsfarve1 3 4 3 3 2" xfId="28762" xr:uid="{00000000-0005-0000-0000-0000F3070000}"/>
    <cellStyle name="20 % - Markeringsfarve1 3 4 3 3 3" xfId="43723" xr:uid="{00000000-0005-0000-0000-0000F4070000}"/>
    <cellStyle name="20 % - Markeringsfarve1 3 4 3 4" xfId="21760" xr:uid="{00000000-0005-0000-0000-0000F5070000}"/>
    <cellStyle name="20 % - Markeringsfarve1 3 4 3 5" xfId="36726" xr:uid="{00000000-0005-0000-0000-0000F6070000}"/>
    <cellStyle name="20 % - Markeringsfarve1 3 4 4" xfId="3999" xr:uid="{00000000-0005-0000-0000-0000F7070000}"/>
    <cellStyle name="20 % - Markeringsfarve1 3 4 4 2" xfId="10556" xr:uid="{00000000-0005-0000-0000-0000F8070000}"/>
    <cellStyle name="20 % - Markeringsfarve1 3 4 4 2 2" xfId="18405" xr:uid="{00000000-0005-0000-0000-0000F9070000}"/>
    <cellStyle name="20 % - Markeringsfarve1 3 4 4 2 2 2" xfId="34681" xr:uid="{00000000-0005-0000-0000-0000FA070000}"/>
    <cellStyle name="20 % - Markeringsfarve1 3 4 4 2 2 3" xfId="49640" xr:uid="{00000000-0005-0000-0000-0000FB070000}"/>
    <cellStyle name="20 % - Markeringsfarve1 3 4 4 2 3" xfId="27679" xr:uid="{00000000-0005-0000-0000-0000FC070000}"/>
    <cellStyle name="20 % - Markeringsfarve1 3 4 4 2 4" xfId="42643" xr:uid="{00000000-0005-0000-0000-0000FD070000}"/>
    <cellStyle name="20 % - Markeringsfarve1 3 4 4 3" xfId="12484" xr:uid="{00000000-0005-0000-0000-0000FE070000}"/>
    <cellStyle name="20 % - Markeringsfarve1 3 4 4 3 2" xfId="28763" xr:uid="{00000000-0005-0000-0000-0000FF070000}"/>
    <cellStyle name="20 % - Markeringsfarve1 3 4 4 3 3" xfId="43724" xr:uid="{00000000-0005-0000-0000-000000080000}"/>
    <cellStyle name="20 % - Markeringsfarve1 3 4 4 4" xfId="21761" xr:uid="{00000000-0005-0000-0000-000001080000}"/>
    <cellStyle name="20 % - Markeringsfarve1 3 4 4 5" xfId="36727" xr:uid="{00000000-0005-0000-0000-000002080000}"/>
    <cellStyle name="20 % - Markeringsfarve1 3 4 5" xfId="7653" xr:uid="{00000000-0005-0000-0000-000003080000}"/>
    <cellStyle name="20 % - Markeringsfarve1 3 4 5 2" xfId="15518" xr:uid="{00000000-0005-0000-0000-000004080000}"/>
    <cellStyle name="20 % - Markeringsfarve1 3 4 5 2 2" xfId="31794" xr:uid="{00000000-0005-0000-0000-000005080000}"/>
    <cellStyle name="20 % - Markeringsfarve1 3 4 5 2 3" xfId="46753" xr:uid="{00000000-0005-0000-0000-000006080000}"/>
    <cellStyle name="20 % - Markeringsfarve1 3 4 5 3" xfId="24792" xr:uid="{00000000-0005-0000-0000-000007080000}"/>
    <cellStyle name="20 % - Markeringsfarve1 3 4 5 4" xfId="39756" xr:uid="{00000000-0005-0000-0000-000008080000}"/>
    <cellStyle name="20 % - Markeringsfarve1 3 4 6" xfId="12480" xr:uid="{00000000-0005-0000-0000-000009080000}"/>
    <cellStyle name="20 % - Markeringsfarve1 3 4 6 2" xfId="28759" xr:uid="{00000000-0005-0000-0000-00000A080000}"/>
    <cellStyle name="20 % - Markeringsfarve1 3 4 6 3" xfId="43720" xr:uid="{00000000-0005-0000-0000-00000B080000}"/>
    <cellStyle name="20 % - Markeringsfarve1 3 4 7" xfId="21757" xr:uid="{00000000-0005-0000-0000-00000C080000}"/>
    <cellStyle name="20 % - Markeringsfarve1 3 4 8" xfId="36723" xr:uid="{00000000-0005-0000-0000-00000D080000}"/>
    <cellStyle name="20 % - Markeringsfarve1 3 5" xfId="4000" xr:uid="{00000000-0005-0000-0000-00000E080000}"/>
    <cellStyle name="20 % - Markeringsfarve1 3 5 2" xfId="4001" xr:uid="{00000000-0005-0000-0000-00000F080000}"/>
    <cellStyle name="20 % - Markeringsfarve1 3 5 2 2" xfId="4002" xr:uid="{00000000-0005-0000-0000-000010080000}"/>
    <cellStyle name="20 % - Markeringsfarve1 3 5 2 2 2" xfId="9934" xr:uid="{00000000-0005-0000-0000-000011080000}"/>
    <cellStyle name="20 % - Markeringsfarve1 3 5 2 2 2 2" xfId="17789" xr:uid="{00000000-0005-0000-0000-000012080000}"/>
    <cellStyle name="20 % - Markeringsfarve1 3 5 2 2 2 2 2" xfId="34065" xr:uid="{00000000-0005-0000-0000-000013080000}"/>
    <cellStyle name="20 % - Markeringsfarve1 3 5 2 2 2 2 3" xfId="49024" xr:uid="{00000000-0005-0000-0000-000014080000}"/>
    <cellStyle name="20 % - Markeringsfarve1 3 5 2 2 2 3" xfId="27063" xr:uid="{00000000-0005-0000-0000-000015080000}"/>
    <cellStyle name="20 % - Markeringsfarve1 3 5 2 2 2 4" xfId="42027" xr:uid="{00000000-0005-0000-0000-000016080000}"/>
    <cellStyle name="20 % - Markeringsfarve1 3 5 2 2 3" xfId="12487" xr:uid="{00000000-0005-0000-0000-000017080000}"/>
    <cellStyle name="20 % - Markeringsfarve1 3 5 2 2 3 2" xfId="28766" xr:uid="{00000000-0005-0000-0000-000018080000}"/>
    <cellStyle name="20 % - Markeringsfarve1 3 5 2 2 3 3" xfId="43727" xr:uid="{00000000-0005-0000-0000-000019080000}"/>
    <cellStyle name="20 % - Markeringsfarve1 3 5 2 2 4" xfId="21764" xr:uid="{00000000-0005-0000-0000-00001A080000}"/>
    <cellStyle name="20 % - Markeringsfarve1 3 5 2 2 5" xfId="36730" xr:uid="{00000000-0005-0000-0000-00001B080000}"/>
    <cellStyle name="20 % - Markeringsfarve1 3 5 2 3" xfId="8499" xr:uid="{00000000-0005-0000-0000-00001C080000}"/>
    <cellStyle name="20 % - Markeringsfarve1 3 5 2 3 2" xfId="16369" xr:uid="{00000000-0005-0000-0000-00001D080000}"/>
    <cellStyle name="20 % - Markeringsfarve1 3 5 2 3 2 2" xfId="32645" xr:uid="{00000000-0005-0000-0000-00001E080000}"/>
    <cellStyle name="20 % - Markeringsfarve1 3 5 2 3 2 3" xfId="47604" xr:uid="{00000000-0005-0000-0000-00001F080000}"/>
    <cellStyle name="20 % - Markeringsfarve1 3 5 2 3 3" xfId="25643" xr:uid="{00000000-0005-0000-0000-000020080000}"/>
    <cellStyle name="20 % - Markeringsfarve1 3 5 2 3 4" xfId="40607" xr:uid="{00000000-0005-0000-0000-000021080000}"/>
    <cellStyle name="20 % - Markeringsfarve1 3 5 2 4" xfId="12486" xr:uid="{00000000-0005-0000-0000-000022080000}"/>
    <cellStyle name="20 % - Markeringsfarve1 3 5 2 4 2" xfId="28765" xr:uid="{00000000-0005-0000-0000-000023080000}"/>
    <cellStyle name="20 % - Markeringsfarve1 3 5 2 4 3" xfId="43726" xr:uid="{00000000-0005-0000-0000-000024080000}"/>
    <cellStyle name="20 % - Markeringsfarve1 3 5 2 5" xfId="21763" xr:uid="{00000000-0005-0000-0000-000025080000}"/>
    <cellStyle name="20 % - Markeringsfarve1 3 5 2 6" xfId="36729" xr:uid="{00000000-0005-0000-0000-000026080000}"/>
    <cellStyle name="20 % - Markeringsfarve1 3 5 3" xfId="4003" xr:uid="{00000000-0005-0000-0000-000027080000}"/>
    <cellStyle name="20 % - Markeringsfarve1 3 5 3 2" xfId="9165" xr:uid="{00000000-0005-0000-0000-000028080000}"/>
    <cellStyle name="20 % - Markeringsfarve1 3 5 3 2 2" xfId="17029" xr:uid="{00000000-0005-0000-0000-000029080000}"/>
    <cellStyle name="20 % - Markeringsfarve1 3 5 3 2 2 2" xfId="33305" xr:uid="{00000000-0005-0000-0000-00002A080000}"/>
    <cellStyle name="20 % - Markeringsfarve1 3 5 3 2 2 3" xfId="48264" xr:uid="{00000000-0005-0000-0000-00002B080000}"/>
    <cellStyle name="20 % - Markeringsfarve1 3 5 3 2 3" xfId="26303" xr:uid="{00000000-0005-0000-0000-00002C080000}"/>
    <cellStyle name="20 % - Markeringsfarve1 3 5 3 2 4" xfId="41267" xr:uid="{00000000-0005-0000-0000-00002D080000}"/>
    <cellStyle name="20 % - Markeringsfarve1 3 5 3 3" xfId="12488" xr:uid="{00000000-0005-0000-0000-00002E080000}"/>
    <cellStyle name="20 % - Markeringsfarve1 3 5 3 3 2" xfId="28767" xr:uid="{00000000-0005-0000-0000-00002F080000}"/>
    <cellStyle name="20 % - Markeringsfarve1 3 5 3 3 3" xfId="43728" xr:uid="{00000000-0005-0000-0000-000030080000}"/>
    <cellStyle name="20 % - Markeringsfarve1 3 5 3 4" xfId="21765" xr:uid="{00000000-0005-0000-0000-000031080000}"/>
    <cellStyle name="20 % - Markeringsfarve1 3 5 3 5" xfId="36731" xr:uid="{00000000-0005-0000-0000-000032080000}"/>
    <cellStyle name="20 % - Markeringsfarve1 3 5 4" xfId="4004" xr:uid="{00000000-0005-0000-0000-000033080000}"/>
    <cellStyle name="20 % - Markeringsfarve1 3 5 4 2" xfId="10555" xr:uid="{00000000-0005-0000-0000-000034080000}"/>
    <cellStyle name="20 % - Markeringsfarve1 3 5 4 2 2" xfId="18404" xr:uid="{00000000-0005-0000-0000-000035080000}"/>
    <cellStyle name="20 % - Markeringsfarve1 3 5 4 2 2 2" xfId="34680" xr:uid="{00000000-0005-0000-0000-000036080000}"/>
    <cellStyle name="20 % - Markeringsfarve1 3 5 4 2 2 3" xfId="49639" xr:uid="{00000000-0005-0000-0000-000037080000}"/>
    <cellStyle name="20 % - Markeringsfarve1 3 5 4 2 3" xfId="27678" xr:uid="{00000000-0005-0000-0000-000038080000}"/>
    <cellStyle name="20 % - Markeringsfarve1 3 5 4 2 4" xfId="42642" xr:uid="{00000000-0005-0000-0000-000039080000}"/>
    <cellStyle name="20 % - Markeringsfarve1 3 5 4 3" xfId="12489" xr:uid="{00000000-0005-0000-0000-00003A080000}"/>
    <cellStyle name="20 % - Markeringsfarve1 3 5 4 3 2" xfId="28768" xr:uid="{00000000-0005-0000-0000-00003B080000}"/>
    <cellStyle name="20 % - Markeringsfarve1 3 5 4 3 3" xfId="43729" xr:uid="{00000000-0005-0000-0000-00003C080000}"/>
    <cellStyle name="20 % - Markeringsfarve1 3 5 4 4" xfId="21766" xr:uid="{00000000-0005-0000-0000-00003D080000}"/>
    <cellStyle name="20 % - Markeringsfarve1 3 5 4 5" xfId="36732" xr:uid="{00000000-0005-0000-0000-00003E080000}"/>
    <cellStyle name="20 % - Markeringsfarve1 3 5 5" xfId="7654" xr:uid="{00000000-0005-0000-0000-00003F080000}"/>
    <cellStyle name="20 % - Markeringsfarve1 3 5 5 2" xfId="15519" xr:uid="{00000000-0005-0000-0000-000040080000}"/>
    <cellStyle name="20 % - Markeringsfarve1 3 5 5 2 2" xfId="31795" xr:uid="{00000000-0005-0000-0000-000041080000}"/>
    <cellStyle name="20 % - Markeringsfarve1 3 5 5 2 3" xfId="46754" xr:uid="{00000000-0005-0000-0000-000042080000}"/>
    <cellStyle name="20 % - Markeringsfarve1 3 5 5 3" xfId="24793" xr:uid="{00000000-0005-0000-0000-000043080000}"/>
    <cellStyle name="20 % - Markeringsfarve1 3 5 5 4" xfId="39757" xr:uid="{00000000-0005-0000-0000-000044080000}"/>
    <cellStyle name="20 % - Markeringsfarve1 3 5 6" xfId="12485" xr:uid="{00000000-0005-0000-0000-000045080000}"/>
    <cellStyle name="20 % - Markeringsfarve1 3 5 6 2" xfId="28764" xr:uid="{00000000-0005-0000-0000-000046080000}"/>
    <cellStyle name="20 % - Markeringsfarve1 3 5 6 3" xfId="43725" xr:uid="{00000000-0005-0000-0000-000047080000}"/>
    <cellStyle name="20 % - Markeringsfarve1 3 5 7" xfId="21762" xr:uid="{00000000-0005-0000-0000-000048080000}"/>
    <cellStyle name="20 % - Markeringsfarve1 3 5 8" xfId="36728" xr:uid="{00000000-0005-0000-0000-000049080000}"/>
    <cellStyle name="20 % - Markeringsfarve1 3 6" xfId="4005" xr:uid="{00000000-0005-0000-0000-00004A080000}"/>
    <cellStyle name="20 % - Markeringsfarve1 3 6 2" xfId="4006" xr:uid="{00000000-0005-0000-0000-00004B080000}"/>
    <cellStyle name="20 % - Markeringsfarve1 3 6 2 2" xfId="4007" xr:uid="{00000000-0005-0000-0000-00004C080000}"/>
    <cellStyle name="20 % - Markeringsfarve1 3 6 2 2 2" xfId="10065" xr:uid="{00000000-0005-0000-0000-00004D080000}"/>
    <cellStyle name="20 % - Markeringsfarve1 3 6 2 2 2 2" xfId="17920" xr:uid="{00000000-0005-0000-0000-00004E080000}"/>
    <cellStyle name="20 % - Markeringsfarve1 3 6 2 2 2 2 2" xfId="34196" xr:uid="{00000000-0005-0000-0000-00004F080000}"/>
    <cellStyle name="20 % - Markeringsfarve1 3 6 2 2 2 2 3" xfId="49155" xr:uid="{00000000-0005-0000-0000-000050080000}"/>
    <cellStyle name="20 % - Markeringsfarve1 3 6 2 2 2 3" xfId="27194" xr:uid="{00000000-0005-0000-0000-000051080000}"/>
    <cellStyle name="20 % - Markeringsfarve1 3 6 2 2 2 4" xfId="42158" xr:uid="{00000000-0005-0000-0000-000052080000}"/>
    <cellStyle name="20 % - Markeringsfarve1 3 6 2 2 3" xfId="12492" xr:uid="{00000000-0005-0000-0000-000053080000}"/>
    <cellStyle name="20 % - Markeringsfarve1 3 6 2 2 3 2" xfId="28771" xr:uid="{00000000-0005-0000-0000-000054080000}"/>
    <cellStyle name="20 % - Markeringsfarve1 3 6 2 2 3 3" xfId="43732" xr:uid="{00000000-0005-0000-0000-000055080000}"/>
    <cellStyle name="20 % - Markeringsfarve1 3 6 2 2 4" xfId="21769" xr:uid="{00000000-0005-0000-0000-000056080000}"/>
    <cellStyle name="20 % - Markeringsfarve1 3 6 2 2 5" xfId="36735" xr:uid="{00000000-0005-0000-0000-000057080000}"/>
    <cellStyle name="20 % - Markeringsfarve1 3 6 2 3" xfId="8611" xr:uid="{00000000-0005-0000-0000-000058080000}"/>
    <cellStyle name="20 % - Markeringsfarve1 3 6 2 3 2" xfId="16478" xr:uid="{00000000-0005-0000-0000-000059080000}"/>
    <cellStyle name="20 % - Markeringsfarve1 3 6 2 3 2 2" xfId="32754" xr:uid="{00000000-0005-0000-0000-00005A080000}"/>
    <cellStyle name="20 % - Markeringsfarve1 3 6 2 3 2 3" xfId="47713" xr:uid="{00000000-0005-0000-0000-00005B080000}"/>
    <cellStyle name="20 % - Markeringsfarve1 3 6 2 3 3" xfId="25752" xr:uid="{00000000-0005-0000-0000-00005C080000}"/>
    <cellStyle name="20 % - Markeringsfarve1 3 6 2 3 4" xfId="40716" xr:uid="{00000000-0005-0000-0000-00005D080000}"/>
    <cellStyle name="20 % - Markeringsfarve1 3 6 2 4" xfId="12491" xr:uid="{00000000-0005-0000-0000-00005E080000}"/>
    <cellStyle name="20 % - Markeringsfarve1 3 6 2 4 2" xfId="28770" xr:uid="{00000000-0005-0000-0000-00005F080000}"/>
    <cellStyle name="20 % - Markeringsfarve1 3 6 2 4 3" xfId="43731" xr:uid="{00000000-0005-0000-0000-000060080000}"/>
    <cellStyle name="20 % - Markeringsfarve1 3 6 2 5" xfId="21768" xr:uid="{00000000-0005-0000-0000-000061080000}"/>
    <cellStyle name="20 % - Markeringsfarve1 3 6 2 6" xfId="36734" xr:uid="{00000000-0005-0000-0000-000062080000}"/>
    <cellStyle name="20 % - Markeringsfarve1 3 6 3" xfId="4008" xr:uid="{00000000-0005-0000-0000-000063080000}"/>
    <cellStyle name="20 % - Markeringsfarve1 3 6 3 2" xfId="9342" xr:uid="{00000000-0005-0000-0000-000064080000}"/>
    <cellStyle name="20 % - Markeringsfarve1 3 6 3 2 2" xfId="17205" xr:uid="{00000000-0005-0000-0000-000065080000}"/>
    <cellStyle name="20 % - Markeringsfarve1 3 6 3 2 2 2" xfId="33481" xr:uid="{00000000-0005-0000-0000-000066080000}"/>
    <cellStyle name="20 % - Markeringsfarve1 3 6 3 2 2 3" xfId="48440" xr:uid="{00000000-0005-0000-0000-000067080000}"/>
    <cellStyle name="20 % - Markeringsfarve1 3 6 3 2 3" xfId="26479" xr:uid="{00000000-0005-0000-0000-000068080000}"/>
    <cellStyle name="20 % - Markeringsfarve1 3 6 3 2 4" xfId="41443" xr:uid="{00000000-0005-0000-0000-000069080000}"/>
    <cellStyle name="20 % - Markeringsfarve1 3 6 3 3" xfId="12493" xr:uid="{00000000-0005-0000-0000-00006A080000}"/>
    <cellStyle name="20 % - Markeringsfarve1 3 6 3 3 2" xfId="28772" xr:uid="{00000000-0005-0000-0000-00006B080000}"/>
    <cellStyle name="20 % - Markeringsfarve1 3 6 3 3 3" xfId="43733" xr:uid="{00000000-0005-0000-0000-00006C080000}"/>
    <cellStyle name="20 % - Markeringsfarve1 3 6 3 4" xfId="21770" xr:uid="{00000000-0005-0000-0000-00006D080000}"/>
    <cellStyle name="20 % - Markeringsfarve1 3 6 3 5" xfId="36736" xr:uid="{00000000-0005-0000-0000-00006E080000}"/>
    <cellStyle name="20 % - Markeringsfarve1 3 6 4" xfId="4009" xr:uid="{00000000-0005-0000-0000-00006F080000}"/>
    <cellStyle name="20 % - Markeringsfarve1 3 6 4 2" xfId="10554" xr:uid="{00000000-0005-0000-0000-000070080000}"/>
    <cellStyle name="20 % - Markeringsfarve1 3 6 4 2 2" xfId="18403" xr:uid="{00000000-0005-0000-0000-000071080000}"/>
    <cellStyle name="20 % - Markeringsfarve1 3 6 4 2 2 2" xfId="34679" xr:uid="{00000000-0005-0000-0000-000072080000}"/>
    <cellStyle name="20 % - Markeringsfarve1 3 6 4 2 2 3" xfId="49638" xr:uid="{00000000-0005-0000-0000-000073080000}"/>
    <cellStyle name="20 % - Markeringsfarve1 3 6 4 2 3" xfId="27677" xr:uid="{00000000-0005-0000-0000-000074080000}"/>
    <cellStyle name="20 % - Markeringsfarve1 3 6 4 2 4" xfId="42641" xr:uid="{00000000-0005-0000-0000-000075080000}"/>
    <cellStyle name="20 % - Markeringsfarve1 3 6 4 3" xfId="12494" xr:uid="{00000000-0005-0000-0000-000076080000}"/>
    <cellStyle name="20 % - Markeringsfarve1 3 6 4 3 2" xfId="28773" xr:uid="{00000000-0005-0000-0000-000077080000}"/>
    <cellStyle name="20 % - Markeringsfarve1 3 6 4 3 3" xfId="43734" xr:uid="{00000000-0005-0000-0000-000078080000}"/>
    <cellStyle name="20 % - Markeringsfarve1 3 6 4 4" xfId="21771" xr:uid="{00000000-0005-0000-0000-000079080000}"/>
    <cellStyle name="20 % - Markeringsfarve1 3 6 4 5" xfId="36737" xr:uid="{00000000-0005-0000-0000-00007A080000}"/>
    <cellStyle name="20 % - Markeringsfarve1 3 6 5" xfId="7655" xr:uid="{00000000-0005-0000-0000-00007B080000}"/>
    <cellStyle name="20 % - Markeringsfarve1 3 6 5 2" xfId="15520" xr:uid="{00000000-0005-0000-0000-00007C080000}"/>
    <cellStyle name="20 % - Markeringsfarve1 3 6 5 2 2" xfId="31796" xr:uid="{00000000-0005-0000-0000-00007D080000}"/>
    <cellStyle name="20 % - Markeringsfarve1 3 6 5 2 3" xfId="46755" xr:uid="{00000000-0005-0000-0000-00007E080000}"/>
    <cellStyle name="20 % - Markeringsfarve1 3 6 5 3" xfId="24794" xr:uid="{00000000-0005-0000-0000-00007F080000}"/>
    <cellStyle name="20 % - Markeringsfarve1 3 6 5 4" xfId="39758" xr:uid="{00000000-0005-0000-0000-000080080000}"/>
    <cellStyle name="20 % - Markeringsfarve1 3 6 6" xfId="12490" xr:uid="{00000000-0005-0000-0000-000081080000}"/>
    <cellStyle name="20 % - Markeringsfarve1 3 6 6 2" xfId="28769" xr:uid="{00000000-0005-0000-0000-000082080000}"/>
    <cellStyle name="20 % - Markeringsfarve1 3 6 6 3" xfId="43730" xr:uid="{00000000-0005-0000-0000-000083080000}"/>
    <cellStyle name="20 % - Markeringsfarve1 3 6 7" xfId="21767" xr:uid="{00000000-0005-0000-0000-000084080000}"/>
    <cellStyle name="20 % - Markeringsfarve1 3 6 8" xfId="36733" xr:uid="{00000000-0005-0000-0000-000085080000}"/>
    <cellStyle name="20 % - Markeringsfarve1 3 7" xfId="4010" xr:uid="{00000000-0005-0000-0000-000086080000}"/>
    <cellStyle name="20 % - Markeringsfarve1 3 7 2" xfId="4011" xr:uid="{00000000-0005-0000-0000-000087080000}"/>
    <cellStyle name="20 % - Markeringsfarve1 3 7 2 2" xfId="4012" xr:uid="{00000000-0005-0000-0000-000088080000}"/>
    <cellStyle name="20 % - Markeringsfarve1 3 7 2 2 2" xfId="10182" xr:uid="{00000000-0005-0000-0000-000089080000}"/>
    <cellStyle name="20 % - Markeringsfarve1 3 7 2 2 2 2" xfId="18037" xr:uid="{00000000-0005-0000-0000-00008A080000}"/>
    <cellStyle name="20 % - Markeringsfarve1 3 7 2 2 2 2 2" xfId="34313" xr:uid="{00000000-0005-0000-0000-00008B080000}"/>
    <cellStyle name="20 % - Markeringsfarve1 3 7 2 2 2 2 3" xfId="49272" xr:uid="{00000000-0005-0000-0000-00008C080000}"/>
    <cellStyle name="20 % - Markeringsfarve1 3 7 2 2 2 3" xfId="27311" xr:uid="{00000000-0005-0000-0000-00008D080000}"/>
    <cellStyle name="20 % - Markeringsfarve1 3 7 2 2 2 4" xfId="42275" xr:uid="{00000000-0005-0000-0000-00008E080000}"/>
    <cellStyle name="20 % - Markeringsfarve1 3 7 2 2 3" xfId="12497" xr:uid="{00000000-0005-0000-0000-00008F080000}"/>
    <cellStyle name="20 % - Markeringsfarve1 3 7 2 2 3 2" xfId="28776" xr:uid="{00000000-0005-0000-0000-000090080000}"/>
    <cellStyle name="20 % - Markeringsfarve1 3 7 2 2 3 3" xfId="43737" xr:uid="{00000000-0005-0000-0000-000091080000}"/>
    <cellStyle name="20 % - Markeringsfarve1 3 7 2 2 4" xfId="21774" xr:uid="{00000000-0005-0000-0000-000092080000}"/>
    <cellStyle name="20 % - Markeringsfarve1 3 7 2 2 5" xfId="36740" xr:uid="{00000000-0005-0000-0000-000093080000}"/>
    <cellStyle name="20 % - Markeringsfarve1 3 7 2 3" xfId="8710" xr:uid="{00000000-0005-0000-0000-000094080000}"/>
    <cellStyle name="20 % - Markeringsfarve1 3 7 2 3 2" xfId="16577" xr:uid="{00000000-0005-0000-0000-000095080000}"/>
    <cellStyle name="20 % - Markeringsfarve1 3 7 2 3 2 2" xfId="32853" xr:uid="{00000000-0005-0000-0000-000096080000}"/>
    <cellStyle name="20 % - Markeringsfarve1 3 7 2 3 2 3" xfId="47812" xr:uid="{00000000-0005-0000-0000-000097080000}"/>
    <cellStyle name="20 % - Markeringsfarve1 3 7 2 3 3" xfId="25851" xr:uid="{00000000-0005-0000-0000-000098080000}"/>
    <cellStyle name="20 % - Markeringsfarve1 3 7 2 3 4" xfId="40815" xr:uid="{00000000-0005-0000-0000-000099080000}"/>
    <cellStyle name="20 % - Markeringsfarve1 3 7 2 4" xfId="12496" xr:uid="{00000000-0005-0000-0000-00009A080000}"/>
    <cellStyle name="20 % - Markeringsfarve1 3 7 2 4 2" xfId="28775" xr:uid="{00000000-0005-0000-0000-00009B080000}"/>
    <cellStyle name="20 % - Markeringsfarve1 3 7 2 4 3" xfId="43736" xr:uid="{00000000-0005-0000-0000-00009C080000}"/>
    <cellStyle name="20 % - Markeringsfarve1 3 7 2 5" xfId="21773" xr:uid="{00000000-0005-0000-0000-00009D080000}"/>
    <cellStyle name="20 % - Markeringsfarve1 3 7 2 6" xfId="36739" xr:uid="{00000000-0005-0000-0000-00009E080000}"/>
    <cellStyle name="20 % - Markeringsfarve1 3 7 3" xfId="4013" xr:uid="{00000000-0005-0000-0000-00009F080000}"/>
    <cellStyle name="20 % - Markeringsfarve1 3 7 3 2" xfId="9459" xr:uid="{00000000-0005-0000-0000-0000A0080000}"/>
    <cellStyle name="20 % - Markeringsfarve1 3 7 3 2 2" xfId="17322" xr:uid="{00000000-0005-0000-0000-0000A1080000}"/>
    <cellStyle name="20 % - Markeringsfarve1 3 7 3 2 2 2" xfId="33598" xr:uid="{00000000-0005-0000-0000-0000A2080000}"/>
    <cellStyle name="20 % - Markeringsfarve1 3 7 3 2 2 3" xfId="48557" xr:uid="{00000000-0005-0000-0000-0000A3080000}"/>
    <cellStyle name="20 % - Markeringsfarve1 3 7 3 2 3" xfId="26596" xr:uid="{00000000-0005-0000-0000-0000A4080000}"/>
    <cellStyle name="20 % - Markeringsfarve1 3 7 3 2 4" xfId="41560" xr:uid="{00000000-0005-0000-0000-0000A5080000}"/>
    <cellStyle name="20 % - Markeringsfarve1 3 7 3 3" xfId="12498" xr:uid="{00000000-0005-0000-0000-0000A6080000}"/>
    <cellStyle name="20 % - Markeringsfarve1 3 7 3 3 2" xfId="28777" xr:uid="{00000000-0005-0000-0000-0000A7080000}"/>
    <cellStyle name="20 % - Markeringsfarve1 3 7 3 3 3" xfId="43738" xr:uid="{00000000-0005-0000-0000-0000A8080000}"/>
    <cellStyle name="20 % - Markeringsfarve1 3 7 3 4" xfId="21775" xr:uid="{00000000-0005-0000-0000-0000A9080000}"/>
    <cellStyle name="20 % - Markeringsfarve1 3 7 3 5" xfId="36741" xr:uid="{00000000-0005-0000-0000-0000AA080000}"/>
    <cellStyle name="20 % - Markeringsfarve1 3 7 4" xfId="4014" xr:uid="{00000000-0005-0000-0000-0000AB080000}"/>
    <cellStyle name="20 % - Markeringsfarve1 3 7 4 2" xfId="10553" xr:uid="{00000000-0005-0000-0000-0000AC080000}"/>
    <cellStyle name="20 % - Markeringsfarve1 3 7 4 2 2" xfId="18402" xr:uid="{00000000-0005-0000-0000-0000AD080000}"/>
    <cellStyle name="20 % - Markeringsfarve1 3 7 4 2 2 2" xfId="34678" xr:uid="{00000000-0005-0000-0000-0000AE080000}"/>
    <cellStyle name="20 % - Markeringsfarve1 3 7 4 2 2 3" xfId="49637" xr:uid="{00000000-0005-0000-0000-0000AF080000}"/>
    <cellStyle name="20 % - Markeringsfarve1 3 7 4 2 3" xfId="27676" xr:uid="{00000000-0005-0000-0000-0000B0080000}"/>
    <cellStyle name="20 % - Markeringsfarve1 3 7 4 2 4" xfId="42640" xr:uid="{00000000-0005-0000-0000-0000B1080000}"/>
    <cellStyle name="20 % - Markeringsfarve1 3 7 4 3" xfId="12499" xr:uid="{00000000-0005-0000-0000-0000B2080000}"/>
    <cellStyle name="20 % - Markeringsfarve1 3 7 4 3 2" xfId="28778" xr:uid="{00000000-0005-0000-0000-0000B3080000}"/>
    <cellStyle name="20 % - Markeringsfarve1 3 7 4 3 3" xfId="43739" xr:uid="{00000000-0005-0000-0000-0000B4080000}"/>
    <cellStyle name="20 % - Markeringsfarve1 3 7 4 4" xfId="21776" xr:uid="{00000000-0005-0000-0000-0000B5080000}"/>
    <cellStyle name="20 % - Markeringsfarve1 3 7 4 5" xfId="36742" xr:uid="{00000000-0005-0000-0000-0000B6080000}"/>
    <cellStyle name="20 % - Markeringsfarve1 3 7 5" xfId="7656" xr:uid="{00000000-0005-0000-0000-0000B7080000}"/>
    <cellStyle name="20 % - Markeringsfarve1 3 7 5 2" xfId="15521" xr:uid="{00000000-0005-0000-0000-0000B8080000}"/>
    <cellStyle name="20 % - Markeringsfarve1 3 7 5 2 2" xfId="31797" xr:uid="{00000000-0005-0000-0000-0000B9080000}"/>
    <cellStyle name="20 % - Markeringsfarve1 3 7 5 2 3" xfId="46756" xr:uid="{00000000-0005-0000-0000-0000BA080000}"/>
    <cellStyle name="20 % - Markeringsfarve1 3 7 5 3" xfId="24795" xr:uid="{00000000-0005-0000-0000-0000BB080000}"/>
    <cellStyle name="20 % - Markeringsfarve1 3 7 5 4" xfId="39759" xr:uid="{00000000-0005-0000-0000-0000BC080000}"/>
    <cellStyle name="20 % - Markeringsfarve1 3 7 6" xfId="12495" xr:uid="{00000000-0005-0000-0000-0000BD080000}"/>
    <cellStyle name="20 % - Markeringsfarve1 3 7 6 2" xfId="28774" xr:uid="{00000000-0005-0000-0000-0000BE080000}"/>
    <cellStyle name="20 % - Markeringsfarve1 3 7 6 3" xfId="43735" xr:uid="{00000000-0005-0000-0000-0000BF080000}"/>
    <cellStyle name="20 % - Markeringsfarve1 3 7 7" xfId="21772" xr:uid="{00000000-0005-0000-0000-0000C0080000}"/>
    <cellStyle name="20 % - Markeringsfarve1 3 7 8" xfId="36738" xr:uid="{00000000-0005-0000-0000-0000C1080000}"/>
    <cellStyle name="20 % - Markeringsfarve1 3 8" xfId="4015" xr:uid="{00000000-0005-0000-0000-0000C2080000}"/>
    <cellStyle name="20 % - Markeringsfarve1 3 8 2" xfId="4016" xr:uid="{00000000-0005-0000-0000-0000C3080000}"/>
    <cellStyle name="20 % - Markeringsfarve1 3 8 2 2" xfId="4017" xr:uid="{00000000-0005-0000-0000-0000C4080000}"/>
    <cellStyle name="20 % - Markeringsfarve1 3 8 2 2 2" xfId="10289" xr:uid="{00000000-0005-0000-0000-0000C5080000}"/>
    <cellStyle name="20 % - Markeringsfarve1 3 8 2 2 2 2" xfId="18144" xr:uid="{00000000-0005-0000-0000-0000C6080000}"/>
    <cellStyle name="20 % - Markeringsfarve1 3 8 2 2 2 2 2" xfId="34420" xr:uid="{00000000-0005-0000-0000-0000C7080000}"/>
    <cellStyle name="20 % - Markeringsfarve1 3 8 2 2 2 2 3" xfId="49379" xr:uid="{00000000-0005-0000-0000-0000C8080000}"/>
    <cellStyle name="20 % - Markeringsfarve1 3 8 2 2 2 3" xfId="27418" xr:uid="{00000000-0005-0000-0000-0000C9080000}"/>
    <cellStyle name="20 % - Markeringsfarve1 3 8 2 2 2 4" xfId="42382" xr:uid="{00000000-0005-0000-0000-0000CA080000}"/>
    <cellStyle name="20 % - Markeringsfarve1 3 8 2 2 3" xfId="12502" xr:uid="{00000000-0005-0000-0000-0000CB080000}"/>
    <cellStyle name="20 % - Markeringsfarve1 3 8 2 2 3 2" xfId="28781" xr:uid="{00000000-0005-0000-0000-0000CC080000}"/>
    <cellStyle name="20 % - Markeringsfarve1 3 8 2 2 3 3" xfId="43742" xr:uid="{00000000-0005-0000-0000-0000CD080000}"/>
    <cellStyle name="20 % - Markeringsfarve1 3 8 2 2 4" xfId="21779" xr:uid="{00000000-0005-0000-0000-0000CE080000}"/>
    <cellStyle name="20 % - Markeringsfarve1 3 8 2 2 5" xfId="36745" xr:uid="{00000000-0005-0000-0000-0000CF080000}"/>
    <cellStyle name="20 % - Markeringsfarve1 3 8 2 3" xfId="8801" xr:uid="{00000000-0005-0000-0000-0000D0080000}"/>
    <cellStyle name="20 % - Markeringsfarve1 3 8 2 3 2" xfId="16668" xr:uid="{00000000-0005-0000-0000-0000D1080000}"/>
    <cellStyle name="20 % - Markeringsfarve1 3 8 2 3 2 2" xfId="32944" xr:uid="{00000000-0005-0000-0000-0000D2080000}"/>
    <cellStyle name="20 % - Markeringsfarve1 3 8 2 3 2 3" xfId="47903" xr:uid="{00000000-0005-0000-0000-0000D3080000}"/>
    <cellStyle name="20 % - Markeringsfarve1 3 8 2 3 3" xfId="25942" xr:uid="{00000000-0005-0000-0000-0000D4080000}"/>
    <cellStyle name="20 % - Markeringsfarve1 3 8 2 3 4" xfId="40906" xr:uid="{00000000-0005-0000-0000-0000D5080000}"/>
    <cellStyle name="20 % - Markeringsfarve1 3 8 2 4" xfId="12501" xr:uid="{00000000-0005-0000-0000-0000D6080000}"/>
    <cellStyle name="20 % - Markeringsfarve1 3 8 2 4 2" xfId="28780" xr:uid="{00000000-0005-0000-0000-0000D7080000}"/>
    <cellStyle name="20 % - Markeringsfarve1 3 8 2 4 3" xfId="43741" xr:uid="{00000000-0005-0000-0000-0000D8080000}"/>
    <cellStyle name="20 % - Markeringsfarve1 3 8 2 5" xfId="21778" xr:uid="{00000000-0005-0000-0000-0000D9080000}"/>
    <cellStyle name="20 % - Markeringsfarve1 3 8 2 6" xfId="36744" xr:uid="{00000000-0005-0000-0000-0000DA080000}"/>
    <cellStyle name="20 % - Markeringsfarve1 3 8 3" xfId="4018" xr:uid="{00000000-0005-0000-0000-0000DB080000}"/>
    <cellStyle name="20 % - Markeringsfarve1 3 8 3 2" xfId="9567" xr:uid="{00000000-0005-0000-0000-0000DC080000}"/>
    <cellStyle name="20 % - Markeringsfarve1 3 8 3 2 2" xfId="17430" xr:uid="{00000000-0005-0000-0000-0000DD080000}"/>
    <cellStyle name="20 % - Markeringsfarve1 3 8 3 2 2 2" xfId="33706" xr:uid="{00000000-0005-0000-0000-0000DE080000}"/>
    <cellStyle name="20 % - Markeringsfarve1 3 8 3 2 2 3" xfId="48665" xr:uid="{00000000-0005-0000-0000-0000DF080000}"/>
    <cellStyle name="20 % - Markeringsfarve1 3 8 3 2 3" xfId="26704" xr:uid="{00000000-0005-0000-0000-0000E0080000}"/>
    <cellStyle name="20 % - Markeringsfarve1 3 8 3 2 4" xfId="41668" xr:uid="{00000000-0005-0000-0000-0000E1080000}"/>
    <cellStyle name="20 % - Markeringsfarve1 3 8 3 3" xfId="12503" xr:uid="{00000000-0005-0000-0000-0000E2080000}"/>
    <cellStyle name="20 % - Markeringsfarve1 3 8 3 3 2" xfId="28782" xr:uid="{00000000-0005-0000-0000-0000E3080000}"/>
    <cellStyle name="20 % - Markeringsfarve1 3 8 3 3 3" xfId="43743" xr:uid="{00000000-0005-0000-0000-0000E4080000}"/>
    <cellStyle name="20 % - Markeringsfarve1 3 8 3 4" xfId="21780" xr:uid="{00000000-0005-0000-0000-0000E5080000}"/>
    <cellStyle name="20 % - Markeringsfarve1 3 8 3 5" xfId="36746" xr:uid="{00000000-0005-0000-0000-0000E6080000}"/>
    <cellStyle name="20 % - Markeringsfarve1 3 8 4" xfId="4019" xr:uid="{00000000-0005-0000-0000-0000E7080000}"/>
    <cellStyle name="20 % - Markeringsfarve1 3 8 4 2" xfId="10552" xr:uid="{00000000-0005-0000-0000-0000E8080000}"/>
    <cellStyle name="20 % - Markeringsfarve1 3 8 4 2 2" xfId="18401" xr:uid="{00000000-0005-0000-0000-0000E9080000}"/>
    <cellStyle name="20 % - Markeringsfarve1 3 8 4 2 2 2" xfId="34677" xr:uid="{00000000-0005-0000-0000-0000EA080000}"/>
    <cellStyle name="20 % - Markeringsfarve1 3 8 4 2 2 3" xfId="49636" xr:uid="{00000000-0005-0000-0000-0000EB080000}"/>
    <cellStyle name="20 % - Markeringsfarve1 3 8 4 2 3" xfId="27675" xr:uid="{00000000-0005-0000-0000-0000EC080000}"/>
    <cellStyle name="20 % - Markeringsfarve1 3 8 4 2 4" xfId="42639" xr:uid="{00000000-0005-0000-0000-0000ED080000}"/>
    <cellStyle name="20 % - Markeringsfarve1 3 8 4 3" xfId="12504" xr:uid="{00000000-0005-0000-0000-0000EE080000}"/>
    <cellStyle name="20 % - Markeringsfarve1 3 8 4 3 2" xfId="28783" xr:uid="{00000000-0005-0000-0000-0000EF080000}"/>
    <cellStyle name="20 % - Markeringsfarve1 3 8 4 3 3" xfId="43744" xr:uid="{00000000-0005-0000-0000-0000F0080000}"/>
    <cellStyle name="20 % - Markeringsfarve1 3 8 4 4" xfId="21781" xr:uid="{00000000-0005-0000-0000-0000F1080000}"/>
    <cellStyle name="20 % - Markeringsfarve1 3 8 4 5" xfId="36747" xr:uid="{00000000-0005-0000-0000-0000F2080000}"/>
    <cellStyle name="20 % - Markeringsfarve1 3 8 5" xfId="7657" xr:uid="{00000000-0005-0000-0000-0000F3080000}"/>
    <cellStyle name="20 % - Markeringsfarve1 3 8 5 2" xfId="15522" xr:uid="{00000000-0005-0000-0000-0000F4080000}"/>
    <cellStyle name="20 % - Markeringsfarve1 3 8 5 2 2" xfId="31798" xr:uid="{00000000-0005-0000-0000-0000F5080000}"/>
    <cellStyle name="20 % - Markeringsfarve1 3 8 5 2 3" xfId="46757" xr:uid="{00000000-0005-0000-0000-0000F6080000}"/>
    <cellStyle name="20 % - Markeringsfarve1 3 8 5 3" xfId="24796" xr:uid="{00000000-0005-0000-0000-0000F7080000}"/>
    <cellStyle name="20 % - Markeringsfarve1 3 8 5 4" xfId="39760" xr:uid="{00000000-0005-0000-0000-0000F8080000}"/>
    <cellStyle name="20 % - Markeringsfarve1 3 8 6" xfId="12500" xr:uid="{00000000-0005-0000-0000-0000F9080000}"/>
    <cellStyle name="20 % - Markeringsfarve1 3 8 6 2" xfId="28779" xr:uid="{00000000-0005-0000-0000-0000FA080000}"/>
    <cellStyle name="20 % - Markeringsfarve1 3 8 6 3" xfId="43740" xr:uid="{00000000-0005-0000-0000-0000FB080000}"/>
    <cellStyle name="20 % - Markeringsfarve1 3 8 7" xfId="21777" xr:uid="{00000000-0005-0000-0000-0000FC080000}"/>
    <cellStyle name="20 % - Markeringsfarve1 3 8 8" xfId="36743" xr:uid="{00000000-0005-0000-0000-0000FD080000}"/>
    <cellStyle name="20 % - Markeringsfarve1 3 9" xfId="4020" xr:uid="{00000000-0005-0000-0000-0000FE080000}"/>
    <cellStyle name="20 % - Markeringsfarve1 3 9 2" xfId="4021" xr:uid="{00000000-0005-0000-0000-0000FF080000}"/>
    <cellStyle name="20 % - Markeringsfarve1 3 9 2 2" xfId="9709" xr:uid="{00000000-0005-0000-0000-000000090000}"/>
    <cellStyle name="20 % - Markeringsfarve1 3 9 2 2 2" xfId="17563" xr:uid="{00000000-0005-0000-0000-000001090000}"/>
    <cellStyle name="20 % - Markeringsfarve1 3 9 2 2 2 2" xfId="33839" xr:uid="{00000000-0005-0000-0000-000002090000}"/>
    <cellStyle name="20 % - Markeringsfarve1 3 9 2 2 2 3" xfId="48798" xr:uid="{00000000-0005-0000-0000-000003090000}"/>
    <cellStyle name="20 % - Markeringsfarve1 3 9 2 2 3" xfId="26837" xr:uid="{00000000-0005-0000-0000-000004090000}"/>
    <cellStyle name="20 % - Markeringsfarve1 3 9 2 2 4" xfId="41801" xr:uid="{00000000-0005-0000-0000-000005090000}"/>
    <cellStyle name="20 % - Markeringsfarve1 3 9 2 3" xfId="12506" xr:uid="{00000000-0005-0000-0000-000006090000}"/>
    <cellStyle name="20 % - Markeringsfarve1 3 9 2 3 2" xfId="28785" xr:uid="{00000000-0005-0000-0000-000007090000}"/>
    <cellStyle name="20 % - Markeringsfarve1 3 9 2 3 3" xfId="43746" xr:uid="{00000000-0005-0000-0000-000008090000}"/>
    <cellStyle name="20 % - Markeringsfarve1 3 9 2 4" xfId="21783" xr:uid="{00000000-0005-0000-0000-000009090000}"/>
    <cellStyle name="20 % - Markeringsfarve1 3 9 2 5" xfId="36749" xr:uid="{00000000-0005-0000-0000-00000A090000}"/>
    <cellStyle name="20 % - Markeringsfarve1 3 9 3" xfId="8310" xr:uid="{00000000-0005-0000-0000-00000B090000}"/>
    <cellStyle name="20 % - Markeringsfarve1 3 9 3 2" xfId="16180" xr:uid="{00000000-0005-0000-0000-00000C090000}"/>
    <cellStyle name="20 % - Markeringsfarve1 3 9 3 2 2" xfId="32456" xr:uid="{00000000-0005-0000-0000-00000D090000}"/>
    <cellStyle name="20 % - Markeringsfarve1 3 9 3 2 3" xfId="47415" xr:uid="{00000000-0005-0000-0000-00000E090000}"/>
    <cellStyle name="20 % - Markeringsfarve1 3 9 3 3" xfId="25454" xr:uid="{00000000-0005-0000-0000-00000F090000}"/>
    <cellStyle name="20 % - Markeringsfarve1 3 9 3 4" xfId="40418" xr:uid="{00000000-0005-0000-0000-000010090000}"/>
    <cellStyle name="20 % - Markeringsfarve1 3 9 4" xfId="12505" xr:uid="{00000000-0005-0000-0000-000011090000}"/>
    <cellStyle name="20 % - Markeringsfarve1 3 9 4 2" xfId="28784" xr:uid="{00000000-0005-0000-0000-000012090000}"/>
    <cellStyle name="20 % - Markeringsfarve1 3 9 4 3" xfId="43745" xr:uid="{00000000-0005-0000-0000-000013090000}"/>
    <cellStyle name="20 % - Markeringsfarve1 3 9 5" xfId="21782" xr:uid="{00000000-0005-0000-0000-000014090000}"/>
    <cellStyle name="20 % - Markeringsfarve1 3 9 6" xfId="36748" xr:uid="{00000000-0005-0000-0000-000015090000}"/>
    <cellStyle name="20 % - Markeringsfarve1 4" xfId="4022" xr:uid="{00000000-0005-0000-0000-000016090000}"/>
    <cellStyle name="20 % - Markeringsfarve1 4 10" xfId="7658" xr:uid="{00000000-0005-0000-0000-000017090000}"/>
    <cellStyle name="20 % - Markeringsfarve1 4 10 2" xfId="15523" xr:uid="{00000000-0005-0000-0000-000018090000}"/>
    <cellStyle name="20 % - Markeringsfarve1 4 10 2 2" xfId="31799" xr:uid="{00000000-0005-0000-0000-000019090000}"/>
    <cellStyle name="20 % - Markeringsfarve1 4 10 2 3" xfId="46758" xr:uid="{00000000-0005-0000-0000-00001A090000}"/>
    <cellStyle name="20 % - Markeringsfarve1 4 10 3" xfId="24797" xr:uid="{00000000-0005-0000-0000-00001B090000}"/>
    <cellStyle name="20 % - Markeringsfarve1 4 10 4" xfId="39761" xr:uid="{00000000-0005-0000-0000-00001C090000}"/>
    <cellStyle name="20 % - Markeringsfarve1 4 11" xfId="12507" xr:uid="{00000000-0005-0000-0000-00001D090000}"/>
    <cellStyle name="20 % - Markeringsfarve1 4 11 2" xfId="28786" xr:uid="{00000000-0005-0000-0000-00001E090000}"/>
    <cellStyle name="20 % - Markeringsfarve1 4 11 3" xfId="43747" xr:uid="{00000000-0005-0000-0000-00001F090000}"/>
    <cellStyle name="20 % - Markeringsfarve1 4 12" xfId="21784" xr:uid="{00000000-0005-0000-0000-000020090000}"/>
    <cellStyle name="20 % - Markeringsfarve1 4 13" xfId="36750" xr:uid="{00000000-0005-0000-0000-000021090000}"/>
    <cellStyle name="20 % - Markeringsfarve1 4 2" xfId="4023" xr:uid="{00000000-0005-0000-0000-000022090000}"/>
    <cellStyle name="20 % - Markeringsfarve1 4 2 2" xfId="4024" xr:uid="{00000000-0005-0000-0000-000023090000}"/>
    <cellStyle name="20 % - Markeringsfarve1 4 2 2 2" xfId="4025" xr:uid="{00000000-0005-0000-0000-000024090000}"/>
    <cellStyle name="20 % - Markeringsfarve1 4 2 2 2 2" xfId="9852" xr:uid="{00000000-0005-0000-0000-000025090000}"/>
    <cellStyle name="20 % - Markeringsfarve1 4 2 2 2 2 2" xfId="17707" xr:uid="{00000000-0005-0000-0000-000026090000}"/>
    <cellStyle name="20 % - Markeringsfarve1 4 2 2 2 2 2 2" xfId="33983" xr:uid="{00000000-0005-0000-0000-000027090000}"/>
    <cellStyle name="20 % - Markeringsfarve1 4 2 2 2 2 2 3" xfId="48942" xr:uid="{00000000-0005-0000-0000-000028090000}"/>
    <cellStyle name="20 % - Markeringsfarve1 4 2 2 2 2 3" xfId="26981" xr:uid="{00000000-0005-0000-0000-000029090000}"/>
    <cellStyle name="20 % - Markeringsfarve1 4 2 2 2 2 4" xfId="41945" xr:uid="{00000000-0005-0000-0000-00002A090000}"/>
    <cellStyle name="20 % - Markeringsfarve1 4 2 2 2 3" xfId="12510" xr:uid="{00000000-0005-0000-0000-00002B090000}"/>
    <cellStyle name="20 % - Markeringsfarve1 4 2 2 2 3 2" xfId="28789" xr:uid="{00000000-0005-0000-0000-00002C090000}"/>
    <cellStyle name="20 % - Markeringsfarve1 4 2 2 2 3 3" xfId="43750" xr:uid="{00000000-0005-0000-0000-00002D090000}"/>
    <cellStyle name="20 % - Markeringsfarve1 4 2 2 2 4" xfId="21787" xr:uid="{00000000-0005-0000-0000-00002E090000}"/>
    <cellStyle name="20 % - Markeringsfarve1 4 2 2 2 5" xfId="36753" xr:uid="{00000000-0005-0000-0000-00002F090000}"/>
    <cellStyle name="20 % - Markeringsfarve1 4 2 2 3" xfId="8430" xr:uid="{00000000-0005-0000-0000-000030090000}"/>
    <cellStyle name="20 % - Markeringsfarve1 4 2 2 3 2" xfId="16300" xr:uid="{00000000-0005-0000-0000-000031090000}"/>
    <cellStyle name="20 % - Markeringsfarve1 4 2 2 3 2 2" xfId="32576" xr:uid="{00000000-0005-0000-0000-000032090000}"/>
    <cellStyle name="20 % - Markeringsfarve1 4 2 2 3 2 3" xfId="47535" xr:uid="{00000000-0005-0000-0000-000033090000}"/>
    <cellStyle name="20 % - Markeringsfarve1 4 2 2 3 3" xfId="25574" xr:uid="{00000000-0005-0000-0000-000034090000}"/>
    <cellStyle name="20 % - Markeringsfarve1 4 2 2 3 4" xfId="40538" xr:uid="{00000000-0005-0000-0000-000035090000}"/>
    <cellStyle name="20 % - Markeringsfarve1 4 2 2 4" xfId="12509" xr:uid="{00000000-0005-0000-0000-000036090000}"/>
    <cellStyle name="20 % - Markeringsfarve1 4 2 2 4 2" xfId="28788" xr:uid="{00000000-0005-0000-0000-000037090000}"/>
    <cellStyle name="20 % - Markeringsfarve1 4 2 2 4 3" xfId="43749" xr:uid="{00000000-0005-0000-0000-000038090000}"/>
    <cellStyle name="20 % - Markeringsfarve1 4 2 2 5" xfId="21786" xr:uid="{00000000-0005-0000-0000-000039090000}"/>
    <cellStyle name="20 % - Markeringsfarve1 4 2 2 6" xfId="36752" xr:uid="{00000000-0005-0000-0000-00003A090000}"/>
    <cellStyle name="20 % - Markeringsfarve1 4 2 3" xfId="4026" xr:uid="{00000000-0005-0000-0000-00003B090000}"/>
    <cellStyle name="20 % - Markeringsfarve1 4 2 3 2" xfId="9083" xr:uid="{00000000-0005-0000-0000-00003C090000}"/>
    <cellStyle name="20 % - Markeringsfarve1 4 2 3 2 2" xfId="16947" xr:uid="{00000000-0005-0000-0000-00003D090000}"/>
    <cellStyle name="20 % - Markeringsfarve1 4 2 3 2 2 2" xfId="33223" xr:uid="{00000000-0005-0000-0000-00003E090000}"/>
    <cellStyle name="20 % - Markeringsfarve1 4 2 3 2 2 3" xfId="48182" xr:uid="{00000000-0005-0000-0000-00003F090000}"/>
    <cellStyle name="20 % - Markeringsfarve1 4 2 3 2 3" xfId="26221" xr:uid="{00000000-0005-0000-0000-000040090000}"/>
    <cellStyle name="20 % - Markeringsfarve1 4 2 3 2 4" xfId="41185" xr:uid="{00000000-0005-0000-0000-000041090000}"/>
    <cellStyle name="20 % - Markeringsfarve1 4 2 3 3" xfId="12511" xr:uid="{00000000-0005-0000-0000-000042090000}"/>
    <cellStyle name="20 % - Markeringsfarve1 4 2 3 3 2" xfId="28790" xr:uid="{00000000-0005-0000-0000-000043090000}"/>
    <cellStyle name="20 % - Markeringsfarve1 4 2 3 3 3" xfId="43751" xr:uid="{00000000-0005-0000-0000-000044090000}"/>
    <cellStyle name="20 % - Markeringsfarve1 4 2 3 4" xfId="21788" xr:uid="{00000000-0005-0000-0000-000045090000}"/>
    <cellStyle name="20 % - Markeringsfarve1 4 2 3 5" xfId="36754" xr:uid="{00000000-0005-0000-0000-000046090000}"/>
    <cellStyle name="20 % - Markeringsfarve1 4 2 4" xfId="4027" xr:uid="{00000000-0005-0000-0000-000047090000}"/>
    <cellStyle name="20 % - Markeringsfarve1 4 2 4 2" xfId="10550" xr:uid="{00000000-0005-0000-0000-000048090000}"/>
    <cellStyle name="20 % - Markeringsfarve1 4 2 4 2 2" xfId="18399" xr:uid="{00000000-0005-0000-0000-000049090000}"/>
    <cellStyle name="20 % - Markeringsfarve1 4 2 4 2 2 2" xfId="34675" xr:uid="{00000000-0005-0000-0000-00004A090000}"/>
    <cellStyle name="20 % - Markeringsfarve1 4 2 4 2 2 3" xfId="49634" xr:uid="{00000000-0005-0000-0000-00004B090000}"/>
    <cellStyle name="20 % - Markeringsfarve1 4 2 4 2 3" xfId="27673" xr:uid="{00000000-0005-0000-0000-00004C090000}"/>
    <cellStyle name="20 % - Markeringsfarve1 4 2 4 2 4" xfId="42637" xr:uid="{00000000-0005-0000-0000-00004D090000}"/>
    <cellStyle name="20 % - Markeringsfarve1 4 2 4 3" xfId="12512" xr:uid="{00000000-0005-0000-0000-00004E090000}"/>
    <cellStyle name="20 % - Markeringsfarve1 4 2 4 3 2" xfId="28791" xr:uid="{00000000-0005-0000-0000-00004F090000}"/>
    <cellStyle name="20 % - Markeringsfarve1 4 2 4 3 3" xfId="43752" xr:uid="{00000000-0005-0000-0000-000050090000}"/>
    <cellStyle name="20 % - Markeringsfarve1 4 2 4 4" xfId="21789" xr:uid="{00000000-0005-0000-0000-000051090000}"/>
    <cellStyle name="20 % - Markeringsfarve1 4 2 4 5" xfId="36755" xr:uid="{00000000-0005-0000-0000-000052090000}"/>
    <cellStyle name="20 % - Markeringsfarve1 4 2 5" xfId="7659" xr:uid="{00000000-0005-0000-0000-000053090000}"/>
    <cellStyle name="20 % - Markeringsfarve1 4 2 5 2" xfId="15524" xr:uid="{00000000-0005-0000-0000-000054090000}"/>
    <cellStyle name="20 % - Markeringsfarve1 4 2 5 2 2" xfId="31800" xr:uid="{00000000-0005-0000-0000-000055090000}"/>
    <cellStyle name="20 % - Markeringsfarve1 4 2 5 2 3" xfId="46759" xr:uid="{00000000-0005-0000-0000-000056090000}"/>
    <cellStyle name="20 % - Markeringsfarve1 4 2 5 3" xfId="24798" xr:uid="{00000000-0005-0000-0000-000057090000}"/>
    <cellStyle name="20 % - Markeringsfarve1 4 2 5 4" xfId="39762" xr:uid="{00000000-0005-0000-0000-000058090000}"/>
    <cellStyle name="20 % - Markeringsfarve1 4 2 6" xfId="12508" xr:uid="{00000000-0005-0000-0000-000059090000}"/>
    <cellStyle name="20 % - Markeringsfarve1 4 2 6 2" xfId="28787" xr:uid="{00000000-0005-0000-0000-00005A090000}"/>
    <cellStyle name="20 % - Markeringsfarve1 4 2 6 3" xfId="43748" xr:uid="{00000000-0005-0000-0000-00005B090000}"/>
    <cellStyle name="20 % - Markeringsfarve1 4 2 7" xfId="21785" xr:uid="{00000000-0005-0000-0000-00005C090000}"/>
    <cellStyle name="20 % - Markeringsfarve1 4 2 8" xfId="36751" xr:uid="{00000000-0005-0000-0000-00005D090000}"/>
    <cellStyle name="20 % - Markeringsfarve1 4 3" xfId="4028" xr:uid="{00000000-0005-0000-0000-00005E090000}"/>
    <cellStyle name="20 % - Markeringsfarve1 4 3 2" xfId="4029" xr:uid="{00000000-0005-0000-0000-00005F090000}"/>
    <cellStyle name="20 % - Markeringsfarve1 4 3 2 2" xfId="4030" xr:uid="{00000000-0005-0000-0000-000060090000}"/>
    <cellStyle name="20 % - Markeringsfarve1 4 3 2 2 2" xfId="9937" xr:uid="{00000000-0005-0000-0000-000061090000}"/>
    <cellStyle name="20 % - Markeringsfarve1 4 3 2 2 2 2" xfId="17792" xr:uid="{00000000-0005-0000-0000-000062090000}"/>
    <cellStyle name="20 % - Markeringsfarve1 4 3 2 2 2 2 2" xfId="34068" xr:uid="{00000000-0005-0000-0000-000063090000}"/>
    <cellStyle name="20 % - Markeringsfarve1 4 3 2 2 2 2 3" xfId="49027" xr:uid="{00000000-0005-0000-0000-000064090000}"/>
    <cellStyle name="20 % - Markeringsfarve1 4 3 2 2 2 3" xfId="27066" xr:uid="{00000000-0005-0000-0000-000065090000}"/>
    <cellStyle name="20 % - Markeringsfarve1 4 3 2 2 2 4" xfId="42030" xr:uid="{00000000-0005-0000-0000-000066090000}"/>
    <cellStyle name="20 % - Markeringsfarve1 4 3 2 2 3" xfId="12515" xr:uid="{00000000-0005-0000-0000-000067090000}"/>
    <cellStyle name="20 % - Markeringsfarve1 4 3 2 2 3 2" xfId="28794" xr:uid="{00000000-0005-0000-0000-000068090000}"/>
    <cellStyle name="20 % - Markeringsfarve1 4 3 2 2 3 3" xfId="43755" xr:uid="{00000000-0005-0000-0000-000069090000}"/>
    <cellStyle name="20 % - Markeringsfarve1 4 3 2 2 4" xfId="21792" xr:uid="{00000000-0005-0000-0000-00006A090000}"/>
    <cellStyle name="20 % - Markeringsfarve1 4 3 2 2 5" xfId="36758" xr:uid="{00000000-0005-0000-0000-00006B090000}"/>
    <cellStyle name="20 % - Markeringsfarve1 4 3 2 3" xfId="8502" xr:uid="{00000000-0005-0000-0000-00006C090000}"/>
    <cellStyle name="20 % - Markeringsfarve1 4 3 2 3 2" xfId="16372" xr:uid="{00000000-0005-0000-0000-00006D090000}"/>
    <cellStyle name="20 % - Markeringsfarve1 4 3 2 3 2 2" xfId="32648" xr:uid="{00000000-0005-0000-0000-00006E090000}"/>
    <cellStyle name="20 % - Markeringsfarve1 4 3 2 3 2 3" xfId="47607" xr:uid="{00000000-0005-0000-0000-00006F090000}"/>
    <cellStyle name="20 % - Markeringsfarve1 4 3 2 3 3" xfId="25646" xr:uid="{00000000-0005-0000-0000-000070090000}"/>
    <cellStyle name="20 % - Markeringsfarve1 4 3 2 3 4" xfId="40610" xr:uid="{00000000-0005-0000-0000-000071090000}"/>
    <cellStyle name="20 % - Markeringsfarve1 4 3 2 4" xfId="12514" xr:uid="{00000000-0005-0000-0000-000072090000}"/>
    <cellStyle name="20 % - Markeringsfarve1 4 3 2 4 2" xfId="28793" xr:uid="{00000000-0005-0000-0000-000073090000}"/>
    <cellStyle name="20 % - Markeringsfarve1 4 3 2 4 3" xfId="43754" xr:uid="{00000000-0005-0000-0000-000074090000}"/>
    <cellStyle name="20 % - Markeringsfarve1 4 3 2 5" xfId="21791" xr:uid="{00000000-0005-0000-0000-000075090000}"/>
    <cellStyle name="20 % - Markeringsfarve1 4 3 2 6" xfId="36757" xr:uid="{00000000-0005-0000-0000-000076090000}"/>
    <cellStyle name="20 % - Markeringsfarve1 4 3 3" xfId="4031" xr:uid="{00000000-0005-0000-0000-000077090000}"/>
    <cellStyle name="20 % - Markeringsfarve1 4 3 3 2" xfId="9168" xr:uid="{00000000-0005-0000-0000-000078090000}"/>
    <cellStyle name="20 % - Markeringsfarve1 4 3 3 2 2" xfId="17032" xr:uid="{00000000-0005-0000-0000-000079090000}"/>
    <cellStyle name="20 % - Markeringsfarve1 4 3 3 2 2 2" xfId="33308" xr:uid="{00000000-0005-0000-0000-00007A090000}"/>
    <cellStyle name="20 % - Markeringsfarve1 4 3 3 2 2 3" xfId="48267" xr:uid="{00000000-0005-0000-0000-00007B090000}"/>
    <cellStyle name="20 % - Markeringsfarve1 4 3 3 2 3" xfId="26306" xr:uid="{00000000-0005-0000-0000-00007C090000}"/>
    <cellStyle name="20 % - Markeringsfarve1 4 3 3 2 4" xfId="41270" xr:uid="{00000000-0005-0000-0000-00007D090000}"/>
    <cellStyle name="20 % - Markeringsfarve1 4 3 3 3" xfId="12516" xr:uid="{00000000-0005-0000-0000-00007E090000}"/>
    <cellStyle name="20 % - Markeringsfarve1 4 3 3 3 2" xfId="28795" xr:uid="{00000000-0005-0000-0000-00007F090000}"/>
    <cellStyle name="20 % - Markeringsfarve1 4 3 3 3 3" xfId="43756" xr:uid="{00000000-0005-0000-0000-000080090000}"/>
    <cellStyle name="20 % - Markeringsfarve1 4 3 3 4" xfId="21793" xr:uid="{00000000-0005-0000-0000-000081090000}"/>
    <cellStyle name="20 % - Markeringsfarve1 4 3 3 5" xfId="36759" xr:uid="{00000000-0005-0000-0000-000082090000}"/>
    <cellStyle name="20 % - Markeringsfarve1 4 3 4" xfId="4032" xr:uid="{00000000-0005-0000-0000-000083090000}"/>
    <cellStyle name="20 % - Markeringsfarve1 4 3 4 2" xfId="10549" xr:uid="{00000000-0005-0000-0000-000084090000}"/>
    <cellStyle name="20 % - Markeringsfarve1 4 3 4 2 2" xfId="18398" xr:uid="{00000000-0005-0000-0000-000085090000}"/>
    <cellStyle name="20 % - Markeringsfarve1 4 3 4 2 2 2" xfId="34674" xr:uid="{00000000-0005-0000-0000-000086090000}"/>
    <cellStyle name="20 % - Markeringsfarve1 4 3 4 2 2 3" xfId="49633" xr:uid="{00000000-0005-0000-0000-000087090000}"/>
    <cellStyle name="20 % - Markeringsfarve1 4 3 4 2 3" xfId="27672" xr:uid="{00000000-0005-0000-0000-000088090000}"/>
    <cellStyle name="20 % - Markeringsfarve1 4 3 4 2 4" xfId="42636" xr:uid="{00000000-0005-0000-0000-000089090000}"/>
    <cellStyle name="20 % - Markeringsfarve1 4 3 4 3" xfId="12517" xr:uid="{00000000-0005-0000-0000-00008A090000}"/>
    <cellStyle name="20 % - Markeringsfarve1 4 3 4 3 2" xfId="28796" xr:uid="{00000000-0005-0000-0000-00008B090000}"/>
    <cellStyle name="20 % - Markeringsfarve1 4 3 4 3 3" xfId="43757" xr:uid="{00000000-0005-0000-0000-00008C090000}"/>
    <cellStyle name="20 % - Markeringsfarve1 4 3 4 4" xfId="21794" xr:uid="{00000000-0005-0000-0000-00008D090000}"/>
    <cellStyle name="20 % - Markeringsfarve1 4 3 4 5" xfId="36760" xr:uid="{00000000-0005-0000-0000-00008E090000}"/>
    <cellStyle name="20 % - Markeringsfarve1 4 3 5" xfId="7660" xr:uid="{00000000-0005-0000-0000-00008F090000}"/>
    <cellStyle name="20 % - Markeringsfarve1 4 3 5 2" xfId="15525" xr:uid="{00000000-0005-0000-0000-000090090000}"/>
    <cellStyle name="20 % - Markeringsfarve1 4 3 5 2 2" xfId="31801" xr:uid="{00000000-0005-0000-0000-000091090000}"/>
    <cellStyle name="20 % - Markeringsfarve1 4 3 5 2 3" xfId="46760" xr:uid="{00000000-0005-0000-0000-000092090000}"/>
    <cellStyle name="20 % - Markeringsfarve1 4 3 5 3" xfId="24799" xr:uid="{00000000-0005-0000-0000-000093090000}"/>
    <cellStyle name="20 % - Markeringsfarve1 4 3 5 4" xfId="39763" xr:uid="{00000000-0005-0000-0000-000094090000}"/>
    <cellStyle name="20 % - Markeringsfarve1 4 3 6" xfId="12513" xr:uid="{00000000-0005-0000-0000-000095090000}"/>
    <cellStyle name="20 % - Markeringsfarve1 4 3 6 2" xfId="28792" xr:uid="{00000000-0005-0000-0000-000096090000}"/>
    <cellStyle name="20 % - Markeringsfarve1 4 3 6 3" xfId="43753" xr:uid="{00000000-0005-0000-0000-000097090000}"/>
    <cellStyle name="20 % - Markeringsfarve1 4 3 7" xfId="21790" xr:uid="{00000000-0005-0000-0000-000098090000}"/>
    <cellStyle name="20 % - Markeringsfarve1 4 3 8" xfId="36756" xr:uid="{00000000-0005-0000-0000-000099090000}"/>
    <cellStyle name="20 % - Markeringsfarve1 4 4" xfId="4033" xr:uid="{00000000-0005-0000-0000-00009A090000}"/>
    <cellStyle name="20 % - Markeringsfarve1 4 4 2" xfId="4034" xr:uid="{00000000-0005-0000-0000-00009B090000}"/>
    <cellStyle name="20 % - Markeringsfarve1 4 4 2 2" xfId="4035" xr:uid="{00000000-0005-0000-0000-00009C090000}"/>
    <cellStyle name="20 % - Markeringsfarve1 4 4 2 2 2" xfId="10090" xr:uid="{00000000-0005-0000-0000-00009D090000}"/>
    <cellStyle name="20 % - Markeringsfarve1 4 4 2 2 2 2" xfId="17945" xr:uid="{00000000-0005-0000-0000-00009E090000}"/>
    <cellStyle name="20 % - Markeringsfarve1 4 4 2 2 2 2 2" xfId="34221" xr:uid="{00000000-0005-0000-0000-00009F090000}"/>
    <cellStyle name="20 % - Markeringsfarve1 4 4 2 2 2 2 3" xfId="49180" xr:uid="{00000000-0005-0000-0000-0000A0090000}"/>
    <cellStyle name="20 % - Markeringsfarve1 4 4 2 2 2 3" xfId="27219" xr:uid="{00000000-0005-0000-0000-0000A1090000}"/>
    <cellStyle name="20 % - Markeringsfarve1 4 4 2 2 2 4" xfId="42183" xr:uid="{00000000-0005-0000-0000-0000A2090000}"/>
    <cellStyle name="20 % - Markeringsfarve1 4 4 2 2 3" xfId="12520" xr:uid="{00000000-0005-0000-0000-0000A3090000}"/>
    <cellStyle name="20 % - Markeringsfarve1 4 4 2 2 3 2" xfId="28799" xr:uid="{00000000-0005-0000-0000-0000A4090000}"/>
    <cellStyle name="20 % - Markeringsfarve1 4 4 2 2 3 3" xfId="43760" xr:uid="{00000000-0005-0000-0000-0000A5090000}"/>
    <cellStyle name="20 % - Markeringsfarve1 4 4 2 2 4" xfId="21797" xr:uid="{00000000-0005-0000-0000-0000A6090000}"/>
    <cellStyle name="20 % - Markeringsfarve1 4 4 2 2 5" xfId="36763" xr:uid="{00000000-0005-0000-0000-0000A7090000}"/>
    <cellStyle name="20 % - Markeringsfarve1 4 4 2 3" xfId="8632" xr:uid="{00000000-0005-0000-0000-0000A8090000}"/>
    <cellStyle name="20 % - Markeringsfarve1 4 4 2 3 2" xfId="16499" xr:uid="{00000000-0005-0000-0000-0000A9090000}"/>
    <cellStyle name="20 % - Markeringsfarve1 4 4 2 3 2 2" xfId="32775" xr:uid="{00000000-0005-0000-0000-0000AA090000}"/>
    <cellStyle name="20 % - Markeringsfarve1 4 4 2 3 2 3" xfId="47734" xr:uid="{00000000-0005-0000-0000-0000AB090000}"/>
    <cellStyle name="20 % - Markeringsfarve1 4 4 2 3 3" xfId="25773" xr:uid="{00000000-0005-0000-0000-0000AC090000}"/>
    <cellStyle name="20 % - Markeringsfarve1 4 4 2 3 4" xfId="40737" xr:uid="{00000000-0005-0000-0000-0000AD090000}"/>
    <cellStyle name="20 % - Markeringsfarve1 4 4 2 4" xfId="12519" xr:uid="{00000000-0005-0000-0000-0000AE090000}"/>
    <cellStyle name="20 % - Markeringsfarve1 4 4 2 4 2" xfId="28798" xr:uid="{00000000-0005-0000-0000-0000AF090000}"/>
    <cellStyle name="20 % - Markeringsfarve1 4 4 2 4 3" xfId="43759" xr:uid="{00000000-0005-0000-0000-0000B0090000}"/>
    <cellStyle name="20 % - Markeringsfarve1 4 4 2 5" xfId="21796" xr:uid="{00000000-0005-0000-0000-0000B1090000}"/>
    <cellStyle name="20 % - Markeringsfarve1 4 4 2 6" xfId="36762" xr:uid="{00000000-0005-0000-0000-0000B2090000}"/>
    <cellStyle name="20 % - Markeringsfarve1 4 4 3" xfId="4036" xr:uid="{00000000-0005-0000-0000-0000B3090000}"/>
    <cellStyle name="20 % - Markeringsfarve1 4 4 3 2" xfId="9367" xr:uid="{00000000-0005-0000-0000-0000B4090000}"/>
    <cellStyle name="20 % - Markeringsfarve1 4 4 3 2 2" xfId="17230" xr:uid="{00000000-0005-0000-0000-0000B5090000}"/>
    <cellStyle name="20 % - Markeringsfarve1 4 4 3 2 2 2" xfId="33506" xr:uid="{00000000-0005-0000-0000-0000B6090000}"/>
    <cellStyle name="20 % - Markeringsfarve1 4 4 3 2 2 3" xfId="48465" xr:uid="{00000000-0005-0000-0000-0000B7090000}"/>
    <cellStyle name="20 % - Markeringsfarve1 4 4 3 2 3" xfId="26504" xr:uid="{00000000-0005-0000-0000-0000B8090000}"/>
    <cellStyle name="20 % - Markeringsfarve1 4 4 3 2 4" xfId="41468" xr:uid="{00000000-0005-0000-0000-0000B9090000}"/>
    <cellStyle name="20 % - Markeringsfarve1 4 4 3 3" xfId="12521" xr:uid="{00000000-0005-0000-0000-0000BA090000}"/>
    <cellStyle name="20 % - Markeringsfarve1 4 4 3 3 2" xfId="28800" xr:uid="{00000000-0005-0000-0000-0000BB090000}"/>
    <cellStyle name="20 % - Markeringsfarve1 4 4 3 3 3" xfId="43761" xr:uid="{00000000-0005-0000-0000-0000BC090000}"/>
    <cellStyle name="20 % - Markeringsfarve1 4 4 3 4" xfId="21798" xr:uid="{00000000-0005-0000-0000-0000BD090000}"/>
    <cellStyle name="20 % - Markeringsfarve1 4 4 3 5" xfId="36764" xr:uid="{00000000-0005-0000-0000-0000BE090000}"/>
    <cellStyle name="20 % - Markeringsfarve1 4 4 4" xfId="4037" xr:uid="{00000000-0005-0000-0000-0000BF090000}"/>
    <cellStyle name="20 % - Markeringsfarve1 4 4 4 2" xfId="10548" xr:uid="{00000000-0005-0000-0000-0000C0090000}"/>
    <cellStyle name="20 % - Markeringsfarve1 4 4 4 2 2" xfId="18397" xr:uid="{00000000-0005-0000-0000-0000C1090000}"/>
    <cellStyle name="20 % - Markeringsfarve1 4 4 4 2 2 2" xfId="34673" xr:uid="{00000000-0005-0000-0000-0000C2090000}"/>
    <cellStyle name="20 % - Markeringsfarve1 4 4 4 2 2 3" xfId="49632" xr:uid="{00000000-0005-0000-0000-0000C3090000}"/>
    <cellStyle name="20 % - Markeringsfarve1 4 4 4 2 3" xfId="27671" xr:uid="{00000000-0005-0000-0000-0000C4090000}"/>
    <cellStyle name="20 % - Markeringsfarve1 4 4 4 2 4" xfId="42635" xr:uid="{00000000-0005-0000-0000-0000C5090000}"/>
    <cellStyle name="20 % - Markeringsfarve1 4 4 4 3" xfId="12522" xr:uid="{00000000-0005-0000-0000-0000C6090000}"/>
    <cellStyle name="20 % - Markeringsfarve1 4 4 4 3 2" xfId="28801" xr:uid="{00000000-0005-0000-0000-0000C7090000}"/>
    <cellStyle name="20 % - Markeringsfarve1 4 4 4 3 3" xfId="43762" xr:uid="{00000000-0005-0000-0000-0000C8090000}"/>
    <cellStyle name="20 % - Markeringsfarve1 4 4 4 4" xfId="21799" xr:uid="{00000000-0005-0000-0000-0000C9090000}"/>
    <cellStyle name="20 % - Markeringsfarve1 4 4 4 5" xfId="36765" xr:uid="{00000000-0005-0000-0000-0000CA090000}"/>
    <cellStyle name="20 % - Markeringsfarve1 4 4 5" xfId="7661" xr:uid="{00000000-0005-0000-0000-0000CB090000}"/>
    <cellStyle name="20 % - Markeringsfarve1 4 4 5 2" xfId="15526" xr:uid="{00000000-0005-0000-0000-0000CC090000}"/>
    <cellStyle name="20 % - Markeringsfarve1 4 4 5 2 2" xfId="31802" xr:uid="{00000000-0005-0000-0000-0000CD090000}"/>
    <cellStyle name="20 % - Markeringsfarve1 4 4 5 2 3" xfId="46761" xr:uid="{00000000-0005-0000-0000-0000CE090000}"/>
    <cellStyle name="20 % - Markeringsfarve1 4 4 5 3" xfId="24800" xr:uid="{00000000-0005-0000-0000-0000CF090000}"/>
    <cellStyle name="20 % - Markeringsfarve1 4 4 5 4" xfId="39764" xr:uid="{00000000-0005-0000-0000-0000D0090000}"/>
    <cellStyle name="20 % - Markeringsfarve1 4 4 6" xfId="12518" xr:uid="{00000000-0005-0000-0000-0000D1090000}"/>
    <cellStyle name="20 % - Markeringsfarve1 4 4 6 2" xfId="28797" xr:uid="{00000000-0005-0000-0000-0000D2090000}"/>
    <cellStyle name="20 % - Markeringsfarve1 4 4 6 3" xfId="43758" xr:uid="{00000000-0005-0000-0000-0000D3090000}"/>
    <cellStyle name="20 % - Markeringsfarve1 4 4 7" xfId="21795" xr:uid="{00000000-0005-0000-0000-0000D4090000}"/>
    <cellStyle name="20 % - Markeringsfarve1 4 4 8" xfId="36761" xr:uid="{00000000-0005-0000-0000-0000D5090000}"/>
    <cellStyle name="20 % - Markeringsfarve1 4 5" xfId="4038" xr:uid="{00000000-0005-0000-0000-0000D6090000}"/>
    <cellStyle name="20 % - Markeringsfarve1 4 5 2" xfId="4039" xr:uid="{00000000-0005-0000-0000-0000D7090000}"/>
    <cellStyle name="20 % - Markeringsfarve1 4 5 2 2" xfId="4040" xr:uid="{00000000-0005-0000-0000-0000D8090000}"/>
    <cellStyle name="20 % - Markeringsfarve1 4 5 2 2 2" xfId="10207" xr:uid="{00000000-0005-0000-0000-0000D9090000}"/>
    <cellStyle name="20 % - Markeringsfarve1 4 5 2 2 2 2" xfId="18062" xr:uid="{00000000-0005-0000-0000-0000DA090000}"/>
    <cellStyle name="20 % - Markeringsfarve1 4 5 2 2 2 2 2" xfId="34338" xr:uid="{00000000-0005-0000-0000-0000DB090000}"/>
    <cellStyle name="20 % - Markeringsfarve1 4 5 2 2 2 2 3" xfId="49297" xr:uid="{00000000-0005-0000-0000-0000DC090000}"/>
    <cellStyle name="20 % - Markeringsfarve1 4 5 2 2 2 3" xfId="27336" xr:uid="{00000000-0005-0000-0000-0000DD090000}"/>
    <cellStyle name="20 % - Markeringsfarve1 4 5 2 2 2 4" xfId="42300" xr:uid="{00000000-0005-0000-0000-0000DE090000}"/>
    <cellStyle name="20 % - Markeringsfarve1 4 5 2 2 3" xfId="12525" xr:uid="{00000000-0005-0000-0000-0000DF090000}"/>
    <cellStyle name="20 % - Markeringsfarve1 4 5 2 2 3 2" xfId="28804" xr:uid="{00000000-0005-0000-0000-0000E0090000}"/>
    <cellStyle name="20 % - Markeringsfarve1 4 5 2 2 3 3" xfId="43765" xr:uid="{00000000-0005-0000-0000-0000E1090000}"/>
    <cellStyle name="20 % - Markeringsfarve1 4 5 2 2 4" xfId="21802" xr:uid="{00000000-0005-0000-0000-0000E2090000}"/>
    <cellStyle name="20 % - Markeringsfarve1 4 5 2 2 5" xfId="36768" xr:uid="{00000000-0005-0000-0000-0000E3090000}"/>
    <cellStyle name="20 % - Markeringsfarve1 4 5 2 3" xfId="8731" xr:uid="{00000000-0005-0000-0000-0000E4090000}"/>
    <cellStyle name="20 % - Markeringsfarve1 4 5 2 3 2" xfId="16598" xr:uid="{00000000-0005-0000-0000-0000E5090000}"/>
    <cellStyle name="20 % - Markeringsfarve1 4 5 2 3 2 2" xfId="32874" xr:uid="{00000000-0005-0000-0000-0000E6090000}"/>
    <cellStyle name="20 % - Markeringsfarve1 4 5 2 3 2 3" xfId="47833" xr:uid="{00000000-0005-0000-0000-0000E7090000}"/>
    <cellStyle name="20 % - Markeringsfarve1 4 5 2 3 3" xfId="25872" xr:uid="{00000000-0005-0000-0000-0000E8090000}"/>
    <cellStyle name="20 % - Markeringsfarve1 4 5 2 3 4" xfId="40836" xr:uid="{00000000-0005-0000-0000-0000E9090000}"/>
    <cellStyle name="20 % - Markeringsfarve1 4 5 2 4" xfId="12524" xr:uid="{00000000-0005-0000-0000-0000EA090000}"/>
    <cellStyle name="20 % - Markeringsfarve1 4 5 2 4 2" xfId="28803" xr:uid="{00000000-0005-0000-0000-0000EB090000}"/>
    <cellStyle name="20 % - Markeringsfarve1 4 5 2 4 3" xfId="43764" xr:uid="{00000000-0005-0000-0000-0000EC090000}"/>
    <cellStyle name="20 % - Markeringsfarve1 4 5 2 5" xfId="21801" xr:uid="{00000000-0005-0000-0000-0000ED090000}"/>
    <cellStyle name="20 % - Markeringsfarve1 4 5 2 6" xfId="36767" xr:uid="{00000000-0005-0000-0000-0000EE090000}"/>
    <cellStyle name="20 % - Markeringsfarve1 4 5 3" xfId="4041" xr:uid="{00000000-0005-0000-0000-0000EF090000}"/>
    <cellStyle name="20 % - Markeringsfarve1 4 5 3 2" xfId="9484" xr:uid="{00000000-0005-0000-0000-0000F0090000}"/>
    <cellStyle name="20 % - Markeringsfarve1 4 5 3 2 2" xfId="17347" xr:uid="{00000000-0005-0000-0000-0000F1090000}"/>
    <cellStyle name="20 % - Markeringsfarve1 4 5 3 2 2 2" xfId="33623" xr:uid="{00000000-0005-0000-0000-0000F2090000}"/>
    <cellStyle name="20 % - Markeringsfarve1 4 5 3 2 2 3" xfId="48582" xr:uid="{00000000-0005-0000-0000-0000F3090000}"/>
    <cellStyle name="20 % - Markeringsfarve1 4 5 3 2 3" xfId="26621" xr:uid="{00000000-0005-0000-0000-0000F4090000}"/>
    <cellStyle name="20 % - Markeringsfarve1 4 5 3 2 4" xfId="41585" xr:uid="{00000000-0005-0000-0000-0000F5090000}"/>
    <cellStyle name="20 % - Markeringsfarve1 4 5 3 3" xfId="12526" xr:uid="{00000000-0005-0000-0000-0000F6090000}"/>
    <cellStyle name="20 % - Markeringsfarve1 4 5 3 3 2" xfId="28805" xr:uid="{00000000-0005-0000-0000-0000F7090000}"/>
    <cellStyle name="20 % - Markeringsfarve1 4 5 3 3 3" xfId="43766" xr:uid="{00000000-0005-0000-0000-0000F8090000}"/>
    <cellStyle name="20 % - Markeringsfarve1 4 5 3 4" xfId="21803" xr:uid="{00000000-0005-0000-0000-0000F9090000}"/>
    <cellStyle name="20 % - Markeringsfarve1 4 5 3 5" xfId="36769" xr:uid="{00000000-0005-0000-0000-0000FA090000}"/>
    <cellStyle name="20 % - Markeringsfarve1 4 5 4" xfId="4042" xr:uid="{00000000-0005-0000-0000-0000FB090000}"/>
    <cellStyle name="20 % - Markeringsfarve1 4 5 4 2" xfId="10547" xr:uid="{00000000-0005-0000-0000-0000FC090000}"/>
    <cellStyle name="20 % - Markeringsfarve1 4 5 4 2 2" xfId="18396" xr:uid="{00000000-0005-0000-0000-0000FD090000}"/>
    <cellStyle name="20 % - Markeringsfarve1 4 5 4 2 2 2" xfId="34672" xr:uid="{00000000-0005-0000-0000-0000FE090000}"/>
    <cellStyle name="20 % - Markeringsfarve1 4 5 4 2 2 3" xfId="49631" xr:uid="{00000000-0005-0000-0000-0000FF090000}"/>
    <cellStyle name="20 % - Markeringsfarve1 4 5 4 2 3" xfId="27670" xr:uid="{00000000-0005-0000-0000-0000000A0000}"/>
    <cellStyle name="20 % - Markeringsfarve1 4 5 4 2 4" xfId="42634" xr:uid="{00000000-0005-0000-0000-0000010A0000}"/>
    <cellStyle name="20 % - Markeringsfarve1 4 5 4 3" xfId="12527" xr:uid="{00000000-0005-0000-0000-0000020A0000}"/>
    <cellStyle name="20 % - Markeringsfarve1 4 5 4 3 2" xfId="28806" xr:uid="{00000000-0005-0000-0000-0000030A0000}"/>
    <cellStyle name="20 % - Markeringsfarve1 4 5 4 3 3" xfId="43767" xr:uid="{00000000-0005-0000-0000-0000040A0000}"/>
    <cellStyle name="20 % - Markeringsfarve1 4 5 4 4" xfId="21804" xr:uid="{00000000-0005-0000-0000-0000050A0000}"/>
    <cellStyle name="20 % - Markeringsfarve1 4 5 4 5" xfId="36770" xr:uid="{00000000-0005-0000-0000-0000060A0000}"/>
    <cellStyle name="20 % - Markeringsfarve1 4 5 5" xfId="7662" xr:uid="{00000000-0005-0000-0000-0000070A0000}"/>
    <cellStyle name="20 % - Markeringsfarve1 4 5 5 2" xfId="15527" xr:uid="{00000000-0005-0000-0000-0000080A0000}"/>
    <cellStyle name="20 % - Markeringsfarve1 4 5 5 2 2" xfId="31803" xr:uid="{00000000-0005-0000-0000-0000090A0000}"/>
    <cellStyle name="20 % - Markeringsfarve1 4 5 5 2 3" xfId="46762" xr:uid="{00000000-0005-0000-0000-00000A0A0000}"/>
    <cellStyle name="20 % - Markeringsfarve1 4 5 5 3" xfId="24801" xr:uid="{00000000-0005-0000-0000-00000B0A0000}"/>
    <cellStyle name="20 % - Markeringsfarve1 4 5 5 4" xfId="39765" xr:uid="{00000000-0005-0000-0000-00000C0A0000}"/>
    <cellStyle name="20 % - Markeringsfarve1 4 5 6" xfId="12523" xr:uid="{00000000-0005-0000-0000-00000D0A0000}"/>
    <cellStyle name="20 % - Markeringsfarve1 4 5 6 2" xfId="28802" xr:uid="{00000000-0005-0000-0000-00000E0A0000}"/>
    <cellStyle name="20 % - Markeringsfarve1 4 5 6 3" xfId="43763" xr:uid="{00000000-0005-0000-0000-00000F0A0000}"/>
    <cellStyle name="20 % - Markeringsfarve1 4 5 7" xfId="21800" xr:uid="{00000000-0005-0000-0000-0000100A0000}"/>
    <cellStyle name="20 % - Markeringsfarve1 4 5 8" xfId="36766" xr:uid="{00000000-0005-0000-0000-0000110A0000}"/>
    <cellStyle name="20 % - Markeringsfarve1 4 6" xfId="4043" xr:uid="{00000000-0005-0000-0000-0000120A0000}"/>
    <cellStyle name="20 % - Markeringsfarve1 4 6 2" xfId="4044" xr:uid="{00000000-0005-0000-0000-0000130A0000}"/>
    <cellStyle name="20 % - Markeringsfarve1 4 6 2 2" xfId="4045" xr:uid="{00000000-0005-0000-0000-0000140A0000}"/>
    <cellStyle name="20 % - Markeringsfarve1 4 6 2 2 2" xfId="10292" xr:uid="{00000000-0005-0000-0000-0000150A0000}"/>
    <cellStyle name="20 % - Markeringsfarve1 4 6 2 2 2 2" xfId="18147" xr:uid="{00000000-0005-0000-0000-0000160A0000}"/>
    <cellStyle name="20 % - Markeringsfarve1 4 6 2 2 2 2 2" xfId="34423" xr:uid="{00000000-0005-0000-0000-0000170A0000}"/>
    <cellStyle name="20 % - Markeringsfarve1 4 6 2 2 2 2 3" xfId="49382" xr:uid="{00000000-0005-0000-0000-0000180A0000}"/>
    <cellStyle name="20 % - Markeringsfarve1 4 6 2 2 2 3" xfId="27421" xr:uid="{00000000-0005-0000-0000-0000190A0000}"/>
    <cellStyle name="20 % - Markeringsfarve1 4 6 2 2 2 4" xfId="42385" xr:uid="{00000000-0005-0000-0000-00001A0A0000}"/>
    <cellStyle name="20 % - Markeringsfarve1 4 6 2 2 3" xfId="12530" xr:uid="{00000000-0005-0000-0000-00001B0A0000}"/>
    <cellStyle name="20 % - Markeringsfarve1 4 6 2 2 3 2" xfId="28809" xr:uid="{00000000-0005-0000-0000-00001C0A0000}"/>
    <cellStyle name="20 % - Markeringsfarve1 4 6 2 2 3 3" xfId="43770" xr:uid="{00000000-0005-0000-0000-00001D0A0000}"/>
    <cellStyle name="20 % - Markeringsfarve1 4 6 2 2 4" xfId="21807" xr:uid="{00000000-0005-0000-0000-00001E0A0000}"/>
    <cellStyle name="20 % - Markeringsfarve1 4 6 2 2 5" xfId="36773" xr:uid="{00000000-0005-0000-0000-00001F0A0000}"/>
    <cellStyle name="20 % - Markeringsfarve1 4 6 2 3" xfId="8804" xr:uid="{00000000-0005-0000-0000-0000200A0000}"/>
    <cellStyle name="20 % - Markeringsfarve1 4 6 2 3 2" xfId="16671" xr:uid="{00000000-0005-0000-0000-0000210A0000}"/>
    <cellStyle name="20 % - Markeringsfarve1 4 6 2 3 2 2" xfId="32947" xr:uid="{00000000-0005-0000-0000-0000220A0000}"/>
    <cellStyle name="20 % - Markeringsfarve1 4 6 2 3 2 3" xfId="47906" xr:uid="{00000000-0005-0000-0000-0000230A0000}"/>
    <cellStyle name="20 % - Markeringsfarve1 4 6 2 3 3" xfId="25945" xr:uid="{00000000-0005-0000-0000-0000240A0000}"/>
    <cellStyle name="20 % - Markeringsfarve1 4 6 2 3 4" xfId="40909" xr:uid="{00000000-0005-0000-0000-0000250A0000}"/>
    <cellStyle name="20 % - Markeringsfarve1 4 6 2 4" xfId="12529" xr:uid="{00000000-0005-0000-0000-0000260A0000}"/>
    <cellStyle name="20 % - Markeringsfarve1 4 6 2 4 2" xfId="28808" xr:uid="{00000000-0005-0000-0000-0000270A0000}"/>
    <cellStyle name="20 % - Markeringsfarve1 4 6 2 4 3" xfId="43769" xr:uid="{00000000-0005-0000-0000-0000280A0000}"/>
    <cellStyle name="20 % - Markeringsfarve1 4 6 2 5" xfId="21806" xr:uid="{00000000-0005-0000-0000-0000290A0000}"/>
    <cellStyle name="20 % - Markeringsfarve1 4 6 2 6" xfId="36772" xr:uid="{00000000-0005-0000-0000-00002A0A0000}"/>
    <cellStyle name="20 % - Markeringsfarve1 4 6 3" xfId="4046" xr:uid="{00000000-0005-0000-0000-00002B0A0000}"/>
    <cellStyle name="20 % - Markeringsfarve1 4 6 3 2" xfId="9570" xr:uid="{00000000-0005-0000-0000-00002C0A0000}"/>
    <cellStyle name="20 % - Markeringsfarve1 4 6 3 2 2" xfId="17433" xr:uid="{00000000-0005-0000-0000-00002D0A0000}"/>
    <cellStyle name="20 % - Markeringsfarve1 4 6 3 2 2 2" xfId="33709" xr:uid="{00000000-0005-0000-0000-00002E0A0000}"/>
    <cellStyle name="20 % - Markeringsfarve1 4 6 3 2 2 3" xfId="48668" xr:uid="{00000000-0005-0000-0000-00002F0A0000}"/>
    <cellStyle name="20 % - Markeringsfarve1 4 6 3 2 3" xfId="26707" xr:uid="{00000000-0005-0000-0000-0000300A0000}"/>
    <cellStyle name="20 % - Markeringsfarve1 4 6 3 2 4" xfId="41671" xr:uid="{00000000-0005-0000-0000-0000310A0000}"/>
    <cellStyle name="20 % - Markeringsfarve1 4 6 3 3" xfId="12531" xr:uid="{00000000-0005-0000-0000-0000320A0000}"/>
    <cellStyle name="20 % - Markeringsfarve1 4 6 3 3 2" xfId="28810" xr:uid="{00000000-0005-0000-0000-0000330A0000}"/>
    <cellStyle name="20 % - Markeringsfarve1 4 6 3 3 3" xfId="43771" xr:uid="{00000000-0005-0000-0000-0000340A0000}"/>
    <cellStyle name="20 % - Markeringsfarve1 4 6 3 4" xfId="21808" xr:uid="{00000000-0005-0000-0000-0000350A0000}"/>
    <cellStyle name="20 % - Markeringsfarve1 4 6 3 5" xfId="36774" xr:uid="{00000000-0005-0000-0000-0000360A0000}"/>
    <cellStyle name="20 % - Markeringsfarve1 4 6 4" xfId="4047" xr:uid="{00000000-0005-0000-0000-0000370A0000}"/>
    <cellStyle name="20 % - Markeringsfarve1 4 6 4 2" xfId="10546" xr:uid="{00000000-0005-0000-0000-0000380A0000}"/>
    <cellStyle name="20 % - Markeringsfarve1 4 6 4 2 2" xfId="18395" xr:uid="{00000000-0005-0000-0000-0000390A0000}"/>
    <cellStyle name="20 % - Markeringsfarve1 4 6 4 2 2 2" xfId="34671" xr:uid="{00000000-0005-0000-0000-00003A0A0000}"/>
    <cellStyle name="20 % - Markeringsfarve1 4 6 4 2 2 3" xfId="49630" xr:uid="{00000000-0005-0000-0000-00003B0A0000}"/>
    <cellStyle name="20 % - Markeringsfarve1 4 6 4 2 3" xfId="27669" xr:uid="{00000000-0005-0000-0000-00003C0A0000}"/>
    <cellStyle name="20 % - Markeringsfarve1 4 6 4 2 4" xfId="42633" xr:uid="{00000000-0005-0000-0000-00003D0A0000}"/>
    <cellStyle name="20 % - Markeringsfarve1 4 6 4 3" xfId="12532" xr:uid="{00000000-0005-0000-0000-00003E0A0000}"/>
    <cellStyle name="20 % - Markeringsfarve1 4 6 4 3 2" xfId="28811" xr:uid="{00000000-0005-0000-0000-00003F0A0000}"/>
    <cellStyle name="20 % - Markeringsfarve1 4 6 4 3 3" xfId="43772" xr:uid="{00000000-0005-0000-0000-0000400A0000}"/>
    <cellStyle name="20 % - Markeringsfarve1 4 6 4 4" xfId="21809" xr:uid="{00000000-0005-0000-0000-0000410A0000}"/>
    <cellStyle name="20 % - Markeringsfarve1 4 6 4 5" xfId="36775" xr:uid="{00000000-0005-0000-0000-0000420A0000}"/>
    <cellStyle name="20 % - Markeringsfarve1 4 6 5" xfId="7663" xr:uid="{00000000-0005-0000-0000-0000430A0000}"/>
    <cellStyle name="20 % - Markeringsfarve1 4 6 5 2" xfId="15528" xr:uid="{00000000-0005-0000-0000-0000440A0000}"/>
    <cellStyle name="20 % - Markeringsfarve1 4 6 5 2 2" xfId="31804" xr:uid="{00000000-0005-0000-0000-0000450A0000}"/>
    <cellStyle name="20 % - Markeringsfarve1 4 6 5 2 3" xfId="46763" xr:uid="{00000000-0005-0000-0000-0000460A0000}"/>
    <cellStyle name="20 % - Markeringsfarve1 4 6 5 3" xfId="24802" xr:uid="{00000000-0005-0000-0000-0000470A0000}"/>
    <cellStyle name="20 % - Markeringsfarve1 4 6 5 4" xfId="39766" xr:uid="{00000000-0005-0000-0000-0000480A0000}"/>
    <cellStyle name="20 % - Markeringsfarve1 4 6 6" xfId="12528" xr:uid="{00000000-0005-0000-0000-0000490A0000}"/>
    <cellStyle name="20 % - Markeringsfarve1 4 6 6 2" xfId="28807" xr:uid="{00000000-0005-0000-0000-00004A0A0000}"/>
    <cellStyle name="20 % - Markeringsfarve1 4 6 6 3" xfId="43768" xr:uid="{00000000-0005-0000-0000-00004B0A0000}"/>
    <cellStyle name="20 % - Markeringsfarve1 4 6 7" xfId="21805" xr:uid="{00000000-0005-0000-0000-00004C0A0000}"/>
    <cellStyle name="20 % - Markeringsfarve1 4 6 8" xfId="36771" xr:uid="{00000000-0005-0000-0000-00004D0A0000}"/>
    <cellStyle name="20 % - Markeringsfarve1 4 7" xfId="4048" xr:uid="{00000000-0005-0000-0000-00004E0A0000}"/>
    <cellStyle name="20 % - Markeringsfarve1 4 7 2" xfId="4049" xr:uid="{00000000-0005-0000-0000-00004F0A0000}"/>
    <cellStyle name="20 % - Markeringsfarve1 4 7 2 2" xfId="9734" xr:uid="{00000000-0005-0000-0000-0000500A0000}"/>
    <cellStyle name="20 % - Markeringsfarve1 4 7 2 2 2" xfId="17588" xr:uid="{00000000-0005-0000-0000-0000510A0000}"/>
    <cellStyle name="20 % - Markeringsfarve1 4 7 2 2 2 2" xfId="33864" xr:uid="{00000000-0005-0000-0000-0000520A0000}"/>
    <cellStyle name="20 % - Markeringsfarve1 4 7 2 2 2 3" xfId="48823" xr:uid="{00000000-0005-0000-0000-0000530A0000}"/>
    <cellStyle name="20 % - Markeringsfarve1 4 7 2 2 3" xfId="26862" xr:uid="{00000000-0005-0000-0000-0000540A0000}"/>
    <cellStyle name="20 % - Markeringsfarve1 4 7 2 2 4" xfId="41826" xr:uid="{00000000-0005-0000-0000-0000550A0000}"/>
    <cellStyle name="20 % - Markeringsfarve1 4 7 2 3" xfId="12534" xr:uid="{00000000-0005-0000-0000-0000560A0000}"/>
    <cellStyle name="20 % - Markeringsfarve1 4 7 2 3 2" xfId="28813" xr:uid="{00000000-0005-0000-0000-0000570A0000}"/>
    <cellStyle name="20 % - Markeringsfarve1 4 7 2 3 3" xfId="43774" xr:uid="{00000000-0005-0000-0000-0000580A0000}"/>
    <cellStyle name="20 % - Markeringsfarve1 4 7 2 4" xfId="21811" xr:uid="{00000000-0005-0000-0000-0000590A0000}"/>
    <cellStyle name="20 % - Markeringsfarve1 4 7 2 5" xfId="36777" xr:uid="{00000000-0005-0000-0000-00005A0A0000}"/>
    <cellStyle name="20 % - Markeringsfarve1 4 7 3" xfId="8331" xr:uid="{00000000-0005-0000-0000-00005B0A0000}"/>
    <cellStyle name="20 % - Markeringsfarve1 4 7 3 2" xfId="16201" xr:uid="{00000000-0005-0000-0000-00005C0A0000}"/>
    <cellStyle name="20 % - Markeringsfarve1 4 7 3 2 2" xfId="32477" xr:uid="{00000000-0005-0000-0000-00005D0A0000}"/>
    <cellStyle name="20 % - Markeringsfarve1 4 7 3 2 3" xfId="47436" xr:uid="{00000000-0005-0000-0000-00005E0A0000}"/>
    <cellStyle name="20 % - Markeringsfarve1 4 7 3 3" xfId="25475" xr:uid="{00000000-0005-0000-0000-00005F0A0000}"/>
    <cellStyle name="20 % - Markeringsfarve1 4 7 3 4" xfId="40439" xr:uid="{00000000-0005-0000-0000-0000600A0000}"/>
    <cellStyle name="20 % - Markeringsfarve1 4 7 4" xfId="12533" xr:uid="{00000000-0005-0000-0000-0000610A0000}"/>
    <cellStyle name="20 % - Markeringsfarve1 4 7 4 2" xfId="28812" xr:uid="{00000000-0005-0000-0000-0000620A0000}"/>
    <cellStyle name="20 % - Markeringsfarve1 4 7 4 3" xfId="43773" xr:uid="{00000000-0005-0000-0000-0000630A0000}"/>
    <cellStyle name="20 % - Markeringsfarve1 4 7 5" xfId="21810" xr:uid="{00000000-0005-0000-0000-0000640A0000}"/>
    <cellStyle name="20 % - Markeringsfarve1 4 7 6" xfId="36776" xr:uid="{00000000-0005-0000-0000-0000650A0000}"/>
    <cellStyle name="20 % - Markeringsfarve1 4 8" xfId="4050" xr:uid="{00000000-0005-0000-0000-0000660A0000}"/>
    <cellStyle name="20 % - Markeringsfarve1 4 8 2" xfId="8962" xr:uid="{00000000-0005-0000-0000-0000670A0000}"/>
    <cellStyle name="20 % - Markeringsfarve1 4 8 2 2" xfId="16826" xr:uid="{00000000-0005-0000-0000-0000680A0000}"/>
    <cellStyle name="20 % - Markeringsfarve1 4 8 2 2 2" xfId="33102" xr:uid="{00000000-0005-0000-0000-0000690A0000}"/>
    <cellStyle name="20 % - Markeringsfarve1 4 8 2 2 3" xfId="48061" xr:uid="{00000000-0005-0000-0000-00006A0A0000}"/>
    <cellStyle name="20 % - Markeringsfarve1 4 8 2 3" xfId="26100" xr:uid="{00000000-0005-0000-0000-00006B0A0000}"/>
    <cellStyle name="20 % - Markeringsfarve1 4 8 2 4" xfId="41064" xr:uid="{00000000-0005-0000-0000-00006C0A0000}"/>
    <cellStyle name="20 % - Markeringsfarve1 4 8 3" xfId="12535" xr:uid="{00000000-0005-0000-0000-00006D0A0000}"/>
    <cellStyle name="20 % - Markeringsfarve1 4 8 3 2" xfId="28814" xr:uid="{00000000-0005-0000-0000-00006E0A0000}"/>
    <cellStyle name="20 % - Markeringsfarve1 4 8 3 3" xfId="43775" xr:uid="{00000000-0005-0000-0000-00006F0A0000}"/>
    <cellStyle name="20 % - Markeringsfarve1 4 8 4" xfId="21812" xr:uid="{00000000-0005-0000-0000-0000700A0000}"/>
    <cellStyle name="20 % - Markeringsfarve1 4 8 5" xfId="36778" xr:uid="{00000000-0005-0000-0000-0000710A0000}"/>
    <cellStyle name="20 % - Markeringsfarve1 4 9" xfId="4051" xr:uid="{00000000-0005-0000-0000-0000720A0000}"/>
    <cellStyle name="20 % - Markeringsfarve1 4 9 2" xfId="10551" xr:uid="{00000000-0005-0000-0000-0000730A0000}"/>
    <cellStyle name="20 % - Markeringsfarve1 4 9 2 2" xfId="18400" xr:uid="{00000000-0005-0000-0000-0000740A0000}"/>
    <cellStyle name="20 % - Markeringsfarve1 4 9 2 2 2" xfId="34676" xr:uid="{00000000-0005-0000-0000-0000750A0000}"/>
    <cellStyle name="20 % - Markeringsfarve1 4 9 2 2 3" xfId="49635" xr:uid="{00000000-0005-0000-0000-0000760A0000}"/>
    <cellStyle name="20 % - Markeringsfarve1 4 9 2 3" xfId="27674" xr:uid="{00000000-0005-0000-0000-0000770A0000}"/>
    <cellStyle name="20 % - Markeringsfarve1 4 9 2 4" xfId="42638" xr:uid="{00000000-0005-0000-0000-0000780A0000}"/>
    <cellStyle name="20 % - Markeringsfarve1 4 9 3" xfId="12536" xr:uid="{00000000-0005-0000-0000-0000790A0000}"/>
    <cellStyle name="20 % - Markeringsfarve1 4 9 3 2" xfId="28815" xr:uid="{00000000-0005-0000-0000-00007A0A0000}"/>
    <cellStyle name="20 % - Markeringsfarve1 4 9 3 3" xfId="43776" xr:uid="{00000000-0005-0000-0000-00007B0A0000}"/>
    <cellStyle name="20 % - Markeringsfarve1 4 9 4" xfId="21813" xr:uid="{00000000-0005-0000-0000-00007C0A0000}"/>
    <cellStyle name="20 % - Markeringsfarve1 4 9 5" xfId="36779" xr:uid="{00000000-0005-0000-0000-00007D0A0000}"/>
    <cellStyle name="20 % - Markeringsfarve1 5" xfId="4052" xr:uid="{00000000-0005-0000-0000-00007E0A0000}"/>
    <cellStyle name="20 % - Markeringsfarve1 5 10" xfId="7664" xr:uid="{00000000-0005-0000-0000-00007F0A0000}"/>
    <cellStyle name="20 % - Markeringsfarve1 5 10 2" xfId="15529" xr:uid="{00000000-0005-0000-0000-0000800A0000}"/>
    <cellStyle name="20 % - Markeringsfarve1 5 10 2 2" xfId="31805" xr:uid="{00000000-0005-0000-0000-0000810A0000}"/>
    <cellStyle name="20 % - Markeringsfarve1 5 10 2 3" xfId="46764" xr:uid="{00000000-0005-0000-0000-0000820A0000}"/>
    <cellStyle name="20 % - Markeringsfarve1 5 10 3" xfId="24803" xr:uid="{00000000-0005-0000-0000-0000830A0000}"/>
    <cellStyle name="20 % - Markeringsfarve1 5 10 4" xfId="39767" xr:uid="{00000000-0005-0000-0000-0000840A0000}"/>
    <cellStyle name="20 % - Markeringsfarve1 5 11" xfId="12537" xr:uid="{00000000-0005-0000-0000-0000850A0000}"/>
    <cellStyle name="20 % - Markeringsfarve1 5 11 2" xfId="28816" xr:uid="{00000000-0005-0000-0000-0000860A0000}"/>
    <cellStyle name="20 % - Markeringsfarve1 5 11 3" xfId="43777" xr:uid="{00000000-0005-0000-0000-0000870A0000}"/>
    <cellStyle name="20 % - Markeringsfarve1 5 12" xfId="21814" xr:uid="{00000000-0005-0000-0000-0000880A0000}"/>
    <cellStyle name="20 % - Markeringsfarve1 5 13" xfId="36780" xr:uid="{00000000-0005-0000-0000-0000890A0000}"/>
    <cellStyle name="20 % - Markeringsfarve1 5 2" xfId="4053" xr:uid="{00000000-0005-0000-0000-00008A0A0000}"/>
    <cellStyle name="20 % - Markeringsfarve1 5 2 2" xfId="4054" xr:uid="{00000000-0005-0000-0000-00008B0A0000}"/>
    <cellStyle name="20 % - Markeringsfarve1 5 2 2 2" xfId="4055" xr:uid="{00000000-0005-0000-0000-00008C0A0000}"/>
    <cellStyle name="20 % - Markeringsfarve1 5 2 2 2 2" xfId="9891" xr:uid="{00000000-0005-0000-0000-00008D0A0000}"/>
    <cellStyle name="20 % - Markeringsfarve1 5 2 2 2 2 2" xfId="17746" xr:uid="{00000000-0005-0000-0000-00008E0A0000}"/>
    <cellStyle name="20 % - Markeringsfarve1 5 2 2 2 2 2 2" xfId="34022" xr:uid="{00000000-0005-0000-0000-00008F0A0000}"/>
    <cellStyle name="20 % - Markeringsfarve1 5 2 2 2 2 2 3" xfId="48981" xr:uid="{00000000-0005-0000-0000-0000900A0000}"/>
    <cellStyle name="20 % - Markeringsfarve1 5 2 2 2 2 3" xfId="27020" xr:uid="{00000000-0005-0000-0000-0000910A0000}"/>
    <cellStyle name="20 % - Markeringsfarve1 5 2 2 2 2 4" xfId="41984" xr:uid="{00000000-0005-0000-0000-0000920A0000}"/>
    <cellStyle name="20 % - Markeringsfarve1 5 2 2 2 3" xfId="12540" xr:uid="{00000000-0005-0000-0000-0000930A0000}"/>
    <cellStyle name="20 % - Markeringsfarve1 5 2 2 2 3 2" xfId="28819" xr:uid="{00000000-0005-0000-0000-0000940A0000}"/>
    <cellStyle name="20 % - Markeringsfarve1 5 2 2 2 3 3" xfId="43780" xr:uid="{00000000-0005-0000-0000-0000950A0000}"/>
    <cellStyle name="20 % - Markeringsfarve1 5 2 2 2 4" xfId="21817" xr:uid="{00000000-0005-0000-0000-0000960A0000}"/>
    <cellStyle name="20 % - Markeringsfarve1 5 2 2 2 5" xfId="36783" xr:uid="{00000000-0005-0000-0000-0000970A0000}"/>
    <cellStyle name="20 % - Markeringsfarve1 5 2 2 3" xfId="8463" xr:uid="{00000000-0005-0000-0000-0000980A0000}"/>
    <cellStyle name="20 % - Markeringsfarve1 5 2 2 3 2" xfId="16333" xr:uid="{00000000-0005-0000-0000-0000990A0000}"/>
    <cellStyle name="20 % - Markeringsfarve1 5 2 2 3 2 2" xfId="32609" xr:uid="{00000000-0005-0000-0000-00009A0A0000}"/>
    <cellStyle name="20 % - Markeringsfarve1 5 2 2 3 2 3" xfId="47568" xr:uid="{00000000-0005-0000-0000-00009B0A0000}"/>
    <cellStyle name="20 % - Markeringsfarve1 5 2 2 3 3" xfId="25607" xr:uid="{00000000-0005-0000-0000-00009C0A0000}"/>
    <cellStyle name="20 % - Markeringsfarve1 5 2 2 3 4" xfId="40571" xr:uid="{00000000-0005-0000-0000-00009D0A0000}"/>
    <cellStyle name="20 % - Markeringsfarve1 5 2 2 4" xfId="12539" xr:uid="{00000000-0005-0000-0000-00009E0A0000}"/>
    <cellStyle name="20 % - Markeringsfarve1 5 2 2 4 2" xfId="28818" xr:uid="{00000000-0005-0000-0000-00009F0A0000}"/>
    <cellStyle name="20 % - Markeringsfarve1 5 2 2 4 3" xfId="43779" xr:uid="{00000000-0005-0000-0000-0000A00A0000}"/>
    <cellStyle name="20 % - Markeringsfarve1 5 2 2 5" xfId="21816" xr:uid="{00000000-0005-0000-0000-0000A10A0000}"/>
    <cellStyle name="20 % - Markeringsfarve1 5 2 2 6" xfId="36782" xr:uid="{00000000-0005-0000-0000-0000A20A0000}"/>
    <cellStyle name="20 % - Markeringsfarve1 5 2 3" xfId="4056" xr:uid="{00000000-0005-0000-0000-0000A30A0000}"/>
    <cellStyle name="20 % - Markeringsfarve1 5 2 3 2" xfId="9122" xr:uid="{00000000-0005-0000-0000-0000A40A0000}"/>
    <cellStyle name="20 % - Markeringsfarve1 5 2 3 2 2" xfId="16986" xr:uid="{00000000-0005-0000-0000-0000A50A0000}"/>
    <cellStyle name="20 % - Markeringsfarve1 5 2 3 2 2 2" xfId="33262" xr:uid="{00000000-0005-0000-0000-0000A60A0000}"/>
    <cellStyle name="20 % - Markeringsfarve1 5 2 3 2 2 3" xfId="48221" xr:uid="{00000000-0005-0000-0000-0000A70A0000}"/>
    <cellStyle name="20 % - Markeringsfarve1 5 2 3 2 3" xfId="26260" xr:uid="{00000000-0005-0000-0000-0000A80A0000}"/>
    <cellStyle name="20 % - Markeringsfarve1 5 2 3 2 4" xfId="41224" xr:uid="{00000000-0005-0000-0000-0000A90A0000}"/>
    <cellStyle name="20 % - Markeringsfarve1 5 2 3 3" xfId="12541" xr:uid="{00000000-0005-0000-0000-0000AA0A0000}"/>
    <cellStyle name="20 % - Markeringsfarve1 5 2 3 3 2" xfId="28820" xr:uid="{00000000-0005-0000-0000-0000AB0A0000}"/>
    <cellStyle name="20 % - Markeringsfarve1 5 2 3 3 3" xfId="43781" xr:uid="{00000000-0005-0000-0000-0000AC0A0000}"/>
    <cellStyle name="20 % - Markeringsfarve1 5 2 3 4" xfId="21818" xr:uid="{00000000-0005-0000-0000-0000AD0A0000}"/>
    <cellStyle name="20 % - Markeringsfarve1 5 2 3 5" xfId="36784" xr:uid="{00000000-0005-0000-0000-0000AE0A0000}"/>
    <cellStyle name="20 % - Markeringsfarve1 5 2 4" xfId="4057" xr:uid="{00000000-0005-0000-0000-0000AF0A0000}"/>
    <cellStyle name="20 % - Markeringsfarve1 5 2 4 2" xfId="10544" xr:uid="{00000000-0005-0000-0000-0000B00A0000}"/>
    <cellStyle name="20 % - Markeringsfarve1 5 2 4 2 2" xfId="18393" xr:uid="{00000000-0005-0000-0000-0000B10A0000}"/>
    <cellStyle name="20 % - Markeringsfarve1 5 2 4 2 2 2" xfId="34669" xr:uid="{00000000-0005-0000-0000-0000B20A0000}"/>
    <cellStyle name="20 % - Markeringsfarve1 5 2 4 2 2 3" xfId="49628" xr:uid="{00000000-0005-0000-0000-0000B30A0000}"/>
    <cellStyle name="20 % - Markeringsfarve1 5 2 4 2 3" xfId="27667" xr:uid="{00000000-0005-0000-0000-0000B40A0000}"/>
    <cellStyle name="20 % - Markeringsfarve1 5 2 4 2 4" xfId="42631" xr:uid="{00000000-0005-0000-0000-0000B50A0000}"/>
    <cellStyle name="20 % - Markeringsfarve1 5 2 4 3" xfId="12542" xr:uid="{00000000-0005-0000-0000-0000B60A0000}"/>
    <cellStyle name="20 % - Markeringsfarve1 5 2 4 3 2" xfId="28821" xr:uid="{00000000-0005-0000-0000-0000B70A0000}"/>
    <cellStyle name="20 % - Markeringsfarve1 5 2 4 3 3" xfId="43782" xr:uid="{00000000-0005-0000-0000-0000B80A0000}"/>
    <cellStyle name="20 % - Markeringsfarve1 5 2 4 4" xfId="21819" xr:uid="{00000000-0005-0000-0000-0000B90A0000}"/>
    <cellStyle name="20 % - Markeringsfarve1 5 2 4 5" xfId="36785" xr:uid="{00000000-0005-0000-0000-0000BA0A0000}"/>
    <cellStyle name="20 % - Markeringsfarve1 5 2 5" xfId="7665" xr:uid="{00000000-0005-0000-0000-0000BB0A0000}"/>
    <cellStyle name="20 % - Markeringsfarve1 5 2 5 2" xfId="15530" xr:uid="{00000000-0005-0000-0000-0000BC0A0000}"/>
    <cellStyle name="20 % - Markeringsfarve1 5 2 5 2 2" xfId="31806" xr:uid="{00000000-0005-0000-0000-0000BD0A0000}"/>
    <cellStyle name="20 % - Markeringsfarve1 5 2 5 2 3" xfId="46765" xr:uid="{00000000-0005-0000-0000-0000BE0A0000}"/>
    <cellStyle name="20 % - Markeringsfarve1 5 2 5 3" xfId="24804" xr:uid="{00000000-0005-0000-0000-0000BF0A0000}"/>
    <cellStyle name="20 % - Markeringsfarve1 5 2 5 4" xfId="39768" xr:uid="{00000000-0005-0000-0000-0000C00A0000}"/>
    <cellStyle name="20 % - Markeringsfarve1 5 2 6" xfId="12538" xr:uid="{00000000-0005-0000-0000-0000C10A0000}"/>
    <cellStyle name="20 % - Markeringsfarve1 5 2 6 2" xfId="28817" xr:uid="{00000000-0005-0000-0000-0000C20A0000}"/>
    <cellStyle name="20 % - Markeringsfarve1 5 2 6 3" xfId="43778" xr:uid="{00000000-0005-0000-0000-0000C30A0000}"/>
    <cellStyle name="20 % - Markeringsfarve1 5 2 7" xfId="21815" xr:uid="{00000000-0005-0000-0000-0000C40A0000}"/>
    <cellStyle name="20 % - Markeringsfarve1 5 2 8" xfId="36781" xr:uid="{00000000-0005-0000-0000-0000C50A0000}"/>
    <cellStyle name="20 % - Markeringsfarve1 5 3" xfId="4058" xr:uid="{00000000-0005-0000-0000-0000C60A0000}"/>
    <cellStyle name="20 % - Markeringsfarve1 5 3 2" xfId="4059" xr:uid="{00000000-0005-0000-0000-0000C70A0000}"/>
    <cellStyle name="20 % - Markeringsfarve1 5 3 2 2" xfId="4060" xr:uid="{00000000-0005-0000-0000-0000C80A0000}"/>
    <cellStyle name="20 % - Markeringsfarve1 5 3 2 2 2" xfId="9938" xr:uid="{00000000-0005-0000-0000-0000C90A0000}"/>
    <cellStyle name="20 % - Markeringsfarve1 5 3 2 2 2 2" xfId="17793" xr:uid="{00000000-0005-0000-0000-0000CA0A0000}"/>
    <cellStyle name="20 % - Markeringsfarve1 5 3 2 2 2 2 2" xfId="34069" xr:uid="{00000000-0005-0000-0000-0000CB0A0000}"/>
    <cellStyle name="20 % - Markeringsfarve1 5 3 2 2 2 2 3" xfId="49028" xr:uid="{00000000-0005-0000-0000-0000CC0A0000}"/>
    <cellStyle name="20 % - Markeringsfarve1 5 3 2 2 2 3" xfId="27067" xr:uid="{00000000-0005-0000-0000-0000CD0A0000}"/>
    <cellStyle name="20 % - Markeringsfarve1 5 3 2 2 2 4" xfId="42031" xr:uid="{00000000-0005-0000-0000-0000CE0A0000}"/>
    <cellStyle name="20 % - Markeringsfarve1 5 3 2 2 3" xfId="12545" xr:uid="{00000000-0005-0000-0000-0000CF0A0000}"/>
    <cellStyle name="20 % - Markeringsfarve1 5 3 2 2 3 2" xfId="28824" xr:uid="{00000000-0005-0000-0000-0000D00A0000}"/>
    <cellStyle name="20 % - Markeringsfarve1 5 3 2 2 3 3" xfId="43785" xr:uid="{00000000-0005-0000-0000-0000D10A0000}"/>
    <cellStyle name="20 % - Markeringsfarve1 5 3 2 2 4" xfId="21822" xr:uid="{00000000-0005-0000-0000-0000D20A0000}"/>
    <cellStyle name="20 % - Markeringsfarve1 5 3 2 2 5" xfId="36788" xr:uid="{00000000-0005-0000-0000-0000D30A0000}"/>
    <cellStyle name="20 % - Markeringsfarve1 5 3 2 3" xfId="8503" xr:uid="{00000000-0005-0000-0000-0000D40A0000}"/>
    <cellStyle name="20 % - Markeringsfarve1 5 3 2 3 2" xfId="16373" xr:uid="{00000000-0005-0000-0000-0000D50A0000}"/>
    <cellStyle name="20 % - Markeringsfarve1 5 3 2 3 2 2" xfId="32649" xr:uid="{00000000-0005-0000-0000-0000D60A0000}"/>
    <cellStyle name="20 % - Markeringsfarve1 5 3 2 3 2 3" xfId="47608" xr:uid="{00000000-0005-0000-0000-0000D70A0000}"/>
    <cellStyle name="20 % - Markeringsfarve1 5 3 2 3 3" xfId="25647" xr:uid="{00000000-0005-0000-0000-0000D80A0000}"/>
    <cellStyle name="20 % - Markeringsfarve1 5 3 2 3 4" xfId="40611" xr:uid="{00000000-0005-0000-0000-0000D90A0000}"/>
    <cellStyle name="20 % - Markeringsfarve1 5 3 2 4" xfId="12544" xr:uid="{00000000-0005-0000-0000-0000DA0A0000}"/>
    <cellStyle name="20 % - Markeringsfarve1 5 3 2 4 2" xfId="28823" xr:uid="{00000000-0005-0000-0000-0000DB0A0000}"/>
    <cellStyle name="20 % - Markeringsfarve1 5 3 2 4 3" xfId="43784" xr:uid="{00000000-0005-0000-0000-0000DC0A0000}"/>
    <cellStyle name="20 % - Markeringsfarve1 5 3 2 5" xfId="21821" xr:uid="{00000000-0005-0000-0000-0000DD0A0000}"/>
    <cellStyle name="20 % - Markeringsfarve1 5 3 2 6" xfId="36787" xr:uid="{00000000-0005-0000-0000-0000DE0A0000}"/>
    <cellStyle name="20 % - Markeringsfarve1 5 3 3" xfId="4061" xr:uid="{00000000-0005-0000-0000-0000DF0A0000}"/>
    <cellStyle name="20 % - Markeringsfarve1 5 3 3 2" xfId="9169" xr:uid="{00000000-0005-0000-0000-0000E00A0000}"/>
    <cellStyle name="20 % - Markeringsfarve1 5 3 3 2 2" xfId="17033" xr:uid="{00000000-0005-0000-0000-0000E10A0000}"/>
    <cellStyle name="20 % - Markeringsfarve1 5 3 3 2 2 2" xfId="33309" xr:uid="{00000000-0005-0000-0000-0000E20A0000}"/>
    <cellStyle name="20 % - Markeringsfarve1 5 3 3 2 2 3" xfId="48268" xr:uid="{00000000-0005-0000-0000-0000E30A0000}"/>
    <cellStyle name="20 % - Markeringsfarve1 5 3 3 2 3" xfId="26307" xr:uid="{00000000-0005-0000-0000-0000E40A0000}"/>
    <cellStyle name="20 % - Markeringsfarve1 5 3 3 2 4" xfId="41271" xr:uid="{00000000-0005-0000-0000-0000E50A0000}"/>
    <cellStyle name="20 % - Markeringsfarve1 5 3 3 3" xfId="12546" xr:uid="{00000000-0005-0000-0000-0000E60A0000}"/>
    <cellStyle name="20 % - Markeringsfarve1 5 3 3 3 2" xfId="28825" xr:uid="{00000000-0005-0000-0000-0000E70A0000}"/>
    <cellStyle name="20 % - Markeringsfarve1 5 3 3 3 3" xfId="43786" xr:uid="{00000000-0005-0000-0000-0000E80A0000}"/>
    <cellStyle name="20 % - Markeringsfarve1 5 3 3 4" xfId="21823" xr:uid="{00000000-0005-0000-0000-0000E90A0000}"/>
    <cellStyle name="20 % - Markeringsfarve1 5 3 3 5" xfId="36789" xr:uid="{00000000-0005-0000-0000-0000EA0A0000}"/>
    <cellStyle name="20 % - Markeringsfarve1 5 3 4" xfId="4062" xr:uid="{00000000-0005-0000-0000-0000EB0A0000}"/>
    <cellStyle name="20 % - Markeringsfarve1 5 3 4 2" xfId="10543" xr:uid="{00000000-0005-0000-0000-0000EC0A0000}"/>
    <cellStyle name="20 % - Markeringsfarve1 5 3 4 2 2" xfId="18392" xr:uid="{00000000-0005-0000-0000-0000ED0A0000}"/>
    <cellStyle name="20 % - Markeringsfarve1 5 3 4 2 2 2" xfId="34668" xr:uid="{00000000-0005-0000-0000-0000EE0A0000}"/>
    <cellStyle name="20 % - Markeringsfarve1 5 3 4 2 2 3" xfId="49627" xr:uid="{00000000-0005-0000-0000-0000EF0A0000}"/>
    <cellStyle name="20 % - Markeringsfarve1 5 3 4 2 3" xfId="27666" xr:uid="{00000000-0005-0000-0000-0000F00A0000}"/>
    <cellStyle name="20 % - Markeringsfarve1 5 3 4 2 4" xfId="42630" xr:uid="{00000000-0005-0000-0000-0000F10A0000}"/>
    <cellStyle name="20 % - Markeringsfarve1 5 3 4 3" xfId="12547" xr:uid="{00000000-0005-0000-0000-0000F20A0000}"/>
    <cellStyle name="20 % - Markeringsfarve1 5 3 4 3 2" xfId="28826" xr:uid="{00000000-0005-0000-0000-0000F30A0000}"/>
    <cellStyle name="20 % - Markeringsfarve1 5 3 4 3 3" xfId="43787" xr:uid="{00000000-0005-0000-0000-0000F40A0000}"/>
    <cellStyle name="20 % - Markeringsfarve1 5 3 4 4" xfId="21824" xr:uid="{00000000-0005-0000-0000-0000F50A0000}"/>
    <cellStyle name="20 % - Markeringsfarve1 5 3 4 5" xfId="36790" xr:uid="{00000000-0005-0000-0000-0000F60A0000}"/>
    <cellStyle name="20 % - Markeringsfarve1 5 3 5" xfId="7666" xr:uid="{00000000-0005-0000-0000-0000F70A0000}"/>
    <cellStyle name="20 % - Markeringsfarve1 5 3 5 2" xfId="15531" xr:uid="{00000000-0005-0000-0000-0000F80A0000}"/>
    <cellStyle name="20 % - Markeringsfarve1 5 3 5 2 2" xfId="31807" xr:uid="{00000000-0005-0000-0000-0000F90A0000}"/>
    <cellStyle name="20 % - Markeringsfarve1 5 3 5 2 3" xfId="46766" xr:uid="{00000000-0005-0000-0000-0000FA0A0000}"/>
    <cellStyle name="20 % - Markeringsfarve1 5 3 5 3" xfId="24805" xr:uid="{00000000-0005-0000-0000-0000FB0A0000}"/>
    <cellStyle name="20 % - Markeringsfarve1 5 3 5 4" xfId="39769" xr:uid="{00000000-0005-0000-0000-0000FC0A0000}"/>
    <cellStyle name="20 % - Markeringsfarve1 5 3 6" xfId="12543" xr:uid="{00000000-0005-0000-0000-0000FD0A0000}"/>
    <cellStyle name="20 % - Markeringsfarve1 5 3 6 2" xfId="28822" xr:uid="{00000000-0005-0000-0000-0000FE0A0000}"/>
    <cellStyle name="20 % - Markeringsfarve1 5 3 6 3" xfId="43783" xr:uid="{00000000-0005-0000-0000-0000FF0A0000}"/>
    <cellStyle name="20 % - Markeringsfarve1 5 3 7" xfId="21820" xr:uid="{00000000-0005-0000-0000-0000000B0000}"/>
    <cellStyle name="20 % - Markeringsfarve1 5 3 8" xfId="36786" xr:uid="{00000000-0005-0000-0000-0000010B0000}"/>
    <cellStyle name="20 % - Markeringsfarve1 5 4" xfId="4063" xr:uid="{00000000-0005-0000-0000-0000020B0000}"/>
    <cellStyle name="20 % - Markeringsfarve1 5 4 2" xfId="4064" xr:uid="{00000000-0005-0000-0000-0000030B0000}"/>
    <cellStyle name="20 % - Markeringsfarve1 5 4 2 2" xfId="4065" xr:uid="{00000000-0005-0000-0000-0000040B0000}"/>
    <cellStyle name="20 % - Markeringsfarve1 5 4 2 2 2" xfId="10129" xr:uid="{00000000-0005-0000-0000-0000050B0000}"/>
    <cellStyle name="20 % - Markeringsfarve1 5 4 2 2 2 2" xfId="17984" xr:uid="{00000000-0005-0000-0000-0000060B0000}"/>
    <cellStyle name="20 % - Markeringsfarve1 5 4 2 2 2 2 2" xfId="34260" xr:uid="{00000000-0005-0000-0000-0000070B0000}"/>
    <cellStyle name="20 % - Markeringsfarve1 5 4 2 2 2 2 3" xfId="49219" xr:uid="{00000000-0005-0000-0000-0000080B0000}"/>
    <cellStyle name="20 % - Markeringsfarve1 5 4 2 2 2 3" xfId="27258" xr:uid="{00000000-0005-0000-0000-0000090B0000}"/>
    <cellStyle name="20 % - Markeringsfarve1 5 4 2 2 2 4" xfId="42222" xr:uid="{00000000-0005-0000-0000-00000A0B0000}"/>
    <cellStyle name="20 % - Markeringsfarve1 5 4 2 2 3" xfId="12550" xr:uid="{00000000-0005-0000-0000-00000B0B0000}"/>
    <cellStyle name="20 % - Markeringsfarve1 5 4 2 2 3 2" xfId="28829" xr:uid="{00000000-0005-0000-0000-00000C0B0000}"/>
    <cellStyle name="20 % - Markeringsfarve1 5 4 2 2 3 3" xfId="43790" xr:uid="{00000000-0005-0000-0000-00000D0B0000}"/>
    <cellStyle name="20 % - Markeringsfarve1 5 4 2 2 4" xfId="21827" xr:uid="{00000000-0005-0000-0000-00000E0B0000}"/>
    <cellStyle name="20 % - Markeringsfarve1 5 4 2 2 5" xfId="36793" xr:uid="{00000000-0005-0000-0000-00000F0B0000}"/>
    <cellStyle name="20 % - Markeringsfarve1 5 4 2 3" xfId="8665" xr:uid="{00000000-0005-0000-0000-0000100B0000}"/>
    <cellStyle name="20 % - Markeringsfarve1 5 4 2 3 2" xfId="16532" xr:uid="{00000000-0005-0000-0000-0000110B0000}"/>
    <cellStyle name="20 % - Markeringsfarve1 5 4 2 3 2 2" xfId="32808" xr:uid="{00000000-0005-0000-0000-0000120B0000}"/>
    <cellStyle name="20 % - Markeringsfarve1 5 4 2 3 2 3" xfId="47767" xr:uid="{00000000-0005-0000-0000-0000130B0000}"/>
    <cellStyle name="20 % - Markeringsfarve1 5 4 2 3 3" xfId="25806" xr:uid="{00000000-0005-0000-0000-0000140B0000}"/>
    <cellStyle name="20 % - Markeringsfarve1 5 4 2 3 4" xfId="40770" xr:uid="{00000000-0005-0000-0000-0000150B0000}"/>
    <cellStyle name="20 % - Markeringsfarve1 5 4 2 4" xfId="12549" xr:uid="{00000000-0005-0000-0000-0000160B0000}"/>
    <cellStyle name="20 % - Markeringsfarve1 5 4 2 4 2" xfId="28828" xr:uid="{00000000-0005-0000-0000-0000170B0000}"/>
    <cellStyle name="20 % - Markeringsfarve1 5 4 2 4 3" xfId="43789" xr:uid="{00000000-0005-0000-0000-0000180B0000}"/>
    <cellStyle name="20 % - Markeringsfarve1 5 4 2 5" xfId="21826" xr:uid="{00000000-0005-0000-0000-0000190B0000}"/>
    <cellStyle name="20 % - Markeringsfarve1 5 4 2 6" xfId="36792" xr:uid="{00000000-0005-0000-0000-00001A0B0000}"/>
    <cellStyle name="20 % - Markeringsfarve1 5 4 3" xfId="4066" xr:uid="{00000000-0005-0000-0000-00001B0B0000}"/>
    <cellStyle name="20 % - Markeringsfarve1 5 4 3 2" xfId="9406" xr:uid="{00000000-0005-0000-0000-00001C0B0000}"/>
    <cellStyle name="20 % - Markeringsfarve1 5 4 3 2 2" xfId="17269" xr:uid="{00000000-0005-0000-0000-00001D0B0000}"/>
    <cellStyle name="20 % - Markeringsfarve1 5 4 3 2 2 2" xfId="33545" xr:uid="{00000000-0005-0000-0000-00001E0B0000}"/>
    <cellStyle name="20 % - Markeringsfarve1 5 4 3 2 2 3" xfId="48504" xr:uid="{00000000-0005-0000-0000-00001F0B0000}"/>
    <cellStyle name="20 % - Markeringsfarve1 5 4 3 2 3" xfId="26543" xr:uid="{00000000-0005-0000-0000-0000200B0000}"/>
    <cellStyle name="20 % - Markeringsfarve1 5 4 3 2 4" xfId="41507" xr:uid="{00000000-0005-0000-0000-0000210B0000}"/>
    <cellStyle name="20 % - Markeringsfarve1 5 4 3 3" xfId="12551" xr:uid="{00000000-0005-0000-0000-0000220B0000}"/>
    <cellStyle name="20 % - Markeringsfarve1 5 4 3 3 2" xfId="28830" xr:uid="{00000000-0005-0000-0000-0000230B0000}"/>
    <cellStyle name="20 % - Markeringsfarve1 5 4 3 3 3" xfId="43791" xr:uid="{00000000-0005-0000-0000-0000240B0000}"/>
    <cellStyle name="20 % - Markeringsfarve1 5 4 3 4" xfId="21828" xr:uid="{00000000-0005-0000-0000-0000250B0000}"/>
    <cellStyle name="20 % - Markeringsfarve1 5 4 3 5" xfId="36794" xr:uid="{00000000-0005-0000-0000-0000260B0000}"/>
    <cellStyle name="20 % - Markeringsfarve1 5 4 4" xfId="4067" xr:uid="{00000000-0005-0000-0000-0000270B0000}"/>
    <cellStyle name="20 % - Markeringsfarve1 5 4 4 2" xfId="10542" xr:uid="{00000000-0005-0000-0000-0000280B0000}"/>
    <cellStyle name="20 % - Markeringsfarve1 5 4 4 2 2" xfId="18391" xr:uid="{00000000-0005-0000-0000-0000290B0000}"/>
    <cellStyle name="20 % - Markeringsfarve1 5 4 4 2 2 2" xfId="34667" xr:uid="{00000000-0005-0000-0000-00002A0B0000}"/>
    <cellStyle name="20 % - Markeringsfarve1 5 4 4 2 2 3" xfId="49626" xr:uid="{00000000-0005-0000-0000-00002B0B0000}"/>
    <cellStyle name="20 % - Markeringsfarve1 5 4 4 2 3" xfId="27665" xr:uid="{00000000-0005-0000-0000-00002C0B0000}"/>
    <cellStyle name="20 % - Markeringsfarve1 5 4 4 2 4" xfId="42629" xr:uid="{00000000-0005-0000-0000-00002D0B0000}"/>
    <cellStyle name="20 % - Markeringsfarve1 5 4 4 3" xfId="12552" xr:uid="{00000000-0005-0000-0000-00002E0B0000}"/>
    <cellStyle name="20 % - Markeringsfarve1 5 4 4 3 2" xfId="28831" xr:uid="{00000000-0005-0000-0000-00002F0B0000}"/>
    <cellStyle name="20 % - Markeringsfarve1 5 4 4 3 3" xfId="43792" xr:uid="{00000000-0005-0000-0000-0000300B0000}"/>
    <cellStyle name="20 % - Markeringsfarve1 5 4 4 4" xfId="21829" xr:uid="{00000000-0005-0000-0000-0000310B0000}"/>
    <cellStyle name="20 % - Markeringsfarve1 5 4 4 5" xfId="36795" xr:uid="{00000000-0005-0000-0000-0000320B0000}"/>
    <cellStyle name="20 % - Markeringsfarve1 5 4 5" xfId="7667" xr:uid="{00000000-0005-0000-0000-0000330B0000}"/>
    <cellStyle name="20 % - Markeringsfarve1 5 4 5 2" xfId="15532" xr:uid="{00000000-0005-0000-0000-0000340B0000}"/>
    <cellStyle name="20 % - Markeringsfarve1 5 4 5 2 2" xfId="31808" xr:uid="{00000000-0005-0000-0000-0000350B0000}"/>
    <cellStyle name="20 % - Markeringsfarve1 5 4 5 2 3" xfId="46767" xr:uid="{00000000-0005-0000-0000-0000360B0000}"/>
    <cellStyle name="20 % - Markeringsfarve1 5 4 5 3" xfId="24806" xr:uid="{00000000-0005-0000-0000-0000370B0000}"/>
    <cellStyle name="20 % - Markeringsfarve1 5 4 5 4" xfId="39770" xr:uid="{00000000-0005-0000-0000-0000380B0000}"/>
    <cellStyle name="20 % - Markeringsfarve1 5 4 6" xfId="12548" xr:uid="{00000000-0005-0000-0000-0000390B0000}"/>
    <cellStyle name="20 % - Markeringsfarve1 5 4 6 2" xfId="28827" xr:uid="{00000000-0005-0000-0000-00003A0B0000}"/>
    <cellStyle name="20 % - Markeringsfarve1 5 4 6 3" xfId="43788" xr:uid="{00000000-0005-0000-0000-00003B0B0000}"/>
    <cellStyle name="20 % - Markeringsfarve1 5 4 7" xfId="21825" xr:uid="{00000000-0005-0000-0000-00003C0B0000}"/>
    <cellStyle name="20 % - Markeringsfarve1 5 4 8" xfId="36791" xr:uid="{00000000-0005-0000-0000-00003D0B0000}"/>
    <cellStyle name="20 % - Markeringsfarve1 5 5" xfId="4068" xr:uid="{00000000-0005-0000-0000-00003E0B0000}"/>
    <cellStyle name="20 % - Markeringsfarve1 5 5 2" xfId="4069" xr:uid="{00000000-0005-0000-0000-00003F0B0000}"/>
    <cellStyle name="20 % - Markeringsfarve1 5 5 2 2" xfId="4070" xr:uid="{00000000-0005-0000-0000-0000400B0000}"/>
    <cellStyle name="20 % - Markeringsfarve1 5 5 2 2 2" xfId="10246" xr:uid="{00000000-0005-0000-0000-0000410B0000}"/>
    <cellStyle name="20 % - Markeringsfarve1 5 5 2 2 2 2" xfId="18101" xr:uid="{00000000-0005-0000-0000-0000420B0000}"/>
    <cellStyle name="20 % - Markeringsfarve1 5 5 2 2 2 2 2" xfId="34377" xr:uid="{00000000-0005-0000-0000-0000430B0000}"/>
    <cellStyle name="20 % - Markeringsfarve1 5 5 2 2 2 2 3" xfId="49336" xr:uid="{00000000-0005-0000-0000-0000440B0000}"/>
    <cellStyle name="20 % - Markeringsfarve1 5 5 2 2 2 3" xfId="27375" xr:uid="{00000000-0005-0000-0000-0000450B0000}"/>
    <cellStyle name="20 % - Markeringsfarve1 5 5 2 2 2 4" xfId="42339" xr:uid="{00000000-0005-0000-0000-0000460B0000}"/>
    <cellStyle name="20 % - Markeringsfarve1 5 5 2 2 3" xfId="12555" xr:uid="{00000000-0005-0000-0000-0000470B0000}"/>
    <cellStyle name="20 % - Markeringsfarve1 5 5 2 2 3 2" xfId="28834" xr:uid="{00000000-0005-0000-0000-0000480B0000}"/>
    <cellStyle name="20 % - Markeringsfarve1 5 5 2 2 3 3" xfId="43795" xr:uid="{00000000-0005-0000-0000-0000490B0000}"/>
    <cellStyle name="20 % - Markeringsfarve1 5 5 2 2 4" xfId="21832" xr:uid="{00000000-0005-0000-0000-00004A0B0000}"/>
    <cellStyle name="20 % - Markeringsfarve1 5 5 2 2 5" xfId="36798" xr:uid="{00000000-0005-0000-0000-00004B0B0000}"/>
    <cellStyle name="20 % - Markeringsfarve1 5 5 2 3" xfId="8764" xr:uid="{00000000-0005-0000-0000-00004C0B0000}"/>
    <cellStyle name="20 % - Markeringsfarve1 5 5 2 3 2" xfId="16631" xr:uid="{00000000-0005-0000-0000-00004D0B0000}"/>
    <cellStyle name="20 % - Markeringsfarve1 5 5 2 3 2 2" xfId="32907" xr:uid="{00000000-0005-0000-0000-00004E0B0000}"/>
    <cellStyle name="20 % - Markeringsfarve1 5 5 2 3 2 3" xfId="47866" xr:uid="{00000000-0005-0000-0000-00004F0B0000}"/>
    <cellStyle name="20 % - Markeringsfarve1 5 5 2 3 3" xfId="25905" xr:uid="{00000000-0005-0000-0000-0000500B0000}"/>
    <cellStyle name="20 % - Markeringsfarve1 5 5 2 3 4" xfId="40869" xr:uid="{00000000-0005-0000-0000-0000510B0000}"/>
    <cellStyle name="20 % - Markeringsfarve1 5 5 2 4" xfId="12554" xr:uid="{00000000-0005-0000-0000-0000520B0000}"/>
    <cellStyle name="20 % - Markeringsfarve1 5 5 2 4 2" xfId="28833" xr:uid="{00000000-0005-0000-0000-0000530B0000}"/>
    <cellStyle name="20 % - Markeringsfarve1 5 5 2 4 3" xfId="43794" xr:uid="{00000000-0005-0000-0000-0000540B0000}"/>
    <cellStyle name="20 % - Markeringsfarve1 5 5 2 5" xfId="21831" xr:uid="{00000000-0005-0000-0000-0000550B0000}"/>
    <cellStyle name="20 % - Markeringsfarve1 5 5 2 6" xfId="36797" xr:uid="{00000000-0005-0000-0000-0000560B0000}"/>
    <cellStyle name="20 % - Markeringsfarve1 5 5 3" xfId="4071" xr:uid="{00000000-0005-0000-0000-0000570B0000}"/>
    <cellStyle name="20 % - Markeringsfarve1 5 5 3 2" xfId="9523" xr:uid="{00000000-0005-0000-0000-0000580B0000}"/>
    <cellStyle name="20 % - Markeringsfarve1 5 5 3 2 2" xfId="17386" xr:uid="{00000000-0005-0000-0000-0000590B0000}"/>
    <cellStyle name="20 % - Markeringsfarve1 5 5 3 2 2 2" xfId="33662" xr:uid="{00000000-0005-0000-0000-00005A0B0000}"/>
    <cellStyle name="20 % - Markeringsfarve1 5 5 3 2 2 3" xfId="48621" xr:uid="{00000000-0005-0000-0000-00005B0B0000}"/>
    <cellStyle name="20 % - Markeringsfarve1 5 5 3 2 3" xfId="26660" xr:uid="{00000000-0005-0000-0000-00005C0B0000}"/>
    <cellStyle name="20 % - Markeringsfarve1 5 5 3 2 4" xfId="41624" xr:uid="{00000000-0005-0000-0000-00005D0B0000}"/>
    <cellStyle name="20 % - Markeringsfarve1 5 5 3 3" xfId="12556" xr:uid="{00000000-0005-0000-0000-00005E0B0000}"/>
    <cellStyle name="20 % - Markeringsfarve1 5 5 3 3 2" xfId="28835" xr:uid="{00000000-0005-0000-0000-00005F0B0000}"/>
    <cellStyle name="20 % - Markeringsfarve1 5 5 3 3 3" xfId="43796" xr:uid="{00000000-0005-0000-0000-0000600B0000}"/>
    <cellStyle name="20 % - Markeringsfarve1 5 5 3 4" xfId="21833" xr:uid="{00000000-0005-0000-0000-0000610B0000}"/>
    <cellStyle name="20 % - Markeringsfarve1 5 5 3 5" xfId="36799" xr:uid="{00000000-0005-0000-0000-0000620B0000}"/>
    <cellStyle name="20 % - Markeringsfarve1 5 5 4" xfId="4072" xr:uid="{00000000-0005-0000-0000-0000630B0000}"/>
    <cellStyle name="20 % - Markeringsfarve1 5 5 4 2" xfId="10541" xr:uid="{00000000-0005-0000-0000-0000640B0000}"/>
    <cellStyle name="20 % - Markeringsfarve1 5 5 4 2 2" xfId="18390" xr:uid="{00000000-0005-0000-0000-0000650B0000}"/>
    <cellStyle name="20 % - Markeringsfarve1 5 5 4 2 2 2" xfId="34666" xr:uid="{00000000-0005-0000-0000-0000660B0000}"/>
    <cellStyle name="20 % - Markeringsfarve1 5 5 4 2 2 3" xfId="49625" xr:uid="{00000000-0005-0000-0000-0000670B0000}"/>
    <cellStyle name="20 % - Markeringsfarve1 5 5 4 2 3" xfId="27664" xr:uid="{00000000-0005-0000-0000-0000680B0000}"/>
    <cellStyle name="20 % - Markeringsfarve1 5 5 4 2 4" xfId="42628" xr:uid="{00000000-0005-0000-0000-0000690B0000}"/>
    <cellStyle name="20 % - Markeringsfarve1 5 5 4 3" xfId="12557" xr:uid="{00000000-0005-0000-0000-00006A0B0000}"/>
    <cellStyle name="20 % - Markeringsfarve1 5 5 4 3 2" xfId="28836" xr:uid="{00000000-0005-0000-0000-00006B0B0000}"/>
    <cellStyle name="20 % - Markeringsfarve1 5 5 4 3 3" xfId="43797" xr:uid="{00000000-0005-0000-0000-00006C0B0000}"/>
    <cellStyle name="20 % - Markeringsfarve1 5 5 4 4" xfId="21834" xr:uid="{00000000-0005-0000-0000-00006D0B0000}"/>
    <cellStyle name="20 % - Markeringsfarve1 5 5 4 5" xfId="36800" xr:uid="{00000000-0005-0000-0000-00006E0B0000}"/>
    <cellStyle name="20 % - Markeringsfarve1 5 5 5" xfId="7668" xr:uid="{00000000-0005-0000-0000-00006F0B0000}"/>
    <cellStyle name="20 % - Markeringsfarve1 5 5 5 2" xfId="15533" xr:uid="{00000000-0005-0000-0000-0000700B0000}"/>
    <cellStyle name="20 % - Markeringsfarve1 5 5 5 2 2" xfId="31809" xr:uid="{00000000-0005-0000-0000-0000710B0000}"/>
    <cellStyle name="20 % - Markeringsfarve1 5 5 5 2 3" xfId="46768" xr:uid="{00000000-0005-0000-0000-0000720B0000}"/>
    <cellStyle name="20 % - Markeringsfarve1 5 5 5 3" xfId="24807" xr:uid="{00000000-0005-0000-0000-0000730B0000}"/>
    <cellStyle name="20 % - Markeringsfarve1 5 5 5 4" xfId="39771" xr:uid="{00000000-0005-0000-0000-0000740B0000}"/>
    <cellStyle name="20 % - Markeringsfarve1 5 5 6" xfId="12553" xr:uid="{00000000-0005-0000-0000-0000750B0000}"/>
    <cellStyle name="20 % - Markeringsfarve1 5 5 6 2" xfId="28832" xr:uid="{00000000-0005-0000-0000-0000760B0000}"/>
    <cellStyle name="20 % - Markeringsfarve1 5 5 6 3" xfId="43793" xr:uid="{00000000-0005-0000-0000-0000770B0000}"/>
    <cellStyle name="20 % - Markeringsfarve1 5 5 7" xfId="21830" xr:uid="{00000000-0005-0000-0000-0000780B0000}"/>
    <cellStyle name="20 % - Markeringsfarve1 5 5 8" xfId="36796" xr:uid="{00000000-0005-0000-0000-0000790B0000}"/>
    <cellStyle name="20 % - Markeringsfarve1 5 6" xfId="4073" xr:uid="{00000000-0005-0000-0000-00007A0B0000}"/>
    <cellStyle name="20 % - Markeringsfarve1 5 6 2" xfId="4074" xr:uid="{00000000-0005-0000-0000-00007B0B0000}"/>
    <cellStyle name="20 % - Markeringsfarve1 5 6 2 2" xfId="4075" xr:uid="{00000000-0005-0000-0000-00007C0B0000}"/>
    <cellStyle name="20 % - Markeringsfarve1 5 6 2 2 2" xfId="10293" xr:uid="{00000000-0005-0000-0000-00007D0B0000}"/>
    <cellStyle name="20 % - Markeringsfarve1 5 6 2 2 2 2" xfId="18148" xr:uid="{00000000-0005-0000-0000-00007E0B0000}"/>
    <cellStyle name="20 % - Markeringsfarve1 5 6 2 2 2 2 2" xfId="34424" xr:uid="{00000000-0005-0000-0000-00007F0B0000}"/>
    <cellStyle name="20 % - Markeringsfarve1 5 6 2 2 2 2 3" xfId="49383" xr:uid="{00000000-0005-0000-0000-0000800B0000}"/>
    <cellStyle name="20 % - Markeringsfarve1 5 6 2 2 2 3" xfId="27422" xr:uid="{00000000-0005-0000-0000-0000810B0000}"/>
    <cellStyle name="20 % - Markeringsfarve1 5 6 2 2 2 4" xfId="42386" xr:uid="{00000000-0005-0000-0000-0000820B0000}"/>
    <cellStyle name="20 % - Markeringsfarve1 5 6 2 2 3" xfId="12560" xr:uid="{00000000-0005-0000-0000-0000830B0000}"/>
    <cellStyle name="20 % - Markeringsfarve1 5 6 2 2 3 2" xfId="28839" xr:uid="{00000000-0005-0000-0000-0000840B0000}"/>
    <cellStyle name="20 % - Markeringsfarve1 5 6 2 2 3 3" xfId="43800" xr:uid="{00000000-0005-0000-0000-0000850B0000}"/>
    <cellStyle name="20 % - Markeringsfarve1 5 6 2 2 4" xfId="21837" xr:uid="{00000000-0005-0000-0000-0000860B0000}"/>
    <cellStyle name="20 % - Markeringsfarve1 5 6 2 2 5" xfId="36803" xr:uid="{00000000-0005-0000-0000-0000870B0000}"/>
    <cellStyle name="20 % - Markeringsfarve1 5 6 2 3" xfId="8805" xr:uid="{00000000-0005-0000-0000-0000880B0000}"/>
    <cellStyle name="20 % - Markeringsfarve1 5 6 2 3 2" xfId="16672" xr:uid="{00000000-0005-0000-0000-0000890B0000}"/>
    <cellStyle name="20 % - Markeringsfarve1 5 6 2 3 2 2" xfId="32948" xr:uid="{00000000-0005-0000-0000-00008A0B0000}"/>
    <cellStyle name="20 % - Markeringsfarve1 5 6 2 3 2 3" xfId="47907" xr:uid="{00000000-0005-0000-0000-00008B0B0000}"/>
    <cellStyle name="20 % - Markeringsfarve1 5 6 2 3 3" xfId="25946" xr:uid="{00000000-0005-0000-0000-00008C0B0000}"/>
    <cellStyle name="20 % - Markeringsfarve1 5 6 2 3 4" xfId="40910" xr:uid="{00000000-0005-0000-0000-00008D0B0000}"/>
    <cellStyle name="20 % - Markeringsfarve1 5 6 2 4" xfId="12559" xr:uid="{00000000-0005-0000-0000-00008E0B0000}"/>
    <cellStyle name="20 % - Markeringsfarve1 5 6 2 4 2" xfId="28838" xr:uid="{00000000-0005-0000-0000-00008F0B0000}"/>
    <cellStyle name="20 % - Markeringsfarve1 5 6 2 4 3" xfId="43799" xr:uid="{00000000-0005-0000-0000-0000900B0000}"/>
    <cellStyle name="20 % - Markeringsfarve1 5 6 2 5" xfId="21836" xr:uid="{00000000-0005-0000-0000-0000910B0000}"/>
    <cellStyle name="20 % - Markeringsfarve1 5 6 2 6" xfId="36802" xr:uid="{00000000-0005-0000-0000-0000920B0000}"/>
    <cellStyle name="20 % - Markeringsfarve1 5 6 3" xfId="4076" xr:uid="{00000000-0005-0000-0000-0000930B0000}"/>
    <cellStyle name="20 % - Markeringsfarve1 5 6 3 2" xfId="9571" xr:uid="{00000000-0005-0000-0000-0000940B0000}"/>
    <cellStyle name="20 % - Markeringsfarve1 5 6 3 2 2" xfId="17434" xr:uid="{00000000-0005-0000-0000-0000950B0000}"/>
    <cellStyle name="20 % - Markeringsfarve1 5 6 3 2 2 2" xfId="33710" xr:uid="{00000000-0005-0000-0000-0000960B0000}"/>
    <cellStyle name="20 % - Markeringsfarve1 5 6 3 2 2 3" xfId="48669" xr:uid="{00000000-0005-0000-0000-0000970B0000}"/>
    <cellStyle name="20 % - Markeringsfarve1 5 6 3 2 3" xfId="26708" xr:uid="{00000000-0005-0000-0000-0000980B0000}"/>
    <cellStyle name="20 % - Markeringsfarve1 5 6 3 2 4" xfId="41672" xr:uid="{00000000-0005-0000-0000-0000990B0000}"/>
    <cellStyle name="20 % - Markeringsfarve1 5 6 3 3" xfId="12561" xr:uid="{00000000-0005-0000-0000-00009A0B0000}"/>
    <cellStyle name="20 % - Markeringsfarve1 5 6 3 3 2" xfId="28840" xr:uid="{00000000-0005-0000-0000-00009B0B0000}"/>
    <cellStyle name="20 % - Markeringsfarve1 5 6 3 3 3" xfId="43801" xr:uid="{00000000-0005-0000-0000-00009C0B0000}"/>
    <cellStyle name="20 % - Markeringsfarve1 5 6 3 4" xfId="21838" xr:uid="{00000000-0005-0000-0000-00009D0B0000}"/>
    <cellStyle name="20 % - Markeringsfarve1 5 6 3 5" xfId="36804" xr:uid="{00000000-0005-0000-0000-00009E0B0000}"/>
    <cellStyle name="20 % - Markeringsfarve1 5 6 4" xfId="4077" xr:uid="{00000000-0005-0000-0000-00009F0B0000}"/>
    <cellStyle name="20 % - Markeringsfarve1 5 6 4 2" xfId="10540" xr:uid="{00000000-0005-0000-0000-0000A00B0000}"/>
    <cellStyle name="20 % - Markeringsfarve1 5 6 4 2 2" xfId="18389" xr:uid="{00000000-0005-0000-0000-0000A10B0000}"/>
    <cellStyle name="20 % - Markeringsfarve1 5 6 4 2 2 2" xfId="34665" xr:uid="{00000000-0005-0000-0000-0000A20B0000}"/>
    <cellStyle name="20 % - Markeringsfarve1 5 6 4 2 2 3" xfId="49624" xr:uid="{00000000-0005-0000-0000-0000A30B0000}"/>
    <cellStyle name="20 % - Markeringsfarve1 5 6 4 2 3" xfId="27663" xr:uid="{00000000-0005-0000-0000-0000A40B0000}"/>
    <cellStyle name="20 % - Markeringsfarve1 5 6 4 2 4" xfId="42627" xr:uid="{00000000-0005-0000-0000-0000A50B0000}"/>
    <cellStyle name="20 % - Markeringsfarve1 5 6 4 3" xfId="12562" xr:uid="{00000000-0005-0000-0000-0000A60B0000}"/>
    <cellStyle name="20 % - Markeringsfarve1 5 6 4 3 2" xfId="28841" xr:uid="{00000000-0005-0000-0000-0000A70B0000}"/>
    <cellStyle name="20 % - Markeringsfarve1 5 6 4 3 3" xfId="43802" xr:uid="{00000000-0005-0000-0000-0000A80B0000}"/>
    <cellStyle name="20 % - Markeringsfarve1 5 6 4 4" xfId="21839" xr:uid="{00000000-0005-0000-0000-0000A90B0000}"/>
    <cellStyle name="20 % - Markeringsfarve1 5 6 4 5" xfId="36805" xr:uid="{00000000-0005-0000-0000-0000AA0B0000}"/>
    <cellStyle name="20 % - Markeringsfarve1 5 6 5" xfId="7669" xr:uid="{00000000-0005-0000-0000-0000AB0B0000}"/>
    <cellStyle name="20 % - Markeringsfarve1 5 6 5 2" xfId="15534" xr:uid="{00000000-0005-0000-0000-0000AC0B0000}"/>
    <cellStyle name="20 % - Markeringsfarve1 5 6 5 2 2" xfId="31810" xr:uid="{00000000-0005-0000-0000-0000AD0B0000}"/>
    <cellStyle name="20 % - Markeringsfarve1 5 6 5 2 3" xfId="46769" xr:uid="{00000000-0005-0000-0000-0000AE0B0000}"/>
    <cellStyle name="20 % - Markeringsfarve1 5 6 5 3" xfId="24808" xr:uid="{00000000-0005-0000-0000-0000AF0B0000}"/>
    <cellStyle name="20 % - Markeringsfarve1 5 6 5 4" xfId="39772" xr:uid="{00000000-0005-0000-0000-0000B00B0000}"/>
    <cellStyle name="20 % - Markeringsfarve1 5 6 6" xfId="12558" xr:uid="{00000000-0005-0000-0000-0000B10B0000}"/>
    <cellStyle name="20 % - Markeringsfarve1 5 6 6 2" xfId="28837" xr:uid="{00000000-0005-0000-0000-0000B20B0000}"/>
    <cellStyle name="20 % - Markeringsfarve1 5 6 6 3" xfId="43798" xr:uid="{00000000-0005-0000-0000-0000B30B0000}"/>
    <cellStyle name="20 % - Markeringsfarve1 5 6 7" xfId="21835" xr:uid="{00000000-0005-0000-0000-0000B40B0000}"/>
    <cellStyle name="20 % - Markeringsfarve1 5 6 8" xfId="36801" xr:uid="{00000000-0005-0000-0000-0000B50B0000}"/>
    <cellStyle name="20 % - Markeringsfarve1 5 7" xfId="4078" xr:uid="{00000000-0005-0000-0000-0000B60B0000}"/>
    <cellStyle name="20 % - Markeringsfarve1 5 7 2" xfId="4079" xr:uid="{00000000-0005-0000-0000-0000B70B0000}"/>
    <cellStyle name="20 % - Markeringsfarve1 5 7 2 2" xfId="9773" xr:uid="{00000000-0005-0000-0000-0000B80B0000}"/>
    <cellStyle name="20 % - Markeringsfarve1 5 7 2 2 2" xfId="17627" xr:uid="{00000000-0005-0000-0000-0000B90B0000}"/>
    <cellStyle name="20 % - Markeringsfarve1 5 7 2 2 2 2" xfId="33903" xr:uid="{00000000-0005-0000-0000-0000BA0B0000}"/>
    <cellStyle name="20 % - Markeringsfarve1 5 7 2 2 2 3" xfId="48862" xr:uid="{00000000-0005-0000-0000-0000BB0B0000}"/>
    <cellStyle name="20 % - Markeringsfarve1 5 7 2 2 3" xfId="26901" xr:uid="{00000000-0005-0000-0000-0000BC0B0000}"/>
    <cellStyle name="20 % - Markeringsfarve1 5 7 2 2 4" xfId="41865" xr:uid="{00000000-0005-0000-0000-0000BD0B0000}"/>
    <cellStyle name="20 % - Markeringsfarve1 5 7 2 3" xfId="12564" xr:uid="{00000000-0005-0000-0000-0000BE0B0000}"/>
    <cellStyle name="20 % - Markeringsfarve1 5 7 2 3 2" xfId="28843" xr:uid="{00000000-0005-0000-0000-0000BF0B0000}"/>
    <cellStyle name="20 % - Markeringsfarve1 5 7 2 3 3" xfId="43804" xr:uid="{00000000-0005-0000-0000-0000C00B0000}"/>
    <cellStyle name="20 % - Markeringsfarve1 5 7 2 4" xfId="21841" xr:uid="{00000000-0005-0000-0000-0000C10B0000}"/>
    <cellStyle name="20 % - Markeringsfarve1 5 7 2 5" xfId="36807" xr:uid="{00000000-0005-0000-0000-0000C20B0000}"/>
    <cellStyle name="20 % - Markeringsfarve1 5 7 3" xfId="8364" xr:uid="{00000000-0005-0000-0000-0000C30B0000}"/>
    <cellStyle name="20 % - Markeringsfarve1 5 7 3 2" xfId="16234" xr:uid="{00000000-0005-0000-0000-0000C40B0000}"/>
    <cellStyle name="20 % - Markeringsfarve1 5 7 3 2 2" xfId="32510" xr:uid="{00000000-0005-0000-0000-0000C50B0000}"/>
    <cellStyle name="20 % - Markeringsfarve1 5 7 3 2 3" xfId="47469" xr:uid="{00000000-0005-0000-0000-0000C60B0000}"/>
    <cellStyle name="20 % - Markeringsfarve1 5 7 3 3" xfId="25508" xr:uid="{00000000-0005-0000-0000-0000C70B0000}"/>
    <cellStyle name="20 % - Markeringsfarve1 5 7 3 4" xfId="40472" xr:uid="{00000000-0005-0000-0000-0000C80B0000}"/>
    <cellStyle name="20 % - Markeringsfarve1 5 7 4" xfId="12563" xr:uid="{00000000-0005-0000-0000-0000C90B0000}"/>
    <cellStyle name="20 % - Markeringsfarve1 5 7 4 2" xfId="28842" xr:uid="{00000000-0005-0000-0000-0000CA0B0000}"/>
    <cellStyle name="20 % - Markeringsfarve1 5 7 4 3" xfId="43803" xr:uid="{00000000-0005-0000-0000-0000CB0B0000}"/>
    <cellStyle name="20 % - Markeringsfarve1 5 7 5" xfId="21840" xr:uid="{00000000-0005-0000-0000-0000CC0B0000}"/>
    <cellStyle name="20 % - Markeringsfarve1 5 7 6" xfId="36806" xr:uid="{00000000-0005-0000-0000-0000CD0B0000}"/>
    <cellStyle name="20 % - Markeringsfarve1 5 8" xfId="4080" xr:uid="{00000000-0005-0000-0000-0000CE0B0000}"/>
    <cellStyle name="20 % - Markeringsfarve1 5 8 2" xfId="9001" xr:uid="{00000000-0005-0000-0000-0000CF0B0000}"/>
    <cellStyle name="20 % - Markeringsfarve1 5 8 2 2" xfId="16865" xr:uid="{00000000-0005-0000-0000-0000D00B0000}"/>
    <cellStyle name="20 % - Markeringsfarve1 5 8 2 2 2" xfId="33141" xr:uid="{00000000-0005-0000-0000-0000D10B0000}"/>
    <cellStyle name="20 % - Markeringsfarve1 5 8 2 2 3" xfId="48100" xr:uid="{00000000-0005-0000-0000-0000D20B0000}"/>
    <cellStyle name="20 % - Markeringsfarve1 5 8 2 3" xfId="26139" xr:uid="{00000000-0005-0000-0000-0000D30B0000}"/>
    <cellStyle name="20 % - Markeringsfarve1 5 8 2 4" xfId="41103" xr:uid="{00000000-0005-0000-0000-0000D40B0000}"/>
    <cellStyle name="20 % - Markeringsfarve1 5 8 3" xfId="12565" xr:uid="{00000000-0005-0000-0000-0000D50B0000}"/>
    <cellStyle name="20 % - Markeringsfarve1 5 8 3 2" xfId="28844" xr:uid="{00000000-0005-0000-0000-0000D60B0000}"/>
    <cellStyle name="20 % - Markeringsfarve1 5 8 3 3" xfId="43805" xr:uid="{00000000-0005-0000-0000-0000D70B0000}"/>
    <cellStyle name="20 % - Markeringsfarve1 5 8 4" xfId="21842" xr:uid="{00000000-0005-0000-0000-0000D80B0000}"/>
    <cellStyle name="20 % - Markeringsfarve1 5 8 5" xfId="36808" xr:uid="{00000000-0005-0000-0000-0000D90B0000}"/>
    <cellStyle name="20 % - Markeringsfarve1 5 9" xfId="4081" xr:uid="{00000000-0005-0000-0000-0000DA0B0000}"/>
    <cellStyle name="20 % - Markeringsfarve1 5 9 2" xfId="10545" xr:uid="{00000000-0005-0000-0000-0000DB0B0000}"/>
    <cellStyle name="20 % - Markeringsfarve1 5 9 2 2" xfId="18394" xr:uid="{00000000-0005-0000-0000-0000DC0B0000}"/>
    <cellStyle name="20 % - Markeringsfarve1 5 9 2 2 2" xfId="34670" xr:uid="{00000000-0005-0000-0000-0000DD0B0000}"/>
    <cellStyle name="20 % - Markeringsfarve1 5 9 2 2 3" xfId="49629" xr:uid="{00000000-0005-0000-0000-0000DE0B0000}"/>
    <cellStyle name="20 % - Markeringsfarve1 5 9 2 3" xfId="27668" xr:uid="{00000000-0005-0000-0000-0000DF0B0000}"/>
    <cellStyle name="20 % - Markeringsfarve1 5 9 2 4" xfId="42632" xr:uid="{00000000-0005-0000-0000-0000E00B0000}"/>
    <cellStyle name="20 % - Markeringsfarve1 5 9 3" xfId="12566" xr:uid="{00000000-0005-0000-0000-0000E10B0000}"/>
    <cellStyle name="20 % - Markeringsfarve1 5 9 3 2" xfId="28845" xr:uid="{00000000-0005-0000-0000-0000E20B0000}"/>
    <cellStyle name="20 % - Markeringsfarve1 5 9 3 3" xfId="43806" xr:uid="{00000000-0005-0000-0000-0000E30B0000}"/>
    <cellStyle name="20 % - Markeringsfarve1 5 9 4" xfId="21843" xr:uid="{00000000-0005-0000-0000-0000E40B0000}"/>
    <cellStyle name="20 % - Markeringsfarve1 5 9 5" xfId="36809" xr:uid="{00000000-0005-0000-0000-0000E50B0000}"/>
    <cellStyle name="20 % - Markeringsfarve1 6" xfId="4082" xr:uid="{00000000-0005-0000-0000-0000E60B0000}"/>
    <cellStyle name="20 % - Markeringsfarve1 6 2" xfId="4083" xr:uid="{00000000-0005-0000-0000-0000E70B0000}"/>
    <cellStyle name="20 % - Markeringsfarve1 6 2 2" xfId="4084" xr:uid="{00000000-0005-0000-0000-0000E80B0000}"/>
    <cellStyle name="20 % - Markeringsfarve1 6 2 2 2" xfId="4085" xr:uid="{00000000-0005-0000-0000-0000E90B0000}"/>
    <cellStyle name="20 % - Markeringsfarve1 6 2 2 2 2" xfId="9939" xr:uid="{00000000-0005-0000-0000-0000EA0B0000}"/>
    <cellStyle name="20 % - Markeringsfarve1 6 2 2 2 2 2" xfId="17794" xr:uid="{00000000-0005-0000-0000-0000EB0B0000}"/>
    <cellStyle name="20 % - Markeringsfarve1 6 2 2 2 2 2 2" xfId="34070" xr:uid="{00000000-0005-0000-0000-0000EC0B0000}"/>
    <cellStyle name="20 % - Markeringsfarve1 6 2 2 2 2 2 3" xfId="49029" xr:uid="{00000000-0005-0000-0000-0000ED0B0000}"/>
    <cellStyle name="20 % - Markeringsfarve1 6 2 2 2 2 3" xfId="27068" xr:uid="{00000000-0005-0000-0000-0000EE0B0000}"/>
    <cellStyle name="20 % - Markeringsfarve1 6 2 2 2 2 4" xfId="42032" xr:uid="{00000000-0005-0000-0000-0000EF0B0000}"/>
    <cellStyle name="20 % - Markeringsfarve1 6 2 2 2 3" xfId="12570" xr:uid="{00000000-0005-0000-0000-0000F00B0000}"/>
    <cellStyle name="20 % - Markeringsfarve1 6 2 2 2 3 2" xfId="28849" xr:uid="{00000000-0005-0000-0000-0000F10B0000}"/>
    <cellStyle name="20 % - Markeringsfarve1 6 2 2 2 3 3" xfId="43810" xr:uid="{00000000-0005-0000-0000-0000F20B0000}"/>
    <cellStyle name="20 % - Markeringsfarve1 6 2 2 2 4" xfId="21847" xr:uid="{00000000-0005-0000-0000-0000F30B0000}"/>
    <cellStyle name="20 % - Markeringsfarve1 6 2 2 2 5" xfId="36813" xr:uid="{00000000-0005-0000-0000-0000F40B0000}"/>
    <cellStyle name="20 % - Markeringsfarve1 6 2 2 3" xfId="8504" xr:uid="{00000000-0005-0000-0000-0000F50B0000}"/>
    <cellStyle name="20 % - Markeringsfarve1 6 2 2 3 2" xfId="16374" xr:uid="{00000000-0005-0000-0000-0000F60B0000}"/>
    <cellStyle name="20 % - Markeringsfarve1 6 2 2 3 2 2" xfId="32650" xr:uid="{00000000-0005-0000-0000-0000F70B0000}"/>
    <cellStyle name="20 % - Markeringsfarve1 6 2 2 3 2 3" xfId="47609" xr:uid="{00000000-0005-0000-0000-0000F80B0000}"/>
    <cellStyle name="20 % - Markeringsfarve1 6 2 2 3 3" xfId="25648" xr:uid="{00000000-0005-0000-0000-0000F90B0000}"/>
    <cellStyle name="20 % - Markeringsfarve1 6 2 2 3 4" xfId="40612" xr:uid="{00000000-0005-0000-0000-0000FA0B0000}"/>
    <cellStyle name="20 % - Markeringsfarve1 6 2 2 4" xfId="12569" xr:uid="{00000000-0005-0000-0000-0000FB0B0000}"/>
    <cellStyle name="20 % - Markeringsfarve1 6 2 2 4 2" xfId="28848" xr:uid="{00000000-0005-0000-0000-0000FC0B0000}"/>
    <cellStyle name="20 % - Markeringsfarve1 6 2 2 4 3" xfId="43809" xr:uid="{00000000-0005-0000-0000-0000FD0B0000}"/>
    <cellStyle name="20 % - Markeringsfarve1 6 2 2 5" xfId="21846" xr:uid="{00000000-0005-0000-0000-0000FE0B0000}"/>
    <cellStyle name="20 % - Markeringsfarve1 6 2 2 6" xfId="36812" xr:uid="{00000000-0005-0000-0000-0000FF0B0000}"/>
    <cellStyle name="20 % - Markeringsfarve1 6 2 3" xfId="4086" xr:uid="{00000000-0005-0000-0000-0000000C0000}"/>
    <cellStyle name="20 % - Markeringsfarve1 6 2 3 2" xfId="9170" xr:uid="{00000000-0005-0000-0000-0000010C0000}"/>
    <cellStyle name="20 % - Markeringsfarve1 6 2 3 2 2" xfId="17034" xr:uid="{00000000-0005-0000-0000-0000020C0000}"/>
    <cellStyle name="20 % - Markeringsfarve1 6 2 3 2 2 2" xfId="33310" xr:uid="{00000000-0005-0000-0000-0000030C0000}"/>
    <cellStyle name="20 % - Markeringsfarve1 6 2 3 2 2 3" xfId="48269" xr:uid="{00000000-0005-0000-0000-0000040C0000}"/>
    <cellStyle name="20 % - Markeringsfarve1 6 2 3 2 3" xfId="26308" xr:uid="{00000000-0005-0000-0000-0000050C0000}"/>
    <cellStyle name="20 % - Markeringsfarve1 6 2 3 2 4" xfId="41272" xr:uid="{00000000-0005-0000-0000-0000060C0000}"/>
    <cellStyle name="20 % - Markeringsfarve1 6 2 3 3" xfId="12571" xr:uid="{00000000-0005-0000-0000-0000070C0000}"/>
    <cellStyle name="20 % - Markeringsfarve1 6 2 3 3 2" xfId="28850" xr:uid="{00000000-0005-0000-0000-0000080C0000}"/>
    <cellStyle name="20 % - Markeringsfarve1 6 2 3 3 3" xfId="43811" xr:uid="{00000000-0005-0000-0000-0000090C0000}"/>
    <cellStyle name="20 % - Markeringsfarve1 6 2 3 4" xfId="21848" xr:uid="{00000000-0005-0000-0000-00000A0C0000}"/>
    <cellStyle name="20 % - Markeringsfarve1 6 2 3 5" xfId="36814" xr:uid="{00000000-0005-0000-0000-00000B0C0000}"/>
    <cellStyle name="20 % - Markeringsfarve1 6 2 4" xfId="4087" xr:uid="{00000000-0005-0000-0000-00000C0C0000}"/>
    <cellStyle name="20 % - Markeringsfarve1 6 2 4 2" xfId="10736" xr:uid="{00000000-0005-0000-0000-00000D0C0000}"/>
    <cellStyle name="20 % - Markeringsfarve1 6 2 4 2 2" xfId="18579" xr:uid="{00000000-0005-0000-0000-00000E0C0000}"/>
    <cellStyle name="20 % - Markeringsfarve1 6 2 4 2 2 2" xfId="34855" xr:uid="{00000000-0005-0000-0000-00000F0C0000}"/>
    <cellStyle name="20 % - Markeringsfarve1 6 2 4 2 2 3" xfId="49814" xr:uid="{00000000-0005-0000-0000-0000100C0000}"/>
    <cellStyle name="20 % - Markeringsfarve1 6 2 4 2 3" xfId="27853" xr:uid="{00000000-0005-0000-0000-0000110C0000}"/>
    <cellStyle name="20 % - Markeringsfarve1 6 2 4 2 4" xfId="42817" xr:uid="{00000000-0005-0000-0000-0000120C0000}"/>
    <cellStyle name="20 % - Markeringsfarve1 6 2 4 3" xfId="12572" xr:uid="{00000000-0005-0000-0000-0000130C0000}"/>
    <cellStyle name="20 % - Markeringsfarve1 6 2 4 3 2" xfId="28851" xr:uid="{00000000-0005-0000-0000-0000140C0000}"/>
    <cellStyle name="20 % - Markeringsfarve1 6 2 4 3 3" xfId="43812" xr:uid="{00000000-0005-0000-0000-0000150C0000}"/>
    <cellStyle name="20 % - Markeringsfarve1 6 2 4 4" xfId="21849" xr:uid="{00000000-0005-0000-0000-0000160C0000}"/>
    <cellStyle name="20 % - Markeringsfarve1 6 2 4 5" xfId="36815" xr:uid="{00000000-0005-0000-0000-0000170C0000}"/>
    <cellStyle name="20 % - Markeringsfarve1 6 2 5" xfId="7671" xr:uid="{00000000-0005-0000-0000-0000180C0000}"/>
    <cellStyle name="20 % - Markeringsfarve1 6 2 5 2" xfId="15536" xr:uid="{00000000-0005-0000-0000-0000190C0000}"/>
    <cellStyle name="20 % - Markeringsfarve1 6 2 5 2 2" xfId="31812" xr:uid="{00000000-0005-0000-0000-00001A0C0000}"/>
    <cellStyle name="20 % - Markeringsfarve1 6 2 5 2 3" xfId="46771" xr:uid="{00000000-0005-0000-0000-00001B0C0000}"/>
    <cellStyle name="20 % - Markeringsfarve1 6 2 5 3" xfId="24810" xr:uid="{00000000-0005-0000-0000-00001C0C0000}"/>
    <cellStyle name="20 % - Markeringsfarve1 6 2 5 4" xfId="39774" xr:uid="{00000000-0005-0000-0000-00001D0C0000}"/>
    <cellStyle name="20 % - Markeringsfarve1 6 2 6" xfId="12568" xr:uid="{00000000-0005-0000-0000-00001E0C0000}"/>
    <cellStyle name="20 % - Markeringsfarve1 6 2 6 2" xfId="28847" xr:uid="{00000000-0005-0000-0000-00001F0C0000}"/>
    <cellStyle name="20 % - Markeringsfarve1 6 2 6 3" xfId="43808" xr:uid="{00000000-0005-0000-0000-0000200C0000}"/>
    <cellStyle name="20 % - Markeringsfarve1 6 2 7" xfId="21845" xr:uid="{00000000-0005-0000-0000-0000210C0000}"/>
    <cellStyle name="20 % - Markeringsfarve1 6 2 8" xfId="36811" xr:uid="{00000000-0005-0000-0000-0000220C0000}"/>
    <cellStyle name="20 % - Markeringsfarve1 6 3" xfId="4088" xr:uid="{00000000-0005-0000-0000-0000230C0000}"/>
    <cellStyle name="20 % - Markeringsfarve1 6 3 2" xfId="4089" xr:uid="{00000000-0005-0000-0000-0000240C0000}"/>
    <cellStyle name="20 % - Markeringsfarve1 6 3 2 2" xfId="9813" xr:uid="{00000000-0005-0000-0000-0000250C0000}"/>
    <cellStyle name="20 % - Markeringsfarve1 6 3 2 2 2" xfId="17668" xr:uid="{00000000-0005-0000-0000-0000260C0000}"/>
    <cellStyle name="20 % - Markeringsfarve1 6 3 2 2 2 2" xfId="33944" xr:uid="{00000000-0005-0000-0000-0000270C0000}"/>
    <cellStyle name="20 % - Markeringsfarve1 6 3 2 2 2 3" xfId="48903" xr:uid="{00000000-0005-0000-0000-0000280C0000}"/>
    <cellStyle name="20 % - Markeringsfarve1 6 3 2 2 3" xfId="26942" xr:uid="{00000000-0005-0000-0000-0000290C0000}"/>
    <cellStyle name="20 % - Markeringsfarve1 6 3 2 2 4" xfId="41906" xr:uid="{00000000-0005-0000-0000-00002A0C0000}"/>
    <cellStyle name="20 % - Markeringsfarve1 6 3 2 3" xfId="12574" xr:uid="{00000000-0005-0000-0000-00002B0C0000}"/>
    <cellStyle name="20 % - Markeringsfarve1 6 3 2 3 2" xfId="28853" xr:uid="{00000000-0005-0000-0000-00002C0C0000}"/>
    <cellStyle name="20 % - Markeringsfarve1 6 3 2 3 3" xfId="43814" xr:uid="{00000000-0005-0000-0000-00002D0C0000}"/>
    <cellStyle name="20 % - Markeringsfarve1 6 3 2 4" xfId="21851" xr:uid="{00000000-0005-0000-0000-00002E0C0000}"/>
    <cellStyle name="20 % - Markeringsfarve1 6 3 2 5" xfId="36817" xr:uid="{00000000-0005-0000-0000-00002F0C0000}"/>
    <cellStyle name="20 % - Markeringsfarve1 6 3 3" xfId="8397" xr:uid="{00000000-0005-0000-0000-0000300C0000}"/>
    <cellStyle name="20 % - Markeringsfarve1 6 3 3 2" xfId="16267" xr:uid="{00000000-0005-0000-0000-0000310C0000}"/>
    <cellStyle name="20 % - Markeringsfarve1 6 3 3 2 2" xfId="32543" xr:uid="{00000000-0005-0000-0000-0000320C0000}"/>
    <cellStyle name="20 % - Markeringsfarve1 6 3 3 2 3" xfId="47502" xr:uid="{00000000-0005-0000-0000-0000330C0000}"/>
    <cellStyle name="20 % - Markeringsfarve1 6 3 3 3" xfId="25541" xr:uid="{00000000-0005-0000-0000-0000340C0000}"/>
    <cellStyle name="20 % - Markeringsfarve1 6 3 3 4" xfId="40505" xr:uid="{00000000-0005-0000-0000-0000350C0000}"/>
    <cellStyle name="20 % - Markeringsfarve1 6 3 4" xfId="12573" xr:uid="{00000000-0005-0000-0000-0000360C0000}"/>
    <cellStyle name="20 % - Markeringsfarve1 6 3 4 2" xfId="28852" xr:uid="{00000000-0005-0000-0000-0000370C0000}"/>
    <cellStyle name="20 % - Markeringsfarve1 6 3 4 3" xfId="43813" xr:uid="{00000000-0005-0000-0000-0000380C0000}"/>
    <cellStyle name="20 % - Markeringsfarve1 6 3 5" xfId="21850" xr:uid="{00000000-0005-0000-0000-0000390C0000}"/>
    <cellStyle name="20 % - Markeringsfarve1 6 3 6" xfId="36816" xr:uid="{00000000-0005-0000-0000-00003A0C0000}"/>
    <cellStyle name="20 % - Markeringsfarve1 6 4" xfId="4090" xr:uid="{00000000-0005-0000-0000-00003B0C0000}"/>
    <cellStyle name="20 % - Markeringsfarve1 6 4 2" xfId="9044" xr:uid="{00000000-0005-0000-0000-00003C0C0000}"/>
    <cellStyle name="20 % - Markeringsfarve1 6 4 2 2" xfId="16908" xr:uid="{00000000-0005-0000-0000-00003D0C0000}"/>
    <cellStyle name="20 % - Markeringsfarve1 6 4 2 2 2" xfId="33184" xr:uid="{00000000-0005-0000-0000-00003E0C0000}"/>
    <cellStyle name="20 % - Markeringsfarve1 6 4 2 2 3" xfId="48143" xr:uid="{00000000-0005-0000-0000-00003F0C0000}"/>
    <cellStyle name="20 % - Markeringsfarve1 6 4 2 3" xfId="26182" xr:uid="{00000000-0005-0000-0000-0000400C0000}"/>
    <cellStyle name="20 % - Markeringsfarve1 6 4 2 4" xfId="41146" xr:uid="{00000000-0005-0000-0000-0000410C0000}"/>
    <cellStyle name="20 % - Markeringsfarve1 6 4 3" xfId="12575" xr:uid="{00000000-0005-0000-0000-0000420C0000}"/>
    <cellStyle name="20 % - Markeringsfarve1 6 4 3 2" xfId="28854" xr:uid="{00000000-0005-0000-0000-0000430C0000}"/>
    <cellStyle name="20 % - Markeringsfarve1 6 4 3 3" xfId="43815" xr:uid="{00000000-0005-0000-0000-0000440C0000}"/>
    <cellStyle name="20 % - Markeringsfarve1 6 4 4" xfId="21852" xr:uid="{00000000-0005-0000-0000-0000450C0000}"/>
    <cellStyle name="20 % - Markeringsfarve1 6 4 5" xfId="36818" xr:uid="{00000000-0005-0000-0000-0000460C0000}"/>
    <cellStyle name="20 % - Markeringsfarve1 6 5" xfId="4091" xr:uid="{00000000-0005-0000-0000-0000470C0000}"/>
    <cellStyle name="20 % - Markeringsfarve1 6 5 2" xfId="9308" xr:uid="{00000000-0005-0000-0000-0000480C0000}"/>
    <cellStyle name="20 % - Markeringsfarve1 6 5 2 2" xfId="17171" xr:uid="{00000000-0005-0000-0000-0000490C0000}"/>
    <cellStyle name="20 % - Markeringsfarve1 6 5 2 2 2" xfId="33447" xr:uid="{00000000-0005-0000-0000-00004A0C0000}"/>
    <cellStyle name="20 % - Markeringsfarve1 6 5 2 2 3" xfId="48406" xr:uid="{00000000-0005-0000-0000-00004B0C0000}"/>
    <cellStyle name="20 % - Markeringsfarve1 6 5 2 3" xfId="26445" xr:uid="{00000000-0005-0000-0000-00004C0C0000}"/>
    <cellStyle name="20 % - Markeringsfarve1 6 5 2 4" xfId="41409" xr:uid="{00000000-0005-0000-0000-00004D0C0000}"/>
    <cellStyle name="20 % - Markeringsfarve1 6 5 3" xfId="12576" xr:uid="{00000000-0005-0000-0000-00004E0C0000}"/>
    <cellStyle name="20 % - Markeringsfarve1 6 5 3 2" xfId="28855" xr:uid="{00000000-0005-0000-0000-00004F0C0000}"/>
    <cellStyle name="20 % - Markeringsfarve1 6 5 3 3" xfId="43816" xr:uid="{00000000-0005-0000-0000-0000500C0000}"/>
    <cellStyle name="20 % - Markeringsfarve1 6 5 4" xfId="21853" xr:uid="{00000000-0005-0000-0000-0000510C0000}"/>
    <cellStyle name="20 % - Markeringsfarve1 6 5 5" xfId="36819" xr:uid="{00000000-0005-0000-0000-0000520C0000}"/>
    <cellStyle name="20 % - Markeringsfarve1 6 6" xfId="7670" xr:uid="{00000000-0005-0000-0000-0000530C0000}"/>
    <cellStyle name="20 % - Markeringsfarve1 6 6 2" xfId="15535" xr:uid="{00000000-0005-0000-0000-0000540C0000}"/>
    <cellStyle name="20 % - Markeringsfarve1 6 6 2 2" xfId="31811" xr:uid="{00000000-0005-0000-0000-0000550C0000}"/>
    <cellStyle name="20 % - Markeringsfarve1 6 6 2 3" xfId="46770" xr:uid="{00000000-0005-0000-0000-0000560C0000}"/>
    <cellStyle name="20 % - Markeringsfarve1 6 6 3" xfId="24809" xr:uid="{00000000-0005-0000-0000-0000570C0000}"/>
    <cellStyle name="20 % - Markeringsfarve1 6 6 4" xfId="39773" xr:uid="{00000000-0005-0000-0000-0000580C0000}"/>
    <cellStyle name="20 % - Markeringsfarve1 6 7" xfId="12567" xr:uid="{00000000-0005-0000-0000-0000590C0000}"/>
    <cellStyle name="20 % - Markeringsfarve1 6 7 2" xfId="28846" xr:uid="{00000000-0005-0000-0000-00005A0C0000}"/>
    <cellStyle name="20 % - Markeringsfarve1 6 7 3" xfId="43807" xr:uid="{00000000-0005-0000-0000-00005B0C0000}"/>
    <cellStyle name="20 % - Markeringsfarve1 6 8" xfId="21844" xr:uid="{00000000-0005-0000-0000-00005C0C0000}"/>
    <cellStyle name="20 % - Markeringsfarve1 6 9" xfId="36810" xr:uid="{00000000-0005-0000-0000-00005D0C0000}"/>
    <cellStyle name="20 % - Markeringsfarve1 7" xfId="4092" xr:uid="{00000000-0005-0000-0000-00005E0C0000}"/>
    <cellStyle name="20 % - Markeringsfarve1 7 2" xfId="4093" xr:uid="{00000000-0005-0000-0000-00005F0C0000}"/>
    <cellStyle name="20 % - Markeringsfarve1 7 2 2" xfId="4094" xr:uid="{00000000-0005-0000-0000-0000600C0000}"/>
    <cellStyle name="20 % - Markeringsfarve1 7 2 2 2" xfId="10051" xr:uid="{00000000-0005-0000-0000-0000610C0000}"/>
    <cellStyle name="20 % - Markeringsfarve1 7 2 2 2 2" xfId="17906" xr:uid="{00000000-0005-0000-0000-0000620C0000}"/>
    <cellStyle name="20 % - Markeringsfarve1 7 2 2 2 2 2" xfId="34182" xr:uid="{00000000-0005-0000-0000-0000630C0000}"/>
    <cellStyle name="20 % - Markeringsfarve1 7 2 2 2 2 3" xfId="49141" xr:uid="{00000000-0005-0000-0000-0000640C0000}"/>
    <cellStyle name="20 % - Markeringsfarve1 7 2 2 2 3" xfId="27180" xr:uid="{00000000-0005-0000-0000-0000650C0000}"/>
    <cellStyle name="20 % - Markeringsfarve1 7 2 2 2 4" xfId="42144" xr:uid="{00000000-0005-0000-0000-0000660C0000}"/>
    <cellStyle name="20 % - Markeringsfarve1 7 2 2 3" xfId="12579" xr:uid="{00000000-0005-0000-0000-0000670C0000}"/>
    <cellStyle name="20 % - Markeringsfarve1 7 2 2 3 2" xfId="28858" xr:uid="{00000000-0005-0000-0000-0000680C0000}"/>
    <cellStyle name="20 % - Markeringsfarve1 7 2 2 3 3" xfId="43819" xr:uid="{00000000-0005-0000-0000-0000690C0000}"/>
    <cellStyle name="20 % - Markeringsfarve1 7 2 2 4" xfId="21856" xr:uid="{00000000-0005-0000-0000-00006A0C0000}"/>
    <cellStyle name="20 % - Markeringsfarve1 7 2 2 5" xfId="36822" xr:uid="{00000000-0005-0000-0000-00006B0C0000}"/>
    <cellStyle name="20 % - Markeringsfarve1 7 2 3" xfId="8599" xr:uid="{00000000-0005-0000-0000-00006C0C0000}"/>
    <cellStyle name="20 % - Markeringsfarve1 7 2 3 2" xfId="16466" xr:uid="{00000000-0005-0000-0000-00006D0C0000}"/>
    <cellStyle name="20 % - Markeringsfarve1 7 2 3 2 2" xfId="32742" xr:uid="{00000000-0005-0000-0000-00006E0C0000}"/>
    <cellStyle name="20 % - Markeringsfarve1 7 2 3 2 3" xfId="47701" xr:uid="{00000000-0005-0000-0000-00006F0C0000}"/>
    <cellStyle name="20 % - Markeringsfarve1 7 2 3 3" xfId="25740" xr:uid="{00000000-0005-0000-0000-0000700C0000}"/>
    <cellStyle name="20 % - Markeringsfarve1 7 2 3 4" xfId="40704" xr:uid="{00000000-0005-0000-0000-0000710C0000}"/>
    <cellStyle name="20 % - Markeringsfarve1 7 2 4" xfId="12578" xr:uid="{00000000-0005-0000-0000-0000720C0000}"/>
    <cellStyle name="20 % - Markeringsfarve1 7 2 4 2" xfId="28857" xr:uid="{00000000-0005-0000-0000-0000730C0000}"/>
    <cellStyle name="20 % - Markeringsfarve1 7 2 4 3" xfId="43818" xr:uid="{00000000-0005-0000-0000-0000740C0000}"/>
    <cellStyle name="20 % - Markeringsfarve1 7 2 5" xfId="21855" xr:uid="{00000000-0005-0000-0000-0000750C0000}"/>
    <cellStyle name="20 % - Markeringsfarve1 7 2 6" xfId="36821" xr:uid="{00000000-0005-0000-0000-0000760C0000}"/>
    <cellStyle name="20 % - Markeringsfarve1 7 3" xfId="4095" xr:uid="{00000000-0005-0000-0000-0000770C0000}"/>
    <cellStyle name="20 % - Markeringsfarve1 7 3 2" xfId="9328" xr:uid="{00000000-0005-0000-0000-0000780C0000}"/>
    <cellStyle name="20 % - Markeringsfarve1 7 3 2 2" xfId="17191" xr:uid="{00000000-0005-0000-0000-0000790C0000}"/>
    <cellStyle name="20 % - Markeringsfarve1 7 3 2 2 2" xfId="33467" xr:uid="{00000000-0005-0000-0000-00007A0C0000}"/>
    <cellStyle name="20 % - Markeringsfarve1 7 3 2 2 3" xfId="48426" xr:uid="{00000000-0005-0000-0000-00007B0C0000}"/>
    <cellStyle name="20 % - Markeringsfarve1 7 3 2 3" xfId="26465" xr:uid="{00000000-0005-0000-0000-00007C0C0000}"/>
    <cellStyle name="20 % - Markeringsfarve1 7 3 2 4" xfId="41429" xr:uid="{00000000-0005-0000-0000-00007D0C0000}"/>
    <cellStyle name="20 % - Markeringsfarve1 7 3 3" xfId="12580" xr:uid="{00000000-0005-0000-0000-00007E0C0000}"/>
    <cellStyle name="20 % - Markeringsfarve1 7 3 3 2" xfId="28859" xr:uid="{00000000-0005-0000-0000-00007F0C0000}"/>
    <cellStyle name="20 % - Markeringsfarve1 7 3 3 3" xfId="43820" xr:uid="{00000000-0005-0000-0000-0000800C0000}"/>
    <cellStyle name="20 % - Markeringsfarve1 7 3 4" xfId="21857" xr:uid="{00000000-0005-0000-0000-0000810C0000}"/>
    <cellStyle name="20 % - Markeringsfarve1 7 3 5" xfId="36823" xr:uid="{00000000-0005-0000-0000-0000820C0000}"/>
    <cellStyle name="20 % - Markeringsfarve1 7 4" xfId="4096" xr:uid="{00000000-0005-0000-0000-0000830C0000}"/>
    <cellStyle name="20 % - Markeringsfarve1 7 4 2" xfId="10728" xr:uid="{00000000-0005-0000-0000-0000840C0000}"/>
    <cellStyle name="20 % - Markeringsfarve1 7 4 2 2" xfId="18572" xr:uid="{00000000-0005-0000-0000-0000850C0000}"/>
    <cellStyle name="20 % - Markeringsfarve1 7 4 2 2 2" xfId="34848" xr:uid="{00000000-0005-0000-0000-0000860C0000}"/>
    <cellStyle name="20 % - Markeringsfarve1 7 4 2 2 3" xfId="49807" xr:uid="{00000000-0005-0000-0000-0000870C0000}"/>
    <cellStyle name="20 % - Markeringsfarve1 7 4 2 3" xfId="27846" xr:uid="{00000000-0005-0000-0000-0000880C0000}"/>
    <cellStyle name="20 % - Markeringsfarve1 7 4 2 4" xfId="42810" xr:uid="{00000000-0005-0000-0000-0000890C0000}"/>
    <cellStyle name="20 % - Markeringsfarve1 7 4 3" xfId="12581" xr:uid="{00000000-0005-0000-0000-00008A0C0000}"/>
    <cellStyle name="20 % - Markeringsfarve1 7 4 3 2" xfId="28860" xr:uid="{00000000-0005-0000-0000-00008B0C0000}"/>
    <cellStyle name="20 % - Markeringsfarve1 7 4 3 3" xfId="43821" xr:uid="{00000000-0005-0000-0000-00008C0C0000}"/>
    <cellStyle name="20 % - Markeringsfarve1 7 4 4" xfId="21858" xr:uid="{00000000-0005-0000-0000-00008D0C0000}"/>
    <cellStyle name="20 % - Markeringsfarve1 7 4 5" xfId="36824" xr:uid="{00000000-0005-0000-0000-00008E0C0000}"/>
    <cellStyle name="20 % - Markeringsfarve1 7 5" xfId="7672" xr:uid="{00000000-0005-0000-0000-00008F0C0000}"/>
    <cellStyle name="20 % - Markeringsfarve1 7 5 2" xfId="15537" xr:uid="{00000000-0005-0000-0000-0000900C0000}"/>
    <cellStyle name="20 % - Markeringsfarve1 7 5 2 2" xfId="31813" xr:uid="{00000000-0005-0000-0000-0000910C0000}"/>
    <cellStyle name="20 % - Markeringsfarve1 7 5 2 3" xfId="46772" xr:uid="{00000000-0005-0000-0000-0000920C0000}"/>
    <cellStyle name="20 % - Markeringsfarve1 7 5 3" xfId="24811" xr:uid="{00000000-0005-0000-0000-0000930C0000}"/>
    <cellStyle name="20 % - Markeringsfarve1 7 5 4" xfId="39775" xr:uid="{00000000-0005-0000-0000-0000940C0000}"/>
    <cellStyle name="20 % - Markeringsfarve1 7 6" xfId="12577" xr:uid="{00000000-0005-0000-0000-0000950C0000}"/>
    <cellStyle name="20 % - Markeringsfarve1 7 6 2" xfId="28856" xr:uid="{00000000-0005-0000-0000-0000960C0000}"/>
    <cellStyle name="20 % - Markeringsfarve1 7 6 3" xfId="43817" xr:uid="{00000000-0005-0000-0000-0000970C0000}"/>
    <cellStyle name="20 % - Markeringsfarve1 7 7" xfId="21854" xr:uid="{00000000-0005-0000-0000-0000980C0000}"/>
    <cellStyle name="20 % - Markeringsfarve1 7 8" xfId="36820" xr:uid="{00000000-0005-0000-0000-0000990C0000}"/>
    <cellStyle name="20 % - Markeringsfarve1 8" xfId="4097" xr:uid="{00000000-0005-0000-0000-00009A0C0000}"/>
    <cellStyle name="20 % - Markeringsfarve1 8 2" xfId="4098" xr:uid="{00000000-0005-0000-0000-00009B0C0000}"/>
    <cellStyle name="20 % - Markeringsfarve1 8 2 2" xfId="4099" xr:uid="{00000000-0005-0000-0000-00009C0C0000}"/>
    <cellStyle name="20 % - Markeringsfarve1 8 2 2 2" xfId="10168" xr:uid="{00000000-0005-0000-0000-00009D0C0000}"/>
    <cellStyle name="20 % - Markeringsfarve1 8 2 2 2 2" xfId="18023" xr:uid="{00000000-0005-0000-0000-00009E0C0000}"/>
    <cellStyle name="20 % - Markeringsfarve1 8 2 2 2 2 2" xfId="34299" xr:uid="{00000000-0005-0000-0000-00009F0C0000}"/>
    <cellStyle name="20 % - Markeringsfarve1 8 2 2 2 2 3" xfId="49258" xr:uid="{00000000-0005-0000-0000-0000A00C0000}"/>
    <cellStyle name="20 % - Markeringsfarve1 8 2 2 2 3" xfId="27297" xr:uid="{00000000-0005-0000-0000-0000A10C0000}"/>
    <cellStyle name="20 % - Markeringsfarve1 8 2 2 2 4" xfId="42261" xr:uid="{00000000-0005-0000-0000-0000A20C0000}"/>
    <cellStyle name="20 % - Markeringsfarve1 8 2 2 3" xfId="12584" xr:uid="{00000000-0005-0000-0000-0000A30C0000}"/>
    <cellStyle name="20 % - Markeringsfarve1 8 2 2 3 2" xfId="28863" xr:uid="{00000000-0005-0000-0000-0000A40C0000}"/>
    <cellStyle name="20 % - Markeringsfarve1 8 2 2 3 3" xfId="43824" xr:uid="{00000000-0005-0000-0000-0000A50C0000}"/>
    <cellStyle name="20 % - Markeringsfarve1 8 2 2 4" xfId="21861" xr:uid="{00000000-0005-0000-0000-0000A60C0000}"/>
    <cellStyle name="20 % - Markeringsfarve1 8 2 2 5" xfId="36827" xr:uid="{00000000-0005-0000-0000-0000A70C0000}"/>
    <cellStyle name="20 % - Markeringsfarve1 8 2 3" xfId="8698" xr:uid="{00000000-0005-0000-0000-0000A80C0000}"/>
    <cellStyle name="20 % - Markeringsfarve1 8 2 3 2" xfId="16565" xr:uid="{00000000-0005-0000-0000-0000A90C0000}"/>
    <cellStyle name="20 % - Markeringsfarve1 8 2 3 2 2" xfId="32841" xr:uid="{00000000-0005-0000-0000-0000AA0C0000}"/>
    <cellStyle name="20 % - Markeringsfarve1 8 2 3 2 3" xfId="47800" xr:uid="{00000000-0005-0000-0000-0000AB0C0000}"/>
    <cellStyle name="20 % - Markeringsfarve1 8 2 3 3" xfId="25839" xr:uid="{00000000-0005-0000-0000-0000AC0C0000}"/>
    <cellStyle name="20 % - Markeringsfarve1 8 2 3 4" xfId="40803" xr:uid="{00000000-0005-0000-0000-0000AD0C0000}"/>
    <cellStyle name="20 % - Markeringsfarve1 8 2 4" xfId="12583" xr:uid="{00000000-0005-0000-0000-0000AE0C0000}"/>
    <cellStyle name="20 % - Markeringsfarve1 8 2 4 2" xfId="28862" xr:uid="{00000000-0005-0000-0000-0000AF0C0000}"/>
    <cellStyle name="20 % - Markeringsfarve1 8 2 4 3" xfId="43823" xr:uid="{00000000-0005-0000-0000-0000B00C0000}"/>
    <cellStyle name="20 % - Markeringsfarve1 8 2 5" xfId="21860" xr:uid="{00000000-0005-0000-0000-0000B10C0000}"/>
    <cellStyle name="20 % - Markeringsfarve1 8 2 6" xfId="36826" xr:uid="{00000000-0005-0000-0000-0000B20C0000}"/>
    <cellStyle name="20 % - Markeringsfarve1 8 3" xfId="4100" xr:uid="{00000000-0005-0000-0000-0000B30C0000}"/>
    <cellStyle name="20 % - Markeringsfarve1 8 3 2" xfId="9445" xr:uid="{00000000-0005-0000-0000-0000B40C0000}"/>
    <cellStyle name="20 % - Markeringsfarve1 8 3 2 2" xfId="17308" xr:uid="{00000000-0005-0000-0000-0000B50C0000}"/>
    <cellStyle name="20 % - Markeringsfarve1 8 3 2 2 2" xfId="33584" xr:uid="{00000000-0005-0000-0000-0000B60C0000}"/>
    <cellStyle name="20 % - Markeringsfarve1 8 3 2 2 3" xfId="48543" xr:uid="{00000000-0005-0000-0000-0000B70C0000}"/>
    <cellStyle name="20 % - Markeringsfarve1 8 3 2 3" xfId="26582" xr:uid="{00000000-0005-0000-0000-0000B80C0000}"/>
    <cellStyle name="20 % - Markeringsfarve1 8 3 2 4" xfId="41546" xr:uid="{00000000-0005-0000-0000-0000B90C0000}"/>
    <cellStyle name="20 % - Markeringsfarve1 8 3 3" xfId="12585" xr:uid="{00000000-0005-0000-0000-0000BA0C0000}"/>
    <cellStyle name="20 % - Markeringsfarve1 8 3 3 2" xfId="28864" xr:uid="{00000000-0005-0000-0000-0000BB0C0000}"/>
    <cellStyle name="20 % - Markeringsfarve1 8 3 3 3" xfId="43825" xr:uid="{00000000-0005-0000-0000-0000BC0C0000}"/>
    <cellStyle name="20 % - Markeringsfarve1 8 3 4" xfId="21862" xr:uid="{00000000-0005-0000-0000-0000BD0C0000}"/>
    <cellStyle name="20 % - Markeringsfarve1 8 3 5" xfId="36828" xr:uid="{00000000-0005-0000-0000-0000BE0C0000}"/>
    <cellStyle name="20 % - Markeringsfarve1 8 4" xfId="4101" xr:uid="{00000000-0005-0000-0000-0000BF0C0000}"/>
    <cellStyle name="20 % - Markeringsfarve1 8 4 2" xfId="10865" xr:uid="{00000000-0005-0000-0000-0000C00C0000}"/>
    <cellStyle name="20 % - Markeringsfarve1 8 4 2 2" xfId="18703" xr:uid="{00000000-0005-0000-0000-0000C10C0000}"/>
    <cellStyle name="20 % - Markeringsfarve1 8 4 2 2 2" xfId="34979" xr:uid="{00000000-0005-0000-0000-0000C20C0000}"/>
    <cellStyle name="20 % - Markeringsfarve1 8 4 2 2 3" xfId="49938" xr:uid="{00000000-0005-0000-0000-0000C30C0000}"/>
    <cellStyle name="20 % - Markeringsfarve1 8 4 2 3" xfId="27977" xr:uid="{00000000-0005-0000-0000-0000C40C0000}"/>
    <cellStyle name="20 % - Markeringsfarve1 8 4 2 4" xfId="42941" xr:uid="{00000000-0005-0000-0000-0000C50C0000}"/>
    <cellStyle name="20 % - Markeringsfarve1 8 4 3" xfId="12586" xr:uid="{00000000-0005-0000-0000-0000C60C0000}"/>
    <cellStyle name="20 % - Markeringsfarve1 8 4 3 2" xfId="28865" xr:uid="{00000000-0005-0000-0000-0000C70C0000}"/>
    <cellStyle name="20 % - Markeringsfarve1 8 4 3 3" xfId="43826" xr:uid="{00000000-0005-0000-0000-0000C80C0000}"/>
    <cellStyle name="20 % - Markeringsfarve1 8 4 4" xfId="21863" xr:uid="{00000000-0005-0000-0000-0000C90C0000}"/>
    <cellStyle name="20 % - Markeringsfarve1 8 4 5" xfId="36829" xr:uid="{00000000-0005-0000-0000-0000CA0C0000}"/>
    <cellStyle name="20 % - Markeringsfarve1 8 5" xfId="7673" xr:uid="{00000000-0005-0000-0000-0000CB0C0000}"/>
    <cellStyle name="20 % - Markeringsfarve1 8 5 2" xfId="15538" xr:uid="{00000000-0005-0000-0000-0000CC0C0000}"/>
    <cellStyle name="20 % - Markeringsfarve1 8 5 2 2" xfId="31814" xr:uid="{00000000-0005-0000-0000-0000CD0C0000}"/>
    <cellStyle name="20 % - Markeringsfarve1 8 5 2 3" xfId="46773" xr:uid="{00000000-0005-0000-0000-0000CE0C0000}"/>
    <cellStyle name="20 % - Markeringsfarve1 8 5 3" xfId="24812" xr:uid="{00000000-0005-0000-0000-0000CF0C0000}"/>
    <cellStyle name="20 % - Markeringsfarve1 8 5 4" xfId="39776" xr:uid="{00000000-0005-0000-0000-0000D00C0000}"/>
    <cellStyle name="20 % - Markeringsfarve1 8 6" xfId="12582" xr:uid="{00000000-0005-0000-0000-0000D10C0000}"/>
    <cellStyle name="20 % - Markeringsfarve1 8 6 2" xfId="28861" xr:uid="{00000000-0005-0000-0000-0000D20C0000}"/>
    <cellStyle name="20 % - Markeringsfarve1 8 6 3" xfId="43822" xr:uid="{00000000-0005-0000-0000-0000D30C0000}"/>
    <cellStyle name="20 % - Markeringsfarve1 8 7" xfId="21859" xr:uid="{00000000-0005-0000-0000-0000D40C0000}"/>
    <cellStyle name="20 % - Markeringsfarve1 8 8" xfId="36825" xr:uid="{00000000-0005-0000-0000-0000D50C0000}"/>
    <cellStyle name="20 % - Markeringsfarve1 9" xfId="4102" xr:uid="{00000000-0005-0000-0000-0000D60C0000}"/>
    <cellStyle name="20 % - Markeringsfarve1 9 2" xfId="4103" xr:uid="{00000000-0005-0000-0000-0000D70C0000}"/>
    <cellStyle name="20 % - Markeringsfarve1 9 2 2" xfId="4104" xr:uid="{00000000-0005-0000-0000-0000D80C0000}"/>
    <cellStyle name="20 % - Markeringsfarve1 9 2 2 2" xfId="10285" xr:uid="{00000000-0005-0000-0000-0000D90C0000}"/>
    <cellStyle name="20 % - Markeringsfarve1 9 2 2 2 2" xfId="18140" xr:uid="{00000000-0005-0000-0000-0000DA0C0000}"/>
    <cellStyle name="20 % - Markeringsfarve1 9 2 2 2 2 2" xfId="34416" xr:uid="{00000000-0005-0000-0000-0000DB0C0000}"/>
    <cellStyle name="20 % - Markeringsfarve1 9 2 2 2 2 3" xfId="49375" xr:uid="{00000000-0005-0000-0000-0000DC0C0000}"/>
    <cellStyle name="20 % - Markeringsfarve1 9 2 2 2 3" xfId="27414" xr:uid="{00000000-0005-0000-0000-0000DD0C0000}"/>
    <cellStyle name="20 % - Markeringsfarve1 9 2 2 2 4" xfId="42378" xr:uid="{00000000-0005-0000-0000-0000DE0C0000}"/>
    <cellStyle name="20 % - Markeringsfarve1 9 2 2 3" xfId="12589" xr:uid="{00000000-0005-0000-0000-0000DF0C0000}"/>
    <cellStyle name="20 % - Markeringsfarve1 9 2 2 3 2" xfId="28868" xr:uid="{00000000-0005-0000-0000-0000E00C0000}"/>
    <cellStyle name="20 % - Markeringsfarve1 9 2 2 3 3" xfId="43829" xr:uid="{00000000-0005-0000-0000-0000E10C0000}"/>
    <cellStyle name="20 % - Markeringsfarve1 9 2 2 4" xfId="21866" xr:uid="{00000000-0005-0000-0000-0000E20C0000}"/>
    <cellStyle name="20 % - Markeringsfarve1 9 2 2 5" xfId="36832" xr:uid="{00000000-0005-0000-0000-0000E30C0000}"/>
    <cellStyle name="20 % - Markeringsfarve1 9 2 3" xfId="8797" xr:uid="{00000000-0005-0000-0000-0000E40C0000}"/>
    <cellStyle name="20 % - Markeringsfarve1 9 2 3 2" xfId="16664" xr:uid="{00000000-0005-0000-0000-0000E50C0000}"/>
    <cellStyle name="20 % - Markeringsfarve1 9 2 3 2 2" xfId="32940" xr:uid="{00000000-0005-0000-0000-0000E60C0000}"/>
    <cellStyle name="20 % - Markeringsfarve1 9 2 3 2 3" xfId="47899" xr:uid="{00000000-0005-0000-0000-0000E70C0000}"/>
    <cellStyle name="20 % - Markeringsfarve1 9 2 3 3" xfId="25938" xr:uid="{00000000-0005-0000-0000-0000E80C0000}"/>
    <cellStyle name="20 % - Markeringsfarve1 9 2 3 4" xfId="40902" xr:uid="{00000000-0005-0000-0000-0000E90C0000}"/>
    <cellStyle name="20 % - Markeringsfarve1 9 2 4" xfId="12588" xr:uid="{00000000-0005-0000-0000-0000EA0C0000}"/>
    <cellStyle name="20 % - Markeringsfarve1 9 2 4 2" xfId="28867" xr:uid="{00000000-0005-0000-0000-0000EB0C0000}"/>
    <cellStyle name="20 % - Markeringsfarve1 9 2 4 3" xfId="43828" xr:uid="{00000000-0005-0000-0000-0000EC0C0000}"/>
    <cellStyle name="20 % - Markeringsfarve1 9 2 5" xfId="21865" xr:uid="{00000000-0005-0000-0000-0000ED0C0000}"/>
    <cellStyle name="20 % - Markeringsfarve1 9 2 6" xfId="36831" xr:uid="{00000000-0005-0000-0000-0000EE0C0000}"/>
    <cellStyle name="20 % - Markeringsfarve1 9 3" xfId="4105" xr:uid="{00000000-0005-0000-0000-0000EF0C0000}"/>
    <cellStyle name="20 % - Markeringsfarve1 9 3 2" xfId="9563" xr:uid="{00000000-0005-0000-0000-0000F00C0000}"/>
    <cellStyle name="20 % - Markeringsfarve1 9 3 2 2" xfId="17426" xr:uid="{00000000-0005-0000-0000-0000F10C0000}"/>
    <cellStyle name="20 % - Markeringsfarve1 9 3 2 2 2" xfId="33702" xr:uid="{00000000-0005-0000-0000-0000F20C0000}"/>
    <cellStyle name="20 % - Markeringsfarve1 9 3 2 2 3" xfId="48661" xr:uid="{00000000-0005-0000-0000-0000F30C0000}"/>
    <cellStyle name="20 % - Markeringsfarve1 9 3 2 3" xfId="26700" xr:uid="{00000000-0005-0000-0000-0000F40C0000}"/>
    <cellStyle name="20 % - Markeringsfarve1 9 3 2 4" xfId="41664" xr:uid="{00000000-0005-0000-0000-0000F50C0000}"/>
    <cellStyle name="20 % - Markeringsfarve1 9 3 3" xfId="12590" xr:uid="{00000000-0005-0000-0000-0000F60C0000}"/>
    <cellStyle name="20 % - Markeringsfarve1 9 3 3 2" xfId="28869" xr:uid="{00000000-0005-0000-0000-0000F70C0000}"/>
    <cellStyle name="20 % - Markeringsfarve1 9 3 3 3" xfId="43830" xr:uid="{00000000-0005-0000-0000-0000F80C0000}"/>
    <cellStyle name="20 % - Markeringsfarve1 9 3 4" xfId="21867" xr:uid="{00000000-0005-0000-0000-0000F90C0000}"/>
    <cellStyle name="20 % - Markeringsfarve1 9 3 5" xfId="36833" xr:uid="{00000000-0005-0000-0000-0000FA0C0000}"/>
    <cellStyle name="20 % - Markeringsfarve1 9 4" xfId="4106" xr:uid="{00000000-0005-0000-0000-0000FB0C0000}"/>
    <cellStyle name="20 % - Markeringsfarve1 9 4 2" xfId="10587" xr:uid="{00000000-0005-0000-0000-0000FC0C0000}"/>
    <cellStyle name="20 % - Markeringsfarve1 9 4 2 2" xfId="18436" xr:uid="{00000000-0005-0000-0000-0000FD0C0000}"/>
    <cellStyle name="20 % - Markeringsfarve1 9 4 2 2 2" xfId="34712" xr:uid="{00000000-0005-0000-0000-0000FE0C0000}"/>
    <cellStyle name="20 % - Markeringsfarve1 9 4 2 2 3" xfId="49671" xr:uid="{00000000-0005-0000-0000-0000FF0C0000}"/>
    <cellStyle name="20 % - Markeringsfarve1 9 4 2 3" xfId="27710" xr:uid="{00000000-0005-0000-0000-0000000D0000}"/>
    <cellStyle name="20 % - Markeringsfarve1 9 4 2 4" xfId="42674" xr:uid="{00000000-0005-0000-0000-0000010D0000}"/>
    <cellStyle name="20 % - Markeringsfarve1 9 4 3" xfId="12591" xr:uid="{00000000-0005-0000-0000-0000020D0000}"/>
    <cellStyle name="20 % - Markeringsfarve1 9 4 3 2" xfId="28870" xr:uid="{00000000-0005-0000-0000-0000030D0000}"/>
    <cellStyle name="20 % - Markeringsfarve1 9 4 3 3" xfId="43831" xr:uid="{00000000-0005-0000-0000-0000040D0000}"/>
    <cellStyle name="20 % - Markeringsfarve1 9 4 4" xfId="21868" xr:uid="{00000000-0005-0000-0000-0000050D0000}"/>
    <cellStyle name="20 % - Markeringsfarve1 9 4 5" xfId="36834" xr:uid="{00000000-0005-0000-0000-0000060D0000}"/>
    <cellStyle name="20 % - Markeringsfarve1 9 5" xfId="7674" xr:uid="{00000000-0005-0000-0000-0000070D0000}"/>
    <cellStyle name="20 % - Markeringsfarve1 9 5 2" xfId="15539" xr:uid="{00000000-0005-0000-0000-0000080D0000}"/>
    <cellStyle name="20 % - Markeringsfarve1 9 5 2 2" xfId="31815" xr:uid="{00000000-0005-0000-0000-0000090D0000}"/>
    <cellStyle name="20 % - Markeringsfarve1 9 5 2 3" xfId="46774" xr:uid="{00000000-0005-0000-0000-00000A0D0000}"/>
    <cellStyle name="20 % - Markeringsfarve1 9 5 3" xfId="24813" xr:uid="{00000000-0005-0000-0000-00000B0D0000}"/>
    <cellStyle name="20 % - Markeringsfarve1 9 5 4" xfId="39777" xr:uid="{00000000-0005-0000-0000-00000C0D0000}"/>
    <cellStyle name="20 % - Markeringsfarve1 9 6" xfId="12587" xr:uid="{00000000-0005-0000-0000-00000D0D0000}"/>
    <cellStyle name="20 % - Markeringsfarve1 9 6 2" xfId="28866" xr:uid="{00000000-0005-0000-0000-00000E0D0000}"/>
    <cellStyle name="20 % - Markeringsfarve1 9 6 3" xfId="43827" xr:uid="{00000000-0005-0000-0000-00000F0D0000}"/>
    <cellStyle name="20 % - Markeringsfarve1 9 7" xfId="21864" xr:uid="{00000000-0005-0000-0000-0000100D0000}"/>
    <cellStyle name="20 % - Markeringsfarve1 9 8" xfId="36830" xr:uid="{00000000-0005-0000-0000-0000110D0000}"/>
    <cellStyle name="20 % - Markeringsfarve2 10" xfId="4108" xr:uid="{00000000-0005-0000-0000-0000120D0000}"/>
    <cellStyle name="20 % - Markeringsfarve2 10 2" xfId="4109" xr:uid="{00000000-0005-0000-0000-0000130D0000}"/>
    <cellStyle name="20 % - Markeringsfarve2 10 2 2" xfId="9696" xr:uid="{00000000-0005-0000-0000-0000140D0000}"/>
    <cellStyle name="20 % - Markeringsfarve2 10 2 2 2" xfId="17550" xr:uid="{00000000-0005-0000-0000-0000150D0000}"/>
    <cellStyle name="20 % - Markeringsfarve2 10 2 2 2 2" xfId="33826" xr:uid="{00000000-0005-0000-0000-0000160D0000}"/>
    <cellStyle name="20 % - Markeringsfarve2 10 2 2 2 3" xfId="48785" xr:uid="{00000000-0005-0000-0000-0000170D0000}"/>
    <cellStyle name="20 % - Markeringsfarve2 10 2 2 3" xfId="26824" xr:uid="{00000000-0005-0000-0000-0000180D0000}"/>
    <cellStyle name="20 % - Markeringsfarve2 10 2 2 4" xfId="41788" xr:uid="{00000000-0005-0000-0000-0000190D0000}"/>
    <cellStyle name="20 % - Markeringsfarve2 10 2 3" xfId="12594" xr:uid="{00000000-0005-0000-0000-00001A0D0000}"/>
    <cellStyle name="20 % - Markeringsfarve2 10 2 3 2" xfId="28873" xr:uid="{00000000-0005-0000-0000-00001B0D0000}"/>
    <cellStyle name="20 % - Markeringsfarve2 10 2 3 3" xfId="43834" xr:uid="{00000000-0005-0000-0000-00001C0D0000}"/>
    <cellStyle name="20 % - Markeringsfarve2 10 2 4" xfId="21871" xr:uid="{00000000-0005-0000-0000-00001D0D0000}"/>
    <cellStyle name="20 % - Markeringsfarve2 10 2 5" xfId="36837" xr:uid="{00000000-0005-0000-0000-00001E0D0000}"/>
    <cellStyle name="20 % - Markeringsfarve2 10 3" xfId="4110" xr:uid="{00000000-0005-0000-0000-00001F0D0000}"/>
    <cellStyle name="20 % - Markeringsfarve2 10 3 2" xfId="10539" xr:uid="{00000000-0005-0000-0000-0000200D0000}"/>
    <cellStyle name="20 % - Markeringsfarve2 10 3 2 2" xfId="18388" xr:uid="{00000000-0005-0000-0000-0000210D0000}"/>
    <cellStyle name="20 % - Markeringsfarve2 10 3 2 2 2" xfId="34664" xr:uid="{00000000-0005-0000-0000-0000220D0000}"/>
    <cellStyle name="20 % - Markeringsfarve2 10 3 2 2 3" xfId="49623" xr:uid="{00000000-0005-0000-0000-0000230D0000}"/>
    <cellStyle name="20 % - Markeringsfarve2 10 3 2 3" xfId="27662" xr:uid="{00000000-0005-0000-0000-0000240D0000}"/>
    <cellStyle name="20 % - Markeringsfarve2 10 3 2 4" xfId="42626" xr:uid="{00000000-0005-0000-0000-0000250D0000}"/>
    <cellStyle name="20 % - Markeringsfarve2 10 3 3" xfId="12595" xr:uid="{00000000-0005-0000-0000-0000260D0000}"/>
    <cellStyle name="20 % - Markeringsfarve2 10 3 3 2" xfId="28874" xr:uid="{00000000-0005-0000-0000-0000270D0000}"/>
    <cellStyle name="20 % - Markeringsfarve2 10 3 3 3" xfId="43835" xr:uid="{00000000-0005-0000-0000-0000280D0000}"/>
    <cellStyle name="20 % - Markeringsfarve2 10 3 4" xfId="21872" xr:uid="{00000000-0005-0000-0000-0000290D0000}"/>
    <cellStyle name="20 % - Markeringsfarve2 10 3 5" xfId="36838" xr:uid="{00000000-0005-0000-0000-00002A0D0000}"/>
    <cellStyle name="20 % - Markeringsfarve2 10 4" xfId="7676" xr:uid="{00000000-0005-0000-0000-00002B0D0000}"/>
    <cellStyle name="20 % - Markeringsfarve2 10 4 2" xfId="15541" xr:uid="{00000000-0005-0000-0000-00002C0D0000}"/>
    <cellStyle name="20 % - Markeringsfarve2 10 4 2 2" xfId="31817" xr:uid="{00000000-0005-0000-0000-00002D0D0000}"/>
    <cellStyle name="20 % - Markeringsfarve2 10 4 2 3" xfId="46776" xr:uid="{00000000-0005-0000-0000-00002E0D0000}"/>
    <cellStyle name="20 % - Markeringsfarve2 10 4 3" xfId="24815" xr:uid="{00000000-0005-0000-0000-00002F0D0000}"/>
    <cellStyle name="20 % - Markeringsfarve2 10 4 4" xfId="39779" xr:uid="{00000000-0005-0000-0000-0000300D0000}"/>
    <cellStyle name="20 % - Markeringsfarve2 10 5" xfId="12593" xr:uid="{00000000-0005-0000-0000-0000310D0000}"/>
    <cellStyle name="20 % - Markeringsfarve2 10 5 2" xfId="28872" xr:uid="{00000000-0005-0000-0000-0000320D0000}"/>
    <cellStyle name="20 % - Markeringsfarve2 10 5 3" xfId="43833" xr:uid="{00000000-0005-0000-0000-0000330D0000}"/>
    <cellStyle name="20 % - Markeringsfarve2 10 6" xfId="21870" xr:uid="{00000000-0005-0000-0000-0000340D0000}"/>
    <cellStyle name="20 % - Markeringsfarve2 10 7" xfId="36836" xr:uid="{00000000-0005-0000-0000-0000350D0000}"/>
    <cellStyle name="20 % - Markeringsfarve2 11" xfId="4111" xr:uid="{00000000-0005-0000-0000-0000360D0000}"/>
    <cellStyle name="20 % - Markeringsfarve2 11 2" xfId="4112" xr:uid="{00000000-0005-0000-0000-0000370D0000}"/>
    <cellStyle name="20 % - Markeringsfarve2 11 2 2" xfId="10864" xr:uid="{00000000-0005-0000-0000-0000380D0000}"/>
    <cellStyle name="20 % - Markeringsfarve2 11 2 2 2" xfId="18702" xr:uid="{00000000-0005-0000-0000-0000390D0000}"/>
    <cellStyle name="20 % - Markeringsfarve2 11 2 2 2 2" xfId="34978" xr:uid="{00000000-0005-0000-0000-00003A0D0000}"/>
    <cellStyle name="20 % - Markeringsfarve2 11 2 2 2 3" xfId="49937" xr:uid="{00000000-0005-0000-0000-00003B0D0000}"/>
    <cellStyle name="20 % - Markeringsfarve2 11 2 2 3" xfId="27976" xr:uid="{00000000-0005-0000-0000-00003C0D0000}"/>
    <cellStyle name="20 % - Markeringsfarve2 11 2 2 4" xfId="42940" xr:uid="{00000000-0005-0000-0000-00003D0D0000}"/>
    <cellStyle name="20 % - Markeringsfarve2 11 2 3" xfId="12597" xr:uid="{00000000-0005-0000-0000-00003E0D0000}"/>
    <cellStyle name="20 % - Markeringsfarve2 11 2 3 2" xfId="28876" xr:uid="{00000000-0005-0000-0000-00003F0D0000}"/>
    <cellStyle name="20 % - Markeringsfarve2 11 2 3 3" xfId="43837" xr:uid="{00000000-0005-0000-0000-0000400D0000}"/>
    <cellStyle name="20 % - Markeringsfarve2 11 2 4" xfId="21874" xr:uid="{00000000-0005-0000-0000-0000410D0000}"/>
    <cellStyle name="20 % - Markeringsfarve2 11 2 5" xfId="36840" xr:uid="{00000000-0005-0000-0000-0000420D0000}"/>
    <cellStyle name="20 % - Markeringsfarve2 11 3" xfId="7677" xr:uid="{00000000-0005-0000-0000-0000430D0000}"/>
    <cellStyle name="20 % - Markeringsfarve2 11 3 2" xfId="15542" xr:uid="{00000000-0005-0000-0000-0000440D0000}"/>
    <cellStyle name="20 % - Markeringsfarve2 11 3 2 2" xfId="31818" xr:uid="{00000000-0005-0000-0000-0000450D0000}"/>
    <cellStyle name="20 % - Markeringsfarve2 11 3 2 3" xfId="46777" xr:uid="{00000000-0005-0000-0000-0000460D0000}"/>
    <cellStyle name="20 % - Markeringsfarve2 11 3 3" xfId="24816" xr:uid="{00000000-0005-0000-0000-0000470D0000}"/>
    <cellStyle name="20 % - Markeringsfarve2 11 3 4" xfId="39780" xr:uid="{00000000-0005-0000-0000-0000480D0000}"/>
    <cellStyle name="20 % - Markeringsfarve2 11 4" xfId="12596" xr:uid="{00000000-0005-0000-0000-0000490D0000}"/>
    <cellStyle name="20 % - Markeringsfarve2 11 4 2" xfId="28875" xr:uid="{00000000-0005-0000-0000-00004A0D0000}"/>
    <cellStyle name="20 % - Markeringsfarve2 11 4 3" xfId="43836" xr:uid="{00000000-0005-0000-0000-00004B0D0000}"/>
    <cellStyle name="20 % - Markeringsfarve2 11 5" xfId="21873" xr:uid="{00000000-0005-0000-0000-00004C0D0000}"/>
    <cellStyle name="20 % - Markeringsfarve2 11 6" xfId="36839" xr:uid="{00000000-0005-0000-0000-00004D0D0000}"/>
    <cellStyle name="20 % - Markeringsfarve2 12" xfId="4113" xr:uid="{00000000-0005-0000-0000-00004E0D0000}"/>
    <cellStyle name="20 % - Markeringsfarve2 12 2" xfId="4114" xr:uid="{00000000-0005-0000-0000-00004F0D0000}"/>
    <cellStyle name="20 % - Markeringsfarve2 12 2 2" xfId="10538" xr:uid="{00000000-0005-0000-0000-0000500D0000}"/>
    <cellStyle name="20 % - Markeringsfarve2 12 2 2 2" xfId="18387" xr:uid="{00000000-0005-0000-0000-0000510D0000}"/>
    <cellStyle name="20 % - Markeringsfarve2 12 2 2 2 2" xfId="34663" xr:uid="{00000000-0005-0000-0000-0000520D0000}"/>
    <cellStyle name="20 % - Markeringsfarve2 12 2 2 2 3" xfId="49622" xr:uid="{00000000-0005-0000-0000-0000530D0000}"/>
    <cellStyle name="20 % - Markeringsfarve2 12 2 2 3" xfId="27661" xr:uid="{00000000-0005-0000-0000-0000540D0000}"/>
    <cellStyle name="20 % - Markeringsfarve2 12 2 2 4" xfId="42625" xr:uid="{00000000-0005-0000-0000-0000550D0000}"/>
    <cellStyle name="20 % - Markeringsfarve2 12 2 3" xfId="12599" xr:uid="{00000000-0005-0000-0000-0000560D0000}"/>
    <cellStyle name="20 % - Markeringsfarve2 12 2 3 2" xfId="28878" xr:uid="{00000000-0005-0000-0000-0000570D0000}"/>
    <cellStyle name="20 % - Markeringsfarve2 12 2 3 3" xfId="43839" xr:uid="{00000000-0005-0000-0000-0000580D0000}"/>
    <cellStyle name="20 % - Markeringsfarve2 12 2 4" xfId="21876" xr:uid="{00000000-0005-0000-0000-0000590D0000}"/>
    <cellStyle name="20 % - Markeringsfarve2 12 2 5" xfId="36842" xr:uid="{00000000-0005-0000-0000-00005A0D0000}"/>
    <cellStyle name="20 % - Markeringsfarve2 12 3" xfId="7678" xr:uid="{00000000-0005-0000-0000-00005B0D0000}"/>
    <cellStyle name="20 % - Markeringsfarve2 12 3 2" xfId="15543" xr:uid="{00000000-0005-0000-0000-00005C0D0000}"/>
    <cellStyle name="20 % - Markeringsfarve2 12 3 2 2" xfId="31819" xr:uid="{00000000-0005-0000-0000-00005D0D0000}"/>
    <cellStyle name="20 % - Markeringsfarve2 12 3 2 3" xfId="46778" xr:uid="{00000000-0005-0000-0000-00005E0D0000}"/>
    <cellStyle name="20 % - Markeringsfarve2 12 3 3" xfId="24817" xr:uid="{00000000-0005-0000-0000-00005F0D0000}"/>
    <cellStyle name="20 % - Markeringsfarve2 12 3 4" xfId="39781" xr:uid="{00000000-0005-0000-0000-0000600D0000}"/>
    <cellStyle name="20 % - Markeringsfarve2 12 4" xfId="12598" xr:uid="{00000000-0005-0000-0000-0000610D0000}"/>
    <cellStyle name="20 % - Markeringsfarve2 12 4 2" xfId="28877" xr:uid="{00000000-0005-0000-0000-0000620D0000}"/>
    <cellStyle name="20 % - Markeringsfarve2 12 4 3" xfId="43838" xr:uid="{00000000-0005-0000-0000-0000630D0000}"/>
    <cellStyle name="20 % - Markeringsfarve2 12 5" xfId="21875" xr:uid="{00000000-0005-0000-0000-0000640D0000}"/>
    <cellStyle name="20 % - Markeringsfarve2 12 6" xfId="36841" xr:uid="{00000000-0005-0000-0000-0000650D0000}"/>
    <cellStyle name="20 % - Markeringsfarve2 13" xfId="4115" xr:uid="{00000000-0005-0000-0000-0000660D0000}"/>
    <cellStyle name="20 % - Markeringsfarve2 13 2" xfId="4116" xr:uid="{00000000-0005-0000-0000-0000670D0000}"/>
    <cellStyle name="20 % - Markeringsfarve2 13 2 2" xfId="10821" xr:uid="{00000000-0005-0000-0000-0000680D0000}"/>
    <cellStyle name="20 % - Markeringsfarve2 13 2 2 2" xfId="18661" xr:uid="{00000000-0005-0000-0000-0000690D0000}"/>
    <cellStyle name="20 % - Markeringsfarve2 13 2 2 2 2" xfId="34937" xr:uid="{00000000-0005-0000-0000-00006A0D0000}"/>
    <cellStyle name="20 % - Markeringsfarve2 13 2 2 2 3" xfId="49896" xr:uid="{00000000-0005-0000-0000-00006B0D0000}"/>
    <cellStyle name="20 % - Markeringsfarve2 13 2 2 3" xfId="27935" xr:uid="{00000000-0005-0000-0000-00006C0D0000}"/>
    <cellStyle name="20 % - Markeringsfarve2 13 2 2 4" xfId="42899" xr:uid="{00000000-0005-0000-0000-00006D0D0000}"/>
    <cellStyle name="20 % - Markeringsfarve2 13 2 3" xfId="12601" xr:uid="{00000000-0005-0000-0000-00006E0D0000}"/>
    <cellStyle name="20 % - Markeringsfarve2 13 2 3 2" xfId="28880" xr:uid="{00000000-0005-0000-0000-00006F0D0000}"/>
    <cellStyle name="20 % - Markeringsfarve2 13 2 3 3" xfId="43841" xr:uid="{00000000-0005-0000-0000-0000700D0000}"/>
    <cellStyle name="20 % - Markeringsfarve2 13 2 4" xfId="21878" xr:uid="{00000000-0005-0000-0000-0000710D0000}"/>
    <cellStyle name="20 % - Markeringsfarve2 13 2 5" xfId="36844" xr:uid="{00000000-0005-0000-0000-0000720D0000}"/>
    <cellStyle name="20 % - Markeringsfarve2 13 3" xfId="7675" xr:uid="{00000000-0005-0000-0000-0000730D0000}"/>
    <cellStyle name="20 % - Markeringsfarve2 13 3 2" xfId="15540" xr:uid="{00000000-0005-0000-0000-0000740D0000}"/>
    <cellStyle name="20 % - Markeringsfarve2 13 3 2 2" xfId="31816" xr:uid="{00000000-0005-0000-0000-0000750D0000}"/>
    <cellStyle name="20 % - Markeringsfarve2 13 3 2 3" xfId="46775" xr:uid="{00000000-0005-0000-0000-0000760D0000}"/>
    <cellStyle name="20 % - Markeringsfarve2 13 3 3" xfId="24814" xr:uid="{00000000-0005-0000-0000-0000770D0000}"/>
    <cellStyle name="20 % - Markeringsfarve2 13 3 4" xfId="39778" xr:uid="{00000000-0005-0000-0000-0000780D0000}"/>
    <cellStyle name="20 % - Markeringsfarve2 13 4" xfId="12600" xr:uid="{00000000-0005-0000-0000-0000790D0000}"/>
    <cellStyle name="20 % - Markeringsfarve2 13 4 2" xfId="28879" xr:uid="{00000000-0005-0000-0000-00007A0D0000}"/>
    <cellStyle name="20 % - Markeringsfarve2 13 4 3" xfId="43840" xr:uid="{00000000-0005-0000-0000-00007B0D0000}"/>
    <cellStyle name="20 % - Markeringsfarve2 13 5" xfId="21877" xr:uid="{00000000-0005-0000-0000-00007C0D0000}"/>
    <cellStyle name="20 % - Markeringsfarve2 13 6" xfId="36843" xr:uid="{00000000-0005-0000-0000-00007D0D0000}"/>
    <cellStyle name="20 % - Markeringsfarve2 14" xfId="4117" xr:uid="{00000000-0005-0000-0000-00007E0D0000}"/>
    <cellStyle name="20 % - Markeringsfarve2 14 2" xfId="8918" xr:uid="{00000000-0005-0000-0000-00007F0D0000}"/>
    <cellStyle name="20 % - Markeringsfarve2 14 2 2" xfId="16784" xr:uid="{00000000-0005-0000-0000-0000800D0000}"/>
    <cellStyle name="20 % - Markeringsfarve2 14 2 2 2" xfId="33060" xr:uid="{00000000-0005-0000-0000-0000810D0000}"/>
    <cellStyle name="20 % - Markeringsfarve2 14 2 2 3" xfId="48019" xr:uid="{00000000-0005-0000-0000-0000820D0000}"/>
    <cellStyle name="20 % - Markeringsfarve2 14 2 3" xfId="26058" xr:uid="{00000000-0005-0000-0000-0000830D0000}"/>
    <cellStyle name="20 % - Markeringsfarve2 14 2 4" xfId="41022" xr:uid="{00000000-0005-0000-0000-0000840D0000}"/>
    <cellStyle name="20 % - Markeringsfarve2 14 3" xfId="12602" xr:uid="{00000000-0005-0000-0000-0000850D0000}"/>
    <cellStyle name="20 % - Markeringsfarve2 14 3 2" xfId="28881" xr:uid="{00000000-0005-0000-0000-0000860D0000}"/>
    <cellStyle name="20 % - Markeringsfarve2 14 3 3" xfId="43842" xr:uid="{00000000-0005-0000-0000-0000870D0000}"/>
    <cellStyle name="20 % - Markeringsfarve2 14 4" xfId="21879" xr:uid="{00000000-0005-0000-0000-0000880D0000}"/>
    <cellStyle name="20 % - Markeringsfarve2 14 5" xfId="36845" xr:uid="{00000000-0005-0000-0000-0000890D0000}"/>
    <cellStyle name="20 % - Markeringsfarve2 15" xfId="4118" xr:uid="{00000000-0005-0000-0000-00008A0D0000}"/>
    <cellStyle name="20 % - Markeringsfarve2 15 2" xfId="10678" xr:uid="{00000000-0005-0000-0000-00008B0D0000}"/>
    <cellStyle name="20 % - Markeringsfarve2 15 2 2" xfId="18523" xr:uid="{00000000-0005-0000-0000-00008C0D0000}"/>
    <cellStyle name="20 % - Markeringsfarve2 15 2 2 2" xfId="34799" xr:uid="{00000000-0005-0000-0000-00008D0D0000}"/>
    <cellStyle name="20 % - Markeringsfarve2 15 2 2 3" xfId="49758" xr:uid="{00000000-0005-0000-0000-00008E0D0000}"/>
    <cellStyle name="20 % - Markeringsfarve2 15 2 3" xfId="27797" xr:uid="{00000000-0005-0000-0000-00008F0D0000}"/>
    <cellStyle name="20 % - Markeringsfarve2 15 2 4" xfId="42761" xr:uid="{00000000-0005-0000-0000-0000900D0000}"/>
    <cellStyle name="20 % - Markeringsfarve2 15 3" xfId="12603" xr:uid="{00000000-0005-0000-0000-0000910D0000}"/>
    <cellStyle name="20 % - Markeringsfarve2 15 3 2" xfId="28882" xr:uid="{00000000-0005-0000-0000-0000920D0000}"/>
    <cellStyle name="20 % - Markeringsfarve2 15 3 3" xfId="43843" xr:uid="{00000000-0005-0000-0000-0000930D0000}"/>
    <cellStyle name="20 % - Markeringsfarve2 15 4" xfId="21880" xr:uid="{00000000-0005-0000-0000-0000940D0000}"/>
    <cellStyle name="20 % - Markeringsfarve2 15 5" xfId="36846" xr:uid="{00000000-0005-0000-0000-0000950D0000}"/>
    <cellStyle name="20 % - Markeringsfarve2 16" xfId="4119" xr:uid="{00000000-0005-0000-0000-0000960D0000}"/>
    <cellStyle name="20 % - Markeringsfarve2 16 2" xfId="10534" xr:uid="{00000000-0005-0000-0000-0000970D0000}"/>
    <cellStyle name="20 % - Markeringsfarve2 16 2 2" xfId="18383" xr:uid="{00000000-0005-0000-0000-0000980D0000}"/>
    <cellStyle name="20 % - Markeringsfarve2 16 2 2 2" xfId="34659" xr:uid="{00000000-0005-0000-0000-0000990D0000}"/>
    <cellStyle name="20 % - Markeringsfarve2 16 2 2 3" xfId="49618" xr:uid="{00000000-0005-0000-0000-00009A0D0000}"/>
    <cellStyle name="20 % - Markeringsfarve2 16 2 3" xfId="27657" xr:uid="{00000000-0005-0000-0000-00009B0D0000}"/>
    <cellStyle name="20 % - Markeringsfarve2 16 2 4" xfId="42621" xr:uid="{00000000-0005-0000-0000-00009C0D0000}"/>
    <cellStyle name="20 % - Markeringsfarve2 16 3" xfId="12604" xr:uid="{00000000-0005-0000-0000-00009D0D0000}"/>
    <cellStyle name="20 % - Markeringsfarve2 16 3 2" xfId="28883" xr:uid="{00000000-0005-0000-0000-00009E0D0000}"/>
    <cellStyle name="20 % - Markeringsfarve2 16 3 3" xfId="43844" xr:uid="{00000000-0005-0000-0000-00009F0D0000}"/>
    <cellStyle name="20 % - Markeringsfarve2 16 4" xfId="21881" xr:uid="{00000000-0005-0000-0000-0000A00D0000}"/>
    <cellStyle name="20 % - Markeringsfarve2 16 5" xfId="36847" xr:uid="{00000000-0005-0000-0000-0000A10D0000}"/>
    <cellStyle name="20 % - Markeringsfarve2 17" xfId="7600" xr:uid="{00000000-0005-0000-0000-0000A20D0000}"/>
    <cellStyle name="20 % - Markeringsfarve2 17 2" xfId="15473" xr:uid="{00000000-0005-0000-0000-0000A30D0000}"/>
    <cellStyle name="20 % - Markeringsfarve2 17 2 2" xfId="31749" xr:uid="{00000000-0005-0000-0000-0000A40D0000}"/>
    <cellStyle name="20 % - Markeringsfarve2 17 2 3" xfId="46708" xr:uid="{00000000-0005-0000-0000-0000A50D0000}"/>
    <cellStyle name="20 % - Markeringsfarve2 17 3" xfId="24747" xr:uid="{00000000-0005-0000-0000-0000A60D0000}"/>
    <cellStyle name="20 % - Markeringsfarve2 17 4" xfId="39711" xr:uid="{00000000-0005-0000-0000-0000A70D0000}"/>
    <cellStyle name="20 % - Markeringsfarve2 18" xfId="4107" xr:uid="{00000000-0005-0000-0000-0000A80D0000}"/>
    <cellStyle name="20 % - Markeringsfarve2 18 2" xfId="12592" xr:uid="{00000000-0005-0000-0000-0000A90D0000}"/>
    <cellStyle name="20 % - Markeringsfarve2 18 2 2" xfId="28871" xr:uid="{00000000-0005-0000-0000-0000AA0D0000}"/>
    <cellStyle name="20 % - Markeringsfarve2 18 2 3" xfId="43832" xr:uid="{00000000-0005-0000-0000-0000AB0D0000}"/>
    <cellStyle name="20 % - Markeringsfarve2 18 3" xfId="21869" xr:uid="{00000000-0005-0000-0000-0000AC0D0000}"/>
    <cellStyle name="20 % - Markeringsfarve2 18 4" xfId="36835" xr:uid="{00000000-0005-0000-0000-0000AD0D0000}"/>
    <cellStyle name="20 % - Markeringsfarve2 2" xfId="4120" xr:uid="{00000000-0005-0000-0000-0000AE0D0000}"/>
    <cellStyle name="20 % - Markeringsfarve2 2 10" xfId="4121" xr:uid="{00000000-0005-0000-0000-0000AF0D0000}"/>
    <cellStyle name="20 % - Markeringsfarve2 2 10 2" xfId="8950" xr:uid="{00000000-0005-0000-0000-0000B00D0000}"/>
    <cellStyle name="20 % - Markeringsfarve2 2 10 2 2" xfId="16814" xr:uid="{00000000-0005-0000-0000-0000B10D0000}"/>
    <cellStyle name="20 % - Markeringsfarve2 2 10 2 2 2" xfId="33090" xr:uid="{00000000-0005-0000-0000-0000B20D0000}"/>
    <cellStyle name="20 % - Markeringsfarve2 2 10 2 2 3" xfId="48049" xr:uid="{00000000-0005-0000-0000-0000B30D0000}"/>
    <cellStyle name="20 % - Markeringsfarve2 2 10 2 3" xfId="26088" xr:uid="{00000000-0005-0000-0000-0000B40D0000}"/>
    <cellStyle name="20 % - Markeringsfarve2 2 10 2 4" xfId="41052" xr:uid="{00000000-0005-0000-0000-0000B50D0000}"/>
    <cellStyle name="20 % - Markeringsfarve2 2 10 3" xfId="12606" xr:uid="{00000000-0005-0000-0000-0000B60D0000}"/>
    <cellStyle name="20 % - Markeringsfarve2 2 10 3 2" xfId="28885" xr:uid="{00000000-0005-0000-0000-0000B70D0000}"/>
    <cellStyle name="20 % - Markeringsfarve2 2 10 3 3" xfId="43846" xr:uid="{00000000-0005-0000-0000-0000B80D0000}"/>
    <cellStyle name="20 % - Markeringsfarve2 2 10 4" xfId="21883" xr:uid="{00000000-0005-0000-0000-0000B90D0000}"/>
    <cellStyle name="20 % - Markeringsfarve2 2 10 5" xfId="36849" xr:uid="{00000000-0005-0000-0000-0000BA0D0000}"/>
    <cellStyle name="20 % - Markeringsfarve2 2 11" xfId="4122" xr:uid="{00000000-0005-0000-0000-0000BB0D0000}"/>
    <cellStyle name="20 % - Markeringsfarve2 2 11 2" xfId="10537" xr:uid="{00000000-0005-0000-0000-0000BC0D0000}"/>
    <cellStyle name="20 % - Markeringsfarve2 2 11 2 2" xfId="18386" xr:uid="{00000000-0005-0000-0000-0000BD0D0000}"/>
    <cellStyle name="20 % - Markeringsfarve2 2 11 2 2 2" xfId="34662" xr:uid="{00000000-0005-0000-0000-0000BE0D0000}"/>
    <cellStyle name="20 % - Markeringsfarve2 2 11 2 2 3" xfId="49621" xr:uid="{00000000-0005-0000-0000-0000BF0D0000}"/>
    <cellStyle name="20 % - Markeringsfarve2 2 11 2 3" xfId="27660" xr:uid="{00000000-0005-0000-0000-0000C00D0000}"/>
    <cellStyle name="20 % - Markeringsfarve2 2 11 2 4" xfId="42624" xr:uid="{00000000-0005-0000-0000-0000C10D0000}"/>
    <cellStyle name="20 % - Markeringsfarve2 2 11 3" xfId="12607" xr:uid="{00000000-0005-0000-0000-0000C20D0000}"/>
    <cellStyle name="20 % - Markeringsfarve2 2 11 3 2" xfId="28886" xr:uid="{00000000-0005-0000-0000-0000C30D0000}"/>
    <cellStyle name="20 % - Markeringsfarve2 2 11 3 3" xfId="43847" xr:uid="{00000000-0005-0000-0000-0000C40D0000}"/>
    <cellStyle name="20 % - Markeringsfarve2 2 11 4" xfId="21884" xr:uid="{00000000-0005-0000-0000-0000C50D0000}"/>
    <cellStyle name="20 % - Markeringsfarve2 2 11 5" xfId="36850" xr:uid="{00000000-0005-0000-0000-0000C60D0000}"/>
    <cellStyle name="20 % - Markeringsfarve2 2 12" xfId="7679" xr:uid="{00000000-0005-0000-0000-0000C70D0000}"/>
    <cellStyle name="20 % - Markeringsfarve2 2 12 2" xfId="15544" xr:uid="{00000000-0005-0000-0000-0000C80D0000}"/>
    <cellStyle name="20 % - Markeringsfarve2 2 12 2 2" xfId="31820" xr:uid="{00000000-0005-0000-0000-0000C90D0000}"/>
    <cellStyle name="20 % - Markeringsfarve2 2 12 2 3" xfId="46779" xr:uid="{00000000-0005-0000-0000-0000CA0D0000}"/>
    <cellStyle name="20 % - Markeringsfarve2 2 12 3" xfId="24818" xr:uid="{00000000-0005-0000-0000-0000CB0D0000}"/>
    <cellStyle name="20 % - Markeringsfarve2 2 12 4" xfId="39782" xr:uid="{00000000-0005-0000-0000-0000CC0D0000}"/>
    <cellStyle name="20 % - Markeringsfarve2 2 13" xfId="12605" xr:uid="{00000000-0005-0000-0000-0000CD0D0000}"/>
    <cellStyle name="20 % - Markeringsfarve2 2 13 2" xfId="28884" xr:uid="{00000000-0005-0000-0000-0000CE0D0000}"/>
    <cellStyle name="20 % - Markeringsfarve2 2 13 3" xfId="43845" xr:uid="{00000000-0005-0000-0000-0000CF0D0000}"/>
    <cellStyle name="20 % - Markeringsfarve2 2 14" xfId="21882" xr:uid="{00000000-0005-0000-0000-0000D00D0000}"/>
    <cellStyle name="20 % - Markeringsfarve2 2 15" xfId="36848" xr:uid="{00000000-0005-0000-0000-0000D10D0000}"/>
    <cellStyle name="20 % - Markeringsfarve2 2 2" xfId="4123" xr:uid="{00000000-0005-0000-0000-0000D20D0000}"/>
    <cellStyle name="20 % - Markeringsfarve2 2 2 10" xfId="7680" xr:uid="{00000000-0005-0000-0000-0000D30D0000}"/>
    <cellStyle name="20 % - Markeringsfarve2 2 2 10 2" xfId="15545" xr:uid="{00000000-0005-0000-0000-0000D40D0000}"/>
    <cellStyle name="20 % - Markeringsfarve2 2 2 10 2 2" xfId="31821" xr:uid="{00000000-0005-0000-0000-0000D50D0000}"/>
    <cellStyle name="20 % - Markeringsfarve2 2 2 10 2 3" xfId="46780" xr:uid="{00000000-0005-0000-0000-0000D60D0000}"/>
    <cellStyle name="20 % - Markeringsfarve2 2 2 10 3" xfId="24819" xr:uid="{00000000-0005-0000-0000-0000D70D0000}"/>
    <cellStyle name="20 % - Markeringsfarve2 2 2 10 4" xfId="39783" xr:uid="{00000000-0005-0000-0000-0000D80D0000}"/>
    <cellStyle name="20 % - Markeringsfarve2 2 2 11" xfId="12608" xr:uid="{00000000-0005-0000-0000-0000D90D0000}"/>
    <cellStyle name="20 % - Markeringsfarve2 2 2 11 2" xfId="28887" xr:uid="{00000000-0005-0000-0000-0000DA0D0000}"/>
    <cellStyle name="20 % - Markeringsfarve2 2 2 11 3" xfId="43848" xr:uid="{00000000-0005-0000-0000-0000DB0D0000}"/>
    <cellStyle name="20 % - Markeringsfarve2 2 2 12" xfId="21885" xr:uid="{00000000-0005-0000-0000-0000DC0D0000}"/>
    <cellStyle name="20 % - Markeringsfarve2 2 2 13" xfId="36851" xr:uid="{00000000-0005-0000-0000-0000DD0D0000}"/>
    <cellStyle name="20 % - Markeringsfarve2 2 2 2" xfId="4124" xr:uid="{00000000-0005-0000-0000-0000DE0D0000}"/>
    <cellStyle name="20 % - Markeringsfarve2 2 2 2 2" xfId="4125" xr:uid="{00000000-0005-0000-0000-0000DF0D0000}"/>
    <cellStyle name="20 % - Markeringsfarve2 2 2 2 2 2" xfId="4126" xr:uid="{00000000-0005-0000-0000-0000E00D0000}"/>
    <cellStyle name="20 % - Markeringsfarve2 2 2 2 2 2 2" xfId="9880" xr:uid="{00000000-0005-0000-0000-0000E10D0000}"/>
    <cellStyle name="20 % - Markeringsfarve2 2 2 2 2 2 2 2" xfId="17735" xr:uid="{00000000-0005-0000-0000-0000E20D0000}"/>
    <cellStyle name="20 % - Markeringsfarve2 2 2 2 2 2 2 2 2" xfId="34011" xr:uid="{00000000-0005-0000-0000-0000E30D0000}"/>
    <cellStyle name="20 % - Markeringsfarve2 2 2 2 2 2 2 2 3" xfId="48970" xr:uid="{00000000-0005-0000-0000-0000E40D0000}"/>
    <cellStyle name="20 % - Markeringsfarve2 2 2 2 2 2 2 3" xfId="27009" xr:uid="{00000000-0005-0000-0000-0000E50D0000}"/>
    <cellStyle name="20 % - Markeringsfarve2 2 2 2 2 2 2 4" xfId="41973" xr:uid="{00000000-0005-0000-0000-0000E60D0000}"/>
    <cellStyle name="20 % - Markeringsfarve2 2 2 2 2 2 3" xfId="12611" xr:uid="{00000000-0005-0000-0000-0000E70D0000}"/>
    <cellStyle name="20 % - Markeringsfarve2 2 2 2 2 2 3 2" xfId="28890" xr:uid="{00000000-0005-0000-0000-0000E80D0000}"/>
    <cellStyle name="20 % - Markeringsfarve2 2 2 2 2 2 3 3" xfId="43851" xr:uid="{00000000-0005-0000-0000-0000E90D0000}"/>
    <cellStyle name="20 % - Markeringsfarve2 2 2 2 2 2 4" xfId="21888" xr:uid="{00000000-0005-0000-0000-0000EA0D0000}"/>
    <cellStyle name="20 % - Markeringsfarve2 2 2 2 2 2 5" xfId="36854" xr:uid="{00000000-0005-0000-0000-0000EB0D0000}"/>
    <cellStyle name="20 % - Markeringsfarve2 2 2 2 2 3" xfId="8454" xr:uid="{00000000-0005-0000-0000-0000EC0D0000}"/>
    <cellStyle name="20 % - Markeringsfarve2 2 2 2 2 3 2" xfId="16324" xr:uid="{00000000-0005-0000-0000-0000ED0D0000}"/>
    <cellStyle name="20 % - Markeringsfarve2 2 2 2 2 3 2 2" xfId="32600" xr:uid="{00000000-0005-0000-0000-0000EE0D0000}"/>
    <cellStyle name="20 % - Markeringsfarve2 2 2 2 2 3 2 3" xfId="47559" xr:uid="{00000000-0005-0000-0000-0000EF0D0000}"/>
    <cellStyle name="20 % - Markeringsfarve2 2 2 2 2 3 3" xfId="25598" xr:uid="{00000000-0005-0000-0000-0000F00D0000}"/>
    <cellStyle name="20 % - Markeringsfarve2 2 2 2 2 3 4" xfId="40562" xr:uid="{00000000-0005-0000-0000-0000F10D0000}"/>
    <cellStyle name="20 % - Markeringsfarve2 2 2 2 2 4" xfId="12610" xr:uid="{00000000-0005-0000-0000-0000F20D0000}"/>
    <cellStyle name="20 % - Markeringsfarve2 2 2 2 2 4 2" xfId="28889" xr:uid="{00000000-0005-0000-0000-0000F30D0000}"/>
    <cellStyle name="20 % - Markeringsfarve2 2 2 2 2 4 3" xfId="43850" xr:uid="{00000000-0005-0000-0000-0000F40D0000}"/>
    <cellStyle name="20 % - Markeringsfarve2 2 2 2 2 5" xfId="21887" xr:uid="{00000000-0005-0000-0000-0000F50D0000}"/>
    <cellStyle name="20 % - Markeringsfarve2 2 2 2 2 6" xfId="36853" xr:uid="{00000000-0005-0000-0000-0000F60D0000}"/>
    <cellStyle name="20 % - Markeringsfarve2 2 2 2 3" xfId="4127" xr:uid="{00000000-0005-0000-0000-0000F70D0000}"/>
    <cellStyle name="20 % - Markeringsfarve2 2 2 2 3 2" xfId="9111" xr:uid="{00000000-0005-0000-0000-0000F80D0000}"/>
    <cellStyle name="20 % - Markeringsfarve2 2 2 2 3 2 2" xfId="16975" xr:uid="{00000000-0005-0000-0000-0000F90D0000}"/>
    <cellStyle name="20 % - Markeringsfarve2 2 2 2 3 2 2 2" xfId="33251" xr:uid="{00000000-0005-0000-0000-0000FA0D0000}"/>
    <cellStyle name="20 % - Markeringsfarve2 2 2 2 3 2 2 3" xfId="48210" xr:uid="{00000000-0005-0000-0000-0000FB0D0000}"/>
    <cellStyle name="20 % - Markeringsfarve2 2 2 2 3 2 3" xfId="26249" xr:uid="{00000000-0005-0000-0000-0000FC0D0000}"/>
    <cellStyle name="20 % - Markeringsfarve2 2 2 2 3 2 4" xfId="41213" xr:uid="{00000000-0005-0000-0000-0000FD0D0000}"/>
    <cellStyle name="20 % - Markeringsfarve2 2 2 2 3 3" xfId="12612" xr:uid="{00000000-0005-0000-0000-0000FE0D0000}"/>
    <cellStyle name="20 % - Markeringsfarve2 2 2 2 3 3 2" xfId="28891" xr:uid="{00000000-0005-0000-0000-0000FF0D0000}"/>
    <cellStyle name="20 % - Markeringsfarve2 2 2 2 3 3 3" xfId="43852" xr:uid="{00000000-0005-0000-0000-0000000E0000}"/>
    <cellStyle name="20 % - Markeringsfarve2 2 2 2 3 4" xfId="21889" xr:uid="{00000000-0005-0000-0000-0000010E0000}"/>
    <cellStyle name="20 % - Markeringsfarve2 2 2 2 3 5" xfId="36855" xr:uid="{00000000-0005-0000-0000-0000020E0000}"/>
    <cellStyle name="20 % - Markeringsfarve2 2 2 2 4" xfId="4128" xr:uid="{00000000-0005-0000-0000-0000030E0000}"/>
    <cellStyle name="20 % - Markeringsfarve2 2 2 2 4 2" xfId="10535" xr:uid="{00000000-0005-0000-0000-0000040E0000}"/>
    <cellStyle name="20 % - Markeringsfarve2 2 2 2 4 2 2" xfId="18384" xr:uid="{00000000-0005-0000-0000-0000050E0000}"/>
    <cellStyle name="20 % - Markeringsfarve2 2 2 2 4 2 2 2" xfId="34660" xr:uid="{00000000-0005-0000-0000-0000060E0000}"/>
    <cellStyle name="20 % - Markeringsfarve2 2 2 2 4 2 2 3" xfId="49619" xr:uid="{00000000-0005-0000-0000-0000070E0000}"/>
    <cellStyle name="20 % - Markeringsfarve2 2 2 2 4 2 3" xfId="27658" xr:uid="{00000000-0005-0000-0000-0000080E0000}"/>
    <cellStyle name="20 % - Markeringsfarve2 2 2 2 4 2 4" xfId="42622" xr:uid="{00000000-0005-0000-0000-0000090E0000}"/>
    <cellStyle name="20 % - Markeringsfarve2 2 2 2 4 3" xfId="12613" xr:uid="{00000000-0005-0000-0000-00000A0E0000}"/>
    <cellStyle name="20 % - Markeringsfarve2 2 2 2 4 3 2" xfId="28892" xr:uid="{00000000-0005-0000-0000-00000B0E0000}"/>
    <cellStyle name="20 % - Markeringsfarve2 2 2 2 4 3 3" xfId="43853" xr:uid="{00000000-0005-0000-0000-00000C0E0000}"/>
    <cellStyle name="20 % - Markeringsfarve2 2 2 2 4 4" xfId="21890" xr:uid="{00000000-0005-0000-0000-00000D0E0000}"/>
    <cellStyle name="20 % - Markeringsfarve2 2 2 2 4 5" xfId="36856" xr:uid="{00000000-0005-0000-0000-00000E0E0000}"/>
    <cellStyle name="20 % - Markeringsfarve2 2 2 2 5" xfId="7681" xr:uid="{00000000-0005-0000-0000-00000F0E0000}"/>
    <cellStyle name="20 % - Markeringsfarve2 2 2 2 5 2" xfId="15546" xr:uid="{00000000-0005-0000-0000-0000100E0000}"/>
    <cellStyle name="20 % - Markeringsfarve2 2 2 2 5 2 2" xfId="31822" xr:uid="{00000000-0005-0000-0000-0000110E0000}"/>
    <cellStyle name="20 % - Markeringsfarve2 2 2 2 5 2 3" xfId="46781" xr:uid="{00000000-0005-0000-0000-0000120E0000}"/>
    <cellStyle name="20 % - Markeringsfarve2 2 2 2 5 3" xfId="24820" xr:uid="{00000000-0005-0000-0000-0000130E0000}"/>
    <cellStyle name="20 % - Markeringsfarve2 2 2 2 5 4" xfId="39784" xr:uid="{00000000-0005-0000-0000-0000140E0000}"/>
    <cellStyle name="20 % - Markeringsfarve2 2 2 2 6" xfId="12609" xr:uid="{00000000-0005-0000-0000-0000150E0000}"/>
    <cellStyle name="20 % - Markeringsfarve2 2 2 2 6 2" xfId="28888" xr:uid="{00000000-0005-0000-0000-0000160E0000}"/>
    <cellStyle name="20 % - Markeringsfarve2 2 2 2 6 3" xfId="43849" xr:uid="{00000000-0005-0000-0000-0000170E0000}"/>
    <cellStyle name="20 % - Markeringsfarve2 2 2 2 7" xfId="21886" xr:uid="{00000000-0005-0000-0000-0000180E0000}"/>
    <cellStyle name="20 % - Markeringsfarve2 2 2 2 8" xfId="36852" xr:uid="{00000000-0005-0000-0000-0000190E0000}"/>
    <cellStyle name="20 % - Markeringsfarve2 2 2 3" xfId="4129" xr:uid="{00000000-0005-0000-0000-00001A0E0000}"/>
    <cellStyle name="20 % - Markeringsfarve2 2 2 3 2" xfId="4130" xr:uid="{00000000-0005-0000-0000-00001B0E0000}"/>
    <cellStyle name="20 % - Markeringsfarve2 2 2 3 2 2" xfId="4131" xr:uid="{00000000-0005-0000-0000-00001C0E0000}"/>
    <cellStyle name="20 % - Markeringsfarve2 2 2 3 2 2 2" xfId="9941" xr:uid="{00000000-0005-0000-0000-00001D0E0000}"/>
    <cellStyle name="20 % - Markeringsfarve2 2 2 3 2 2 2 2" xfId="17796" xr:uid="{00000000-0005-0000-0000-00001E0E0000}"/>
    <cellStyle name="20 % - Markeringsfarve2 2 2 3 2 2 2 2 2" xfId="34072" xr:uid="{00000000-0005-0000-0000-00001F0E0000}"/>
    <cellStyle name="20 % - Markeringsfarve2 2 2 3 2 2 2 2 3" xfId="49031" xr:uid="{00000000-0005-0000-0000-0000200E0000}"/>
    <cellStyle name="20 % - Markeringsfarve2 2 2 3 2 2 2 3" xfId="27070" xr:uid="{00000000-0005-0000-0000-0000210E0000}"/>
    <cellStyle name="20 % - Markeringsfarve2 2 2 3 2 2 2 4" xfId="42034" xr:uid="{00000000-0005-0000-0000-0000220E0000}"/>
    <cellStyle name="20 % - Markeringsfarve2 2 2 3 2 2 3" xfId="12616" xr:uid="{00000000-0005-0000-0000-0000230E0000}"/>
    <cellStyle name="20 % - Markeringsfarve2 2 2 3 2 2 3 2" xfId="28895" xr:uid="{00000000-0005-0000-0000-0000240E0000}"/>
    <cellStyle name="20 % - Markeringsfarve2 2 2 3 2 2 3 3" xfId="43856" xr:uid="{00000000-0005-0000-0000-0000250E0000}"/>
    <cellStyle name="20 % - Markeringsfarve2 2 2 3 2 2 4" xfId="21893" xr:uid="{00000000-0005-0000-0000-0000260E0000}"/>
    <cellStyle name="20 % - Markeringsfarve2 2 2 3 2 2 5" xfId="36859" xr:uid="{00000000-0005-0000-0000-0000270E0000}"/>
    <cellStyle name="20 % - Markeringsfarve2 2 2 3 2 3" xfId="8506" xr:uid="{00000000-0005-0000-0000-0000280E0000}"/>
    <cellStyle name="20 % - Markeringsfarve2 2 2 3 2 3 2" xfId="16376" xr:uid="{00000000-0005-0000-0000-0000290E0000}"/>
    <cellStyle name="20 % - Markeringsfarve2 2 2 3 2 3 2 2" xfId="32652" xr:uid="{00000000-0005-0000-0000-00002A0E0000}"/>
    <cellStyle name="20 % - Markeringsfarve2 2 2 3 2 3 2 3" xfId="47611" xr:uid="{00000000-0005-0000-0000-00002B0E0000}"/>
    <cellStyle name="20 % - Markeringsfarve2 2 2 3 2 3 3" xfId="25650" xr:uid="{00000000-0005-0000-0000-00002C0E0000}"/>
    <cellStyle name="20 % - Markeringsfarve2 2 2 3 2 3 4" xfId="40614" xr:uid="{00000000-0005-0000-0000-00002D0E0000}"/>
    <cellStyle name="20 % - Markeringsfarve2 2 2 3 2 4" xfId="12615" xr:uid="{00000000-0005-0000-0000-00002E0E0000}"/>
    <cellStyle name="20 % - Markeringsfarve2 2 2 3 2 4 2" xfId="28894" xr:uid="{00000000-0005-0000-0000-00002F0E0000}"/>
    <cellStyle name="20 % - Markeringsfarve2 2 2 3 2 4 3" xfId="43855" xr:uid="{00000000-0005-0000-0000-0000300E0000}"/>
    <cellStyle name="20 % - Markeringsfarve2 2 2 3 2 5" xfId="21892" xr:uid="{00000000-0005-0000-0000-0000310E0000}"/>
    <cellStyle name="20 % - Markeringsfarve2 2 2 3 2 6" xfId="36858" xr:uid="{00000000-0005-0000-0000-0000320E0000}"/>
    <cellStyle name="20 % - Markeringsfarve2 2 2 3 3" xfId="4132" xr:uid="{00000000-0005-0000-0000-0000330E0000}"/>
    <cellStyle name="20 % - Markeringsfarve2 2 2 3 3 2" xfId="9172" xr:uid="{00000000-0005-0000-0000-0000340E0000}"/>
    <cellStyle name="20 % - Markeringsfarve2 2 2 3 3 2 2" xfId="17036" xr:uid="{00000000-0005-0000-0000-0000350E0000}"/>
    <cellStyle name="20 % - Markeringsfarve2 2 2 3 3 2 2 2" xfId="33312" xr:uid="{00000000-0005-0000-0000-0000360E0000}"/>
    <cellStyle name="20 % - Markeringsfarve2 2 2 3 3 2 2 3" xfId="48271" xr:uid="{00000000-0005-0000-0000-0000370E0000}"/>
    <cellStyle name="20 % - Markeringsfarve2 2 2 3 3 2 3" xfId="26310" xr:uid="{00000000-0005-0000-0000-0000380E0000}"/>
    <cellStyle name="20 % - Markeringsfarve2 2 2 3 3 2 4" xfId="41274" xr:uid="{00000000-0005-0000-0000-0000390E0000}"/>
    <cellStyle name="20 % - Markeringsfarve2 2 2 3 3 3" xfId="12617" xr:uid="{00000000-0005-0000-0000-00003A0E0000}"/>
    <cellStyle name="20 % - Markeringsfarve2 2 2 3 3 3 2" xfId="28896" xr:uid="{00000000-0005-0000-0000-00003B0E0000}"/>
    <cellStyle name="20 % - Markeringsfarve2 2 2 3 3 3 3" xfId="43857" xr:uid="{00000000-0005-0000-0000-00003C0E0000}"/>
    <cellStyle name="20 % - Markeringsfarve2 2 2 3 3 4" xfId="21894" xr:uid="{00000000-0005-0000-0000-00003D0E0000}"/>
    <cellStyle name="20 % - Markeringsfarve2 2 2 3 3 5" xfId="36860" xr:uid="{00000000-0005-0000-0000-00003E0E0000}"/>
    <cellStyle name="20 % - Markeringsfarve2 2 2 3 4" xfId="4133" xr:uid="{00000000-0005-0000-0000-00003F0E0000}"/>
    <cellStyle name="20 % - Markeringsfarve2 2 2 3 4 2" xfId="9288" xr:uid="{00000000-0005-0000-0000-0000400E0000}"/>
    <cellStyle name="20 % - Markeringsfarve2 2 2 3 4 2 2" xfId="17152" xr:uid="{00000000-0005-0000-0000-0000410E0000}"/>
    <cellStyle name="20 % - Markeringsfarve2 2 2 3 4 2 2 2" xfId="33428" xr:uid="{00000000-0005-0000-0000-0000420E0000}"/>
    <cellStyle name="20 % - Markeringsfarve2 2 2 3 4 2 2 3" xfId="48387" xr:uid="{00000000-0005-0000-0000-0000430E0000}"/>
    <cellStyle name="20 % - Markeringsfarve2 2 2 3 4 2 3" xfId="26426" xr:uid="{00000000-0005-0000-0000-0000440E0000}"/>
    <cellStyle name="20 % - Markeringsfarve2 2 2 3 4 2 4" xfId="41390" xr:uid="{00000000-0005-0000-0000-0000450E0000}"/>
    <cellStyle name="20 % - Markeringsfarve2 2 2 3 4 3" xfId="12618" xr:uid="{00000000-0005-0000-0000-0000460E0000}"/>
    <cellStyle name="20 % - Markeringsfarve2 2 2 3 4 3 2" xfId="28897" xr:uid="{00000000-0005-0000-0000-0000470E0000}"/>
    <cellStyle name="20 % - Markeringsfarve2 2 2 3 4 3 3" xfId="43858" xr:uid="{00000000-0005-0000-0000-0000480E0000}"/>
    <cellStyle name="20 % - Markeringsfarve2 2 2 3 4 4" xfId="21895" xr:uid="{00000000-0005-0000-0000-0000490E0000}"/>
    <cellStyle name="20 % - Markeringsfarve2 2 2 3 4 5" xfId="36861" xr:uid="{00000000-0005-0000-0000-00004A0E0000}"/>
    <cellStyle name="20 % - Markeringsfarve2 2 2 3 5" xfId="7682" xr:uid="{00000000-0005-0000-0000-00004B0E0000}"/>
    <cellStyle name="20 % - Markeringsfarve2 2 2 3 5 2" xfId="15547" xr:uid="{00000000-0005-0000-0000-00004C0E0000}"/>
    <cellStyle name="20 % - Markeringsfarve2 2 2 3 5 2 2" xfId="31823" xr:uid="{00000000-0005-0000-0000-00004D0E0000}"/>
    <cellStyle name="20 % - Markeringsfarve2 2 2 3 5 2 3" xfId="46782" xr:uid="{00000000-0005-0000-0000-00004E0E0000}"/>
    <cellStyle name="20 % - Markeringsfarve2 2 2 3 5 3" xfId="24821" xr:uid="{00000000-0005-0000-0000-00004F0E0000}"/>
    <cellStyle name="20 % - Markeringsfarve2 2 2 3 5 4" xfId="39785" xr:uid="{00000000-0005-0000-0000-0000500E0000}"/>
    <cellStyle name="20 % - Markeringsfarve2 2 2 3 6" xfId="12614" xr:uid="{00000000-0005-0000-0000-0000510E0000}"/>
    <cellStyle name="20 % - Markeringsfarve2 2 2 3 6 2" xfId="28893" xr:uid="{00000000-0005-0000-0000-0000520E0000}"/>
    <cellStyle name="20 % - Markeringsfarve2 2 2 3 6 3" xfId="43854" xr:uid="{00000000-0005-0000-0000-0000530E0000}"/>
    <cellStyle name="20 % - Markeringsfarve2 2 2 3 7" xfId="21891" xr:uid="{00000000-0005-0000-0000-0000540E0000}"/>
    <cellStyle name="20 % - Markeringsfarve2 2 2 3 8" xfId="36857" xr:uid="{00000000-0005-0000-0000-0000550E0000}"/>
    <cellStyle name="20 % - Markeringsfarve2 2 2 4" xfId="4134" xr:uid="{00000000-0005-0000-0000-0000560E0000}"/>
    <cellStyle name="20 % - Markeringsfarve2 2 2 4 2" xfId="4135" xr:uid="{00000000-0005-0000-0000-0000570E0000}"/>
    <cellStyle name="20 % - Markeringsfarve2 2 2 4 2 2" xfId="4136" xr:uid="{00000000-0005-0000-0000-0000580E0000}"/>
    <cellStyle name="20 % - Markeringsfarve2 2 2 4 2 2 2" xfId="10118" xr:uid="{00000000-0005-0000-0000-0000590E0000}"/>
    <cellStyle name="20 % - Markeringsfarve2 2 2 4 2 2 2 2" xfId="17973" xr:uid="{00000000-0005-0000-0000-00005A0E0000}"/>
    <cellStyle name="20 % - Markeringsfarve2 2 2 4 2 2 2 2 2" xfId="34249" xr:uid="{00000000-0005-0000-0000-00005B0E0000}"/>
    <cellStyle name="20 % - Markeringsfarve2 2 2 4 2 2 2 2 3" xfId="49208" xr:uid="{00000000-0005-0000-0000-00005C0E0000}"/>
    <cellStyle name="20 % - Markeringsfarve2 2 2 4 2 2 2 3" xfId="27247" xr:uid="{00000000-0005-0000-0000-00005D0E0000}"/>
    <cellStyle name="20 % - Markeringsfarve2 2 2 4 2 2 2 4" xfId="42211" xr:uid="{00000000-0005-0000-0000-00005E0E0000}"/>
    <cellStyle name="20 % - Markeringsfarve2 2 2 4 2 2 3" xfId="12621" xr:uid="{00000000-0005-0000-0000-00005F0E0000}"/>
    <cellStyle name="20 % - Markeringsfarve2 2 2 4 2 2 3 2" xfId="28900" xr:uid="{00000000-0005-0000-0000-0000600E0000}"/>
    <cellStyle name="20 % - Markeringsfarve2 2 2 4 2 2 3 3" xfId="43861" xr:uid="{00000000-0005-0000-0000-0000610E0000}"/>
    <cellStyle name="20 % - Markeringsfarve2 2 2 4 2 2 4" xfId="21898" xr:uid="{00000000-0005-0000-0000-0000620E0000}"/>
    <cellStyle name="20 % - Markeringsfarve2 2 2 4 2 2 5" xfId="36864" xr:uid="{00000000-0005-0000-0000-0000630E0000}"/>
    <cellStyle name="20 % - Markeringsfarve2 2 2 4 2 3" xfId="8656" xr:uid="{00000000-0005-0000-0000-0000640E0000}"/>
    <cellStyle name="20 % - Markeringsfarve2 2 2 4 2 3 2" xfId="16523" xr:uid="{00000000-0005-0000-0000-0000650E0000}"/>
    <cellStyle name="20 % - Markeringsfarve2 2 2 4 2 3 2 2" xfId="32799" xr:uid="{00000000-0005-0000-0000-0000660E0000}"/>
    <cellStyle name="20 % - Markeringsfarve2 2 2 4 2 3 2 3" xfId="47758" xr:uid="{00000000-0005-0000-0000-0000670E0000}"/>
    <cellStyle name="20 % - Markeringsfarve2 2 2 4 2 3 3" xfId="25797" xr:uid="{00000000-0005-0000-0000-0000680E0000}"/>
    <cellStyle name="20 % - Markeringsfarve2 2 2 4 2 3 4" xfId="40761" xr:uid="{00000000-0005-0000-0000-0000690E0000}"/>
    <cellStyle name="20 % - Markeringsfarve2 2 2 4 2 4" xfId="12620" xr:uid="{00000000-0005-0000-0000-00006A0E0000}"/>
    <cellStyle name="20 % - Markeringsfarve2 2 2 4 2 4 2" xfId="28899" xr:uid="{00000000-0005-0000-0000-00006B0E0000}"/>
    <cellStyle name="20 % - Markeringsfarve2 2 2 4 2 4 3" xfId="43860" xr:uid="{00000000-0005-0000-0000-00006C0E0000}"/>
    <cellStyle name="20 % - Markeringsfarve2 2 2 4 2 5" xfId="21897" xr:uid="{00000000-0005-0000-0000-00006D0E0000}"/>
    <cellStyle name="20 % - Markeringsfarve2 2 2 4 2 6" xfId="36863" xr:uid="{00000000-0005-0000-0000-00006E0E0000}"/>
    <cellStyle name="20 % - Markeringsfarve2 2 2 4 3" xfId="4137" xr:uid="{00000000-0005-0000-0000-00006F0E0000}"/>
    <cellStyle name="20 % - Markeringsfarve2 2 2 4 3 2" xfId="9395" xr:uid="{00000000-0005-0000-0000-0000700E0000}"/>
    <cellStyle name="20 % - Markeringsfarve2 2 2 4 3 2 2" xfId="17258" xr:uid="{00000000-0005-0000-0000-0000710E0000}"/>
    <cellStyle name="20 % - Markeringsfarve2 2 2 4 3 2 2 2" xfId="33534" xr:uid="{00000000-0005-0000-0000-0000720E0000}"/>
    <cellStyle name="20 % - Markeringsfarve2 2 2 4 3 2 2 3" xfId="48493" xr:uid="{00000000-0005-0000-0000-0000730E0000}"/>
    <cellStyle name="20 % - Markeringsfarve2 2 2 4 3 2 3" xfId="26532" xr:uid="{00000000-0005-0000-0000-0000740E0000}"/>
    <cellStyle name="20 % - Markeringsfarve2 2 2 4 3 2 4" xfId="41496" xr:uid="{00000000-0005-0000-0000-0000750E0000}"/>
    <cellStyle name="20 % - Markeringsfarve2 2 2 4 3 3" xfId="12622" xr:uid="{00000000-0005-0000-0000-0000760E0000}"/>
    <cellStyle name="20 % - Markeringsfarve2 2 2 4 3 3 2" xfId="28901" xr:uid="{00000000-0005-0000-0000-0000770E0000}"/>
    <cellStyle name="20 % - Markeringsfarve2 2 2 4 3 3 3" xfId="43862" xr:uid="{00000000-0005-0000-0000-0000780E0000}"/>
    <cellStyle name="20 % - Markeringsfarve2 2 2 4 3 4" xfId="21899" xr:uid="{00000000-0005-0000-0000-0000790E0000}"/>
    <cellStyle name="20 % - Markeringsfarve2 2 2 4 3 5" xfId="36865" xr:uid="{00000000-0005-0000-0000-00007A0E0000}"/>
    <cellStyle name="20 % - Markeringsfarve2 2 2 4 4" xfId="4138" xr:uid="{00000000-0005-0000-0000-00007B0E0000}"/>
    <cellStyle name="20 % - Markeringsfarve2 2 2 4 4 2" xfId="9322" xr:uid="{00000000-0005-0000-0000-00007C0E0000}"/>
    <cellStyle name="20 % - Markeringsfarve2 2 2 4 4 2 2" xfId="17185" xr:uid="{00000000-0005-0000-0000-00007D0E0000}"/>
    <cellStyle name="20 % - Markeringsfarve2 2 2 4 4 2 2 2" xfId="33461" xr:uid="{00000000-0005-0000-0000-00007E0E0000}"/>
    <cellStyle name="20 % - Markeringsfarve2 2 2 4 4 2 2 3" xfId="48420" xr:uid="{00000000-0005-0000-0000-00007F0E0000}"/>
    <cellStyle name="20 % - Markeringsfarve2 2 2 4 4 2 3" xfId="26459" xr:uid="{00000000-0005-0000-0000-0000800E0000}"/>
    <cellStyle name="20 % - Markeringsfarve2 2 2 4 4 2 4" xfId="41423" xr:uid="{00000000-0005-0000-0000-0000810E0000}"/>
    <cellStyle name="20 % - Markeringsfarve2 2 2 4 4 3" xfId="12623" xr:uid="{00000000-0005-0000-0000-0000820E0000}"/>
    <cellStyle name="20 % - Markeringsfarve2 2 2 4 4 3 2" xfId="28902" xr:uid="{00000000-0005-0000-0000-0000830E0000}"/>
    <cellStyle name="20 % - Markeringsfarve2 2 2 4 4 3 3" xfId="43863" xr:uid="{00000000-0005-0000-0000-0000840E0000}"/>
    <cellStyle name="20 % - Markeringsfarve2 2 2 4 4 4" xfId="21900" xr:uid="{00000000-0005-0000-0000-0000850E0000}"/>
    <cellStyle name="20 % - Markeringsfarve2 2 2 4 4 5" xfId="36866" xr:uid="{00000000-0005-0000-0000-0000860E0000}"/>
    <cellStyle name="20 % - Markeringsfarve2 2 2 4 5" xfId="7683" xr:uid="{00000000-0005-0000-0000-0000870E0000}"/>
    <cellStyle name="20 % - Markeringsfarve2 2 2 4 5 2" xfId="15548" xr:uid="{00000000-0005-0000-0000-0000880E0000}"/>
    <cellStyle name="20 % - Markeringsfarve2 2 2 4 5 2 2" xfId="31824" xr:uid="{00000000-0005-0000-0000-0000890E0000}"/>
    <cellStyle name="20 % - Markeringsfarve2 2 2 4 5 2 3" xfId="46783" xr:uid="{00000000-0005-0000-0000-00008A0E0000}"/>
    <cellStyle name="20 % - Markeringsfarve2 2 2 4 5 3" xfId="24822" xr:uid="{00000000-0005-0000-0000-00008B0E0000}"/>
    <cellStyle name="20 % - Markeringsfarve2 2 2 4 5 4" xfId="39786" xr:uid="{00000000-0005-0000-0000-00008C0E0000}"/>
    <cellStyle name="20 % - Markeringsfarve2 2 2 4 6" xfId="12619" xr:uid="{00000000-0005-0000-0000-00008D0E0000}"/>
    <cellStyle name="20 % - Markeringsfarve2 2 2 4 6 2" xfId="28898" xr:uid="{00000000-0005-0000-0000-00008E0E0000}"/>
    <cellStyle name="20 % - Markeringsfarve2 2 2 4 6 3" xfId="43859" xr:uid="{00000000-0005-0000-0000-00008F0E0000}"/>
    <cellStyle name="20 % - Markeringsfarve2 2 2 4 7" xfId="21896" xr:uid="{00000000-0005-0000-0000-0000900E0000}"/>
    <cellStyle name="20 % - Markeringsfarve2 2 2 4 8" xfId="36862" xr:uid="{00000000-0005-0000-0000-0000910E0000}"/>
    <cellStyle name="20 % - Markeringsfarve2 2 2 5" xfId="4139" xr:uid="{00000000-0005-0000-0000-0000920E0000}"/>
    <cellStyle name="20 % - Markeringsfarve2 2 2 5 2" xfId="4140" xr:uid="{00000000-0005-0000-0000-0000930E0000}"/>
    <cellStyle name="20 % - Markeringsfarve2 2 2 5 2 2" xfId="4141" xr:uid="{00000000-0005-0000-0000-0000940E0000}"/>
    <cellStyle name="20 % - Markeringsfarve2 2 2 5 2 2 2" xfId="10235" xr:uid="{00000000-0005-0000-0000-0000950E0000}"/>
    <cellStyle name="20 % - Markeringsfarve2 2 2 5 2 2 2 2" xfId="18090" xr:uid="{00000000-0005-0000-0000-0000960E0000}"/>
    <cellStyle name="20 % - Markeringsfarve2 2 2 5 2 2 2 2 2" xfId="34366" xr:uid="{00000000-0005-0000-0000-0000970E0000}"/>
    <cellStyle name="20 % - Markeringsfarve2 2 2 5 2 2 2 2 3" xfId="49325" xr:uid="{00000000-0005-0000-0000-0000980E0000}"/>
    <cellStyle name="20 % - Markeringsfarve2 2 2 5 2 2 2 3" xfId="27364" xr:uid="{00000000-0005-0000-0000-0000990E0000}"/>
    <cellStyle name="20 % - Markeringsfarve2 2 2 5 2 2 2 4" xfId="42328" xr:uid="{00000000-0005-0000-0000-00009A0E0000}"/>
    <cellStyle name="20 % - Markeringsfarve2 2 2 5 2 2 3" xfId="12626" xr:uid="{00000000-0005-0000-0000-00009B0E0000}"/>
    <cellStyle name="20 % - Markeringsfarve2 2 2 5 2 2 3 2" xfId="28905" xr:uid="{00000000-0005-0000-0000-00009C0E0000}"/>
    <cellStyle name="20 % - Markeringsfarve2 2 2 5 2 2 3 3" xfId="43866" xr:uid="{00000000-0005-0000-0000-00009D0E0000}"/>
    <cellStyle name="20 % - Markeringsfarve2 2 2 5 2 2 4" xfId="21903" xr:uid="{00000000-0005-0000-0000-00009E0E0000}"/>
    <cellStyle name="20 % - Markeringsfarve2 2 2 5 2 2 5" xfId="36869" xr:uid="{00000000-0005-0000-0000-00009F0E0000}"/>
    <cellStyle name="20 % - Markeringsfarve2 2 2 5 2 3" xfId="8755" xr:uid="{00000000-0005-0000-0000-0000A00E0000}"/>
    <cellStyle name="20 % - Markeringsfarve2 2 2 5 2 3 2" xfId="16622" xr:uid="{00000000-0005-0000-0000-0000A10E0000}"/>
    <cellStyle name="20 % - Markeringsfarve2 2 2 5 2 3 2 2" xfId="32898" xr:uid="{00000000-0005-0000-0000-0000A20E0000}"/>
    <cellStyle name="20 % - Markeringsfarve2 2 2 5 2 3 2 3" xfId="47857" xr:uid="{00000000-0005-0000-0000-0000A30E0000}"/>
    <cellStyle name="20 % - Markeringsfarve2 2 2 5 2 3 3" xfId="25896" xr:uid="{00000000-0005-0000-0000-0000A40E0000}"/>
    <cellStyle name="20 % - Markeringsfarve2 2 2 5 2 3 4" xfId="40860" xr:uid="{00000000-0005-0000-0000-0000A50E0000}"/>
    <cellStyle name="20 % - Markeringsfarve2 2 2 5 2 4" xfId="12625" xr:uid="{00000000-0005-0000-0000-0000A60E0000}"/>
    <cellStyle name="20 % - Markeringsfarve2 2 2 5 2 4 2" xfId="28904" xr:uid="{00000000-0005-0000-0000-0000A70E0000}"/>
    <cellStyle name="20 % - Markeringsfarve2 2 2 5 2 4 3" xfId="43865" xr:uid="{00000000-0005-0000-0000-0000A80E0000}"/>
    <cellStyle name="20 % - Markeringsfarve2 2 2 5 2 5" xfId="21902" xr:uid="{00000000-0005-0000-0000-0000A90E0000}"/>
    <cellStyle name="20 % - Markeringsfarve2 2 2 5 2 6" xfId="36868" xr:uid="{00000000-0005-0000-0000-0000AA0E0000}"/>
    <cellStyle name="20 % - Markeringsfarve2 2 2 5 3" xfId="4142" xr:uid="{00000000-0005-0000-0000-0000AB0E0000}"/>
    <cellStyle name="20 % - Markeringsfarve2 2 2 5 3 2" xfId="9512" xr:uid="{00000000-0005-0000-0000-0000AC0E0000}"/>
    <cellStyle name="20 % - Markeringsfarve2 2 2 5 3 2 2" xfId="17375" xr:uid="{00000000-0005-0000-0000-0000AD0E0000}"/>
    <cellStyle name="20 % - Markeringsfarve2 2 2 5 3 2 2 2" xfId="33651" xr:uid="{00000000-0005-0000-0000-0000AE0E0000}"/>
    <cellStyle name="20 % - Markeringsfarve2 2 2 5 3 2 2 3" xfId="48610" xr:uid="{00000000-0005-0000-0000-0000AF0E0000}"/>
    <cellStyle name="20 % - Markeringsfarve2 2 2 5 3 2 3" xfId="26649" xr:uid="{00000000-0005-0000-0000-0000B00E0000}"/>
    <cellStyle name="20 % - Markeringsfarve2 2 2 5 3 2 4" xfId="41613" xr:uid="{00000000-0005-0000-0000-0000B10E0000}"/>
    <cellStyle name="20 % - Markeringsfarve2 2 2 5 3 3" xfId="12627" xr:uid="{00000000-0005-0000-0000-0000B20E0000}"/>
    <cellStyle name="20 % - Markeringsfarve2 2 2 5 3 3 2" xfId="28906" xr:uid="{00000000-0005-0000-0000-0000B30E0000}"/>
    <cellStyle name="20 % - Markeringsfarve2 2 2 5 3 3 3" xfId="43867" xr:uid="{00000000-0005-0000-0000-0000B40E0000}"/>
    <cellStyle name="20 % - Markeringsfarve2 2 2 5 3 4" xfId="21904" xr:uid="{00000000-0005-0000-0000-0000B50E0000}"/>
    <cellStyle name="20 % - Markeringsfarve2 2 2 5 3 5" xfId="36870" xr:uid="{00000000-0005-0000-0000-0000B60E0000}"/>
    <cellStyle name="20 % - Markeringsfarve2 2 2 5 4" xfId="4143" xr:uid="{00000000-0005-0000-0000-0000B70E0000}"/>
    <cellStyle name="20 % - Markeringsfarve2 2 2 5 4 2" xfId="10533" xr:uid="{00000000-0005-0000-0000-0000B80E0000}"/>
    <cellStyle name="20 % - Markeringsfarve2 2 2 5 4 2 2" xfId="18382" xr:uid="{00000000-0005-0000-0000-0000B90E0000}"/>
    <cellStyle name="20 % - Markeringsfarve2 2 2 5 4 2 2 2" xfId="34658" xr:uid="{00000000-0005-0000-0000-0000BA0E0000}"/>
    <cellStyle name="20 % - Markeringsfarve2 2 2 5 4 2 2 3" xfId="49617" xr:uid="{00000000-0005-0000-0000-0000BB0E0000}"/>
    <cellStyle name="20 % - Markeringsfarve2 2 2 5 4 2 3" xfId="27656" xr:uid="{00000000-0005-0000-0000-0000BC0E0000}"/>
    <cellStyle name="20 % - Markeringsfarve2 2 2 5 4 2 4" xfId="42620" xr:uid="{00000000-0005-0000-0000-0000BD0E0000}"/>
    <cellStyle name="20 % - Markeringsfarve2 2 2 5 4 3" xfId="12628" xr:uid="{00000000-0005-0000-0000-0000BE0E0000}"/>
    <cellStyle name="20 % - Markeringsfarve2 2 2 5 4 3 2" xfId="28907" xr:uid="{00000000-0005-0000-0000-0000BF0E0000}"/>
    <cellStyle name="20 % - Markeringsfarve2 2 2 5 4 3 3" xfId="43868" xr:uid="{00000000-0005-0000-0000-0000C00E0000}"/>
    <cellStyle name="20 % - Markeringsfarve2 2 2 5 4 4" xfId="21905" xr:uid="{00000000-0005-0000-0000-0000C10E0000}"/>
    <cellStyle name="20 % - Markeringsfarve2 2 2 5 4 5" xfId="36871" xr:uid="{00000000-0005-0000-0000-0000C20E0000}"/>
    <cellStyle name="20 % - Markeringsfarve2 2 2 5 5" xfId="7684" xr:uid="{00000000-0005-0000-0000-0000C30E0000}"/>
    <cellStyle name="20 % - Markeringsfarve2 2 2 5 5 2" xfId="15549" xr:uid="{00000000-0005-0000-0000-0000C40E0000}"/>
    <cellStyle name="20 % - Markeringsfarve2 2 2 5 5 2 2" xfId="31825" xr:uid="{00000000-0005-0000-0000-0000C50E0000}"/>
    <cellStyle name="20 % - Markeringsfarve2 2 2 5 5 2 3" xfId="46784" xr:uid="{00000000-0005-0000-0000-0000C60E0000}"/>
    <cellStyle name="20 % - Markeringsfarve2 2 2 5 5 3" xfId="24823" xr:uid="{00000000-0005-0000-0000-0000C70E0000}"/>
    <cellStyle name="20 % - Markeringsfarve2 2 2 5 5 4" xfId="39787" xr:uid="{00000000-0005-0000-0000-0000C80E0000}"/>
    <cellStyle name="20 % - Markeringsfarve2 2 2 5 6" xfId="12624" xr:uid="{00000000-0005-0000-0000-0000C90E0000}"/>
    <cellStyle name="20 % - Markeringsfarve2 2 2 5 6 2" xfId="28903" xr:uid="{00000000-0005-0000-0000-0000CA0E0000}"/>
    <cellStyle name="20 % - Markeringsfarve2 2 2 5 6 3" xfId="43864" xr:uid="{00000000-0005-0000-0000-0000CB0E0000}"/>
    <cellStyle name="20 % - Markeringsfarve2 2 2 5 7" xfId="21901" xr:uid="{00000000-0005-0000-0000-0000CC0E0000}"/>
    <cellStyle name="20 % - Markeringsfarve2 2 2 5 8" xfId="36867" xr:uid="{00000000-0005-0000-0000-0000CD0E0000}"/>
    <cellStyle name="20 % - Markeringsfarve2 2 2 6" xfId="4144" xr:uid="{00000000-0005-0000-0000-0000CE0E0000}"/>
    <cellStyle name="20 % - Markeringsfarve2 2 2 6 2" xfId="4145" xr:uid="{00000000-0005-0000-0000-0000CF0E0000}"/>
    <cellStyle name="20 % - Markeringsfarve2 2 2 6 2 2" xfId="4146" xr:uid="{00000000-0005-0000-0000-0000D00E0000}"/>
    <cellStyle name="20 % - Markeringsfarve2 2 2 6 2 2 2" xfId="10296" xr:uid="{00000000-0005-0000-0000-0000D10E0000}"/>
    <cellStyle name="20 % - Markeringsfarve2 2 2 6 2 2 2 2" xfId="18151" xr:uid="{00000000-0005-0000-0000-0000D20E0000}"/>
    <cellStyle name="20 % - Markeringsfarve2 2 2 6 2 2 2 2 2" xfId="34427" xr:uid="{00000000-0005-0000-0000-0000D30E0000}"/>
    <cellStyle name="20 % - Markeringsfarve2 2 2 6 2 2 2 2 3" xfId="49386" xr:uid="{00000000-0005-0000-0000-0000D40E0000}"/>
    <cellStyle name="20 % - Markeringsfarve2 2 2 6 2 2 2 3" xfId="27425" xr:uid="{00000000-0005-0000-0000-0000D50E0000}"/>
    <cellStyle name="20 % - Markeringsfarve2 2 2 6 2 2 2 4" xfId="42389" xr:uid="{00000000-0005-0000-0000-0000D60E0000}"/>
    <cellStyle name="20 % - Markeringsfarve2 2 2 6 2 2 3" xfId="12631" xr:uid="{00000000-0005-0000-0000-0000D70E0000}"/>
    <cellStyle name="20 % - Markeringsfarve2 2 2 6 2 2 3 2" xfId="28910" xr:uid="{00000000-0005-0000-0000-0000D80E0000}"/>
    <cellStyle name="20 % - Markeringsfarve2 2 2 6 2 2 3 3" xfId="43871" xr:uid="{00000000-0005-0000-0000-0000D90E0000}"/>
    <cellStyle name="20 % - Markeringsfarve2 2 2 6 2 2 4" xfId="21908" xr:uid="{00000000-0005-0000-0000-0000DA0E0000}"/>
    <cellStyle name="20 % - Markeringsfarve2 2 2 6 2 2 5" xfId="36874" xr:uid="{00000000-0005-0000-0000-0000DB0E0000}"/>
    <cellStyle name="20 % - Markeringsfarve2 2 2 6 2 3" xfId="8808" xr:uid="{00000000-0005-0000-0000-0000DC0E0000}"/>
    <cellStyle name="20 % - Markeringsfarve2 2 2 6 2 3 2" xfId="16675" xr:uid="{00000000-0005-0000-0000-0000DD0E0000}"/>
    <cellStyle name="20 % - Markeringsfarve2 2 2 6 2 3 2 2" xfId="32951" xr:uid="{00000000-0005-0000-0000-0000DE0E0000}"/>
    <cellStyle name="20 % - Markeringsfarve2 2 2 6 2 3 2 3" xfId="47910" xr:uid="{00000000-0005-0000-0000-0000DF0E0000}"/>
    <cellStyle name="20 % - Markeringsfarve2 2 2 6 2 3 3" xfId="25949" xr:uid="{00000000-0005-0000-0000-0000E00E0000}"/>
    <cellStyle name="20 % - Markeringsfarve2 2 2 6 2 3 4" xfId="40913" xr:uid="{00000000-0005-0000-0000-0000E10E0000}"/>
    <cellStyle name="20 % - Markeringsfarve2 2 2 6 2 4" xfId="12630" xr:uid="{00000000-0005-0000-0000-0000E20E0000}"/>
    <cellStyle name="20 % - Markeringsfarve2 2 2 6 2 4 2" xfId="28909" xr:uid="{00000000-0005-0000-0000-0000E30E0000}"/>
    <cellStyle name="20 % - Markeringsfarve2 2 2 6 2 4 3" xfId="43870" xr:uid="{00000000-0005-0000-0000-0000E40E0000}"/>
    <cellStyle name="20 % - Markeringsfarve2 2 2 6 2 5" xfId="21907" xr:uid="{00000000-0005-0000-0000-0000E50E0000}"/>
    <cellStyle name="20 % - Markeringsfarve2 2 2 6 2 6" xfId="36873" xr:uid="{00000000-0005-0000-0000-0000E60E0000}"/>
    <cellStyle name="20 % - Markeringsfarve2 2 2 6 3" xfId="4147" xr:uid="{00000000-0005-0000-0000-0000E70E0000}"/>
    <cellStyle name="20 % - Markeringsfarve2 2 2 6 3 2" xfId="9574" xr:uid="{00000000-0005-0000-0000-0000E80E0000}"/>
    <cellStyle name="20 % - Markeringsfarve2 2 2 6 3 2 2" xfId="17437" xr:uid="{00000000-0005-0000-0000-0000E90E0000}"/>
    <cellStyle name="20 % - Markeringsfarve2 2 2 6 3 2 2 2" xfId="33713" xr:uid="{00000000-0005-0000-0000-0000EA0E0000}"/>
    <cellStyle name="20 % - Markeringsfarve2 2 2 6 3 2 2 3" xfId="48672" xr:uid="{00000000-0005-0000-0000-0000EB0E0000}"/>
    <cellStyle name="20 % - Markeringsfarve2 2 2 6 3 2 3" xfId="26711" xr:uid="{00000000-0005-0000-0000-0000EC0E0000}"/>
    <cellStyle name="20 % - Markeringsfarve2 2 2 6 3 2 4" xfId="41675" xr:uid="{00000000-0005-0000-0000-0000ED0E0000}"/>
    <cellStyle name="20 % - Markeringsfarve2 2 2 6 3 3" xfId="12632" xr:uid="{00000000-0005-0000-0000-0000EE0E0000}"/>
    <cellStyle name="20 % - Markeringsfarve2 2 2 6 3 3 2" xfId="28911" xr:uid="{00000000-0005-0000-0000-0000EF0E0000}"/>
    <cellStyle name="20 % - Markeringsfarve2 2 2 6 3 3 3" xfId="43872" xr:uid="{00000000-0005-0000-0000-0000F00E0000}"/>
    <cellStyle name="20 % - Markeringsfarve2 2 2 6 3 4" xfId="21909" xr:uid="{00000000-0005-0000-0000-0000F10E0000}"/>
    <cellStyle name="20 % - Markeringsfarve2 2 2 6 3 5" xfId="36875" xr:uid="{00000000-0005-0000-0000-0000F20E0000}"/>
    <cellStyle name="20 % - Markeringsfarve2 2 2 6 4" xfId="4148" xr:uid="{00000000-0005-0000-0000-0000F30E0000}"/>
    <cellStyle name="20 % - Markeringsfarve2 2 2 6 4 2" xfId="9315" xr:uid="{00000000-0005-0000-0000-0000F40E0000}"/>
    <cellStyle name="20 % - Markeringsfarve2 2 2 6 4 2 2" xfId="17178" xr:uid="{00000000-0005-0000-0000-0000F50E0000}"/>
    <cellStyle name="20 % - Markeringsfarve2 2 2 6 4 2 2 2" xfId="33454" xr:uid="{00000000-0005-0000-0000-0000F60E0000}"/>
    <cellStyle name="20 % - Markeringsfarve2 2 2 6 4 2 2 3" xfId="48413" xr:uid="{00000000-0005-0000-0000-0000F70E0000}"/>
    <cellStyle name="20 % - Markeringsfarve2 2 2 6 4 2 3" xfId="26452" xr:uid="{00000000-0005-0000-0000-0000F80E0000}"/>
    <cellStyle name="20 % - Markeringsfarve2 2 2 6 4 2 4" xfId="41416" xr:uid="{00000000-0005-0000-0000-0000F90E0000}"/>
    <cellStyle name="20 % - Markeringsfarve2 2 2 6 4 3" xfId="12633" xr:uid="{00000000-0005-0000-0000-0000FA0E0000}"/>
    <cellStyle name="20 % - Markeringsfarve2 2 2 6 4 3 2" xfId="28912" xr:uid="{00000000-0005-0000-0000-0000FB0E0000}"/>
    <cellStyle name="20 % - Markeringsfarve2 2 2 6 4 3 3" xfId="43873" xr:uid="{00000000-0005-0000-0000-0000FC0E0000}"/>
    <cellStyle name="20 % - Markeringsfarve2 2 2 6 4 4" xfId="21910" xr:uid="{00000000-0005-0000-0000-0000FD0E0000}"/>
    <cellStyle name="20 % - Markeringsfarve2 2 2 6 4 5" xfId="36876" xr:uid="{00000000-0005-0000-0000-0000FE0E0000}"/>
    <cellStyle name="20 % - Markeringsfarve2 2 2 6 5" xfId="7685" xr:uid="{00000000-0005-0000-0000-0000FF0E0000}"/>
    <cellStyle name="20 % - Markeringsfarve2 2 2 6 5 2" xfId="15550" xr:uid="{00000000-0005-0000-0000-0000000F0000}"/>
    <cellStyle name="20 % - Markeringsfarve2 2 2 6 5 2 2" xfId="31826" xr:uid="{00000000-0005-0000-0000-0000010F0000}"/>
    <cellStyle name="20 % - Markeringsfarve2 2 2 6 5 2 3" xfId="46785" xr:uid="{00000000-0005-0000-0000-0000020F0000}"/>
    <cellStyle name="20 % - Markeringsfarve2 2 2 6 5 3" xfId="24824" xr:uid="{00000000-0005-0000-0000-0000030F0000}"/>
    <cellStyle name="20 % - Markeringsfarve2 2 2 6 5 4" xfId="39788" xr:uid="{00000000-0005-0000-0000-0000040F0000}"/>
    <cellStyle name="20 % - Markeringsfarve2 2 2 6 6" xfId="12629" xr:uid="{00000000-0005-0000-0000-0000050F0000}"/>
    <cellStyle name="20 % - Markeringsfarve2 2 2 6 6 2" xfId="28908" xr:uid="{00000000-0005-0000-0000-0000060F0000}"/>
    <cellStyle name="20 % - Markeringsfarve2 2 2 6 6 3" xfId="43869" xr:uid="{00000000-0005-0000-0000-0000070F0000}"/>
    <cellStyle name="20 % - Markeringsfarve2 2 2 6 7" xfId="21906" xr:uid="{00000000-0005-0000-0000-0000080F0000}"/>
    <cellStyle name="20 % - Markeringsfarve2 2 2 6 8" xfId="36872" xr:uid="{00000000-0005-0000-0000-0000090F0000}"/>
    <cellStyle name="20 % - Markeringsfarve2 2 2 7" xfId="4149" xr:uid="{00000000-0005-0000-0000-00000A0F0000}"/>
    <cellStyle name="20 % - Markeringsfarve2 2 2 7 2" xfId="4150" xr:uid="{00000000-0005-0000-0000-00000B0F0000}"/>
    <cellStyle name="20 % - Markeringsfarve2 2 2 7 2 2" xfId="9762" xr:uid="{00000000-0005-0000-0000-00000C0F0000}"/>
    <cellStyle name="20 % - Markeringsfarve2 2 2 7 2 2 2" xfId="17616" xr:uid="{00000000-0005-0000-0000-00000D0F0000}"/>
    <cellStyle name="20 % - Markeringsfarve2 2 2 7 2 2 2 2" xfId="33892" xr:uid="{00000000-0005-0000-0000-00000E0F0000}"/>
    <cellStyle name="20 % - Markeringsfarve2 2 2 7 2 2 2 3" xfId="48851" xr:uid="{00000000-0005-0000-0000-00000F0F0000}"/>
    <cellStyle name="20 % - Markeringsfarve2 2 2 7 2 2 3" xfId="26890" xr:uid="{00000000-0005-0000-0000-0000100F0000}"/>
    <cellStyle name="20 % - Markeringsfarve2 2 2 7 2 2 4" xfId="41854" xr:uid="{00000000-0005-0000-0000-0000110F0000}"/>
    <cellStyle name="20 % - Markeringsfarve2 2 2 7 2 3" xfId="12635" xr:uid="{00000000-0005-0000-0000-0000120F0000}"/>
    <cellStyle name="20 % - Markeringsfarve2 2 2 7 2 3 2" xfId="28914" xr:uid="{00000000-0005-0000-0000-0000130F0000}"/>
    <cellStyle name="20 % - Markeringsfarve2 2 2 7 2 3 3" xfId="43875" xr:uid="{00000000-0005-0000-0000-0000140F0000}"/>
    <cellStyle name="20 % - Markeringsfarve2 2 2 7 2 4" xfId="21912" xr:uid="{00000000-0005-0000-0000-0000150F0000}"/>
    <cellStyle name="20 % - Markeringsfarve2 2 2 7 2 5" xfId="36878" xr:uid="{00000000-0005-0000-0000-0000160F0000}"/>
    <cellStyle name="20 % - Markeringsfarve2 2 2 7 3" xfId="8355" xr:uid="{00000000-0005-0000-0000-0000170F0000}"/>
    <cellStyle name="20 % - Markeringsfarve2 2 2 7 3 2" xfId="16225" xr:uid="{00000000-0005-0000-0000-0000180F0000}"/>
    <cellStyle name="20 % - Markeringsfarve2 2 2 7 3 2 2" xfId="32501" xr:uid="{00000000-0005-0000-0000-0000190F0000}"/>
    <cellStyle name="20 % - Markeringsfarve2 2 2 7 3 2 3" xfId="47460" xr:uid="{00000000-0005-0000-0000-00001A0F0000}"/>
    <cellStyle name="20 % - Markeringsfarve2 2 2 7 3 3" xfId="25499" xr:uid="{00000000-0005-0000-0000-00001B0F0000}"/>
    <cellStyle name="20 % - Markeringsfarve2 2 2 7 3 4" xfId="40463" xr:uid="{00000000-0005-0000-0000-00001C0F0000}"/>
    <cellStyle name="20 % - Markeringsfarve2 2 2 7 4" xfId="12634" xr:uid="{00000000-0005-0000-0000-00001D0F0000}"/>
    <cellStyle name="20 % - Markeringsfarve2 2 2 7 4 2" xfId="28913" xr:uid="{00000000-0005-0000-0000-00001E0F0000}"/>
    <cellStyle name="20 % - Markeringsfarve2 2 2 7 4 3" xfId="43874" xr:uid="{00000000-0005-0000-0000-00001F0F0000}"/>
    <cellStyle name="20 % - Markeringsfarve2 2 2 7 5" xfId="21911" xr:uid="{00000000-0005-0000-0000-0000200F0000}"/>
    <cellStyle name="20 % - Markeringsfarve2 2 2 7 6" xfId="36877" xr:uid="{00000000-0005-0000-0000-0000210F0000}"/>
    <cellStyle name="20 % - Markeringsfarve2 2 2 8" xfId="4151" xr:uid="{00000000-0005-0000-0000-0000220F0000}"/>
    <cellStyle name="20 % - Markeringsfarve2 2 2 8 2" xfId="8990" xr:uid="{00000000-0005-0000-0000-0000230F0000}"/>
    <cellStyle name="20 % - Markeringsfarve2 2 2 8 2 2" xfId="16854" xr:uid="{00000000-0005-0000-0000-0000240F0000}"/>
    <cellStyle name="20 % - Markeringsfarve2 2 2 8 2 2 2" xfId="33130" xr:uid="{00000000-0005-0000-0000-0000250F0000}"/>
    <cellStyle name="20 % - Markeringsfarve2 2 2 8 2 2 3" xfId="48089" xr:uid="{00000000-0005-0000-0000-0000260F0000}"/>
    <cellStyle name="20 % - Markeringsfarve2 2 2 8 2 3" xfId="26128" xr:uid="{00000000-0005-0000-0000-0000270F0000}"/>
    <cellStyle name="20 % - Markeringsfarve2 2 2 8 2 4" xfId="41092" xr:uid="{00000000-0005-0000-0000-0000280F0000}"/>
    <cellStyle name="20 % - Markeringsfarve2 2 2 8 3" xfId="12636" xr:uid="{00000000-0005-0000-0000-0000290F0000}"/>
    <cellStyle name="20 % - Markeringsfarve2 2 2 8 3 2" xfId="28915" xr:uid="{00000000-0005-0000-0000-00002A0F0000}"/>
    <cellStyle name="20 % - Markeringsfarve2 2 2 8 3 3" xfId="43876" xr:uid="{00000000-0005-0000-0000-00002B0F0000}"/>
    <cellStyle name="20 % - Markeringsfarve2 2 2 8 4" xfId="21913" xr:uid="{00000000-0005-0000-0000-00002C0F0000}"/>
    <cellStyle name="20 % - Markeringsfarve2 2 2 8 5" xfId="36879" xr:uid="{00000000-0005-0000-0000-00002D0F0000}"/>
    <cellStyle name="20 % - Markeringsfarve2 2 2 9" xfId="4152" xr:uid="{00000000-0005-0000-0000-00002E0F0000}"/>
    <cellStyle name="20 % - Markeringsfarve2 2 2 9 2" xfId="10536" xr:uid="{00000000-0005-0000-0000-00002F0F0000}"/>
    <cellStyle name="20 % - Markeringsfarve2 2 2 9 2 2" xfId="18385" xr:uid="{00000000-0005-0000-0000-0000300F0000}"/>
    <cellStyle name="20 % - Markeringsfarve2 2 2 9 2 2 2" xfId="34661" xr:uid="{00000000-0005-0000-0000-0000310F0000}"/>
    <cellStyle name="20 % - Markeringsfarve2 2 2 9 2 2 3" xfId="49620" xr:uid="{00000000-0005-0000-0000-0000320F0000}"/>
    <cellStyle name="20 % - Markeringsfarve2 2 2 9 2 3" xfId="27659" xr:uid="{00000000-0005-0000-0000-0000330F0000}"/>
    <cellStyle name="20 % - Markeringsfarve2 2 2 9 2 4" xfId="42623" xr:uid="{00000000-0005-0000-0000-0000340F0000}"/>
    <cellStyle name="20 % - Markeringsfarve2 2 2 9 3" xfId="12637" xr:uid="{00000000-0005-0000-0000-0000350F0000}"/>
    <cellStyle name="20 % - Markeringsfarve2 2 2 9 3 2" xfId="28916" xr:uid="{00000000-0005-0000-0000-0000360F0000}"/>
    <cellStyle name="20 % - Markeringsfarve2 2 2 9 3 3" xfId="43877" xr:uid="{00000000-0005-0000-0000-0000370F0000}"/>
    <cellStyle name="20 % - Markeringsfarve2 2 2 9 4" xfId="21914" xr:uid="{00000000-0005-0000-0000-0000380F0000}"/>
    <cellStyle name="20 % - Markeringsfarve2 2 2 9 5" xfId="36880" xr:uid="{00000000-0005-0000-0000-0000390F0000}"/>
    <cellStyle name="20 % - Markeringsfarve2 2 3" xfId="4153" xr:uid="{00000000-0005-0000-0000-00003A0F0000}"/>
    <cellStyle name="20 % - Markeringsfarve2 2 3 10" xfId="7686" xr:uid="{00000000-0005-0000-0000-00003B0F0000}"/>
    <cellStyle name="20 % - Markeringsfarve2 2 3 10 2" xfId="15551" xr:uid="{00000000-0005-0000-0000-00003C0F0000}"/>
    <cellStyle name="20 % - Markeringsfarve2 2 3 10 2 2" xfId="31827" xr:uid="{00000000-0005-0000-0000-00003D0F0000}"/>
    <cellStyle name="20 % - Markeringsfarve2 2 3 10 2 3" xfId="46786" xr:uid="{00000000-0005-0000-0000-00003E0F0000}"/>
    <cellStyle name="20 % - Markeringsfarve2 2 3 10 3" xfId="24825" xr:uid="{00000000-0005-0000-0000-00003F0F0000}"/>
    <cellStyle name="20 % - Markeringsfarve2 2 3 10 4" xfId="39789" xr:uid="{00000000-0005-0000-0000-0000400F0000}"/>
    <cellStyle name="20 % - Markeringsfarve2 2 3 11" xfId="12638" xr:uid="{00000000-0005-0000-0000-0000410F0000}"/>
    <cellStyle name="20 % - Markeringsfarve2 2 3 11 2" xfId="28917" xr:uid="{00000000-0005-0000-0000-0000420F0000}"/>
    <cellStyle name="20 % - Markeringsfarve2 2 3 11 3" xfId="43878" xr:uid="{00000000-0005-0000-0000-0000430F0000}"/>
    <cellStyle name="20 % - Markeringsfarve2 2 3 12" xfId="21915" xr:uid="{00000000-0005-0000-0000-0000440F0000}"/>
    <cellStyle name="20 % - Markeringsfarve2 2 3 13" xfId="36881" xr:uid="{00000000-0005-0000-0000-0000450F0000}"/>
    <cellStyle name="20 % - Markeringsfarve2 2 3 2" xfId="4154" xr:uid="{00000000-0005-0000-0000-0000460F0000}"/>
    <cellStyle name="20 % - Markeringsfarve2 2 3 2 2" xfId="4155" xr:uid="{00000000-0005-0000-0000-0000470F0000}"/>
    <cellStyle name="20 % - Markeringsfarve2 2 3 2 2 2" xfId="4156" xr:uid="{00000000-0005-0000-0000-0000480F0000}"/>
    <cellStyle name="20 % - Markeringsfarve2 2 3 2 2 2 2" xfId="9919" xr:uid="{00000000-0005-0000-0000-0000490F0000}"/>
    <cellStyle name="20 % - Markeringsfarve2 2 3 2 2 2 2 2" xfId="17774" xr:uid="{00000000-0005-0000-0000-00004A0F0000}"/>
    <cellStyle name="20 % - Markeringsfarve2 2 3 2 2 2 2 2 2" xfId="34050" xr:uid="{00000000-0005-0000-0000-00004B0F0000}"/>
    <cellStyle name="20 % - Markeringsfarve2 2 3 2 2 2 2 2 3" xfId="49009" xr:uid="{00000000-0005-0000-0000-00004C0F0000}"/>
    <cellStyle name="20 % - Markeringsfarve2 2 3 2 2 2 2 3" xfId="27048" xr:uid="{00000000-0005-0000-0000-00004D0F0000}"/>
    <cellStyle name="20 % - Markeringsfarve2 2 3 2 2 2 2 4" xfId="42012" xr:uid="{00000000-0005-0000-0000-00004E0F0000}"/>
    <cellStyle name="20 % - Markeringsfarve2 2 3 2 2 2 3" xfId="12641" xr:uid="{00000000-0005-0000-0000-00004F0F0000}"/>
    <cellStyle name="20 % - Markeringsfarve2 2 3 2 2 2 3 2" xfId="28920" xr:uid="{00000000-0005-0000-0000-0000500F0000}"/>
    <cellStyle name="20 % - Markeringsfarve2 2 3 2 2 2 3 3" xfId="43881" xr:uid="{00000000-0005-0000-0000-0000510F0000}"/>
    <cellStyle name="20 % - Markeringsfarve2 2 3 2 2 2 4" xfId="21918" xr:uid="{00000000-0005-0000-0000-0000520F0000}"/>
    <cellStyle name="20 % - Markeringsfarve2 2 3 2 2 2 5" xfId="36884" xr:uid="{00000000-0005-0000-0000-0000530F0000}"/>
    <cellStyle name="20 % - Markeringsfarve2 2 3 2 2 3" xfId="8487" xr:uid="{00000000-0005-0000-0000-0000540F0000}"/>
    <cellStyle name="20 % - Markeringsfarve2 2 3 2 2 3 2" xfId="16357" xr:uid="{00000000-0005-0000-0000-0000550F0000}"/>
    <cellStyle name="20 % - Markeringsfarve2 2 3 2 2 3 2 2" xfId="32633" xr:uid="{00000000-0005-0000-0000-0000560F0000}"/>
    <cellStyle name="20 % - Markeringsfarve2 2 3 2 2 3 2 3" xfId="47592" xr:uid="{00000000-0005-0000-0000-0000570F0000}"/>
    <cellStyle name="20 % - Markeringsfarve2 2 3 2 2 3 3" xfId="25631" xr:uid="{00000000-0005-0000-0000-0000580F0000}"/>
    <cellStyle name="20 % - Markeringsfarve2 2 3 2 2 3 4" xfId="40595" xr:uid="{00000000-0005-0000-0000-0000590F0000}"/>
    <cellStyle name="20 % - Markeringsfarve2 2 3 2 2 4" xfId="12640" xr:uid="{00000000-0005-0000-0000-00005A0F0000}"/>
    <cellStyle name="20 % - Markeringsfarve2 2 3 2 2 4 2" xfId="28919" xr:uid="{00000000-0005-0000-0000-00005B0F0000}"/>
    <cellStyle name="20 % - Markeringsfarve2 2 3 2 2 4 3" xfId="43880" xr:uid="{00000000-0005-0000-0000-00005C0F0000}"/>
    <cellStyle name="20 % - Markeringsfarve2 2 3 2 2 5" xfId="21917" xr:uid="{00000000-0005-0000-0000-00005D0F0000}"/>
    <cellStyle name="20 % - Markeringsfarve2 2 3 2 2 6" xfId="36883" xr:uid="{00000000-0005-0000-0000-00005E0F0000}"/>
    <cellStyle name="20 % - Markeringsfarve2 2 3 2 3" xfId="4157" xr:uid="{00000000-0005-0000-0000-00005F0F0000}"/>
    <cellStyle name="20 % - Markeringsfarve2 2 3 2 3 2" xfId="9150" xr:uid="{00000000-0005-0000-0000-0000600F0000}"/>
    <cellStyle name="20 % - Markeringsfarve2 2 3 2 3 2 2" xfId="17014" xr:uid="{00000000-0005-0000-0000-0000610F0000}"/>
    <cellStyle name="20 % - Markeringsfarve2 2 3 2 3 2 2 2" xfId="33290" xr:uid="{00000000-0005-0000-0000-0000620F0000}"/>
    <cellStyle name="20 % - Markeringsfarve2 2 3 2 3 2 2 3" xfId="48249" xr:uid="{00000000-0005-0000-0000-0000630F0000}"/>
    <cellStyle name="20 % - Markeringsfarve2 2 3 2 3 2 3" xfId="26288" xr:uid="{00000000-0005-0000-0000-0000640F0000}"/>
    <cellStyle name="20 % - Markeringsfarve2 2 3 2 3 2 4" xfId="41252" xr:uid="{00000000-0005-0000-0000-0000650F0000}"/>
    <cellStyle name="20 % - Markeringsfarve2 2 3 2 3 3" xfId="12642" xr:uid="{00000000-0005-0000-0000-0000660F0000}"/>
    <cellStyle name="20 % - Markeringsfarve2 2 3 2 3 3 2" xfId="28921" xr:uid="{00000000-0005-0000-0000-0000670F0000}"/>
    <cellStyle name="20 % - Markeringsfarve2 2 3 2 3 3 3" xfId="43882" xr:uid="{00000000-0005-0000-0000-0000680F0000}"/>
    <cellStyle name="20 % - Markeringsfarve2 2 3 2 3 4" xfId="21919" xr:uid="{00000000-0005-0000-0000-0000690F0000}"/>
    <cellStyle name="20 % - Markeringsfarve2 2 3 2 3 5" xfId="36885" xr:uid="{00000000-0005-0000-0000-00006A0F0000}"/>
    <cellStyle name="20 % - Markeringsfarve2 2 3 2 4" xfId="4158" xr:uid="{00000000-0005-0000-0000-00006B0F0000}"/>
    <cellStyle name="20 % - Markeringsfarve2 2 3 2 4 2" xfId="9317" xr:uid="{00000000-0005-0000-0000-00006C0F0000}"/>
    <cellStyle name="20 % - Markeringsfarve2 2 3 2 4 2 2" xfId="17180" xr:uid="{00000000-0005-0000-0000-00006D0F0000}"/>
    <cellStyle name="20 % - Markeringsfarve2 2 3 2 4 2 2 2" xfId="33456" xr:uid="{00000000-0005-0000-0000-00006E0F0000}"/>
    <cellStyle name="20 % - Markeringsfarve2 2 3 2 4 2 2 3" xfId="48415" xr:uid="{00000000-0005-0000-0000-00006F0F0000}"/>
    <cellStyle name="20 % - Markeringsfarve2 2 3 2 4 2 3" xfId="26454" xr:uid="{00000000-0005-0000-0000-0000700F0000}"/>
    <cellStyle name="20 % - Markeringsfarve2 2 3 2 4 2 4" xfId="41418" xr:uid="{00000000-0005-0000-0000-0000710F0000}"/>
    <cellStyle name="20 % - Markeringsfarve2 2 3 2 4 3" xfId="12643" xr:uid="{00000000-0005-0000-0000-0000720F0000}"/>
    <cellStyle name="20 % - Markeringsfarve2 2 3 2 4 3 2" xfId="28922" xr:uid="{00000000-0005-0000-0000-0000730F0000}"/>
    <cellStyle name="20 % - Markeringsfarve2 2 3 2 4 3 3" xfId="43883" xr:uid="{00000000-0005-0000-0000-0000740F0000}"/>
    <cellStyle name="20 % - Markeringsfarve2 2 3 2 4 4" xfId="21920" xr:uid="{00000000-0005-0000-0000-0000750F0000}"/>
    <cellStyle name="20 % - Markeringsfarve2 2 3 2 4 5" xfId="36886" xr:uid="{00000000-0005-0000-0000-0000760F0000}"/>
    <cellStyle name="20 % - Markeringsfarve2 2 3 2 5" xfId="7687" xr:uid="{00000000-0005-0000-0000-0000770F0000}"/>
    <cellStyle name="20 % - Markeringsfarve2 2 3 2 5 2" xfId="15552" xr:uid="{00000000-0005-0000-0000-0000780F0000}"/>
    <cellStyle name="20 % - Markeringsfarve2 2 3 2 5 2 2" xfId="31828" xr:uid="{00000000-0005-0000-0000-0000790F0000}"/>
    <cellStyle name="20 % - Markeringsfarve2 2 3 2 5 2 3" xfId="46787" xr:uid="{00000000-0005-0000-0000-00007A0F0000}"/>
    <cellStyle name="20 % - Markeringsfarve2 2 3 2 5 3" xfId="24826" xr:uid="{00000000-0005-0000-0000-00007B0F0000}"/>
    <cellStyle name="20 % - Markeringsfarve2 2 3 2 5 4" xfId="39790" xr:uid="{00000000-0005-0000-0000-00007C0F0000}"/>
    <cellStyle name="20 % - Markeringsfarve2 2 3 2 6" xfId="12639" xr:uid="{00000000-0005-0000-0000-00007D0F0000}"/>
    <cellStyle name="20 % - Markeringsfarve2 2 3 2 6 2" xfId="28918" xr:uid="{00000000-0005-0000-0000-00007E0F0000}"/>
    <cellStyle name="20 % - Markeringsfarve2 2 3 2 6 3" xfId="43879" xr:uid="{00000000-0005-0000-0000-00007F0F0000}"/>
    <cellStyle name="20 % - Markeringsfarve2 2 3 2 7" xfId="21916" xr:uid="{00000000-0005-0000-0000-0000800F0000}"/>
    <cellStyle name="20 % - Markeringsfarve2 2 3 2 8" xfId="36882" xr:uid="{00000000-0005-0000-0000-0000810F0000}"/>
    <cellStyle name="20 % - Markeringsfarve2 2 3 3" xfId="4159" xr:uid="{00000000-0005-0000-0000-0000820F0000}"/>
    <cellStyle name="20 % - Markeringsfarve2 2 3 3 2" xfId="4160" xr:uid="{00000000-0005-0000-0000-0000830F0000}"/>
    <cellStyle name="20 % - Markeringsfarve2 2 3 3 2 2" xfId="4161" xr:uid="{00000000-0005-0000-0000-0000840F0000}"/>
    <cellStyle name="20 % - Markeringsfarve2 2 3 3 2 2 2" xfId="9942" xr:uid="{00000000-0005-0000-0000-0000850F0000}"/>
    <cellStyle name="20 % - Markeringsfarve2 2 3 3 2 2 2 2" xfId="17797" xr:uid="{00000000-0005-0000-0000-0000860F0000}"/>
    <cellStyle name="20 % - Markeringsfarve2 2 3 3 2 2 2 2 2" xfId="34073" xr:uid="{00000000-0005-0000-0000-0000870F0000}"/>
    <cellStyle name="20 % - Markeringsfarve2 2 3 3 2 2 2 2 3" xfId="49032" xr:uid="{00000000-0005-0000-0000-0000880F0000}"/>
    <cellStyle name="20 % - Markeringsfarve2 2 3 3 2 2 2 3" xfId="27071" xr:uid="{00000000-0005-0000-0000-0000890F0000}"/>
    <cellStyle name="20 % - Markeringsfarve2 2 3 3 2 2 2 4" xfId="42035" xr:uid="{00000000-0005-0000-0000-00008A0F0000}"/>
    <cellStyle name="20 % - Markeringsfarve2 2 3 3 2 2 3" xfId="12646" xr:uid="{00000000-0005-0000-0000-00008B0F0000}"/>
    <cellStyle name="20 % - Markeringsfarve2 2 3 3 2 2 3 2" xfId="28925" xr:uid="{00000000-0005-0000-0000-00008C0F0000}"/>
    <cellStyle name="20 % - Markeringsfarve2 2 3 3 2 2 3 3" xfId="43886" xr:uid="{00000000-0005-0000-0000-00008D0F0000}"/>
    <cellStyle name="20 % - Markeringsfarve2 2 3 3 2 2 4" xfId="21923" xr:uid="{00000000-0005-0000-0000-00008E0F0000}"/>
    <cellStyle name="20 % - Markeringsfarve2 2 3 3 2 2 5" xfId="36889" xr:uid="{00000000-0005-0000-0000-00008F0F0000}"/>
    <cellStyle name="20 % - Markeringsfarve2 2 3 3 2 3" xfId="8507" xr:uid="{00000000-0005-0000-0000-0000900F0000}"/>
    <cellStyle name="20 % - Markeringsfarve2 2 3 3 2 3 2" xfId="16377" xr:uid="{00000000-0005-0000-0000-0000910F0000}"/>
    <cellStyle name="20 % - Markeringsfarve2 2 3 3 2 3 2 2" xfId="32653" xr:uid="{00000000-0005-0000-0000-0000920F0000}"/>
    <cellStyle name="20 % - Markeringsfarve2 2 3 3 2 3 2 3" xfId="47612" xr:uid="{00000000-0005-0000-0000-0000930F0000}"/>
    <cellStyle name="20 % - Markeringsfarve2 2 3 3 2 3 3" xfId="25651" xr:uid="{00000000-0005-0000-0000-0000940F0000}"/>
    <cellStyle name="20 % - Markeringsfarve2 2 3 3 2 3 4" xfId="40615" xr:uid="{00000000-0005-0000-0000-0000950F0000}"/>
    <cellStyle name="20 % - Markeringsfarve2 2 3 3 2 4" xfId="12645" xr:uid="{00000000-0005-0000-0000-0000960F0000}"/>
    <cellStyle name="20 % - Markeringsfarve2 2 3 3 2 4 2" xfId="28924" xr:uid="{00000000-0005-0000-0000-0000970F0000}"/>
    <cellStyle name="20 % - Markeringsfarve2 2 3 3 2 4 3" xfId="43885" xr:uid="{00000000-0005-0000-0000-0000980F0000}"/>
    <cellStyle name="20 % - Markeringsfarve2 2 3 3 2 5" xfId="21922" xr:uid="{00000000-0005-0000-0000-0000990F0000}"/>
    <cellStyle name="20 % - Markeringsfarve2 2 3 3 2 6" xfId="36888" xr:uid="{00000000-0005-0000-0000-00009A0F0000}"/>
    <cellStyle name="20 % - Markeringsfarve2 2 3 3 3" xfId="4162" xr:uid="{00000000-0005-0000-0000-00009B0F0000}"/>
    <cellStyle name="20 % - Markeringsfarve2 2 3 3 3 2" xfId="9173" xr:uid="{00000000-0005-0000-0000-00009C0F0000}"/>
    <cellStyle name="20 % - Markeringsfarve2 2 3 3 3 2 2" xfId="17037" xr:uid="{00000000-0005-0000-0000-00009D0F0000}"/>
    <cellStyle name="20 % - Markeringsfarve2 2 3 3 3 2 2 2" xfId="33313" xr:uid="{00000000-0005-0000-0000-00009E0F0000}"/>
    <cellStyle name="20 % - Markeringsfarve2 2 3 3 3 2 2 3" xfId="48272" xr:uid="{00000000-0005-0000-0000-00009F0F0000}"/>
    <cellStyle name="20 % - Markeringsfarve2 2 3 3 3 2 3" xfId="26311" xr:uid="{00000000-0005-0000-0000-0000A00F0000}"/>
    <cellStyle name="20 % - Markeringsfarve2 2 3 3 3 2 4" xfId="41275" xr:uid="{00000000-0005-0000-0000-0000A10F0000}"/>
    <cellStyle name="20 % - Markeringsfarve2 2 3 3 3 3" xfId="12647" xr:uid="{00000000-0005-0000-0000-0000A20F0000}"/>
    <cellStyle name="20 % - Markeringsfarve2 2 3 3 3 3 2" xfId="28926" xr:uid="{00000000-0005-0000-0000-0000A30F0000}"/>
    <cellStyle name="20 % - Markeringsfarve2 2 3 3 3 3 3" xfId="43887" xr:uid="{00000000-0005-0000-0000-0000A40F0000}"/>
    <cellStyle name="20 % - Markeringsfarve2 2 3 3 3 4" xfId="21924" xr:uid="{00000000-0005-0000-0000-0000A50F0000}"/>
    <cellStyle name="20 % - Markeringsfarve2 2 3 3 3 5" xfId="36890" xr:uid="{00000000-0005-0000-0000-0000A60F0000}"/>
    <cellStyle name="20 % - Markeringsfarve2 2 3 3 4" xfId="4163" xr:uid="{00000000-0005-0000-0000-0000A70F0000}"/>
    <cellStyle name="20 % - Markeringsfarve2 2 3 3 4 2" xfId="9318" xr:uid="{00000000-0005-0000-0000-0000A80F0000}"/>
    <cellStyle name="20 % - Markeringsfarve2 2 3 3 4 2 2" xfId="17181" xr:uid="{00000000-0005-0000-0000-0000A90F0000}"/>
    <cellStyle name="20 % - Markeringsfarve2 2 3 3 4 2 2 2" xfId="33457" xr:uid="{00000000-0005-0000-0000-0000AA0F0000}"/>
    <cellStyle name="20 % - Markeringsfarve2 2 3 3 4 2 2 3" xfId="48416" xr:uid="{00000000-0005-0000-0000-0000AB0F0000}"/>
    <cellStyle name="20 % - Markeringsfarve2 2 3 3 4 2 3" xfId="26455" xr:uid="{00000000-0005-0000-0000-0000AC0F0000}"/>
    <cellStyle name="20 % - Markeringsfarve2 2 3 3 4 2 4" xfId="41419" xr:uid="{00000000-0005-0000-0000-0000AD0F0000}"/>
    <cellStyle name="20 % - Markeringsfarve2 2 3 3 4 3" xfId="12648" xr:uid="{00000000-0005-0000-0000-0000AE0F0000}"/>
    <cellStyle name="20 % - Markeringsfarve2 2 3 3 4 3 2" xfId="28927" xr:uid="{00000000-0005-0000-0000-0000AF0F0000}"/>
    <cellStyle name="20 % - Markeringsfarve2 2 3 3 4 3 3" xfId="43888" xr:uid="{00000000-0005-0000-0000-0000B00F0000}"/>
    <cellStyle name="20 % - Markeringsfarve2 2 3 3 4 4" xfId="21925" xr:uid="{00000000-0005-0000-0000-0000B10F0000}"/>
    <cellStyle name="20 % - Markeringsfarve2 2 3 3 4 5" xfId="36891" xr:uid="{00000000-0005-0000-0000-0000B20F0000}"/>
    <cellStyle name="20 % - Markeringsfarve2 2 3 3 5" xfId="7688" xr:uid="{00000000-0005-0000-0000-0000B30F0000}"/>
    <cellStyle name="20 % - Markeringsfarve2 2 3 3 5 2" xfId="15553" xr:uid="{00000000-0005-0000-0000-0000B40F0000}"/>
    <cellStyle name="20 % - Markeringsfarve2 2 3 3 5 2 2" xfId="31829" xr:uid="{00000000-0005-0000-0000-0000B50F0000}"/>
    <cellStyle name="20 % - Markeringsfarve2 2 3 3 5 2 3" xfId="46788" xr:uid="{00000000-0005-0000-0000-0000B60F0000}"/>
    <cellStyle name="20 % - Markeringsfarve2 2 3 3 5 3" xfId="24827" xr:uid="{00000000-0005-0000-0000-0000B70F0000}"/>
    <cellStyle name="20 % - Markeringsfarve2 2 3 3 5 4" xfId="39791" xr:uid="{00000000-0005-0000-0000-0000B80F0000}"/>
    <cellStyle name="20 % - Markeringsfarve2 2 3 3 6" xfId="12644" xr:uid="{00000000-0005-0000-0000-0000B90F0000}"/>
    <cellStyle name="20 % - Markeringsfarve2 2 3 3 6 2" xfId="28923" xr:uid="{00000000-0005-0000-0000-0000BA0F0000}"/>
    <cellStyle name="20 % - Markeringsfarve2 2 3 3 6 3" xfId="43884" xr:uid="{00000000-0005-0000-0000-0000BB0F0000}"/>
    <cellStyle name="20 % - Markeringsfarve2 2 3 3 7" xfId="21921" xr:uid="{00000000-0005-0000-0000-0000BC0F0000}"/>
    <cellStyle name="20 % - Markeringsfarve2 2 3 3 8" xfId="36887" xr:uid="{00000000-0005-0000-0000-0000BD0F0000}"/>
    <cellStyle name="20 % - Markeringsfarve2 2 3 4" xfId="4164" xr:uid="{00000000-0005-0000-0000-0000BE0F0000}"/>
    <cellStyle name="20 % - Markeringsfarve2 2 3 4 2" xfId="4165" xr:uid="{00000000-0005-0000-0000-0000BF0F0000}"/>
    <cellStyle name="20 % - Markeringsfarve2 2 3 4 2 2" xfId="4166" xr:uid="{00000000-0005-0000-0000-0000C00F0000}"/>
    <cellStyle name="20 % - Markeringsfarve2 2 3 4 2 2 2" xfId="10157" xr:uid="{00000000-0005-0000-0000-0000C10F0000}"/>
    <cellStyle name="20 % - Markeringsfarve2 2 3 4 2 2 2 2" xfId="18012" xr:uid="{00000000-0005-0000-0000-0000C20F0000}"/>
    <cellStyle name="20 % - Markeringsfarve2 2 3 4 2 2 2 2 2" xfId="34288" xr:uid="{00000000-0005-0000-0000-0000C30F0000}"/>
    <cellStyle name="20 % - Markeringsfarve2 2 3 4 2 2 2 2 3" xfId="49247" xr:uid="{00000000-0005-0000-0000-0000C40F0000}"/>
    <cellStyle name="20 % - Markeringsfarve2 2 3 4 2 2 2 3" xfId="27286" xr:uid="{00000000-0005-0000-0000-0000C50F0000}"/>
    <cellStyle name="20 % - Markeringsfarve2 2 3 4 2 2 2 4" xfId="42250" xr:uid="{00000000-0005-0000-0000-0000C60F0000}"/>
    <cellStyle name="20 % - Markeringsfarve2 2 3 4 2 2 3" xfId="12651" xr:uid="{00000000-0005-0000-0000-0000C70F0000}"/>
    <cellStyle name="20 % - Markeringsfarve2 2 3 4 2 2 3 2" xfId="28930" xr:uid="{00000000-0005-0000-0000-0000C80F0000}"/>
    <cellStyle name="20 % - Markeringsfarve2 2 3 4 2 2 3 3" xfId="43891" xr:uid="{00000000-0005-0000-0000-0000C90F0000}"/>
    <cellStyle name="20 % - Markeringsfarve2 2 3 4 2 2 4" xfId="21928" xr:uid="{00000000-0005-0000-0000-0000CA0F0000}"/>
    <cellStyle name="20 % - Markeringsfarve2 2 3 4 2 2 5" xfId="36894" xr:uid="{00000000-0005-0000-0000-0000CB0F0000}"/>
    <cellStyle name="20 % - Markeringsfarve2 2 3 4 2 3" xfId="8689" xr:uid="{00000000-0005-0000-0000-0000CC0F0000}"/>
    <cellStyle name="20 % - Markeringsfarve2 2 3 4 2 3 2" xfId="16556" xr:uid="{00000000-0005-0000-0000-0000CD0F0000}"/>
    <cellStyle name="20 % - Markeringsfarve2 2 3 4 2 3 2 2" xfId="32832" xr:uid="{00000000-0005-0000-0000-0000CE0F0000}"/>
    <cellStyle name="20 % - Markeringsfarve2 2 3 4 2 3 2 3" xfId="47791" xr:uid="{00000000-0005-0000-0000-0000CF0F0000}"/>
    <cellStyle name="20 % - Markeringsfarve2 2 3 4 2 3 3" xfId="25830" xr:uid="{00000000-0005-0000-0000-0000D00F0000}"/>
    <cellStyle name="20 % - Markeringsfarve2 2 3 4 2 3 4" xfId="40794" xr:uid="{00000000-0005-0000-0000-0000D10F0000}"/>
    <cellStyle name="20 % - Markeringsfarve2 2 3 4 2 4" xfId="12650" xr:uid="{00000000-0005-0000-0000-0000D20F0000}"/>
    <cellStyle name="20 % - Markeringsfarve2 2 3 4 2 4 2" xfId="28929" xr:uid="{00000000-0005-0000-0000-0000D30F0000}"/>
    <cellStyle name="20 % - Markeringsfarve2 2 3 4 2 4 3" xfId="43890" xr:uid="{00000000-0005-0000-0000-0000D40F0000}"/>
    <cellStyle name="20 % - Markeringsfarve2 2 3 4 2 5" xfId="21927" xr:uid="{00000000-0005-0000-0000-0000D50F0000}"/>
    <cellStyle name="20 % - Markeringsfarve2 2 3 4 2 6" xfId="36893" xr:uid="{00000000-0005-0000-0000-0000D60F0000}"/>
    <cellStyle name="20 % - Markeringsfarve2 2 3 4 3" xfId="4167" xr:uid="{00000000-0005-0000-0000-0000D70F0000}"/>
    <cellStyle name="20 % - Markeringsfarve2 2 3 4 3 2" xfId="9434" xr:uid="{00000000-0005-0000-0000-0000D80F0000}"/>
    <cellStyle name="20 % - Markeringsfarve2 2 3 4 3 2 2" xfId="17297" xr:uid="{00000000-0005-0000-0000-0000D90F0000}"/>
    <cellStyle name="20 % - Markeringsfarve2 2 3 4 3 2 2 2" xfId="33573" xr:uid="{00000000-0005-0000-0000-0000DA0F0000}"/>
    <cellStyle name="20 % - Markeringsfarve2 2 3 4 3 2 2 3" xfId="48532" xr:uid="{00000000-0005-0000-0000-0000DB0F0000}"/>
    <cellStyle name="20 % - Markeringsfarve2 2 3 4 3 2 3" xfId="26571" xr:uid="{00000000-0005-0000-0000-0000DC0F0000}"/>
    <cellStyle name="20 % - Markeringsfarve2 2 3 4 3 2 4" xfId="41535" xr:uid="{00000000-0005-0000-0000-0000DD0F0000}"/>
    <cellStyle name="20 % - Markeringsfarve2 2 3 4 3 3" xfId="12652" xr:uid="{00000000-0005-0000-0000-0000DE0F0000}"/>
    <cellStyle name="20 % - Markeringsfarve2 2 3 4 3 3 2" xfId="28931" xr:uid="{00000000-0005-0000-0000-0000DF0F0000}"/>
    <cellStyle name="20 % - Markeringsfarve2 2 3 4 3 3 3" xfId="43892" xr:uid="{00000000-0005-0000-0000-0000E00F0000}"/>
    <cellStyle name="20 % - Markeringsfarve2 2 3 4 3 4" xfId="21929" xr:uid="{00000000-0005-0000-0000-0000E10F0000}"/>
    <cellStyle name="20 % - Markeringsfarve2 2 3 4 3 5" xfId="36895" xr:uid="{00000000-0005-0000-0000-0000E20F0000}"/>
    <cellStyle name="20 % - Markeringsfarve2 2 3 4 4" xfId="4168" xr:uid="{00000000-0005-0000-0000-0000E30F0000}"/>
    <cellStyle name="20 % - Markeringsfarve2 2 3 4 4 2" xfId="9310" xr:uid="{00000000-0005-0000-0000-0000E40F0000}"/>
    <cellStyle name="20 % - Markeringsfarve2 2 3 4 4 2 2" xfId="17173" xr:uid="{00000000-0005-0000-0000-0000E50F0000}"/>
    <cellStyle name="20 % - Markeringsfarve2 2 3 4 4 2 2 2" xfId="33449" xr:uid="{00000000-0005-0000-0000-0000E60F0000}"/>
    <cellStyle name="20 % - Markeringsfarve2 2 3 4 4 2 2 3" xfId="48408" xr:uid="{00000000-0005-0000-0000-0000E70F0000}"/>
    <cellStyle name="20 % - Markeringsfarve2 2 3 4 4 2 3" xfId="26447" xr:uid="{00000000-0005-0000-0000-0000E80F0000}"/>
    <cellStyle name="20 % - Markeringsfarve2 2 3 4 4 2 4" xfId="41411" xr:uid="{00000000-0005-0000-0000-0000E90F0000}"/>
    <cellStyle name="20 % - Markeringsfarve2 2 3 4 4 3" xfId="12653" xr:uid="{00000000-0005-0000-0000-0000EA0F0000}"/>
    <cellStyle name="20 % - Markeringsfarve2 2 3 4 4 3 2" xfId="28932" xr:uid="{00000000-0005-0000-0000-0000EB0F0000}"/>
    <cellStyle name="20 % - Markeringsfarve2 2 3 4 4 3 3" xfId="43893" xr:uid="{00000000-0005-0000-0000-0000EC0F0000}"/>
    <cellStyle name="20 % - Markeringsfarve2 2 3 4 4 4" xfId="21930" xr:uid="{00000000-0005-0000-0000-0000ED0F0000}"/>
    <cellStyle name="20 % - Markeringsfarve2 2 3 4 4 5" xfId="36896" xr:uid="{00000000-0005-0000-0000-0000EE0F0000}"/>
    <cellStyle name="20 % - Markeringsfarve2 2 3 4 5" xfId="7689" xr:uid="{00000000-0005-0000-0000-0000EF0F0000}"/>
    <cellStyle name="20 % - Markeringsfarve2 2 3 4 5 2" xfId="15554" xr:uid="{00000000-0005-0000-0000-0000F00F0000}"/>
    <cellStyle name="20 % - Markeringsfarve2 2 3 4 5 2 2" xfId="31830" xr:uid="{00000000-0005-0000-0000-0000F10F0000}"/>
    <cellStyle name="20 % - Markeringsfarve2 2 3 4 5 2 3" xfId="46789" xr:uid="{00000000-0005-0000-0000-0000F20F0000}"/>
    <cellStyle name="20 % - Markeringsfarve2 2 3 4 5 3" xfId="24828" xr:uid="{00000000-0005-0000-0000-0000F30F0000}"/>
    <cellStyle name="20 % - Markeringsfarve2 2 3 4 5 4" xfId="39792" xr:uid="{00000000-0005-0000-0000-0000F40F0000}"/>
    <cellStyle name="20 % - Markeringsfarve2 2 3 4 6" xfId="12649" xr:uid="{00000000-0005-0000-0000-0000F50F0000}"/>
    <cellStyle name="20 % - Markeringsfarve2 2 3 4 6 2" xfId="28928" xr:uid="{00000000-0005-0000-0000-0000F60F0000}"/>
    <cellStyle name="20 % - Markeringsfarve2 2 3 4 6 3" xfId="43889" xr:uid="{00000000-0005-0000-0000-0000F70F0000}"/>
    <cellStyle name="20 % - Markeringsfarve2 2 3 4 7" xfId="21926" xr:uid="{00000000-0005-0000-0000-0000F80F0000}"/>
    <cellStyle name="20 % - Markeringsfarve2 2 3 4 8" xfId="36892" xr:uid="{00000000-0005-0000-0000-0000F90F0000}"/>
    <cellStyle name="20 % - Markeringsfarve2 2 3 5" xfId="4169" xr:uid="{00000000-0005-0000-0000-0000FA0F0000}"/>
    <cellStyle name="20 % - Markeringsfarve2 2 3 5 2" xfId="4170" xr:uid="{00000000-0005-0000-0000-0000FB0F0000}"/>
    <cellStyle name="20 % - Markeringsfarve2 2 3 5 2 2" xfId="4171" xr:uid="{00000000-0005-0000-0000-0000FC0F0000}"/>
    <cellStyle name="20 % - Markeringsfarve2 2 3 5 2 2 2" xfId="10274" xr:uid="{00000000-0005-0000-0000-0000FD0F0000}"/>
    <cellStyle name="20 % - Markeringsfarve2 2 3 5 2 2 2 2" xfId="18129" xr:uid="{00000000-0005-0000-0000-0000FE0F0000}"/>
    <cellStyle name="20 % - Markeringsfarve2 2 3 5 2 2 2 2 2" xfId="34405" xr:uid="{00000000-0005-0000-0000-0000FF0F0000}"/>
    <cellStyle name="20 % - Markeringsfarve2 2 3 5 2 2 2 2 3" xfId="49364" xr:uid="{00000000-0005-0000-0000-000000100000}"/>
    <cellStyle name="20 % - Markeringsfarve2 2 3 5 2 2 2 3" xfId="27403" xr:uid="{00000000-0005-0000-0000-000001100000}"/>
    <cellStyle name="20 % - Markeringsfarve2 2 3 5 2 2 2 4" xfId="42367" xr:uid="{00000000-0005-0000-0000-000002100000}"/>
    <cellStyle name="20 % - Markeringsfarve2 2 3 5 2 2 3" xfId="12656" xr:uid="{00000000-0005-0000-0000-000003100000}"/>
    <cellStyle name="20 % - Markeringsfarve2 2 3 5 2 2 3 2" xfId="28935" xr:uid="{00000000-0005-0000-0000-000004100000}"/>
    <cellStyle name="20 % - Markeringsfarve2 2 3 5 2 2 3 3" xfId="43896" xr:uid="{00000000-0005-0000-0000-000005100000}"/>
    <cellStyle name="20 % - Markeringsfarve2 2 3 5 2 2 4" xfId="21933" xr:uid="{00000000-0005-0000-0000-000006100000}"/>
    <cellStyle name="20 % - Markeringsfarve2 2 3 5 2 2 5" xfId="36899" xr:uid="{00000000-0005-0000-0000-000007100000}"/>
    <cellStyle name="20 % - Markeringsfarve2 2 3 5 2 3" xfId="8788" xr:uid="{00000000-0005-0000-0000-000008100000}"/>
    <cellStyle name="20 % - Markeringsfarve2 2 3 5 2 3 2" xfId="16655" xr:uid="{00000000-0005-0000-0000-000009100000}"/>
    <cellStyle name="20 % - Markeringsfarve2 2 3 5 2 3 2 2" xfId="32931" xr:uid="{00000000-0005-0000-0000-00000A100000}"/>
    <cellStyle name="20 % - Markeringsfarve2 2 3 5 2 3 2 3" xfId="47890" xr:uid="{00000000-0005-0000-0000-00000B100000}"/>
    <cellStyle name="20 % - Markeringsfarve2 2 3 5 2 3 3" xfId="25929" xr:uid="{00000000-0005-0000-0000-00000C100000}"/>
    <cellStyle name="20 % - Markeringsfarve2 2 3 5 2 3 4" xfId="40893" xr:uid="{00000000-0005-0000-0000-00000D100000}"/>
    <cellStyle name="20 % - Markeringsfarve2 2 3 5 2 4" xfId="12655" xr:uid="{00000000-0005-0000-0000-00000E100000}"/>
    <cellStyle name="20 % - Markeringsfarve2 2 3 5 2 4 2" xfId="28934" xr:uid="{00000000-0005-0000-0000-00000F100000}"/>
    <cellStyle name="20 % - Markeringsfarve2 2 3 5 2 4 3" xfId="43895" xr:uid="{00000000-0005-0000-0000-000010100000}"/>
    <cellStyle name="20 % - Markeringsfarve2 2 3 5 2 5" xfId="21932" xr:uid="{00000000-0005-0000-0000-000011100000}"/>
    <cellStyle name="20 % - Markeringsfarve2 2 3 5 2 6" xfId="36898" xr:uid="{00000000-0005-0000-0000-000012100000}"/>
    <cellStyle name="20 % - Markeringsfarve2 2 3 5 3" xfId="4172" xr:uid="{00000000-0005-0000-0000-000013100000}"/>
    <cellStyle name="20 % - Markeringsfarve2 2 3 5 3 2" xfId="9551" xr:uid="{00000000-0005-0000-0000-000014100000}"/>
    <cellStyle name="20 % - Markeringsfarve2 2 3 5 3 2 2" xfId="17414" xr:uid="{00000000-0005-0000-0000-000015100000}"/>
    <cellStyle name="20 % - Markeringsfarve2 2 3 5 3 2 2 2" xfId="33690" xr:uid="{00000000-0005-0000-0000-000016100000}"/>
    <cellStyle name="20 % - Markeringsfarve2 2 3 5 3 2 2 3" xfId="48649" xr:uid="{00000000-0005-0000-0000-000017100000}"/>
    <cellStyle name="20 % - Markeringsfarve2 2 3 5 3 2 3" xfId="26688" xr:uid="{00000000-0005-0000-0000-000018100000}"/>
    <cellStyle name="20 % - Markeringsfarve2 2 3 5 3 2 4" xfId="41652" xr:uid="{00000000-0005-0000-0000-000019100000}"/>
    <cellStyle name="20 % - Markeringsfarve2 2 3 5 3 3" xfId="12657" xr:uid="{00000000-0005-0000-0000-00001A100000}"/>
    <cellStyle name="20 % - Markeringsfarve2 2 3 5 3 3 2" xfId="28936" xr:uid="{00000000-0005-0000-0000-00001B100000}"/>
    <cellStyle name="20 % - Markeringsfarve2 2 3 5 3 3 3" xfId="43897" xr:uid="{00000000-0005-0000-0000-00001C100000}"/>
    <cellStyle name="20 % - Markeringsfarve2 2 3 5 3 4" xfId="21934" xr:uid="{00000000-0005-0000-0000-00001D100000}"/>
    <cellStyle name="20 % - Markeringsfarve2 2 3 5 3 5" xfId="36900" xr:uid="{00000000-0005-0000-0000-00001E100000}"/>
    <cellStyle name="20 % - Markeringsfarve2 2 3 5 4" xfId="4173" xr:uid="{00000000-0005-0000-0000-00001F100000}"/>
    <cellStyle name="20 % - Markeringsfarve2 2 3 5 4 2" xfId="9323" xr:uid="{00000000-0005-0000-0000-000020100000}"/>
    <cellStyle name="20 % - Markeringsfarve2 2 3 5 4 2 2" xfId="17186" xr:uid="{00000000-0005-0000-0000-000021100000}"/>
    <cellStyle name="20 % - Markeringsfarve2 2 3 5 4 2 2 2" xfId="33462" xr:uid="{00000000-0005-0000-0000-000022100000}"/>
    <cellStyle name="20 % - Markeringsfarve2 2 3 5 4 2 2 3" xfId="48421" xr:uid="{00000000-0005-0000-0000-000023100000}"/>
    <cellStyle name="20 % - Markeringsfarve2 2 3 5 4 2 3" xfId="26460" xr:uid="{00000000-0005-0000-0000-000024100000}"/>
    <cellStyle name="20 % - Markeringsfarve2 2 3 5 4 2 4" xfId="41424" xr:uid="{00000000-0005-0000-0000-000025100000}"/>
    <cellStyle name="20 % - Markeringsfarve2 2 3 5 4 3" xfId="12658" xr:uid="{00000000-0005-0000-0000-000026100000}"/>
    <cellStyle name="20 % - Markeringsfarve2 2 3 5 4 3 2" xfId="28937" xr:uid="{00000000-0005-0000-0000-000027100000}"/>
    <cellStyle name="20 % - Markeringsfarve2 2 3 5 4 3 3" xfId="43898" xr:uid="{00000000-0005-0000-0000-000028100000}"/>
    <cellStyle name="20 % - Markeringsfarve2 2 3 5 4 4" xfId="21935" xr:uid="{00000000-0005-0000-0000-000029100000}"/>
    <cellStyle name="20 % - Markeringsfarve2 2 3 5 4 5" xfId="36901" xr:uid="{00000000-0005-0000-0000-00002A100000}"/>
    <cellStyle name="20 % - Markeringsfarve2 2 3 5 5" xfId="7690" xr:uid="{00000000-0005-0000-0000-00002B100000}"/>
    <cellStyle name="20 % - Markeringsfarve2 2 3 5 5 2" xfId="15555" xr:uid="{00000000-0005-0000-0000-00002C100000}"/>
    <cellStyle name="20 % - Markeringsfarve2 2 3 5 5 2 2" xfId="31831" xr:uid="{00000000-0005-0000-0000-00002D100000}"/>
    <cellStyle name="20 % - Markeringsfarve2 2 3 5 5 2 3" xfId="46790" xr:uid="{00000000-0005-0000-0000-00002E100000}"/>
    <cellStyle name="20 % - Markeringsfarve2 2 3 5 5 3" xfId="24829" xr:uid="{00000000-0005-0000-0000-00002F100000}"/>
    <cellStyle name="20 % - Markeringsfarve2 2 3 5 5 4" xfId="39793" xr:uid="{00000000-0005-0000-0000-000030100000}"/>
    <cellStyle name="20 % - Markeringsfarve2 2 3 5 6" xfId="12654" xr:uid="{00000000-0005-0000-0000-000031100000}"/>
    <cellStyle name="20 % - Markeringsfarve2 2 3 5 6 2" xfId="28933" xr:uid="{00000000-0005-0000-0000-000032100000}"/>
    <cellStyle name="20 % - Markeringsfarve2 2 3 5 6 3" xfId="43894" xr:uid="{00000000-0005-0000-0000-000033100000}"/>
    <cellStyle name="20 % - Markeringsfarve2 2 3 5 7" xfId="21931" xr:uid="{00000000-0005-0000-0000-000034100000}"/>
    <cellStyle name="20 % - Markeringsfarve2 2 3 5 8" xfId="36897" xr:uid="{00000000-0005-0000-0000-000035100000}"/>
    <cellStyle name="20 % - Markeringsfarve2 2 3 6" xfId="4174" xr:uid="{00000000-0005-0000-0000-000036100000}"/>
    <cellStyle name="20 % - Markeringsfarve2 2 3 6 2" xfId="4175" xr:uid="{00000000-0005-0000-0000-000037100000}"/>
    <cellStyle name="20 % - Markeringsfarve2 2 3 6 2 2" xfId="4176" xr:uid="{00000000-0005-0000-0000-000038100000}"/>
    <cellStyle name="20 % - Markeringsfarve2 2 3 6 2 2 2" xfId="10297" xr:uid="{00000000-0005-0000-0000-000039100000}"/>
    <cellStyle name="20 % - Markeringsfarve2 2 3 6 2 2 2 2" xfId="18152" xr:uid="{00000000-0005-0000-0000-00003A100000}"/>
    <cellStyle name="20 % - Markeringsfarve2 2 3 6 2 2 2 2 2" xfId="34428" xr:uid="{00000000-0005-0000-0000-00003B100000}"/>
    <cellStyle name="20 % - Markeringsfarve2 2 3 6 2 2 2 2 3" xfId="49387" xr:uid="{00000000-0005-0000-0000-00003C100000}"/>
    <cellStyle name="20 % - Markeringsfarve2 2 3 6 2 2 2 3" xfId="27426" xr:uid="{00000000-0005-0000-0000-00003D100000}"/>
    <cellStyle name="20 % - Markeringsfarve2 2 3 6 2 2 2 4" xfId="42390" xr:uid="{00000000-0005-0000-0000-00003E100000}"/>
    <cellStyle name="20 % - Markeringsfarve2 2 3 6 2 2 3" xfId="12661" xr:uid="{00000000-0005-0000-0000-00003F100000}"/>
    <cellStyle name="20 % - Markeringsfarve2 2 3 6 2 2 3 2" xfId="28940" xr:uid="{00000000-0005-0000-0000-000040100000}"/>
    <cellStyle name="20 % - Markeringsfarve2 2 3 6 2 2 3 3" xfId="43901" xr:uid="{00000000-0005-0000-0000-000041100000}"/>
    <cellStyle name="20 % - Markeringsfarve2 2 3 6 2 2 4" xfId="21938" xr:uid="{00000000-0005-0000-0000-000042100000}"/>
    <cellStyle name="20 % - Markeringsfarve2 2 3 6 2 2 5" xfId="36904" xr:uid="{00000000-0005-0000-0000-000043100000}"/>
    <cellStyle name="20 % - Markeringsfarve2 2 3 6 2 3" xfId="8809" xr:uid="{00000000-0005-0000-0000-000044100000}"/>
    <cellStyle name="20 % - Markeringsfarve2 2 3 6 2 3 2" xfId="16676" xr:uid="{00000000-0005-0000-0000-000045100000}"/>
    <cellStyle name="20 % - Markeringsfarve2 2 3 6 2 3 2 2" xfId="32952" xr:uid="{00000000-0005-0000-0000-000046100000}"/>
    <cellStyle name="20 % - Markeringsfarve2 2 3 6 2 3 2 3" xfId="47911" xr:uid="{00000000-0005-0000-0000-000047100000}"/>
    <cellStyle name="20 % - Markeringsfarve2 2 3 6 2 3 3" xfId="25950" xr:uid="{00000000-0005-0000-0000-000048100000}"/>
    <cellStyle name="20 % - Markeringsfarve2 2 3 6 2 3 4" xfId="40914" xr:uid="{00000000-0005-0000-0000-000049100000}"/>
    <cellStyle name="20 % - Markeringsfarve2 2 3 6 2 4" xfId="12660" xr:uid="{00000000-0005-0000-0000-00004A100000}"/>
    <cellStyle name="20 % - Markeringsfarve2 2 3 6 2 4 2" xfId="28939" xr:uid="{00000000-0005-0000-0000-00004B100000}"/>
    <cellStyle name="20 % - Markeringsfarve2 2 3 6 2 4 3" xfId="43900" xr:uid="{00000000-0005-0000-0000-00004C100000}"/>
    <cellStyle name="20 % - Markeringsfarve2 2 3 6 2 5" xfId="21937" xr:uid="{00000000-0005-0000-0000-00004D100000}"/>
    <cellStyle name="20 % - Markeringsfarve2 2 3 6 2 6" xfId="36903" xr:uid="{00000000-0005-0000-0000-00004E100000}"/>
    <cellStyle name="20 % - Markeringsfarve2 2 3 6 3" xfId="4177" xr:uid="{00000000-0005-0000-0000-00004F100000}"/>
    <cellStyle name="20 % - Markeringsfarve2 2 3 6 3 2" xfId="9575" xr:uid="{00000000-0005-0000-0000-000050100000}"/>
    <cellStyle name="20 % - Markeringsfarve2 2 3 6 3 2 2" xfId="17438" xr:uid="{00000000-0005-0000-0000-000051100000}"/>
    <cellStyle name="20 % - Markeringsfarve2 2 3 6 3 2 2 2" xfId="33714" xr:uid="{00000000-0005-0000-0000-000052100000}"/>
    <cellStyle name="20 % - Markeringsfarve2 2 3 6 3 2 2 3" xfId="48673" xr:uid="{00000000-0005-0000-0000-000053100000}"/>
    <cellStyle name="20 % - Markeringsfarve2 2 3 6 3 2 3" xfId="26712" xr:uid="{00000000-0005-0000-0000-000054100000}"/>
    <cellStyle name="20 % - Markeringsfarve2 2 3 6 3 2 4" xfId="41676" xr:uid="{00000000-0005-0000-0000-000055100000}"/>
    <cellStyle name="20 % - Markeringsfarve2 2 3 6 3 3" xfId="12662" xr:uid="{00000000-0005-0000-0000-000056100000}"/>
    <cellStyle name="20 % - Markeringsfarve2 2 3 6 3 3 2" xfId="28941" xr:uid="{00000000-0005-0000-0000-000057100000}"/>
    <cellStyle name="20 % - Markeringsfarve2 2 3 6 3 3 3" xfId="43902" xr:uid="{00000000-0005-0000-0000-000058100000}"/>
    <cellStyle name="20 % - Markeringsfarve2 2 3 6 3 4" xfId="21939" xr:uid="{00000000-0005-0000-0000-000059100000}"/>
    <cellStyle name="20 % - Markeringsfarve2 2 3 6 3 5" xfId="36905" xr:uid="{00000000-0005-0000-0000-00005A100000}"/>
    <cellStyle name="20 % - Markeringsfarve2 2 3 6 4" xfId="4178" xr:uid="{00000000-0005-0000-0000-00005B100000}"/>
    <cellStyle name="20 % - Markeringsfarve2 2 3 6 4 2" xfId="9324" xr:uid="{00000000-0005-0000-0000-00005C100000}"/>
    <cellStyle name="20 % - Markeringsfarve2 2 3 6 4 2 2" xfId="17187" xr:uid="{00000000-0005-0000-0000-00005D100000}"/>
    <cellStyle name="20 % - Markeringsfarve2 2 3 6 4 2 2 2" xfId="33463" xr:uid="{00000000-0005-0000-0000-00005E100000}"/>
    <cellStyle name="20 % - Markeringsfarve2 2 3 6 4 2 2 3" xfId="48422" xr:uid="{00000000-0005-0000-0000-00005F100000}"/>
    <cellStyle name="20 % - Markeringsfarve2 2 3 6 4 2 3" xfId="26461" xr:uid="{00000000-0005-0000-0000-000060100000}"/>
    <cellStyle name="20 % - Markeringsfarve2 2 3 6 4 2 4" xfId="41425" xr:uid="{00000000-0005-0000-0000-000061100000}"/>
    <cellStyle name="20 % - Markeringsfarve2 2 3 6 4 3" xfId="12663" xr:uid="{00000000-0005-0000-0000-000062100000}"/>
    <cellStyle name="20 % - Markeringsfarve2 2 3 6 4 3 2" xfId="28942" xr:uid="{00000000-0005-0000-0000-000063100000}"/>
    <cellStyle name="20 % - Markeringsfarve2 2 3 6 4 3 3" xfId="43903" xr:uid="{00000000-0005-0000-0000-000064100000}"/>
    <cellStyle name="20 % - Markeringsfarve2 2 3 6 4 4" xfId="21940" xr:uid="{00000000-0005-0000-0000-000065100000}"/>
    <cellStyle name="20 % - Markeringsfarve2 2 3 6 4 5" xfId="36906" xr:uid="{00000000-0005-0000-0000-000066100000}"/>
    <cellStyle name="20 % - Markeringsfarve2 2 3 6 5" xfId="7691" xr:uid="{00000000-0005-0000-0000-000067100000}"/>
    <cellStyle name="20 % - Markeringsfarve2 2 3 6 5 2" xfId="15556" xr:uid="{00000000-0005-0000-0000-000068100000}"/>
    <cellStyle name="20 % - Markeringsfarve2 2 3 6 5 2 2" xfId="31832" xr:uid="{00000000-0005-0000-0000-000069100000}"/>
    <cellStyle name="20 % - Markeringsfarve2 2 3 6 5 2 3" xfId="46791" xr:uid="{00000000-0005-0000-0000-00006A100000}"/>
    <cellStyle name="20 % - Markeringsfarve2 2 3 6 5 3" xfId="24830" xr:uid="{00000000-0005-0000-0000-00006B100000}"/>
    <cellStyle name="20 % - Markeringsfarve2 2 3 6 5 4" xfId="39794" xr:uid="{00000000-0005-0000-0000-00006C100000}"/>
    <cellStyle name="20 % - Markeringsfarve2 2 3 6 6" xfId="12659" xr:uid="{00000000-0005-0000-0000-00006D100000}"/>
    <cellStyle name="20 % - Markeringsfarve2 2 3 6 6 2" xfId="28938" xr:uid="{00000000-0005-0000-0000-00006E100000}"/>
    <cellStyle name="20 % - Markeringsfarve2 2 3 6 6 3" xfId="43899" xr:uid="{00000000-0005-0000-0000-00006F100000}"/>
    <cellStyle name="20 % - Markeringsfarve2 2 3 6 7" xfId="21936" xr:uid="{00000000-0005-0000-0000-000070100000}"/>
    <cellStyle name="20 % - Markeringsfarve2 2 3 6 8" xfId="36902" xr:uid="{00000000-0005-0000-0000-000071100000}"/>
    <cellStyle name="20 % - Markeringsfarve2 2 3 7" xfId="4179" xr:uid="{00000000-0005-0000-0000-000072100000}"/>
    <cellStyle name="20 % - Markeringsfarve2 2 3 7 2" xfId="4180" xr:uid="{00000000-0005-0000-0000-000073100000}"/>
    <cellStyle name="20 % - Markeringsfarve2 2 3 7 2 2" xfId="9801" xr:uid="{00000000-0005-0000-0000-000074100000}"/>
    <cellStyle name="20 % - Markeringsfarve2 2 3 7 2 2 2" xfId="17655" xr:uid="{00000000-0005-0000-0000-000075100000}"/>
    <cellStyle name="20 % - Markeringsfarve2 2 3 7 2 2 2 2" xfId="33931" xr:uid="{00000000-0005-0000-0000-000076100000}"/>
    <cellStyle name="20 % - Markeringsfarve2 2 3 7 2 2 2 3" xfId="48890" xr:uid="{00000000-0005-0000-0000-000077100000}"/>
    <cellStyle name="20 % - Markeringsfarve2 2 3 7 2 2 3" xfId="26929" xr:uid="{00000000-0005-0000-0000-000078100000}"/>
    <cellStyle name="20 % - Markeringsfarve2 2 3 7 2 2 4" xfId="41893" xr:uid="{00000000-0005-0000-0000-000079100000}"/>
    <cellStyle name="20 % - Markeringsfarve2 2 3 7 2 3" xfId="12665" xr:uid="{00000000-0005-0000-0000-00007A100000}"/>
    <cellStyle name="20 % - Markeringsfarve2 2 3 7 2 3 2" xfId="28944" xr:uid="{00000000-0005-0000-0000-00007B100000}"/>
    <cellStyle name="20 % - Markeringsfarve2 2 3 7 2 3 3" xfId="43905" xr:uid="{00000000-0005-0000-0000-00007C100000}"/>
    <cellStyle name="20 % - Markeringsfarve2 2 3 7 2 4" xfId="21942" xr:uid="{00000000-0005-0000-0000-00007D100000}"/>
    <cellStyle name="20 % - Markeringsfarve2 2 3 7 2 5" xfId="36908" xr:uid="{00000000-0005-0000-0000-00007E100000}"/>
    <cellStyle name="20 % - Markeringsfarve2 2 3 7 3" xfId="8388" xr:uid="{00000000-0005-0000-0000-00007F100000}"/>
    <cellStyle name="20 % - Markeringsfarve2 2 3 7 3 2" xfId="16258" xr:uid="{00000000-0005-0000-0000-000080100000}"/>
    <cellStyle name="20 % - Markeringsfarve2 2 3 7 3 2 2" xfId="32534" xr:uid="{00000000-0005-0000-0000-000081100000}"/>
    <cellStyle name="20 % - Markeringsfarve2 2 3 7 3 2 3" xfId="47493" xr:uid="{00000000-0005-0000-0000-000082100000}"/>
    <cellStyle name="20 % - Markeringsfarve2 2 3 7 3 3" xfId="25532" xr:uid="{00000000-0005-0000-0000-000083100000}"/>
    <cellStyle name="20 % - Markeringsfarve2 2 3 7 3 4" xfId="40496" xr:uid="{00000000-0005-0000-0000-000084100000}"/>
    <cellStyle name="20 % - Markeringsfarve2 2 3 7 4" xfId="12664" xr:uid="{00000000-0005-0000-0000-000085100000}"/>
    <cellStyle name="20 % - Markeringsfarve2 2 3 7 4 2" xfId="28943" xr:uid="{00000000-0005-0000-0000-000086100000}"/>
    <cellStyle name="20 % - Markeringsfarve2 2 3 7 4 3" xfId="43904" xr:uid="{00000000-0005-0000-0000-000087100000}"/>
    <cellStyle name="20 % - Markeringsfarve2 2 3 7 5" xfId="21941" xr:uid="{00000000-0005-0000-0000-000088100000}"/>
    <cellStyle name="20 % - Markeringsfarve2 2 3 7 6" xfId="36907" xr:uid="{00000000-0005-0000-0000-000089100000}"/>
    <cellStyle name="20 % - Markeringsfarve2 2 3 8" xfId="4181" xr:uid="{00000000-0005-0000-0000-00008A100000}"/>
    <cellStyle name="20 % - Markeringsfarve2 2 3 8 2" xfId="9029" xr:uid="{00000000-0005-0000-0000-00008B100000}"/>
    <cellStyle name="20 % - Markeringsfarve2 2 3 8 2 2" xfId="16893" xr:uid="{00000000-0005-0000-0000-00008C100000}"/>
    <cellStyle name="20 % - Markeringsfarve2 2 3 8 2 2 2" xfId="33169" xr:uid="{00000000-0005-0000-0000-00008D100000}"/>
    <cellStyle name="20 % - Markeringsfarve2 2 3 8 2 2 3" xfId="48128" xr:uid="{00000000-0005-0000-0000-00008E100000}"/>
    <cellStyle name="20 % - Markeringsfarve2 2 3 8 2 3" xfId="26167" xr:uid="{00000000-0005-0000-0000-00008F100000}"/>
    <cellStyle name="20 % - Markeringsfarve2 2 3 8 2 4" xfId="41131" xr:uid="{00000000-0005-0000-0000-000090100000}"/>
    <cellStyle name="20 % - Markeringsfarve2 2 3 8 3" xfId="12666" xr:uid="{00000000-0005-0000-0000-000091100000}"/>
    <cellStyle name="20 % - Markeringsfarve2 2 3 8 3 2" xfId="28945" xr:uid="{00000000-0005-0000-0000-000092100000}"/>
    <cellStyle name="20 % - Markeringsfarve2 2 3 8 3 3" xfId="43906" xr:uid="{00000000-0005-0000-0000-000093100000}"/>
    <cellStyle name="20 % - Markeringsfarve2 2 3 8 4" xfId="21943" xr:uid="{00000000-0005-0000-0000-000094100000}"/>
    <cellStyle name="20 % - Markeringsfarve2 2 3 8 5" xfId="36909" xr:uid="{00000000-0005-0000-0000-000095100000}"/>
    <cellStyle name="20 % - Markeringsfarve2 2 3 9" xfId="4182" xr:uid="{00000000-0005-0000-0000-000096100000}"/>
    <cellStyle name="20 % - Markeringsfarve2 2 3 9 2" xfId="9316" xr:uid="{00000000-0005-0000-0000-000097100000}"/>
    <cellStyle name="20 % - Markeringsfarve2 2 3 9 2 2" xfId="17179" xr:uid="{00000000-0005-0000-0000-000098100000}"/>
    <cellStyle name="20 % - Markeringsfarve2 2 3 9 2 2 2" xfId="33455" xr:uid="{00000000-0005-0000-0000-000099100000}"/>
    <cellStyle name="20 % - Markeringsfarve2 2 3 9 2 2 3" xfId="48414" xr:uid="{00000000-0005-0000-0000-00009A100000}"/>
    <cellStyle name="20 % - Markeringsfarve2 2 3 9 2 3" xfId="26453" xr:uid="{00000000-0005-0000-0000-00009B100000}"/>
    <cellStyle name="20 % - Markeringsfarve2 2 3 9 2 4" xfId="41417" xr:uid="{00000000-0005-0000-0000-00009C100000}"/>
    <cellStyle name="20 % - Markeringsfarve2 2 3 9 3" xfId="12667" xr:uid="{00000000-0005-0000-0000-00009D100000}"/>
    <cellStyle name="20 % - Markeringsfarve2 2 3 9 3 2" xfId="28946" xr:uid="{00000000-0005-0000-0000-00009E100000}"/>
    <cellStyle name="20 % - Markeringsfarve2 2 3 9 3 3" xfId="43907" xr:uid="{00000000-0005-0000-0000-00009F100000}"/>
    <cellStyle name="20 % - Markeringsfarve2 2 3 9 4" xfId="21944" xr:uid="{00000000-0005-0000-0000-0000A0100000}"/>
    <cellStyle name="20 % - Markeringsfarve2 2 3 9 5" xfId="36910" xr:uid="{00000000-0005-0000-0000-0000A1100000}"/>
    <cellStyle name="20 % - Markeringsfarve2 2 4" xfId="4183" xr:uid="{00000000-0005-0000-0000-0000A2100000}"/>
    <cellStyle name="20 % - Markeringsfarve2 2 4 2" xfId="4184" xr:uid="{00000000-0005-0000-0000-0000A3100000}"/>
    <cellStyle name="20 % - Markeringsfarve2 2 4 2 2" xfId="4185" xr:uid="{00000000-0005-0000-0000-0000A4100000}"/>
    <cellStyle name="20 % - Markeringsfarve2 2 4 2 2 2" xfId="9841" xr:uid="{00000000-0005-0000-0000-0000A5100000}"/>
    <cellStyle name="20 % - Markeringsfarve2 2 4 2 2 2 2" xfId="17696" xr:uid="{00000000-0005-0000-0000-0000A6100000}"/>
    <cellStyle name="20 % - Markeringsfarve2 2 4 2 2 2 2 2" xfId="33972" xr:uid="{00000000-0005-0000-0000-0000A7100000}"/>
    <cellStyle name="20 % - Markeringsfarve2 2 4 2 2 2 2 3" xfId="48931" xr:uid="{00000000-0005-0000-0000-0000A8100000}"/>
    <cellStyle name="20 % - Markeringsfarve2 2 4 2 2 2 3" xfId="26970" xr:uid="{00000000-0005-0000-0000-0000A9100000}"/>
    <cellStyle name="20 % - Markeringsfarve2 2 4 2 2 2 4" xfId="41934" xr:uid="{00000000-0005-0000-0000-0000AA100000}"/>
    <cellStyle name="20 % - Markeringsfarve2 2 4 2 2 3" xfId="12670" xr:uid="{00000000-0005-0000-0000-0000AB100000}"/>
    <cellStyle name="20 % - Markeringsfarve2 2 4 2 2 3 2" xfId="28949" xr:uid="{00000000-0005-0000-0000-0000AC100000}"/>
    <cellStyle name="20 % - Markeringsfarve2 2 4 2 2 3 3" xfId="43910" xr:uid="{00000000-0005-0000-0000-0000AD100000}"/>
    <cellStyle name="20 % - Markeringsfarve2 2 4 2 2 4" xfId="21947" xr:uid="{00000000-0005-0000-0000-0000AE100000}"/>
    <cellStyle name="20 % - Markeringsfarve2 2 4 2 2 5" xfId="36913" xr:uid="{00000000-0005-0000-0000-0000AF100000}"/>
    <cellStyle name="20 % - Markeringsfarve2 2 4 2 3" xfId="8421" xr:uid="{00000000-0005-0000-0000-0000B0100000}"/>
    <cellStyle name="20 % - Markeringsfarve2 2 4 2 3 2" xfId="16291" xr:uid="{00000000-0005-0000-0000-0000B1100000}"/>
    <cellStyle name="20 % - Markeringsfarve2 2 4 2 3 2 2" xfId="32567" xr:uid="{00000000-0005-0000-0000-0000B2100000}"/>
    <cellStyle name="20 % - Markeringsfarve2 2 4 2 3 2 3" xfId="47526" xr:uid="{00000000-0005-0000-0000-0000B3100000}"/>
    <cellStyle name="20 % - Markeringsfarve2 2 4 2 3 3" xfId="25565" xr:uid="{00000000-0005-0000-0000-0000B4100000}"/>
    <cellStyle name="20 % - Markeringsfarve2 2 4 2 3 4" xfId="40529" xr:uid="{00000000-0005-0000-0000-0000B5100000}"/>
    <cellStyle name="20 % - Markeringsfarve2 2 4 2 4" xfId="12669" xr:uid="{00000000-0005-0000-0000-0000B6100000}"/>
    <cellStyle name="20 % - Markeringsfarve2 2 4 2 4 2" xfId="28948" xr:uid="{00000000-0005-0000-0000-0000B7100000}"/>
    <cellStyle name="20 % - Markeringsfarve2 2 4 2 4 3" xfId="43909" xr:uid="{00000000-0005-0000-0000-0000B8100000}"/>
    <cellStyle name="20 % - Markeringsfarve2 2 4 2 5" xfId="21946" xr:uid="{00000000-0005-0000-0000-0000B9100000}"/>
    <cellStyle name="20 % - Markeringsfarve2 2 4 2 6" xfId="36912" xr:uid="{00000000-0005-0000-0000-0000BA100000}"/>
    <cellStyle name="20 % - Markeringsfarve2 2 4 3" xfId="4186" xr:uid="{00000000-0005-0000-0000-0000BB100000}"/>
    <cellStyle name="20 % - Markeringsfarve2 2 4 3 2" xfId="9072" xr:uid="{00000000-0005-0000-0000-0000BC100000}"/>
    <cellStyle name="20 % - Markeringsfarve2 2 4 3 2 2" xfId="16936" xr:uid="{00000000-0005-0000-0000-0000BD100000}"/>
    <cellStyle name="20 % - Markeringsfarve2 2 4 3 2 2 2" xfId="33212" xr:uid="{00000000-0005-0000-0000-0000BE100000}"/>
    <cellStyle name="20 % - Markeringsfarve2 2 4 3 2 2 3" xfId="48171" xr:uid="{00000000-0005-0000-0000-0000BF100000}"/>
    <cellStyle name="20 % - Markeringsfarve2 2 4 3 2 3" xfId="26210" xr:uid="{00000000-0005-0000-0000-0000C0100000}"/>
    <cellStyle name="20 % - Markeringsfarve2 2 4 3 2 4" xfId="41174" xr:uid="{00000000-0005-0000-0000-0000C1100000}"/>
    <cellStyle name="20 % - Markeringsfarve2 2 4 3 3" xfId="12671" xr:uid="{00000000-0005-0000-0000-0000C2100000}"/>
    <cellStyle name="20 % - Markeringsfarve2 2 4 3 3 2" xfId="28950" xr:uid="{00000000-0005-0000-0000-0000C3100000}"/>
    <cellStyle name="20 % - Markeringsfarve2 2 4 3 3 3" xfId="43911" xr:uid="{00000000-0005-0000-0000-0000C4100000}"/>
    <cellStyle name="20 % - Markeringsfarve2 2 4 3 4" xfId="21948" xr:uid="{00000000-0005-0000-0000-0000C5100000}"/>
    <cellStyle name="20 % - Markeringsfarve2 2 4 3 5" xfId="36914" xr:uid="{00000000-0005-0000-0000-0000C6100000}"/>
    <cellStyle name="20 % - Markeringsfarve2 2 4 4" xfId="4187" xr:uid="{00000000-0005-0000-0000-0000C7100000}"/>
    <cellStyle name="20 % - Markeringsfarve2 2 4 4 2" xfId="9325" xr:uid="{00000000-0005-0000-0000-0000C8100000}"/>
    <cellStyle name="20 % - Markeringsfarve2 2 4 4 2 2" xfId="17188" xr:uid="{00000000-0005-0000-0000-0000C9100000}"/>
    <cellStyle name="20 % - Markeringsfarve2 2 4 4 2 2 2" xfId="33464" xr:uid="{00000000-0005-0000-0000-0000CA100000}"/>
    <cellStyle name="20 % - Markeringsfarve2 2 4 4 2 2 3" xfId="48423" xr:uid="{00000000-0005-0000-0000-0000CB100000}"/>
    <cellStyle name="20 % - Markeringsfarve2 2 4 4 2 3" xfId="26462" xr:uid="{00000000-0005-0000-0000-0000CC100000}"/>
    <cellStyle name="20 % - Markeringsfarve2 2 4 4 2 4" xfId="41426" xr:uid="{00000000-0005-0000-0000-0000CD100000}"/>
    <cellStyle name="20 % - Markeringsfarve2 2 4 4 3" xfId="12672" xr:uid="{00000000-0005-0000-0000-0000CE100000}"/>
    <cellStyle name="20 % - Markeringsfarve2 2 4 4 3 2" xfId="28951" xr:uid="{00000000-0005-0000-0000-0000CF100000}"/>
    <cellStyle name="20 % - Markeringsfarve2 2 4 4 3 3" xfId="43912" xr:uid="{00000000-0005-0000-0000-0000D0100000}"/>
    <cellStyle name="20 % - Markeringsfarve2 2 4 4 4" xfId="21949" xr:uid="{00000000-0005-0000-0000-0000D1100000}"/>
    <cellStyle name="20 % - Markeringsfarve2 2 4 4 5" xfId="36915" xr:uid="{00000000-0005-0000-0000-0000D2100000}"/>
    <cellStyle name="20 % - Markeringsfarve2 2 4 5" xfId="7692" xr:uid="{00000000-0005-0000-0000-0000D3100000}"/>
    <cellStyle name="20 % - Markeringsfarve2 2 4 5 2" xfId="15557" xr:uid="{00000000-0005-0000-0000-0000D4100000}"/>
    <cellStyle name="20 % - Markeringsfarve2 2 4 5 2 2" xfId="31833" xr:uid="{00000000-0005-0000-0000-0000D5100000}"/>
    <cellStyle name="20 % - Markeringsfarve2 2 4 5 2 3" xfId="46792" xr:uid="{00000000-0005-0000-0000-0000D6100000}"/>
    <cellStyle name="20 % - Markeringsfarve2 2 4 5 3" xfId="24831" xr:uid="{00000000-0005-0000-0000-0000D7100000}"/>
    <cellStyle name="20 % - Markeringsfarve2 2 4 5 4" xfId="39795" xr:uid="{00000000-0005-0000-0000-0000D8100000}"/>
    <cellStyle name="20 % - Markeringsfarve2 2 4 6" xfId="12668" xr:uid="{00000000-0005-0000-0000-0000D9100000}"/>
    <cellStyle name="20 % - Markeringsfarve2 2 4 6 2" xfId="28947" xr:uid="{00000000-0005-0000-0000-0000DA100000}"/>
    <cellStyle name="20 % - Markeringsfarve2 2 4 6 3" xfId="43908" xr:uid="{00000000-0005-0000-0000-0000DB100000}"/>
    <cellStyle name="20 % - Markeringsfarve2 2 4 7" xfId="21945" xr:uid="{00000000-0005-0000-0000-0000DC100000}"/>
    <cellStyle name="20 % - Markeringsfarve2 2 4 8" xfId="36911" xr:uid="{00000000-0005-0000-0000-0000DD100000}"/>
    <cellStyle name="20 % - Markeringsfarve2 2 5" xfId="4188" xr:uid="{00000000-0005-0000-0000-0000DE100000}"/>
    <cellStyle name="20 % - Markeringsfarve2 2 5 2" xfId="4189" xr:uid="{00000000-0005-0000-0000-0000DF100000}"/>
    <cellStyle name="20 % - Markeringsfarve2 2 5 2 2" xfId="4190" xr:uid="{00000000-0005-0000-0000-0000E0100000}"/>
    <cellStyle name="20 % - Markeringsfarve2 2 5 2 2 2" xfId="9940" xr:uid="{00000000-0005-0000-0000-0000E1100000}"/>
    <cellStyle name="20 % - Markeringsfarve2 2 5 2 2 2 2" xfId="17795" xr:uid="{00000000-0005-0000-0000-0000E2100000}"/>
    <cellStyle name="20 % - Markeringsfarve2 2 5 2 2 2 2 2" xfId="34071" xr:uid="{00000000-0005-0000-0000-0000E3100000}"/>
    <cellStyle name="20 % - Markeringsfarve2 2 5 2 2 2 2 3" xfId="49030" xr:uid="{00000000-0005-0000-0000-0000E4100000}"/>
    <cellStyle name="20 % - Markeringsfarve2 2 5 2 2 2 3" xfId="27069" xr:uid="{00000000-0005-0000-0000-0000E5100000}"/>
    <cellStyle name="20 % - Markeringsfarve2 2 5 2 2 2 4" xfId="42033" xr:uid="{00000000-0005-0000-0000-0000E6100000}"/>
    <cellStyle name="20 % - Markeringsfarve2 2 5 2 2 3" xfId="12675" xr:uid="{00000000-0005-0000-0000-0000E7100000}"/>
    <cellStyle name="20 % - Markeringsfarve2 2 5 2 2 3 2" xfId="28954" xr:uid="{00000000-0005-0000-0000-0000E8100000}"/>
    <cellStyle name="20 % - Markeringsfarve2 2 5 2 2 3 3" xfId="43915" xr:uid="{00000000-0005-0000-0000-0000E9100000}"/>
    <cellStyle name="20 % - Markeringsfarve2 2 5 2 2 4" xfId="21952" xr:uid="{00000000-0005-0000-0000-0000EA100000}"/>
    <cellStyle name="20 % - Markeringsfarve2 2 5 2 2 5" xfId="36918" xr:uid="{00000000-0005-0000-0000-0000EB100000}"/>
    <cellStyle name="20 % - Markeringsfarve2 2 5 2 3" xfId="8505" xr:uid="{00000000-0005-0000-0000-0000EC100000}"/>
    <cellStyle name="20 % - Markeringsfarve2 2 5 2 3 2" xfId="16375" xr:uid="{00000000-0005-0000-0000-0000ED100000}"/>
    <cellStyle name="20 % - Markeringsfarve2 2 5 2 3 2 2" xfId="32651" xr:uid="{00000000-0005-0000-0000-0000EE100000}"/>
    <cellStyle name="20 % - Markeringsfarve2 2 5 2 3 2 3" xfId="47610" xr:uid="{00000000-0005-0000-0000-0000EF100000}"/>
    <cellStyle name="20 % - Markeringsfarve2 2 5 2 3 3" xfId="25649" xr:uid="{00000000-0005-0000-0000-0000F0100000}"/>
    <cellStyle name="20 % - Markeringsfarve2 2 5 2 3 4" xfId="40613" xr:uid="{00000000-0005-0000-0000-0000F1100000}"/>
    <cellStyle name="20 % - Markeringsfarve2 2 5 2 4" xfId="12674" xr:uid="{00000000-0005-0000-0000-0000F2100000}"/>
    <cellStyle name="20 % - Markeringsfarve2 2 5 2 4 2" xfId="28953" xr:uid="{00000000-0005-0000-0000-0000F3100000}"/>
    <cellStyle name="20 % - Markeringsfarve2 2 5 2 4 3" xfId="43914" xr:uid="{00000000-0005-0000-0000-0000F4100000}"/>
    <cellStyle name="20 % - Markeringsfarve2 2 5 2 5" xfId="21951" xr:uid="{00000000-0005-0000-0000-0000F5100000}"/>
    <cellStyle name="20 % - Markeringsfarve2 2 5 2 6" xfId="36917" xr:uid="{00000000-0005-0000-0000-0000F6100000}"/>
    <cellStyle name="20 % - Markeringsfarve2 2 5 3" xfId="4191" xr:uid="{00000000-0005-0000-0000-0000F7100000}"/>
    <cellStyle name="20 % - Markeringsfarve2 2 5 3 2" xfId="9171" xr:uid="{00000000-0005-0000-0000-0000F8100000}"/>
    <cellStyle name="20 % - Markeringsfarve2 2 5 3 2 2" xfId="17035" xr:uid="{00000000-0005-0000-0000-0000F9100000}"/>
    <cellStyle name="20 % - Markeringsfarve2 2 5 3 2 2 2" xfId="33311" xr:uid="{00000000-0005-0000-0000-0000FA100000}"/>
    <cellStyle name="20 % - Markeringsfarve2 2 5 3 2 2 3" xfId="48270" xr:uid="{00000000-0005-0000-0000-0000FB100000}"/>
    <cellStyle name="20 % - Markeringsfarve2 2 5 3 2 3" xfId="26309" xr:uid="{00000000-0005-0000-0000-0000FC100000}"/>
    <cellStyle name="20 % - Markeringsfarve2 2 5 3 2 4" xfId="41273" xr:uid="{00000000-0005-0000-0000-0000FD100000}"/>
    <cellStyle name="20 % - Markeringsfarve2 2 5 3 3" xfId="12676" xr:uid="{00000000-0005-0000-0000-0000FE100000}"/>
    <cellStyle name="20 % - Markeringsfarve2 2 5 3 3 2" xfId="28955" xr:uid="{00000000-0005-0000-0000-0000FF100000}"/>
    <cellStyle name="20 % - Markeringsfarve2 2 5 3 3 3" xfId="43916" xr:uid="{00000000-0005-0000-0000-000000110000}"/>
    <cellStyle name="20 % - Markeringsfarve2 2 5 3 4" xfId="21953" xr:uid="{00000000-0005-0000-0000-000001110000}"/>
    <cellStyle name="20 % - Markeringsfarve2 2 5 3 5" xfId="36919" xr:uid="{00000000-0005-0000-0000-000002110000}"/>
    <cellStyle name="20 % - Markeringsfarve2 2 5 4" xfId="4192" xr:uid="{00000000-0005-0000-0000-000003110000}"/>
    <cellStyle name="20 % - Markeringsfarve2 2 5 4 2" xfId="9326" xr:uid="{00000000-0005-0000-0000-000004110000}"/>
    <cellStyle name="20 % - Markeringsfarve2 2 5 4 2 2" xfId="17189" xr:uid="{00000000-0005-0000-0000-000005110000}"/>
    <cellStyle name="20 % - Markeringsfarve2 2 5 4 2 2 2" xfId="33465" xr:uid="{00000000-0005-0000-0000-000006110000}"/>
    <cellStyle name="20 % - Markeringsfarve2 2 5 4 2 2 3" xfId="48424" xr:uid="{00000000-0005-0000-0000-000007110000}"/>
    <cellStyle name="20 % - Markeringsfarve2 2 5 4 2 3" xfId="26463" xr:uid="{00000000-0005-0000-0000-000008110000}"/>
    <cellStyle name="20 % - Markeringsfarve2 2 5 4 2 4" xfId="41427" xr:uid="{00000000-0005-0000-0000-000009110000}"/>
    <cellStyle name="20 % - Markeringsfarve2 2 5 4 3" xfId="12677" xr:uid="{00000000-0005-0000-0000-00000A110000}"/>
    <cellStyle name="20 % - Markeringsfarve2 2 5 4 3 2" xfId="28956" xr:uid="{00000000-0005-0000-0000-00000B110000}"/>
    <cellStyle name="20 % - Markeringsfarve2 2 5 4 3 3" xfId="43917" xr:uid="{00000000-0005-0000-0000-00000C110000}"/>
    <cellStyle name="20 % - Markeringsfarve2 2 5 4 4" xfId="21954" xr:uid="{00000000-0005-0000-0000-00000D110000}"/>
    <cellStyle name="20 % - Markeringsfarve2 2 5 4 5" xfId="36920" xr:uid="{00000000-0005-0000-0000-00000E110000}"/>
    <cellStyle name="20 % - Markeringsfarve2 2 5 5" xfId="7693" xr:uid="{00000000-0005-0000-0000-00000F110000}"/>
    <cellStyle name="20 % - Markeringsfarve2 2 5 5 2" xfId="15558" xr:uid="{00000000-0005-0000-0000-000010110000}"/>
    <cellStyle name="20 % - Markeringsfarve2 2 5 5 2 2" xfId="31834" xr:uid="{00000000-0005-0000-0000-000011110000}"/>
    <cellStyle name="20 % - Markeringsfarve2 2 5 5 2 3" xfId="46793" xr:uid="{00000000-0005-0000-0000-000012110000}"/>
    <cellStyle name="20 % - Markeringsfarve2 2 5 5 3" xfId="24832" xr:uid="{00000000-0005-0000-0000-000013110000}"/>
    <cellStyle name="20 % - Markeringsfarve2 2 5 5 4" xfId="39796" xr:uid="{00000000-0005-0000-0000-000014110000}"/>
    <cellStyle name="20 % - Markeringsfarve2 2 5 6" xfId="12673" xr:uid="{00000000-0005-0000-0000-000015110000}"/>
    <cellStyle name="20 % - Markeringsfarve2 2 5 6 2" xfId="28952" xr:uid="{00000000-0005-0000-0000-000016110000}"/>
    <cellStyle name="20 % - Markeringsfarve2 2 5 6 3" xfId="43913" xr:uid="{00000000-0005-0000-0000-000017110000}"/>
    <cellStyle name="20 % - Markeringsfarve2 2 5 7" xfId="21950" xr:uid="{00000000-0005-0000-0000-000018110000}"/>
    <cellStyle name="20 % - Markeringsfarve2 2 5 8" xfId="36916" xr:uid="{00000000-0005-0000-0000-000019110000}"/>
    <cellStyle name="20 % - Markeringsfarve2 2 6" xfId="4193" xr:uid="{00000000-0005-0000-0000-00001A110000}"/>
    <cellStyle name="20 % - Markeringsfarve2 2 6 2" xfId="4194" xr:uid="{00000000-0005-0000-0000-00001B110000}"/>
    <cellStyle name="20 % - Markeringsfarve2 2 6 2 2" xfId="4195" xr:uid="{00000000-0005-0000-0000-00001C110000}"/>
    <cellStyle name="20 % - Markeringsfarve2 2 6 2 2 2" xfId="10079" xr:uid="{00000000-0005-0000-0000-00001D110000}"/>
    <cellStyle name="20 % - Markeringsfarve2 2 6 2 2 2 2" xfId="17934" xr:uid="{00000000-0005-0000-0000-00001E110000}"/>
    <cellStyle name="20 % - Markeringsfarve2 2 6 2 2 2 2 2" xfId="34210" xr:uid="{00000000-0005-0000-0000-00001F110000}"/>
    <cellStyle name="20 % - Markeringsfarve2 2 6 2 2 2 2 3" xfId="49169" xr:uid="{00000000-0005-0000-0000-000020110000}"/>
    <cellStyle name="20 % - Markeringsfarve2 2 6 2 2 2 3" xfId="27208" xr:uid="{00000000-0005-0000-0000-000021110000}"/>
    <cellStyle name="20 % - Markeringsfarve2 2 6 2 2 2 4" xfId="42172" xr:uid="{00000000-0005-0000-0000-000022110000}"/>
    <cellStyle name="20 % - Markeringsfarve2 2 6 2 2 3" xfId="12680" xr:uid="{00000000-0005-0000-0000-000023110000}"/>
    <cellStyle name="20 % - Markeringsfarve2 2 6 2 2 3 2" xfId="28959" xr:uid="{00000000-0005-0000-0000-000024110000}"/>
    <cellStyle name="20 % - Markeringsfarve2 2 6 2 2 3 3" xfId="43920" xr:uid="{00000000-0005-0000-0000-000025110000}"/>
    <cellStyle name="20 % - Markeringsfarve2 2 6 2 2 4" xfId="21957" xr:uid="{00000000-0005-0000-0000-000026110000}"/>
    <cellStyle name="20 % - Markeringsfarve2 2 6 2 2 5" xfId="36923" xr:uid="{00000000-0005-0000-0000-000027110000}"/>
    <cellStyle name="20 % - Markeringsfarve2 2 6 2 3" xfId="8623" xr:uid="{00000000-0005-0000-0000-000028110000}"/>
    <cellStyle name="20 % - Markeringsfarve2 2 6 2 3 2" xfId="16490" xr:uid="{00000000-0005-0000-0000-000029110000}"/>
    <cellStyle name="20 % - Markeringsfarve2 2 6 2 3 2 2" xfId="32766" xr:uid="{00000000-0005-0000-0000-00002A110000}"/>
    <cellStyle name="20 % - Markeringsfarve2 2 6 2 3 2 3" xfId="47725" xr:uid="{00000000-0005-0000-0000-00002B110000}"/>
    <cellStyle name="20 % - Markeringsfarve2 2 6 2 3 3" xfId="25764" xr:uid="{00000000-0005-0000-0000-00002C110000}"/>
    <cellStyle name="20 % - Markeringsfarve2 2 6 2 3 4" xfId="40728" xr:uid="{00000000-0005-0000-0000-00002D110000}"/>
    <cellStyle name="20 % - Markeringsfarve2 2 6 2 4" xfId="12679" xr:uid="{00000000-0005-0000-0000-00002E110000}"/>
    <cellStyle name="20 % - Markeringsfarve2 2 6 2 4 2" xfId="28958" xr:uid="{00000000-0005-0000-0000-00002F110000}"/>
    <cellStyle name="20 % - Markeringsfarve2 2 6 2 4 3" xfId="43919" xr:uid="{00000000-0005-0000-0000-000030110000}"/>
    <cellStyle name="20 % - Markeringsfarve2 2 6 2 5" xfId="21956" xr:uid="{00000000-0005-0000-0000-000031110000}"/>
    <cellStyle name="20 % - Markeringsfarve2 2 6 2 6" xfId="36922" xr:uid="{00000000-0005-0000-0000-000032110000}"/>
    <cellStyle name="20 % - Markeringsfarve2 2 6 3" xfId="4196" xr:uid="{00000000-0005-0000-0000-000033110000}"/>
    <cellStyle name="20 % - Markeringsfarve2 2 6 3 2" xfId="9356" xr:uid="{00000000-0005-0000-0000-000034110000}"/>
    <cellStyle name="20 % - Markeringsfarve2 2 6 3 2 2" xfId="17219" xr:uid="{00000000-0005-0000-0000-000035110000}"/>
    <cellStyle name="20 % - Markeringsfarve2 2 6 3 2 2 2" xfId="33495" xr:uid="{00000000-0005-0000-0000-000036110000}"/>
    <cellStyle name="20 % - Markeringsfarve2 2 6 3 2 2 3" xfId="48454" xr:uid="{00000000-0005-0000-0000-000037110000}"/>
    <cellStyle name="20 % - Markeringsfarve2 2 6 3 2 3" xfId="26493" xr:uid="{00000000-0005-0000-0000-000038110000}"/>
    <cellStyle name="20 % - Markeringsfarve2 2 6 3 2 4" xfId="41457" xr:uid="{00000000-0005-0000-0000-000039110000}"/>
    <cellStyle name="20 % - Markeringsfarve2 2 6 3 3" xfId="12681" xr:uid="{00000000-0005-0000-0000-00003A110000}"/>
    <cellStyle name="20 % - Markeringsfarve2 2 6 3 3 2" xfId="28960" xr:uid="{00000000-0005-0000-0000-00003B110000}"/>
    <cellStyle name="20 % - Markeringsfarve2 2 6 3 3 3" xfId="43921" xr:uid="{00000000-0005-0000-0000-00003C110000}"/>
    <cellStyle name="20 % - Markeringsfarve2 2 6 3 4" xfId="21958" xr:uid="{00000000-0005-0000-0000-00003D110000}"/>
    <cellStyle name="20 % - Markeringsfarve2 2 6 3 5" xfId="36924" xr:uid="{00000000-0005-0000-0000-00003E110000}"/>
    <cellStyle name="20 % - Markeringsfarve2 2 6 4" xfId="4197" xr:uid="{00000000-0005-0000-0000-00003F110000}"/>
    <cellStyle name="20 % - Markeringsfarve2 2 6 4 2" xfId="9327" xr:uid="{00000000-0005-0000-0000-000040110000}"/>
    <cellStyle name="20 % - Markeringsfarve2 2 6 4 2 2" xfId="17190" xr:uid="{00000000-0005-0000-0000-000041110000}"/>
    <cellStyle name="20 % - Markeringsfarve2 2 6 4 2 2 2" xfId="33466" xr:uid="{00000000-0005-0000-0000-000042110000}"/>
    <cellStyle name="20 % - Markeringsfarve2 2 6 4 2 2 3" xfId="48425" xr:uid="{00000000-0005-0000-0000-000043110000}"/>
    <cellStyle name="20 % - Markeringsfarve2 2 6 4 2 3" xfId="26464" xr:uid="{00000000-0005-0000-0000-000044110000}"/>
    <cellStyle name="20 % - Markeringsfarve2 2 6 4 2 4" xfId="41428" xr:uid="{00000000-0005-0000-0000-000045110000}"/>
    <cellStyle name="20 % - Markeringsfarve2 2 6 4 3" xfId="12682" xr:uid="{00000000-0005-0000-0000-000046110000}"/>
    <cellStyle name="20 % - Markeringsfarve2 2 6 4 3 2" xfId="28961" xr:uid="{00000000-0005-0000-0000-000047110000}"/>
    <cellStyle name="20 % - Markeringsfarve2 2 6 4 3 3" xfId="43922" xr:uid="{00000000-0005-0000-0000-000048110000}"/>
    <cellStyle name="20 % - Markeringsfarve2 2 6 4 4" xfId="21959" xr:uid="{00000000-0005-0000-0000-000049110000}"/>
    <cellStyle name="20 % - Markeringsfarve2 2 6 4 5" xfId="36925" xr:uid="{00000000-0005-0000-0000-00004A110000}"/>
    <cellStyle name="20 % - Markeringsfarve2 2 6 5" xfId="7694" xr:uid="{00000000-0005-0000-0000-00004B110000}"/>
    <cellStyle name="20 % - Markeringsfarve2 2 6 5 2" xfId="15559" xr:uid="{00000000-0005-0000-0000-00004C110000}"/>
    <cellStyle name="20 % - Markeringsfarve2 2 6 5 2 2" xfId="31835" xr:uid="{00000000-0005-0000-0000-00004D110000}"/>
    <cellStyle name="20 % - Markeringsfarve2 2 6 5 2 3" xfId="46794" xr:uid="{00000000-0005-0000-0000-00004E110000}"/>
    <cellStyle name="20 % - Markeringsfarve2 2 6 5 3" xfId="24833" xr:uid="{00000000-0005-0000-0000-00004F110000}"/>
    <cellStyle name="20 % - Markeringsfarve2 2 6 5 4" xfId="39797" xr:uid="{00000000-0005-0000-0000-000050110000}"/>
    <cellStyle name="20 % - Markeringsfarve2 2 6 6" xfId="12678" xr:uid="{00000000-0005-0000-0000-000051110000}"/>
    <cellStyle name="20 % - Markeringsfarve2 2 6 6 2" xfId="28957" xr:uid="{00000000-0005-0000-0000-000052110000}"/>
    <cellStyle name="20 % - Markeringsfarve2 2 6 6 3" xfId="43918" xr:uid="{00000000-0005-0000-0000-000053110000}"/>
    <cellStyle name="20 % - Markeringsfarve2 2 6 7" xfId="21955" xr:uid="{00000000-0005-0000-0000-000054110000}"/>
    <cellStyle name="20 % - Markeringsfarve2 2 6 8" xfId="36921" xr:uid="{00000000-0005-0000-0000-000055110000}"/>
    <cellStyle name="20 % - Markeringsfarve2 2 7" xfId="4198" xr:uid="{00000000-0005-0000-0000-000056110000}"/>
    <cellStyle name="20 % - Markeringsfarve2 2 7 2" xfId="4199" xr:uid="{00000000-0005-0000-0000-000057110000}"/>
    <cellStyle name="20 % - Markeringsfarve2 2 7 2 2" xfId="4200" xr:uid="{00000000-0005-0000-0000-000058110000}"/>
    <cellStyle name="20 % - Markeringsfarve2 2 7 2 2 2" xfId="10196" xr:uid="{00000000-0005-0000-0000-000059110000}"/>
    <cellStyle name="20 % - Markeringsfarve2 2 7 2 2 2 2" xfId="18051" xr:uid="{00000000-0005-0000-0000-00005A110000}"/>
    <cellStyle name="20 % - Markeringsfarve2 2 7 2 2 2 2 2" xfId="34327" xr:uid="{00000000-0005-0000-0000-00005B110000}"/>
    <cellStyle name="20 % - Markeringsfarve2 2 7 2 2 2 2 3" xfId="49286" xr:uid="{00000000-0005-0000-0000-00005C110000}"/>
    <cellStyle name="20 % - Markeringsfarve2 2 7 2 2 2 3" xfId="27325" xr:uid="{00000000-0005-0000-0000-00005D110000}"/>
    <cellStyle name="20 % - Markeringsfarve2 2 7 2 2 2 4" xfId="42289" xr:uid="{00000000-0005-0000-0000-00005E110000}"/>
    <cellStyle name="20 % - Markeringsfarve2 2 7 2 2 3" xfId="12685" xr:uid="{00000000-0005-0000-0000-00005F110000}"/>
    <cellStyle name="20 % - Markeringsfarve2 2 7 2 2 3 2" xfId="28964" xr:uid="{00000000-0005-0000-0000-000060110000}"/>
    <cellStyle name="20 % - Markeringsfarve2 2 7 2 2 3 3" xfId="43925" xr:uid="{00000000-0005-0000-0000-000061110000}"/>
    <cellStyle name="20 % - Markeringsfarve2 2 7 2 2 4" xfId="21962" xr:uid="{00000000-0005-0000-0000-000062110000}"/>
    <cellStyle name="20 % - Markeringsfarve2 2 7 2 2 5" xfId="36928" xr:uid="{00000000-0005-0000-0000-000063110000}"/>
    <cellStyle name="20 % - Markeringsfarve2 2 7 2 3" xfId="8722" xr:uid="{00000000-0005-0000-0000-000064110000}"/>
    <cellStyle name="20 % - Markeringsfarve2 2 7 2 3 2" xfId="16589" xr:uid="{00000000-0005-0000-0000-000065110000}"/>
    <cellStyle name="20 % - Markeringsfarve2 2 7 2 3 2 2" xfId="32865" xr:uid="{00000000-0005-0000-0000-000066110000}"/>
    <cellStyle name="20 % - Markeringsfarve2 2 7 2 3 2 3" xfId="47824" xr:uid="{00000000-0005-0000-0000-000067110000}"/>
    <cellStyle name="20 % - Markeringsfarve2 2 7 2 3 3" xfId="25863" xr:uid="{00000000-0005-0000-0000-000068110000}"/>
    <cellStyle name="20 % - Markeringsfarve2 2 7 2 3 4" xfId="40827" xr:uid="{00000000-0005-0000-0000-000069110000}"/>
    <cellStyle name="20 % - Markeringsfarve2 2 7 2 4" xfId="12684" xr:uid="{00000000-0005-0000-0000-00006A110000}"/>
    <cellStyle name="20 % - Markeringsfarve2 2 7 2 4 2" xfId="28963" xr:uid="{00000000-0005-0000-0000-00006B110000}"/>
    <cellStyle name="20 % - Markeringsfarve2 2 7 2 4 3" xfId="43924" xr:uid="{00000000-0005-0000-0000-00006C110000}"/>
    <cellStyle name="20 % - Markeringsfarve2 2 7 2 5" xfId="21961" xr:uid="{00000000-0005-0000-0000-00006D110000}"/>
    <cellStyle name="20 % - Markeringsfarve2 2 7 2 6" xfId="36927" xr:uid="{00000000-0005-0000-0000-00006E110000}"/>
    <cellStyle name="20 % - Markeringsfarve2 2 7 3" xfId="4201" xr:uid="{00000000-0005-0000-0000-00006F110000}"/>
    <cellStyle name="20 % - Markeringsfarve2 2 7 3 2" xfId="9473" xr:uid="{00000000-0005-0000-0000-000070110000}"/>
    <cellStyle name="20 % - Markeringsfarve2 2 7 3 2 2" xfId="17336" xr:uid="{00000000-0005-0000-0000-000071110000}"/>
    <cellStyle name="20 % - Markeringsfarve2 2 7 3 2 2 2" xfId="33612" xr:uid="{00000000-0005-0000-0000-000072110000}"/>
    <cellStyle name="20 % - Markeringsfarve2 2 7 3 2 2 3" xfId="48571" xr:uid="{00000000-0005-0000-0000-000073110000}"/>
    <cellStyle name="20 % - Markeringsfarve2 2 7 3 2 3" xfId="26610" xr:uid="{00000000-0005-0000-0000-000074110000}"/>
    <cellStyle name="20 % - Markeringsfarve2 2 7 3 2 4" xfId="41574" xr:uid="{00000000-0005-0000-0000-000075110000}"/>
    <cellStyle name="20 % - Markeringsfarve2 2 7 3 3" xfId="12686" xr:uid="{00000000-0005-0000-0000-000076110000}"/>
    <cellStyle name="20 % - Markeringsfarve2 2 7 3 3 2" xfId="28965" xr:uid="{00000000-0005-0000-0000-000077110000}"/>
    <cellStyle name="20 % - Markeringsfarve2 2 7 3 3 3" xfId="43926" xr:uid="{00000000-0005-0000-0000-000078110000}"/>
    <cellStyle name="20 % - Markeringsfarve2 2 7 3 4" xfId="21963" xr:uid="{00000000-0005-0000-0000-000079110000}"/>
    <cellStyle name="20 % - Markeringsfarve2 2 7 3 5" xfId="36929" xr:uid="{00000000-0005-0000-0000-00007A110000}"/>
    <cellStyle name="20 % - Markeringsfarve2 2 7 4" xfId="4202" xr:uid="{00000000-0005-0000-0000-00007B110000}"/>
    <cellStyle name="20 % - Markeringsfarve2 2 7 4 2" xfId="8902" xr:uid="{00000000-0005-0000-0000-00007C110000}"/>
    <cellStyle name="20 % - Markeringsfarve2 2 7 4 2 2" xfId="16768" xr:uid="{00000000-0005-0000-0000-00007D110000}"/>
    <cellStyle name="20 % - Markeringsfarve2 2 7 4 2 2 2" xfId="33044" xr:uid="{00000000-0005-0000-0000-00007E110000}"/>
    <cellStyle name="20 % - Markeringsfarve2 2 7 4 2 2 3" xfId="48003" xr:uid="{00000000-0005-0000-0000-00007F110000}"/>
    <cellStyle name="20 % - Markeringsfarve2 2 7 4 2 3" xfId="26042" xr:uid="{00000000-0005-0000-0000-000080110000}"/>
    <cellStyle name="20 % - Markeringsfarve2 2 7 4 2 4" xfId="41006" xr:uid="{00000000-0005-0000-0000-000081110000}"/>
    <cellStyle name="20 % - Markeringsfarve2 2 7 4 3" xfId="12687" xr:uid="{00000000-0005-0000-0000-000082110000}"/>
    <cellStyle name="20 % - Markeringsfarve2 2 7 4 3 2" xfId="28966" xr:uid="{00000000-0005-0000-0000-000083110000}"/>
    <cellStyle name="20 % - Markeringsfarve2 2 7 4 3 3" xfId="43927" xr:uid="{00000000-0005-0000-0000-000084110000}"/>
    <cellStyle name="20 % - Markeringsfarve2 2 7 4 4" xfId="21964" xr:uid="{00000000-0005-0000-0000-000085110000}"/>
    <cellStyle name="20 % - Markeringsfarve2 2 7 4 5" xfId="36930" xr:uid="{00000000-0005-0000-0000-000086110000}"/>
    <cellStyle name="20 % - Markeringsfarve2 2 7 5" xfId="7695" xr:uid="{00000000-0005-0000-0000-000087110000}"/>
    <cellStyle name="20 % - Markeringsfarve2 2 7 5 2" xfId="15560" xr:uid="{00000000-0005-0000-0000-000088110000}"/>
    <cellStyle name="20 % - Markeringsfarve2 2 7 5 2 2" xfId="31836" xr:uid="{00000000-0005-0000-0000-000089110000}"/>
    <cellStyle name="20 % - Markeringsfarve2 2 7 5 2 3" xfId="46795" xr:uid="{00000000-0005-0000-0000-00008A110000}"/>
    <cellStyle name="20 % - Markeringsfarve2 2 7 5 3" xfId="24834" xr:uid="{00000000-0005-0000-0000-00008B110000}"/>
    <cellStyle name="20 % - Markeringsfarve2 2 7 5 4" xfId="39798" xr:uid="{00000000-0005-0000-0000-00008C110000}"/>
    <cellStyle name="20 % - Markeringsfarve2 2 7 6" xfId="12683" xr:uid="{00000000-0005-0000-0000-00008D110000}"/>
    <cellStyle name="20 % - Markeringsfarve2 2 7 6 2" xfId="28962" xr:uid="{00000000-0005-0000-0000-00008E110000}"/>
    <cellStyle name="20 % - Markeringsfarve2 2 7 6 3" xfId="43923" xr:uid="{00000000-0005-0000-0000-00008F110000}"/>
    <cellStyle name="20 % - Markeringsfarve2 2 7 7" xfId="21960" xr:uid="{00000000-0005-0000-0000-000090110000}"/>
    <cellStyle name="20 % - Markeringsfarve2 2 7 8" xfId="36926" xr:uid="{00000000-0005-0000-0000-000091110000}"/>
    <cellStyle name="20 % - Markeringsfarve2 2 8" xfId="4203" xr:uid="{00000000-0005-0000-0000-000092110000}"/>
    <cellStyle name="20 % - Markeringsfarve2 2 8 2" xfId="4204" xr:uid="{00000000-0005-0000-0000-000093110000}"/>
    <cellStyle name="20 % - Markeringsfarve2 2 8 2 2" xfId="4205" xr:uid="{00000000-0005-0000-0000-000094110000}"/>
    <cellStyle name="20 % - Markeringsfarve2 2 8 2 2 2" xfId="10295" xr:uid="{00000000-0005-0000-0000-000095110000}"/>
    <cellStyle name="20 % - Markeringsfarve2 2 8 2 2 2 2" xfId="18150" xr:uid="{00000000-0005-0000-0000-000096110000}"/>
    <cellStyle name="20 % - Markeringsfarve2 2 8 2 2 2 2 2" xfId="34426" xr:uid="{00000000-0005-0000-0000-000097110000}"/>
    <cellStyle name="20 % - Markeringsfarve2 2 8 2 2 2 2 3" xfId="49385" xr:uid="{00000000-0005-0000-0000-000098110000}"/>
    <cellStyle name="20 % - Markeringsfarve2 2 8 2 2 2 3" xfId="27424" xr:uid="{00000000-0005-0000-0000-000099110000}"/>
    <cellStyle name="20 % - Markeringsfarve2 2 8 2 2 2 4" xfId="42388" xr:uid="{00000000-0005-0000-0000-00009A110000}"/>
    <cellStyle name="20 % - Markeringsfarve2 2 8 2 2 3" xfId="12690" xr:uid="{00000000-0005-0000-0000-00009B110000}"/>
    <cellStyle name="20 % - Markeringsfarve2 2 8 2 2 3 2" xfId="28969" xr:uid="{00000000-0005-0000-0000-00009C110000}"/>
    <cellStyle name="20 % - Markeringsfarve2 2 8 2 2 3 3" xfId="43930" xr:uid="{00000000-0005-0000-0000-00009D110000}"/>
    <cellStyle name="20 % - Markeringsfarve2 2 8 2 2 4" xfId="21967" xr:uid="{00000000-0005-0000-0000-00009E110000}"/>
    <cellStyle name="20 % - Markeringsfarve2 2 8 2 2 5" xfId="36933" xr:uid="{00000000-0005-0000-0000-00009F110000}"/>
    <cellStyle name="20 % - Markeringsfarve2 2 8 2 3" xfId="8807" xr:uid="{00000000-0005-0000-0000-0000A0110000}"/>
    <cellStyle name="20 % - Markeringsfarve2 2 8 2 3 2" xfId="16674" xr:uid="{00000000-0005-0000-0000-0000A1110000}"/>
    <cellStyle name="20 % - Markeringsfarve2 2 8 2 3 2 2" xfId="32950" xr:uid="{00000000-0005-0000-0000-0000A2110000}"/>
    <cellStyle name="20 % - Markeringsfarve2 2 8 2 3 2 3" xfId="47909" xr:uid="{00000000-0005-0000-0000-0000A3110000}"/>
    <cellStyle name="20 % - Markeringsfarve2 2 8 2 3 3" xfId="25948" xr:uid="{00000000-0005-0000-0000-0000A4110000}"/>
    <cellStyle name="20 % - Markeringsfarve2 2 8 2 3 4" xfId="40912" xr:uid="{00000000-0005-0000-0000-0000A5110000}"/>
    <cellStyle name="20 % - Markeringsfarve2 2 8 2 4" xfId="12689" xr:uid="{00000000-0005-0000-0000-0000A6110000}"/>
    <cellStyle name="20 % - Markeringsfarve2 2 8 2 4 2" xfId="28968" xr:uid="{00000000-0005-0000-0000-0000A7110000}"/>
    <cellStyle name="20 % - Markeringsfarve2 2 8 2 4 3" xfId="43929" xr:uid="{00000000-0005-0000-0000-0000A8110000}"/>
    <cellStyle name="20 % - Markeringsfarve2 2 8 2 5" xfId="21966" xr:uid="{00000000-0005-0000-0000-0000A9110000}"/>
    <cellStyle name="20 % - Markeringsfarve2 2 8 2 6" xfId="36932" xr:uid="{00000000-0005-0000-0000-0000AA110000}"/>
    <cellStyle name="20 % - Markeringsfarve2 2 8 3" xfId="4206" xr:uid="{00000000-0005-0000-0000-0000AB110000}"/>
    <cellStyle name="20 % - Markeringsfarve2 2 8 3 2" xfId="9573" xr:uid="{00000000-0005-0000-0000-0000AC110000}"/>
    <cellStyle name="20 % - Markeringsfarve2 2 8 3 2 2" xfId="17436" xr:uid="{00000000-0005-0000-0000-0000AD110000}"/>
    <cellStyle name="20 % - Markeringsfarve2 2 8 3 2 2 2" xfId="33712" xr:uid="{00000000-0005-0000-0000-0000AE110000}"/>
    <cellStyle name="20 % - Markeringsfarve2 2 8 3 2 2 3" xfId="48671" xr:uid="{00000000-0005-0000-0000-0000AF110000}"/>
    <cellStyle name="20 % - Markeringsfarve2 2 8 3 2 3" xfId="26710" xr:uid="{00000000-0005-0000-0000-0000B0110000}"/>
    <cellStyle name="20 % - Markeringsfarve2 2 8 3 2 4" xfId="41674" xr:uid="{00000000-0005-0000-0000-0000B1110000}"/>
    <cellStyle name="20 % - Markeringsfarve2 2 8 3 3" xfId="12691" xr:uid="{00000000-0005-0000-0000-0000B2110000}"/>
    <cellStyle name="20 % - Markeringsfarve2 2 8 3 3 2" xfId="28970" xr:uid="{00000000-0005-0000-0000-0000B3110000}"/>
    <cellStyle name="20 % - Markeringsfarve2 2 8 3 3 3" xfId="43931" xr:uid="{00000000-0005-0000-0000-0000B4110000}"/>
    <cellStyle name="20 % - Markeringsfarve2 2 8 3 4" xfId="21968" xr:uid="{00000000-0005-0000-0000-0000B5110000}"/>
    <cellStyle name="20 % - Markeringsfarve2 2 8 3 5" xfId="36934" xr:uid="{00000000-0005-0000-0000-0000B6110000}"/>
    <cellStyle name="20 % - Markeringsfarve2 2 8 4" xfId="4207" xr:uid="{00000000-0005-0000-0000-0000B7110000}"/>
    <cellStyle name="20 % - Markeringsfarve2 2 8 4 2" xfId="8913" xr:uid="{00000000-0005-0000-0000-0000B8110000}"/>
    <cellStyle name="20 % - Markeringsfarve2 2 8 4 2 2" xfId="16779" xr:uid="{00000000-0005-0000-0000-0000B9110000}"/>
    <cellStyle name="20 % - Markeringsfarve2 2 8 4 2 2 2" xfId="33055" xr:uid="{00000000-0005-0000-0000-0000BA110000}"/>
    <cellStyle name="20 % - Markeringsfarve2 2 8 4 2 2 3" xfId="48014" xr:uid="{00000000-0005-0000-0000-0000BB110000}"/>
    <cellStyle name="20 % - Markeringsfarve2 2 8 4 2 3" xfId="26053" xr:uid="{00000000-0005-0000-0000-0000BC110000}"/>
    <cellStyle name="20 % - Markeringsfarve2 2 8 4 2 4" xfId="41017" xr:uid="{00000000-0005-0000-0000-0000BD110000}"/>
    <cellStyle name="20 % - Markeringsfarve2 2 8 4 3" xfId="12692" xr:uid="{00000000-0005-0000-0000-0000BE110000}"/>
    <cellStyle name="20 % - Markeringsfarve2 2 8 4 3 2" xfId="28971" xr:uid="{00000000-0005-0000-0000-0000BF110000}"/>
    <cellStyle name="20 % - Markeringsfarve2 2 8 4 3 3" xfId="43932" xr:uid="{00000000-0005-0000-0000-0000C0110000}"/>
    <cellStyle name="20 % - Markeringsfarve2 2 8 4 4" xfId="21969" xr:uid="{00000000-0005-0000-0000-0000C1110000}"/>
    <cellStyle name="20 % - Markeringsfarve2 2 8 4 5" xfId="36935" xr:uid="{00000000-0005-0000-0000-0000C2110000}"/>
    <cellStyle name="20 % - Markeringsfarve2 2 8 5" xfId="7696" xr:uid="{00000000-0005-0000-0000-0000C3110000}"/>
    <cellStyle name="20 % - Markeringsfarve2 2 8 5 2" xfId="15561" xr:uid="{00000000-0005-0000-0000-0000C4110000}"/>
    <cellStyle name="20 % - Markeringsfarve2 2 8 5 2 2" xfId="31837" xr:uid="{00000000-0005-0000-0000-0000C5110000}"/>
    <cellStyle name="20 % - Markeringsfarve2 2 8 5 2 3" xfId="46796" xr:uid="{00000000-0005-0000-0000-0000C6110000}"/>
    <cellStyle name="20 % - Markeringsfarve2 2 8 5 3" xfId="24835" xr:uid="{00000000-0005-0000-0000-0000C7110000}"/>
    <cellStyle name="20 % - Markeringsfarve2 2 8 5 4" xfId="39799" xr:uid="{00000000-0005-0000-0000-0000C8110000}"/>
    <cellStyle name="20 % - Markeringsfarve2 2 8 6" xfId="12688" xr:uid="{00000000-0005-0000-0000-0000C9110000}"/>
    <cellStyle name="20 % - Markeringsfarve2 2 8 6 2" xfId="28967" xr:uid="{00000000-0005-0000-0000-0000CA110000}"/>
    <cellStyle name="20 % - Markeringsfarve2 2 8 6 3" xfId="43928" xr:uid="{00000000-0005-0000-0000-0000CB110000}"/>
    <cellStyle name="20 % - Markeringsfarve2 2 8 7" xfId="21965" xr:uid="{00000000-0005-0000-0000-0000CC110000}"/>
    <cellStyle name="20 % - Markeringsfarve2 2 8 8" xfId="36931" xr:uid="{00000000-0005-0000-0000-0000CD110000}"/>
    <cellStyle name="20 % - Markeringsfarve2 2 9" xfId="4208" xr:uid="{00000000-0005-0000-0000-0000CE110000}"/>
    <cellStyle name="20 % - Markeringsfarve2 2 9 2" xfId="4209" xr:uid="{00000000-0005-0000-0000-0000CF110000}"/>
    <cellStyle name="20 % - Markeringsfarve2 2 9 2 2" xfId="9723" xr:uid="{00000000-0005-0000-0000-0000D0110000}"/>
    <cellStyle name="20 % - Markeringsfarve2 2 9 2 2 2" xfId="17577" xr:uid="{00000000-0005-0000-0000-0000D1110000}"/>
    <cellStyle name="20 % - Markeringsfarve2 2 9 2 2 2 2" xfId="33853" xr:uid="{00000000-0005-0000-0000-0000D2110000}"/>
    <cellStyle name="20 % - Markeringsfarve2 2 9 2 2 2 3" xfId="48812" xr:uid="{00000000-0005-0000-0000-0000D3110000}"/>
    <cellStyle name="20 % - Markeringsfarve2 2 9 2 2 3" xfId="26851" xr:uid="{00000000-0005-0000-0000-0000D4110000}"/>
    <cellStyle name="20 % - Markeringsfarve2 2 9 2 2 4" xfId="41815" xr:uid="{00000000-0005-0000-0000-0000D5110000}"/>
    <cellStyle name="20 % - Markeringsfarve2 2 9 2 3" xfId="12694" xr:uid="{00000000-0005-0000-0000-0000D6110000}"/>
    <cellStyle name="20 % - Markeringsfarve2 2 9 2 3 2" xfId="28973" xr:uid="{00000000-0005-0000-0000-0000D7110000}"/>
    <cellStyle name="20 % - Markeringsfarve2 2 9 2 3 3" xfId="43934" xr:uid="{00000000-0005-0000-0000-0000D8110000}"/>
    <cellStyle name="20 % - Markeringsfarve2 2 9 2 4" xfId="21971" xr:uid="{00000000-0005-0000-0000-0000D9110000}"/>
    <cellStyle name="20 % - Markeringsfarve2 2 9 2 5" xfId="36937" xr:uid="{00000000-0005-0000-0000-0000DA110000}"/>
    <cellStyle name="20 % - Markeringsfarve2 2 9 3" xfId="8322" xr:uid="{00000000-0005-0000-0000-0000DB110000}"/>
    <cellStyle name="20 % - Markeringsfarve2 2 9 3 2" xfId="16192" xr:uid="{00000000-0005-0000-0000-0000DC110000}"/>
    <cellStyle name="20 % - Markeringsfarve2 2 9 3 2 2" xfId="32468" xr:uid="{00000000-0005-0000-0000-0000DD110000}"/>
    <cellStyle name="20 % - Markeringsfarve2 2 9 3 2 3" xfId="47427" xr:uid="{00000000-0005-0000-0000-0000DE110000}"/>
    <cellStyle name="20 % - Markeringsfarve2 2 9 3 3" xfId="25466" xr:uid="{00000000-0005-0000-0000-0000DF110000}"/>
    <cellStyle name="20 % - Markeringsfarve2 2 9 3 4" xfId="40430" xr:uid="{00000000-0005-0000-0000-0000E0110000}"/>
    <cellStyle name="20 % - Markeringsfarve2 2 9 4" xfId="12693" xr:uid="{00000000-0005-0000-0000-0000E1110000}"/>
    <cellStyle name="20 % - Markeringsfarve2 2 9 4 2" xfId="28972" xr:uid="{00000000-0005-0000-0000-0000E2110000}"/>
    <cellStyle name="20 % - Markeringsfarve2 2 9 4 3" xfId="43933" xr:uid="{00000000-0005-0000-0000-0000E3110000}"/>
    <cellStyle name="20 % - Markeringsfarve2 2 9 5" xfId="21970" xr:uid="{00000000-0005-0000-0000-0000E4110000}"/>
    <cellStyle name="20 % - Markeringsfarve2 2 9 6" xfId="36936" xr:uid="{00000000-0005-0000-0000-0000E5110000}"/>
    <cellStyle name="20 % - Markeringsfarve2 3" xfId="4210" xr:uid="{00000000-0005-0000-0000-0000E6110000}"/>
    <cellStyle name="20 % - Markeringsfarve2 3 10" xfId="4211" xr:uid="{00000000-0005-0000-0000-0000E7110000}"/>
    <cellStyle name="20 % - Markeringsfarve2 3 10 2" xfId="8936" xr:uid="{00000000-0005-0000-0000-0000E8110000}"/>
    <cellStyle name="20 % - Markeringsfarve2 3 10 2 2" xfId="16801" xr:uid="{00000000-0005-0000-0000-0000E9110000}"/>
    <cellStyle name="20 % - Markeringsfarve2 3 10 2 2 2" xfId="33077" xr:uid="{00000000-0005-0000-0000-0000EA110000}"/>
    <cellStyle name="20 % - Markeringsfarve2 3 10 2 2 3" xfId="48036" xr:uid="{00000000-0005-0000-0000-0000EB110000}"/>
    <cellStyle name="20 % - Markeringsfarve2 3 10 2 3" xfId="26075" xr:uid="{00000000-0005-0000-0000-0000EC110000}"/>
    <cellStyle name="20 % - Markeringsfarve2 3 10 2 4" xfId="41039" xr:uid="{00000000-0005-0000-0000-0000ED110000}"/>
    <cellStyle name="20 % - Markeringsfarve2 3 10 3" xfId="12696" xr:uid="{00000000-0005-0000-0000-0000EE110000}"/>
    <cellStyle name="20 % - Markeringsfarve2 3 10 3 2" xfId="28975" xr:uid="{00000000-0005-0000-0000-0000EF110000}"/>
    <cellStyle name="20 % - Markeringsfarve2 3 10 3 3" xfId="43936" xr:uid="{00000000-0005-0000-0000-0000F0110000}"/>
    <cellStyle name="20 % - Markeringsfarve2 3 10 4" xfId="21973" xr:uid="{00000000-0005-0000-0000-0000F1110000}"/>
    <cellStyle name="20 % - Markeringsfarve2 3 10 5" xfId="36939" xr:uid="{00000000-0005-0000-0000-0000F2110000}"/>
    <cellStyle name="20 % - Markeringsfarve2 3 11" xfId="4212" xr:uid="{00000000-0005-0000-0000-0000F3110000}"/>
    <cellStyle name="20 % - Markeringsfarve2 3 11 2" xfId="8905" xr:uid="{00000000-0005-0000-0000-0000F4110000}"/>
    <cellStyle name="20 % - Markeringsfarve2 3 11 2 2" xfId="16771" xr:uid="{00000000-0005-0000-0000-0000F5110000}"/>
    <cellStyle name="20 % - Markeringsfarve2 3 11 2 2 2" xfId="33047" xr:uid="{00000000-0005-0000-0000-0000F6110000}"/>
    <cellStyle name="20 % - Markeringsfarve2 3 11 2 2 3" xfId="48006" xr:uid="{00000000-0005-0000-0000-0000F7110000}"/>
    <cellStyle name="20 % - Markeringsfarve2 3 11 2 3" xfId="26045" xr:uid="{00000000-0005-0000-0000-0000F8110000}"/>
    <cellStyle name="20 % - Markeringsfarve2 3 11 2 4" xfId="41009" xr:uid="{00000000-0005-0000-0000-0000F9110000}"/>
    <cellStyle name="20 % - Markeringsfarve2 3 11 3" xfId="12697" xr:uid="{00000000-0005-0000-0000-0000FA110000}"/>
    <cellStyle name="20 % - Markeringsfarve2 3 11 3 2" xfId="28976" xr:uid="{00000000-0005-0000-0000-0000FB110000}"/>
    <cellStyle name="20 % - Markeringsfarve2 3 11 3 3" xfId="43937" xr:uid="{00000000-0005-0000-0000-0000FC110000}"/>
    <cellStyle name="20 % - Markeringsfarve2 3 11 4" xfId="21974" xr:uid="{00000000-0005-0000-0000-0000FD110000}"/>
    <cellStyle name="20 % - Markeringsfarve2 3 11 5" xfId="36940" xr:uid="{00000000-0005-0000-0000-0000FE110000}"/>
    <cellStyle name="20 % - Markeringsfarve2 3 12" xfId="7697" xr:uid="{00000000-0005-0000-0000-0000FF110000}"/>
    <cellStyle name="20 % - Markeringsfarve2 3 12 2" xfId="15562" xr:uid="{00000000-0005-0000-0000-000000120000}"/>
    <cellStyle name="20 % - Markeringsfarve2 3 12 2 2" xfId="31838" xr:uid="{00000000-0005-0000-0000-000001120000}"/>
    <cellStyle name="20 % - Markeringsfarve2 3 12 2 3" xfId="46797" xr:uid="{00000000-0005-0000-0000-000002120000}"/>
    <cellStyle name="20 % - Markeringsfarve2 3 12 3" xfId="24836" xr:uid="{00000000-0005-0000-0000-000003120000}"/>
    <cellStyle name="20 % - Markeringsfarve2 3 12 4" xfId="39800" xr:uid="{00000000-0005-0000-0000-000004120000}"/>
    <cellStyle name="20 % - Markeringsfarve2 3 13" xfId="12695" xr:uid="{00000000-0005-0000-0000-000005120000}"/>
    <cellStyle name="20 % - Markeringsfarve2 3 13 2" xfId="28974" xr:uid="{00000000-0005-0000-0000-000006120000}"/>
    <cellStyle name="20 % - Markeringsfarve2 3 13 3" xfId="43935" xr:uid="{00000000-0005-0000-0000-000007120000}"/>
    <cellStyle name="20 % - Markeringsfarve2 3 14" xfId="21972" xr:uid="{00000000-0005-0000-0000-000008120000}"/>
    <cellStyle name="20 % - Markeringsfarve2 3 15" xfId="36938" xr:uid="{00000000-0005-0000-0000-000009120000}"/>
    <cellStyle name="20 % - Markeringsfarve2 3 2" xfId="4213" xr:uid="{00000000-0005-0000-0000-00000A120000}"/>
    <cellStyle name="20 % - Markeringsfarve2 3 2 10" xfId="7698" xr:uid="{00000000-0005-0000-0000-00000B120000}"/>
    <cellStyle name="20 % - Markeringsfarve2 3 2 10 2" xfId="15563" xr:uid="{00000000-0005-0000-0000-00000C120000}"/>
    <cellStyle name="20 % - Markeringsfarve2 3 2 10 2 2" xfId="31839" xr:uid="{00000000-0005-0000-0000-00000D120000}"/>
    <cellStyle name="20 % - Markeringsfarve2 3 2 10 2 3" xfId="46798" xr:uid="{00000000-0005-0000-0000-00000E120000}"/>
    <cellStyle name="20 % - Markeringsfarve2 3 2 10 3" xfId="24837" xr:uid="{00000000-0005-0000-0000-00000F120000}"/>
    <cellStyle name="20 % - Markeringsfarve2 3 2 10 4" xfId="39801" xr:uid="{00000000-0005-0000-0000-000010120000}"/>
    <cellStyle name="20 % - Markeringsfarve2 3 2 11" xfId="12698" xr:uid="{00000000-0005-0000-0000-000011120000}"/>
    <cellStyle name="20 % - Markeringsfarve2 3 2 11 2" xfId="28977" xr:uid="{00000000-0005-0000-0000-000012120000}"/>
    <cellStyle name="20 % - Markeringsfarve2 3 2 11 3" xfId="43938" xr:uid="{00000000-0005-0000-0000-000013120000}"/>
    <cellStyle name="20 % - Markeringsfarve2 3 2 12" xfId="21975" xr:uid="{00000000-0005-0000-0000-000014120000}"/>
    <cellStyle name="20 % - Markeringsfarve2 3 2 13" xfId="36941" xr:uid="{00000000-0005-0000-0000-000015120000}"/>
    <cellStyle name="20 % - Markeringsfarve2 3 2 2" xfId="4214" xr:uid="{00000000-0005-0000-0000-000016120000}"/>
    <cellStyle name="20 % - Markeringsfarve2 3 2 2 2" xfId="4215" xr:uid="{00000000-0005-0000-0000-000017120000}"/>
    <cellStyle name="20 % - Markeringsfarve2 3 2 2 2 2" xfId="4216" xr:uid="{00000000-0005-0000-0000-000018120000}"/>
    <cellStyle name="20 % - Markeringsfarve2 3 2 2 2 2 2" xfId="9868" xr:uid="{00000000-0005-0000-0000-000019120000}"/>
    <cellStyle name="20 % - Markeringsfarve2 3 2 2 2 2 2 2" xfId="17723" xr:uid="{00000000-0005-0000-0000-00001A120000}"/>
    <cellStyle name="20 % - Markeringsfarve2 3 2 2 2 2 2 2 2" xfId="33999" xr:uid="{00000000-0005-0000-0000-00001B120000}"/>
    <cellStyle name="20 % - Markeringsfarve2 3 2 2 2 2 2 2 3" xfId="48958" xr:uid="{00000000-0005-0000-0000-00001C120000}"/>
    <cellStyle name="20 % - Markeringsfarve2 3 2 2 2 2 2 3" xfId="26997" xr:uid="{00000000-0005-0000-0000-00001D120000}"/>
    <cellStyle name="20 % - Markeringsfarve2 3 2 2 2 2 2 4" xfId="41961" xr:uid="{00000000-0005-0000-0000-00001E120000}"/>
    <cellStyle name="20 % - Markeringsfarve2 3 2 2 2 2 3" xfId="12701" xr:uid="{00000000-0005-0000-0000-00001F120000}"/>
    <cellStyle name="20 % - Markeringsfarve2 3 2 2 2 2 3 2" xfId="28980" xr:uid="{00000000-0005-0000-0000-000020120000}"/>
    <cellStyle name="20 % - Markeringsfarve2 3 2 2 2 2 3 3" xfId="43941" xr:uid="{00000000-0005-0000-0000-000021120000}"/>
    <cellStyle name="20 % - Markeringsfarve2 3 2 2 2 2 4" xfId="21978" xr:uid="{00000000-0005-0000-0000-000022120000}"/>
    <cellStyle name="20 % - Markeringsfarve2 3 2 2 2 2 5" xfId="36944" xr:uid="{00000000-0005-0000-0000-000023120000}"/>
    <cellStyle name="20 % - Markeringsfarve2 3 2 2 2 3" xfId="8444" xr:uid="{00000000-0005-0000-0000-000024120000}"/>
    <cellStyle name="20 % - Markeringsfarve2 3 2 2 2 3 2" xfId="16314" xr:uid="{00000000-0005-0000-0000-000025120000}"/>
    <cellStyle name="20 % - Markeringsfarve2 3 2 2 2 3 2 2" xfId="32590" xr:uid="{00000000-0005-0000-0000-000026120000}"/>
    <cellStyle name="20 % - Markeringsfarve2 3 2 2 2 3 2 3" xfId="47549" xr:uid="{00000000-0005-0000-0000-000027120000}"/>
    <cellStyle name="20 % - Markeringsfarve2 3 2 2 2 3 3" xfId="25588" xr:uid="{00000000-0005-0000-0000-000028120000}"/>
    <cellStyle name="20 % - Markeringsfarve2 3 2 2 2 3 4" xfId="40552" xr:uid="{00000000-0005-0000-0000-000029120000}"/>
    <cellStyle name="20 % - Markeringsfarve2 3 2 2 2 4" xfId="12700" xr:uid="{00000000-0005-0000-0000-00002A120000}"/>
    <cellStyle name="20 % - Markeringsfarve2 3 2 2 2 4 2" xfId="28979" xr:uid="{00000000-0005-0000-0000-00002B120000}"/>
    <cellStyle name="20 % - Markeringsfarve2 3 2 2 2 4 3" xfId="43940" xr:uid="{00000000-0005-0000-0000-00002C120000}"/>
    <cellStyle name="20 % - Markeringsfarve2 3 2 2 2 5" xfId="21977" xr:uid="{00000000-0005-0000-0000-00002D120000}"/>
    <cellStyle name="20 % - Markeringsfarve2 3 2 2 2 6" xfId="36943" xr:uid="{00000000-0005-0000-0000-00002E120000}"/>
    <cellStyle name="20 % - Markeringsfarve2 3 2 2 3" xfId="4217" xr:uid="{00000000-0005-0000-0000-00002F120000}"/>
    <cellStyle name="20 % - Markeringsfarve2 3 2 2 3 2" xfId="9099" xr:uid="{00000000-0005-0000-0000-000030120000}"/>
    <cellStyle name="20 % - Markeringsfarve2 3 2 2 3 2 2" xfId="16963" xr:uid="{00000000-0005-0000-0000-000031120000}"/>
    <cellStyle name="20 % - Markeringsfarve2 3 2 2 3 2 2 2" xfId="33239" xr:uid="{00000000-0005-0000-0000-000032120000}"/>
    <cellStyle name="20 % - Markeringsfarve2 3 2 2 3 2 2 3" xfId="48198" xr:uid="{00000000-0005-0000-0000-000033120000}"/>
    <cellStyle name="20 % - Markeringsfarve2 3 2 2 3 2 3" xfId="26237" xr:uid="{00000000-0005-0000-0000-000034120000}"/>
    <cellStyle name="20 % - Markeringsfarve2 3 2 2 3 2 4" xfId="41201" xr:uid="{00000000-0005-0000-0000-000035120000}"/>
    <cellStyle name="20 % - Markeringsfarve2 3 2 2 3 3" xfId="12702" xr:uid="{00000000-0005-0000-0000-000036120000}"/>
    <cellStyle name="20 % - Markeringsfarve2 3 2 2 3 3 2" xfId="28981" xr:uid="{00000000-0005-0000-0000-000037120000}"/>
    <cellStyle name="20 % - Markeringsfarve2 3 2 2 3 3 3" xfId="43942" xr:uid="{00000000-0005-0000-0000-000038120000}"/>
    <cellStyle name="20 % - Markeringsfarve2 3 2 2 3 4" xfId="21979" xr:uid="{00000000-0005-0000-0000-000039120000}"/>
    <cellStyle name="20 % - Markeringsfarve2 3 2 2 3 5" xfId="36945" xr:uid="{00000000-0005-0000-0000-00003A120000}"/>
    <cellStyle name="20 % - Markeringsfarve2 3 2 2 4" xfId="4218" xr:uid="{00000000-0005-0000-0000-00003B120000}"/>
    <cellStyle name="20 % - Markeringsfarve2 3 2 2 4 2" xfId="10530" xr:uid="{00000000-0005-0000-0000-00003C120000}"/>
    <cellStyle name="20 % - Markeringsfarve2 3 2 2 4 2 2" xfId="18379" xr:uid="{00000000-0005-0000-0000-00003D120000}"/>
    <cellStyle name="20 % - Markeringsfarve2 3 2 2 4 2 2 2" xfId="34655" xr:uid="{00000000-0005-0000-0000-00003E120000}"/>
    <cellStyle name="20 % - Markeringsfarve2 3 2 2 4 2 2 3" xfId="49614" xr:uid="{00000000-0005-0000-0000-00003F120000}"/>
    <cellStyle name="20 % - Markeringsfarve2 3 2 2 4 2 3" xfId="27653" xr:uid="{00000000-0005-0000-0000-000040120000}"/>
    <cellStyle name="20 % - Markeringsfarve2 3 2 2 4 2 4" xfId="42617" xr:uid="{00000000-0005-0000-0000-000041120000}"/>
    <cellStyle name="20 % - Markeringsfarve2 3 2 2 4 3" xfId="12703" xr:uid="{00000000-0005-0000-0000-000042120000}"/>
    <cellStyle name="20 % - Markeringsfarve2 3 2 2 4 3 2" xfId="28982" xr:uid="{00000000-0005-0000-0000-000043120000}"/>
    <cellStyle name="20 % - Markeringsfarve2 3 2 2 4 3 3" xfId="43943" xr:uid="{00000000-0005-0000-0000-000044120000}"/>
    <cellStyle name="20 % - Markeringsfarve2 3 2 2 4 4" xfId="21980" xr:uid="{00000000-0005-0000-0000-000045120000}"/>
    <cellStyle name="20 % - Markeringsfarve2 3 2 2 4 5" xfId="36946" xr:uid="{00000000-0005-0000-0000-000046120000}"/>
    <cellStyle name="20 % - Markeringsfarve2 3 2 2 5" xfId="7699" xr:uid="{00000000-0005-0000-0000-000047120000}"/>
    <cellStyle name="20 % - Markeringsfarve2 3 2 2 5 2" xfId="15564" xr:uid="{00000000-0005-0000-0000-000048120000}"/>
    <cellStyle name="20 % - Markeringsfarve2 3 2 2 5 2 2" xfId="31840" xr:uid="{00000000-0005-0000-0000-000049120000}"/>
    <cellStyle name="20 % - Markeringsfarve2 3 2 2 5 2 3" xfId="46799" xr:uid="{00000000-0005-0000-0000-00004A120000}"/>
    <cellStyle name="20 % - Markeringsfarve2 3 2 2 5 3" xfId="24838" xr:uid="{00000000-0005-0000-0000-00004B120000}"/>
    <cellStyle name="20 % - Markeringsfarve2 3 2 2 5 4" xfId="39802" xr:uid="{00000000-0005-0000-0000-00004C120000}"/>
    <cellStyle name="20 % - Markeringsfarve2 3 2 2 6" xfId="12699" xr:uid="{00000000-0005-0000-0000-00004D120000}"/>
    <cellStyle name="20 % - Markeringsfarve2 3 2 2 6 2" xfId="28978" xr:uid="{00000000-0005-0000-0000-00004E120000}"/>
    <cellStyle name="20 % - Markeringsfarve2 3 2 2 6 3" xfId="43939" xr:uid="{00000000-0005-0000-0000-00004F120000}"/>
    <cellStyle name="20 % - Markeringsfarve2 3 2 2 7" xfId="21976" xr:uid="{00000000-0005-0000-0000-000050120000}"/>
    <cellStyle name="20 % - Markeringsfarve2 3 2 2 8" xfId="36942" xr:uid="{00000000-0005-0000-0000-000051120000}"/>
    <cellStyle name="20 % - Markeringsfarve2 3 2 3" xfId="4219" xr:uid="{00000000-0005-0000-0000-000052120000}"/>
    <cellStyle name="20 % - Markeringsfarve2 3 2 3 2" xfId="4220" xr:uid="{00000000-0005-0000-0000-000053120000}"/>
    <cellStyle name="20 % - Markeringsfarve2 3 2 3 2 2" xfId="4221" xr:uid="{00000000-0005-0000-0000-000054120000}"/>
    <cellStyle name="20 % - Markeringsfarve2 3 2 3 2 2 2" xfId="9944" xr:uid="{00000000-0005-0000-0000-000055120000}"/>
    <cellStyle name="20 % - Markeringsfarve2 3 2 3 2 2 2 2" xfId="17799" xr:uid="{00000000-0005-0000-0000-000056120000}"/>
    <cellStyle name="20 % - Markeringsfarve2 3 2 3 2 2 2 2 2" xfId="34075" xr:uid="{00000000-0005-0000-0000-000057120000}"/>
    <cellStyle name="20 % - Markeringsfarve2 3 2 3 2 2 2 2 3" xfId="49034" xr:uid="{00000000-0005-0000-0000-000058120000}"/>
    <cellStyle name="20 % - Markeringsfarve2 3 2 3 2 2 2 3" xfId="27073" xr:uid="{00000000-0005-0000-0000-000059120000}"/>
    <cellStyle name="20 % - Markeringsfarve2 3 2 3 2 2 2 4" xfId="42037" xr:uid="{00000000-0005-0000-0000-00005A120000}"/>
    <cellStyle name="20 % - Markeringsfarve2 3 2 3 2 2 3" xfId="12706" xr:uid="{00000000-0005-0000-0000-00005B120000}"/>
    <cellStyle name="20 % - Markeringsfarve2 3 2 3 2 2 3 2" xfId="28985" xr:uid="{00000000-0005-0000-0000-00005C120000}"/>
    <cellStyle name="20 % - Markeringsfarve2 3 2 3 2 2 3 3" xfId="43946" xr:uid="{00000000-0005-0000-0000-00005D120000}"/>
    <cellStyle name="20 % - Markeringsfarve2 3 2 3 2 2 4" xfId="21983" xr:uid="{00000000-0005-0000-0000-00005E120000}"/>
    <cellStyle name="20 % - Markeringsfarve2 3 2 3 2 2 5" xfId="36949" xr:uid="{00000000-0005-0000-0000-00005F120000}"/>
    <cellStyle name="20 % - Markeringsfarve2 3 2 3 2 3" xfId="8509" xr:uid="{00000000-0005-0000-0000-000060120000}"/>
    <cellStyle name="20 % - Markeringsfarve2 3 2 3 2 3 2" xfId="16379" xr:uid="{00000000-0005-0000-0000-000061120000}"/>
    <cellStyle name="20 % - Markeringsfarve2 3 2 3 2 3 2 2" xfId="32655" xr:uid="{00000000-0005-0000-0000-000062120000}"/>
    <cellStyle name="20 % - Markeringsfarve2 3 2 3 2 3 2 3" xfId="47614" xr:uid="{00000000-0005-0000-0000-000063120000}"/>
    <cellStyle name="20 % - Markeringsfarve2 3 2 3 2 3 3" xfId="25653" xr:uid="{00000000-0005-0000-0000-000064120000}"/>
    <cellStyle name="20 % - Markeringsfarve2 3 2 3 2 3 4" xfId="40617" xr:uid="{00000000-0005-0000-0000-000065120000}"/>
    <cellStyle name="20 % - Markeringsfarve2 3 2 3 2 4" xfId="12705" xr:uid="{00000000-0005-0000-0000-000066120000}"/>
    <cellStyle name="20 % - Markeringsfarve2 3 2 3 2 4 2" xfId="28984" xr:uid="{00000000-0005-0000-0000-000067120000}"/>
    <cellStyle name="20 % - Markeringsfarve2 3 2 3 2 4 3" xfId="43945" xr:uid="{00000000-0005-0000-0000-000068120000}"/>
    <cellStyle name="20 % - Markeringsfarve2 3 2 3 2 5" xfId="21982" xr:uid="{00000000-0005-0000-0000-000069120000}"/>
    <cellStyle name="20 % - Markeringsfarve2 3 2 3 2 6" xfId="36948" xr:uid="{00000000-0005-0000-0000-00006A120000}"/>
    <cellStyle name="20 % - Markeringsfarve2 3 2 3 3" xfId="4222" xr:uid="{00000000-0005-0000-0000-00006B120000}"/>
    <cellStyle name="20 % - Markeringsfarve2 3 2 3 3 2" xfId="9175" xr:uid="{00000000-0005-0000-0000-00006C120000}"/>
    <cellStyle name="20 % - Markeringsfarve2 3 2 3 3 2 2" xfId="17039" xr:uid="{00000000-0005-0000-0000-00006D120000}"/>
    <cellStyle name="20 % - Markeringsfarve2 3 2 3 3 2 2 2" xfId="33315" xr:uid="{00000000-0005-0000-0000-00006E120000}"/>
    <cellStyle name="20 % - Markeringsfarve2 3 2 3 3 2 2 3" xfId="48274" xr:uid="{00000000-0005-0000-0000-00006F120000}"/>
    <cellStyle name="20 % - Markeringsfarve2 3 2 3 3 2 3" xfId="26313" xr:uid="{00000000-0005-0000-0000-000070120000}"/>
    <cellStyle name="20 % - Markeringsfarve2 3 2 3 3 2 4" xfId="41277" xr:uid="{00000000-0005-0000-0000-000071120000}"/>
    <cellStyle name="20 % - Markeringsfarve2 3 2 3 3 3" xfId="12707" xr:uid="{00000000-0005-0000-0000-000072120000}"/>
    <cellStyle name="20 % - Markeringsfarve2 3 2 3 3 3 2" xfId="28986" xr:uid="{00000000-0005-0000-0000-000073120000}"/>
    <cellStyle name="20 % - Markeringsfarve2 3 2 3 3 3 3" xfId="43947" xr:uid="{00000000-0005-0000-0000-000074120000}"/>
    <cellStyle name="20 % - Markeringsfarve2 3 2 3 3 4" xfId="21984" xr:uid="{00000000-0005-0000-0000-000075120000}"/>
    <cellStyle name="20 % - Markeringsfarve2 3 2 3 3 5" xfId="36950" xr:uid="{00000000-0005-0000-0000-000076120000}"/>
    <cellStyle name="20 % - Markeringsfarve2 3 2 3 4" xfId="4223" xr:uid="{00000000-0005-0000-0000-000077120000}"/>
    <cellStyle name="20 % - Markeringsfarve2 3 2 3 4 2" xfId="10531" xr:uid="{00000000-0005-0000-0000-000078120000}"/>
    <cellStyle name="20 % - Markeringsfarve2 3 2 3 4 2 2" xfId="18380" xr:uid="{00000000-0005-0000-0000-000079120000}"/>
    <cellStyle name="20 % - Markeringsfarve2 3 2 3 4 2 2 2" xfId="34656" xr:uid="{00000000-0005-0000-0000-00007A120000}"/>
    <cellStyle name="20 % - Markeringsfarve2 3 2 3 4 2 2 3" xfId="49615" xr:uid="{00000000-0005-0000-0000-00007B120000}"/>
    <cellStyle name="20 % - Markeringsfarve2 3 2 3 4 2 3" xfId="27654" xr:uid="{00000000-0005-0000-0000-00007C120000}"/>
    <cellStyle name="20 % - Markeringsfarve2 3 2 3 4 2 4" xfId="42618" xr:uid="{00000000-0005-0000-0000-00007D120000}"/>
    <cellStyle name="20 % - Markeringsfarve2 3 2 3 4 3" xfId="12708" xr:uid="{00000000-0005-0000-0000-00007E120000}"/>
    <cellStyle name="20 % - Markeringsfarve2 3 2 3 4 3 2" xfId="28987" xr:uid="{00000000-0005-0000-0000-00007F120000}"/>
    <cellStyle name="20 % - Markeringsfarve2 3 2 3 4 3 3" xfId="43948" xr:uid="{00000000-0005-0000-0000-000080120000}"/>
    <cellStyle name="20 % - Markeringsfarve2 3 2 3 4 4" xfId="21985" xr:uid="{00000000-0005-0000-0000-000081120000}"/>
    <cellStyle name="20 % - Markeringsfarve2 3 2 3 4 5" xfId="36951" xr:uid="{00000000-0005-0000-0000-000082120000}"/>
    <cellStyle name="20 % - Markeringsfarve2 3 2 3 5" xfId="7700" xr:uid="{00000000-0005-0000-0000-000083120000}"/>
    <cellStyle name="20 % - Markeringsfarve2 3 2 3 5 2" xfId="15565" xr:uid="{00000000-0005-0000-0000-000084120000}"/>
    <cellStyle name="20 % - Markeringsfarve2 3 2 3 5 2 2" xfId="31841" xr:uid="{00000000-0005-0000-0000-000085120000}"/>
    <cellStyle name="20 % - Markeringsfarve2 3 2 3 5 2 3" xfId="46800" xr:uid="{00000000-0005-0000-0000-000086120000}"/>
    <cellStyle name="20 % - Markeringsfarve2 3 2 3 5 3" xfId="24839" xr:uid="{00000000-0005-0000-0000-000087120000}"/>
    <cellStyle name="20 % - Markeringsfarve2 3 2 3 5 4" xfId="39803" xr:uid="{00000000-0005-0000-0000-000088120000}"/>
    <cellStyle name="20 % - Markeringsfarve2 3 2 3 6" xfId="12704" xr:uid="{00000000-0005-0000-0000-000089120000}"/>
    <cellStyle name="20 % - Markeringsfarve2 3 2 3 6 2" xfId="28983" xr:uid="{00000000-0005-0000-0000-00008A120000}"/>
    <cellStyle name="20 % - Markeringsfarve2 3 2 3 6 3" xfId="43944" xr:uid="{00000000-0005-0000-0000-00008B120000}"/>
    <cellStyle name="20 % - Markeringsfarve2 3 2 3 7" xfId="21981" xr:uid="{00000000-0005-0000-0000-00008C120000}"/>
    <cellStyle name="20 % - Markeringsfarve2 3 2 3 8" xfId="36947" xr:uid="{00000000-0005-0000-0000-00008D120000}"/>
    <cellStyle name="20 % - Markeringsfarve2 3 2 4" xfId="4224" xr:uid="{00000000-0005-0000-0000-00008E120000}"/>
    <cellStyle name="20 % - Markeringsfarve2 3 2 4 2" xfId="4225" xr:uid="{00000000-0005-0000-0000-00008F120000}"/>
    <cellStyle name="20 % - Markeringsfarve2 3 2 4 2 2" xfId="4226" xr:uid="{00000000-0005-0000-0000-000090120000}"/>
    <cellStyle name="20 % - Markeringsfarve2 3 2 4 2 2 2" xfId="10106" xr:uid="{00000000-0005-0000-0000-000091120000}"/>
    <cellStyle name="20 % - Markeringsfarve2 3 2 4 2 2 2 2" xfId="17961" xr:uid="{00000000-0005-0000-0000-000092120000}"/>
    <cellStyle name="20 % - Markeringsfarve2 3 2 4 2 2 2 2 2" xfId="34237" xr:uid="{00000000-0005-0000-0000-000093120000}"/>
    <cellStyle name="20 % - Markeringsfarve2 3 2 4 2 2 2 2 3" xfId="49196" xr:uid="{00000000-0005-0000-0000-000094120000}"/>
    <cellStyle name="20 % - Markeringsfarve2 3 2 4 2 2 2 3" xfId="27235" xr:uid="{00000000-0005-0000-0000-000095120000}"/>
    <cellStyle name="20 % - Markeringsfarve2 3 2 4 2 2 2 4" xfId="42199" xr:uid="{00000000-0005-0000-0000-000096120000}"/>
    <cellStyle name="20 % - Markeringsfarve2 3 2 4 2 2 3" xfId="12711" xr:uid="{00000000-0005-0000-0000-000097120000}"/>
    <cellStyle name="20 % - Markeringsfarve2 3 2 4 2 2 3 2" xfId="28990" xr:uid="{00000000-0005-0000-0000-000098120000}"/>
    <cellStyle name="20 % - Markeringsfarve2 3 2 4 2 2 3 3" xfId="43951" xr:uid="{00000000-0005-0000-0000-000099120000}"/>
    <cellStyle name="20 % - Markeringsfarve2 3 2 4 2 2 4" xfId="21988" xr:uid="{00000000-0005-0000-0000-00009A120000}"/>
    <cellStyle name="20 % - Markeringsfarve2 3 2 4 2 2 5" xfId="36954" xr:uid="{00000000-0005-0000-0000-00009B120000}"/>
    <cellStyle name="20 % - Markeringsfarve2 3 2 4 2 3" xfId="8646" xr:uid="{00000000-0005-0000-0000-00009C120000}"/>
    <cellStyle name="20 % - Markeringsfarve2 3 2 4 2 3 2" xfId="16513" xr:uid="{00000000-0005-0000-0000-00009D120000}"/>
    <cellStyle name="20 % - Markeringsfarve2 3 2 4 2 3 2 2" xfId="32789" xr:uid="{00000000-0005-0000-0000-00009E120000}"/>
    <cellStyle name="20 % - Markeringsfarve2 3 2 4 2 3 2 3" xfId="47748" xr:uid="{00000000-0005-0000-0000-00009F120000}"/>
    <cellStyle name="20 % - Markeringsfarve2 3 2 4 2 3 3" xfId="25787" xr:uid="{00000000-0005-0000-0000-0000A0120000}"/>
    <cellStyle name="20 % - Markeringsfarve2 3 2 4 2 3 4" xfId="40751" xr:uid="{00000000-0005-0000-0000-0000A1120000}"/>
    <cellStyle name="20 % - Markeringsfarve2 3 2 4 2 4" xfId="12710" xr:uid="{00000000-0005-0000-0000-0000A2120000}"/>
    <cellStyle name="20 % - Markeringsfarve2 3 2 4 2 4 2" xfId="28989" xr:uid="{00000000-0005-0000-0000-0000A3120000}"/>
    <cellStyle name="20 % - Markeringsfarve2 3 2 4 2 4 3" xfId="43950" xr:uid="{00000000-0005-0000-0000-0000A4120000}"/>
    <cellStyle name="20 % - Markeringsfarve2 3 2 4 2 5" xfId="21987" xr:uid="{00000000-0005-0000-0000-0000A5120000}"/>
    <cellStyle name="20 % - Markeringsfarve2 3 2 4 2 6" xfId="36953" xr:uid="{00000000-0005-0000-0000-0000A6120000}"/>
    <cellStyle name="20 % - Markeringsfarve2 3 2 4 3" xfId="4227" xr:uid="{00000000-0005-0000-0000-0000A7120000}"/>
    <cellStyle name="20 % - Markeringsfarve2 3 2 4 3 2" xfId="9383" xr:uid="{00000000-0005-0000-0000-0000A8120000}"/>
    <cellStyle name="20 % - Markeringsfarve2 3 2 4 3 2 2" xfId="17246" xr:uid="{00000000-0005-0000-0000-0000A9120000}"/>
    <cellStyle name="20 % - Markeringsfarve2 3 2 4 3 2 2 2" xfId="33522" xr:uid="{00000000-0005-0000-0000-0000AA120000}"/>
    <cellStyle name="20 % - Markeringsfarve2 3 2 4 3 2 2 3" xfId="48481" xr:uid="{00000000-0005-0000-0000-0000AB120000}"/>
    <cellStyle name="20 % - Markeringsfarve2 3 2 4 3 2 3" xfId="26520" xr:uid="{00000000-0005-0000-0000-0000AC120000}"/>
    <cellStyle name="20 % - Markeringsfarve2 3 2 4 3 2 4" xfId="41484" xr:uid="{00000000-0005-0000-0000-0000AD120000}"/>
    <cellStyle name="20 % - Markeringsfarve2 3 2 4 3 3" xfId="12712" xr:uid="{00000000-0005-0000-0000-0000AE120000}"/>
    <cellStyle name="20 % - Markeringsfarve2 3 2 4 3 3 2" xfId="28991" xr:uid="{00000000-0005-0000-0000-0000AF120000}"/>
    <cellStyle name="20 % - Markeringsfarve2 3 2 4 3 3 3" xfId="43952" xr:uid="{00000000-0005-0000-0000-0000B0120000}"/>
    <cellStyle name="20 % - Markeringsfarve2 3 2 4 3 4" xfId="21989" xr:uid="{00000000-0005-0000-0000-0000B1120000}"/>
    <cellStyle name="20 % - Markeringsfarve2 3 2 4 3 5" xfId="36955" xr:uid="{00000000-0005-0000-0000-0000B2120000}"/>
    <cellStyle name="20 % - Markeringsfarve2 3 2 4 4" xfId="4228" xr:uid="{00000000-0005-0000-0000-0000B3120000}"/>
    <cellStyle name="20 % - Markeringsfarve2 3 2 4 4 2" xfId="10423" xr:uid="{00000000-0005-0000-0000-0000B4120000}"/>
    <cellStyle name="20 % - Markeringsfarve2 3 2 4 4 2 2" xfId="18275" xr:uid="{00000000-0005-0000-0000-0000B5120000}"/>
    <cellStyle name="20 % - Markeringsfarve2 3 2 4 4 2 2 2" xfId="34551" xr:uid="{00000000-0005-0000-0000-0000B6120000}"/>
    <cellStyle name="20 % - Markeringsfarve2 3 2 4 4 2 2 3" xfId="49510" xr:uid="{00000000-0005-0000-0000-0000B7120000}"/>
    <cellStyle name="20 % - Markeringsfarve2 3 2 4 4 2 3" xfId="27549" xr:uid="{00000000-0005-0000-0000-0000B8120000}"/>
    <cellStyle name="20 % - Markeringsfarve2 3 2 4 4 2 4" xfId="42513" xr:uid="{00000000-0005-0000-0000-0000B9120000}"/>
    <cellStyle name="20 % - Markeringsfarve2 3 2 4 4 3" xfId="12713" xr:uid="{00000000-0005-0000-0000-0000BA120000}"/>
    <cellStyle name="20 % - Markeringsfarve2 3 2 4 4 3 2" xfId="28992" xr:uid="{00000000-0005-0000-0000-0000BB120000}"/>
    <cellStyle name="20 % - Markeringsfarve2 3 2 4 4 3 3" xfId="43953" xr:uid="{00000000-0005-0000-0000-0000BC120000}"/>
    <cellStyle name="20 % - Markeringsfarve2 3 2 4 4 4" xfId="21990" xr:uid="{00000000-0005-0000-0000-0000BD120000}"/>
    <cellStyle name="20 % - Markeringsfarve2 3 2 4 4 5" xfId="36956" xr:uid="{00000000-0005-0000-0000-0000BE120000}"/>
    <cellStyle name="20 % - Markeringsfarve2 3 2 4 5" xfId="7701" xr:uid="{00000000-0005-0000-0000-0000BF120000}"/>
    <cellStyle name="20 % - Markeringsfarve2 3 2 4 5 2" xfId="15566" xr:uid="{00000000-0005-0000-0000-0000C0120000}"/>
    <cellStyle name="20 % - Markeringsfarve2 3 2 4 5 2 2" xfId="31842" xr:uid="{00000000-0005-0000-0000-0000C1120000}"/>
    <cellStyle name="20 % - Markeringsfarve2 3 2 4 5 2 3" xfId="46801" xr:uid="{00000000-0005-0000-0000-0000C2120000}"/>
    <cellStyle name="20 % - Markeringsfarve2 3 2 4 5 3" xfId="24840" xr:uid="{00000000-0005-0000-0000-0000C3120000}"/>
    <cellStyle name="20 % - Markeringsfarve2 3 2 4 5 4" xfId="39804" xr:uid="{00000000-0005-0000-0000-0000C4120000}"/>
    <cellStyle name="20 % - Markeringsfarve2 3 2 4 6" xfId="12709" xr:uid="{00000000-0005-0000-0000-0000C5120000}"/>
    <cellStyle name="20 % - Markeringsfarve2 3 2 4 6 2" xfId="28988" xr:uid="{00000000-0005-0000-0000-0000C6120000}"/>
    <cellStyle name="20 % - Markeringsfarve2 3 2 4 6 3" xfId="43949" xr:uid="{00000000-0005-0000-0000-0000C7120000}"/>
    <cellStyle name="20 % - Markeringsfarve2 3 2 4 7" xfId="21986" xr:uid="{00000000-0005-0000-0000-0000C8120000}"/>
    <cellStyle name="20 % - Markeringsfarve2 3 2 4 8" xfId="36952" xr:uid="{00000000-0005-0000-0000-0000C9120000}"/>
    <cellStyle name="20 % - Markeringsfarve2 3 2 5" xfId="4229" xr:uid="{00000000-0005-0000-0000-0000CA120000}"/>
    <cellStyle name="20 % - Markeringsfarve2 3 2 5 2" xfId="4230" xr:uid="{00000000-0005-0000-0000-0000CB120000}"/>
    <cellStyle name="20 % - Markeringsfarve2 3 2 5 2 2" xfId="4231" xr:uid="{00000000-0005-0000-0000-0000CC120000}"/>
    <cellStyle name="20 % - Markeringsfarve2 3 2 5 2 2 2" xfId="10223" xr:uid="{00000000-0005-0000-0000-0000CD120000}"/>
    <cellStyle name="20 % - Markeringsfarve2 3 2 5 2 2 2 2" xfId="18078" xr:uid="{00000000-0005-0000-0000-0000CE120000}"/>
    <cellStyle name="20 % - Markeringsfarve2 3 2 5 2 2 2 2 2" xfId="34354" xr:uid="{00000000-0005-0000-0000-0000CF120000}"/>
    <cellStyle name="20 % - Markeringsfarve2 3 2 5 2 2 2 2 3" xfId="49313" xr:uid="{00000000-0005-0000-0000-0000D0120000}"/>
    <cellStyle name="20 % - Markeringsfarve2 3 2 5 2 2 2 3" xfId="27352" xr:uid="{00000000-0005-0000-0000-0000D1120000}"/>
    <cellStyle name="20 % - Markeringsfarve2 3 2 5 2 2 2 4" xfId="42316" xr:uid="{00000000-0005-0000-0000-0000D2120000}"/>
    <cellStyle name="20 % - Markeringsfarve2 3 2 5 2 2 3" xfId="12716" xr:uid="{00000000-0005-0000-0000-0000D3120000}"/>
    <cellStyle name="20 % - Markeringsfarve2 3 2 5 2 2 3 2" xfId="28995" xr:uid="{00000000-0005-0000-0000-0000D4120000}"/>
    <cellStyle name="20 % - Markeringsfarve2 3 2 5 2 2 3 3" xfId="43956" xr:uid="{00000000-0005-0000-0000-0000D5120000}"/>
    <cellStyle name="20 % - Markeringsfarve2 3 2 5 2 2 4" xfId="21993" xr:uid="{00000000-0005-0000-0000-0000D6120000}"/>
    <cellStyle name="20 % - Markeringsfarve2 3 2 5 2 2 5" xfId="36959" xr:uid="{00000000-0005-0000-0000-0000D7120000}"/>
    <cellStyle name="20 % - Markeringsfarve2 3 2 5 2 3" xfId="8745" xr:uid="{00000000-0005-0000-0000-0000D8120000}"/>
    <cellStyle name="20 % - Markeringsfarve2 3 2 5 2 3 2" xfId="16612" xr:uid="{00000000-0005-0000-0000-0000D9120000}"/>
    <cellStyle name="20 % - Markeringsfarve2 3 2 5 2 3 2 2" xfId="32888" xr:uid="{00000000-0005-0000-0000-0000DA120000}"/>
    <cellStyle name="20 % - Markeringsfarve2 3 2 5 2 3 2 3" xfId="47847" xr:uid="{00000000-0005-0000-0000-0000DB120000}"/>
    <cellStyle name="20 % - Markeringsfarve2 3 2 5 2 3 3" xfId="25886" xr:uid="{00000000-0005-0000-0000-0000DC120000}"/>
    <cellStyle name="20 % - Markeringsfarve2 3 2 5 2 3 4" xfId="40850" xr:uid="{00000000-0005-0000-0000-0000DD120000}"/>
    <cellStyle name="20 % - Markeringsfarve2 3 2 5 2 4" xfId="12715" xr:uid="{00000000-0005-0000-0000-0000DE120000}"/>
    <cellStyle name="20 % - Markeringsfarve2 3 2 5 2 4 2" xfId="28994" xr:uid="{00000000-0005-0000-0000-0000DF120000}"/>
    <cellStyle name="20 % - Markeringsfarve2 3 2 5 2 4 3" xfId="43955" xr:uid="{00000000-0005-0000-0000-0000E0120000}"/>
    <cellStyle name="20 % - Markeringsfarve2 3 2 5 2 5" xfId="21992" xr:uid="{00000000-0005-0000-0000-0000E1120000}"/>
    <cellStyle name="20 % - Markeringsfarve2 3 2 5 2 6" xfId="36958" xr:uid="{00000000-0005-0000-0000-0000E2120000}"/>
    <cellStyle name="20 % - Markeringsfarve2 3 2 5 3" xfId="4232" xr:uid="{00000000-0005-0000-0000-0000E3120000}"/>
    <cellStyle name="20 % - Markeringsfarve2 3 2 5 3 2" xfId="9500" xr:uid="{00000000-0005-0000-0000-0000E4120000}"/>
    <cellStyle name="20 % - Markeringsfarve2 3 2 5 3 2 2" xfId="17363" xr:uid="{00000000-0005-0000-0000-0000E5120000}"/>
    <cellStyle name="20 % - Markeringsfarve2 3 2 5 3 2 2 2" xfId="33639" xr:uid="{00000000-0005-0000-0000-0000E6120000}"/>
    <cellStyle name="20 % - Markeringsfarve2 3 2 5 3 2 2 3" xfId="48598" xr:uid="{00000000-0005-0000-0000-0000E7120000}"/>
    <cellStyle name="20 % - Markeringsfarve2 3 2 5 3 2 3" xfId="26637" xr:uid="{00000000-0005-0000-0000-0000E8120000}"/>
    <cellStyle name="20 % - Markeringsfarve2 3 2 5 3 2 4" xfId="41601" xr:uid="{00000000-0005-0000-0000-0000E9120000}"/>
    <cellStyle name="20 % - Markeringsfarve2 3 2 5 3 3" xfId="12717" xr:uid="{00000000-0005-0000-0000-0000EA120000}"/>
    <cellStyle name="20 % - Markeringsfarve2 3 2 5 3 3 2" xfId="28996" xr:uid="{00000000-0005-0000-0000-0000EB120000}"/>
    <cellStyle name="20 % - Markeringsfarve2 3 2 5 3 3 3" xfId="43957" xr:uid="{00000000-0005-0000-0000-0000EC120000}"/>
    <cellStyle name="20 % - Markeringsfarve2 3 2 5 3 4" xfId="21994" xr:uid="{00000000-0005-0000-0000-0000ED120000}"/>
    <cellStyle name="20 % - Markeringsfarve2 3 2 5 3 5" xfId="36960" xr:uid="{00000000-0005-0000-0000-0000EE120000}"/>
    <cellStyle name="20 % - Markeringsfarve2 3 2 5 4" xfId="4233" xr:uid="{00000000-0005-0000-0000-0000EF120000}"/>
    <cellStyle name="20 % - Markeringsfarve2 3 2 5 4 2" xfId="10529" xr:uid="{00000000-0005-0000-0000-0000F0120000}"/>
    <cellStyle name="20 % - Markeringsfarve2 3 2 5 4 2 2" xfId="18378" xr:uid="{00000000-0005-0000-0000-0000F1120000}"/>
    <cellStyle name="20 % - Markeringsfarve2 3 2 5 4 2 2 2" xfId="34654" xr:uid="{00000000-0005-0000-0000-0000F2120000}"/>
    <cellStyle name="20 % - Markeringsfarve2 3 2 5 4 2 2 3" xfId="49613" xr:uid="{00000000-0005-0000-0000-0000F3120000}"/>
    <cellStyle name="20 % - Markeringsfarve2 3 2 5 4 2 3" xfId="27652" xr:uid="{00000000-0005-0000-0000-0000F4120000}"/>
    <cellStyle name="20 % - Markeringsfarve2 3 2 5 4 2 4" xfId="42616" xr:uid="{00000000-0005-0000-0000-0000F5120000}"/>
    <cellStyle name="20 % - Markeringsfarve2 3 2 5 4 3" xfId="12718" xr:uid="{00000000-0005-0000-0000-0000F6120000}"/>
    <cellStyle name="20 % - Markeringsfarve2 3 2 5 4 3 2" xfId="28997" xr:uid="{00000000-0005-0000-0000-0000F7120000}"/>
    <cellStyle name="20 % - Markeringsfarve2 3 2 5 4 3 3" xfId="43958" xr:uid="{00000000-0005-0000-0000-0000F8120000}"/>
    <cellStyle name="20 % - Markeringsfarve2 3 2 5 4 4" xfId="21995" xr:uid="{00000000-0005-0000-0000-0000F9120000}"/>
    <cellStyle name="20 % - Markeringsfarve2 3 2 5 4 5" xfId="36961" xr:uid="{00000000-0005-0000-0000-0000FA120000}"/>
    <cellStyle name="20 % - Markeringsfarve2 3 2 5 5" xfId="7702" xr:uid="{00000000-0005-0000-0000-0000FB120000}"/>
    <cellStyle name="20 % - Markeringsfarve2 3 2 5 5 2" xfId="15567" xr:uid="{00000000-0005-0000-0000-0000FC120000}"/>
    <cellStyle name="20 % - Markeringsfarve2 3 2 5 5 2 2" xfId="31843" xr:uid="{00000000-0005-0000-0000-0000FD120000}"/>
    <cellStyle name="20 % - Markeringsfarve2 3 2 5 5 2 3" xfId="46802" xr:uid="{00000000-0005-0000-0000-0000FE120000}"/>
    <cellStyle name="20 % - Markeringsfarve2 3 2 5 5 3" xfId="24841" xr:uid="{00000000-0005-0000-0000-0000FF120000}"/>
    <cellStyle name="20 % - Markeringsfarve2 3 2 5 5 4" xfId="39805" xr:uid="{00000000-0005-0000-0000-000000130000}"/>
    <cellStyle name="20 % - Markeringsfarve2 3 2 5 6" xfId="12714" xr:uid="{00000000-0005-0000-0000-000001130000}"/>
    <cellStyle name="20 % - Markeringsfarve2 3 2 5 6 2" xfId="28993" xr:uid="{00000000-0005-0000-0000-000002130000}"/>
    <cellStyle name="20 % - Markeringsfarve2 3 2 5 6 3" xfId="43954" xr:uid="{00000000-0005-0000-0000-000003130000}"/>
    <cellStyle name="20 % - Markeringsfarve2 3 2 5 7" xfId="21991" xr:uid="{00000000-0005-0000-0000-000004130000}"/>
    <cellStyle name="20 % - Markeringsfarve2 3 2 5 8" xfId="36957" xr:uid="{00000000-0005-0000-0000-000005130000}"/>
    <cellStyle name="20 % - Markeringsfarve2 3 2 6" xfId="4234" xr:uid="{00000000-0005-0000-0000-000006130000}"/>
    <cellStyle name="20 % - Markeringsfarve2 3 2 6 2" xfId="4235" xr:uid="{00000000-0005-0000-0000-000007130000}"/>
    <cellStyle name="20 % - Markeringsfarve2 3 2 6 2 2" xfId="4236" xr:uid="{00000000-0005-0000-0000-000008130000}"/>
    <cellStyle name="20 % - Markeringsfarve2 3 2 6 2 2 2" xfId="10299" xr:uid="{00000000-0005-0000-0000-000009130000}"/>
    <cellStyle name="20 % - Markeringsfarve2 3 2 6 2 2 2 2" xfId="18154" xr:uid="{00000000-0005-0000-0000-00000A130000}"/>
    <cellStyle name="20 % - Markeringsfarve2 3 2 6 2 2 2 2 2" xfId="34430" xr:uid="{00000000-0005-0000-0000-00000B130000}"/>
    <cellStyle name="20 % - Markeringsfarve2 3 2 6 2 2 2 2 3" xfId="49389" xr:uid="{00000000-0005-0000-0000-00000C130000}"/>
    <cellStyle name="20 % - Markeringsfarve2 3 2 6 2 2 2 3" xfId="27428" xr:uid="{00000000-0005-0000-0000-00000D130000}"/>
    <cellStyle name="20 % - Markeringsfarve2 3 2 6 2 2 2 4" xfId="42392" xr:uid="{00000000-0005-0000-0000-00000E130000}"/>
    <cellStyle name="20 % - Markeringsfarve2 3 2 6 2 2 3" xfId="12721" xr:uid="{00000000-0005-0000-0000-00000F130000}"/>
    <cellStyle name="20 % - Markeringsfarve2 3 2 6 2 2 3 2" xfId="29000" xr:uid="{00000000-0005-0000-0000-000010130000}"/>
    <cellStyle name="20 % - Markeringsfarve2 3 2 6 2 2 3 3" xfId="43961" xr:uid="{00000000-0005-0000-0000-000011130000}"/>
    <cellStyle name="20 % - Markeringsfarve2 3 2 6 2 2 4" xfId="21998" xr:uid="{00000000-0005-0000-0000-000012130000}"/>
    <cellStyle name="20 % - Markeringsfarve2 3 2 6 2 2 5" xfId="36964" xr:uid="{00000000-0005-0000-0000-000013130000}"/>
    <cellStyle name="20 % - Markeringsfarve2 3 2 6 2 3" xfId="8811" xr:uid="{00000000-0005-0000-0000-000014130000}"/>
    <cellStyle name="20 % - Markeringsfarve2 3 2 6 2 3 2" xfId="16678" xr:uid="{00000000-0005-0000-0000-000015130000}"/>
    <cellStyle name="20 % - Markeringsfarve2 3 2 6 2 3 2 2" xfId="32954" xr:uid="{00000000-0005-0000-0000-000016130000}"/>
    <cellStyle name="20 % - Markeringsfarve2 3 2 6 2 3 2 3" xfId="47913" xr:uid="{00000000-0005-0000-0000-000017130000}"/>
    <cellStyle name="20 % - Markeringsfarve2 3 2 6 2 3 3" xfId="25952" xr:uid="{00000000-0005-0000-0000-000018130000}"/>
    <cellStyle name="20 % - Markeringsfarve2 3 2 6 2 3 4" xfId="40916" xr:uid="{00000000-0005-0000-0000-000019130000}"/>
    <cellStyle name="20 % - Markeringsfarve2 3 2 6 2 4" xfId="12720" xr:uid="{00000000-0005-0000-0000-00001A130000}"/>
    <cellStyle name="20 % - Markeringsfarve2 3 2 6 2 4 2" xfId="28999" xr:uid="{00000000-0005-0000-0000-00001B130000}"/>
    <cellStyle name="20 % - Markeringsfarve2 3 2 6 2 4 3" xfId="43960" xr:uid="{00000000-0005-0000-0000-00001C130000}"/>
    <cellStyle name="20 % - Markeringsfarve2 3 2 6 2 5" xfId="21997" xr:uid="{00000000-0005-0000-0000-00001D130000}"/>
    <cellStyle name="20 % - Markeringsfarve2 3 2 6 2 6" xfId="36963" xr:uid="{00000000-0005-0000-0000-00001E130000}"/>
    <cellStyle name="20 % - Markeringsfarve2 3 2 6 3" xfId="4237" xr:uid="{00000000-0005-0000-0000-00001F130000}"/>
    <cellStyle name="20 % - Markeringsfarve2 3 2 6 3 2" xfId="9577" xr:uid="{00000000-0005-0000-0000-000020130000}"/>
    <cellStyle name="20 % - Markeringsfarve2 3 2 6 3 2 2" xfId="17440" xr:uid="{00000000-0005-0000-0000-000021130000}"/>
    <cellStyle name="20 % - Markeringsfarve2 3 2 6 3 2 2 2" xfId="33716" xr:uid="{00000000-0005-0000-0000-000022130000}"/>
    <cellStyle name="20 % - Markeringsfarve2 3 2 6 3 2 2 3" xfId="48675" xr:uid="{00000000-0005-0000-0000-000023130000}"/>
    <cellStyle name="20 % - Markeringsfarve2 3 2 6 3 2 3" xfId="26714" xr:uid="{00000000-0005-0000-0000-000024130000}"/>
    <cellStyle name="20 % - Markeringsfarve2 3 2 6 3 2 4" xfId="41678" xr:uid="{00000000-0005-0000-0000-000025130000}"/>
    <cellStyle name="20 % - Markeringsfarve2 3 2 6 3 3" xfId="12722" xr:uid="{00000000-0005-0000-0000-000026130000}"/>
    <cellStyle name="20 % - Markeringsfarve2 3 2 6 3 3 2" xfId="29001" xr:uid="{00000000-0005-0000-0000-000027130000}"/>
    <cellStyle name="20 % - Markeringsfarve2 3 2 6 3 3 3" xfId="43962" xr:uid="{00000000-0005-0000-0000-000028130000}"/>
    <cellStyle name="20 % - Markeringsfarve2 3 2 6 3 4" xfId="21999" xr:uid="{00000000-0005-0000-0000-000029130000}"/>
    <cellStyle name="20 % - Markeringsfarve2 3 2 6 3 5" xfId="36965" xr:uid="{00000000-0005-0000-0000-00002A130000}"/>
    <cellStyle name="20 % - Markeringsfarve2 3 2 6 4" xfId="4238" xr:uid="{00000000-0005-0000-0000-00002B130000}"/>
    <cellStyle name="20 % - Markeringsfarve2 3 2 6 4 2" xfId="10422" xr:uid="{00000000-0005-0000-0000-00002C130000}"/>
    <cellStyle name="20 % - Markeringsfarve2 3 2 6 4 2 2" xfId="18274" xr:uid="{00000000-0005-0000-0000-00002D130000}"/>
    <cellStyle name="20 % - Markeringsfarve2 3 2 6 4 2 2 2" xfId="34550" xr:uid="{00000000-0005-0000-0000-00002E130000}"/>
    <cellStyle name="20 % - Markeringsfarve2 3 2 6 4 2 2 3" xfId="49509" xr:uid="{00000000-0005-0000-0000-00002F130000}"/>
    <cellStyle name="20 % - Markeringsfarve2 3 2 6 4 2 3" xfId="27548" xr:uid="{00000000-0005-0000-0000-000030130000}"/>
    <cellStyle name="20 % - Markeringsfarve2 3 2 6 4 2 4" xfId="42512" xr:uid="{00000000-0005-0000-0000-000031130000}"/>
    <cellStyle name="20 % - Markeringsfarve2 3 2 6 4 3" xfId="12723" xr:uid="{00000000-0005-0000-0000-000032130000}"/>
    <cellStyle name="20 % - Markeringsfarve2 3 2 6 4 3 2" xfId="29002" xr:uid="{00000000-0005-0000-0000-000033130000}"/>
    <cellStyle name="20 % - Markeringsfarve2 3 2 6 4 3 3" xfId="43963" xr:uid="{00000000-0005-0000-0000-000034130000}"/>
    <cellStyle name="20 % - Markeringsfarve2 3 2 6 4 4" xfId="22000" xr:uid="{00000000-0005-0000-0000-000035130000}"/>
    <cellStyle name="20 % - Markeringsfarve2 3 2 6 4 5" xfId="36966" xr:uid="{00000000-0005-0000-0000-000036130000}"/>
    <cellStyle name="20 % - Markeringsfarve2 3 2 6 5" xfId="7703" xr:uid="{00000000-0005-0000-0000-000037130000}"/>
    <cellStyle name="20 % - Markeringsfarve2 3 2 6 5 2" xfId="15568" xr:uid="{00000000-0005-0000-0000-000038130000}"/>
    <cellStyle name="20 % - Markeringsfarve2 3 2 6 5 2 2" xfId="31844" xr:uid="{00000000-0005-0000-0000-000039130000}"/>
    <cellStyle name="20 % - Markeringsfarve2 3 2 6 5 2 3" xfId="46803" xr:uid="{00000000-0005-0000-0000-00003A130000}"/>
    <cellStyle name="20 % - Markeringsfarve2 3 2 6 5 3" xfId="24842" xr:uid="{00000000-0005-0000-0000-00003B130000}"/>
    <cellStyle name="20 % - Markeringsfarve2 3 2 6 5 4" xfId="39806" xr:uid="{00000000-0005-0000-0000-00003C130000}"/>
    <cellStyle name="20 % - Markeringsfarve2 3 2 6 6" xfId="12719" xr:uid="{00000000-0005-0000-0000-00003D130000}"/>
    <cellStyle name="20 % - Markeringsfarve2 3 2 6 6 2" xfId="28998" xr:uid="{00000000-0005-0000-0000-00003E130000}"/>
    <cellStyle name="20 % - Markeringsfarve2 3 2 6 6 3" xfId="43959" xr:uid="{00000000-0005-0000-0000-00003F130000}"/>
    <cellStyle name="20 % - Markeringsfarve2 3 2 6 7" xfId="21996" xr:uid="{00000000-0005-0000-0000-000040130000}"/>
    <cellStyle name="20 % - Markeringsfarve2 3 2 6 8" xfId="36962" xr:uid="{00000000-0005-0000-0000-000041130000}"/>
    <cellStyle name="20 % - Markeringsfarve2 3 2 7" xfId="4239" xr:uid="{00000000-0005-0000-0000-000042130000}"/>
    <cellStyle name="20 % - Markeringsfarve2 3 2 7 2" xfId="4240" xr:uid="{00000000-0005-0000-0000-000043130000}"/>
    <cellStyle name="20 % - Markeringsfarve2 3 2 7 2 2" xfId="9750" xr:uid="{00000000-0005-0000-0000-000044130000}"/>
    <cellStyle name="20 % - Markeringsfarve2 3 2 7 2 2 2" xfId="17604" xr:uid="{00000000-0005-0000-0000-000045130000}"/>
    <cellStyle name="20 % - Markeringsfarve2 3 2 7 2 2 2 2" xfId="33880" xr:uid="{00000000-0005-0000-0000-000046130000}"/>
    <cellStyle name="20 % - Markeringsfarve2 3 2 7 2 2 2 3" xfId="48839" xr:uid="{00000000-0005-0000-0000-000047130000}"/>
    <cellStyle name="20 % - Markeringsfarve2 3 2 7 2 2 3" xfId="26878" xr:uid="{00000000-0005-0000-0000-000048130000}"/>
    <cellStyle name="20 % - Markeringsfarve2 3 2 7 2 2 4" xfId="41842" xr:uid="{00000000-0005-0000-0000-000049130000}"/>
    <cellStyle name="20 % - Markeringsfarve2 3 2 7 2 3" xfId="12725" xr:uid="{00000000-0005-0000-0000-00004A130000}"/>
    <cellStyle name="20 % - Markeringsfarve2 3 2 7 2 3 2" xfId="29004" xr:uid="{00000000-0005-0000-0000-00004B130000}"/>
    <cellStyle name="20 % - Markeringsfarve2 3 2 7 2 3 3" xfId="43965" xr:uid="{00000000-0005-0000-0000-00004C130000}"/>
    <cellStyle name="20 % - Markeringsfarve2 3 2 7 2 4" xfId="22002" xr:uid="{00000000-0005-0000-0000-00004D130000}"/>
    <cellStyle name="20 % - Markeringsfarve2 3 2 7 2 5" xfId="36968" xr:uid="{00000000-0005-0000-0000-00004E130000}"/>
    <cellStyle name="20 % - Markeringsfarve2 3 2 7 3" xfId="8345" xr:uid="{00000000-0005-0000-0000-00004F130000}"/>
    <cellStyle name="20 % - Markeringsfarve2 3 2 7 3 2" xfId="16215" xr:uid="{00000000-0005-0000-0000-000050130000}"/>
    <cellStyle name="20 % - Markeringsfarve2 3 2 7 3 2 2" xfId="32491" xr:uid="{00000000-0005-0000-0000-000051130000}"/>
    <cellStyle name="20 % - Markeringsfarve2 3 2 7 3 2 3" xfId="47450" xr:uid="{00000000-0005-0000-0000-000052130000}"/>
    <cellStyle name="20 % - Markeringsfarve2 3 2 7 3 3" xfId="25489" xr:uid="{00000000-0005-0000-0000-000053130000}"/>
    <cellStyle name="20 % - Markeringsfarve2 3 2 7 3 4" xfId="40453" xr:uid="{00000000-0005-0000-0000-000054130000}"/>
    <cellStyle name="20 % - Markeringsfarve2 3 2 7 4" xfId="12724" xr:uid="{00000000-0005-0000-0000-000055130000}"/>
    <cellStyle name="20 % - Markeringsfarve2 3 2 7 4 2" xfId="29003" xr:uid="{00000000-0005-0000-0000-000056130000}"/>
    <cellStyle name="20 % - Markeringsfarve2 3 2 7 4 3" xfId="43964" xr:uid="{00000000-0005-0000-0000-000057130000}"/>
    <cellStyle name="20 % - Markeringsfarve2 3 2 7 5" xfId="22001" xr:uid="{00000000-0005-0000-0000-000058130000}"/>
    <cellStyle name="20 % - Markeringsfarve2 3 2 7 6" xfId="36967" xr:uid="{00000000-0005-0000-0000-000059130000}"/>
    <cellStyle name="20 % - Markeringsfarve2 3 2 8" xfId="4241" xr:uid="{00000000-0005-0000-0000-00005A130000}"/>
    <cellStyle name="20 % - Markeringsfarve2 3 2 8 2" xfId="8978" xr:uid="{00000000-0005-0000-0000-00005B130000}"/>
    <cellStyle name="20 % - Markeringsfarve2 3 2 8 2 2" xfId="16842" xr:uid="{00000000-0005-0000-0000-00005C130000}"/>
    <cellStyle name="20 % - Markeringsfarve2 3 2 8 2 2 2" xfId="33118" xr:uid="{00000000-0005-0000-0000-00005D130000}"/>
    <cellStyle name="20 % - Markeringsfarve2 3 2 8 2 2 3" xfId="48077" xr:uid="{00000000-0005-0000-0000-00005E130000}"/>
    <cellStyle name="20 % - Markeringsfarve2 3 2 8 2 3" xfId="26116" xr:uid="{00000000-0005-0000-0000-00005F130000}"/>
    <cellStyle name="20 % - Markeringsfarve2 3 2 8 2 4" xfId="41080" xr:uid="{00000000-0005-0000-0000-000060130000}"/>
    <cellStyle name="20 % - Markeringsfarve2 3 2 8 3" xfId="12726" xr:uid="{00000000-0005-0000-0000-000061130000}"/>
    <cellStyle name="20 % - Markeringsfarve2 3 2 8 3 2" xfId="29005" xr:uid="{00000000-0005-0000-0000-000062130000}"/>
    <cellStyle name="20 % - Markeringsfarve2 3 2 8 3 3" xfId="43966" xr:uid="{00000000-0005-0000-0000-000063130000}"/>
    <cellStyle name="20 % - Markeringsfarve2 3 2 8 4" xfId="22003" xr:uid="{00000000-0005-0000-0000-000064130000}"/>
    <cellStyle name="20 % - Markeringsfarve2 3 2 8 5" xfId="36969" xr:uid="{00000000-0005-0000-0000-000065130000}"/>
    <cellStyle name="20 % - Markeringsfarve2 3 2 9" xfId="4242" xr:uid="{00000000-0005-0000-0000-000066130000}"/>
    <cellStyle name="20 % - Markeringsfarve2 3 2 9 2" xfId="10532" xr:uid="{00000000-0005-0000-0000-000067130000}"/>
    <cellStyle name="20 % - Markeringsfarve2 3 2 9 2 2" xfId="18381" xr:uid="{00000000-0005-0000-0000-000068130000}"/>
    <cellStyle name="20 % - Markeringsfarve2 3 2 9 2 2 2" xfId="34657" xr:uid="{00000000-0005-0000-0000-000069130000}"/>
    <cellStyle name="20 % - Markeringsfarve2 3 2 9 2 2 3" xfId="49616" xr:uid="{00000000-0005-0000-0000-00006A130000}"/>
    <cellStyle name="20 % - Markeringsfarve2 3 2 9 2 3" xfId="27655" xr:uid="{00000000-0005-0000-0000-00006B130000}"/>
    <cellStyle name="20 % - Markeringsfarve2 3 2 9 2 4" xfId="42619" xr:uid="{00000000-0005-0000-0000-00006C130000}"/>
    <cellStyle name="20 % - Markeringsfarve2 3 2 9 3" xfId="12727" xr:uid="{00000000-0005-0000-0000-00006D130000}"/>
    <cellStyle name="20 % - Markeringsfarve2 3 2 9 3 2" xfId="29006" xr:uid="{00000000-0005-0000-0000-00006E130000}"/>
    <cellStyle name="20 % - Markeringsfarve2 3 2 9 3 3" xfId="43967" xr:uid="{00000000-0005-0000-0000-00006F130000}"/>
    <cellStyle name="20 % - Markeringsfarve2 3 2 9 4" xfId="22004" xr:uid="{00000000-0005-0000-0000-000070130000}"/>
    <cellStyle name="20 % - Markeringsfarve2 3 2 9 5" xfId="36970" xr:uid="{00000000-0005-0000-0000-000071130000}"/>
    <cellStyle name="20 % - Markeringsfarve2 3 3" xfId="4243" xr:uid="{00000000-0005-0000-0000-000072130000}"/>
    <cellStyle name="20 % - Markeringsfarve2 3 3 10" xfId="7704" xr:uid="{00000000-0005-0000-0000-000073130000}"/>
    <cellStyle name="20 % - Markeringsfarve2 3 3 10 2" xfId="15569" xr:uid="{00000000-0005-0000-0000-000074130000}"/>
    <cellStyle name="20 % - Markeringsfarve2 3 3 10 2 2" xfId="31845" xr:uid="{00000000-0005-0000-0000-000075130000}"/>
    <cellStyle name="20 % - Markeringsfarve2 3 3 10 2 3" xfId="46804" xr:uid="{00000000-0005-0000-0000-000076130000}"/>
    <cellStyle name="20 % - Markeringsfarve2 3 3 10 3" xfId="24843" xr:uid="{00000000-0005-0000-0000-000077130000}"/>
    <cellStyle name="20 % - Markeringsfarve2 3 3 10 4" xfId="39807" xr:uid="{00000000-0005-0000-0000-000078130000}"/>
    <cellStyle name="20 % - Markeringsfarve2 3 3 11" xfId="12728" xr:uid="{00000000-0005-0000-0000-000079130000}"/>
    <cellStyle name="20 % - Markeringsfarve2 3 3 11 2" xfId="29007" xr:uid="{00000000-0005-0000-0000-00007A130000}"/>
    <cellStyle name="20 % - Markeringsfarve2 3 3 11 3" xfId="43968" xr:uid="{00000000-0005-0000-0000-00007B130000}"/>
    <cellStyle name="20 % - Markeringsfarve2 3 3 12" xfId="22005" xr:uid="{00000000-0005-0000-0000-00007C130000}"/>
    <cellStyle name="20 % - Markeringsfarve2 3 3 13" xfId="36971" xr:uid="{00000000-0005-0000-0000-00007D130000}"/>
    <cellStyle name="20 % - Markeringsfarve2 3 3 2" xfId="4244" xr:uid="{00000000-0005-0000-0000-00007E130000}"/>
    <cellStyle name="20 % - Markeringsfarve2 3 3 2 2" xfId="4245" xr:uid="{00000000-0005-0000-0000-00007F130000}"/>
    <cellStyle name="20 % - Markeringsfarve2 3 3 2 2 2" xfId="4246" xr:uid="{00000000-0005-0000-0000-000080130000}"/>
    <cellStyle name="20 % - Markeringsfarve2 3 3 2 2 2 2" xfId="9907" xr:uid="{00000000-0005-0000-0000-000081130000}"/>
    <cellStyle name="20 % - Markeringsfarve2 3 3 2 2 2 2 2" xfId="17762" xr:uid="{00000000-0005-0000-0000-000082130000}"/>
    <cellStyle name="20 % - Markeringsfarve2 3 3 2 2 2 2 2 2" xfId="34038" xr:uid="{00000000-0005-0000-0000-000083130000}"/>
    <cellStyle name="20 % - Markeringsfarve2 3 3 2 2 2 2 2 3" xfId="48997" xr:uid="{00000000-0005-0000-0000-000084130000}"/>
    <cellStyle name="20 % - Markeringsfarve2 3 3 2 2 2 2 3" xfId="27036" xr:uid="{00000000-0005-0000-0000-000085130000}"/>
    <cellStyle name="20 % - Markeringsfarve2 3 3 2 2 2 2 4" xfId="42000" xr:uid="{00000000-0005-0000-0000-000086130000}"/>
    <cellStyle name="20 % - Markeringsfarve2 3 3 2 2 2 3" xfId="12731" xr:uid="{00000000-0005-0000-0000-000087130000}"/>
    <cellStyle name="20 % - Markeringsfarve2 3 3 2 2 2 3 2" xfId="29010" xr:uid="{00000000-0005-0000-0000-000088130000}"/>
    <cellStyle name="20 % - Markeringsfarve2 3 3 2 2 2 3 3" xfId="43971" xr:uid="{00000000-0005-0000-0000-000089130000}"/>
    <cellStyle name="20 % - Markeringsfarve2 3 3 2 2 2 4" xfId="22008" xr:uid="{00000000-0005-0000-0000-00008A130000}"/>
    <cellStyle name="20 % - Markeringsfarve2 3 3 2 2 2 5" xfId="36974" xr:uid="{00000000-0005-0000-0000-00008B130000}"/>
    <cellStyle name="20 % - Markeringsfarve2 3 3 2 2 3" xfId="8477" xr:uid="{00000000-0005-0000-0000-00008C130000}"/>
    <cellStyle name="20 % - Markeringsfarve2 3 3 2 2 3 2" xfId="16347" xr:uid="{00000000-0005-0000-0000-00008D130000}"/>
    <cellStyle name="20 % - Markeringsfarve2 3 3 2 2 3 2 2" xfId="32623" xr:uid="{00000000-0005-0000-0000-00008E130000}"/>
    <cellStyle name="20 % - Markeringsfarve2 3 3 2 2 3 2 3" xfId="47582" xr:uid="{00000000-0005-0000-0000-00008F130000}"/>
    <cellStyle name="20 % - Markeringsfarve2 3 3 2 2 3 3" xfId="25621" xr:uid="{00000000-0005-0000-0000-000090130000}"/>
    <cellStyle name="20 % - Markeringsfarve2 3 3 2 2 3 4" xfId="40585" xr:uid="{00000000-0005-0000-0000-000091130000}"/>
    <cellStyle name="20 % - Markeringsfarve2 3 3 2 2 4" xfId="12730" xr:uid="{00000000-0005-0000-0000-000092130000}"/>
    <cellStyle name="20 % - Markeringsfarve2 3 3 2 2 4 2" xfId="29009" xr:uid="{00000000-0005-0000-0000-000093130000}"/>
    <cellStyle name="20 % - Markeringsfarve2 3 3 2 2 4 3" xfId="43970" xr:uid="{00000000-0005-0000-0000-000094130000}"/>
    <cellStyle name="20 % - Markeringsfarve2 3 3 2 2 5" xfId="22007" xr:uid="{00000000-0005-0000-0000-000095130000}"/>
    <cellStyle name="20 % - Markeringsfarve2 3 3 2 2 6" xfId="36973" xr:uid="{00000000-0005-0000-0000-000096130000}"/>
    <cellStyle name="20 % - Markeringsfarve2 3 3 2 3" xfId="4247" xr:uid="{00000000-0005-0000-0000-000097130000}"/>
    <cellStyle name="20 % - Markeringsfarve2 3 3 2 3 2" xfId="9138" xr:uid="{00000000-0005-0000-0000-000098130000}"/>
    <cellStyle name="20 % - Markeringsfarve2 3 3 2 3 2 2" xfId="17002" xr:uid="{00000000-0005-0000-0000-000099130000}"/>
    <cellStyle name="20 % - Markeringsfarve2 3 3 2 3 2 2 2" xfId="33278" xr:uid="{00000000-0005-0000-0000-00009A130000}"/>
    <cellStyle name="20 % - Markeringsfarve2 3 3 2 3 2 2 3" xfId="48237" xr:uid="{00000000-0005-0000-0000-00009B130000}"/>
    <cellStyle name="20 % - Markeringsfarve2 3 3 2 3 2 3" xfId="26276" xr:uid="{00000000-0005-0000-0000-00009C130000}"/>
    <cellStyle name="20 % - Markeringsfarve2 3 3 2 3 2 4" xfId="41240" xr:uid="{00000000-0005-0000-0000-00009D130000}"/>
    <cellStyle name="20 % - Markeringsfarve2 3 3 2 3 3" xfId="12732" xr:uid="{00000000-0005-0000-0000-00009E130000}"/>
    <cellStyle name="20 % - Markeringsfarve2 3 3 2 3 3 2" xfId="29011" xr:uid="{00000000-0005-0000-0000-00009F130000}"/>
    <cellStyle name="20 % - Markeringsfarve2 3 3 2 3 3 3" xfId="43972" xr:uid="{00000000-0005-0000-0000-0000A0130000}"/>
    <cellStyle name="20 % - Markeringsfarve2 3 3 2 3 4" xfId="22009" xr:uid="{00000000-0005-0000-0000-0000A1130000}"/>
    <cellStyle name="20 % - Markeringsfarve2 3 3 2 3 5" xfId="36975" xr:uid="{00000000-0005-0000-0000-0000A2130000}"/>
    <cellStyle name="20 % - Markeringsfarve2 3 3 2 4" xfId="4248" xr:uid="{00000000-0005-0000-0000-0000A3130000}"/>
    <cellStyle name="20 % - Markeringsfarve2 3 3 2 4 2" xfId="10995" xr:uid="{00000000-0005-0000-0000-0000A4130000}"/>
    <cellStyle name="20 % - Markeringsfarve2 3 3 2 4 2 2" xfId="18826" xr:uid="{00000000-0005-0000-0000-0000A5130000}"/>
    <cellStyle name="20 % - Markeringsfarve2 3 3 2 4 2 2 2" xfId="35102" xr:uid="{00000000-0005-0000-0000-0000A6130000}"/>
    <cellStyle name="20 % - Markeringsfarve2 3 3 2 4 2 2 3" xfId="50061" xr:uid="{00000000-0005-0000-0000-0000A7130000}"/>
    <cellStyle name="20 % - Markeringsfarve2 3 3 2 4 2 3" xfId="28100" xr:uid="{00000000-0005-0000-0000-0000A8130000}"/>
    <cellStyle name="20 % - Markeringsfarve2 3 3 2 4 2 4" xfId="43064" xr:uid="{00000000-0005-0000-0000-0000A9130000}"/>
    <cellStyle name="20 % - Markeringsfarve2 3 3 2 4 3" xfId="12733" xr:uid="{00000000-0005-0000-0000-0000AA130000}"/>
    <cellStyle name="20 % - Markeringsfarve2 3 3 2 4 3 2" xfId="29012" xr:uid="{00000000-0005-0000-0000-0000AB130000}"/>
    <cellStyle name="20 % - Markeringsfarve2 3 3 2 4 3 3" xfId="43973" xr:uid="{00000000-0005-0000-0000-0000AC130000}"/>
    <cellStyle name="20 % - Markeringsfarve2 3 3 2 4 4" xfId="22010" xr:uid="{00000000-0005-0000-0000-0000AD130000}"/>
    <cellStyle name="20 % - Markeringsfarve2 3 3 2 4 5" xfId="36976" xr:uid="{00000000-0005-0000-0000-0000AE130000}"/>
    <cellStyle name="20 % - Markeringsfarve2 3 3 2 5" xfId="7705" xr:uid="{00000000-0005-0000-0000-0000AF130000}"/>
    <cellStyle name="20 % - Markeringsfarve2 3 3 2 5 2" xfId="15570" xr:uid="{00000000-0005-0000-0000-0000B0130000}"/>
    <cellStyle name="20 % - Markeringsfarve2 3 3 2 5 2 2" xfId="31846" xr:uid="{00000000-0005-0000-0000-0000B1130000}"/>
    <cellStyle name="20 % - Markeringsfarve2 3 3 2 5 2 3" xfId="46805" xr:uid="{00000000-0005-0000-0000-0000B2130000}"/>
    <cellStyle name="20 % - Markeringsfarve2 3 3 2 5 3" xfId="24844" xr:uid="{00000000-0005-0000-0000-0000B3130000}"/>
    <cellStyle name="20 % - Markeringsfarve2 3 3 2 5 4" xfId="39808" xr:uid="{00000000-0005-0000-0000-0000B4130000}"/>
    <cellStyle name="20 % - Markeringsfarve2 3 3 2 6" xfId="12729" xr:uid="{00000000-0005-0000-0000-0000B5130000}"/>
    <cellStyle name="20 % - Markeringsfarve2 3 3 2 6 2" xfId="29008" xr:uid="{00000000-0005-0000-0000-0000B6130000}"/>
    <cellStyle name="20 % - Markeringsfarve2 3 3 2 6 3" xfId="43969" xr:uid="{00000000-0005-0000-0000-0000B7130000}"/>
    <cellStyle name="20 % - Markeringsfarve2 3 3 2 7" xfId="22006" xr:uid="{00000000-0005-0000-0000-0000B8130000}"/>
    <cellStyle name="20 % - Markeringsfarve2 3 3 2 8" xfId="36972" xr:uid="{00000000-0005-0000-0000-0000B9130000}"/>
    <cellStyle name="20 % - Markeringsfarve2 3 3 3" xfId="4249" xr:uid="{00000000-0005-0000-0000-0000BA130000}"/>
    <cellStyle name="20 % - Markeringsfarve2 3 3 3 2" xfId="4250" xr:uid="{00000000-0005-0000-0000-0000BB130000}"/>
    <cellStyle name="20 % - Markeringsfarve2 3 3 3 2 2" xfId="4251" xr:uid="{00000000-0005-0000-0000-0000BC130000}"/>
    <cellStyle name="20 % - Markeringsfarve2 3 3 3 2 2 2" xfId="9945" xr:uid="{00000000-0005-0000-0000-0000BD130000}"/>
    <cellStyle name="20 % - Markeringsfarve2 3 3 3 2 2 2 2" xfId="17800" xr:uid="{00000000-0005-0000-0000-0000BE130000}"/>
    <cellStyle name="20 % - Markeringsfarve2 3 3 3 2 2 2 2 2" xfId="34076" xr:uid="{00000000-0005-0000-0000-0000BF130000}"/>
    <cellStyle name="20 % - Markeringsfarve2 3 3 3 2 2 2 2 3" xfId="49035" xr:uid="{00000000-0005-0000-0000-0000C0130000}"/>
    <cellStyle name="20 % - Markeringsfarve2 3 3 3 2 2 2 3" xfId="27074" xr:uid="{00000000-0005-0000-0000-0000C1130000}"/>
    <cellStyle name="20 % - Markeringsfarve2 3 3 3 2 2 2 4" xfId="42038" xr:uid="{00000000-0005-0000-0000-0000C2130000}"/>
    <cellStyle name="20 % - Markeringsfarve2 3 3 3 2 2 3" xfId="12736" xr:uid="{00000000-0005-0000-0000-0000C3130000}"/>
    <cellStyle name="20 % - Markeringsfarve2 3 3 3 2 2 3 2" xfId="29015" xr:uid="{00000000-0005-0000-0000-0000C4130000}"/>
    <cellStyle name="20 % - Markeringsfarve2 3 3 3 2 2 3 3" xfId="43976" xr:uid="{00000000-0005-0000-0000-0000C5130000}"/>
    <cellStyle name="20 % - Markeringsfarve2 3 3 3 2 2 4" xfId="22013" xr:uid="{00000000-0005-0000-0000-0000C6130000}"/>
    <cellStyle name="20 % - Markeringsfarve2 3 3 3 2 2 5" xfId="36979" xr:uid="{00000000-0005-0000-0000-0000C7130000}"/>
    <cellStyle name="20 % - Markeringsfarve2 3 3 3 2 3" xfId="8510" xr:uid="{00000000-0005-0000-0000-0000C8130000}"/>
    <cellStyle name="20 % - Markeringsfarve2 3 3 3 2 3 2" xfId="16380" xr:uid="{00000000-0005-0000-0000-0000C9130000}"/>
    <cellStyle name="20 % - Markeringsfarve2 3 3 3 2 3 2 2" xfId="32656" xr:uid="{00000000-0005-0000-0000-0000CA130000}"/>
    <cellStyle name="20 % - Markeringsfarve2 3 3 3 2 3 2 3" xfId="47615" xr:uid="{00000000-0005-0000-0000-0000CB130000}"/>
    <cellStyle name="20 % - Markeringsfarve2 3 3 3 2 3 3" xfId="25654" xr:uid="{00000000-0005-0000-0000-0000CC130000}"/>
    <cellStyle name="20 % - Markeringsfarve2 3 3 3 2 3 4" xfId="40618" xr:uid="{00000000-0005-0000-0000-0000CD130000}"/>
    <cellStyle name="20 % - Markeringsfarve2 3 3 3 2 4" xfId="12735" xr:uid="{00000000-0005-0000-0000-0000CE130000}"/>
    <cellStyle name="20 % - Markeringsfarve2 3 3 3 2 4 2" xfId="29014" xr:uid="{00000000-0005-0000-0000-0000CF130000}"/>
    <cellStyle name="20 % - Markeringsfarve2 3 3 3 2 4 3" xfId="43975" xr:uid="{00000000-0005-0000-0000-0000D0130000}"/>
    <cellStyle name="20 % - Markeringsfarve2 3 3 3 2 5" xfId="22012" xr:uid="{00000000-0005-0000-0000-0000D1130000}"/>
    <cellStyle name="20 % - Markeringsfarve2 3 3 3 2 6" xfId="36978" xr:uid="{00000000-0005-0000-0000-0000D2130000}"/>
    <cellStyle name="20 % - Markeringsfarve2 3 3 3 3" xfId="4252" xr:uid="{00000000-0005-0000-0000-0000D3130000}"/>
    <cellStyle name="20 % - Markeringsfarve2 3 3 3 3 2" xfId="9176" xr:uid="{00000000-0005-0000-0000-0000D4130000}"/>
    <cellStyle name="20 % - Markeringsfarve2 3 3 3 3 2 2" xfId="17040" xr:uid="{00000000-0005-0000-0000-0000D5130000}"/>
    <cellStyle name="20 % - Markeringsfarve2 3 3 3 3 2 2 2" xfId="33316" xr:uid="{00000000-0005-0000-0000-0000D6130000}"/>
    <cellStyle name="20 % - Markeringsfarve2 3 3 3 3 2 2 3" xfId="48275" xr:uid="{00000000-0005-0000-0000-0000D7130000}"/>
    <cellStyle name="20 % - Markeringsfarve2 3 3 3 3 2 3" xfId="26314" xr:uid="{00000000-0005-0000-0000-0000D8130000}"/>
    <cellStyle name="20 % - Markeringsfarve2 3 3 3 3 2 4" xfId="41278" xr:uid="{00000000-0005-0000-0000-0000D9130000}"/>
    <cellStyle name="20 % - Markeringsfarve2 3 3 3 3 3" xfId="12737" xr:uid="{00000000-0005-0000-0000-0000DA130000}"/>
    <cellStyle name="20 % - Markeringsfarve2 3 3 3 3 3 2" xfId="29016" xr:uid="{00000000-0005-0000-0000-0000DB130000}"/>
    <cellStyle name="20 % - Markeringsfarve2 3 3 3 3 3 3" xfId="43977" xr:uid="{00000000-0005-0000-0000-0000DC130000}"/>
    <cellStyle name="20 % - Markeringsfarve2 3 3 3 3 4" xfId="22014" xr:uid="{00000000-0005-0000-0000-0000DD130000}"/>
    <cellStyle name="20 % - Markeringsfarve2 3 3 3 3 5" xfId="36980" xr:uid="{00000000-0005-0000-0000-0000DE130000}"/>
    <cellStyle name="20 % - Markeringsfarve2 3 3 3 4" xfId="4253" xr:uid="{00000000-0005-0000-0000-0000DF130000}"/>
    <cellStyle name="20 % - Markeringsfarve2 3 3 3 4 2" xfId="10715" xr:uid="{00000000-0005-0000-0000-0000E0130000}"/>
    <cellStyle name="20 % - Markeringsfarve2 3 3 3 4 2 2" xfId="18559" xr:uid="{00000000-0005-0000-0000-0000E1130000}"/>
    <cellStyle name="20 % - Markeringsfarve2 3 3 3 4 2 2 2" xfId="34835" xr:uid="{00000000-0005-0000-0000-0000E2130000}"/>
    <cellStyle name="20 % - Markeringsfarve2 3 3 3 4 2 2 3" xfId="49794" xr:uid="{00000000-0005-0000-0000-0000E3130000}"/>
    <cellStyle name="20 % - Markeringsfarve2 3 3 3 4 2 3" xfId="27833" xr:uid="{00000000-0005-0000-0000-0000E4130000}"/>
    <cellStyle name="20 % - Markeringsfarve2 3 3 3 4 2 4" xfId="42797" xr:uid="{00000000-0005-0000-0000-0000E5130000}"/>
    <cellStyle name="20 % - Markeringsfarve2 3 3 3 4 3" xfId="12738" xr:uid="{00000000-0005-0000-0000-0000E6130000}"/>
    <cellStyle name="20 % - Markeringsfarve2 3 3 3 4 3 2" xfId="29017" xr:uid="{00000000-0005-0000-0000-0000E7130000}"/>
    <cellStyle name="20 % - Markeringsfarve2 3 3 3 4 3 3" xfId="43978" xr:uid="{00000000-0005-0000-0000-0000E8130000}"/>
    <cellStyle name="20 % - Markeringsfarve2 3 3 3 4 4" xfId="22015" xr:uid="{00000000-0005-0000-0000-0000E9130000}"/>
    <cellStyle name="20 % - Markeringsfarve2 3 3 3 4 5" xfId="36981" xr:uid="{00000000-0005-0000-0000-0000EA130000}"/>
    <cellStyle name="20 % - Markeringsfarve2 3 3 3 5" xfId="7706" xr:uid="{00000000-0005-0000-0000-0000EB130000}"/>
    <cellStyle name="20 % - Markeringsfarve2 3 3 3 5 2" xfId="15571" xr:uid="{00000000-0005-0000-0000-0000EC130000}"/>
    <cellStyle name="20 % - Markeringsfarve2 3 3 3 5 2 2" xfId="31847" xr:uid="{00000000-0005-0000-0000-0000ED130000}"/>
    <cellStyle name="20 % - Markeringsfarve2 3 3 3 5 2 3" xfId="46806" xr:uid="{00000000-0005-0000-0000-0000EE130000}"/>
    <cellStyle name="20 % - Markeringsfarve2 3 3 3 5 3" xfId="24845" xr:uid="{00000000-0005-0000-0000-0000EF130000}"/>
    <cellStyle name="20 % - Markeringsfarve2 3 3 3 5 4" xfId="39809" xr:uid="{00000000-0005-0000-0000-0000F0130000}"/>
    <cellStyle name="20 % - Markeringsfarve2 3 3 3 6" xfId="12734" xr:uid="{00000000-0005-0000-0000-0000F1130000}"/>
    <cellStyle name="20 % - Markeringsfarve2 3 3 3 6 2" xfId="29013" xr:uid="{00000000-0005-0000-0000-0000F2130000}"/>
    <cellStyle name="20 % - Markeringsfarve2 3 3 3 6 3" xfId="43974" xr:uid="{00000000-0005-0000-0000-0000F3130000}"/>
    <cellStyle name="20 % - Markeringsfarve2 3 3 3 7" xfId="22011" xr:uid="{00000000-0005-0000-0000-0000F4130000}"/>
    <cellStyle name="20 % - Markeringsfarve2 3 3 3 8" xfId="36977" xr:uid="{00000000-0005-0000-0000-0000F5130000}"/>
    <cellStyle name="20 % - Markeringsfarve2 3 3 4" xfId="4254" xr:uid="{00000000-0005-0000-0000-0000F6130000}"/>
    <cellStyle name="20 % - Markeringsfarve2 3 3 4 2" xfId="4255" xr:uid="{00000000-0005-0000-0000-0000F7130000}"/>
    <cellStyle name="20 % - Markeringsfarve2 3 3 4 2 2" xfId="4256" xr:uid="{00000000-0005-0000-0000-0000F8130000}"/>
    <cellStyle name="20 % - Markeringsfarve2 3 3 4 2 2 2" xfId="10145" xr:uid="{00000000-0005-0000-0000-0000F9130000}"/>
    <cellStyle name="20 % - Markeringsfarve2 3 3 4 2 2 2 2" xfId="18000" xr:uid="{00000000-0005-0000-0000-0000FA130000}"/>
    <cellStyle name="20 % - Markeringsfarve2 3 3 4 2 2 2 2 2" xfId="34276" xr:uid="{00000000-0005-0000-0000-0000FB130000}"/>
    <cellStyle name="20 % - Markeringsfarve2 3 3 4 2 2 2 2 3" xfId="49235" xr:uid="{00000000-0005-0000-0000-0000FC130000}"/>
    <cellStyle name="20 % - Markeringsfarve2 3 3 4 2 2 2 3" xfId="27274" xr:uid="{00000000-0005-0000-0000-0000FD130000}"/>
    <cellStyle name="20 % - Markeringsfarve2 3 3 4 2 2 2 4" xfId="42238" xr:uid="{00000000-0005-0000-0000-0000FE130000}"/>
    <cellStyle name="20 % - Markeringsfarve2 3 3 4 2 2 3" xfId="12741" xr:uid="{00000000-0005-0000-0000-0000FF130000}"/>
    <cellStyle name="20 % - Markeringsfarve2 3 3 4 2 2 3 2" xfId="29020" xr:uid="{00000000-0005-0000-0000-000000140000}"/>
    <cellStyle name="20 % - Markeringsfarve2 3 3 4 2 2 3 3" xfId="43981" xr:uid="{00000000-0005-0000-0000-000001140000}"/>
    <cellStyle name="20 % - Markeringsfarve2 3 3 4 2 2 4" xfId="22018" xr:uid="{00000000-0005-0000-0000-000002140000}"/>
    <cellStyle name="20 % - Markeringsfarve2 3 3 4 2 2 5" xfId="36984" xr:uid="{00000000-0005-0000-0000-000003140000}"/>
    <cellStyle name="20 % - Markeringsfarve2 3 3 4 2 3" xfId="8679" xr:uid="{00000000-0005-0000-0000-000004140000}"/>
    <cellStyle name="20 % - Markeringsfarve2 3 3 4 2 3 2" xfId="16546" xr:uid="{00000000-0005-0000-0000-000005140000}"/>
    <cellStyle name="20 % - Markeringsfarve2 3 3 4 2 3 2 2" xfId="32822" xr:uid="{00000000-0005-0000-0000-000006140000}"/>
    <cellStyle name="20 % - Markeringsfarve2 3 3 4 2 3 2 3" xfId="47781" xr:uid="{00000000-0005-0000-0000-000007140000}"/>
    <cellStyle name="20 % - Markeringsfarve2 3 3 4 2 3 3" xfId="25820" xr:uid="{00000000-0005-0000-0000-000008140000}"/>
    <cellStyle name="20 % - Markeringsfarve2 3 3 4 2 3 4" xfId="40784" xr:uid="{00000000-0005-0000-0000-000009140000}"/>
    <cellStyle name="20 % - Markeringsfarve2 3 3 4 2 4" xfId="12740" xr:uid="{00000000-0005-0000-0000-00000A140000}"/>
    <cellStyle name="20 % - Markeringsfarve2 3 3 4 2 4 2" xfId="29019" xr:uid="{00000000-0005-0000-0000-00000B140000}"/>
    <cellStyle name="20 % - Markeringsfarve2 3 3 4 2 4 3" xfId="43980" xr:uid="{00000000-0005-0000-0000-00000C140000}"/>
    <cellStyle name="20 % - Markeringsfarve2 3 3 4 2 5" xfId="22017" xr:uid="{00000000-0005-0000-0000-00000D140000}"/>
    <cellStyle name="20 % - Markeringsfarve2 3 3 4 2 6" xfId="36983" xr:uid="{00000000-0005-0000-0000-00000E140000}"/>
    <cellStyle name="20 % - Markeringsfarve2 3 3 4 3" xfId="4257" xr:uid="{00000000-0005-0000-0000-00000F140000}"/>
    <cellStyle name="20 % - Markeringsfarve2 3 3 4 3 2" xfId="9422" xr:uid="{00000000-0005-0000-0000-000010140000}"/>
    <cellStyle name="20 % - Markeringsfarve2 3 3 4 3 2 2" xfId="17285" xr:uid="{00000000-0005-0000-0000-000011140000}"/>
    <cellStyle name="20 % - Markeringsfarve2 3 3 4 3 2 2 2" xfId="33561" xr:uid="{00000000-0005-0000-0000-000012140000}"/>
    <cellStyle name="20 % - Markeringsfarve2 3 3 4 3 2 2 3" xfId="48520" xr:uid="{00000000-0005-0000-0000-000013140000}"/>
    <cellStyle name="20 % - Markeringsfarve2 3 3 4 3 2 3" xfId="26559" xr:uid="{00000000-0005-0000-0000-000014140000}"/>
    <cellStyle name="20 % - Markeringsfarve2 3 3 4 3 2 4" xfId="41523" xr:uid="{00000000-0005-0000-0000-000015140000}"/>
    <cellStyle name="20 % - Markeringsfarve2 3 3 4 3 3" xfId="12742" xr:uid="{00000000-0005-0000-0000-000016140000}"/>
    <cellStyle name="20 % - Markeringsfarve2 3 3 4 3 3 2" xfId="29021" xr:uid="{00000000-0005-0000-0000-000017140000}"/>
    <cellStyle name="20 % - Markeringsfarve2 3 3 4 3 3 3" xfId="43982" xr:uid="{00000000-0005-0000-0000-000018140000}"/>
    <cellStyle name="20 % - Markeringsfarve2 3 3 4 3 4" xfId="22019" xr:uid="{00000000-0005-0000-0000-000019140000}"/>
    <cellStyle name="20 % - Markeringsfarve2 3 3 4 3 5" xfId="36985" xr:uid="{00000000-0005-0000-0000-00001A140000}"/>
    <cellStyle name="20 % - Markeringsfarve2 3 3 4 4" xfId="4258" xr:uid="{00000000-0005-0000-0000-00001B140000}"/>
    <cellStyle name="20 % - Markeringsfarve2 3 3 4 4 2" xfId="10863" xr:uid="{00000000-0005-0000-0000-00001C140000}"/>
    <cellStyle name="20 % - Markeringsfarve2 3 3 4 4 2 2" xfId="18701" xr:uid="{00000000-0005-0000-0000-00001D140000}"/>
    <cellStyle name="20 % - Markeringsfarve2 3 3 4 4 2 2 2" xfId="34977" xr:uid="{00000000-0005-0000-0000-00001E140000}"/>
    <cellStyle name="20 % - Markeringsfarve2 3 3 4 4 2 2 3" xfId="49936" xr:uid="{00000000-0005-0000-0000-00001F140000}"/>
    <cellStyle name="20 % - Markeringsfarve2 3 3 4 4 2 3" xfId="27975" xr:uid="{00000000-0005-0000-0000-000020140000}"/>
    <cellStyle name="20 % - Markeringsfarve2 3 3 4 4 2 4" xfId="42939" xr:uid="{00000000-0005-0000-0000-000021140000}"/>
    <cellStyle name="20 % - Markeringsfarve2 3 3 4 4 3" xfId="12743" xr:uid="{00000000-0005-0000-0000-000022140000}"/>
    <cellStyle name="20 % - Markeringsfarve2 3 3 4 4 3 2" xfId="29022" xr:uid="{00000000-0005-0000-0000-000023140000}"/>
    <cellStyle name="20 % - Markeringsfarve2 3 3 4 4 3 3" xfId="43983" xr:uid="{00000000-0005-0000-0000-000024140000}"/>
    <cellStyle name="20 % - Markeringsfarve2 3 3 4 4 4" xfId="22020" xr:uid="{00000000-0005-0000-0000-000025140000}"/>
    <cellStyle name="20 % - Markeringsfarve2 3 3 4 4 5" xfId="36986" xr:uid="{00000000-0005-0000-0000-000026140000}"/>
    <cellStyle name="20 % - Markeringsfarve2 3 3 4 5" xfId="7707" xr:uid="{00000000-0005-0000-0000-000027140000}"/>
    <cellStyle name="20 % - Markeringsfarve2 3 3 4 5 2" xfId="15572" xr:uid="{00000000-0005-0000-0000-000028140000}"/>
    <cellStyle name="20 % - Markeringsfarve2 3 3 4 5 2 2" xfId="31848" xr:uid="{00000000-0005-0000-0000-000029140000}"/>
    <cellStyle name="20 % - Markeringsfarve2 3 3 4 5 2 3" xfId="46807" xr:uid="{00000000-0005-0000-0000-00002A140000}"/>
    <cellStyle name="20 % - Markeringsfarve2 3 3 4 5 3" xfId="24846" xr:uid="{00000000-0005-0000-0000-00002B140000}"/>
    <cellStyle name="20 % - Markeringsfarve2 3 3 4 5 4" xfId="39810" xr:uid="{00000000-0005-0000-0000-00002C140000}"/>
    <cellStyle name="20 % - Markeringsfarve2 3 3 4 6" xfId="12739" xr:uid="{00000000-0005-0000-0000-00002D140000}"/>
    <cellStyle name="20 % - Markeringsfarve2 3 3 4 6 2" xfId="29018" xr:uid="{00000000-0005-0000-0000-00002E140000}"/>
    <cellStyle name="20 % - Markeringsfarve2 3 3 4 6 3" xfId="43979" xr:uid="{00000000-0005-0000-0000-00002F140000}"/>
    <cellStyle name="20 % - Markeringsfarve2 3 3 4 7" xfId="22016" xr:uid="{00000000-0005-0000-0000-000030140000}"/>
    <cellStyle name="20 % - Markeringsfarve2 3 3 4 8" xfId="36982" xr:uid="{00000000-0005-0000-0000-000031140000}"/>
    <cellStyle name="20 % - Markeringsfarve2 3 3 5" xfId="4259" xr:uid="{00000000-0005-0000-0000-000032140000}"/>
    <cellStyle name="20 % - Markeringsfarve2 3 3 5 2" xfId="4260" xr:uid="{00000000-0005-0000-0000-000033140000}"/>
    <cellStyle name="20 % - Markeringsfarve2 3 3 5 2 2" xfId="4261" xr:uid="{00000000-0005-0000-0000-000034140000}"/>
    <cellStyle name="20 % - Markeringsfarve2 3 3 5 2 2 2" xfId="10262" xr:uid="{00000000-0005-0000-0000-000035140000}"/>
    <cellStyle name="20 % - Markeringsfarve2 3 3 5 2 2 2 2" xfId="18117" xr:uid="{00000000-0005-0000-0000-000036140000}"/>
    <cellStyle name="20 % - Markeringsfarve2 3 3 5 2 2 2 2 2" xfId="34393" xr:uid="{00000000-0005-0000-0000-000037140000}"/>
    <cellStyle name="20 % - Markeringsfarve2 3 3 5 2 2 2 2 3" xfId="49352" xr:uid="{00000000-0005-0000-0000-000038140000}"/>
    <cellStyle name="20 % - Markeringsfarve2 3 3 5 2 2 2 3" xfId="27391" xr:uid="{00000000-0005-0000-0000-000039140000}"/>
    <cellStyle name="20 % - Markeringsfarve2 3 3 5 2 2 2 4" xfId="42355" xr:uid="{00000000-0005-0000-0000-00003A140000}"/>
    <cellStyle name="20 % - Markeringsfarve2 3 3 5 2 2 3" xfId="12746" xr:uid="{00000000-0005-0000-0000-00003B140000}"/>
    <cellStyle name="20 % - Markeringsfarve2 3 3 5 2 2 3 2" xfId="29025" xr:uid="{00000000-0005-0000-0000-00003C140000}"/>
    <cellStyle name="20 % - Markeringsfarve2 3 3 5 2 2 3 3" xfId="43986" xr:uid="{00000000-0005-0000-0000-00003D140000}"/>
    <cellStyle name="20 % - Markeringsfarve2 3 3 5 2 2 4" xfId="22023" xr:uid="{00000000-0005-0000-0000-00003E140000}"/>
    <cellStyle name="20 % - Markeringsfarve2 3 3 5 2 2 5" xfId="36989" xr:uid="{00000000-0005-0000-0000-00003F140000}"/>
    <cellStyle name="20 % - Markeringsfarve2 3 3 5 2 3" xfId="8778" xr:uid="{00000000-0005-0000-0000-000040140000}"/>
    <cellStyle name="20 % - Markeringsfarve2 3 3 5 2 3 2" xfId="16645" xr:uid="{00000000-0005-0000-0000-000041140000}"/>
    <cellStyle name="20 % - Markeringsfarve2 3 3 5 2 3 2 2" xfId="32921" xr:uid="{00000000-0005-0000-0000-000042140000}"/>
    <cellStyle name="20 % - Markeringsfarve2 3 3 5 2 3 2 3" xfId="47880" xr:uid="{00000000-0005-0000-0000-000043140000}"/>
    <cellStyle name="20 % - Markeringsfarve2 3 3 5 2 3 3" xfId="25919" xr:uid="{00000000-0005-0000-0000-000044140000}"/>
    <cellStyle name="20 % - Markeringsfarve2 3 3 5 2 3 4" xfId="40883" xr:uid="{00000000-0005-0000-0000-000045140000}"/>
    <cellStyle name="20 % - Markeringsfarve2 3 3 5 2 4" xfId="12745" xr:uid="{00000000-0005-0000-0000-000046140000}"/>
    <cellStyle name="20 % - Markeringsfarve2 3 3 5 2 4 2" xfId="29024" xr:uid="{00000000-0005-0000-0000-000047140000}"/>
    <cellStyle name="20 % - Markeringsfarve2 3 3 5 2 4 3" xfId="43985" xr:uid="{00000000-0005-0000-0000-000048140000}"/>
    <cellStyle name="20 % - Markeringsfarve2 3 3 5 2 5" xfId="22022" xr:uid="{00000000-0005-0000-0000-000049140000}"/>
    <cellStyle name="20 % - Markeringsfarve2 3 3 5 2 6" xfId="36988" xr:uid="{00000000-0005-0000-0000-00004A140000}"/>
    <cellStyle name="20 % - Markeringsfarve2 3 3 5 3" xfId="4262" xr:uid="{00000000-0005-0000-0000-00004B140000}"/>
    <cellStyle name="20 % - Markeringsfarve2 3 3 5 3 2" xfId="9539" xr:uid="{00000000-0005-0000-0000-00004C140000}"/>
    <cellStyle name="20 % - Markeringsfarve2 3 3 5 3 2 2" xfId="17402" xr:uid="{00000000-0005-0000-0000-00004D140000}"/>
    <cellStyle name="20 % - Markeringsfarve2 3 3 5 3 2 2 2" xfId="33678" xr:uid="{00000000-0005-0000-0000-00004E140000}"/>
    <cellStyle name="20 % - Markeringsfarve2 3 3 5 3 2 2 3" xfId="48637" xr:uid="{00000000-0005-0000-0000-00004F140000}"/>
    <cellStyle name="20 % - Markeringsfarve2 3 3 5 3 2 3" xfId="26676" xr:uid="{00000000-0005-0000-0000-000050140000}"/>
    <cellStyle name="20 % - Markeringsfarve2 3 3 5 3 2 4" xfId="41640" xr:uid="{00000000-0005-0000-0000-000051140000}"/>
    <cellStyle name="20 % - Markeringsfarve2 3 3 5 3 3" xfId="12747" xr:uid="{00000000-0005-0000-0000-000052140000}"/>
    <cellStyle name="20 % - Markeringsfarve2 3 3 5 3 3 2" xfId="29026" xr:uid="{00000000-0005-0000-0000-000053140000}"/>
    <cellStyle name="20 % - Markeringsfarve2 3 3 5 3 3 3" xfId="43987" xr:uid="{00000000-0005-0000-0000-000054140000}"/>
    <cellStyle name="20 % - Markeringsfarve2 3 3 5 3 4" xfId="22024" xr:uid="{00000000-0005-0000-0000-000055140000}"/>
    <cellStyle name="20 % - Markeringsfarve2 3 3 5 3 5" xfId="36990" xr:uid="{00000000-0005-0000-0000-000056140000}"/>
    <cellStyle name="20 % - Markeringsfarve2 3 3 5 4" xfId="4263" xr:uid="{00000000-0005-0000-0000-000057140000}"/>
    <cellStyle name="20 % - Markeringsfarve2 3 3 5 4 2" xfId="10528" xr:uid="{00000000-0005-0000-0000-000058140000}"/>
    <cellStyle name="20 % - Markeringsfarve2 3 3 5 4 2 2" xfId="18377" xr:uid="{00000000-0005-0000-0000-000059140000}"/>
    <cellStyle name="20 % - Markeringsfarve2 3 3 5 4 2 2 2" xfId="34653" xr:uid="{00000000-0005-0000-0000-00005A140000}"/>
    <cellStyle name="20 % - Markeringsfarve2 3 3 5 4 2 2 3" xfId="49612" xr:uid="{00000000-0005-0000-0000-00005B140000}"/>
    <cellStyle name="20 % - Markeringsfarve2 3 3 5 4 2 3" xfId="27651" xr:uid="{00000000-0005-0000-0000-00005C140000}"/>
    <cellStyle name="20 % - Markeringsfarve2 3 3 5 4 2 4" xfId="42615" xr:uid="{00000000-0005-0000-0000-00005D140000}"/>
    <cellStyle name="20 % - Markeringsfarve2 3 3 5 4 3" xfId="12748" xr:uid="{00000000-0005-0000-0000-00005E140000}"/>
    <cellStyle name="20 % - Markeringsfarve2 3 3 5 4 3 2" xfId="29027" xr:uid="{00000000-0005-0000-0000-00005F140000}"/>
    <cellStyle name="20 % - Markeringsfarve2 3 3 5 4 3 3" xfId="43988" xr:uid="{00000000-0005-0000-0000-000060140000}"/>
    <cellStyle name="20 % - Markeringsfarve2 3 3 5 4 4" xfId="22025" xr:uid="{00000000-0005-0000-0000-000061140000}"/>
    <cellStyle name="20 % - Markeringsfarve2 3 3 5 4 5" xfId="36991" xr:uid="{00000000-0005-0000-0000-000062140000}"/>
    <cellStyle name="20 % - Markeringsfarve2 3 3 5 5" xfId="7708" xr:uid="{00000000-0005-0000-0000-000063140000}"/>
    <cellStyle name="20 % - Markeringsfarve2 3 3 5 5 2" xfId="15573" xr:uid="{00000000-0005-0000-0000-000064140000}"/>
    <cellStyle name="20 % - Markeringsfarve2 3 3 5 5 2 2" xfId="31849" xr:uid="{00000000-0005-0000-0000-000065140000}"/>
    <cellStyle name="20 % - Markeringsfarve2 3 3 5 5 2 3" xfId="46808" xr:uid="{00000000-0005-0000-0000-000066140000}"/>
    <cellStyle name="20 % - Markeringsfarve2 3 3 5 5 3" xfId="24847" xr:uid="{00000000-0005-0000-0000-000067140000}"/>
    <cellStyle name="20 % - Markeringsfarve2 3 3 5 5 4" xfId="39811" xr:uid="{00000000-0005-0000-0000-000068140000}"/>
    <cellStyle name="20 % - Markeringsfarve2 3 3 5 6" xfId="12744" xr:uid="{00000000-0005-0000-0000-000069140000}"/>
    <cellStyle name="20 % - Markeringsfarve2 3 3 5 6 2" xfId="29023" xr:uid="{00000000-0005-0000-0000-00006A140000}"/>
    <cellStyle name="20 % - Markeringsfarve2 3 3 5 6 3" xfId="43984" xr:uid="{00000000-0005-0000-0000-00006B140000}"/>
    <cellStyle name="20 % - Markeringsfarve2 3 3 5 7" xfId="22021" xr:uid="{00000000-0005-0000-0000-00006C140000}"/>
    <cellStyle name="20 % - Markeringsfarve2 3 3 5 8" xfId="36987" xr:uid="{00000000-0005-0000-0000-00006D140000}"/>
    <cellStyle name="20 % - Markeringsfarve2 3 3 6" xfId="4264" xr:uid="{00000000-0005-0000-0000-00006E140000}"/>
    <cellStyle name="20 % - Markeringsfarve2 3 3 6 2" xfId="4265" xr:uid="{00000000-0005-0000-0000-00006F140000}"/>
    <cellStyle name="20 % - Markeringsfarve2 3 3 6 2 2" xfId="4266" xr:uid="{00000000-0005-0000-0000-000070140000}"/>
    <cellStyle name="20 % - Markeringsfarve2 3 3 6 2 2 2" xfId="10300" xr:uid="{00000000-0005-0000-0000-000071140000}"/>
    <cellStyle name="20 % - Markeringsfarve2 3 3 6 2 2 2 2" xfId="18155" xr:uid="{00000000-0005-0000-0000-000072140000}"/>
    <cellStyle name="20 % - Markeringsfarve2 3 3 6 2 2 2 2 2" xfId="34431" xr:uid="{00000000-0005-0000-0000-000073140000}"/>
    <cellStyle name="20 % - Markeringsfarve2 3 3 6 2 2 2 2 3" xfId="49390" xr:uid="{00000000-0005-0000-0000-000074140000}"/>
    <cellStyle name="20 % - Markeringsfarve2 3 3 6 2 2 2 3" xfId="27429" xr:uid="{00000000-0005-0000-0000-000075140000}"/>
    <cellStyle name="20 % - Markeringsfarve2 3 3 6 2 2 2 4" xfId="42393" xr:uid="{00000000-0005-0000-0000-000076140000}"/>
    <cellStyle name="20 % - Markeringsfarve2 3 3 6 2 2 3" xfId="12751" xr:uid="{00000000-0005-0000-0000-000077140000}"/>
    <cellStyle name="20 % - Markeringsfarve2 3 3 6 2 2 3 2" xfId="29030" xr:uid="{00000000-0005-0000-0000-000078140000}"/>
    <cellStyle name="20 % - Markeringsfarve2 3 3 6 2 2 3 3" xfId="43991" xr:uid="{00000000-0005-0000-0000-000079140000}"/>
    <cellStyle name="20 % - Markeringsfarve2 3 3 6 2 2 4" xfId="22028" xr:uid="{00000000-0005-0000-0000-00007A140000}"/>
    <cellStyle name="20 % - Markeringsfarve2 3 3 6 2 2 5" xfId="36994" xr:uid="{00000000-0005-0000-0000-00007B140000}"/>
    <cellStyle name="20 % - Markeringsfarve2 3 3 6 2 3" xfId="8812" xr:uid="{00000000-0005-0000-0000-00007C140000}"/>
    <cellStyle name="20 % - Markeringsfarve2 3 3 6 2 3 2" xfId="16679" xr:uid="{00000000-0005-0000-0000-00007D140000}"/>
    <cellStyle name="20 % - Markeringsfarve2 3 3 6 2 3 2 2" xfId="32955" xr:uid="{00000000-0005-0000-0000-00007E140000}"/>
    <cellStyle name="20 % - Markeringsfarve2 3 3 6 2 3 2 3" xfId="47914" xr:uid="{00000000-0005-0000-0000-00007F140000}"/>
    <cellStyle name="20 % - Markeringsfarve2 3 3 6 2 3 3" xfId="25953" xr:uid="{00000000-0005-0000-0000-000080140000}"/>
    <cellStyle name="20 % - Markeringsfarve2 3 3 6 2 3 4" xfId="40917" xr:uid="{00000000-0005-0000-0000-000081140000}"/>
    <cellStyle name="20 % - Markeringsfarve2 3 3 6 2 4" xfId="12750" xr:uid="{00000000-0005-0000-0000-000082140000}"/>
    <cellStyle name="20 % - Markeringsfarve2 3 3 6 2 4 2" xfId="29029" xr:uid="{00000000-0005-0000-0000-000083140000}"/>
    <cellStyle name="20 % - Markeringsfarve2 3 3 6 2 4 3" xfId="43990" xr:uid="{00000000-0005-0000-0000-000084140000}"/>
    <cellStyle name="20 % - Markeringsfarve2 3 3 6 2 5" xfId="22027" xr:uid="{00000000-0005-0000-0000-000085140000}"/>
    <cellStyle name="20 % - Markeringsfarve2 3 3 6 2 6" xfId="36993" xr:uid="{00000000-0005-0000-0000-000086140000}"/>
    <cellStyle name="20 % - Markeringsfarve2 3 3 6 3" xfId="4267" xr:uid="{00000000-0005-0000-0000-000087140000}"/>
    <cellStyle name="20 % - Markeringsfarve2 3 3 6 3 2" xfId="9578" xr:uid="{00000000-0005-0000-0000-000088140000}"/>
    <cellStyle name="20 % - Markeringsfarve2 3 3 6 3 2 2" xfId="17441" xr:uid="{00000000-0005-0000-0000-000089140000}"/>
    <cellStyle name="20 % - Markeringsfarve2 3 3 6 3 2 2 2" xfId="33717" xr:uid="{00000000-0005-0000-0000-00008A140000}"/>
    <cellStyle name="20 % - Markeringsfarve2 3 3 6 3 2 2 3" xfId="48676" xr:uid="{00000000-0005-0000-0000-00008B140000}"/>
    <cellStyle name="20 % - Markeringsfarve2 3 3 6 3 2 3" xfId="26715" xr:uid="{00000000-0005-0000-0000-00008C140000}"/>
    <cellStyle name="20 % - Markeringsfarve2 3 3 6 3 2 4" xfId="41679" xr:uid="{00000000-0005-0000-0000-00008D140000}"/>
    <cellStyle name="20 % - Markeringsfarve2 3 3 6 3 3" xfId="12752" xr:uid="{00000000-0005-0000-0000-00008E140000}"/>
    <cellStyle name="20 % - Markeringsfarve2 3 3 6 3 3 2" xfId="29031" xr:uid="{00000000-0005-0000-0000-00008F140000}"/>
    <cellStyle name="20 % - Markeringsfarve2 3 3 6 3 3 3" xfId="43992" xr:uid="{00000000-0005-0000-0000-000090140000}"/>
    <cellStyle name="20 % - Markeringsfarve2 3 3 6 3 4" xfId="22029" xr:uid="{00000000-0005-0000-0000-000091140000}"/>
    <cellStyle name="20 % - Markeringsfarve2 3 3 6 3 5" xfId="36995" xr:uid="{00000000-0005-0000-0000-000092140000}"/>
    <cellStyle name="20 % - Markeringsfarve2 3 3 6 4" xfId="4268" xr:uid="{00000000-0005-0000-0000-000093140000}"/>
    <cellStyle name="20 % - Markeringsfarve2 3 3 6 4 2" xfId="10421" xr:uid="{00000000-0005-0000-0000-000094140000}"/>
    <cellStyle name="20 % - Markeringsfarve2 3 3 6 4 2 2" xfId="18273" xr:uid="{00000000-0005-0000-0000-000095140000}"/>
    <cellStyle name="20 % - Markeringsfarve2 3 3 6 4 2 2 2" xfId="34549" xr:uid="{00000000-0005-0000-0000-000096140000}"/>
    <cellStyle name="20 % - Markeringsfarve2 3 3 6 4 2 2 3" xfId="49508" xr:uid="{00000000-0005-0000-0000-000097140000}"/>
    <cellStyle name="20 % - Markeringsfarve2 3 3 6 4 2 3" xfId="27547" xr:uid="{00000000-0005-0000-0000-000098140000}"/>
    <cellStyle name="20 % - Markeringsfarve2 3 3 6 4 2 4" xfId="42511" xr:uid="{00000000-0005-0000-0000-000099140000}"/>
    <cellStyle name="20 % - Markeringsfarve2 3 3 6 4 3" xfId="12753" xr:uid="{00000000-0005-0000-0000-00009A140000}"/>
    <cellStyle name="20 % - Markeringsfarve2 3 3 6 4 3 2" xfId="29032" xr:uid="{00000000-0005-0000-0000-00009B140000}"/>
    <cellStyle name="20 % - Markeringsfarve2 3 3 6 4 3 3" xfId="43993" xr:uid="{00000000-0005-0000-0000-00009C140000}"/>
    <cellStyle name="20 % - Markeringsfarve2 3 3 6 4 4" xfId="22030" xr:uid="{00000000-0005-0000-0000-00009D140000}"/>
    <cellStyle name="20 % - Markeringsfarve2 3 3 6 4 5" xfId="36996" xr:uid="{00000000-0005-0000-0000-00009E140000}"/>
    <cellStyle name="20 % - Markeringsfarve2 3 3 6 5" xfId="7709" xr:uid="{00000000-0005-0000-0000-00009F140000}"/>
    <cellStyle name="20 % - Markeringsfarve2 3 3 6 5 2" xfId="15574" xr:uid="{00000000-0005-0000-0000-0000A0140000}"/>
    <cellStyle name="20 % - Markeringsfarve2 3 3 6 5 2 2" xfId="31850" xr:uid="{00000000-0005-0000-0000-0000A1140000}"/>
    <cellStyle name="20 % - Markeringsfarve2 3 3 6 5 2 3" xfId="46809" xr:uid="{00000000-0005-0000-0000-0000A2140000}"/>
    <cellStyle name="20 % - Markeringsfarve2 3 3 6 5 3" xfId="24848" xr:uid="{00000000-0005-0000-0000-0000A3140000}"/>
    <cellStyle name="20 % - Markeringsfarve2 3 3 6 5 4" xfId="39812" xr:uid="{00000000-0005-0000-0000-0000A4140000}"/>
    <cellStyle name="20 % - Markeringsfarve2 3 3 6 6" xfId="12749" xr:uid="{00000000-0005-0000-0000-0000A5140000}"/>
    <cellStyle name="20 % - Markeringsfarve2 3 3 6 6 2" xfId="29028" xr:uid="{00000000-0005-0000-0000-0000A6140000}"/>
    <cellStyle name="20 % - Markeringsfarve2 3 3 6 6 3" xfId="43989" xr:uid="{00000000-0005-0000-0000-0000A7140000}"/>
    <cellStyle name="20 % - Markeringsfarve2 3 3 6 7" xfId="22026" xr:uid="{00000000-0005-0000-0000-0000A8140000}"/>
    <cellStyle name="20 % - Markeringsfarve2 3 3 6 8" xfId="36992" xr:uid="{00000000-0005-0000-0000-0000A9140000}"/>
    <cellStyle name="20 % - Markeringsfarve2 3 3 7" xfId="4269" xr:uid="{00000000-0005-0000-0000-0000AA140000}"/>
    <cellStyle name="20 % - Markeringsfarve2 3 3 7 2" xfId="4270" xr:uid="{00000000-0005-0000-0000-0000AB140000}"/>
    <cellStyle name="20 % - Markeringsfarve2 3 3 7 2 2" xfId="9789" xr:uid="{00000000-0005-0000-0000-0000AC140000}"/>
    <cellStyle name="20 % - Markeringsfarve2 3 3 7 2 2 2" xfId="17643" xr:uid="{00000000-0005-0000-0000-0000AD140000}"/>
    <cellStyle name="20 % - Markeringsfarve2 3 3 7 2 2 2 2" xfId="33919" xr:uid="{00000000-0005-0000-0000-0000AE140000}"/>
    <cellStyle name="20 % - Markeringsfarve2 3 3 7 2 2 2 3" xfId="48878" xr:uid="{00000000-0005-0000-0000-0000AF140000}"/>
    <cellStyle name="20 % - Markeringsfarve2 3 3 7 2 2 3" xfId="26917" xr:uid="{00000000-0005-0000-0000-0000B0140000}"/>
    <cellStyle name="20 % - Markeringsfarve2 3 3 7 2 2 4" xfId="41881" xr:uid="{00000000-0005-0000-0000-0000B1140000}"/>
    <cellStyle name="20 % - Markeringsfarve2 3 3 7 2 3" xfId="12755" xr:uid="{00000000-0005-0000-0000-0000B2140000}"/>
    <cellStyle name="20 % - Markeringsfarve2 3 3 7 2 3 2" xfId="29034" xr:uid="{00000000-0005-0000-0000-0000B3140000}"/>
    <cellStyle name="20 % - Markeringsfarve2 3 3 7 2 3 3" xfId="43995" xr:uid="{00000000-0005-0000-0000-0000B4140000}"/>
    <cellStyle name="20 % - Markeringsfarve2 3 3 7 2 4" xfId="22032" xr:uid="{00000000-0005-0000-0000-0000B5140000}"/>
    <cellStyle name="20 % - Markeringsfarve2 3 3 7 2 5" xfId="36998" xr:uid="{00000000-0005-0000-0000-0000B6140000}"/>
    <cellStyle name="20 % - Markeringsfarve2 3 3 7 3" xfId="8378" xr:uid="{00000000-0005-0000-0000-0000B7140000}"/>
    <cellStyle name="20 % - Markeringsfarve2 3 3 7 3 2" xfId="16248" xr:uid="{00000000-0005-0000-0000-0000B8140000}"/>
    <cellStyle name="20 % - Markeringsfarve2 3 3 7 3 2 2" xfId="32524" xr:uid="{00000000-0005-0000-0000-0000B9140000}"/>
    <cellStyle name="20 % - Markeringsfarve2 3 3 7 3 2 3" xfId="47483" xr:uid="{00000000-0005-0000-0000-0000BA140000}"/>
    <cellStyle name="20 % - Markeringsfarve2 3 3 7 3 3" xfId="25522" xr:uid="{00000000-0005-0000-0000-0000BB140000}"/>
    <cellStyle name="20 % - Markeringsfarve2 3 3 7 3 4" xfId="40486" xr:uid="{00000000-0005-0000-0000-0000BC140000}"/>
    <cellStyle name="20 % - Markeringsfarve2 3 3 7 4" xfId="12754" xr:uid="{00000000-0005-0000-0000-0000BD140000}"/>
    <cellStyle name="20 % - Markeringsfarve2 3 3 7 4 2" xfId="29033" xr:uid="{00000000-0005-0000-0000-0000BE140000}"/>
    <cellStyle name="20 % - Markeringsfarve2 3 3 7 4 3" xfId="43994" xr:uid="{00000000-0005-0000-0000-0000BF140000}"/>
    <cellStyle name="20 % - Markeringsfarve2 3 3 7 5" xfId="22031" xr:uid="{00000000-0005-0000-0000-0000C0140000}"/>
    <cellStyle name="20 % - Markeringsfarve2 3 3 7 6" xfId="36997" xr:uid="{00000000-0005-0000-0000-0000C1140000}"/>
    <cellStyle name="20 % - Markeringsfarve2 3 3 8" xfId="4271" xr:uid="{00000000-0005-0000-0000-0000C2140000}"/>
    <cellStyle name="20 % - Markeringsfarve2 3 3 8 2" xfId="9017" xr:uid="{00000000-0005-0000-0000-0000C3140000}"/>
    <cellStyle name="20 % - Markeringsfarve2 3 3 8 2 2" xfId="16881" xr:uid="{00000000-0005-0000-0000-0000C4140000}"/>
    <cellStyle name="20 % - Markeringsfarve2 3 3 8 2 2 2" xfId="33157" xr:uid="{00000000-0005-0000-0000-0000C5140000}"/>
    <cellStyle name="20 % - Markeringsfarve2 3 3 8 2 2 3" xfId="48116" xr:uid="{00000000-0005-0000-0000-0000C6140000}"/>
    <cellStyle name="20 % - Markeringsfarve2 3 3 8 2 3" xfId="26155" xr:uid="{00000000-0005-0000-0000-0000C7140000}"/>
    <cellStyle name="20 % - Markeringsfarve2 3 3 8 2 4" xfId="41119" xr:uid="{00000000-0005-0000-0000-0000C8140000}"/>
    <cellStyle name="20 % - Markeringsfarve2 3 3 8 3" xfId="12756" xr:uid="{00000000-0005-0000-0000-0000C9140000}"/>
    <cellStyle name="20 % - Markeringsfarve2 3 3 8 3 2" xfId="29035" xr:uid="{00000000-0005-0000-0000-0000CA140000}"/>
    <cellStyle name="20 % - Markeringsfarve2 3 3 8 3 3" xfId="43996" xr:uid="{00000000-0005-0000-0000-0000CB140000}"/>
    <cellStyle name="20 % - Markeringsfarve2 3 3 8 4" xfId="22033" xr:uid="{00000000-0005-0000-0000-0000CC140000}"/>
    <cellStyle name="20 % - Markeringsfarve2 3 3 8 5" xfId="36999" xr:uid="{00000000-0005-0000-0000-0000CD140000}"/>
    <cellStyle name="20 % - Markeringsfarve2 3 3 9" xfId="4272" xr:uid="{00000000-0005-0000-0000-0000CE140000}"/>
    <cellStyle name="20 % - Markeringsfarve2 3 3 9 2" xfId="10774" xr:uid="{00000000-0005-0000-0000-0000CF140000}"/>
    <cellStyle name="20 % - Markeringsfarve2 3 3 9 2 2" xfId="18616" xr:uid="{00000000-0005-0000-0000-0000D0140000}"/>
    <cellStyle name="20 % - Markeringsfarve2 3 3 9 2 2 2" xfId="34892" xr:uid="{00000000-0005-0000-0000-0000D1140000}"/>
    <cellStyle name="20 % - Markeringsfarve2 3 3 9 2 2 3" xfId="49851" xr:uid="{00000000-0005-0000-0000-0000D2140000}"/>
    <cellStyle name="20 % - Markeringsfarve2 3 3 9 2 3" xfId="27890" xr:uid="{00000000-0005-0000-0000-0000D3140000}"/>
    <cellStyle name="20 % - Markeringsfarve2 3 3 9 2 4" xfId="42854" xr:uid="{00000000-0005-0000-0000-0000D4140000}"/>
    <cellStyle name="20 % - Markeringsfarve2 3 3 9 3" xfId="12757" xr:uid="{00000000-0005-0000-0000-0000D5140000}"/>
    <cellStyle name="20 % - Markeringsfarve2 3 3 9 3 2" xfId="29036" xr:uid="{00000000-0005-0000-0000-0000D6140000}"/>
    <cellStyle name="20 % - Markeringsfarve2 3 3 9 3 3" xfId="43997" xr:uid="{00000000-0005-0000-0000-0000D7140000}"/>
    <cellStyle name="20 % - Markeringsfarve2 3 3 9 4" xfId="22034" xr:uid="{00000000-0005-0000-0000-0000D8140000}"/>
    <cellStyle name="20 % - Markeringsfarve2 3 3 9 5" xfId="37000" xr:uid="{00000000-0005-0000-0000-0000D9140000}"/>
    <cellStyle name="20 % - Markeringsfarve2 3 4" xfId="4273" xr:uid="{00000000-0005-0000-0000-0000DA140000}"/>
    <cellStyle name="20 % - Markeringsfarve2 3 4 2" xfId="4274" xr:uid="{00000000-0005-0000-0000-0000DB140000}"/>
    <cellStyle name="20 % - Markeringsfarve2 3 4 2 2" xfId="4275" xr:uid="{00000000-0005-0000-0000-0000DC140000}"/>
    <cellStyle name="20 % - Markeringsfarve2 3 4 2 2 2" xfId="9829" xr:uid="{00000000-0005-0000-0000-0000DD140000}"/>
    <cellStyle name="20 % - Markeringsfarve2 3 4 2 2 2 2" xfId="17684" xr:uid="{00000000-0005-0000-0000-0000DE140000}"/>
    <cellStyle name="20 % - Markeringsfarve2 3 4 2 2 2 2 2" xfId="33960" xr:uid="{00000000-0005-0000-0000-0000DF140000}"/>
    <cellStyle name="20 % - Markeringsfarve2 3 4 2 2 2 2 3" xfId="48919" xr:uid="{00000000-0005-0000-0000-0000E0140000}"/>
    <cellStyle name="20 % - Markeringsfarve2 3 4 2 2 2 3" xfId="26958" xr:uid="{00000000-0005-0000-0000-0000E1140000}"/>
    <cellStyle name="20 % - Markeringsfarve2 3 4 2 2 2 4" xfId="41922" xr:uid="{00000000-0005-0000-0000-0000E2140000}"/>
    <cellStyle name="20 % - Markeringsfarve2 3 4 2 2 3" xfId="12760" xr:uid="{00000000-0005-0000-0000-0000E3140000}"/>
    <cellStyle name="20 % - Markeringsfarve2 3 4 2 2 3 2" xfId="29039" xr:uid="{00000000-0005-0000-0000-0000E4140000}"/>
    <cellStyle name="20 % - Markeringsfarve2 3 4 2 2 3 3" xfId="44000" xr:uid="{00000000-0005-0000-0000-0000E5140000}"/>
    <cellStyle name="20 % - Markeringsfarve2 3 4 2 2 4" xfId="22037" xr:uid="{00000000-0005-0000-0000-0000E6140000}"/>
    <cellStyle name="20 % - Markeringsfarve2 3 4 2 2 5" xfId="37003" xr:uid="{00000000-0005-0000-0000-0000E7140000}"/>
    <cellStyle name="20 % - Markeringsfarve2 3 4 2 3" xfId="8411" xr:uid="{00000000-0005-0000-0000-0000E8140000}"/>
    <cellStyle name="20 % - Markeringsfarve2 3 4 2 3 2" xfId="16281" xr:uid="{00000000-0005-0000-0000-0000E9140000}"/>
    <cellStyle name="20 % - Markeringsfarve2 3 4 2 3 2 2" xfId="32557" xr:uid="{00000000-0005-0000-0000-0000EA140000}"/>
    <cellStyle name="20 % - Markeringsfarve2 3 4 2 3 2 3" xfId="47516" xr:uid="{00000000-0005-0000-0000-0000EB140000}"/>
    <cellStyle name="20 % - Markeringsfarve2 3 4 2 3 3" xfId="25555" xr:uid="{00000000-0005-0000-0000-0000EC140000}"/>
    <cellStyle name="20 % - Markeringsfarve2 3 4 2 3 4" xfId="40519" xr:uid="{00000000-0005-0000-0000-0000ED140000}"/>
    <cellStyle name="20 % - Markeringsfarve2 3 4 2 4" xfId="12759" xr:uid="{00000000-0005-0000-0000-0000EE140000}"/>
    <cellStyle name="20 % - Markeringsfarve2 3 4 2 4 2" xfId="29038" xr:uid="{00000000-0005-0000-0000-0000EF140000}"/>
    <cellStyle name="20 % - Markeringsfarve2 3 4 2 4 3" xfId="43999" xr:uid="{00000000-0005-0000-0000-0000F0140000}"/>
    <cellStyle name="20 % - Markeringsfarve2 3 4 2 5" xfId="22036" xr:uid="{00000000-0005-0000-0000-0000F1140000}"/>
    <cellStyle name="20 % - Markeringsfarve2 3 4 2 6" xfId="37002" xr:uid="{00000000-0005-0000-0000-0000F2140000}"/>
    <cellStyle name="20 % - Markeringsfarve2 3 4 3" xfId="4276" xr:uid="{00000000-0005-0000-0000-0000F3140000}"/>
    <cellStyle name="20 % - Markeringsfarve2 3 4 3 2" xfId="9060" xr:uid="{00000000-0005-0000-0000-0000F4140000}"/>
    <cellStyle name="20 % - Markeringsfarve2 3 4 3 2 2" xfId="16924" xr:uid="{00000000-0005-0000-0000-0000F5140000}"/>
    <cellStyle name="20 % - Markeringsfarve2 3 4 3 2 2 2" xfId="33200" xr:uid="{00000000-0005-0000-0000-0000F6140000}"/>
    <cellStyle name="20 % - Markeringsfarve2 3 4 3 2 2 3" xfId="48159" xr:uid="{00000000-0005-0000-0000-0000F7140000}"/>
    <cellStyle name="20 % - Markeringsfarve2 3 4 3 2 3" xfId="26198" xr:uid="{00000000-0005-0000-0000-0000F8140000}"/>
    <cellStyle name="20 % - Markeringsfarve2 3 4 3 2 4" xfId="41162" xr:uid="{00000000-0005-0000-0000-0000F9140000}"/>
    <cellStyle name="20 % - Markeringsfarve2 3 4 3 3" xfId="12761" xr:uid="{00000000-0005-0000-0000-0000FA140000}"/>
    <cellStyle name="20 % - Markeringsfarve2 3 4 3 3 2" xfId="29040" xr:uid="{00000000-0005-0000-0000-0000FB140000}"/>
    <cellStyle name="20 % - Markeringsfarve2 3 4 3 3 3" xfId="44001" xr:uid="{00000000-0005-0000-0000-0000FC140000}"/>
    <cellStyle name="20 % - Markeringsfarve2 3 4 3 4" xfId="22038" xr:uid="{00000000-0005-0000-0000-0000FD140000}"/>
    <cellStyle name="20 % - Markeringsfarve2 3 4 3 5" xfId="37004" xr:uid="{00000000-0005-0000-0000-0000FE140000}"/>
    <cellStyle name="20 % - Markeringsfarve2 3 4 4" xfId="4277" xr:uid="{00000000-0005-0000-0000-0000FF140000}"/>
    <cellStyle name="20 % - Markeringsfarve2 3 4 4 2" xfId="8925" xr:uid="{00000000-0005-0000-0000-000000150000}"/>
    <cellStyle name="20 % - Markeringsfarve2 3 4 4 2 2" xfId="16791" xr:uid="{00000000-0005-0000-0000-000001150000}"/>
    <cellStyle name="20 % - Markeringsfarve2 3 4 4 2 2 2" xfId="33067" xr:uid="{00000000-0005-0000-0000-000002150000}"/>
    <cellStyle name="20 % - Markeringsfarve2 3 4 4 2 2 3" xfId="48026" xr:uid="{00000000-0005-0000-0000-000003150000}"/>
    <cellStyle name="20 % - Markeringsfarve2 3 4 4 2 3" xfId="26065" xr:uid="{00000000-0005-0000-0000-000004150000}"/>
    <cellStyle name="20 % - Markeringsfarve2 3 4 4 2 4" xfId="41029" xr:uid="{00000000-0005-0000-0000-000005150000}"/>
    <cellStyle name="20 % - Markeringsfarve2 3 4 4 3" xfId="12762" xr:uid="{00000000-0005-0000-0000-000006150000}"/>
    <cellStyle name="20 % - Markeringsfarve2 3 4 4 3 2" xfId="29041" xr:uid="{00000000-0005-0000-0000-000007150000}"/>
    <cellStyle name="20 % - Markeringsfarve2 3 4 4 3 3" xfId="44002" xr:uid="{00000000-0005-0000-0000-000008150000}"/>
    <cellStyle name="20 % - Markeringsfarve2 3 4 4 4" xfId="22039" xr:uid="{00000000-0005-0000-0000-000009150000}"/>
    <cellStyle name="20 % - Markeringsfarve2 3 4 4 5" xfId="37005" xr:uid="{00000000-0005-0000-0000-00000A150000}"/>
    <cellStyle name="20 % - Markeringsfarve2 3 4 5" xfId="7710" xr:uid="{00000000-0005-0000-0000-00000B150000}"/>
    <cellStyle name="20 % - Markeringsfarve2 3 4 5 2" xfId="15575" xr:uid="{00000000-0005-0000-0000-00000C150000}"/>
    <cellStyle name="20 % - Markeringsfarve2 3 4 5 2 2" xfId="31851" xr:uid="{00000000-0005-0000-0000-00000D150000}"/>
    <cellStyle name="20 % - Markeringsfarve2 3 4 5 2 3" xfId="46810" xr:uid="{00000000-0005-0000-0000-00000E150000}"/>
    <cellStyle name="20 % - Markeringsfarve2 3 4 5 3" xfId="24849" xr:uid="{00000000-0005-0000-0000-00000F150000}"/>
    <cellStyle name="20 % - Markeringsfarve2 3 4 5 4" xfId="39813" xr:uid="{00000000-0005-0000-0000-000010150000}"/>
    <cellStyle name="20 % - Markeringsfarve2 3 4 6" xfId="12758" xr:uid="{00000000-0005-0000-0000-000011150000}"/>
    <cellStyle name="20 % - Markeringsfarve2 3 4 6 2" xfId="29037" xr:uid="{00000000-0005-0000-0000-000012150000}"/>
    <cellStyle name="20 % - Markeringsfarve2 3 4 6 3" xfId="43998" xr:uid="{00000000-0005-0000-0000-000013150000}"/>
    <cellStyle name="20 % - Markeringsfarve2 3 4 7" xfId="22035" xr:uid="{00000000-0005-0000-0000-000014150000}"/>
    <cellStyle name="20 % - Markeringsfarve2 3 4 8" xfId="37001" xr:uid="{00000000-0005-0000-0000-000015150000}"/>
    <cellStyle name="20 % - Markeringsfarve2 3 5" xfId="4278" xr:uid="{00000000-0005-0000-0000-000016150000}"/>
    <cellStyle name="20 % - Markeringsfarve2 3 5 2" xfId="4279" xr:uid="{00000000-0005-0000-0000-000017150000}"/>
    <cellStyle name="20 % - Markeringsfarve2 3 5 2 2" xfId="4280" xr:uid="{00000000-0005-0000-0000-000018150000}"/>
    <cellStyle name="20 % - Markeringsfarve2 3 5 2 2 2" xfId="9943" xr:uid="{00000000-0005-0000-0000-000019150000}"/>
    <cellStyle name="20 % - Markeringsfarve2 3 5 2 2 2 2" xfId="17798" xr:uid="{00000000-0005-0000-0000-00001A150000}"/>
    <cellStyle name="20 % - Markeringsfarve2 3 5 2 2 2 2 2" xfId="34074" xr:uid="{00000000-0005-0000-0000-00001B150000}"/>
    <cellStyle name="20 % - Markeringsfarve2 3 5 2 2 2 2 3" xfId="49033" xr:uid="{00000000-0005-0000-0000-00001C150000}"/>
    <cellStyle name="20 % - Markeringsfarve2 3 5 2 2 2 3" xfId="27072" xr:uid="{00000000-0005-0000-0000-00001D150000}"/>
    <cellStyle name="20 % - Markeringsfarve2 3 5 2 2 2 4" xfId="42036" xr:uid="{00000000-0005-0000-0000-00001E150000}"/>
    <cellStyle name="20 % - Markeringsfarve2 3 5 2 2 3" xfId="12765" xr:uid="{00000000-0005-0000-0000-00001F150000}"/>
    <cellStyle name="20 % - Markeringsfarve2 3 5 2 2 3 2" xfId="29044" xr:uid="{00000000-0005-0000-0000-000020150000}"/>
    <cellStyle name="20 % - Markeringsfarve2 3 5 2 2 3 3" xfId="44005" xr:uid="{00000000-0005-0000-0000-000021150000}"/>
    <cellStyle name="20 % - Markeringsfarve2 3 5 2 2 4" xfId="22042" xr:uid="{00000000-0005-0000-0000-000022150000}"/>
    <cellStyle name="20 % - Markeringsfarve2 3 5 2 2 5" xfId="37008" xr:uid="{00000000-0005-0000-0000-000023150000}"/>
    <cellStyle name="20 % - Markeringsfarve2 3 5 2 3" xfId="8508" xr:uid="{00000000-0005-0000-0000-000024150000}"/>
    <cellStyle name="20 % - Markeringsfarve2 3 5 2 3 2" xfId="16378" xr:uid="{00000000-0005-0000-0000-000025150000}"/>
    <cellStyle name="20 % - Markeringsfarve2 3 5 2 3 2 2" xfId="32654" xr:uid="{00000000-0005-0000-0000-000026150000}"/>
    <cellStyle name="20 % - Markeringsfarve2 3 5 2 3 2 3" xfId="47613" xr:uid="{00000000-0005-0000-0000-000027150000}"/>
    <cellStyle name="20 % - Markeringsfarve2 3 5 2 3 3" xfId="25652" xr:uid="{00000000-0005-0000-0000-000028150000}"/>
    <cellStyle name="20 % - Markeringsfarve2 3 5 2 3 4" xfId="40616" xr:uid="{00000000-0005-0000-0000-000029150000}"/>
    <cellStyle name="20 % - Markeringsfarve2 3 5 2 4" xfId="12764" xr:uid="{00000000-0005-0000-0000-00002A150000}"/>
    <cellStyle name="20 % - Markeringsfarve2 3 5 2 4 2" xfId="29043" xr:uid="{00000000-0005-0000-0000-00002B150000}"/>
    <cellStyle name="20 % - Markeringsfarve2 3 5 2 4 3" xfId="44004" xr:uid="{00000000-0005-0000-0000-00002C150000}"/>
    <cellStyle name="20 % - Markeringsfarve2 3 5 2 5" xfId="22041" xr:uid="{00000000-0005-0000-0000-00002D150000}"/>
    <cellStyle name="20 % - Markeringsfarve2 3 5 2 6" xfId="37007" xr:uid="{00000000-0005-0000-0000-00002E150000}"/>
    <cellStyle name="20 % - Markeringsfarve2 3 5 3" xfId="4281" xr:uid="{00000000-0005-0000-0000-00002F150000}"/>
    <cellStyle name="20 % - Markeringsfarve2 3 5 3 2" xfId="9174" xr:uid="{00000000-0005-0000-0000-000030150000}"/>
    <cellStyle name="20 % - Markeringsfarve2 3 5 3 2 2" xfId="17038" xr:uid="{00000000-0005-0000-0000-000031150000}"/>
    <cellStyle name="20 % - Markeringsfarve2 3 5 3 2 2 2" xfId="33314" xr:uid="{00000000-0005-0000-0000-000032150000}"/>
    <cellStyle name="20 % - Markeringsfarve2 3 5 3 2 2 3" xfId="48273" xr:uid="{00000000-0005-0000-0000-000033150000}"/>
    <cellStyle name="20 % - Markeringsfarve2 3 5 3 2 3" xfId="26312" xr:uid="{00000000-0005-0000-0000-000034150000}"/>
    <cellStyle name="20 % - Markeringsfarve2 3 5 3 2 4" xfId="41276" xr:uid="{00000000-0005-0000-0000-000035150000}"/>
    <cellStyle name="20 % - Markeringsfarve2 3 5 3 3" xfId="12766" xr:uid="{00000000-0005-0000-0000-000036150000}"/>
    <cellStyle name="20 % - Markeringsfarve2 3 5 3 3 2" xfId="29045" xr:uid="{00000000-0005-0000-0000-000037150000}"/>
    <cellStyle name="20 % - Markeringsfarve2 3 5 3 3 3" xfId="44006" xr:uid="{00000000-0005-0000-0000-000038150000}"/>
    <cellStyle name="20 % - Markeringsfarve2 3 5 3 4" xfId="22043" xr:uid="{00000000-0005-0000-0000-000039150000}"/>
    <cellStyle name="20 % - Markeringsfarve2 3 5 3 5" xfId="37009" xr:uid="{00000000-0005-0000-0000-00003A150000}"/>
    <cellStyle name="20 % - Markeringsfarve2 3 5 4" xfId="4282" xr:uid="{00000000-0005-0000-0000-00003B150000}"/>
    <cellStyle name="20 % - Markeringsfarve2 3 5 4 2" xfId="9930" xr:uid="{00000000-0005-0000-0000-00003C150000}"/>
    <cellStyle name="20 % - Markeringsfarve2 3 5 4 2 2" xfId="17785" xr:uid="{00000000-0005-0000-0000-00003D150000}"/>
    <cellStyle name="20 % - Markeringsfarve2 3 5 4 2 2 2" xfId="34061" xr:uid="{00000000-0005-0000-0000-00003E150000}"/>
    <cellStyle name="20 % - Markeringsfarve2 3 5 4 2 2 3" xfId="49020" xr:uid="{00000000-0005-0000-0000-00003F150000}"/>
    <cellStyle name="20 % - Markeringsfarve2 3 5 4 2 3" xfId="27059" xr:uid="{00000000-0005-0000-0000-000040150000}"/>
    <cellStyle name="20 % - Markeringsfarve2 3 5 4 2 4" xfId="42023" xr:uid="{00000000-0005-0000-0000-000041150000}"/>
    <cellStyle name="20 % - Markeringsfarve2 3 5 4 3" xfId="12767" xr:uid="{00000000-0005-0000-0000-000042150000}"/>
    <cellStyle name="20 % - Markeringsfarve2 3 5 4 3 2" xfId="29046" xr:uid="{00000000-0005-0000-0000-000043150000}"/>
    <cellStyle name="20 % - Markeringsfarve2 3 5 4 3 3" xfId="44007" xr:uid="{00000000-0005-0000-0000-000044150000}"/>
    <cellStyle name="20 % - Markeringsfarve2 3 5 4 4" xfId="22044" xr:uid="{00000000-0005-0000-0000-000045150000}"/>
    <cellStyle name="20 % - Markeringsfarve2 3 5 4 5" xfId="37010" xr:uid="{00000000-0005-0000-0000-000046150000}"/>
    <cellStyle name="20 % - Markeringsfarve2 3 5 5" xfId="7711" xr:uid="{00000000-0005-0000-0000-000047150000}"/>
    <cellStyle name="20 % - Markeringsfarve2 3 5 5 2" xfId="15576" xr:uid="{00000000-0005-0000-0000-000048150000}"/>
    <cellStyle name="20 % - Markeringsfarve2 3 5 5 2 2" xfId="31852" xr:uid="{00000000-0005-0000-0000-000049150000}"/>
    <cellStyle name="20 % - Markeringsfarve2 3 5 5 2 3" xfId="46811" xr:uid="{00000000-0005-0000-0000-00004A150000}"/>
    <cellStyle name="20 % - Markeringsfarve2 3 5 5 3" xfId="24850" xr:uid="{00000000-0005-0000-0000-00004B150000}"/>
    <cellStyle name="20 % - Markeringsfarve2 3 5 5 4" xfId="39814" xr:uid="{00000000-0005-0000-0000-00004C150000}"/>
    <cellStyle name="20 % - Markeringsfarve2 3 5 6" xfId="12763" xr:uid="{00000000-0005-0000-0000-00004D150000}"/>
    <cellStyle name="20 % - Markeringsfarve2 3 5 6 2" xfId="29042" xr:uid="{00000000-0005-0000-0000-00004E150000}"/>
    <cellStyle name="20 % - Markeringsfarve2 3 5 6 3" xfId="44003" xr:uid="{00000000-0005-0000-0000-00004F150000}"/>
    <cellStyle name="20 % - Markeringsfarve2 3 5 7" xfId="22040" xr:uid="{00000000-0005-0000-0000-000050150000}"/>
    <cellStyle name="20 % - Markeringsfarve2 3 5 8" xfId="37006" xr:uid="{00000000-0005-0000-0000-000051150000}"/>
    <cellStyle name="20 % - Markeringsfarve2 3 6" xfId="4283" xr:uid="{00000000-0005-0000-0000-000052150000}"/>
    <cellStyle name="20 % - Markeringsfarve2 3 6 2" xfId="4284" xr:uid="{00000000-0005-0000-0000-000053150000}"/>
    <cellStyle name="20 % - Markeringsfarve2 3 6 2 2" xfId="4285" xr:uid="{00000000-0005-0000-0000-000054150000}"/>
    <cellStyle name="20 % - Markeringsfarve2 3 6 2 2 2" xfId="10067" xr:uid="{00000000-0005-0000-0000-000055150000}"/>
    <cellStyle name="20 % - Markeringsfarve2 3 6 2 2 2 2" xfId="17922" xr:uid="{00000000-0005-0000-0000-000056150000}"/>
    <cellStyle name="20 % - Markeringsfarve2 3 6 2 2 2 2 2" xfId="34198" xr:uid="{00000000-0005-0000-0000-000057150000}"/>
    <cellStyle name="20 % - Markeringsfarve2 3 6 2 2 2 2 3" xfId="49157" xr:uid="{00000000-0005-0000-0000-000058150000}"/>
    <cellStyle name="20 % - Markeringsfarve2 3 6 2 2 2 3" xfId="27196" xr:uid="{00000000-0005-0000-0000-000059150000}"/>
    <cellStyle name="20 % - Markeringsfarve2 3 6 2 2 2 4" xfId="42160" xr:uid="{00000000-0005-0000-0000-00005A150000}"/>
    <cellStyle name="20 % - Markeringsfarve2 3 6 2 2 3" xfId="12770" xr:uid="{00000000-0005-0000-0000-00005B150000}"/>
    <cellStyle name="20 % - Markeringsfarve2 3 6 2 2 3 2" xfId="29049" xr:uid="{00000000-0005-0000-0000-00005C150000}"/>
    <cellStyle name="20 % - Markeringsfarve2 3 6 2 2 3 3" xfId="44010" xr:uid="{00000000-0005-0000-0000-00005D150000}"/>
    <cellStyle name="20 % - Markeringsfarve2 3 6 2 2 4" xfId="22047" xr:uid="{00000000-0005-0000-0000-00005E150000}"/>
    <cellStyle name="20 % - Markeringsfarve2 3 6 2 2 5" xfId="37013" xr:uid="{00000000-0005-0000-0000-00005F150000}"/>
    <cellStyle name="20 % - Markeringsfarve2 3 6 2 3" xfId="8613" xr:uid="{00000000-0005-0000-0000-000060150000}"/>
    <cellStyle name="20 % - Markeringsfarve2 3 6 2 3 2" xfId="16480" xr:uid="{00000000-0005-0000-0000-000061150000}"/>
    <cellStyle name="20 % - Markeringsfarve2 3 6 2 3 2 2" xfId="32756" xr:uid="{00000000-0005-0000-0000-000062150000}"/>
    <cellStyle name="20 % - Markeringsfarve2 3 6 2 3 2 3" xfId="47715" xr:uid="{00000000-0005-0000-0000-000063150000}"/>
    <cellStyle name="20 % - Markeringsfarve2 3 6 2 3 3" xfId="25754" xr:uid="{00000000-0005-0000-0000-000064150000}"/>
    <cellStyle name="20 % - Markeringsfarve2 3 6 2 3 4" xfId="40718" xr:uid="{00000000-0005-0000-0000-000065150000}"/>
    <cellStyle name="20 % - Markeringsfarve2 3 6 2 4" xfId="12769" xr:uid="{00000000-0005-0000-0000-000066150000}"/>
    <cellStyle name="20 % - Markeringsfarve2 3 6 2 4 2" xfId="29048" xr:uid="{00000000-0005-0000-0000-000067150000}"/>
    <cellStyle name="20 % - Markeringsfarve2 3 6 2 4 3" xfId="44009" xr:uid="{00000000-0005-0000-0000-000068150000}"/>
    <cellStyle name="20 % - Markeringsfarve2 3 6 2 5" xfId="22046" xr:uid="{00000000-0005-0000-0000-000069150000}"/>
    <cellStyle name="20 % - Markeringsfarve2 3 6 2 6" xfId="37012" xr:uid="{00000000-0005-0000-0000-00006A150000}"/>
    <cellStyle name="20 % - Markeringsfarve2 3 6 3" xfId="4286" xr:uid="{00000000-0005-0000-0000-00006B150000}"/>
    <cellStyle name="20 % - Markeringsfarve2 3 6 3 2" xfId="9344" xr:uid="{00000000-0005-0000-0000-00006C150000}"/>
    <cellStyle name="20 % - Markeringsfarve2 3 6 3 2 2" xfId="17207" xr:uid="{00000000-0005-0000-0000-00006D150000}"/>
    <cellStyle name="20 % - Markeringsfarve2 3 6 3 2 2 2" xfId="33483" xr:uid="{00000000-0005-0000-0000-00006E150000}"/>
    <cellStyle name="20 % - Markeringsfarve2 3 6 3 2 2 3" xfId="48442" xr:uid="{00000000-0005-0000-0000-00006F150000}"/>
    <cellStyle name="20 % - Markeringsfarve2 3 6 3 2 3" xfId="26481" xr:uid="{00000000-0005-0000-0000-000070150000}"/>
    <cellStyle name="20 % - Markeringsfarve2 3 6 3 2 4" xfId="41445" xr:uid="{00000000-0005-0000-0000-000071150000}"/>
    <cellStyle name="20 % - Markeringsfarve2 3 6 3 3" xfId="12771" xr:uid="{00000000-0005-0000-0000-000072150000}"/>
    <cellStyle name="20 % - Markeringsfarve2 3 6 3 3 2" xfId="29050" xr:uid="{00000000-0005-0000-0000-000073150000}"/>
    <cellStyle name="20 % - Markeringsfarve2 3 6 3 3 3" xfId="44011" xr:uid="{00000000-0005-0000-0000-000074150000}"/>
    <cellStyle name="20 % - Markeringsfarve2 3 6 3 4" xfId="22048" xr:uid="{00000000-0005-0000-0000-000075150000}"/>
    <cellStyle name="20 % - Markeringsfarve2 3 6 3 5" xfId="37014" xr:uid="{00000000-0005-0000-0000-000076150000}"/>
    <cellStyle name="20 % - Markeringsfarve2 3 6 4" xfId="4287" xr:uid="{00000000-0005-0000-0000-000077150000}"/>
    <cellStyle name="20 % - Markeringsfarve2 3 6 4 2" xfId="10527" xr:uid="{00000000-0005-0000-0000-000078150000}"/>
    <cellStyle name="20 % - Markeringsfarve2 3 6 4 2 2" xfId="18376" xr:uid="{00000000-0005-0000-0000-000079150000}"/>
    <cellStyle name="20 % - Markeringsfarve2 3 6 4 2 2 2" xfId="34652" xr:uid="{00000000-0005-0000-0000-00007A150000}"/>
    <cellStyle name="20 % - Markeringsfarve2 3 6 4 2 2 3" xfId="49611" xr:uid="{00000000-0005-0000-0000-00007B150000}"/>
    <cellStyle name="20 % - Markeringsfarve2 3 6 4 2 3" xfId="27650" xr:uid="{00000000-0005-0000-0000-00007C150000}"/>
    <cellStyle name="20 % - Markeringsfarve2 3 6 4 2 4" xfId="42614" xr:uid="{00000000-0005-0000-0000-00007D150000}"/>
    <cellStyle name="20 % - Markeringsfarve2 3 6 4 3" xfId="12772" xr:uid="{00000000-0005-0000-0000-00007E150000}"/>
    <cellStyle name="20 % - Markeringsfarve2 3 6 4 3 2" xfId="29051" xr:uid="{00000000-0005-0000-0000-00007F150000}"/>
    <cellStyle name="20 % - Markeringsfarve2 3 6 4 3 3" xfId="44012" xr:uid="{00000000-0005-0000-0000-000080150000}"/>
    <cellStyle name="20 % - Markeringsfarve2 3 6 4 4" xfId="22049" xr:uid="{00000000-0005-0000-0000-000081150000}"/>
    <cellStyle name="20 % - Markeringsfarve2 3 6 4 5" xfId="37015" xr:uid="{00000000-0005-0000-0000-000082150000}"/>
    <cellStyle name="20 % - Markeringsfarve2 3 6 5" xfId="7712" xr:uid="{00000000-0005-0000-0000-000083150000}"/>
    <cellStyle name="20 % - Markeringsfarve2 3 6 5 2" xfId="15577" xr:uid="{00000000-0005-0000-0000-000084150000}"/>
    <cellStyle name="20 % - Markeringsfarve2 3 6 5 2 2" xfId="31853" xr:uid="{00000000-0005-0000-0000-000085150000}"/>
    <cellStyle name="20 % - Markeringsfarve2 3 6 5 2 3" xfId="46812" xr:uid="{00000000-0005-0000-0000-000086150000}"/>
    <cellStyle name="20 % - Markeringsfarve2 3 6 5 3" xfId="24851" xr:uid="{00000000-0005-0000-0000-000087150000}"/>
    <cellStyle name="20 % - Markeringsfarve2 3 6 5 4" xfId="39815" xr:uid="{00000000-0005-0000-0000-000088150000}"/>
    <cellStyle name="20 % - Markeringsfarve2 3 6 6" xfId="12768" xr:uid="{00000000-0005-0000-0000-000089150000}"/>
    <cellStyle name="20 % - Markeringsfarve2 3 6 6 2" xfId="29047" xr:uid="{00000000-0005-0000-0000-00008A150000}"/>
    <cellStyle name="20 % - Markeringsfarve2 3 6 6 3" xfId="44008" xr:uid="{00000000-0005-0000-0000-00008B150000}"/>
    <cellStyle name="20 % - Markeringsfarve2 3 6 7" xfId="22045" xr:uid="{00000000-0005-0000-0000-00008C150000}"/>
    <cellStyle name="20 % - Markeringsfarve2 3 6 8" xfId="37011" xr:uid="{00000000-0005-0000-0000-00008D150000}"/>
    <cellStyle name="20 % - Markeringsfarve2 3 7" xfId="4288" xr:uid="{00000000-0005-0000-0000-00008E150000}"/>
    <cellStyle name="20 % - Markeringsfarve2 3 7 2" xfId="4289" xr:uid="{00000000-0005-0000-0000-00008F150000}"/>
    <cellStyle name="20 % - Markeringsfarve2 3 7 2 2" xfId="4290" xr:uid="{00000000-0005-0000-0000-000090150000}"/>
    <cellStyle name="20 % - Markeringsfarve2 3 7 2 2 2" xfId="10184" xr:uid="{00000000-0005-0000-0000-000091150000}"/>
    <cellStyle name="20 % - Markeringsfarve2 3 7 2 2 2 2" xfId="18039" xr:uid="{00000000-0005-0000-0000-000092150000}"/>
    <cellStyle name="20 % - Markeringsfarve2 3 7 2 2 2 2 2" xfId="34315" xr:uid="{00000000-0005-0000-0000-000093150000}"/>
    <cellStyle name="20 % - Markeringsfarve2 3 7 2 2 2 2 3" xfId="49274" xr:uid="{00000000-0005-0000-0000-000094150000}"/>
    <cellStyle name="20 % - Markeringsfarve2 3 7 2 2 2 3" xfId="27313" xr:uid="{00000000-0005-0000-0000-000095150000}"/>
    <cellStyle name="20 % - Markeringsfarve2 3 7 2 2 2 4" xfId="42277" xr:uid="{00000000-0005-0000-0000-000096150000}"/>
    <cellStyle name="20 % - Markeringsfarve2 3 7 2 2 3" xfId="12775" xr:uid="{00000000-0005-0000-0000-000097150000}"/>
    <cellStyle name="20 % - Markeringsfarve2 3 7 2 2 3 2" xfId="29054" xr:uid="{00000000-0005-0000-0000-000098150000}"/>
    <cellStyle name="20 % - Markeringsfarve2 3 7 2 2 3 3" xfId="44015" xr:uid="{00000000-0005-0000-0000-000099150000}"/>
    <cellStyle name="20 % - Markeringsfarve2 3 7 2 2 4" xfId="22052" xr:uid="{00000000-0005-0000-0000-00009A150000}"/>
    <cellStyle name="20 % - Markeringsfarve2 3 7 2 2 5" xfId="37018" xr:uid="{00000000-0005-0000-0000-00009B150000}"/>
    <cellStyle name="20 % - Markeringsfarve2 3 7 2 3" xfId="8712" xr:uid="{00000000-0005-0000-0000-00009C150000}"/>
    <cellStyle name="20 % - Markeringsfarve2 3 7 2 3 2" xfId="16579" xr:uid="{00000000-0005-0000-0000-00009D150000}"/>
    <cellStyle name="20 % - Markeringsfarve2 3 7 2 3 2 2" xfId="32855" xr:uid="{00000000-0005-0000-0000-00009E150000}"/>
    <cellStyle name="20 % - Markeringsfarve2 3 7 2 3 2 3" xfId="47814" xr:uid="{00000000-0005-0000-0000-00009F150000}"/>
    <cellStyle name="20 % - Markeringsfarve2 3 7 2 3 3" xfId="25853" xr:uid="{00000000-0005-0000-0000-0000A0150000}"/>
    <cellStyle name="20 % - Markeringsfarve2 3 7 2 3 4" xfId="40817" xr:uid="{00000000-0005-0000-0000-0000A1150000}"/>
    <cellStyle name="20 % - Markeringsfarve2 3 7 2 4" xfId="12774" xr:uid="{00000000-0005-0000-0000-0000A2150000}"/>
    <cellStyle name="20 % - Markeringsfarve2 3 7 2 4 2" xfId="29053" xr:uid="{00000000-0005-0000-0000-0000A3150000}"/>
    <cellStyle name="20 % - Markeringsfarve2 3 7 2 4 3" xfId="44014" xr:uid="{00000000-0005-0000-0000-0000A4150000}"/>
    <cellStyle name="20 % - Markeringsfarve2 3 7 2 5" xfId="22051" xr:uid="{00000000-0005-0000-0000-0000A5150000}"/>
    <cellStyle name="20 % - Markeringsfarve2 3 7 2 6" xfId="37017" xr:uid="{00000000-0005-0000-0000-0000A6150000}"/>
    <cellStyle name="20 % - Markeringsfarve2 3 7 3" xfId="4291" xr:uid="{00000000-0005-0000-0000-0000A7150000}"/>
    <cellStyle name="20 % - Markeringsfarve2 3 7 3 2" xfId="9461" xr:uid="{00000000-0005-0000-0000-0000A8150000}"/>
    <cellStyle name="20 % - Markeringsfarve2 3 7 3 2 2" xfId="17324" xr:uid="{00000000-0005-0000-0000-0000A9150000}"/>
    <cellStyle name="20 % - Markeringsfarve2 3 7 3 2 2 2" xfId="33600" xr:uid="{00000000-0005-0000-0000-0000AA150000}"/>
    <cellStyle name="20 % - Markeringsfarve2 3 7 3 2 2 3" xfId="48559" xr:uid="{00000000-0005-0000-0000-0000AB150000}"/>
    <cellStyle name="20 % - Markeringsfarve2 3 7 3 2 3" xfId="26598" xr:uid="{00000000-0005-0000-0000-0000AC150000}"/>
    <cellStyle name="20 % - Markeringsfarve2 3 7 3 2 4" xfId="41562" xr:uid="{00000000-0005-0000-0000-0000AD150000}"/>
    <cellStyle name="20 % - Markeringsfarve2 3 7 3 3" xfId="12776" xr:uid="{00000000-0005-0000-0000-0000AE150000}"/>
    <cellStyle name="20 % - Markeringsfarve2 3 7 3 3 2" xfId="29055" xr:uid="{00000000-0005-0000-0000-0000AF150000}"/>
    <cellStyle name="20 % - Markeringsfarve2 3 7 3 3 3" xfId="44016" xr:uid="{00000000-0005-0000-0000-0000B0150000}"/>
    <cellStyle name="20 % - Markeringsfarve2 3 7 3 4" xfId="22053" xr:uid="{00000000-0005-0000-0000-0000B1150000}"/>
    <cellStyle name="20 % - Markeringsfarve2 3 7 3 5" xfId="37019" xr:uid="{00000000-0005-0000-0000-0000B2150000}"/>
    <cellStyle name="20 % - Markeringsfarve2 3 7 4" xfId="4292" xr:uid="{00000000-0005-0000-0000-0000B3150000}"/>
    <cellStyle name="20 % - Markeringsfarve2 3 7 4 2" xfId="9290" xr:uid="{00000000-0005-0000-0000-0000B4150000}"/>
    <cellStyle name="20 % - Markeringsfarve2 3 7 4 2 2" xfId="17154" xr:uid="{00000000-0005-0000-0000-0000B5150000}"/>
    <cellStyle name="20 % - Markeringsfarve2 3 7 4 2 2 2" xfId="33430" xr:uid="{00000000-0005-0000-0000-0000B6150000}"/>
    <cellStyle name="20 % - Markeringsfarve2 3 7 4 2 2 3" xfId="48389" xr:uid="{00000000-0005-0000-0000-0000B7150000}"/>
    <cellStyle name="20 % - Markeringsfarve2 3 7 4 2 3" xfId="26428" xr:uid="{00000000-0005-0000-0000-0000B8150000}"/>
    <cellStyle name="20 % - Markeringsfarve2 3 7 4 2 4" xfId="41392" xr:uid="{00000000-0005-0000-0000-0000B9150000}"/>
    <cellStyle name="20 % - Markeringsfarve2 3 7 4 3" xfId="12777" xr:uid="{00000000-0005-0000-0000-0000BA150000}"/>
    <cellStyle name="20 % - Markeringsfarve2 3 7 4 3 2" xfId="29056" xr:uid="{00000000-0005-0000-0000-0000BB150000}"/>
    <cellStyle name="20 % - Markeringsfarve2 3 7 4 3 3" xfId="44017" xr:uid="{00000000-0005-0000-0000-0000BC150000}"/>
    <cellStyle name="20 % - Markeringsfarve2 3 7 4 4" xfId="22054" xr:uid="{00000000-0005-0000-0000-0000BD150000}"/>
    <cellStyle name="20 % - Markeringsfarve2 3 7 4 5" xfId="37020" xr:uid="{00000000-0005-0000-0000-0000BE150000}"/>
    <cellStyle name="20 % - Markeringsfarve2 3 7 5" xfId="7713" xr:uid="{00000000-0005-0000-0000-0000BF150000}"/>
    <cellStyle name="20 % - Markeringsfarve2 3 7 5 2" xfId="15578" xr:uid="{00000000-0005-0000-0000-0000C0150000}"/>
    <cellStyle name="20 % - Markeringsfarve2 3 7 5 2 2" xfId="31854" xr:uid="{00000000-0005-0000-0000-0000C1150000}"/>
    <cellStyle name="20 % - Markeringsfarve2 3 7 5 2 3" xfId="46813" xr:uid="{00000000-0005-0000-0000-0000C2150000}"/>
    <cellStyle name="20 % - Markeringsfarve2 3 7 5 3" xfId="24852" xr:uid="{00000000-0005-0000-0000-0000C3150000}"/>
    <cellStyle name="20 % - Markeringsfarve2 3 7 5 4" xfId="39816" xr:uid="{00000000-0005-0000-0000-0000C4150000}"/>
    <cellStyle name="20 % - Markeringsfarve2 3 7 6" xfId="12773" xr:uid="{00000000-0005-0000-0000-0000C5150000}"/>
    <cellStyle name="20 % - Markeringsfarve2 3 7 6 2" xfId="29052" xr:uid="{00000000-0005-0000-0000-0000C6150000}"/>
    <cellStyle name="20 % - Markeringsfarve2 3 7 6 3" xfId="44013" xr:uid="{00000000-0005-0000-0000-0000C7150000}"/>
    <cellStyle name="20 % - Markeringsfarve2 3 7 7" xfId="22050" xr:uid="{00000000-0005-0000-0000-0000C8150000}"/>
    <cellStyle name="20 % - Markeringsfarve2 3 7 8" xfId="37016" xr:uid="{00000000-0005-0000-0000-0000C9150000}"/>
    <cellStyle name="20 % - Markeringsfarve2 3 8" xfId="4293" xr:uid="{00000000-0005-0000-0000-0000CA150000}"/>
    <cellStyle name="20 % - Markeringsfarve2 3 8 2" xfId="4294" xr:uid="{00000000-0005-0000-0000-0000CB150000}"/>
    <cellStyle name="20 % - Markeringsfarve2 3 8 2 2" xfId="4295" xr:uid="{00000000-0005-0000-0000-0000CC150000}"/>
    <cellStyle name="20 % - Markeringsfarve2 3 8 2 2 2" xfId="10298" xr:uid="{00000000-0005-0000-0000-0000CD150000}"/>
    <cellStyle name="20 % - Markeringsfarve2 3 8 2 2 2 2" xfId="18153" xr:uid="{00000000-0005-0000-0000-0000CE150000}"/>
    <cellStyle name="20 % - Markeringsfarve2 3 8 2 2 2 2 2" xfId="34429" xr:uid="{00000000-0005-0000-0000-0000CF150000}"/>
    <cellStyle name="20 % - Markeringsfarve2 3 8 2 2 2 2 3" xfId="49388" xr:uid="{00000000-0005-0000-0000-0000D0150000}"/>
    <cellStyle name="20 % - Markeringsfarve2 3 8 2 2 2 3" xfId="27427" xr:uid="{00000000-0005-0000-0000-0000D1150000}"/>
    <cellStyle name="20 % - Markeringsfarve2 3 8 2 2 2 4" xfId="42391" xr:uid="{00000000-0005-0000-0000-0000D2150000}"/>
    <cellStyle name="20 % - Markeringsfarve2 3 8 2 2 3" xfId="12780" xr:uid="{00000000-0005-0000-0000-0000D3150000}"/>
    <cellStyle name="20 % - Markeringsfarve2 3 8 2 2 3 2" xfId="29059" xr:uid="{00000000-0005-0000-0000-0000D4150000}"/>
    <cellStyle name="20 % - Markeringsfarve2 3 8 2 2 3 3" xfId="44020" xr:uid="{00000000-0005-0000-0000-0000D5150000}"/>
    <cellStyle name="20 % - Markeringsfarve2 3 8 2 2 4" xfId="22057" xr:uid="{00000000-0005-0000-0000-0000D6150000}"/>
    <cellStyle name="20 % - Markeringsfarve2 3 8 2 2 5" xfId="37023" xr:uid="{00000000-0005-0000-0000-0000D7150000}"/>
    <cellStyle name="20 % - Markeringsfarve2 3 8 2 3" xfId="8810" xr:uid="{00000000-0005-0000-0000-0000D8150000}"/>
    <cellStyle name="20 % - Markeringsfarve2 3 8 2 3 2" xfId="16677" xr:uid="{00000000-0005-0000-0000-0000D9150000}"/>
    <cellStyle name="20 % - Markeringsfarve2 3 8 2 3 2 2" xfId="32953" xr:uid="{00000000-0005-0000-0000-0000DA150000}"/>
    <cellStyle name="20 % - Markeringsfarve2 3 8 2 3 2 3" xfId="47912" xr:uid="{00000000-0005-0000-0000-0000DB150000}"/>
    <cellStyle name="20 % - Markeringsfarve2 3 8 2 3 3" xfId="25951" xr:uid="{00000000-0005-0000-0000-0000DC150000}"/>
    <cellStyle name="20 % - Markeringsfarve2 3 8 2 3 4" xfId="40915" xr:uid="{00000000-0005-0000-0000-0000DD150000}"/>
    <cellStyle name="20 % - Markeringsfarve2 3 8 2 4" xfId="12779" xr:uid="{00000000-0005-0000-0000-0000DE150000}"/>
    <cellStyle name="20 % - Markeringsfarve2 3 8 2 4 2" xfId="29058" xr:uid="{00000000-0005-0000-0000-0000DF150000}"/>
    <cellStyle name="20 % - Markeringsfarve2 3 8 2 4 3" xfId="44019" xr:uid="{00000000-0005-0000-0000-0000E0150000}"/>
    <cellStyle name="20 % - Markeringsfarve2 3 8 2 5" xfId="22056" xr:uid="{00000000-0005-0000-0000-0000E1150000}"/>
    <cellStyle name="20 % - Markeringsfarve2 3 8 2 6" xfId="37022" xr:uid="{00000000-0005-0000-0000-0000E2150000}"/>
    <cellStyle name="20 % - Markeringsfarve2 3 8 3" xfId="4296" xr:uid="{00000000-0005-0000-0000-0000E3150000}"/>
    <cellStyle name="20 % - Markeringsfarve2 3 8 3 2" xfId="9576" xr:uid="{00000000-0005-0000-0000-0000E4150000}"/>
    <cellStyle name="20 % - Markeringsfarve2 3 8 3 2 2" xfId="17439" xr:uid="{00000000-0005-0000-0000-0000E5150000}"/>
    <cellStyle name="20 % - Markeringsfarve2 3 8 3 2 2 2" xfId="33715" xr:uid="{00000000-0005-0000-0000-0000E6150000}"/>
    <cellStyle name="20 % - Markeringsfarve2 3 8 3 2 2 3" xfId="48674" xr:uid="{00000000-0005-0000-0000-0000E7150000}"/>
    <cellStyle name="20 % - Markeringsfarve2 3 8 3 2 3" xfId="26713" xr:uid="{00000000-0005-0000-0000-0000E8150000}"/>
    <cellStyle name="20 % - Markeringsfarve2 3 8 3 2 4" xfId="41677" xr:uid="{00000000-0005-0000-0000-0000E9150000}"/>
    <cellStyle name="20 % - Markeringsfarve2 3 8 3 3" xfId="12781" xr:uid="{00000000-0005-0000-0000-0000EA150000}"/>
    <cellStyle name="20 % - Markeringsfarve2 3 8 3 3 2" xfId="29060" xr:uid="{00000000-0005-0000-0000-0000EB150000}"/>
    <cellStyle name="20 % - Markeringsfarve2 3 8 3 3 3" xfId="44021" xr:uid="{00000000-0005-0000-0000-0000EC150000}"/>
    <cellStyle name="20 % - Markeringsfarve2 3 8 3 4" xfId="22058" xr:uid="{00000000-0005-0000-0000-0000ED150000}"/>
    <cellStyle name="20 % - Markeringsfarve2 3 8 3 5" xfId="37024" xr:uid="{00000000-0005-0000-0000-0000EE150000}"/>
    <cellStyle name="20 % - Markeringsfarve2 3 8 4" xfId="4297" xr:uid="{00000000-0005-0000-0000-0000EF150000}"/>
    <cellStyle name="20 % - Markeringsfarve2 3 8 4 2" xfId="9291" xr:uid="{00000000-0005-0000-0000-0000F0150000}"/>
    <cellStyle name="20 % - Markeringsfarve2 3 8 4 2 2" xfId="17155" xr:uid="{00000000-0005-0000-0000-0000F1150000}"/>
    <cellStyle name="20 % - Markeringsfarve2 3 8 4 2 2 2" xfId="33431" xr:uid="{00000000-0005-0000-0000-0000F2150000}"/>
    <cellStyle name="20 % - Markeringsfarve2 3 8 4 2 2 3" xfId="48390" xr:uid="{00000000-0005-0000-0000-0000F3150000}"/>
    <cellStyle name="20 % - Markeringsfarve2 3 8 4 2 3" xfId="26429" xr:uid="{00000000-0005-0000-0000-0000F4150000}"/>
    <cellStyle name="20 % - Markeringsfarve2 3 8 4 2 4" xfId="41393" xr:uid="{00000000-0005-0000-0000-0000F5150000}"/>
    <cellStyle name="20 % - Markeringsfarve2 3 8 4 3" xfId="12782" xr:uid="{00000000-0005-0000-0000-0000F6150000}"/>
    <cellStyle name="20 % - Markeringsfarve2 3 8 4 3 2" xfId="29061" xr:uid="{00000000-0005-0000-0000-0000F7150000}"/>
    <cellStyle name="20 % - Markeringsfarve2 3 8 4 3 3" xfId="44022" xr:uid="{00000000-0005-0000-0000-0000F8150000}"/>
    <cellStyle name="20 % - Markeringsfarve2 3 8 4 4" xfId="22059" xr:uid="{00000000-0005-0000-0000-0000F9150000}"/>
    <cellStyle name="20 % - Markeringsfarve2 3 8 4 5" xfId="37025" xr:uid="{00000000-0005-0000-0000-0000FA150000}"/>
    <cellStyle name="20 % - Markeringsfarve2 3 8 5" xfId="7714" xr:uid="{00000000-0005-0000-0000-0000FB150000}"/>
    <cellStyle name="20 % - Markeringsfarve2 3 8 5 2" xfId="15579" xr:uid="{00000000-0005-0000-0000-0000FC150000}"/>
    <cellStyle name="20 % - Markeringsfarve2 3 8 5 2 2" xfId="31855" xr:uid="{00000000-0005-0000-0000-0000FD150000}"/>
    <cellStyle name="20 % - Markeringsfarve2 3 8 5 2 3" xfId="46814" xr:uid="{00000000-0005-0000-0000-0000FE150000}"/>
    <cellStyle name="20 % - Markeringsfarve2 3 8 5 3" xfId="24853" xr:uid="{00000000-0005-0000-0000-0000FF150000}"/>
    <cellStyle name="20 % - Markeringsfarve2 3 8 5 4" xfId="39817" xr:uid="{00000000-0005-0000-0000-000000160000}"/>
    <cellStyle name="20 % - Markeringsfarve2 3 8 6" xfId="12778" xr:uid="{00000000-0005-0000-0000-000001160000}"/>
    <cellStyle name="20 % - Markeringsfarve2 3 8 6 2" xfId="29057" xr:uid="{00000000-0005-0000-0000-000002160000}"/>
    <cellStyle name="20 % - Markeringsfarve2 3 8 6 3" xfId="44018" xr:uid="{00000000-0005-0000-0000-000003160000}"/>
    <cellStyle name="20 % - Markeringsfarve2 3 8 7" xfId="22055" xr:uid="{00000000-0005-0000-0000-000004160000}"/>
    <cellStyle name="20 % - Markeringsfarve2 3 8 8" xfId="37021" xr:uid="{00000000-0005-0000-0000-000005160000}"/>
    <cellStyle name="20 % - Markeringsfarve2 3 9" xfId="4298" xr:uid="{00000000-0005-0000-0000-000006160000}"/>
    <cellStyle name="20 % - Markeringsfarve2 3 9 2" xfId="4299" xr:uid="{00000000-0005-0000-0000-000007160000}"/>
    <cellStyle name="20 % - Markeringsfarve2 3 9 2 2" xfId="9711" xr:uid="{00000000-0005-0000-0000-000008160000}"/>
    <cellStyle name="20 % - Markeringsfarve2 3 9 2 2 2" xfId="17565" xr:uid="{00000000-0005-0000-0000-000009160000}"/>
    <cellStyle name="20 % - Markeringsfarve2 3 9 2 2 2 2" xfId="33841" xr:uid="{00000000-0005-0000-0000-00000A160000}"/>
    <cellStyle name="20 % - Markeringsfarve2 3 9 2 2 2 3" xfId="48800" xr:uid="{00000000-0005-0000-0000-00000B160000}"/>
    <cellStyle name="20 % - Markeringsfarve2 3 9 2 2 3" xfId="26839" xr:uid="{00000000-0005-0000-0000-00000C160000}"/>
    <cellStyle name="20 % - Markeringsfarve2 3 9 2 2 4" xfId="41803" xr:uid="{00000000-0005-0000-0000-00000D160000}"/>
    <cellStyle name="20 % - Markeringsfarve2 3 9 2 3" xfId="12784" xr:uid="{00000000-0005-0000-0000-00000E160000}"/>
    <cellStyle name="20 % - Markeringsfarve2 3 9 2 3 2" xfId="29063" xr:uid="{00000000-0005-0000-0000-00000F160000}"/>
    <cellStyle name="20 % - Markeringsfarve2 3 9 2 3 3" xfId="44024" xr:uid="{00000000-0005-0000-0000-000010160000}"/>
    <cellStyle name="20 % - Markeringsfarve2 3 9 2 4" xfId="22061" xr:uid="{00000000-0005-0000-0000-000011160000}"/>
    <cellStyle name="20 % - Markeringsfarve2 3 9 2 5" xfId="37027" xr:uid="{00000000-0005-0000-0000-000012160000}"/>
    <cellStyle name="20 % - Markeringsfarve2 3 9 3" xfId="8312" xr:uid="{00000000-0005-0000-0000-000013160000}"/>
    <cellStyle name="20 % - Markeringsfarve2 3 9 3 2" xfId="16182" xr:uid="{00000000-0005-0000-0000-000014160000}"/>
    <cellStyle name="20 % - Markeringsfarve2 3 9 3 2 2" xfId="32458" xr:uid="{00000000-0005-0000-0000-000015160000}"/>
    <cellStyle name="20 % - Markeringsfarve2 3 9 3 2 3" xfId="47417" xr:uid="{00000000-0005-0000-0000-000016160000}"/>
    <cellStyle name="20 % - Markeringsfarve2 3 9 3 3" xfId="25456" xr:uid="{00000000-0005-0000-0000-000017160000}"/>
    <cellStyle name="20 % - Markeringsfarve2 3 9 3 4" xfId="40420" xr:uid="{00000000-0005-0000-0000-000018160000}"/>
    <cellStyle name="20 % - Markeringsfarve2 3 9 4" xfId="12783" xr:uid="{00000000-0005-0000-0000-000019160000}"/>
    <cellStyle name="20 % - Markeringsfarve2 3 9 4 2" xfId="29062" xr:uid="{00000000-0005-0000-0000-00001A160000}"/>
    <cellStyle name="20 % - Markeringsfarve2 3 9 4 3" xfId="44023" xr:uid="{00000000-0005-0000-0000-00001B160000}"/>
    <cellStyle name="20 % - Markeringsfarve2 3 9 5" xfId="22060" xr:uid="{00000000-0005-0000-0000-00001C160000}"/>
    <cellStyle name="20 % - Markeringsfarve2 3 9 6" xfId="37026" xr:uid="{00000000-0005-0000-0000-00001D160000}"/>
    <cellStyle name="20 % - Markeringsfarve2 4" xfId="4300" xr:uid="{00000000-0005-0000-0000-00001E160000}"/>
    <cellStyle name="20 % - Markeringsfarve2 4 10" xfId="7715" xr:uid="{00000000-0005-0000-0000-00001F160000}"/>
    <cellStyle name="20 % - Markeringsfarve2 4 10 2" xfId="15580" xr:uid="{00000000-0005-0000-0000-000020160000}"/>
    <cellStyle name="20 % - Markeringsfarve2 4 10 2 2" xfId="31856" xr:uid="{00000000-0005-0000-0000-000021160000}"/>
    <cellStyle name="20 % - Markeringsfarve2 4 10 2 3" xfId="46815" xr:uid="{00000000-0005-0000-0000-000022160000}"/>
    <cellStyle name="20 % - Markeringsfarve2 4 10 3" xfId="24854" xr:uid="{00000000-0005-0000-0000-000023160000}"/>
    <cellStyle name="20 % - Markeringsfarve2 4 10 4" xfId="39818" xr:uid="{00000000-0005-0000-0000-000024160000}"/>
    <cellStyle name="20 % - Markeringsfarve2 4 11" xfId="12785" xr:uid="{00000000-0005-0000-0000-000025160000}"/>
    <cellStyle name="20 % - Markeringsfarve2 4 11 2" xfId="29064" xr:uid="{00000000-0005-0000-0000-000026160000}"/>
    <cellStyle name="20 % - Markeringsfarve2 4 11 3" xfId="44025" xr:uid="{00000000-0005-0000-0000-000027160000}"/>
    <cellStyle name="20 % - Markeringsfarve2 4 12" xfId="22062" xr:uid="{00000000-0005-0000-0000-000028160000}"/>
    <cellStyle name="20 % - Markeringsfarve2 4 13" xfId="37028" xr:uid="{00000000-0005-0000-0000-000029160000}"/>
    <cellStyle name="20 % - Markeringsfarve2 4 2" xfId="4301" xr:uid="{00000000-0005-0000-0000-00002A160000}"/>
    <cellStyle name="20 % - Markeringsfarve2 4 2 2" xfId="4302" xr:uid="{00000000-0005-0000-0000-00002B160000}"/>
    <cellStyle name="20 % - Markeringsfarve2 4 2 2 2" xfId="4303" xr:uid="{00000000-0005-0000-0000-00002C160000}"/>
    <cellStyle name="20 % - Markeringsfarve2 4 2 2 2 2" xfId="9854" xr:uid="{00000000-0005-0000-0000-00002D160000}"/>
    <cellStyle name="20 % - Markeringsfarve2 4 2 2 2 2 2" xfId="17709" xr:uid="{00000000-0005-0000-0000-00002E160000}"/>
    <cellStyle name="20 % - Markeringsfarve2 4 2 2 2 2 2 2" xfId="33985" xr:uid="{00000000-0005-0000-0000-00002F160000}"/>
    <cellStyle name="20 % - Markeringsfarve2 4 2 2 2 2 2 3" xfId="48944" xr:uid="{00000000-0005-0000-0000-000030160000}"/>
    <cellStyle name="20 % - Markeringsfarve2 4 2 2 2 2 3" xfId="26983" xr:uid="{00000000-0005-0000-0000-000031160000}"/>
    <cellStyle name="20 % - Markeringsfarve2 4 2 2 2 2 4" xfId="41947" xr:uid="{00000000-0005-0000-0000-000032160000}"/>
    <cellStyle name="20 % - Markeringsfarve2 4 2 2 2 3" xfId="12788" xr:uid="{00000000-0005-0000-0000-000033160000}"/>
    <cellStyle name="20 % - Markeringsfarve2 4 2 2 2 3 2" xfId="29067" xr:uid="{00000000-0005-0000-0000-000034160000}"/>
    <cellStyle name="20 % - Markeringsfarve2 4 2 2 2 3 3" xfId="44028" xr:uid="{00000000-0005-0000-0000-000035160000}"/>
    <cellStyle name="20 % - Markeringsfarve2 4 2 2 2 4" xfId="22065" xr:uid="{00000000-0005-0000-0000-000036160000}"/>
    <cellStyle name="20 % - Markeringsfarve2 4 2 2 2 5" xfId="37031" xr:uid="{00000000-0005-0000-0000-000037160000}"/>
    <cellStyle name="20 % - Markeringsfarve2 4 2 2 3" xfId="8432" xr:uid="{00000000-0005-0000-0000-000038160000}"/>
    <cellStyle name="20 % - Markeringsfarve2 4 2 2 3 2" xfId="16302" xr:uid="{00000000-0005-0000-0000-000039160000}"/>
    <cellStyle name="20 % - Markeringsfarve2 4 2 2 3 2 2" xfId="32578" xr:uid="{00000000-0005-0000-0000-00003A160000}"/>
    <cellStyle name="20 % - Markeringsfarve2 4 2 2 3 2 3" xfId="47537" xr:uid="{00000000-0005-0000-0000-00003B160000}"/>
    <cellStyle name="20 % - Markeringsfarve2 4 2 2 3 3" xfId="25576" xr:uid="{00000000-0005-0000-0000-00003C160000}"/>
    <cellStyle name="20 % - Markeringsfarve2 4 2 2 3 4" xfId="40540" xr:uid="{00000000-0005-0000-0000-00003D160000}"/>
    <cellStyle name="20 % - Markeringsfarve2 4 2 2 4" xfId="12787" xr:uid="{00000000-0005-0000-0000-00003E160000}"/>
    <cellStyle name="20 % - Markeringsfarve2 4 2 2 4 2" xfId="29066" xr:uid="{00000000-0005-0000-0000-00003F160000}"/>
    <cellStyle name="20 % - Markeringsfarve2 4 2 2 4 3" xfId="44027" xr:uid="{00000000-0005-0000-0000-000040160000}"/>
    <cellStyle name="20 % - Markeringsfarve2 4 2 2 5" xfId="22064" xr:uid="{00000000-0005-0000-0000-000041160000}"/>
    <cellStyle name="20 % - Markeringsfarve2 4 2 2 6" xfId="37030" xr:uid="{00000000-0005-0000-0000-000042160000}"/>
    <cellStyle name="20 % - Markeringsfarve2 4 2 3" xfId="4304" xr:uid="{00000000-0005-0000-0000-000043160000}"/>
    <cellStyle name="20 % - Markeringsfarve2 4 2 3 2" xfId="9085" xr:uid="{00000000-0005-0000-0000-000044160000}"/>
    <cellStyle name="20 % - Markeringsfarve2 4 2 3 2 2" xfId="16949" xr:uid="{00000000-0005-0000-0000-000045160000}"/>
    <cellStyle name="20 % - Markeringsfarve2 4 2 3 2 2 2" xfId="33225" xr:uid="{00000000-0005-0000-0000-000046160000}"/>
    <cellStyle name="20 % - Markeringsfarve2 4 2 3 2 2 3" xfId="48184" xr:uid="{00000000-0005-0000-0000-000047160000}"/>
    <cellStyle name="20 % - Markeringsfarve2 4 2 3 2 3" xfId="26223" xr:uid="{00000000-0005-0000-0000-000048160000}"/>
    <cellStyle name="20 % - Markeringsfarve2 4 2 3 2 4" xfId="41187" xr:uid="{00000000-0005-0000-0000-000049160000}"/>
    <cellStyle name="20 % - Markeringsfarve2 4 2 3 3" xfId="12789" xr:uid="{00000000-0005-0000-0000-00004A160000}"/>
    <cellStyle name="20 % - Markeringsfarve2 4 2 3 3 2" xfId="29068" xr:uid="{00000000-0005-0000-0000-00004B160000}"/>
    <cellStyle name="20 % - Markeringsfarve2 4 2 3 3 3" xfId="44029" xr:uid="{00000000-0005-0000-0000-00004C160000}"/>
    <cellStyle name="20 % - Markeringsfarve2 4 2 3 4" xfId="22066" xr:uid="{00000000-0005-0000-0000-00004D160000}"/>
    <cellStyle name="20 % - Markeringsfarve2 4 2 3 5" xfId="37032" xr:uid="{00000000-0005-0000-0000-00004E160000}"/>
    <cellStyle name="20 % - Markeringsfarve2 4 2 4" xfId="4305" xr:uid="{00000000-0005-0000-0000-00004F160000}"/>
    <cellStyle name="20 % - Markeringsfarve2 4 2 4 2" xfId="10716" xr:uid="{00000000-0005-0000-0000-000050160000}"/>
    <cellStyle name="20 % - Markeringsfarve2 4 2 4 2 2" xfId="18560" xr:uid="{00000000-0005-0000-0000-000051160000}"/>
    <cellStyle name="20 % - Markeringsfarve2 4 2 4 2 2 2" xfId="34836" xr:uid="{00000000-0005-0000-0000-000052160000}"/>
    <cellStyle name="20 % - Markeringsfarve2 4 2 4 2 2 3" xfId="49795" xr:uid="{00000000-0005-0000-0000-000053160000}"/>
    <cellStyle name="20 % - Markeringsfarve2 4 2 4 2 3" xfId="27834" xr:uid="{00000000-0005-0000-0000-000054160000}"/>
    <cellStyle name="20 % - Markeringsfarve2 4 2 4 2 4" xfId="42798" xr:uid="{00000000-0005-0000-0000-000055160000}"/>
    <cellStyle name="20 % - Markeringsfarve2 4 2 4 3" xfId="12790" xr:uid="{00000000-0005-0000-0000-000056160000}"/>
    <cellStyle name="20 % - Markeringsfarve2 4 2 4 3 2" xfId="29069" xr:uid="{00000000-0005-0000-0000-000057160000}"/>
    <cellStyle name="20 % - Markeringsfarve2 4 2 4 3 3" xfId="44030" xr:uid="{00000000-0005-0000-0000-000058160000}"/>
    <cellStyle name="20 % - Markeringsfarve2 4 2 4 4" xfId="22067" xr:uid="{00000000-0005-0000-0000-000059160000}"/>
    <cellStyle name="20 % - Markeringsfarve2 4 2 4 5" xfId="37033" xr:uid="{00000000-0005-0000-0000-00005A160000}"/>
    <cellStyle name="20 % - Markeringsfarve2 4 2 5" xfId="7716" xr:uid="{00000000-0005-0000-0000-00005B160000}"/>
    <cellStyle name="20 % - Markeringsfarve2 4 2 5 2" xfId="15581" xr:uid="{00000000-0005-0000-0000-00005C160000}"/>
    <cellStyle name="20 % - Markeringsfarve2 4 2 5 2 2" xfId="31857" xr:uid="{00000000-0005-0000-0000-00005D160000}"/>
    <cellStyle name="20 % - Markeringsfarve2 4 2 5 2 3" xfId="46816" xr:uid="{00000000-0005-0000-0000-00005E160000}"/>
    <cellStyle name="20 % - Markeringsfarve2 4 2 5 3" xfId="24855" xr:uid="{00000000-0005-0000-0000-00005F160000}"/>
    <cellStyle name="20 % - Markeringsfarve2 4 2 5 4" xfId="39819" xr:uid="{00000000-0005-0000-0000-000060160000}"/>
    <cellStyle name="20 % - Markeringsfarve2 4 2 6" xfId="12786" xr:uid="{00000000-0005-0000-0000-000061160000}"/>
    <cellStyle name="20 % - Markeringsfarve2 4 2 6 2" xfId="29065" xr:uid="{00000000-0005-0000-0000-000062160000}"/>
    <cellStyle name="20 % - Markeringsfarve2 4 2 6 3" xfId="44026" xr:uid="{00000000-0005-0000-0000-000063160000}"/>
    <cellStyle name="20 % - Markeringsfarve2 4 2 7" xfId="22063" xr:uid="{00000000-0005-0000-0000-000064160000}"/>
    <cellStyle name="20 % - Markeringsfarve2 4 2 8" xfId="37029" xr:uid="{00000000-0005-0000-0000-000065160000}"/>
    <cellStyle name="20 % - Markeringsfarve2 4 3" xfId="4306" xr:uid="{00000000-0005-0000-0000-000066160000}"/>
    <cellStyle name="20 % - Markeringsfarve2 4 3 2" xfId="4307" xr:uid="{00000000-0005-0000-0000-000067160000}"/>
    <cellStyle name="20 % - Markeringsfarve2 4 3 2 2" xfId="4308" xr:uid="{00000000-0005-0000-0000-000068160000}"/>
    <cellStyle name="20 % - Markeringsfarve2 4 3 2 2 2" xfId="9946" xr:uid="{00000000-0005-0000-0000-000069160000}"/>
    <cellStyle name="20 % - Markeringsfarve2 4 3 2 2 2 2" xfId="17801" xr:uid="{00000000-0005-0000-0000-00006A160000}"/>
    <cellStyle name="20 % - Markeringsfarve2 4 3 2 2 2 2 2" xfId="34077" xr:uid="{00000000-0005-0000-0000-00006B160000}"/>
    <cellStyle name="20 % - Markeringsfarve2 4 3 2 2 2 2 3" xfId="49036" xr:uid="{00000000-0005-0000-0000-00006C160000}"/>
    <cellStyle name="20 % - Markeringsfarve2 4 3 2 2 2 3" xfId="27075" xr:uid="{00000000-0005-0000-0000-00006D160000}"/>
    <cellStyle name="20 % - Markeringsfarve2 4 3 2 2 2 4" xfId="42039" xr:uid="{00000000-0005-0000-0000-00006E160000}"/>
    <cellStyle name="20 % - Markeringsfarve2 4 3 2 2 3" xfId="12793" xr:uid="{00000000-0005-0000-0000-00006F160000}"/>
    <cellStyle name="20 % - Markeringsfarve2 4 3 2 2 3 2" xfId="29072" xr:uid="{00000000-0005-0000-0000-000070160000}"/>
    <cellStyle name="20 % - Markeringsfarve2 4 3 2 2 3 3" xfId="44033" xr:uid="{00000000-0005-0000-0000-000071160000}"/>
    <cellStyle name="20 % - Markeringsfarve2 4 3 2 2 4" xfId="22070" xr:uid="{00000000-0005-0000-0000-000072160000}"/>
    <cellStyle name="20 % - Markeringsfarve2 4 3 2 2 5" xfId="37036" xr:uid="{00000000-0005-0000-0000-000073160000}"/>
    <cellStyle name="20 % - Markeringsfarve2 4 3 2 3" xfId="8511" xr:uid="{00000000-0005-0000-0000-000074160000}"/>
    <cellStyle name="20 % - Markeringsfarve2 4 3 2 3 2" xfId="16381" xr:uid="{00000000-0005-0000-0000-000075160000}"/>
    <cellStyle name="20 % - Markeringsfarve2 4 3 2 3 2 2" xfId="32657" xr:uid="{00000000-0005-0000-0000-000076160000}"/>
    <cellStyle name="20 % - Markeringsfarve2 4 3 2 3 2 3" xfId="47616" xr:uid="{00000000-0005-0000-0000-000077160000}"/>
    <cellStyle name="20 % - Markeringsfarve2 4 3 2 3 3" xfId="25655" xr:uid="{00000000-0005-0000-0000-000078160000}"/>
    <cellStyle name="20 % - Markeringsfarve2 4 3 2 3 4" xfId="40619" xr:uid="{00000000-0005-0000-0000-000079160000}"/>
    <cellStyle name="20 % - Markeringsfarve2 4 3 2 4" xfId="12792" xr:uid="{00000000-0005-0000-0000-00007A160000}"/>
    <cellStyle name="20 % - Markeringsfarve2 4 3 2 4 2" xfId="29071" xr:uid="{00000000-0005-0000-0000-00007B160000}"/>
    <cellStyle name="20 % - Markeringsfarve2 4 3 2 4 3" xfId="44032" xr:uid="{00000000-0005-0000-0000-00007C160000}"/>
    <cellStyle name="20 % - Markeringsfarve2 4 3 2 5" xfId="22069" xr:uid="{00000000-0005-0000-0000-00007D160000}"/>
    <cellStyle name="20 % - Markeringsfarve2 4 3 2 6" xfId="37035" xr:uid="{00000000-0005-0000-0000-00007E160000}"/>
    <cellStyle name="20 % - Markeringsfarve2 4 3 3" xfId="4309" xr:uid="{00000000-0005-0000-0000-00007F160000}"/>
    <cellStyle name="20 % - Markeringsfarve2 4 3 3 2" xfId="9177" xr:uid="{00000000-0005-0000-0000-000080160000}"/>
    <cellStyle name="20 % - Markeringsfarve2 4 3 3 2 2" xfId="17041" xr:uid="{00000000-0005-0000-0000-000081160000}"/>
    <cellStyle name="20 % - Markeringsfarve2 4 3 3 2 2 2" xfId="33317" xr:uid="{00000000-0005-0000-0000-000082160000}"/>
    <cellStyle name="20 % - Markeringsfarve2 4 3 3 2 2 3" xfId="48276" xr:uid="{00000000-0005-0000-0000-000083160000}"/>
    <cellStyle name="20 % - Markeringsfarve2 4 3 3 2 3" xfId="26315" xr:uid="{00000000-0005-0000-0000-000084160000}"/>
    <cellStyle name="20 % - Markeringsfarve2 4 3 3 2 4" xfId="41279" xr:uid="{00000000-0005-0000-0000-000085160000}"/>
    <cellStyle name="20 % - Markeringsfarve2 4 3 3 3" xfId="12794" xr:uid="{00000000-0005-0000-0000-000086160000}"/>
    <cellStyle name="20 % - Markeringsfarve2 4 3 3 3 2" xfId="29073" xr:uid="{00000000-0005-0000-0000-000087160000}"/>
    <cellStyle name="20 % - Markeringsfarve2 4 3 3 3 3" xfId="44034" xr:uid="{00000000-0005-0000-0000-000088160000}"/>
    <cellStyle name="20 % - Markeringsfarve2 4 3 3 4" xfId="22071" xr:uid="{00000000-0005-0000-0000-000089160000}"/>
    <cellStyle name="20 % - Markeringsfarve2 4 3 3 5" xfId="37037" xr:uid="{00000000-0005-0000-0000-00008A160000}"/>
    <cellStyle name="20 % - Markeringsfarve2 4 3 4" xfId="4310" xr:uid="{00000000-0005-0000-0000-00008B160000}"/>
    <cellStyle name="20 % - Markeringsfarve2 4 3 4 2" xfId="10775" xr:uid="{00000000-0005-0000-0000-00008C160000}"/>
    <cellStyle name="20 % - Markeringsfarve2 4 3 4 2 2" xfId="18617" xr:uid="{00000000-0005-0000-0000-00008D160000}"/>
    <cellStyle name="20 % - Markeringsfarve2 4 3 4 2 2 2" xfId="34893" xr:uid="{00000000-0005-0000-0000-00008E160000}"/>
    <cellStyle name="20 % - Markeringsfarve2 4 3 4 2 2 3" xfId="49852" xr:uid="{00000000-0005-0000-0000-00008F160000}"/>
    <cellStyle name="20 % - Markeringsfarve2 4 3 4 2 3" xfId="27891" xr:uid="{00000000-0005-0000-0000-000090160000}"/>
    <cellStyle name="20 % - Markeringsfarve2 4 3 4 2 4" xfId="42855" xr:uid="{00000000-0005-0000-0000-000091160000}"/>
    <cellStyle name="20 % - Markeringsfarve2 4 3 4 3" xfId="12795" xr:uid="{00000000-0005-0000-0000-000092160000}"/>
    <cellStyle name="20 % - Markeringsfarve2 4 3 4 3 2" xfId="29074" xr:uid="{00000000-0005-0000-0000-000093160000}"/>
    <cellStyle name="20 % - Markeringsfarve2 4 3 4 3 3" xfId="44035" xr:uid="{00000000-0005-0000-0000-000094160000}"/>
    <cellStyle name="20 % - Markeringsfarve2 4 3 4 4" xfId="22072" xr:uid="{00000000-0005-0000-0000-000095160000}"/>
    <cellStyle name="20 % - Markeringsfarve2 4 3 4 5" xfId="37038" xr:uid="{00000000-0005-0000-0000-000096160000}"/>
    <cellStyle name="20 % - Markeringsfarve2 4 3 5" xfId="7717" xr:uid="{00000000-0005-0000-0000-000097160000}"/>
    <cellStyle name="20 % - Markeringsfarve2 4 3 5 2" xfId="15582" xr:uid="{00000000-0005-0000-0000-000098160000}"/>
    <cellStyle name="20 % - Markeringsfarve2 4 3 5 2 2" xfId="31858" xr:uid="{00000000-0005-0000-0000-000099160000}"/>
    <cellStyle name="20 % - Markeringsfarve2 4 3 5 2 3" xfId="46817" xr:uid="{00000000-0005-0000-0000-00009A160000}"/>
    <cellStyle name="20 % - Markeringsfarve2 4 3 5 3" xfId="24856" xr:uid="{00000000-0005-0000-0000-00009B160000}"/>
    <cellStyle name="20 % - Markeringsfarve2 4 3 5 4" xfId="39820" xr:uid="{00000000-0005-0000-0000-00009C160000}"/>
    <cellStyle name="20 % - Markeringsfarve2 4 3 6" xfId="12791" xr:uid="{00000000-0005-0000-0000-00009D160000}"/>
    <cellStyle name="20 % - Markeringsfarve2 4 3 6 2" xfId="29070" xr:uid="{00000000-0005-0000-0000-00009E160000}"/>
    <cellStyle name="20 % - Markeringsfarve2 4 3 6 3" xfId="44031" xr:uid="{00000000-0005-0000-0000-00009F160000}"/>
    <cellStyle name="20 % - Markeringsfarve2 4 3 7" xfId="22068" xr:uid="{00000000-0005-0000-0000-0000A0160000}"/>
    <cellStyle name="20 % - Markeringsfarve2 4 3 8" xfId="37034" xr:uid="{00000000-0005-0000-0000-0000A1160000}"/>
    <cellStyle name="20 % - Markeringsfarve2 4 4" xfId="4311" xr:uid="{00000000-0005-0000-0000-0000A2160000}"/>
    <cellStyle name="20 % - Markeringsfarve2 4 4 2" xfId="4312" xr:uid="{00000000-0005-0000-0000-0000A3160000}"/>
    <cellStyle name="20 % - Markeringsfarve2 4 4 2 2" xfId="4313" xr:uid="{00000000-0005-0000-0000-0000A4160000}"/>
    <cellStyle name="20 % - Markeringsfarve2 4 4 2 2 2" xfId="10092" xr:uid="{00000000-0005-0000-0000-0000A5160000}"/>
    <cellStyle name="20 % - Markeringsfarve2 4 4 2 2 2 2" xfId="17947" xr:uid="{00000000-0005-0000-0000-0000A6160000}"/>
    <cellStyle name="20 % - Markeringsfarve2 4 4 2 2 2 2 2" xfId="34223" xr:uid="{00000000-0005-0000-0000-0000A7160000}"/>
    <cellStyle name="20 % - Markeringsfarve2 4 4 2 2 2 2 3" xfId="49182" xr:uid="{00000000-0005-0000-0000-0000A8160000}"/>
    <cellStyle name="20 % - Markeringsfarve2 4 4 2 2 2 3" xfId="27221" xr:uid="{00000000-0005-0000-0000-0000A9160000}"/>
    <cellStyle name="20 % - Markeringsfarve2 4 4 2 2 2 4" xfId="42185" xr:uid="{00000000-0005-0000-0000-0000AA160000}"/>
    <cellStyle name="20 % - Markeringsfarve2 4 4 2 2 3" xfId="12798" xr:uid="{00000000-0005-0000-0000-0000AB160000}"/>
    <cellStyle name="20 % - Markeringsfarve2 4 4 2 2 3 2" xfId="29077" xr:uid="{00000000-0005-0000-0000-0000AC160000}"/>
    <cellStyle name="20 % - Markeringsfarve2 4 4 2 2 3 3" xfId="44038" xr:uid="{00000000-0005-0000-0000-0000AD160000}"/>
    <cellStyle name="20 % - Markeringsfarve2 4 4 2 2 4" xfId="22075" xr:uid="{00000000-0005-0000-0000-0000AE160000}"/>
    <cellStyle name="20 % - Markeringsfarve2 4 4 2 2 5" xfId="37041" xr:uid="{00000000-0005-0000-0000-0000AF160000}"/>
    <cellStyle name="20 % - Markeringsfarve2 4 4 2 3" xfId="8634" xr:uid="{00000000-0005-0000-0000-0000B0160000}"/>
    <cellStyle name="20 % - Markeringsfarve2 4 4 2 3 2" xfId="16501" xr:uid="{00000000-0005-0000-0000-0000B1160000}"/>
    <cellStyle name="20 % - Markeringsfarve2 4 4 2 3 2 2" xfId="32777" xr:uid="{00000000-0005-0000-0000-0000B2160000}"/>
    <cellStyle name="20 % - Markeringsfarve2 4 4 2 3 2 3" xfId="47736" xr:uid="{00000000-0005-0000-0000-0000B3160000}"/>
    <cellStyle name="20 % - Markeringsfarve2 4 4 2 3 3" xfId="25775" xr:uid="{00000000-0005-0000-0000-0000B4160000}"/>
    <cellStyle name="20 % - Markeringsfarve2 4 4 2 3 4" xfId="40739" xr:uid="{00000000-0005-0000-0000-0000B5160000}"/>
    <cellStyle name="20 % - Markeringsfarve2 4 4 2 4" xfId="12797" xr:uid="{00000000-0005-0000-0000-0000B6160000}"/>
    <cellStyle name="20 % - Markeringsfarve2 4 4 2 4 2" xfId="29076" xr:uid="{00000000-0005-0000-0000-0000B7160000}"/>
    <cellStyle name="20 % - Markeringsfarve2 4 4 2 4 3" xfId="44037" xr:uid="{00000000-0005-0000-0000-0000B8160000}"/>
    <cellStyle name="20 % - Markeringsfarve2 4 4 2 5" xfId="22074" xr:uid="{00000000-0005-0000-0000-0000B9160000}"/>
    <cellStyle name="20 % - Markeringsfarve2 4 4 2 6" xfId="37040" xr:uid="{00000000-0005-0000-0000-0000BA160000}"/>
    <cellStyle name="20 % - Markeringsfarve2 4 4 3" xfId="4314" xr:uid="{00000000-0005-0000-0000-0000BB160000}"/>
    <cellStyle name="20 % - Markeringsfarve2 4 4 3 2" xfId="9369" xr:uid="{00000000-0005-0000-0000-0000BC160000}"/>
    <cellStyle name="20 % - Markeringsfarve2 4 4 3 2 2" xfId="17232" xr:uid="{00000000-0005-0000-0000-0000BD160000}"/>
    <cellStyle name="20 % - Markeringsfarve2 4 4 3 2 2 2" xfId="33508" xr:uid="{00000000-0005-0000-0000-0000BE160000}"/>
    <cellStyle name="20 % - Markeringsfarve2 4 4 3 2 2 3" xfId="48467" xr:uid="{00000000-0005-0000-0000-0000BF160000}"/>
    <cellStyle name="20 % - Markeringsfarve2 4 4 3 2 3" xfId="26506" xr:uid="{00000000-0005-0000-0000-0000C0160000}"/>
    <cellStyle name="20 % - Markeringsfarve2 4 4 3 2 4" xfId="41470" xr:uid="{00000000-0005-0000-0000-0000C1160000}"/>
    <cellStyle name="20 % - Markeringsfarve2 4 4 3 3" xfId="12799" xr:uid="{00000000-0005-0000-0000-0000C2160000}"/>
    <cellStyle name="20 % - Markeringsfarve2 4 4 3 3 2" xfId="29078" xr:uid="{00000000-0005-0000-0000-0000C3160000}"/>
    <cellStyle name="20 % - Markeringsfarve2 4 4 3 3 3" xfId="44039" xr:uid="{00000000-0005-0000-0000-0000C4160000}"/>
    <cellStyle name="20 % - Markeringsfarve2 4 4 3 4" xfId="22076" xr:uid="{00000000-0005-0000-0000-0000C5160000}"/>
    <cellStyle name="20 % - Markeringsfarve2 4 4 3 5" xfId="37042" xr:uid="{00000000-0005-0000-0000-0000C6160000}"/>
    <cellStyle name="20 % - Markeringsfarve2 4 4 4" xfId="4315" xr:uid="{00000000-0005-0000-0000-0000C7160000}"/>
    <cellStyle name="20 % - Markeringsfarve2 4 4 4 2" xfId="10862" xr:uid="{00000000-0005-0000-0000-0000C8160000}"/>
    <cellStyle name="20 % - Markeringsfarve2 4 4 4 2 2" xfId="18700" xr:uid="{00000000-0005-0000-0000-0000C9160000}"/>
    <cellStyle name="20 % - Markeringsfarve2 4 4 4 2 2 2" xfId="34976" xr:uid="{00000000-0005-0000-0000-0000CA160000}"/>
    <cellStyle name="20 % - Markeringsfarve2 4 4 4 2 2 3" xfId="49935" xr:uid="{00000000-0005-0000-0000-0000CB160000}"/>
    <cellStyle name="20 % - Markeringsfarve2 4 4 4 2 3" xfId="27974" xr:uid="{00000000-0005-0000-0000-0000CC160000}"/>
    <cellStyle name="20 % - Markeringsfarve2 4 4 4 2 4" xfId="42938" xr:uid="{00000000-0005-0000-0000-0000CD160000}"/>
    <cellStyle name="20 % - Markeringsfarve2 4 4 4 3" xfId="12800" xr:uid="{00000000-0005-0000-0000-0000CE160000}"/>
    <cellStyle name="20 % - Markeringsfarve2 4 4 4 3 2" xfId="29079" xr:uid="{00000000-0005-0000-0000-0000CF160000}"/>
    <cellStyle name="20 % - Markeringsfarve2 4 4 4 3 3" xfId="44040" xr:uid="{00000000-0005-0000-0000-0000D0160000}"/>
    <cellStyle name="20 % - Markeringsfarve2 4 4 4 4" xfId="22077" xr:uid="{00000000-0005-0000-0000-0000D1160000}"/>
    <cellStyle name="20 % - Markeringsfarve2 4 4 4 5" xfId="37043" xr:uid="{00000000-0005-0000-0000-0000D2160000}"/>
    <cellStyle name="20 % - Markeringsfarve2 4 4 5" xfId="7718" xr:uid="{00000000-0005-0000-0000-0000D3160000}"/>
    <cellStyle name="20 % - Markeringsfarve2 4 4 5 2" xfId="15583" xr:uid="{00000000-0005-0000-0000-0000D4160000}"/>
    <cellStyle name="20 % - Markeringsfarve2 4 4 5 2 2" xfId="31859" xr:uid="{00000000-0005-0000-0000-0000D5160000}"/>
    <cellStyle name="20 % - Markeringsfarve2 4 4 5 2 3" xfId="46818" xr:uid="{00000000-0005-0000-0000-0000D6160000}"/>
    <cellStyle name="20 % - Markeringsfarve2 4 4 5 3" xfId="24857" xr:uid="{00000000-0005-0000-0000-0000D7160000}"/>
    <cellStyle name="20 % - Markeringsfarve2 4 4 5 4" xfId="39821" xr:uid="{00000000-0005-0000-0000-0000D8160000}"/>
    <cellStyle name="20 % - Markeringsfarve2 4 4 6" xfId="12796" xr:uid="{00000000-0005-0000-0000-0000D9160000}"/>
    <cellStyle name="20 % - Markeringsfarve2 4 4 6 2" xfId="29075" xr:uid="{00000000-0005-0000-0000-0000DA160000}"/>
    <cellStyle name="20 % - Markeringsfarve2 4 4 6 3" xfId="44036" xr:uid="{00000000-0005-0000-0000-0000DB160000}"/>
    <cellStyle name="20 % - Markeringsfarve2 4 4 7" xfId="22073" xr:uid="{00000000-0005-0000-0000-0000DC160000}"/>
    <cellStyle name="20 % - Markeringsfarve2 4 4 8" xfId="37039" xr:uid="{00000000-0005-0000-0000-0000DD160000}"/>
    <cellStyle name="20 % - Markeringsfarve2 4 5" xfId="4316" xr:uid="{00000000-0005-0000-0000-0000DE160000}"/>
    <cellStyle name="20 % - Markeringsfarve2 4 5 2" xfId="4317" xr:uid="{00000000-0005-0000-0000-0000DF160000}"/>
    <cellStyle name="20 % - Markeringsfarve2 4 5 2 2" xfId="4318" xr:uid="{00000000-0005-0000-0000-0000E0160000}"/>
    <cellStyle name="20 % - Markeringsfarve2 4 5 2 2 2" xfId="10209" xr:uid="{00000000-0005-0000-0000-0000E1160000}"/>
    <cellStyle name="20 % - Markeringsfarve2 4 5 2 2 2 2" xfId="18064" xr:uid="{00000000-0005-0000-0000-0000E2160000}"/>
    <cellStyle name="20 % - Markeringsfarve2 4 5 2 2 2 2 2" xfId="34340" xr:uid="{00000000-0005-0000-0000-0000E3160000}"/>
    <cellStyle name="20 % - Markeringsfarve2 4 5 2 2 2 2 3" xfId="49299" xr:uid="{00000000-0005-0000-0000-0000E4160000}"/>
    <cellStyle name="20 % - Markeringsfarve2 4 5 2 2 2 3" xfId="27338" xr:uid="{00000000-0005-0000-0000-0000E5160000}"/>
    <cellStyle name="20 % - Markeringsfarve2 4 5 2 2 2 4" xfId="42302" xr:uid="{00000000-0005-0000-0000-0000E6160000}"/>
    <cellStyle name="20 % - Markeringsfarve2 4 5 2 2 3" xfId="12803" xr:uid="{00000000-0005-0000-0000-0000E7160000}"/>
    <cellStyle name="20 % - Markeringsfarve2 4 5 2 2 3 2" xfId="29082" xr:uid="{00000000-0005-0000-0000-0000E8160000}"/>
    <cellStyle name="20 % - Markeringsfarve2 4 5 2 2 3 3" xfId="44043" xr:uid="{00000000-0005-0000-0000-0000E9160000}"/>
    <cellStyle name="20 % - Markeringsfarve2 4 5 2 2 4" xfId="22080" xr:uid="{00000000-0005-0000-0000-0000EA160000}"/>
    <cellStyle name="20 % - Markeringsfarve2 4 5 2 2 5" xfId="37046" xr:uid="{00000000-0005-0000-0000-0000EB160000}"/>
    <cellStyle name="20 % - Markeringsfarve2 4 5 2 3" xfId="8733" xr:uid="{00000000-0005-0000-0000-0000EC160000}"/>
    <cellStyle name="20 % - Markeringsfarve2 4 5 2 3 2" xfId="16600" xr:uid="{00000000-0005-0000-0000-0000ED160000}"/>
    <cellStyle name="20 % - Markeringsfarve2 4 5 2 3 2 2" xfId="32876" xr:uid="{00000000-0005-0000-0000-0000EE160000}"/>
    <cellStyle name="20 % - Markeringsfarve2 4 5 2 3 2 3" xfId="47835" xr:uid="{00000000-0005-0000-0000-0000EF160000}"/>
    <cellStyle name="20 % - Markeringsfarve2 4 5 2 3 3" xfId="25874" xr:uid="{00000000-0005-0000-0000-0000F0160000}"/>
    <cellStyle name="20 % - Markeringsfarve2 4 5 2 3 4" xfId="40838" xr:uid="{00000000-0005-0000-0000-0000F1160000}"/>
    <cellStyle name="20 % - Markeringsfarve2 4 5 2 4" xfId="12802" xr:uid="{00000000-0005-0000-0000-0000F2160000}"/>
    <cellStyle name="20 % - Markeringsfarve2 4 5 2 4 2" xfId="29081" xr:uid="{00000000-0005-0000-0000-0000F3160000}"/>
    <cellStyle name="20 % - Markeringsfarve2 4 5 2 4 3" xfId="44042" xr:uid="{00000000-0005-0000-0000-0000F4160000}"/>
    <cellStyle name="20 % - Markeringsfarve2 4 5 2 5" xfId="22079" xr:uid="{00000000-0005-0000-0000-0000F5160000}"/>
    <cellStyle name="20 % - Markeringsfarve2 4 5 2 6" xfId="37045" xr:uid="{00000000-0005-0000-0000-0000F6160000}"/>
    <cellStyle name="20 % - Markeringsfarve2 4 5 3" xfId="4319" xr:uid="{00000000-0005-0000-0000-0000F7160000}"/>
    <cellStyle name="20 % - Markeringsfarve2 4 5 3 2" xfId="9486" xr:uid="{00000000-0005-0000-0000-0000F8160000}"/>
    <cellStyle name="20 % - Markeringsfarve2 4 5 3 2 2" xfId="17349" xr:uid="{00000000-0005-0000-0000-0000F9160000}"/>
    <cellStyle name="20 % - Markeringsfarve2 4 5 3 2 2 2" xfId="33625" xr:uid="{00000000-0005-0000-0000-0000FA160000}"/>
    <cellStyle name="20 % - Markeringsfarve2 4 5 3 2 2 3" xfId="48584" xr:uid="{00000000-0005-0000-0000-0000FB160000}"/>
    <cellStyle name="20 % - Markeringsfarve2 4 5 3 2 3" xfId="26623" xr:uid="{00000000-0005-0000-0000-0000FC160000}"/>
    <cellStyle name="20 % - Markeringsfarve2 4 5 3 2 4" xfId="41587" xr:uid="{00000000-0005-0000-0000-0000FD160000}"/>
    <cellStyle name="20 % - Markeringsfarve2 4 5 3 3" xfId="12804" xr:uid="{00000000-0005-0000-0000-0000FE160000}"/>
    <cellStyle name="20 % - Markeringsfarve2 4 5 3 3 2" xfId="29083" xr:uid="{00000000-0005-0000-0000-0000FF160000}"/>
    <cellStyle name="20 % - Markeringsfarve2 4 5 3 3 3" xfId="44044" xr:uid="{00000000-0005-0000-0000-000000170000}"/>
    <cellStyle name="20 % - Markeringsfarve2 4 5 3 4" xfId="22081" xr:uid="{00000000-0005-0000-0000-000001170000}"/>
    <cellStyle name="20 % - Markeringsfarve2 4 5 3 5" xfId="37047" xr:uid="{00000000-0005-0000-0000-000002170000}"/>
    <cellStyle name="20 % - Markeringsfarve2 4 5 4" xfId="4320" xr:uid="{00000000-0005-0000-0000-000003170000}"/>
    <cellStyle name="20 % - Markeringsfarve2 4 5 4 2" xfId="10526" xr:uid="{00000000-0005-0000-0000-000004170000}"/>
    <cellStyle name="20 % - Markeringsfarve2 4 5 4 2 2" xfId="18375" xr:uid="{00000000-0005-0000-0000-000005170000}"/>
    <cellStyle name="20 % - Markeringsfarve2 4 5 4 2 2 2" xfId="34651" xr:uid="{00000000-0005-0000-0000-000006170000}"/>
    <cellStyle name="20 % - Markeringsfarve2 4 5 4 2 2 3" xfId="49610" xr:uid="{00000000-0005-0000-0000-000007170000}"/>
    <cellStyle name="20 % - Markeringsfarve2 4 5 4 2 3" xfId="27649" xr:uid="{00000000-0005-0000-0000-000008170000}"/>
    <cellStyle name="20 % - Markeringsfarve2 4 5 4 2 4" xfId="42613" xr:uid="{00000000-0005-0000-0000-000009170000}"/>
    <cellStyle name="20 % - Markeringsfarve2 4 5 4 3" xfId="12805" xr:uid="{00000000-0005-0000-0000-00000A170000}"/>
    <cellStyle name="20 % - Markeringsfarve2 4 5 4 3 2" xfId="29084" xr:uid="{00000000-0005-0000-0000-00000B170000}"/>
    <cellStyle name="20 % - Markeringsfarve2 4 5 4 3 3" xfId="44045" xr:uid="{00000000-0005-0000-0000-00000C170000}"/>
    <cellStyle name="20 % - Markeringsfarve2 4 5 4 4" xfId="22082" xr:uid="{00000000-0005-0000-0000-00000D170000}"/>
    <cellStyle name="20 % - Markeringsfarve2 4 5 4 5" xfId="37048" xr:uid="{00000000-0005-0000-0000-00000E170000}"/>
    <cellStyle name="20 % - Markeringsfarve2 4 5 5" xfId="7719" xr:uid="{00000000-0005-0000-0000-00000F170000}"/>
    <cellStyle name="20 % - Markeringsfarve2 4 5 5 2" xfId="15584" xr:uid="{00000000-0005-0000-0000-000010170000}"/>
    <cellStyle name="20 % - Markeringsfarve2 4 5 5 2 2" xfId="31860" xr:uid="{00000000-0005-0000-0000-000011170000}"/>
    <cellStyle name="20 % - Markeringsfarve2 4 5 5 2 3" xfId="46819" xr:uid="{00000000-0005-0000-0000-000012170000}"/>
    <cellStyle name="20 % - Markeringsfarve2 4 5 5 3" xfId="24858" xr:uid="{00000000-0005-0000-0000-000013170000}"/>
    <cellStyle name="20 % - Markeringsfarve2 4 5 5 4" xfId="39822" xr:uid="{00000000-0005-0000-0000-000014170000}"/>
    <cellStyle name="20 % - Markeringsfarve2 4 5 6" xfId="12801" xr:uid="{00000000-0005-0000-0000-000015170000}"/>
    <cellStyle name="20 % - Markeringsfarve2 4 5 6 2" xfId="29080" xr:uid="{00000000-0005-0000-0000-000016170000}"/>
    <cellStyle name="20 % - Markeringsfarve2 4 5 6 3" xfId="44041" xr:uid="{00000000-0005-0000-0000-000017170000}"/>
    <cellStyle name="20 % - Markeringsfarve2 4 5 7" xfId="22078" xr:uid="{00000000-0005-0000-0000-000018170000}"/>
    <cellStyle name="20 % - Markeringsfarve2 4 5 8" xfId="37044" xr:uid="{00000000-0005-0000-0000-000019170000}"/>
    <cellStyle name="20 % - Markeringsfarve2 4 6" xfId="4321" xr:uid="{00000000-0005-0000-0000-00001A170000}"/>
    <cellStyle name="20 % - Markeringsfarve2 4 6 2" xfId="4322" xr:uid="{00000000-0005-0000-0000-00001B170000}"/>
    <cellStyle name="20 % - Markeringsfarve2 4 6 2 2" xfId="4323" xr:uid="{00000000-0005-0000-0000-00001C170000}"/>
    <cellStyle name="20 % - Markeringsfarve2 4 6 2 2 2" xfId="10301" xr:uid="{00000000-0005-0000-0000-00001D170000}"/>
    <cellStyle name="20 % - Markeringsfarve2 4 6 2 2 2 2" xfId="18156" xr:uid="{00000000-0005-0000-0000-00001E170000}"/>
    <cellStyle name="20 % - Markeringsfarve2 4 6 2 2 2 2 2" xfId="34432" xr:uid="{00000000-0005-0000-0000-00001F170000}"/>
    <cellStyle name="20 % - Markeringsfarve2 4 6 2 2 2 2 3" xfId="49391" xr:uid="{00000000-0005-0000-0000-000020170000}"/>
    <cellStyle name="20 % - Markeringsfarve2 4 6 2 2 2 3" xfId="27430" xr:uid="{00000000-0005-0000-0000-000021170000}"/>
    <cellStyle name="20 % - Markeringsfarve2 4 6 2 2 2 4" xfId="42394" xr:uid="{00000000-0005-0000-0000-000022170000}"/>
    <cellStyle name="20 % - Markeringsfarve2 4 6 2 2 3" xfId="12808" xr:uid="{00000000-0005-0000-0000-000023170000}"/>
    <cellStyle name="20 % - Markeringsfarve2 4 6 2 2 3 2" xfId="29087" xr:uid="{00000000-0005-0000-0000-000024170000}"/>
    <cellStyle name="20 % - Markeringsfarve2 4 6 2 2 3 3" xfId="44048" xr:uid="{00000000-0005-0000-0000-000025170000}"/>
    <cellStyle name="20 % - Markeringsfarve2 4 6 2 2 4" xfId="22085" xr:uid="{00000000-0005-0000-0000-000026170000}"/>
    <cellStyle name="20 % - Markeringsfarve2 4 6 2 2 5" xfId="37051" xr:uid="{00000000-0005-0000-0000-000027170000}"/>
    <cellStyle name="20 % - Markeringsfarve2 4 6 2 3" xfId="8813" xr:uid="{00000000-0005-0000-0000-000028170000}"/>
    <cellStyle name="20 % - Markeringsfarve2 4 6 2 3 2" xfId="16680" xr:uid="{00000000-0005-0000-0000-000029170000}"/>
    <cellStyle name="20 % - Markeringsfarve2 4 6 2 3 2 2" xfId="32956" xr:uid="{00000000-0005-0000-0000-00002A170000}"/>
    <cellStyle name="20 % - Markeringsfarve2 4 6 2 3 2 3" xfId="47915" xr:uid="{00000000-0005-0000-0000-00002B170000}"/>
    <cellStyle name="20 % - Markeringsfarve2 4 6 2 3 3" xfId="25954" xr:uid="{00000000-0005-0000-0000-00002C170000}"/>
    <cellStyle name="20 % - Markeringsfarve2 4 6 2 3 4" xfId="40918" xr:uid="{00000000-0005-0000-0000-00002D170000}"/>
    <cellStyle name="20 % - Markeringsfarve2 4 6 2 4" xfId="12807" xr:uid="{00000000-0005-0000-0000-00002E170000}"/>
    <cellStyle name="20 % - Markeringsfarve2 4 6 2 4 2" xfId="29086" xr:uid="{00000000-0005-0000-0000-00002F170000}"/>
    <cellStyle name="20 % - Markeringsfarve2 4 6 2 4 3" xfId="44047" xr:uid="{00000000-0005-0000-0000-000030170000}"/>
    <cellStyle name="20 % - Markeringsfarve2 4 6 2 5" xfId="22084" xr:uid="{00000000-0005-0000-0000-000031170000}"/>
    <cellStyle name="20 % - Markeringsfarve2 4 6 2 6" xfId="37050" xr:uid="{00000000-0005-0000-0000-000032170000}"/>
    <cellStyle name="20 % - Markeringsfarve2 4 6 3" xfId="4324" xr:uid="{00000000-0005-0000-0000-000033170000}"/>
    <cellStyle name="20 % - Markeringsfarve2 4 6 3 2" xfId="9579" xr:uid="{00000000-0005-0000-0000-000034170000}"/>
    <cellStyle name="20 % - Markeringsfarve2 4 6 3 2 2" xfId="17442" xr:uid="{00000000-0005-0000-0000-000035170000}"/>
    <cellStyle name="20 % - Markeringsfarve2 4 6 3 2 2 2" xfId="33718" xr:uid="{00000000-0005-0000-0000-000036170000}"/>
    <cellStyle name="20 % - Markeringsfarve2 4 6 3 2 2 3" xfId="48677" xr:uid="{00000000-0005-0000-0000-000037170000}"/>
    <cellStyle name="20 % - Markeringsfarve2 4 6 3 2 3" xfId="26716" xr:uid="{00000000-0005-0000-0000-000038170000}"/>
    <cellStyle name="20 % - Markeringsfarve2 4 6 3 2 4" xfId="41680" xr:uid="{00000000-0005-0000-0000-000039170000}"/>
    <cellStyle name="20 % - Markeringsfarve2 4 6 3 3" xfId="12809" xr:uid="{00000000-0005-0000-0000-00003A170000}"/>
    <cellStyle name="20 % - Markeringsfarve2 4 6 3 3 2" xfId="29088" xr:uid="{00000000-0005-0000-0000-00003B170000}"/>
    <cellStyle name="20 % - Markeringsfarve2 4 6 3 3 3" xfId="44049" xr:uid="{00000000-0005-0000-0000-00003C170000}"/>
    <cellStyle name="20 % - Markeringsfarve2 4 6 3 4" xfId="22086" xr:uid="{00000000-0005-0000-0000-00003D170000}"/>
    <cellStyle name="20 % - Markeringsfarve2 4 6 3 5" xfId="37052" xr:uid="{00000000-0005-0000-0000-00003E170000}"/>
    <cellStyle name="20 % - Markeringsfarve2 4 6 4" xfId="4325" xr:uid="{00000000-0005-0000-0000-00003F170000}"/>
    <cellStyle name="20 % - Markeringsfarve2 4 6 4 2" xfId="10424" xr:uid="{00000000-0005-0000-0000-000040170000}"/>
    <cellStyle name="20 % - Markeringsfarve2 4 6 4 2 2" xfId="18276" xr:uid="{00000000-0005-0000-0000-000041170000}"/>
    <cellStyle name="20 % - Markeringsfarve2 4 6 4 2 2 2" xfId="34552" xr:uid="{00000000-0005-0000-0000-000042170000}"/>
    <cellStyle name="20 % - Markeringsfarve2 4 6 4 2 2 3" xfId="49511" xr:uid="{00000000-0005-0000-0000-000043170000}"/>
    <cellStyle name="20 % - Markeringsfarve2 4 6 4 2 3" xfId="27550" xr:uid="{00000000-0005-0000-0000-000044170000}"/>
    <cellStyle name="20 % - Markeringsfarve2 4 6 4 2 4" xfId="42514" xr:uid="{00000000-0005-0000-0000-000045170000}"/>
    <cellStyle name="20 % - Markeringsfarve2 4 6 4 3" xfId="12810" xr:uid="{00000000-0005-0000-0000-000046170000}"/>
    <cellStyle name="20 % - Markeringsfarve2 4 6 4 3 2" xfId="29089" xr:uid="{00000000-0005-0000-0000-000047170000}"/>
    <cellStyle name="20 % - Markeringsfarve2 4 6 4 3 3" xfId="44050" xr:uid="{00000000-0005-0000-0000-000048170000}"/>
    <cellStyle name="20 % - Markeringsfarve2 4 6 4 4" xfId="22087" xr:uid="{00000000-0005-0000-0000-000049170000}"/>
    <cellStyle name="20 % - Markeringsfarve2 4 6 4 5" xfId="37053" xr:uid="{00000000-0005-0000-0000-00004A170000}"/>
    <cellStyle name="20 % - Markeringsfarve2 4 6 5" xfId="7720" xr:uid="{00000000-0005-0000-0000-00004B170000}"/>
    <cellStyle name="20 % - Markeringsfarve2 4 6 5 2" xfId="15585" xr:uid="{00000000-0005-0000-0000-00004C170000}"/>
    <cellStyle name="20 % - Markeringsfarve2 4 6 5 2 2" xfId="31861" xr:uid="{00000000-0005-0000-0000-00004D170000}"/>
    <cellStyle name="20 % - Markeringsfarve2 4 6 5 2 3" xfId="46820" xr:uid="{00000000-0005-0000-0000-00004E170000}"/>
    <cellStyle name="20 % - Markeringsfarve2 4 6 5 3" xfId="24859" xr:uid="{00000000-0005-0000-0000-00004F170000}"/>
    <cellStyle name="20 % - Markeringsfarve2 4 6 5 4" xfId="39823" xr:uid="{00000000-0005-0000-0000-000050170000}"/>
    <cellStyle name="20 % - Markeringsfarve2 4 6 6" xfId="12806" xr:uid="{00000000-0005-0000-0000-000051170000}"/>
    <cellStyle name="20 % - Markeringsfarve2 4 6 6 2" xfId="29085" xr:uid="{00000000-0005-0000-0000-000052170000}"/>
    <cellStyle name="20 % - Markeringsfarve2 4 6 6 3" xfId="44046" xr:uid="{00000000-0005-0000-0000-000053170000}"/>
    <cellStyle name="20 % - Markeringsfarve2 4 6 7" xfId="22083" xr:uid="{00000000-0005-0000-0000-000054170000}"/>
    <cellStyle name="20 % - Markeringsfarve2 4 6 8" xfId="37049" xr:uid="{00000000-0005-0000-0000-000055170000}"/>
    <cellStyle name="20 % - Markeringsfarve2 4 7" xfId="4326" xr:uid="{00000000-0005-0000-0000-000056170000}"/>
    <cellStyle name="20 % - Markeringsfarve2 4 7 2" xfId="4327" xr:uid="{00000000-0005-0000-0000-000057170000}"/>
    <cellStyle name="20 % - Markeringsfarve2 4 7 2 2" xfId="9736" xr:uid="{00000000-0005-0000-0000-000058170000}"/>
    <cellStyle name="20 % - Markeringsfarve2 4 7 2 2 2" xfId="17590" xr:uid="{00000000-0005-0000-0000-000059170000}"/>
    <cellStyle name="20 % - Markeringsfarve2 4 7 2 2 2 2" xfId="33866" xr:uid="{00000000-0005-0000-0000-00005A170000}"/>
    <cellStyle name="20 % - Markeringsfarve2 4 7 2 2 2 3" xfId="48825" xr:uid="{00000000-0005-0000-0000-00005B170000}"/>
    <cellStyle name="20 % - Markeringsfarve2 4 7 2 2 3" xfId="26864" xr:uid="{00000000-0005-0000-0000-00005C170000}"/>
    <cellStyle name="20 % - Markeringsfarve2 4 7 2 2 4" xfId="41828" xr:uid="{00000000-0005-0000-0000-00005D170000}"/>
    <cellStyle name="20 % - Markeringsfarve2 4 7 2 3" xfId="12812" xr:uid="{00000000-0005-0000-0000-00005E170000}"/>
    <cellStyle name="20 % - Markeringsfarve2 4 7 2 3 2" xfId="29091" xr:uid="{00000000-0005-0000-0000-00005F170000}"/>
    <cellStyle name="20 % - Markeringsfarve2 4 7 2 3 3" xfId="44052" xr:uid="{00000000-0005-0000-0000-000060170000}"/>
    <cellStyle name="20 % - Markeringsfarve2 4 7 2 4" xfId="22089" xr:uid="{00000000-0005-0000-0000-000061170000}"/>
    <cellStyle name="20 % - Markeringsfarve2 4 7 2 5" xfId="37055" xr:uid="{00000000-0005-0000-0000-000062170000}"/>
    <cellStyle name="20 % - Markeringsfarve2 4 7 3" xfId="8333" xr:uid="{00000000-0005-0000-0000-000063170000}"/>
    <cellStyle name="20 % - Markeringsfarve2 4 7 3 2" xfId="16203" xr:uid="{00000000-0005-0000-0000-000064170000}"/>
    <cellStyle name="20 % - Markeringsfarve2 4 7 3 2 2" xfId="32479" xr:uid="{00000000-0005-0000-0000-000065170000}"/>
    <cellStyle name="20 % - Markeringsfarve2 4 7 3 2 3" xfId="47438" xr:uid="{00000000-0005-0000-0000-000066170000}"/>
    <cellStyle name="20 % - Markeringsfarve2 4 7 3 3" xfId="25477" xr:uid="{00000000-0005-0000-0000-000067170000}"/>
    <cellStyle name="20 % - Markeringsfarve2 4 7 3 4" xfId="40441" xr:uid="{00000000-0005-0000-0000-000068170000}"/>
    <cellStyle name="20 % - Markeringsfarve2 4 7 4" xfId="12811" xr:uid="{00000000-0005-0000-0000-000069170000}"/>
    <cellStyle name="20 % - Markeringsfarve2 4 7 4 2" xfId="29090" xr:uid="{00000000-0005-0000-0000-00006A170000}"/>
    <cellStyle name="20 % - Markeringsfarve2 4 7 4 3" xfId="44051" xr:uid="{00000000-0005-0000-0000-00006B170000}"/>
    <cellStyle name="20 % - Markeringsfarve2 4 7 5" xfId="22088" xr:uid="{00000000-0005-0000-0000-00006C170000}"/>
    <cellStyle name="20 % - Markeringsfarve2 4 7 6" xfId="37054" xr:uid="{00000000-0005-0000-0000-00006D170000}"/>
    <cellStyle name="20 % - Markeringsfarve2 4 8" xfId="4328" xr:uid="{00000000-0005-0000-0000-00006E170000}"/>
    <cellStyle name="20 % - Markeringsfarve2 4 8 2" xfId="8964" xr:uid="{00000000-0005-0000-0000-00006F170000}"/>
    <cellStyle name="20 % - Markeringsfarve2 4 8 2 2" xfId="16828" xr:uid="{00000000-0005-0000-0000-000070170000}"/>
    <cellStyle name="20 % - Markeringsfarve2 4 8 2 2 2" xfId="33104" xr:uid="{00000000-0005-0000-0000-000071170000}"/>
    <cellStyle name="20 % - Markeringsfarve2 4 8 2 2 3" xfId="48063" xr:uid="{00000000-0005-0000-0000-000072170000}"/>
    <cellStyle name="20 % - Markeringsfarve2 4 8 2 3" xfId="26102" xr:uid="{00000000-0005-0000-0000-000073170000}"/>
    <cellStyle name="20 % - Markeringsfarve2 4 8 2 4" xfId="41066" xr:uid="{00000000-0005-0000-0000-000074170000}"/>
    <cellStyle name="20 % - Markeringsfarve2 4 8 3" xfId="12813" xr:uid="{00000000-0005-0000-0000-000075170000}"/>
    <cellStyle name="20 % - Markeringsfarve2 4 8 3 2" xfId="29092" xr:uid="{00000000-0005-0000-0000-000076170000}"/>
    <cellStyle name="20 % - Markeringsfarve2 4 8 3 3" xfId="44053" xr:uid="{00000000-0005-0000-0000-000077170000}"/>
    <cellStyle name="20 % - Markeringsfarve2 4 8 4" xfId="22090" xr:uid="{00000000-0005-0000-0000-000078170000}"/>
    <cellStyle name="20 % - Markeringsfarve2 4 8 5" xfId="37056" xr:uid="{00000000-0005-0000-0000-000079170000}"/>
    <cellStyle name="20 % - Markeringsfarve2 4 9" xfId="4329" xr:uid="{00000000-0005-0000-0000-00007A170000}"/>
    <cellStyle name="20 % - Markeringsfarve2 4 9 2" xfId="10996" xr:uid="{00000000-0005-0000-0000-00007B170000}"/>
    <cellStyle name="20 % - Markeringsfarve2 4 9 2 2" xfId="18827" xr:uid="{00000000-0005-0000-0000-00007C170000}"/>
    <cellStyle name="20 % - Markeringsfarve2 4 9 2 2 2" xfId="35103" xr:uid="{00000000-0005-0000-0000-00007D170000}"/>
    <cellStyle name="20 % - Markeringsfarve2 4 9 2 2 3" xfId="50062" xr:uid="{00000000-0005-0000-0000-00007E170000}"/>
    <cellStyle name="20 % - Markeringsfarve2 4 9 2 3" xfId="28101" xr:uid="{00000000-0005-0000-0000-00007F170000}"/>
    <cellStyle name="20 % - Markeringsfarve2 4 9 2 4" xfId="43065" xr:uid="{00000000-0005-0000-0000-000080170000}"/>
    <cellStyle name="20 % - Markeringsfarve2 4 9 3" xfId="12814" xr:uid="{00000000-0005-0000-0000-000081170000}"/>
    <cellStyle name="20 % - Markeringsfarve2 4 9 3 2" xfId="29093" xr:uid="{00000000-0005-0000-0000-000082170000}"/>
    <cellStyle name="20 % - Markeringsfarve2 4 9 3 3" xfId="44054" xr:uid="{00000000-0005-0000-0000-000083170000}"/>
    <cellStyle name="20 % - Markeringsfarve2 4 9 4" xfId="22091" xr:uid="{00000000-0005-0000-0000-000084170000}"/>
    <cellStyle name="20 % - Markeringsfarve2 4 9 5" xfId="37057" xr:uid="{00000000-0005-0000-0000-000085170000}"/>
    <cellStyle name="20 % - Markeringsfarve2 5" xfId="4330" xr:uid="{00000000-0005-0000-0000-000086170000}"/>
    <cellStyle name="20 % - Markeringsfarve2 5 10" xfId="7721" xr:uid="{00000000-0005-0000-0000-000087170000}"/>
    <cellStyle name="20 % - Markeringsfarve2 5 10 2" xfId="15586" xr:uid="{00000000-0005-0000-0000-000088170000}"/>
    <cellStyle name="20 % - Markeringsfarve2 5 10 2 2" xfId="31862" xr:uid="{00000000-0005-0000-0000-000089170000}"/>
    <cellStyle name="20 % - Markeringsfarve2 5 10 2 3" xfId="46821" xr:uid="{00000000-0005-0000-0000-00008A170000}"/>
    <cellStyle name="20 % - Markeringsfarve2 5 10 3" xfId="24860" xr:uid="{00000000-0005-0000-0000-00008B170000}"/>
    <cellStyle name="20 % - Markeringsfarve2 5 10 4" xfId="39824" xr:uid="{00000000-0005-0000-0000-00008C170000}"/>
    <cellStyle name="20 % - Markeringsfarve2 5 11" xfId="12815" xr:uid="{00000000-0005-0000-0000-00008D170000}"/>
    <cellStyle name="20 % - Markeringsfarve2 5 11 2" xfId="29094" xr:uid="{00000000-0005-0000-0000-00008E170000}"/>
    <cellStyle name="20 % - Markeringsfarve2 5 11 3" xfId="44055" xr:uid="{00000000-0005-0000-0000-00008F170000}"/>
    <cellStyle name="20 % - Markeringsfarve2 5 12" xfId="22092" xr:uid="{00000000-0005-0000-0000-000090170000}"/>
    <cellStyle name="20 % - Markeringsfarve2 5 13" xfId="37058" xr:uid="{00000000-0005-0000-0000-000091170000}"/>
    <cellStyle name="20 % - Markeringsfarve2 5 2" xfId="4331" xr:uid="{00000000-0005-0000-0000-000092170000}"/>
    <cellStyle name="20 % - Markeringsfarve2 5 2 2" xfId="4332" xr:uid="{00000000-0005-0000-0000-000093170000}"/>
    <cellStyle name="20 % - Markeringsfarve2 5 2 2 2" xfId="4333" xr:uid="{00000000-0005-0000-0000-000094170000}"/>
    <cellStyle name="20 % - Markeringsfarve2 5 2 2 2 2" xfId="9893" xr:uid="{00000000-0005-0000-0000-000095170000}"/>
    <cellStyle name="20 % - Markeringsfarve2 5 2 2 2 2 2" xfId="17748" xr:uid="{00000000-0005-0000-0000-000096170000}"/>
    <cellStyle name="20 % - Markeringsfarve2 5 2 2 2 2 2 2" xfId="34024" xr:uid="{00000000-0005-0000-0000-000097170000}"/>
    <cellStyle name="20 % - Markeringsfarve2 5 2 2 2 2 2 3" xfId="48983" xr:uid="{00000000-0005-0000-0000-000098170000}"/>
    <cellStyle name="20 % - Markeringsfarve2 5 2 2 2 2 3" xfId="27022" xr:uid="{00000000-0005-0000-0000-000099170000}"/>
    <cellStyle name="20 % - Markeringsfarve2 5 2 2 2 2 4" xfId="41986" xr:uid="{00000000-0005-0000-0000-00009A170000}"/>
    <cellStyle name="20 % - Markeringsfarve2 5 2 2 2 3" xfId="12818" xr:uid="{00000000-0005-0000-0000-00009B170000}"/>
    <cellStyle name="20 % - Markeringsfarve2 5 2 2 2 3 2" xfId="29097" xr:uid="{00000000-0005-0000-0000-00009C170000}"/>
    <cellStyle name="20 % - Markeringsfarve2 5 2 2 2 3 3" xfId="44058" xr:uid="{00000000-0005-0000-0000-00009D170000}"/>
    <cellStyle name="20 % - Markeringsfarve2 5 2 2 2 4" xfId="22095" xr:uid="{00000000-0005-0000-0000-00009E170000}"/>
    <cellStyle name="20 % - Markeringsfarve2 5 2 2 2 5" xfId="37061" xr:uid="{00000000-0005-0000-0000-00009F170000}"/>
    <cellStyle name="20 % - Markeringsfarve2 5 2 2 3" xfId="8465" xr:uid="{00000000-0005-0000-0000-0000A0170000}"/>
    <cellStyle name="20 % - Markeringsfarve2 5 2 2 3 2" xfId="16335" xr:uid="{00000000-0005-0000-0000-0000A1170000}"/>
    <cellStyle name="20 % - Markeringsfarve2 5 2 2 3 2 2" xfId="32611" xr:uid="{00000000-0005-0000-0000-0000A2170000}"/>
    <cellStyle name="20 % - Markeringsfarve2 5 2 2 3 2 3" xfId="47570" xr:uid="{00000000-0005-0000-0000-0000A3170000}"/>
    <cellStyle name="20 % - Markeringsfarve2 5 2 2 3 3" xfId="25609" xr:uid="{00000000-0005-0000-0000-0000A4170000}"/>
    <cellStyle name="20 % - Markeringsfarve2 5 2 2 3 4" xfId="40573" xr:uid="{00000000-0005-0000-0000-0000A5170000}"/>
    <cellStyle name="20 % - Markeringsfarve2 5 2 2 4" xfId="12817" xr:uid="{00000000-0005-0000-0000-0000A6170000}"/>
    <cellStyle name="20 % - Markeringsfarve2 5 2 2 4 2" xfId="29096" xr:uid="{00000000-0005-0000-0000-0000A7170000}"/>
    <cellStyle name="20 % - Markeringsfarve2 5 2 2 4 3" xfId="44057" xr:uid="{00000000-0005-0000-0000-0000A8170000}"/>
    <cellStyle name="20 % - Markeringsfarve2 5 2 2 5" xfId="22094" xr:uid="{00000000-0005-0000-0000-0000A9170000}"/>
    <cellStyle name="20 % - Markeringsfarve2 5 2 2 6" xfId="37060" xr:uid="{00000000-0005-0000-0000-0000AA170000}"/>
    <cellStyle name="20 % - Markeringsfarve2 5 2 3" xfId="4334" xr:uid="{00000000-0005-0000-0000-0000AB170000}"/>
    <cellStyle name="20 % - Markeringsfarve2 5 2 3 2" xfId="9124" xr:uid="{00000000-0005-0000-0000-0000AC170000}"/>
    <cellStyle name="20 % - Markeringsfarve2 5 2 3 2 2" xfId="16988" xr:uid="{00000000-0005-0000-0000-0000AD170000}"/>
    <cellStyle name="20 % - Markeringsfarve2 5 2 3 2 2 2" xfId="33264" xr:uid="{00000000-0005-0000-0000-0000AE170000}"/>
    <cellStyle name="20 % - Markeringsfarve2 5 2 3 2 2 3" xfId="48223" xr:uid="{00000000-0005-0000-0000-0000AF170000}"/>
    <cellStyle name="20 % - Markeringsfarve2 5 2 3 2 3" xfId="26262" xr:uid="{00000000-0005-0000-0000-0000B0170000}"/>
    <cellStyle name="20 % - Markeringsfarve2 5 2 3 2 4" xfId="41226" xr:uid="{00000000-0005-0000-0000-0000B1170000}"/>
    <cellStyle name="20 % - Markeringsfarve2 5 2 3 3" xfId="12819" xr:uid="{00000000-0005-0000-0000-0000B2170000}"/>
    <cellStyle name="20 % - Markeringsfarve2 5 2 3 3 2" xfId="29098" xr:uid="{00000000-0005-0000-0000-0000B3170000}"/>
    <cellStyle name="20 % - Markeringsfarve2 5 2 3 3 3" xfId="44059" xr:uid="{00000000-0005-0000-0000-0000B4170000}"/>
    <cellStyle name="20 % - Markeringsfarve2 5 2 3 4" xfId="22096" xr:uid="{00000000-0005-0000-0000-0000B5170000}"/>
    <cellStyle name="20 % - Markeringsfarve2 5 2 3 5" xfId="37062" xr:uid="{00000000-0005-0000-0000-0000B6170000}"/>
    <cellStyle name="20 % - Markeringsfarve2 5 2 4" xfId="4335" xr:uid="{00000000-0005-0000-0000-0000B7170000}"/>
    <cellStyle name="20 % - Markeringsfarve2 5 2 4 2" xfId="10525" xr:uid="{00000000-0005-0000-0000-0000B8170000}"/>
    <cellStyle name="20 % - Markeringsfarve2 5 2 4 2 2" xfId="18374" xr:uid="{00000000-0005-0000-0000-0000B9170000}"/>
    <cellStyle name="20 % - Markeringsfarve2 5 2 4 2 2 2" xfId="34650" xr:uid="{00000000-0005-0000-0000-0000BA170000}"/>
    <cellStyle name="20 % - Markeringsfarve2 5 2 4 2 2 3" xfId="49609" xr:uid="{00000000-0005-0000-0000-0000BB170000}"/>
    <cellStyle name="20 % - Markeringsfarve2 5 2 4 2 3" xfId="27648" xr:uid="{00000000-0005-0000-0000-0000BC170000}"/>
    <cellStyle name="20 % - Markeringsfarve2 5 2 4 2 4" xfId="42612" xr:uid="{00000000-0005-0000-0000-0000BD170000}"/>
    <cellStyle name="20 % - Markeringsfarve2 5 2 4 3" xfId="12820" xr:uid="{00000000-0005-0000-0000-0000BE170000}"/>
    <cellStyle name="20 % - Markeringsfarve2 5 2 4 3 2" xfId="29099" xr:uid="{00000000-0005-0000-0000-0000BF170000}"/>
    <cellStyle name="20 % - Markeringsfarve2 5 2 4 3 3" xfId="44060" xr:uid="{00000000-0005-0000-0000-0000C0170000}"/>
    <cellStyle name="20 % - Markeringsfarve2 5 2 4 4" xfId="22097" xr:uid="{00000000-0005-0000-0000-0000C1170000}"/>
    <cellStyle name="20 % - Markeringsfarve2 5 2 4 5" xfId="37063" xr:uid="{00000000-0005-0000-0000-0000C2170000}"/>
    <cellStyle name="20 % - Markeringsfarve2 5 2 5" xfId="7722" xr:uid="{00000000-0005-0000-0000-0000C3170000}"/>
    <cellStyle name="20 % - Markeringsfarve2 5 2 5 2" xfId="15587" xr:uid="{00000000-0005-0000-0000-0000C4170000}"/>
    <cellStyle name="20 % - Markeringsfarve2 5 2 5 2 2" xfId="31863" xr:uid="{00000000-0005-0000-0000-0000C5170000}"/>
    <cellStyle name="20 % - Markeringsfarve2 5 2 5 2 3" xfId="46822" xr:uid="{00000000-0005-0000-0000-0000C6170000}"/>
    <cellStyle name="20 % - Markeringsfarve2 5 2 5 3" xfId="24861" xr:uid="{00000000-0005-0000-0000-0000C7170000}"/>
    <cellStyle name="20 % - Markeringsfarve2 5 2 5 4" xfId="39825" xr:uid="{00000000-0005-0000-0000-0000C8170000}"/>
    <cellStyle name="20 % - Markeringsfarve2 5 2 6" xfId="12816" xr:uid="{00000000-0005-0000-0000-0000C9170000}"/>
    <cellStyle name="20 % - Markeringsfarve2 5 2 6 2" xfId="29095" xr:uid="{00000000-0005-0000-0000-0000CA170000}"/>
    <cellStyle name="20 % - Markeringsfarve2 5 2 6 3" xfId="44056" xr:uid="{00000000-0005-0000-0000-0000CB170000}"/>
    <cellStyle name="20 % - Markeringsfarve2 5 2 7" xfId="22093" xr:uid="{00000000-0005-0000-0000-0000CC170000}"/>
    <cellStyle name="20 % - Markeringsfarve2 5 2 8" xfId="37059" xr:uid="{00000000-0005-0000-0000-0000CD170000}"/>
    <cellStyle name="20 % - Markeringsfarve2 5 3" xfId="4336" xr:uid="{00000000-0005-0000-0000-0000CE170000}"/>
    <cellStyle name="20 % - Markeringsfarve2 5 3 2" xfId="4337" xr:uid="{00000000-0005-0000-0000-0000CF170000}"/>
    <cellStyle name="20 % - Markeringsfarve2 5 3 2 2" xfId="4338" xr:uid="{00000000-0005-0000-0000-0000D0170000}"/>
    <cellStyle name="20 % - Markeringsfarve2 5 3 2 2 2" xfId="9947" xr:uid="{00000000-0005-0000-0000-0000D1170000}"/>
    <cellStyle name="20 % - Markeringsfarve2 5 3 2 2 2 2" xfId="17802" xr:uid="{00000000-0005-0000-0000-0000D2170000}"/>
    <cellStyle name="20 % - Markeringsfarve2 5 3 2 2 2 2 2" xfId="34078" xr:uid="{00000000-0005-0000-0000-0000D3170000}"/>
    <cellStyle name="20 % - Markeringsfarve2 5 3 2 2 2 2 3" xfId="49037" xr:uid="{00000000-0005-0000-0000-0000D4170000}"/>
    <cellStyle name="20 % - Markeringsfarve2 5 3 2 2 2 3" xfId="27076" xr:uid="{00000000-0005-0000-0000-0000D5170000}"/>
    <cellStyle name="20 % - Markeringsfarve2 5 3 2 2 2 4" xfId="42040" xr:uid="{00000000-0005-0000-0000-0000D6170000}"/>
    <cellStyle name="20 % - Markeringsfarve2 5 3 2 2 3" xfId="12823" xr:uid="{00000000-0005-0000-0000-0000D7170000}"/>
    <cellStyle name="20 % - Markeringsfarve2 5 3 2 2 3 2" xfId="29102" xr:uid="{00000000-0005-0000-0000-0000D8170000}"/>
    <cellStyle name="20 % - Markeringsfarve2 5 3 2 2 3 3" xfId="44063" xr:uid="{00000000-0005-0000-0000-0000D9170000}"/>
    <cellStyle name="20 % - Markeringsfarve2 5 3 2 2 4" xfId="22100" xr:uid="{00000000-0005-0000-0000-0000DA170000}"/>
    <cellStyle name="20 % - Markeringsfarve2 5 3 2 2 5" xfId="37066" xr:uid="{00000000-0005-0000-0000-0000DB170000}"/>
    <cellStyle name="20 % - Markeringsfarve2 5 3 2 3" xfId="8512" xr:uid="{00000000-0005-0000-0000-0000DC170000}"/>
    <cellStyle name="20 % - Markeringsfarve2 5 3 2 3 2" xfId="16382" xr:uid="{00000000-0005-0000-0000-0000DD170000}"/>
    <cellStyle name="20 % - Markeringsfarve2 5 3 2 3 2 2" xfId="32658" xr:uid="{00000000-0005-0000-0000-0000DE170000}"/>
    <cellStyle name="20 % - Markeringsfarve2 5 3 2 3 2 3" xfId="47617" xr:uid="{00000000-0005-0000-0000-0000DF170000}"/>
    <cellStyle name="20 % - Markeringsfarve2 5 3 2 3 3" xfId="25656" xr:uid="{00000000-0005-0000-0000-0000E0170000}"/>
    <cellStyle name="20 % - Markeringsfarve2 5 3 2 3 4" xfId="40620" xr:uid="{00000000-0005-0000-0000-0000E1170000}"/>
    <cellStyle name="20 % - Markeringsfarve2 5 3 2 4" xfId="12822" xr:uid="{00000000-0005-0000-0000-0000E2170000}"/>
    <cellStyle name="20 % - Markeringsfarve2 5 3 2 4 2" xfId="29101" xr:uid="{00000000-0005-0000-0000-0000E3170000}"/>
    <cellStyle name="20 % - Markeringsfarve2 5 3 2 4 3" xfId="44062" xr:uid="{00000000-0005-0000-0000-0000E4170000}"/>
    <cellStyle name="20 % - Markeringsfarve2 5 3 2 5" xfId="22099" xr:uid="{00000000-0005-0000-0000-0000E5170000}"/>
    <cellStyle name="20 % - Markeringsfarve2 5 3 2 6" xfId="37065" xr:uid="{00000000-0005-0000-0000-0000E6170000}"/>
    <cellStyle name="20 % - Markeringsfarve2 5 3 3" xfId="4339" xr:uid="{00000000-0005-0000-0000-0000E7170000}"/>
    <cellStyle name="20 % - Markeringsfarve2 5 3 3 2" xfId="9178" xr:uid="{00000000-0005-0000-0000-0000E8170000}"/>
    <cellStyle name="20 % - Markeringsfarve2 5 3 3 2 2" xfId="17042" xr:uid="{00000000-0005-0000-0000-0000E9170000}"/>
    <cellStyle name="20 % - Markeringsfarve2 5 3 3 2 2 2" xfId="33318" xr:uid="{00000000-0005-0000-0000-0000EA170000}"/>
    <cellStyle name="20 % - Markeringsfarve2 5 3 3 2 2 3" xfId="48277" xr:uid="{00000000-0005-0000-0000-0000EB170000}"/>
    <cellStyle name="20 % - Markeringsfarve2 5 3 3 2 3" xfId="26316" xr:uid="{00000000-0005-0000-0000-0000EC170000}"/>
    <cellStyle name="20 % - Markeringsfarve2 5 3 3 2 4" xfId="41280" xr:uid="{00000000-0005-0000-0000-0000ED170000}"/>
    <cellStyle name="20 % - Markeringsfarve2 5 3 3 3" xfId="12824" xr:uid="{00000000-0005-0000-0000-0000EE170000}"/>
    <cellStyle name="20 % - Markeringsfarve2 5 3 3 3 2" xfId="29103" xr:uid="{00000000-0005-0000-0000-0000EF170000}"/>
    <cellStyle name="20 % - Markeringsfarve2 5 3 3 3 3" xfId="44064" xr:uid="{00000000-0005-0000-0000-0000F0170000}"/>
    <cellStyle name="20 % - Markeringsfarve2 5 3 3 4" xfId="22101" xr:uid="{00000000-0005-0000-0000-0000F1170000}"/>
    <cellStyle name="20 % - Markeringsfarve2 5 3 3 5" xfId="37067" xr:uid="{00000000-0005-0000-0000-0000F2170000}"/>
    <cellStyle name="20 % - Markeringsfarve2 5 3 4" xfId="4340" xr:uid="{00000000-0005-0000-0000-0000F3170000}"/>
    <cellStyle name="20 % - Markeringsfarve2 5 3 4 2" xfId="10524" xr:uid="{00000000-0005-0000-0000-0000F4170000}"/>
    <cellStyle name="20 % - Markeringsfarve2 5 3 4 2 2" xfId="18373" xr:uid="{00000000-0005-0000-0000-0000F5170000}"/>
    <cellStyle name="20 % - Markeringsfarve2 5 3 4 2 2 2" xfId="34649" xr:uid="{00000000-0005-0000-0000-0000F6170000}"/>
    <cellStyle name="20 % - Markeringsfarve2 5 3 4 2 2 3" xfId="49608" xr:uid="{00000000-0005-0000-0000-0000F7170000}"/>
    <cellStyle name="20 % - Markeringsfarve2 5 3 4 2 3" xfId="27647" xr:uid="{00000000-0005-0000-0000-0000F8170000}"/>
    <cellStyle name="20 % - Markeringsfarve2 5 3 4 2 4" xfId="42611" xr:uid="{00000000-0005-0000-0000-0000F9170000}"/>
    <cellStyle name="20 % - Markeringsfarve2 5 3 4 3" xfId="12825" xr:uid="{00000000-0005-0000-0000-0000FA170000}"/>
    <cellStyle name="20 % - Markeringsfarve2 5 3 4 3 2" xfId="29104" xr:uid="{00000000-0005-0000-0000-0000FB170000}"/>
    <cellStyle name="20 % - Markeringsfarve2 5 3 4 3 3" xfId="44065" xr:uid="{00000000-0005-0000-0000-0000FC170000}"/>
    <cellStyle name="20 % - Markeringsfarve2 5 3 4 4" xfId="22102" xr:uid="{00000000-0005-0000-0000-0000FD170000}"/>
    <cellStyle name="20 % - Markeringsfarve2 5 3 4 5" xfId="37068" xr:uid="{00000000-0005-0000-0000-0000FE170000}"/>
    <cellStyle name="20 % - Markeringsfarve2 5 3 5" xfId="7723" xr:uid="{00000000-0005-0000-0000-0000FF170000}"/>
    <cellStyle name="20 % - Markeringsfarve2 5 3 5 2" xfId="15588" xr:uid="{00000000-0005-0000-0000-000000180000}"/>
    <cellStyle name="20 % - Markeringsfarve2 5 3 5 2 2" xfId="31864" xr:uid="{00000000-0005-0000-0000-000001180000}"/>
    <cellStyle name="20 % - Markeringsfarve2 5 3 5 2 3" xfId="46823" xr:uid="{00000000-0005-0000-0000-000002180000}"/>
    <cellStyle name="20 % - Markeringsfarve2 5 3 5 3" xfId="24862" xr:uid="{00000000-0005-0000-0000-000003180000}"/>
    <cellStyle name="20 % - Markeringsfarve2 5 3 5 4" xfId="39826" xr:uid="{00000000-0005-0000-0000-000004180000}"/>
    <cellStyle name="20 % - Markeringsfarve2 5 3 6" xfId="12821" xr:uid="{00000000-0005-0000-0000-000005180000}"/>
    <cellStyle name="20 % - Markeringsfarve2 5 3 6 2" xfId="29100" xr:uid="{00000000-0005-0000-0000-000006180000}"/>
    <cellStyle name="20 % - Markeringsfarve2 5 3 6 3" xfId="44061" xr:uid="{00000000-0005-0000-0000-000007180000}"/>
    <cellStyle name="20 % - Markeringsfarve2 5 3 7" xfId="22098" xr:uid="{00000000-0005-0000-0000-000008180000}"/>
    <cellStyle name="20 % - Markeringsfarve2 5 3 8" xfId="37064" xr:uid="{00000000-0005-0000-0000-000009180000}"/>
    <cellStyle name="20 % - Markeringsfarve2 5 4" xfId="4341" xr:uid="{00000000-0005-0000-0000-00000A180000}"/>
    <cellStyle name="20 % - Markeringsfarve2 5 4 2" xfId="4342" xr:uid="{00000000-0005-0000-0000-00000B180000}"/>
    <cellStyle name="20 % - Markeringsfarve2 5 4 2 2" xfId="4343" xr:uid="{00000000-0005-0000-0000-00000C180000}"/>
    <cellStyle name="20 % - Markeringsfarve2 5 4 2 2 2" xfId="10131" xr:uid="{00000000-0005-0000-0000-00000D180000}"/>
    <cellStyle name="20 % - Markeringsfarve2 5 4 2 2 2 2" xfId="17986" xr:uid="{00000000-0005-0000-0000-00000E180000}"/>
    <cellStyle name="20 % - Markeringsfarve2 5 4 2 2 2 2 2" xfId="34262" xr:uid="{00000000-0005-0000-0000-00000F180000}"/>
    <cellStyle name="20 % - Markeringsfarve2 5 4 2 2 2 2 3" xfId="49221" xr:uid="{00000000-0005-0000-0000-000010180000}"/>
    <cellStyle name="20 % - Markeringsfarve2 5 4 2 2 2 3" xfId="27260" xr:uid="{00000000-0005-0000-0000-000011180000}"/>
    <cellStyle name="20 % - Markeringsfarve2 5 4 2 2 2 4" xfId="42224" xr:uid="{00000000-0005-0000-0000-000012180000}"/>
    <cellStyle name="20 % - Markeringsfarve2 5 4 2 2 3" xfId="12828" xr:uid="{00000000-0005-0000-0000-000013180000}"/>
    <cellStyle name="20 % - Markeringsfarve2 5 4 2 2 3 2" xfId="29107" xr:uid="{00000000-0005-0000-0000-000014180000}"/>
    <cellStyle name="20 % - Markeringsfarve2 5 4 2 2 3 3" xfId="44068" xr:uid="{00000000-0005-0000-0000-000015180000}"/>
    <cellStyle name="20 % - Markeringsfarve2 5 4 2 2 4" xfId="22105" xr:uid="{00000000-0005-0000-0000-000016180000}"/>
    <cellStyle name="20 % - Markeringsfarve2 5 4 2 2 5" xfId="37071" xr:uid="{00000000-0005-0000-0000-000017180000}"/>
    <cellStyle name="20 % - Markeringsfarve2 5 4 2 3" xfId="8667" xr:uid="{00000000-0005-0000-0000-000018180000}"/>
    <cellStyle name="20 % - Markeringsfarve2 5 4 2 3 2" xfId="16534" xr:uid="{00000000-0005-0000-0000-000019180000}"/>
    <cellStyle name="20 % - Markeringsfarve2 5 4 2 3 2 2" xfId="32810" xr:uid="{00000000-0005-0000-0000-00001A180000}"/>
    <cellStyle name="20 % - Markeringsfarve2 5 4 2 3 2 3" xfId="47769" xr:uid="{00000000-0005-0000-0000-00001B180000}"/>
    <cellStyle name="20 % - Markeringsfarve2 5 4 2 3 3" xfId="25808" xr:uid="{00000000-0005-0000-0000-00001C180000}"/>
    <cellStyle name="20 % - Markeringsfarve2 5 4 2 3 4" xfId="40772" xr:uid="{00000000-0005-0000-0000-00001D180000}"/>
    <cellStyle name="20 % - Markeringsfarve2 5 4 2 4" xfId="12827" xr:uid="{00000000-0005-0000-0000-00001E180000}"/>
    <cellStyle name="20 % - Markeringsfarve2 5 4 2 4 2" xfId="29106" xr:uid="{00000000-0005-0000-0000-00001F180000}"/>
    <cellStyle name="20 % - Markeringsfarve2 5 4 2 4 3" xfId="44067" xr:uid="{00000000-0005-0000-0000-000020180000}"/>
    <cellStyle name="20 % - Markeringsfarve2 5 4 2 5" xfId="22104" xr:uid="{00000000-0005-0000-0000-000021180000}"/>
    <cellStyle name="20 % - Markeringsfarve2 5 4 2 6" xfId="37070" xr:uid="{00000000-0005-0000-0000-000022180000}"/>
    <cellStyle name="20 % - Markeringsfarve2 5 4 3" xfId="4344" xr:uid="{00000000-0005-0000-0000-000023180000}"/>
    <cellStyle name="20 % - Markeringsfarve2 5 4 3 2" xfId="9408" xr:uid="{00000000-0005-0000-0000-000024180000}"/>
    <cellStyle name="20 % - Markeringsfarve2 5 4 3 2 2" xfId="17271" xr:uid="{00000000-0005-0000-0000-000025180000}"/>
    <cellStyle name="20 % - Markeringsfarve2 5 4 3 2 2 2" xfId="33547" xr:uid="{00000000-0005-0000-0000-000026180000}"/>
    <cellStyle name="20 % - Markeringsfarve2 5 4 3 2 2 3" xfId="48506" xr:uid="{00000000-0005-0000-0000-000027180000}"/>
    <cellStyle name="20 % - Markeringsfarve2 5 4 3 2 3" xfId="26545" xr:uid="{00000000-0005-0000-0000-000028180000}"/>
    <cellStyle name="20 % - Markeringsfarve2 5 4 3 2 4" xfId="41509" xr:uid="{00000000-0005-0000-0000-000029180000}"/>
    <cellStyle name="20 % - Markeringsfarve2 5 4 3 3" xfId="12829" xr:uid="{00000000-0005-0000-0000-00002A180000}"/>
    <cellStyle name="20 % - Markeringsfarve2 5 4 3 3 2" xfId="29108" xr:uid="{00000000-0005-0000-0000-00002B180000}"/>
    <cellStyle name="20 % - Markeringsfarve2 5 4 3 3 3" xfId="44069" xr:uid="{00000000-0005-0000-0000-00002C180000}"/>
    <cellStyle name="20 % - Markeringsfarve2 5 4 3 4" xfId="22106" xr:uid="{00000000-0005-0000-0000-00002D180000}"/>
    <cellStyle name="20 % - Markeringsfarve2 5 4 3 5" xfId="37072" xr:uid="{00000000-0005-0000-0000-00002E180000}"/>
    <cellStyle name="20 % - Markeringsfarve2 5 4 4" xfId="4345" xr:uid="{00000000-0005-0000-0000-00002F180000}"/>
    <cellStyle name="20 % - Markeringsfarve2 5 4 4 2" xfId="10523" xr:uid="{00000000-0005-0000-0000-000030180000}"/>
    <cellStyle name="20 % - Markeringsfarve2 5 4 4 2 2" xfId="18372" xr:uid="{00000000-0005-0000-0000-000031180000}"/>
    <cellStyle name="20 % - Markeringsfarve2 5 4 4 2 2 2" xfId="34648" xr:uid="{00000000-0005-0000-0000-000032180000}"/>
    <cellStyle name="20 % - Markeringsfarve2 5 4 4 2 2 3" xfId="49607" xr:uid="{00000000-0005-0000-0000-000033180000}"/>
    <cellStyle name="20 % - Markeringsfarve2 5 4 4 2 3" xfId="27646" xr:uid="{00000000-0005-0000-0000-000034180000}"/>
    <cellStyle name="20 % - Markeringsfarve2 5 4 4 2 4" xfId="42610" xr:uid="{00000000-0005-0000-0000-000035180000}"/>
    <cellStyle name="20 % - Markeringsfarve2 5 4 4 3" xfId="12830" xr:uid="{00000000-0005-0000-0000-000036180000}"/>
    <cellStyle name="20 % - Markeringsfarve2 5 4 4 3 2" xfId="29109" xr:uid="{00000000-0005-0000-0000-000037180000}"/>
    <cellStyle name="20 % - Markeringsfarve2 5 4 4 3 3" xfId="44070" xr:uid="{00000000-0005-0000-0000-000038180000}"/>
    <cellStyle name="20 % - Markeringsfarve2 5 4 4 4" xfId="22107" xr:uid="{00000000-0005-0000-0000-000039180000}"/>
    <cellStyle name="20 % - Markeringsfarve2 5 4 4 5" xfId="37073" xr:uid="{00000000-0005-0000-0000-00003A180000}"/>
    <cellStyle name="20 % - Markeringsfarve2 5 4 5" xfId="7724" xr:uid="{00000000-0005-0000-0000-00003B180000}"/>
    <cellStyle name="20 % - Markeringsfarve2 5 4 5 2" xfId="15589" xr:uid="{00000000-0005-0000-0000-00003C180000}"/>
    <cellStyle name="20 % - Markeringsfarve2 5 4 5 2 2" xfId="31865" xr:uid="{00000000-0005-0000-0000-00003D180000}"/>
    <cellStyle name="20 % - Markeringsfarve2 5 4 5 2 3" xfId="46824" xr:uid="{00000000-0005-0000-0000-00003E180000}"/>
    <cellStyle name="20 % - Markeringsfarve2 5 4 5 3" xfId="24863" xr:uid="{00000000-0005-0000-0000-00003F180000}"/>
    <cellStyle name="20 % - Markeringsfarve2 5 4 5 4" xfId="39827" xr:uid="{00000000-0005-0000-0000-000040180000}"/>
    <cellStyle name="20 % - Markeringsfarve2 5 4 6" xfId="12826" xr:uid="{00000000-0005-0000-0000-000041180000}"/>
    <cellStyle name="20 % - Markeringsfarve2 5 4 6 2" xfId="29105" xr:uid="{00000000-0005-0000-0000-000042180000}"/>
    <cellStyle name="20 % - Markeringsfarve2 5 4 6 3" xfId="44066" xr:uid="{00000000-0005-0000-0000-000043180000}"/>
    <cellStyle name="20 % - Markeringsfarve2 5 4 7" xfId="22103" xr:uid="{00000000-0005-0000-0000-000044180000}"/>
    <cellStyle name="20 % - Markeringsfarve2 5 4 8" xfId="37069" xr:uid="{00000000-0005-0000-0000-000045180000}"/>
    <cellStyle name="20 % - Markeringsfarve2 5 5" xfId="4346" xr:uid="{00000000-0005-0000-0000-000046180000}"/>
    <cellStyle name="20 % - Markeringsfarve2 5 5 2" xfId="4347" xr:uid="{00000000-0005-0000-0000-000047180000}"/>
    <cellStyle name="20 % - Markeringsfarve2 5 5 2 2" xfId="4348" xr:uid="{00000000-0005-0000-0000-000048180000}"/>
    <cellStyle name="20 % - Markeringsfarve2 5 5 2 2 2" xfId="10248" xr:uid="{00000000-0005-0000-0000-000049180000}"/>
    <cellStyle name="20 % - Markeringsfarve2 5 5 2 2 2 2" xfId="18103" xr:uid="{00000000-0005-0000-0000-00004A180000}"/>
    <cellStyle name="20 % - Markeringsfarve2 5 5 2 2 2 2 2" xfId="34379" xr:uid="{00000000-0005-0000-0000-00004B180000}"/>
    <cellStyle name="20 % - Markeringsfarve2 5 5 2 2 2 2 3" xfId="49338" xr:uid="{00000000-0005-0000-0000-00004C180000}"/>
    <cellStyle name="20 % - Markeringsfarve2 5 5 2 2 2 3" xfId="27377" xr:uid="{00000000-0005-0000-0000-00004D180000}"/>
    <cellStyle name="20 % - Markeringsfarve2 5 5 2 2 2 4" xfId="42341" xr:uid="{00000000-0005-0000-0000-00004E180000}"/>
    <cellStyle name="20 % - Markeringsfarve2 5 5 2 2 3" xfId="12833" xr:uid="{00000000-0005-0000-0000-00004F180000}"/>
    <cellStyle name="20 % - Markeringsfarve2 5 5 2 2 3 2" xfId="29112" xr:uid="{00000000-0005-0000-0000-000050180000}"/>
    <cellStyle name="20 % - Markeringsfarve2 5 5 2 2 3 3" xfId="44073" xr:uid="{00000000-0005-0000-0000-000051180000}"/>
    <cellStyle name="20 % - Markeringsfarve2 5 5 2 2 4" xfId="22110" xr:uid="{00000000-0005-0000-0000-000052180000}"/>
    <cellStyle name="20 % - Markeringsfarve2 5 5 2 2 5" xfId="37076" xr:uid="{00000000-0005-0000-0000-000053180000}"/>
    <cellStyle name="20 % - Markeringsfarve2 5 5 2 3" xfId="8766" xr:uid="{00000000-0005-0000-0000-000054180000}"/>
    <cellStyle name="20 % - Markeringsfarve2 5 5 2 3 2" xfId="16633" xr:uid="{00000000-0005-0000-0000-000055180000}"/>
    <cellStyle name="20 % - Markeringsfarve2 5 5 2 3 2 2" xfId="32909" xr:uid="{00000000-0005-0000-0000-000056180000}"/>
    <cellStyle name="20 % - Markeringsfarve2 5 5 2 3 2 3" xfId="47868" xr:uid="{00000000-0005-0000-0000-000057180000}"/>
    <cellStyle name="20 % - Markeringsfarve2 5 5 2 3 3" xfId="25907" xr:uid="{00000000-0005-0000-0000-000058180000}"/>
    <cellStyle name="20 % - Markeringsfarve2 5 5 2 3 4" xfId="40871" xr:uid="{00000000-0005-0000-0000-000059180000}"/>
    <cellStyle name="20 % - Markeringsfarve2 5 5 2 4" xfId="12832" xr:uid="{00000000-0005-0000-0000-00005A180000}"/>
    <cellStyle name="20 % - Markeringsfarve2 5 5 2 4 2" xfId="29111" xr:uid="{00000000-0005-0000-0000-00005B180000}"/>
    <cellStyle name="20 % - Markeringsfarve2 5 5 2 4 3" xfId="44072" xr:uid="{00000000-0005-0000-0000-00005C180000}"/>
    <cellStyle name="20 % - Markeringsfarve2 5 5 2 5" xfId="22109" xr:uid="{00000000-0005-0000-0000-00005D180000}"/>
    <cellStyle name="20 % - Markeringsfarve2 5 5 2 6" xfId="37075" xr:uid="{00000000-0005-0000-0000-00005E180000}"/>
    <cellStyle name="20 % - Markeringsfarve2 5 5 3" xfId="4349" xr:uid="{00000000-0005-0000-0000-00005F180000}"/>
    <cellStyle name="20 % - Markeringsfarve2 5 5 3 2" xfId="9525" xr:uid="{00000000-0005-0000-0000-000060180000}"/>
    <cellStyle name="20 % - Markeringsfarve2 5 5 3 2 2" xfId="17388" xr:uid="{00000000-0005-0000-0000-000061180000}"/>
    <cellStyle name="20 % - Markeringsfarve2 5 5 3 2 2 2" xfId="33664" xr:uid="{00000000-0005-0000-0000-000062180000}"/>
    <cellStyle name="20 % - Markeringsfarve2 5 5 3 2 2 3" xfId="48623" xr:uid="{00000000-0005-0000-0000-000063180000}"/>
    <cellStyle name="20 % - Markeringsfarve2 5 5 3 2 3" xfId="26662" xr:uid="{00000000-0005-0000-0000-000064180000}"/>
    <cellStyle name="20 % - Markeringsfarve2 5 5 3 2 4" xfId="41626" xr:uid="{00000000-0005-0000-0000-000065180000}"/>
    <cellStyle name="20 % - Markeringsfarve2 5 5 3 3" xfId="12834" xr:uid="{00000000-0005-0000-0000-000066180000}"/>
    <cellStyle name="20 % - Markeringsfarve2 5 5 3 3 2" xfId="29113" xr:uid="{00000000-0005-0000-0000-000067180000}"/>
    <cellStyle name="20 % - Markeringsfarve2 5 5 3 3 3" xfId="44074" xr:uid="{00000000-0005-0000-0000-000068180000}"/>
    <cellStyle name="20 % - Markeringsfarve2 5 5 3 4" xfId="22111" xr:uid="{00000000-0005-0000-0000-000069180000}"/>
    <cellStyle name="20 % - Markeringsfarve2 5 5 3 5" xfId="37077" xr:uid="{00000000-0005-0000-0000-00006A180000}"/>
    <cellStyle name="20 % - Markeringsfarve2 5 5 4" xfId="4350" xr:uid="{00000000-0005-0000-0000-00006B180000}"/>
    <cellStyle name="20 % - Markeringsfarve2 5 5 4 2" xfId="9042" xr:uid="{00000000-0005-0000-0000-00006C180000}"/>
    <cellStyle name="20 % - Markeringsfarve2 5 5 4 2 2" xfId="16906" xr:uid="{00000000-0005-0000-0000-00006D180000}"/>
    <cellStyle name="20 % - Markeringsfarve2 5 5 4 2 2 2" xfId="33182" xr:uid="{00000000-0005-0000-0000-00006E180000}"/>
    <cellStyle name="20 % - Markeringsfarve2 5 5 4 2 2 3" xfId="48141" xr:uid="{00000000-0005-0000-0000-00006F180000}"/>
    <cellStyle name="20 % - Markeringsfarve2 5 5 4 2 3" xfId="26180" xr:uid="{00000000-0005-0000-0000-000070180000}"/>
    <cellStyle name="20 % - Markeringsfarve2 5 5 4 2 4" xfId="41144" xr:uid="{00000000-0005-0000-0000-000071180000}"/>
    <cellStyle name="20 % - Markeringsfarve2 5 5 4 3" xfId="12835" xr:uid="{00000000-0005-0000-0000-000072180000}"/>
    <cellStyle name="20 % - Markeringsfarve2 5 5 4 3 2" xfId="29114" xr:uid="{00000000-0005-0000-0000-000073180000}"/>
    <cellStyle name="20 % - Markeringsfarve2 5 5 4 3 3" xfId="44075" xr:uid="{00000000-0005-0000-0000-000074180000}"/>
    <cellStyle name="20 % - Markeringsfarve2 5 5 4 4" xfId="22112" xr:uid="{00000000-0005-0000-0000-000075180000}"/>
    <cellStyle name="20 % - Markeringsfarve2 5 5 4 5" xfId="37078" xr:uid="{00000000-0005-0000-0000-000076180000}"/>
    <cellStyle name="20 % - Markeringsfarve2 5 5 5" xfId="7725" xr:uid="{00000000-0005-0000-0000-000077180000}"/>
    <cellStyle name="20 % - Markeringsfarve2 5 5 5 2" xfId="15590" xr:uid="{00000000-0005-0000-0000-000078180000}"/>
    <cellStyle name="20 % - Markeringsfarve2 5 5 5 2 2" xfId="31866" xr:uid="{00000000-0005-0000-0000-000079180000}"/>
    <cellStyle name="20 % - Markeringsfarve2 5 5 5 2 3" xfId="46825" xr:uid="{00000000-0005-0000-0000-00007A180000}"/>
    <cellStyle name="20 % - Markeringsfarve2 5 5 5 3" xfId="24864" xr:uid="{00000000-0005-0000-0000-00007B180000}"/>
    <cellStyle name="20 % - Markeringsfarve2 5 5 5 4" xfId="39828" xr:uid="{00000000-0005-0000-0000-00007C180000}"/>
    <cellStyle name="20 % - Markeringsfarve2 5 5 6" xfId="12831" xr:uid="{00000000-0005-0000-0000-00007D180000}"/>
    <cellStyle name="20 % - Markeringsfarve2 5 5 6 2" xfId="29110" xr:uid="{00000000-0005-0000-0000-00007E180000}"/>
    <cellStyle name="20 % - Markeringsfarve2 5 5 6 3" xfId="44071" xr:uid="{00000000-0005-0000-0000-00007F180000}"/>
    <cellStyle name="20 % - Markeringsfarve2 5 5 7" xfId="22108" xr:uid="{00000000-0005-0000-0000-000080180000}"/>
    <cellStyle name="20 % - Markeringsfarve2 5 5 8" xfId="37074" xr:uid="{00000000-0005-0000-0000-000081180000}"/>
    <cellStyle name="20 % - Markeringsfarve2 5 6" xfId="4351" xr:uid="{00000000-0005-0000-0000-000082180000}"/>
    <cellStyle name="20 % - Markeringsfarve2 5 6 2" xfId="4352" xr:uid="{00000000-0005-0000-0000-000083180000}"/>
    <cellStyle name="20 % - Markeringsfarve2 5 6 2 2" xfId="4353" xr:uid="{00000000-0005-0000-0000-000084180000}"/>
    <cellStyle name="20 % - Markeringsfarve2 5 6 2 2 2" xfId="10302" xr:uid="{00000000-0005-0000-0000-000085180000}"/>
    <cellStyle name="20 % - Markeringsfarve2 5 6 2 2 2 2" xfId="18157" xr:uid="{00000000-0005-0000-0000-000086180000}"/>
    <cellStyle name="20 % - Markeringsfarve2 5 6 2 2 2 2 2" xfId="34433" xr:uid="{00000000-0005-0000-0000-000087180000}"/>
    <cellStyle name="20 % - Markeringsfarve2 5 6 2 2 2 2 3" xfId="49392" xr:uid="{00000000-0005-0000-0000-000088180000}"/>
    <cellStyle name="20 % - Markeringsfarve2 5 6 2 2 2 3" xfId="27431" xr:uid="{00000000-0005-0000-0000-000089180000}"/>
    <cellStyle name="20 % - Markeringsfarve2 5 6 2 2 2 4" xfId="42395" xr:uid="{00000000-0005-0000-0000-00008A180000}"/>
    <cellStyle name="20 % - Markeringsfarve2 5 6 2 2 3" xfId="12838" xr:uid="{00000000-0005-0000-0000-00008B180000}"/>
    <cellStyle name="20 % - Markeringsfarve2 5 6 2 2 3 2" xfId="29117" xr:uid="{00000000-0005-0000-0000-00008C180000}"/>
    <cellStyle name="20 % - Markeringsfarve2 5 6 2 2 3 3" xfId="44078" xr:uid="{00000000-0005-0000-0000-00008D180000}"/>
    <cellStyle name="20 % - Markeringsfarve2 5 6 2 2 4" xfId="22115" xr:uid="{00000000-0005-0000-0000-00008E180000}"/>
    <cellStyle name="20 % - Markeringsfarve2 5 6 2 2 5" xfId="37081" xr:uid="{00000000-0005-0000-0000-00008F180000}"/>
    <cellStyle name="20 % - Markeringsfarve2 5 6 2 3" xfId="8814" xr:uid="{00000000-0005-0000-0000-000090180000}"/>
    <cellStyle name="20 % - Markeringsfarve2 5 6 2 3 2" xfId="16681" xr:uid="{00000000-0005-0000-0000-000091180000}"/>
    <cellStyle name="20 % - Markeringsfarve2 5 6 2 3 2 2" xfId="32957" xr:uid="{00000000-0005-0000-0000-000092180000}"/>
    <cellStyle name="20 % - Markeringsfarve2 5 6 2 3 2 3" xfId="47916" xr:uid="{00000000-0005-0000-0000-000093180000}"/>
    <cellStyle name="20 % - Markeringsfarve2 5 6 2 3 3" xfId="25955" xr:uid="{00000000-0005-0000-0000-000094180000}"/>
    <cellStyle name="20 % - Markeringsfarve2 5 6 2 3 4" xfId="40919" xr:uid="{00000000-0005-0000-0000-000095180000}"/>
    <cellStyle name="20 % - Markeringsfarve2 5 6 2 4" xfId="12837" xr:uid="{00000000-0005-0000-0000-000096180000}"/>
    <cellStyle name="20 % - Markeringsfarve2 5 6 2 4 2" xfId="29116" xr:uid="{00000000-0005-0000-0000-000097180000}"/>
    <cellStyle name="20 % - Markeringsfarve2 5 6 2 4 3" xfId="44077" xr:uid="{00000000-0005-0000-0000-000098180000}"/>
    <cellStyle name="20 % - Markeringsfarve2 5 6 2 5" xfId="22114" xr:uid="{00000000-0005-0000-0000-000099180000}"/>
    <cellStyle name="20 % - Markeringsfarve2 5 6 2 6" xfId="37080" xr:uid="{00000000-0005-0000-0000-00009A180000}"/>
    <cellStyle name="20 % - Markeringsfarve2 5 6 3" xfId="4354" xr:uid="{00000000-0005-0000-0000-00009B180000}"/>
    <cellStyle name="20 % - Markeringsfarve2 5 6 3 2" xfId="9580" xr:uid="{00000000-0005-0000-0000-00009C180000}"/>
    <cellStyle name="20 % - Markeringsfarve2 5 6 3 2 2" xfId="17443" xr:uid="{00000000-0005-0000-0000-00009D180000}"/>
    <cellStyle name="20 % - Markeringsfarve2 5 6 3 2 2 2" xfId="33719" xr:uid="{00000000-0005-0000-0000-00009E180000}"/>
    <cellStyle name="20 % - Markeringsfarve2 5 6 3 2 2 3" xfId="48678" xr:uid="{00000000-0005-0000-0000-00009F180000}"/>
    <cellStyle name="20 % - Markeringsfarve2 5 6 3 2 3" xfId="26717" xr:uid="{00000000-0005-0000-0000-0000A0180000}"/>
    <cellStyle name="20 % - Markeringsfarve2 5 6 3 2 4" xfId="41681" xr:uid="{00000000-0005-0000-0000-0000A1180000}"/>
    <cellStyle name="20 % - Markeringsfarve2 5 6 3 3" xfId="12839" xr:uid="{00000000-0005-0000-0000-0000A2180000}"/>
    <cellStyle name="20 % - Markeringsfarve2 5 6 3 3 2" xfId="29118" xr:uid="{00000000-0005-0000-0000-0000A3180000}"/>
    <cellStyle name="20 % - Markeringsfarve2 5 6 3 3 3" xfId="44079" xr:uid="{00000000-0005-0000-0000-0000A4180000}"/>
    <cellStyle name="20 % - Markeringsfarve2 5 6 3 4" xfId="22116" xr:uid="{00000000-0005-0000-0000-0000A5180000}"/>
    <cellStyle name="20 % - Markeringsfarve2 5 6 3 5" xfId="37082" xr:uid="{00000000-0005-0000-0000-0000A6180000}"/>
    <cellStyle name="20 % - Markeringsfarve2 5 6 4" xfId="4355" xr:uid="{00000000-0005-0000-0000-0000A7180000}"/>
    <cellStyle name="20 % - Markeringsfarve2 5 6 4 2" xfId="8900" xr:uid="{00000000-0005-0000-0000-0000A8180000}"/>
    <cellStyle name="20 % - Markeringsfarve2 5 6 4 2 2" xfId="16766" xr:uid="{00000000-0005-0000-0000-0000A9180000}"/>
    <cellStyle name="20 % - Markeringsfarve2 5 6 4 2 2 2" xfId="33042" xr:uid="{00000000-0005-0000-0000-0000AA180000}"/>
    <cellStyle name="20 % - Markeringsfarve2 5 6 4 2 2 3" xfId="48001" xr:uid="{00000000-0005-0000-0000-0000AB180000}"/>
    <cellStyle name="20 % - Markeringsfarve2 5 6 4 2 3" xfId="26040" xr:uid="{00000000-0005-0000-0000-0000AC180000}"/>
    <cellStyle name="20 % - Markeringsfarve2 5 6 4 2 4" xfId="41004" xr:uid="{00000000-0005-0000-0000-0000AD180000}"/>
    <cellStyle name="20 % - Markeringsfarve2 5 6 4 3" xfId="12840" xr:uid="{00000000-0005-0000-0000-0000AE180000}"/>
    <cellStyle name="20 % - Markeringsfarve2 5 6 4 3 2" xfId="29119" xr:uid="{00000000-0005-0000-0000-0000AF180000}"/>
    <cellStyle name="20 % - Markeringsfarve2 5 6 4 3 3" xfId="44080" xr:uid="{00000000-0005-0000-0000-0000B0180000}"/>
    <cellStyle name="20 % - Markeringsfarve2 5 6 4 4" xfId="22117" xr:uid="{00000000-0005-0000-0000-0000B1180000}"/>
    <cellStyle name="20 % - Markeringsfarve2 5 6 4 5" xfId="37083" xr:uid="{00000000-0005-0000-0000-0000B2180000}"/>
    <cellStyle name="20 % - Markeringsfarve2 5 6 5" xfId="7726" xr:uid="{00000000-0005-0000-0000-0000B3180000}"/>
    <cellStyle name="20 % - Markeringsfarve2 5 6 5 2" xfId="15591" xr:uid="{00000000-0005-0000-0000-0000B4180000}"/>
    <cellStyle name="20 % - Markeringsfarve2 5 6 5 2 2" xfId="31867" xr:uid="{00000000-0005-0000-0000-0000B5180000}"/>
    <cellStyle name="20 % - Markeringsfarve2 5 6 5 2 3" xfId="46826" xr:uid="{00000000-0005-0000-0000-0000B6180000}"/>
    <cellStyle name="20 % - Markeringsfarve2 5 6 5 3" xfId="24865" xr:uid="{00000000-0005-0000-0000-0000B7180000}"/>
    <cellStyle name="20 % - Markeringsfarve2 5 6 5 4" xfId="39829" xr:uid="{00000000-0005-0000-0000-0000B8180000}"/>
    <cellStyle name="20 % - Markeringsfarve2 5 6 6" xfId="12836" xr:uid="{00000000-0005-0000-0000-0000B9180000}"/>
    <cellStyle name="20 % - Markeringsfarve2 5 6 6 2" xfId="29115" xr:uid="{00000000-0005-0000-0000-0000BA180000}"/>
    <cellStyle name="20 % - Markeringsfarve2 5 6 6 3" xfId="44076" xr:uid="{00000000-0005-0000-0000-0000BB180000}"/>
    <cellStyle name="20 % - Markeringsfarve2 5 6 7" xfId="22113" xr:uid="{00000000-0005-0000-0000-0000BC180000}"/>
    <cellStyle name="20 % - Markeringsfarve2 5 6 8" xfId="37079" xr:uid="{00000000-0005-0000-0000-0000BD180000}"/>
    <cellStyle name="20 % - Markeringsfarve2 5 7" xfId="4356" xr:uid="{00000000-0005-0000-0000-0000BE180000}"/>
    <cellStyle name="20 % - Markeringsfarve2 5 7 2" xfId="4357" xr:uid="{00000000-0005-0000-0000-0000BF180000}"/>
    <cellStyle name="20 % - Markeringsfarve2 5 7 2 2" xfId="9775" xr:uid="{00000000-0005-0000-0000-0000C0180000}"/>
    <cellStyle name="20 % - Markeringsfarve2 5 7 2 2 2" xfId="17629" xr:uid="{00000000-0005-0000-0000-0000C1180000}"/>
    <cellStyle name="20 % - Markeringsfarve2 5 7 2 2 2 2" xfId="33905" xr:uid="{00000000-0005-0000-0000-0000C2180000}"/>
    <cellStyle name="20 % - Markeringsfarve2 5 7 2 2 2 3" xfId="48864" xr:uid="{00000000-0005-0000-0000-0000C3180000}"/>
    <cellStyle name="20 % - Markeringsfarve2 5 7 2 2 3" xfId="26903" xr:uid="{00000000-0005-0000-0000-0000C4180000}"/>
    <cellStyle name="20 % - Markeringsfarve2 5 7 2 2 4" xfId="41867" xr:uid="{00000000-0005-0000-0000-0000C5180000}"/>
    <cellStyle name="20 % - Markeringsfarve2 5 7 2 3" xfId="12842" xr:uid="{00000000-0005-0000-0000-0000C6180000}"/>
    <cellStyle name="20 % - Markeringsfarve2 5 7 2 3 2" xfId="29121" xr:uid="{00000000-0005-0000-0000-0000C7180000}"/>
    <cellStyle name="20 % - Markeringsfarve2 5 7 2 3 3" xfId="44082" xr:uid="{00000000-0005-0000-0000-0000C8180000}"/>
    <cellStyle name="20 % - Markeringsfarve2 5 7 2 4" xfId="22119" xr:uid="{00000000-0005-0000-0000-0000C9180000}"/>
    <cellStyle name="20 % - Markeringsfarve2 5 7 2 5" xfId="37085" xr:uid="{00000000-0005-0000-0000-0000CA180000}"/>
    <cellStyle name="20 % - Markeringsfarve2 5 7 3" xfId="8366" xr:uid="{00000000-0005-0000-0000-0000CB180000}"/>
    <cellStyle name="20 % - Markeringsfarve2 5 7 3 2" xfId="16236" xr:uid="{00000000-0005-0000-0000-0000CC180000}"/>
    <cellStyle name="20 % - Markeringsfarve2 5 7 3 2 2" xfId="32512" xr:uid="{00000000-0005-0000-0000-0000CD180000}"/>
    <cellStyle name="20 % - Markeringsfarve2 5 7 3 2 3" xfId="47471" xr:uid="{00000000-0005-0000-0000-0000CE180000}"/>
    <cellStyle name="20 % - Markeringsfarve2 5 7 3 3" xfId="25510" xr:uid="{00000000-0005-0000-0000-0000CF180000}"/>
    <cellStyle name="20 % - Markeringsfarve2 5 7 3 4" xfId="40474" xr:uid="{00000000-0005-0000-0000-0000D0180000}"/>
    <cellStyle name="20 % - Markeringsfarve2 5 7 4" xfId="12841" xr:uid="{00000000-0005-0000-0000-0000D1180000}"/>
    <cellStyle name="20 % - Markeringsfarve2 5 7 4 2" xfId="29120" xr:uid="{00000000-0005-0000-0000-0000D2180000}"/>
    <cellStyle name="20 % - Markeringsfarve2 5 7 4 3" xfId="44081" xr:uid="{00000000-0005-0000-0000-0000D3180000}"/>
    <cellStyle name="20 % - Markeringsfarve2 5 7 5" xfId="22118" xr:uid="{00000000-0005-0000-0000-0000D4180000}"/>
    <cellStyle name="20 % - Markeringsfarve2 5 7 6" xfId="37084" xr:uid="{00000000-0005-0000-0000-0000D5180000}"/>
    <cellStyle name="20 % - Markeringsfarve2 5 8" xfId="4358" xr:uid="{00000000-0005-0000-0000-0000D6180000}"/>
    <cellStyle name="20 % - Markeringsfarve2 5 8 2" xfId="9003" xr:uid="{00000000-0005-0000-0000-0000D7180000}"/>
    <cellStyle name="20 % - Markeringsfarve2 5 8 2 2" xfId="16867" xr:uid="{00000000-0005-0000-0000-0000D8180000}"/>
    <cellStyle name="20 % - Markeringsfarve2 5 8 2 2 2" xfId="33143" xr:uid="{00000000-0005-0000-0000-0000D9180000}"/>
    <cellStyle name="20 % - Markeringsfarve2 5 8 2 2 3" xfId="48102" xr:uid="{00000000-0005-0000-0000-0000DA180000}"/>
    <cellStyle name="20 % - Markeringsfarve2 5 8 2 3" xfId="26141" xr:uid="{00000000-0005-0000-0000-0000DB180000}"/>
    <cellStyle name="20 % - Markeringsfarve2 5 8 2 4" xfId="41105" xr:uid="{00000000-0005-0000-0000-0000DC180000}"/>
    <cellStyle name="20 % - Markeringsfarve2 5 8 3" xfId="12843" xr:uid="{00000000-0005-0000-0000-0000DD180000}"/>
    <cellStyle name="20 % - Markeringsfarve2 5 8 3 2" xfId="29122" xr:uid="{00000000-0005-0000-0000-0000DE180000}"/>
    <cellStyle name="20 % - Markeringsfarve2 5 8 3 3" xfId="44083" xr:uid="{00000000-0005-0000-0000-0000DF180000}"/>
    <cellStyle name="20 % - Markeringsfarve2 5 8 4" xfId="22120" xr:uid="{00000000-0005-0000-0000-0000E0180000}"/>
    <cellStyle name="20 % - Markeringsfarve2 5 8 5" xfId="37086" xr:uid="{00000000-0005-0000-0000-0000E1180000}"/>
    <cellStyle name="20 % - Markeringsfarve2 5 9" xfId="4359" xr:uid="{00000000-0005-0000-0000-0000E2180000}"/>
    <cellStyle name="20 % - Markeringsfarve2 5 9 2" xfId="10861" xr:uid="{00000000-0005-0000-0000-0000E3180000}"/>
    <cellStyle name="20 % - Markeringsfarve2 5 9 2 2" xfId="18699" xr:uid="{00000000-0005-0000-0000-0000E4180000}"/>
    <cellStyle name="20 % - Markeringsfarve2 5 9 2 2 2" xfId="34975" xr:uid="{00000000-0005-0000-0000-0000E5180000}"/>
    <cellStyle name="20 % - Markeringsfarve2 5 9 2 2 3" xfId="49934" xr:uid="{00000000-0005-0000-0000-0000E6180000}"/>
    <cellStyle name="20 % - Markeringsfarve2 5 9 2 3" xfId="27973" xr:uid="{00000000-0005-0000-0000-0000E7180000}"/>
    <cellStyle name="20 % - Markeringsfarve2 5 9 2 4" xfId="42937" xr:uid="{00000000-0005-0000-0000-0000E8180000}"/>
    <cellStyle name="20 % - Markeringsfarve2 5 9 3" xfId="12844" xr:uid="{00000000-0005-0000-0000-0000E9180000}"/>
    <cellStyle name="20 % - Markeringsfarve2 5 9 3 2" xfId="29123" xr:uid="{00000000-0005-0000-0000-0000EA180000}"/>
    <cellStyle name="20 % - Markeringsfarve2 5 9 3 3" xfId="44084" xr:uid="{00000000-0005-0000-0000-0000EB180000}"/>
    <cellStyle name="20 % - Markeringsfarve2 5 9 4" xfId="22121" xr:uid="{00000000-0005-0000-0000-0000EC180000}"/>
    <cellStyle name="20 % - Markeringsfarve2 5 9 5" xfId="37087" xr:uid="{00000000-0005-0000-0000-0000ED180000}"/>
    <cellStyle name="20 % - Markeringsfarve2 6" xfId="4360" xr:uid="{00000000-0005-0000-0000-0000EE180000}"/>
    <cellStyle name="20 % - Markeringsfarve2 6 2" xfId="4361" xr:uid="{00000000-0005-0000-0000-0000EF180000}"/>
    <cellStyle name="20 % - Markeringsfarve2 6 2 2" xfId="4362" xr:uid="{00000000-0005-0000-0000-0000F0180000}"/>
    <cellStyle name="20 % - Markeringsfarve2 6 2 2 2" xfId="4363" xr:uid="{00000000-0005-0000-0000-0000F1180000}"/>
    <cellStyle name="20 % - Markeringsfarve2 6 2 2 2 2" xfId="9948" xr:uid="{00000000-0005-0000-0000-0000F2180000}"/>
    <cellStyle name="20 % - Markeringsfarve2 6 2 2 2 2 2" xfId="17803" xr:uid="{00000000-0005-0000-0000-0000F3180000}"/>
    <cellStyle name="20 % - Markeringsfarve2 6 2 2 2 2 2 2" xfId="34079" xr:uid="{00000000-0005-0000-0000-0000F4180000}"/>
    <cellStyle name="20 % - Markeringsfarve2 6 2 2 2 2 2 3" xfId="49038" xr:uid="{00000000-0005-0000-0000-0000F5180000}"/>
    <cellStyle name="20 % - Markeringsfarve2 6 2 2 2 2 3" xfId="27077" xr:uid="{00000000-0005-0000-0000-0000F6180000}"/>
    <cellStyle name="20 % - Markeringsfarve2 6 2 2 2 2 4" xfId="42041" xr:uid="{00000000-0005-0000-0000-0000F7180000}"/>
    <cellStyle name="20 % - Markeringsfarve2 6 2 2 2 3" xfId="12848" xr:uid="{00000000-0005-0000-0000-0000F8180000}"/>
    <cellStyle name="20 % - Markeringsfarve2 6 2 2 2 3 2" xfId="29127" xr:uid="{00000000-0005-0000-0000-0000F9180000}"/>
    <cellStyle name="20 % - Markeringsfarve2 6 2 2 2 3 3" xfId="44088" xr:uid="{00000000-0005-0000-0000-0000FA180000}"/>
    <cellStyle name="20 % - Markeringsfarve2 6 2 2 2 4" xfId="22125" xr:uid="{00000000-0005-0000-0000-0000FB180000}"/>
    <cellStyle name="20 % - Markeringsfarve2 6 2 2 2 5" xfId="37091" xr:uid="{00000000-0005-0000-0000-0000FC180000}"/>
    <cellStyle name="20 % - Markeringsfarve2 6 2 2 3" xfId="8513" xr:uid="{00000000-0005-0000-0000-0000FD180000}"/>
    <cellStyle name="20 % - Markeringsfarve2 6 2 2 3 2" xfId="16383" xr:uid="{00000000-0005-0000-0000-0000FE180000}"/>
    <cellStyle name="20 % - Markeringsfarve2 6 2 2 3 2 2" xfId="32659" xr:uid="{00000000-0005-0000-0000-0000FF180000}"/>
    <cellStyle name="20 % - Markeringsfarve2 6 2 2 3 2 3" xfId="47618" xr:uid="{00000000-0005-0000-0000-000000190000}"/>
    <cellStyle name="20 % - Markeringsfarve2 6 2 2 3 3" xfId="25657" xr:uid="{00000000-0005-0000-0000-000001190000}"/>
    <cellStyle name="20 % - Markeringsfarve2 6 2 2 3 4" xfId="40621" xr:uid="{00000000-0005-0000-0000-000002190000}"/>
    <cellStyle name="20 % - Markeringsfarve2 6 2 2 4" xfId="12847" xr:uid="{00000000-0005-0000-0000-000003190000}"/>
    <cellStyle name="20 % - Markeringsfarve2 6 2 2 4 2" xfId="29126" xr:uid="{00000000-0005-0000-0000-000004190000}"/>
    <cellStyle name="20 % - Markeringsfarve2 6 2 2 4 3" xfId="44087" xr:uid="{00000000-0005-0000-0000-000005190000}"/>
    <cellStyle name="20 % - Markeringsfarve2 6 2 2 5" xfId="22124" xr:uid="{00000000-0005-0000-0000-000006190000}"/>
    <cellStyle name="20 % - Markeringsfarve2 6 2 2 6" xfId="37090" xr:uid="{00000000-0005-0000-0000-000007190000}"/>
    <cellStyle name="20 % - Markeringsfarve2 6 2 3" xfId="4364" xr:uid="{00000000-0005-0000-0000-000008190000}"/>
    <cellStyle name="20 % - Markeringsfarve2 6 2 3 2" xfId="9179" xr:uid="{00000000-0005-0000-0000-000009190000}"/>
    <cellStyle name="20 % - Markeringsfarve2 6 2 3 2 2" xfId="17043" xr:uid="{00000000-0005-0000-0000-00000A190000}"/>
    <cellStyle name="20 % - Markeringsfarve2 6 2 3 2 2 2" xfId="33319" xr:uid="{00000000-0005-0000-0000-00000B190000}"/>
    <cellStyle name="20 % - Markeringsfarve2 6 2 3 2 2 3" xfId="48278" xr:uid="{00000000-0005-0000-0000-00000C190000}"/>
    <cellStyle name="20 % - Markeringsfarve2 6 2 3 2 3" xfId="26317" xr:uid="{00000000-0005-0000-0000-00000D190000}"/>
    <cellStyle name="20 % - Markeringsfarve2 6 2 3 2 4" xfId="41281" xr:uid="{00000000-0005-0000-0000-00000E190000}"/>
    <cellStyle name="20 % - Markeringsfarve2 6 2 3 3" xfId="12849" xr:uid="{00000000-0005-0000-0000-00000F190000}"/>
    <cellStyle name="20 % - Markeringsfarve2 6 2 3 3 2" xfId="29128" xr:uid="{00000000-0005-0000-0000-000010190000}"/>
    <cellStyle name="20 % - Markeringsfarve2 6 2 3 3 3" xfId="44089" xr:uid="{00000000-0005-0000-0000-000011190000}"/>
    <cellStyle name="20 % - Markeringsfarve2 6 2 3 4" xfId="22126" xr:uid="{00000000-0005-0000-0000-000012190000}"/>
    <cellStyle name="20 % - Markeringsfarve2 6 2 3 5" xfId="37092" xr:uid="{00000000-0005-0000-0000-000013190000}"/>
    <cellStyle name="20 % - Markeringsfarve2 6 2 4" xfId="4365" xr:uid="{00000000-0005-0000-0000-000014190000}"/>
    <cellStyle name="20 % - Markeringsfarve2 6 2 4 2" xfId="10735" xr:uid="{00000000-0005-0000-0000-000015190000}"/>
    <cellStyle name="20 % - Markeringsfarve2 6 2 4 2 2" xfId="18578" xr:uid="{00000000-0005-0000-0000-000016190000}"/>
    <cellStyle name="20 % - Markeringsfarve2 6 2 4 2 2 2" xfId="34854" xr:uid="{00000000-0005-0000-0000-000017190000}"/>
    <cellStyle name="20 % - Markeringsfarve2 6 2 4 2 2 3" xfId="49813" xr:uid="{00000000-0005-0000-0000-000018190000}"/>
    <cellStyle name="20 % - Markeringsfarve2 6 2 4 2 3" xfId="27852" xr:uid="{00000000-0005-0000-0000-000019190000}"/>
    <cellStyle name="20 % - Markeringsfarve2 6 2 4 2 4" xfId="42816" xr:uid="{00000000-0005-0000-0000-00001A190000}"/>
    <cellStyle name="20 % - Markeringsfarve2 6 2 4 3" xfId="12850" xr:uid="{00000000-0005-0000-0000-00001B190000}"/>
    <cellStyle name="20 % - Markeringsfarve2 6 2 4 3 2" xfId="29129" xr:uid="{00000000-0005-0000-0000-00001C190000}"/>
    <cellStyle name="20 % - Markeringsfarve2 6 2 4 3 3" xfId="44090" xr:uid="{00000000-0005-0000-0000-00001D190000}"/>
    <cellStyle name="20 % - Markeringsfarve2 6 2 4 4" xfId="22127" xr:uid="{00000000-0005-0000-0000-00001E190000}"/>
    <cellStyle name="20 % - Markeringsfarve2 6 2 4 5" xfId="37093" xr:uid="{00000000-0005-0000-0000-00001F190000}"/>
    <cellStyle name="20 % - Markeringsfarve2 6 2 5" xfId="7728" xr:uid="{00000000-0005-0000-0000-000020190000}"/>
    <cellStyle name="20 % - Markeringsfarve2 6 2 5 2" xfId="15593" xr:uid="{00000000-0005-0000-0000-000021190000}"/>
    <cellStyle name="20 % - Markeringsfarve2 6 2 5 2 2" xfId="31869" xr:uid="{00000000-0005-0000-0000-000022190000}"/>
    <cellStyle name="20 % - Markeringsfarve2 6 2 5 2 3" xfId="46828" xr:uid="{00000000-0005-0000-0000-000023190000}"/>
    <cellStyle name="20 % - Markeringsfarve2 6 2 5 3" xfId="24867" xr:uid="{00000000-0005-0000-0000-000024190000}"/>
    <cellStyle name="20 % - Markeringsfarve2 6 2 5 4" xfId="39831" xr:uid="{00000000-0005-0000-0000-000025190000}"/>
    <cellStyle name="20 % - Markeringsfarve2 6 2 6" xfId="12846" xr:uid="{00000000-0005-0000-0000-000026190000}"/>
    <cellStyle name="20 % - Markeringsfarve2 6 2 6 2" xfId="29125" xr:uid="{00000000-0005-0000-0000-000027190000}"/>
    <cellStyle name="20 % - Markeringsfarve2 6 2 6 3" xfId="44086" xr:uid="{00000000-0005-0000-0000-000028190000}"/>
    <cellStyle name="20 % - Markeringsfarve2 6 2 7" xfId="22123" xr:uid="{00000000-0005-0000-0000-000029190000}"/>
    <cellStyle name="20 % - Markeringsfarve2 6 2 8" xfId="37089" xr:uid="{00000000-0005-0000-0000-00002A190000}"/>
    <cellStyle name="20 % - Markeringsfarve2 6 3" xfId="4366" xr:uid="{00000000-0005-0000-0000-00002B190000}"/>
    <cellStyle name="20 % - Markeringsfarve2 6 3 2" xfId="4367" xr:uid="{00000000-0005-0000-0000-00002C190000}"/>
    <cellStyle name="20 % - Markeringsfarve2 6 3 2 2" xfId="9815" xr:uid="{00000000-0005-0000-0000-00002D190000}"/>
    <cellStyle name="20 % - Markeringsfarve2 6 3 2 2 2" xfId="17670" xr:uid="{00000000-0005-0000-0000-00002E190000}"/>
    <cellStyle name="20 % - Markeringsfarve2 6 3 2 2 2 2" xfId="33946" xr:uid="{00000000-0005-0000-0000-00002F190000}"/>
    <cellStyle name="20 % - Markeringsfarve2 6 3 2 2 2 3" xfId="48905" xr:uid="{00000000-0005-0000-0000-000030190000}"/>
    <cellStyle name="20 % - Markeringsfarve2 6 3 2 2 3" xfId="26944" xr:uid="{00000000-0005-0000-0000-000031190000}"/>
    <cellStyle name="20 % - Markeringsfarve2 6 3 2 2 4" xfId="41908" xr:uid="{00000000-0005-0000-0000-000032190000}"/>
    <cellStyle name="20 % - Markeringsfarve2 6 3 2 3" xfId="12852" xr:uid="{00000000-0005-0000-0000-000033190000}"/>
    <cellStyle name="20 % - Markeringsfarve2 6 3 2 3 2" xfId="29131" xr:uid="{00000000-0005-0000-0000-000034190000}"/>
    <cellStyle name="20 % - Markeringsfarve2 6 3 2 3 3" xfId="44092" xr:uid="{00000000-0005-0000-0000-000035190000}"/>
    <cellStyle name="20 % - Markeringsfarve2 6 3 2 4" xfId="22129" xr:uid="{00000000-0005-0000-0000-000036190000}"/>
    <cellStyle name="20 % - Markeringsfarve2 6 3 2 5" xfId="37095" xr:uid="{00000000-0005-0000-0000-000037190000}"/>
    <cellStyle name="20 % - Markeringsfarve2 6 3 3" xfId="8399" xr:uid="{00000000-0005-0000-0000-000038190000}"/>
    <cellStyle name="20 % - Markeringsfarve2 6 3 3 2" xfId="16269" xr:uid="{00000000-0005-0000-0000-000039190000}"/>
    <cellStyle name="20 % - Markeringsfarve2 6 3 3 2 2" xfId="32545" xr:uid="{00000000-0005-0000-0000-00003A190000}"/>
    <cellStyle name="20 % - Markeringsfarve2 6 3 3 2 3" xfId="47504" xr:uid="{00000000-0005-0000-0000-00003B190000}"/>
    <cellStyle name="20 % - Markeringsfarve2 6 3 3 3" xfId="25543" xr:uid="{00000000-0005-0000-0000-00003C190000}"/>
    <cellStyle name="20 % - Markeringsfarve2 6 3 3 4" xfId="40507" xr:uid="{00000000-0005-0000-0000-00003D190000}"/>
    <cellStyle name="20 % - Markeringsfarve2 6 3 4" xfId="12851" xr:uid="{00000000-0005-0000-0000-00003E190000}"/>
    <cellStyle name="20 % - Markeringsfarve2 6 3 4 2" xfId="29130" xr:uid="{00000000-0005-0000-0000-00003F190000}"/>
    <cellStyle name="20 % - Markeringsfarve2 6 3 4 3" xfId="44091" xr:uid="{00000000-0005-0000-0000-000040190000}"/>
    <cellStyle name="20 % - Markeringsfarve2 6 3 5" xfId="22128" xr:uid="{00000000-0005-0000-0000-000041190000}"/>
    <cellStyle name="20 % - Markeringsfarve2 6 3 6" xfId="37094" xr:uid="{00000000-0005-0000-0000-000042190000}"/>
    <cellStyle name="20 % - Markeringsfarve2 6 4" xfId="4368" xr:uid="{00000000-0005-0000-0000-000043190000}"/>
    <cellStyle name="20 % - Markeringsfarve2 6 4 2" xfId="9046" xr:uid="{00000000-0005-0000-0000-000044190000}"/>
    <cellStyle name="20 % - Markeringsfarve2 6 4 2 2" xfId="16910" xr:uid="{00000000-0005-0000-0000-000045190000}"/>
    <cellStyle name="20 % - Markeringsfarve2 6 4 2 2 2" xfId="33186" xr:uid="{00000000-0005-0000-0000-000046190000}"/>
    <cellStyle name="20 % - Markeringsfarve2 6 4 2 2 3" xfId="48145" xr:uid="{00000000-0005-0000-0000-000047190000}"/>
    <cellStyle name="20 % - Markeringsfarve2 6 4 2 3" xfId="26184" xr:uid="{00000000-0005-0000-0000-000048190000}"/>
    <cellStyle name="20 % - Markeringsfarve2 6 4 2 4" xfId="41148" xr:uid="{00000000-0005-0000-0000-000049190000}"/>
    <cellStyle name="20 % - Markeringsfarve2 6 4 3" xfId="12853" xr:uid="{00000000-0005-0000-0000-00004A190000}"/>
    <cellStyle name="20 % - Markeringsfarve2 6 4 3 2" xfId="29132" xr:uid="{00000000-0005-0000-0000-00004B190000}"/>
    <cellStyle name="20 % - Markeringsfarve2 6 4 3 3" xfId="44093" xr:uid="{00000000-0005-0000-0000-00004C190000}"/>
    <cellStyle name="20 % - Markeringsfarve2 6 4 4" xfId="22130" xr:uid="{00000000-0005-0000-0000-00004D190000}"/>
    <cellStyle name="20 % - Markeringsfarve2 6 4 5" xfId="37096" xr:uid="{00000000-0005-0000-0000-00004E190000}"/>
    <cellStyle name="20 % - Markeringsfarve2 6 5" xfId="4369" xr:uid="{00000000-0005-0000-0000-00004F190000}"/>
    <cellStyle name="20 % - Markeringsfarve2 6 5 2" xfId="10730" xr:uid="{00000000-0005-0000-0000-000050190000}"/>
    <cellStyle name="20 % - Markeringsfarve2 6 5 2 2" xfId="18574" xr:uid="{00000000-0005-0000-0000-000051190000}"/>
    <cellStyle name="20 % - Markeringsfarve2 6 5 2 2 2" xfId="34850" xr:uid="{00000000-0005-0000-0000-000052190000}"/>
    <cellStyle name="20 % - Markeringsfarve2 6 5 2 2 3" xfId="49809" xr:uid="{00000000-0005-0000-0000-000053190000}"/>
    <cellStyle name="20 % - Markeringsfarve2 6 5 2 3" xfId="27848" xr:uid="{00000000-0005-0000-0000-000054190000}"/>
    <cellStyle name="20 % - Markeringsfarve2 6 5 2 4" xfId="42812" xr:uid="{00000000-0005-0000-0000-000055190000}"/>
    <cellStyle name="20 % - Markeringsfarve2 6 5 3" xfId="12854" xr:uid="{00000000-0005-0000-0000-000056190000}"/>
    <cellStyle name="20 % - Markeringsfarve2 6 5 3 2" xfId="29133" xr:uid="{00000000-0005-0000-0000-000057190000}"/>
    <cellStyle name="20 % - Markeringsfarve2 6 5 3 3" xfId="44094" xr:uid="{00000000-0005-0000-0000-000058190000}"/>
    <cellStyle name="20 % - Markeringsfarve2 6 5 4" xfId="22131" xr:uid="{00000000-0005-0000-0000-000059190000}"/>
    <cellStyle name="20 % - Markeringsfarve2 6 5 5" xfId="37097" xr:uid="{00000000-0005-0000-0000-00005A190000}"/>
    <cellStyle name="20 % - Markeringsfarve2 6 6" xfId="7727" xr:uid="{00000000-0005-0000-0000-00005B190000}"/>
    <cellStyle name="20 % - Markeringsfarve2 6 6 2" xfId="15592" xr:uid="{00000000-0005-0000-0000-00005C190000}"/>
    <cellStyle name="20 % - Markeringsfarve2 6 6 2 2" xfId="31868" xr:uid="{00000000-0005-0000-0000-00005D190000}"/>
    <cellStyle name="20 % - Markeringsfarve2 6 6 2 3" xfId="46827" xr:uid="{00000000-0005-0000-0000-00005E190000}"/>
    <cellStyle name="20 % - Markeringsfarve2 6 6 3" xfId="24866" xr:uid="{00000000-0005-0000-0000-00005F190000}"/>
    <cellStyle name="20 % - Markeringsfarve2 6 6 4" xfId="39830" xr:uid="{00000000-0005-0000-0000-000060190000}"/>
    <cellStyle name="20 % - Markeringsfarve2 6 7" xfId="12845" xr:uid="{00000000-0005-0000-0000-000061190000}"/>
    <cellStyle name="20 % - Markeringsfarve2 6 7 2" xfId="29124" xr:uid="{00000000-0005-0000-0000-000062190000}"/>
    <cellStyle name="20 % - Markeringsfarve2 6 7 3" xfId="44085" xr:uid="{00000000-0005-0000-0000-000063190000}"/>
    <cellStyle name="20 % - Markeringsfarve2 6 8" xfId="22122" xr:uid="{00000000-0005-0000-0000-000064190000}"/>
    <cellStyle name="20 % - Markeringsfarve2 6 9" xfId="37088" xr:uid="{00000000-0005-0000-0000-000065190000}"/>
    <cellStyle name="20 % - Markeringsfarve2 7" xfId="4370" xr:uid="{00000000-0005-0000-0000-000066190000}"/>
    <cellStyle name="20 % - Markeringsfarve2 7 2" xfId="4371" xr:uid="{00000000-0005-0000-0000-000067190000}"/>
    <cellStyle name="20 % - Markeringsfarve2 7 2 2" xfId="4372" xr:uid="{00000000-0005-0000-0000-000068190000}"/>
    <cellStyle name="20 % - Markeringsfarve2 7 2 2 2" xfId="10053" xr:uid="{00000000-0005-0000-0000-000069190000}"/>
    <cellStyle name="20 % - Markeringsfarve2 7 2 2 2 2" xfId="17908" xr:uid="{00000000-0005-0000-0000-00006A190000}"/>
    <cellStyle name="20 % - Markeringsfarve2 7 2 2 2 2 2" xfId="34184" xr:uid="{00000000-0005-0000-0000-00006B190000}"/>
    <cellStyle name="20 % - Markeringsfarve2 7 2 2 2 2 3" xfId="49143" xr:uid="{00000000-0005-0000-0000-00006C190000}"/>
    <cellStyle name="20 % - Markeringsfarve2 7 2 2 2 3" xfId="27182" xr:uid="{00000000-0005-0000-0000-00006D190000}"/>
    <cellStyle name="20 % - Markeringsfarve2 7 2 2 2 4" xfId="42146" xr:uid="{00000000-0005-0000-0000-00006E190000}"/>
    <cellStyle name="20 % - Markeringsfarve2 7 2 2 3" xfId="12857" xr:uid="{00000000-0005-0000-0000-00006F190000}"/>
    <cellStyle name="20 % - Markeringsfarve2 7 2 2 3 2" xfId="29136" xr:uid="{00000000-0005-0000-0000-000070190000}"/>
    <cellStyle name="20 % - Markeringsfarve2 7 2 2 3 3" xfId="44097" xr:uid="{00000000-0005-0000-0000-000071190000}"/>
    <cellStyle name="20 % - Markeringsfarve2 7 2 2 4" xfId="22134" xr:uid="{00000000-0005-0000-0000-000072190000}"/>
    <cellStyle name="20 % - Markeringsfarve2 7 2 2 5" xfId="37100" xr:uid="{00000000-0005-0000-0000-000073190000}"/>
    <cellStyle name="20 % - Markeringsfarve2 7 2 3" xfId="8601" xr:uid="{00000000-0005-0000-0000-000074190000}"/>
    <cellStyle name="20 % - Markeringsfarve2 7 2 3 2" xfId="16468" xr:uid="{00000000-0005-0000-0000-000075190000}"/>
    <cellStyle name="20 % - Markeringsfarve2 7 2 3 2 2" xfId="32744" xr:uid="{00000000-0005-0000-0000-000076190000}"/>
    <cellStyle name="20 % - Markeringsfarve2 7 2 3 2 3" xfId="47703" xr:uid="{00000000-0005-0000-0000-000077190000}"/>
    <cellStyle name="20 % - Markeringsfarve2 7 2 3 3" xfId="25742" xr:uid="{00000000-0005-0000-0000-000078190000}"/>
    <cellStyle name="20 % - Markeringsfarve2 7 2 3 4" xfId="40706" xr:uid="{00000000-0005-0000-0000-000079190000}"/>
    <cellStyle name="20 % - Markeringsfarve2 7 2 4" xfId="12856" xr:uid="{00000000-0005-0000-0000-00007A190000}"/>
    <cellStyle name="20 % - Markeringsfarve2 7 2 4 2" xfId="29135" xr:uid="{00000000-0005-0000-0000-00007B190000}"/>
    <cellStyle name="20 % - Markeringsfarve2 7 2 4 3" xfId="44096" xr:uid="{00000000-0005-0000-0000-00007C190000}"/>
    <cellStyle name="20 % - Markeringsfarve2 7 2 5" xfId="22133" xr:uid="{00000000-0005-0000-0000-00007D190000}"/>
    <cellStyle name="20 % - Markeringsfarve2 7 2 6" xfId="37099" xr:uid="{00000000-0005-0000-0000-00007E190000}"/>
    <cellStyle name="20 % - Markeringsfarve2 7 3" xfId="4373" xr:uid="{00000000-0005-0000-0000-00007F190000}"/>
    <cellStyle name="20 % - Markeringsfarve2 7 3 2" xfId="9330" xr:uid="{00000000-0005-0000-0000-000080190000}"/>
    <cellStyle name="20 % - Markeringsfarve2 7 3 2 2" xfId="17193" xr:uid="{00000000-0005-0000-0000-000081190000}"/>
    <cellStyle name="20 % - Markeringsfarve2 7 3 2 2 2" xfId="33469" xr:uid="{00000000-0005-0000-0000-000082190000}"/>
    <cellStyle name="20 % - Markeringsfarve2 7 3 2 2 3" xfId="48428" xr:uid="{00000000-0005-0000-0000-000083190000}"/>
    <cellStyle name="20 % - Markeringsfarve2 7 3 2 3" xfId="26467" xr:uid="{00000000-0005-0000-0000-000084190000}"/>
    <cellStyle name="20 % - Markeringsfarve2 7 3 2 4" xfId="41431" xr:uid="{00000000-0005-0000-0000-000085190000}"/>
    <cellStyle name="20 % - Markeringsfarve2 7 3 3" xfId="12858" xr:uid="{00000000-0005-0000-0000-000086190000}"/>
    <cellStyle name="20 % - Markeringsfarve2 7 3 3 2" xfId="29137" xr:uid="{00000000-0005-0000-0000-000087190000}"/>
    <cellStyle name="20 % - Markeringsfarve2 7 3 3 3" xfId="44098" xr:uid="{00000000-0005-0000-0000-000088190000}"/>
    <cellStyle name="20 % - Markeringsfarve2 7 3 4" xfId="22135" xr:uid="{00000000-0005-0000-0000-000089190000}"/>
    <cellStyle name="20 % - Markeringsfarve2 7 3 5" xfId="37101" xr:uid="{00000000-0005-0000-0000-00008A190000}"/>
    <cellStyle name="20 % - Markeringsfarve2 7 4" xfId="4374" xr:uid="{00000000-0005-0000-0000-00008B190000}"/>
    <cellStyle name="20 % - Markeringsfarve2 7 4 2" xfId="11000" xr:uid="{00000000-0005-0000-0000-00008C190000}"/>
    <cellStyle name="20 % - Markeringsfarve2 7 4 2 2" xfId="18831" xr:uid="{00000000-0005-0000-0000-00008D190000}"/>
    <cellStyle name="20 % - Markeringsfarve2 7 4 2 2 2" xfId="35107" xr:uid="{00000000-0005-0000-0000-00008E190000}"/>
    <cellStyle name="20 % - Markeringsfarve2 7 4 2 2 3" xfId="50066" xr:uid="{00000000-0005-0000-0000-00008F190000}"/>
    <cellStyle name="20 % - Markeringsfarve2 7 4 2 3" xfId="28105" xr:uid="{00000000-0005-0000-0000-000090190000}"/>
    <cellStyle name="20 % - Markeringsfarve2 7 4 2 4" xfId="43069" xr:uid="{00000000-0005-0000-0000-000091190000}"/>
    <cellStyle name="20 % - Markeringsfarve2 7 4 3" xfId="12859" xr:uid="{00000000-0005-0000-0000-000092190000}"/>
    <cellStyle name="20 % - Markeringsfarve2 7 4 3 2" xfId="29138" xr:uid="{00000000-0005-0000-0000-000093190000}"/>
    <cellStyle name="20 % - Markeringsfarve2 7 4 3 3" xfId="44099" xr:uid="{00000000-0005-0000-0000-000094190000}"/>
    <cellStyle name="20 % - Markeringsfarve2 7 4 4" xfId="22136" xr:uid="{00000000-0005-0000-0000-000095190000}"/>
    <cellStyle name="20 % - Markeringsfarve2 7 4 5" xfId="37102" xr:uid="{00000000-0005-0000-0000-000096190000}"/>
    <cellStyle name="20 % - Markeringsfarve2 7 5" xfId="7729" xr:uid="{00000000-0005-0000-0000-000097190000}"/>
    <cellStyle name="20 % - Markeringsfarve2 7 5 2" xfId="15594" xr:uid="{00000000-0005-0000-0000-000098190000}"/>
    <cellStyle name="20 % - Markeringsfarve2 7 5 2 2" xfId="31870" xr:uid="{00000000-0005-0000-0000-000099190000}"/>
    <cellStyle name="20 % - Markeringsfarve2 7 5 2 3" xfId="46829" xr:uid="{00000000-0005-0000-0000-00009A190000}"/>
    <cellStyle name="20 % - Markeringsfarve2 7 5 3" xfId="24868" xr:uid="{00000000-0005-0000-0000-00009B190000}"/>
    <cellStyle name="20 % - Markeringsfarve2 7 5 4" xfId="39832" xr:uid="{00000000-0005-0000-0000-00009C190000}"/>
    <cellStyle name="20 % - Markeringsfarve2 7 6" xfId="12855" xr:uid="{00000000-0005-0000-0000-00009D190000}"/>
    <cellStyle name="20 % - Markeringsfarve2 7 6 2" xfId="29134" xr:uid="{00000000-0005-0000-0000-00009E190000}"/>
    <cellStyle name="20 % - Markeringsfarve2 7 6 3" xfId="44095" xr:uid="{00000000-0005-0000-0000-00009F190000}"/>
    <cellStyle name="20 % - Markeringsfarve2 7 7" xfId="22132" xr:uid="{00000000-0005-0000-0000-0000A0190000}"/>
    <cellStyle name="20 % - Markeringsfarve2 7 8" xfId="37098" xr:uid="{00000000-0005-0000-0000-0000A1190000}"/>
    <cellStyle name="20 % - Markeringsfarve2 8" xfId="4375" xr:uid="{00000000-0005-0000-0000-0000A2190000}"/>
    <cellStyle name="20 % - Markeringsfarve2 8 2" xfId="4376" xr:uid="{00000000-0005-0000-0000-0000A3190000}"/>
    <cellStyle name="20 % - Markeringsfarve2 8 2 2" xfId="4377" xr:uid="{00000000-0005-0000-0000-0000A4190000}"/>
    <cellStyle name="20 % - Markeringsfarve2 8 2 2 2" xfId="10170" xr:uid="{00000000-0005-0000-0000-0000A5190000}"/>
    <cellStyle name="20 % - Markeringsfarve2 8 2 2 2 2" xfId="18025" xr:uid="{00000000-0005-0000-0000-0000A6190000}"/>
    <cellStyle name="20 % - Markeringsfarve2 8 2 2 2 2 2" xfId="34301" xr:uid="{00000000-0005-0000-0000-0000A7190000}"/>
    <cellStyle name="20 % - Markeringsfarve2 8 2 2 2 2 3" xfId="49260" xr:uid="{00000000-0005-0000-0000-0000A8190000}"/>
    <cellStyle name="20 % - Markeringsfarve2 8 2 2 2 3" xfId="27299" xr:uid="{00000000-0005-0000-0000-0000A9190000}"/>
    <cellStyle name="20 % - Markeringsfarve2 8 2 2 2 4" xfId="42263" xr:uid="{00000000-0005-0000-0000-0000AA190000}"/>
    <cellStyle name="20 % - Markeringsfarve2 8 2 2 3" xfId="12862" xr:uid="{00000000-0005-0000-0000-0000AB190000}"/>
    <cellStyle name="20 % - Markeringsfarve2 8 2 2 3 2" xfId="29141" xr:uid="{00000000-0005-0000-0000-0000AC190000}"/>
    <cellStyle name="20 % - Markeringsfarve2 8 2 2 3 3" xfId="44102" xr:uid="{00000000-0005-0000-0000-0000AD190000}"/>
    <cellStyle name="20 % - Markeringsfarve2 8 2 2 4" xfId="22139" xr:uid="{00000000-0005-0000-0000-0000AE190000}"/>
    <cellStyle name="20 % - Markeringsfarve2 8 2 2 5" xfId="37105" xr:uid="{00000000-0005-0000-0000-0000AF190000}"/>
    <cellStyle name="20 % - Markeringsfarve2 8 2 3" xfId="8700" xr:uid="{00000000-0005-0000-0000-0000B0190000}"/>
    <cellStyle name="20 % - Markeringsfarve2 8 2 3 2" xfId="16567" xr:uid="{00000000-0005-0000-0000-0000B1190000}"/>
    <cellStyle name="20 % - Markeringsfarve2 8 2 3 2 2" xfId="32843" xr:uid="{00000000-0005-0000-0000-0000B2190000}"/>
    <cellStyle name="20 % - Markeringsfarve2 8 2 3 2 3" xfId="47802" xr:uid="{00000000-0005-0000-0000-0000B3190000}"/>
    <cellStyle name="20 % - Markeringsfarve2 8 2 3 3" xfId="25841" xr:uid="{00000000-0005-0000-0000-0000B4190000}"/>
    <cellStyle name="20 % - Markeringsfarve2 8 2 3 4" xfId="40805" xr:uid="{00000000-0005-0000-0000-0000B5190000}"/>
    <cellStyle name="20 % - Markeringsfarve2 8 2 4" xfId="12861" xr:uid="{00000000-0005-0000-0000-0000B6190000}"/>
    <cellStyle name="20 % - Markeringsfarve2 8 2 4 2" xfId="29140" xr:uid="{00000000-0005-0000-0000-0000B7190000}"/>
    <cellStyle name="20 % - Markeringsfarve2 8 2 4 3" xfId="44101" xr:uid="{00000000-0005-0000-0000-0000B8190000}"/>
    <cellStyle name="20 % - Markeringsfarve2 8 2 5" xfId="22138" xr:uid="{00000000-0005-0000-0000-0000B9190000}"/>
    <cellStyle name="20 % - Markeringsfarve2 8 2 6" xfId="37104" xr:uid="{00000000-0005-0000-0000-0000BA190000}"/>
    <cellStyle name="20 % - Markeringsfarve2 8 3" xfId="4378" xr:uid="{00000000-0005-0000-0000-0000BB190000}"/>
    <cellStyle name="20 % - Markeringsfarve2 8 3 2" xfId="9447" xr:uid="{00000000-0005-0000-0000-0000BC190000}"/>
    <cellStyle name="20 % - Markeringsfarve2 8 3 2 2" xfId="17310" xr:uid="{00000000-0005-0000-0000-0000BD190000}"/>
    <cellStyle name="20 % - Markeringsfarve2 8 3 2 2 2" xfId="33586" xr:uid="{00000000-0005-0000-0000-0000BE190000}"/>
    <cellStyle name="20 % - Markeringsfarve2 8 3 2 2 3" xfId="48545" xr:uid="{00000000-0005-0000-0000-0000BF190000}"/>
    <cellStyle name="20 % - Markeringsfarve2 8 3 2 3" xfId="26584" xr:uid="{00000000-0005-0000-0000-0000C0190000}"/>
    <cellStyle name="20 % - Markeringsfarve2 8 3 2 4" xfId="41548" xr:uid="{00000000-0005-0000-0000-0000C1190000}"/>
    <cellStyle name="20 % - Markeringsfarve2 8 3 3" xfId="12863" xr:uid="{00000000-0005-0000-0000-0000C2190000}"/>
    <cellStyle name="20 % - Markeringsfarve2 8 3 3 2" xfId="29142" xr:uid="{00000000-0005-0000-0000-0000C3190000}"/>
    <cellStyle name="20 % - Markeringsfarve2 8 3 3 3" xfId="44103" xr:uid="{00000000-0005-0000-0000-0000C4190000}"/>
    <cellStyle name="20 % - Markeringsfarve2 8 3 4" xfId="22140" xr:uid="{00000000-0005-0000-0000-0000C5190000}"/>
    <cellStyle name="20 % - Markeringsfarve2 8 3 5" xfId="37106" xr:uid="{00000000-0005-0000-0000-0000C6190000}"/>
    <cellStyle name="20 % - Markeringsfarve2 8 4" xfId="4379" xr:uid="{00000000-0005-0000-0000-0000C7190000}"/>
    <cellStyle name="20 % - Markeringsfarve2 8 4 2" xfId="10721" xr:uid="{00000000-0005-0000-0000-0000C8190000}"/>
    <cellStyle name="20 % - Markeringsfarve2 8 4 2 2" xfId="18565" xr:uid="{00000000-0005-0000-0000-0000C9190000}"/>
    <cellStyle name="20 % - Markeringsfarve2 8 4 2 2 2" xfId="34841" xr:uid="{00000000-0005-0000-0000-0000CA190000}"/>
    <cellStyle name="20 % - Markeringsfarve2 8 4 2 2 3" xfId="49800" xr:uid="{00000000-0005-0000-0000-0000CB190000}"/>
    <cellStyle name="20 % - Markeringsfarve2 8 4 2 3" xfId="27839" xr:uid="{00000000-0005-0000-0000-0000CC190000}"/>
    <cellStyle name="20 % - Markeringsfarve2 8 4 2 4" xfId="42803" xr:uid="{00000000-0005-0000-0000-0000CD190000}"/>
    <cellStyle name="20 % - Markeringsfarve2 8 4 3" xfId="12864" xr:uid="{00000000-0005-0000-0000-0000CE190000}"/>
    <cellStyle name="20 % - Markeringsfarve2 8 4 3 2" xfId="29143" xr:uid="{00000000-0005-0000-0000-0000CF190000}"/>
    <cellStyle name="20 % - Markeringsfarve2 8 4 3 3" xfId="44104" xr:uid="{00000000-0005-0000-0000-0000D0190000}"/>
    <cellStyle name="20 % - Markeringsfarve2 8 4 4" xfId="22141" xr:uid="{00000000-0005-0000-0000-0000D1190000}"/>
    <cellStyle name="20 % - Markeringsfarve2 8 4 5" xfId="37107" xr:uid="{00000000-0005-0000-0000-0000D2190000}"/>
    <cellStyle name="20 % - Markeringsfarve2 8 5" xfId="7730" xr:uid="{00000000-0005-0000-0000-0000D3190000}"/>
    <cellStyle name="20 % - Markeringsfarve2 8 5 2" xfId="15595" xr:uid="{00000000-0005-0000-0000-0000D4190000}"/>
    <cellStyle name="20 % - Markeringsfarve2 8 5 2 2" xfId="31871" xr:uid="{00000000-0005-0000-0000-0000D5190000}"/>
    <cellStyle name="20 % - Markeringsfarve2 8 5 2 3" xfId="46830" xr:uid="{00000000-0005-0000-0000-0000D6190000}"/>
    <cellStyle name="20 % - Markeringsfarve2 8 5 3" xfId="24869" xr:uid="{00000000-0005-0000-0000-0000D7190000}"/>
    <cellStyle name="20 % - Markeringsfarve2 8 5 4" xfId="39833" xr:uid="{00000000-0005-0000-0000-0000D8190000}"/>
    <cellStyle name="20 % - Markeringsfarve2 8 6" xfId="12860" xr:uid="{00000000-0005-0000-0000-0000D9190000}"/>
    <cellStyle name="20 % - Markeringsfarve2 8 6 2" xfId="29139" xr:uid="{00000000-0005-0000-0000-0000DA190000}"/>
    <cellStyle name="20 % - Markeringsfarve2 8 6 3" xfId="44100" xr:uid="{00000000-0005-0000-0000-0000DB190000}"/>
    <cellStyle name="20 % - Markeringsfarve2 8 7" xfId="22137" xr:uid="{00000000-0005-0000-0000-0000DC190000}"/>
    <cellStyle name="20 % - Markeringsfarve2 8 8" xfId="37103" xr:uid="{00000000-0005-0000-0000-0000DD190000}"/>
    <cellStyle name="20 % - Markeringsfarve2 9" xfId="4380" xr:uid="{00000000-0005-0000-0000-0000DE190000}"/>
    <cellStyle name="20 % - Markeringsfarve2 9 2" xfId="4381" xr:uid="{00000000-0005-0000-0000-0000DF190000}"/>
    <cellStyle name="20 % - Markeringsfarve2 9 2 2" xfId="4382" xr:uid="{00000000-0005-0000-0000-0000E0190000}"/>
    <cellStyle name="20 % - Markeringsfarve2 9 2 2 2" xfId="10294" xr:uid="{00000000-0005-0000-0000-0000E1190000}"/>
    <cellStyle name="20 % - Markeringsfarve2 9 2 2 2 2" xfId="18149" xr:uid="{00000000-0005-0000-0000-0000E2190000}"/>
    <cellStyle name="20 % - Markeringsfarve2 9 2 2 2 2 2" xfId="34425" xr:uid="{00000000-0005-0000-0000-0000E3190000}"/>
    <cellStyle name="20 % - Markeringsfarve2 9 2 2 2 2 3" xfId="49384" xr:uid="{00000000-0005-0000-0000-0000E4190000}"/>
    <cellStyle name="20 % - Markeringsfarve2 9 2 2 2 3" xfId="27423" xr:uid="{00000000-0005-0000-0000-0000E5190000}"/>
    <cellStyle name="20 % - Markeringsfarve2 9 2 2 2 4" xfId="42387" xr:uid="{00000000-0005-0000-0000-0000E6190000}"/>
    <cellStyle name="20 % - Markeringsfarve2 9 2 2 3" xfId="12867" xr:uid="{00000000-0005-0000-0000-0000E7190000}"/>
    <cellStyle name="20 % - Markeringsfarve2 9 2 2 3 2" xfId="29146" xr:uid="{00000000-0005-0000-0000-0000E8190000}"/>
    <cellStyle name="20 % - Markeringsfarve2 9 2 2 3 3" xfId="44107" xr:uid="{00000000-0005-0000-0000-0000E9190000}"/>
    <cellStyle name="20 % - Markeringsfarve2 9 2 2 4" xfId="22144" xr:uid="{00000000-0005-0000-0000-0000EA190000}"/>
    <cellStyle name="20 % - Markeringsfarve2 9 2 2 5" xfId="37110" xr:uid="{00000000-0005-0000-0000-0000EB190000}"/>
    <cellStyle name="20 % - Markeringsfarve2 9 2 3" xfId="8806" xr:uid="{00000000-0005-0000-0000-0000EC190000}"/>
    <cellStyle name="20 % - Markeringsfarve2 9 2 3 2" xfId="16673" xr:uid="{00000000-0005-0000-0000-0000ED190000}"/>
    <cellStyle name="20 % - Markeringsfarve2 9 2 3 2 2" xfId="32949" xr:uid="{00000000-0005-0000-0000-0000EE190000}"/>
    <cellStyle name="20 % - Markeringsfarve2 9 2 3 2 3" xfId="47908" xr:uid="{00000000-0005-0000-0000-0000EF190000}"/>
    <cellStyle name="20 % - Markeringsfarve2 9 2 3 3" xfId="25947" xr:uid="{00000000-0005-0000-0000-0000F0190000}"/>
    <cellStyle name="20 % - Markeringsfarve2 9 2 3 4" xfId="40911" xr:uid="{00000000-0005-0000-0000-0000F1190000}"/>
    <cellStyle name="20 % - Markeringsfarve2 9 2 4" xfId="12866" xr:uid="{00000000-0005-0000-0000-0000F2190000}"/>
    <cellStyle name="20 % - Markeringsfarve2 9 2 4 2" xfId="29145" xr:uid="{00000000-0005-0000-0000-0000F3190000}"/>
    <cellStyle name="20 % - Markeringsfarve2 9 2 4 3" xfId="44106" xr:uid="{00000000-0005-0000-0000-0000F4190000}"/>
    <cellStyle name="20 % - Markeringsfarve2 9 2 5" xfId="22143" xr:uid="{00000000-0005-0000-0000-0000F5190000}"/>
    <cellStyle name="20 % - Markeringsfarve2 9 2 6" xfId="37109" xr:uid="{00000000-0005-0000-0000-0000F6190000}"/>
    <cellStyle name="20 % - Markeringsfarve2 9 3" xfId="4383" xr:uid="{00000000-0005-0000-0000-0000F7190000}"/>
    <cellStyle name="20 % - Markeringsfarve2 9 3 2" xfId="9572" xr:uid="{00000000-0005-0000-0000-0000F8190000}"/>
    <cellStyle name="20 % - Markeringsfarve2 9 3 2 2" xfId="17435" xr:uid="{00000000-0005-0000-0000-0000F9190000}"/>
    <cellStyle name="20 % - Markeringsfarve2 9 3 2 2 2" xfId="33711" xr:uid="{00000000-0005-0000-0000-0000FA190000}"/>
    <cellStyle name="20 % - Markeringsfarve2 9 3 2 2 3" xfId="48670" xr:uid="{00000000-0005-0000-0000-0000FB190000}"/>
    <cellStyle name="20 % - Markeringsfarve2 9 3 2 3" xfId="26709" xr:uid="{00000000-0005-0000-0000-0000FC190000}"/>
    <cellStyle name="20 % - Markeringsfarve2 9 3 2 4" xfId="41673" xr:uid="{00000000-0005-0000-0000-0000FD190000}"/>
    <cellStyle name="20 % - Markeringsfarve2 9 3 3" xfId="12868" xr:uid="{00000000-0005-0000-0000-0000FE190000}"/>
    <cellStyle name="20 % - Markeringsfarve2 9 3 3 2" xfId="29147" xr:uid="{00000000-0005-0000-0000-0000FF190000}"/>
    <cellStyle name="20 % - Markeringsfarve2 9 3 3 3" xfId="44108" xr:uid="{00000000-0005-0000-0000-0000001A0000}"/>
    <cellStyle name="20 % - Markeringsfarve2 9 3 4" xfId="22145" xr:uid="{00000000-0005-0000-0000-0000011A0000}"/>
    <cellStyle name="20 % - Markeringsfarve2 9 3 5" xfId="37111" xr:uid="{00000000-0005-0000-0000-0000021A0000}"/>
    <cellStyle name="20 % - Markeringsfarve2 9 4" xfId="4384" xr:uid="{00000000-0005-0000-0000-0000031A0000}"/>
    <cellStyle name="20 % - Markeringsfarve2 9 4 2" xfId="10999" xr:uid="{00000000-0005-0000-0000-0000041A0000}"/>
    <cellStyle name="20 % - Markeringsfarve2 9 4 2 2" xfId="18830" xr:uid="{00000000-0005-0000-0000-0000051A0000}"/>
    <cellStyle name="20 % - Markeringsfarve2 9 4 2 2 2" xfId="35106" xr:uid="{00000000-0005-0000-0000-0000061A0000}"/>
    <cellStyle name="20 % - Markeringsfarve2 9 4 2 2 3" xfId="50065" xr:uid="{00000000-0005-0000-0000-0000071A0000}"/>
    <cellStyle name="20 % - Markeringsfarve2 9 4 2 3" xfId="28104" xr:uid="{00000000-0005-0000-0000-0000081A0000}"/>
    <cellStyle name="20 % - Markeringsfarve2 9 4 2 4" xfId="43068" xr:uid="{00000000-0005-0000-0000-0000091A0000}"/>
    <cellStyle name="20 % - Markeringsfarve2 9 4 3" xfId="12869" xr:uid="{00000000-0005-0000-0000-00000A1A0000}"/>
    <cellStyle name="20 % - Markeringsfarve2 9 4 3 2" xfId="29148" xr:uid="{00000000-0005-0000-0000-00000B1A0000}"/>
    <cellStyle name="20 % - Markeringsfarve2 9 4 3 3" xfId="44109" xr:uid="{00000000-0005-0000-0000-00000C1A0000}"/>
    <cellStyle name="20 % - Markeringsfarve2 9 4 4" xfId="22146" xr:uid="{00000000-0005-0000-0000-00000D1A0000}"/>
    <cellStyle name="20 % - Markeringsfarve2 9 4 5" xfId="37112" xr:uid="{00000000-0005-0000-0000-00000E1A0000}"/>
    <cellStyle name="20 % - Markeringsfarve2 9 5" xfId="7731" xr:uid="{00000000-0005-0000-0000-00000F1A0000}"/>
    <cellStyle name="20 % - Markeringsfarve2 9 5 2" xfId="15596" xr:uid="{00000000-0005-0000-0000-0000101A0000}"/>
    <cellStyle name="20 % - Markeringsfarve2 9 5 2 2" xfId="31872" xr:uid="{00000000-0005-0000-0000-0000111A0000}"/>
    <cellStyle name="20 % - Markeringsfarve2 9 5 2 3" xfId="46831" xr:uid="{00000000-0005-0000-0000-0000121A0000}"/>
    <cellStyle name="20 % - Markeringsfarve2 9 5 3" xfId="24870" xr:uid="{00000000-0005-0000-0000-0000131A0000}"/>
    <cellStyle name="20 % - Markeringsfarve2 9 5 4" xfId="39834" xr:uid="{00000000-0005-0000-0000-0000141A0000}"/>
    <cellStyle name="20 % - Markeringsfarve2 9 6" xfId="12865" xr:uid="{00000000-0005-0000-0000-0000151A0000}"/>
    <cellStyle name="20 % - Markeringsfarve2 9 6 2" xfId="29144" xr:uid="{00000000-0005-0000-0000-0000161A0000}"/>
    <cellStyle name="20 % - Markeringsfarve2 9 6 3" xfId="44105" xr:uid="{00000000-0005-0000-0000-0000171A0000}"/>
    <cellStyle name="20 % - Markeringsfarve2 9 7" xfId="22142" xr:uid="{00000000-0005-0000-0000-0000181A0000}"/>
    <cellStyle name="20 % - Markeringsfarve2 9 8" xfId="37108" xr:uid="{00000000-0005-0000-0000-0000191A0000}"/>
    <cellStyle name="20 % - Markeringsfarve3 10" xfId="4386" xr:uid="{00000000-0005-0000-0000-00001A1A0000}"/>
    <cellStyle name="20 % - Markeringsfarve3 10 2" xfId="4387" xr:uid="{00000000-0005-0000-0000-00001B1A0000}"/>
    <cellStyle name="20 % - Markeringsfarve3 10 2 2" xfId="9698" xr:uid="{00000000-0005-0000-0000-00001C1A0000}"/>
    <cellStyle name="20 % - Markeringsfarve3 10 2 2 2" xfId="17552" xr:uid="{00000000-0005-0000-0000-00001D1A0000}"/>
    <cellStyle name="20 % - Markeringsfarve3 10 2 2 2 2" xfId="33828" xr:uid="{00000000-0005-0000-0000-00001E1A0000}"/>
    <cellStyle name="20 % - Markeringsfarve3 10 2 2 2 3" xfId="48787" xr:uid="{00000000-0005-0000-0000-00001F1A0000}"/>
    <cellStyle name="20 % - Markeringsfarve3 10 2 2 3" xfId="26826" xr:uid="{00000000-0005-0000-0000-0000201A0000}"/>
    <cellStyle name="20 % - Markeringsfarve3 10 2 2 4" xfId="41790" xr:uid="{00000000-0005-0000-0000-0000211A0000}"/>
    <cellStyle name="20 % - Markeringsfarve3 10 2 3" xfId="12872" xr:uid="{00000000-0005-0000-0000-0000221A0000}"/>
    <cellStyle name="20 % - Markeringsfarve3 10 2 3 2" xfId="29151" xr:uid="{00000000-0005-0000-0000-0000231A0000}"/>
    <cellStyle name="20 % - Markeringsfarve3 10 2 3 3" xfId="44112" xr:uid="{00000000-0005-0000-0000-0000241A0000}"/>
    <cellStyle name="20 % - Markeringsfarve3 10 2 4" xfId="22149" xr:uid="{00000000-0005-0000-0000-0000251A0000}"/>
    <cellStyle name="20 % - Markeringsfarve3 10 2 5" xfId="37115" xr:uid="{00000000-0005-0000-0000-0000261A0000}"/>
    <cellStyle name="20 % - Markeringsfarve3 10 3" xfId="4388" xr:uid="{00000000-0005-0000-0000-0000271A0000}"/>
    <cellStyle name="20 % - Markeringsfarve3 10 3 2" xfId="10998" xr:uid="{00000000-0005-0000-0000-0000281A0000}"/>
    <cellStyle name="20 % - Markeringsfarve3 10 3 2 2" xfId="18829" xr:uid="{00000000-0005-0000-0000-0000291A0000}"/>
    <cellStyle name="20 % - Markeringsfarve3 10 3 2 2 2" xfId="35105" xr:uid="{00000000-0005-0000-0000-00002A1A0000}"/>
    <cellStyle name="20 % - Markeringsfarve3 10 3 2 2 3" xfId="50064" xr:uid="{00000000-0005-0000-0000-00002B1A0000}"/>
    <cellStyle name="20 % - Markeringsfarve3 10 3 2 3" xfId="28103" xr:uid="{00000000-0005-0000-0000-00002C1A0000}"/>
    <cellStyle name="20 % - Markeringsfarve3 10 3 2 4" xfId="43067" xr:uid="{00000000-0005-0000-0000-00002D1A0000}"/>
    <cellStyle name="20 % - Markeringsfarve3 10 3 3" xfId="12873" xr:uid="{00000000-0005-0000-0000-00002E1A0000}"/>
    <cellStyle name="20 % - Markeringsfarve3 10 3 3 2" xfId="29152" xr:uid="{00000000-0005-0000-0000-00002F1A0000}"/>
    <cellStyle name="20 % - Markeringsfarve3 10 3 3 3" xfId="44113" xr:uid="{00000000-0005-0000-0000-0000301A0000}"/>
    <cellStyle name="20 % - Markeringsfarve3 10 3 4" xfId="22150" xr:uid="{00000000-0005-0000-0000-0000311A0000}"/>
    <cellStyle name="20 % - Markeringsfarve3 10 3 5" xfId="37116" xr:uid="{00000000-0005-0000-0000-0000321A0000}"/>
    <cellStyle name="20 % - Markeringsfarve3 10 4" xfId="7733" xr:uid="{00000000-0005-0000-0000-0000331A0000}"/>
    <cellStyle name="20 % - Markeringsfarve3 10 4 2" xfId="15598" xr:uid="{00000000-0005-0000-0000-0000341A0000}"/>
    <cellStyle name="20 % - Markeringsfarve3 10 4 2 2" xfId="31874" xr:uid="{00000000-0005-0000-0000-0000351A0000}"/>
    <cellStyle name="20 % - Markeringsfarve3 10 4 2 3" xfId="46833" xr:uid="{00000000-0005-0000-0000-0000361A0000}"/>
    <cellStyle name="20 % - Markeringsfarve3 10 4 3" xfId="24872" xr:uid="{00000000-0005-0000-0000-0000371A0000}"/>
    <cellStyle name="20 % - Markeringsfarve3 10 4 4" xfId="39836" xr:uid="{00000000-0005-0000-0000-0000381A0000}"/>
    <cellStyle name="20 % - Markeringsfarve3 10 5" xfId="12871" xr:uid="{00000000-0005-0000-0000-0000391A0000}"/>
    <cellStyle name="20 % - Markeringsfarve3 10 5 2" xfId="29150" xr:uid="{00000000-0005-0000-0000-00003A1A0000}"/>
    <cellStyle name="20 % - Markeringsfarve3 10 5 3" xfId="44111" xr:uid="{00000000-0005-0000-0000-00003B1A0000}"/>
    <cellStyle name="20 % - Markeringsfarve3 10 6" xfId="22148" xr:uid="{00000000-0005-0000-0000-00003C1A0000}"/>
    <cellStyle name="20 % - Markeringsfarve3 10 7" xfId="37114" xr:uid="{00000000-0005-0000-0000-00003D1A0000}"/>
    <cellStyle name="20 % - Markeringsfarve3 11" xfId="4389" xr:uid="{00000000-0005-0000-0000-00003E1A0000}"/>
    <cellStyle name="20 % - Markeringsfarve3 11 2" xfId="4390" xr:uid="{00000000-0005-0000-0000-00003F1A0000}"/>
    <cellStyle name="20 % - Markeringsfarve3 11 2 2" xfId="10719" xr:uid="{00000000-0005-0000-0000-0000401A0000}"/>
    <cellStyle name="20 % - Markeringsfarve3 11 2 2 2" xfId="18563" xr:uid="{00000000-0005-0000-0000-0000411A0000}"/>
    <cellStyle name="20 % - Markeringsfarve3 11 2 2 2 2" xfId="34839" xr:uid="{00000000-0005-0000-0000-0000421A0000}"/>
    <cellStyle name="20 % - Markeringsfarve3 11 2 2 2 3" xfId="49798" xr:uid="{00000000-0005-0000-0000-0000431A0000}"/>
    <cellStyle name="20 % - Markeringsfarve3 11 2 2 3" xfId="27837" xr:uid="{00000000-0005-0000-0000-0000441A0000}"/>
    <cellStyle name="20 % - Markeringsfarve3 11 2 2 4" xfId="42801" xr:uid="{00000000-0005-0000-0000-0000451A0000}"/>
    <cellStyle name="20 % - Markeringsfarve3 11 2 3" xfId="12875" xr:uid="{00000000-0005-0000-0000-0000461A0000}"/>
    <cellStyle name="20 % - Markeringsfarve3 11 2 3 2" xfId="29154" xr:uid="{00000000-0005-0000-0000-0000471A0000}"/>
    <cellStyle name="20 % - Markeringsfarve3 11 2 3 3" xfId="44115" xr:uid="{00000000-0005-0000-0000-0000481A0000}"/>
    <cellStyle name="20 % - Markeringsfarve3 11 2 4" xfId="22152" xr:uid="{00000000-0005-0000-0000-0000491A0000}"/>
    <cellStyle name="20 % - Markeringsfarve3 11 2 5" xfId="37118" xr:uid="{00000000-0005-0000-0000-00004A1A0000}"/>
    <cellStyle name="20 % - Markeringsfarve3 11 3" xfId="7734" xr:uid="{00000000-0005-0000-0000-00004B1A0000}"/>
    <cellStyle name="20 % - Markeringsfarve3 11 3 2" xfId="15599" xr:uid="{00000000-0005-0000-0000-00004C1A0000}"/>
    <cellStyle name="20 % - Markeringsfarve3 11 3 2 2" xfId="31875" xr:uid="{00000000-0005-0000-0000-00004D1A0000}"/>
    <cellStyle name="20 % - Markeringsfarve3 11 3 2 3" xfId="46834" xr:uid="{00000000-0005-0000-0000-00004E1A0000}"/>
    <cellStyle name="20 % - Markeringsfarve3 11 3 3" xfId="24873" xr:uid="{00000000-0005-0000-0000-00004F1A0000}"/>
    <cellStyle name="20 % - Markeringsfarve3 11 3 4" xfId="39837" xr:uid="{00000000-0005-0000-0000-0000501A0000}"/>
    <cellStyle name="20 % - Markeringsfarve3 11 4" xfId="12874" xr:uid="{00000000-0005-0000-0000-0000511A0000}"/>
    <cellStyle name="20 % - Markeringsfarve3 11 4 2" xfId="29153" xr:uid="{00000000-0005-0000-0000-0000521A0000}"/>
    <cellStyle name="20 % - Markeringsfarve3 11 4 3" xfId="44114" xr:uid="{00000000-0005-0000-0000-0000531A0000}"/>
    <cellStyle name="20 % - Markeringsfarve3 11 5" xfId="22151" xr:uid="{00000000-0005-0000-0000-0000541A0000}"/>
    <cellStyle name="20 % - Markeringsfarve3 11 6" xfId="37117" xr:uid="{00000000-0005-0000-0000-0000551A0000}"/>
    <cellStyle name="20 % - Markeringsfarve3 12" xfId="4391" xr:uid="{00000000-0005-0000-0000-0000561A0000}"/>
    <cellStyle name="20 % - Markeringsfarve3 12 2" xfId="4392" xr:uid="{00000000-0005-0000-0000-0000571A0000}"/>
    <cellStyle name="20 % - Markeringsfarve3 12 2 2" xfId="10948" xr:uid="{00000000-0005-0000-0000-0000581A0000}"/>
    <cellStyle name="20 % - Markeringsfarve3 12 2 2 2" xfId="18782" xr:uid="{00000000-0005-0000-0000-0000591A0000}"/>
    <cellStyle name="20 % - Markeringsfarve3 12 2 2 2 2" xfId="35058" xr:uid="{00000000-0005-0000-0000-00005A1A0000}"/>
    <cellStyle name="20 % - Markeringsfarve3 12 2 2 2 3" xfId="50017" xr:uid="{00000000-0005-0000-0000-00005B1A0000}"/>
    <cellStyle name="20 % - Markeringsfarve3 12 2 2 3" xfId="28056" xr:uid="{00000000-0005-0000-0000-00005C1A0000}"/>
    <cellStyle name="20 % - Markeringsfarve3 12 2 2 4" xfId="43020" xr:uid="{00000000-0005-0000-0000-00005D1A0000}"/>
    <cellStyle name="20 % - Markeringsfarve3 12 2 3" xfId="12877" xr:uid="{00000000-0005-0000-0000-00005E1A0000}"/>
    <cellStyle name="20 % - Markeringsfarve3 12 2 3 2" xfId="29156" xr:uid="{00000000-0005-0000-0000-00005F1A0000}"/>
    <cellStyle name="20 % - Markeringsfarve3 12 2 3 3" xfId="44117" xr:uid="{00000000-0005-0000-0000-0000601A0000}"/>
    <cellStyle name="20 % - Markeringsfarve3 12 2 4" xfId="22154" xr:uid="{00000000-0005-0000-0000-0000611A0000}"/>
    <cellStyle name="20 % - Markeringsfarve3 12 2 5" xfId="37120" xr:uid="{00000000-0005-0000-0000-0000621A0000}"/>
    <cellStyle name="20 % - Markeringsfarve3 12 3" xfId="7735" xr:uid="{00000000-0005-0000-0000-0000631A0000}"/>
    <cellStyle name="20 % - Markeringsfarve3 12 3 2" xfId="15600" xr:uid="{00000000-0005-0000-0000-0000641A0000}"/>
    <cellStyle name="20 % - Markeringsfarve3 12 3 2 2" xfId="31876" xr:uid="{00000000-0005-0000-0000-0000651A0000}"/>
    <cellStyle name="20 % - Markeringsfarve3 12 3 2 3" xfId="46835" xr:uid="{00000000-0005-0000-0000-0000661A0000}"/>
    <cellStyle name="20 % - Markeringsfarve3 12 3 3" xfId="24874" xr:uid="{00000000-0005-0000-0000-0000671A0000}"/>
    <cellStyle name="20 % - Markeringsfarve3 12 3 4" xfId="39838" xr:uid="{00000000-0005-0000-0000-0000681A0000}"/>
    <cellStyle name="20 % - Markeringsfarve3 12 4" xfId="12876" xr:uid="{00000000-0005-0000-0000-0000691A0000}"/>
    <cellStyle name="20 % - Markeringsfarve3 12 4 2" xfId="29155" xr:uid="{00000000-0005-0000-0000-00006A1A0000}"/>
    <cellStyle name="20 % - Markeringsfarve3 12 4 3" xfId="44116" xr:uid="{00000000-0005-0000-0000-00006B1A0000}"/>
    <cellStyle name="20 % - Markeringsfarve3 12 5" xfId="22153" xr:uid="{00000000-0005-0000-0000-00006C1A0000}"/>
    <cellStyle name="20 % - Markeringsfarve3 12 6" xfId="37119" xr:uid="{00000000-0005-0000-0000-00006D1A0000}"/>
    <cellStyle name="20 % - Markeringsfarve3 13" xfId="4393" xr:uid="{00000000-0005-0000-0000-00006E1A0000}"/>
    <cellStyle name="20 % - Markeringsfarve3 13 2" xfId="4394" xr:uid="{00000000-0005-0000-0000-00006F1A0000}"/>
    <cellStyle name="20 % - Markeringsfarve3 13 2 2" xfId="10473" xr:uid="{00000000-0005-0000-0000-0000701A0000}"/>
    <cellStyle name="20 % - Markeringsfarve3 13 2 2 2" xfId="18323" xr:uid="{00000000-0005-0000-0000-0000711A0000}"/>
    <cellStyle name="20 % - Markeringsfarve3 13 2 2 2 2" xfId="34599" xr:uid="{00000000-0005-0000-0000-0000721A0000}"/>
    <cellStyle name="20 % - Markeringsfarve3 13 2 2 2 3" xfId="49558" xr:uid="{00000000-0005-0000-0000-0000731A0000}"/>
    <cellStyle name="20 % - Markeringsfarve3 13 2 2 3" xfId="27597" xr:uid="{00000000-0005-0000-0000-0000741A0000}"/>
    <cellStyle name="20 % - Markeringsfarve3 13 2 2 4" xfId="42561" xr:uid="{00000000-0005-0000-0000-0000751A0000}"/>
    <cellStyle name="20 % - Markeringsfarve3 13 2 3" xfId="12879" xr:uid="{00000000-0005-0000-0000-0000761A0000}"/>
    <cellStyle name="20 % - Markeringsfarve3 13 2 3 2" xfId="29158" xr:uid="{00000000-0005-0000-0000-0000771A0000}"/>
    <cellStyle name="20 % - Markeringsfarve3 13 2 3 3" xfId="44119" xr:uid="{00000000-0005-0000-0000-0000781A0000}"/>
    <cellStyle name="20 % - Markeringsfarve3 13 2 4" xfId="22156" xr:uid="{00000000-0005-0000-0000-0000791A0000}"/>
    <cellStyle name="20 % - Markeringsfarve3 13 2 5" xfId="37122" xr:uid="{00000000-0005-0000-0000-00007A1A0000}"/>
    <cellStyle name="20 % - Markeringsfarve3 13 3" xfId="7732" xr:uid="{00000000-0005-0000-0000-00007B1A0000}"/>
    <cellStyle name="20 % - Markeringsfarve3 13 3 2" xfId="15597" xr:uid="{00000000-0005-0000-0000-00007C1A0000}"/>
    <cellStyle name="20 % - Markeringsfarve3 13 3 2 2" xfId="31873" xr:uid="{00000000-0005-0000-0000-00007D1A0000}"/>
    <cellStyle name="20 % - Markeringsfarve3 13 3 2 3" xfId="46832" xr:uid="{00000000-0005-0000-0000-00007E1A0000}"/>
    <cellStyle name="20 % - Markeringsfarve3 13 3 3" xfId="24871" xr:uid="{00000000-0005-0000-0000-00007F1A0000}"/>
    <cellStyle name="20 % - Markeringsfarve3 13 3 4" xfId="39835" xr:uid="{00000000-0005-0000-0000-0000801A0000}"/>
    <cellStyle name="20 % - Markeringsfarve3 13 4" xfId="12878" xr:uid="{00000000-0005-0000-0000-0000811A0000}"/>
    <cellStyle name="20 % - Markeringsfarve3 13 4 2" xfId="29157" xr:uid="{00000000-0005-0000-0000-0000821A0000}"/>
    <cellStyle name="20 % - Markeringsfarve3 13 4 3" xfId="44118" xr:uid="{00000000-0005-0000-0000-0000831A0000}"/>
    <cellStyle name="20 % - Markeringsfarve3 13 5" xfId="22155" xr:uid="{00000000-0005-0000-0000-0000841A0000}"/>
    <cellStyle name="20 % - Markeringsfarve3 13 6" xfId="37121" xr:uid="{00000000-0005-0000-0000-0000851A0000}"/>
    <cellStyle name="20 % - Markeringsfarve3 14" xfId="4395" xr:uid="{00000000-0005-0000-0000-0000861A0000}"/>
    <cellStyle name="20 % - Markeringsfarve3 14 2" xfId="8920" xr:uid="{00000000-0005-0000-0000-0000871A0000}"/>
    <cellStyle name="20 % - Markeringsfarve3 14 2 2" xfId="16786" xr:uid="{00000000-0005-0000-0000-0000881A0000}"/>
    <cellStyle name="20 % - Markeringsfarve3 14 2 2 2" xfId="33062" xr:uid="{00000000-0005-0000-0000-0000891A0000}"/>
    <cellStyle name="20 % - Markeringsfarve3 14 2 2 3" xfId="48021" xr:uid="{00000000-0005-0000-0000-00008A1A0000}"/>
    <cellStyle name="20 % - Markeringsfarve3 14 2 3" xfId="26060" xr:uid="{00000000-0005-0000-0000-00008B1A0000}"/>
    <cellStyle name="20 % - Markeringsfarve3 14 2 4" xfId="41024" xr:uid="{00000000-0005-0000-0000-00008C1A0000}"/>
    <cellStyle name="20 % - Markeringsfarve3 14 3" xfId="12880" xr:uid="{00000000-0005-0000-0000-00008D1A0000}"/>
    <cellStyle name="20 % - Markeringsfarve3 14 3 2" xfId="29159" xr:uid="{00000000-0005-0000-0000-00008E1A0000}"/>
    <cellStyle name="20 % - Markeringsfarve3 14 3 3" xfId="44120" xr:uid="{00000000-0005-0000-0000-00008F1A0000}"/>
    <cellStyle name="20 % - Markeringsfarve3 14 4" xfId="22157" xr:uid="{00000000-0005-0000-0000-0000901A0000}"/>
    <cellStyle name="20 % - Markeringsfarve3 14 5" xfId="37123" xr:uid="{00000000-0005-0000-0000-0000911A0000}"/>
    <cellStyle name="20 % - Markeringsfarve3 15" xfId="4396" xr:uid="{00000000-0005-0000-0000-0000921A0000}"/>
    <cellStyle name="20 % - Markeringsfarve3 15 2" xfId="10896" xr:uid="{00000000-0005-0000-0000-0000931A0000}"/>
    <cellStyle name="20 % - Markeringsfarve3 15 2 2" xfId="18732" xr:uid="{00000000-0005-0000-0000-0000941A0000}"/>
    <cellStyle name="20 % - Markeringsfarve3 15 2 2 2" xfId="35008" xr:uid="{00000000-0005-0000-0000-0000951A0000}"/>
    <cellStyle name="20 % - Markeringsfarve3 15 2 2 3" xfId="49967" xr:uid="{00000000-0005-0000-0000-0000961A0000}"/>
    <cellStyle name="20 % - Markeringsfarve3 15 2 3" xfId="28006" xr:uid="{00000000-0005-0000-0000-0000971A0000}"/>
    <cellStyle name="20 % - Markeringsfarve3 15 2 4" xfId="42970" xr:uid="{00000000-0005-0000-0000-0000981A0000}"/>
    <cellStyle name="20 % - Markeringsfarve3 15 3" xfId="12881" xr:uid="{00000000-0005-0000-0000-0000991A0000}"/>
    <cellStyle name="20 % - Markeringsfarve3 15 3 2" xfId="29160" xr:uid="{00000000-0005-0000-0000-00009A1A0000}"/>
    <cellStyle name="20 % - Markeringsfarve3 15 3 3" xfId="44121" xr:uid="{00000000-0005-0000-0000-00009B1A0000}"/>
    <cellStyle name="20 % - Markeringsfarve3 15 4" xfId="22158" xr:uid="{00000000-0005-0000-0000-00009C1A0000}"/>
    <cellStyle name="20 % - Markeringsfarve3 15 5" xfId="37124" xr:uid="{00000000-0005-0000-0000-00009D1A0000}"/>
    <cellStyle name="20 % - Markeringsfarve3 16" xfId="4397" xr:uid="{00000000-0005-0000-0000-00009E1A0000}"/>
    <cellStyle name="20 % - Markeringsfarve3 16 2" xfId="10720" xr:uid="{00000000-0005-0000-0000-00009F1A0000}"/>
    <cellStyle name="20 % - Markeringsfarve3 16 2 2" xfId="18564" xr:uid="{00000000-0005-0000-0000-0000A01A0000}"/>
    <cellStyle name="20 % - Markeringsfarve3 16 2 2 2" xfId="34840" xr:uid="{00000000-0005-0000-0000-0000A11A0000}"/>
    <cellStyle name="20 % - Markeringsfarve3 16 2 2 3" xfId="49799" xr:uid="{00000000-0005-0000-0000-0000A21A0000}"/>
    <cellStyle name="20 % - Markeringsfarve3 16 2 3" xfId="27838" xr:uid="{00000000-0005-0000-0000-0000A31A0000}"/>
    <cellStyle name="20 % - Markeringsfarve3 16 2 4" xfId="42802" xr:uid="{00000000-0005-0000-0000-0000A41A0000}"/>
    <cellStyle name="20 % - Markeringsfarve3 16 3" xfId="12882" xr:uid="{00000000-0005-0000-0000-0000A51A0000}"/>
    <cellStyle name="20 % - Markeringsfarve3 16 3 2" xfId="29161" xr:uid="{00000000-0005-0000-0000-0000A61A0000}"/>
    <cellStyle name="20 % - Markeringsfarve3 16 3 3" xfId="44122" xr:uid="{00000000-0005-0000-0000-0000A71A0000}"/>
    <cellStyle name="20 % - Markeringsfarve3 16 4" xfId="22159" xr:uid="{00000000-0005-0000-0000-0000A81A0000}"/>
    <cellStyle name="20 % - Markeringsfarve3 16 5" xfId="37125" xr:uid="{00000000-0005-0000-0000-0000A91A0000}"/>
    <cellStyle name="20 % - Markeringsfarve3 17" xfId="7604" xr:uid="{00000000-0005-0000-0000-0000AA1A0000}"/>
    <cellStyle name="20 % - Markeringsfarve3 17 2" xfId="15475" xr:uid="{00000000-0005-0000-0000-0000AB1A0000}"/>
    <cellStyle name="20 % - Markeringsfarve3 17 2 2" xfId="31751" xr:uid="{00000000-0005-0000-0000-0000AC1A0000}"/>
    <cellStyle name="20 % - Markeringsfarve3 17 2 3" xfId="46710" xr:uid="{00000000-0005-0000-0000-0000AD1A0000}"/>
    <cellStyle name="20 % - Markeringsfarve3 17 3" xfId="24749" xr:uid="{00000000-0005-0000-0000-0000AE1A0000}"/>
    <cellStyle name="20 % - Markeringsfarve3 17 4" xfId="39713" xr:uid="{00000000-0005-0000-0000-0000AF1A0000}"/>
    <cellStyle name="20 % - Markeringsfarve3 18" xfId="4385" xr:uid="{00000000-0005-0000-0000-0000B01A0000}"/>
    <cellStyle name="20 % - Markeringsfarve3 18 2" xfId="12870" xr:uid="{00000000-0005-0000-0000-0000B11A0000}"/>
    <cellStyle name="20 % - Markeringsfarve3 18 2 2" xfId="29149" xr:uid="{00000000-0005-0000-0000-0000B21A0000}"/>
    <cellStyle name="20 % - Markeringsfarve3 18 2 3" xfId="44110" xr:uid="{00000000-0005-0000-0000-0000B31A0000}"/>
    <cellStyle name="20 % - Markeringsfarve3 18 3" xfId="22147" xr:uid="{00000000-0005-0000-0000-0000B41A0000}"/>
    <cellStyle name="20 % - Markeringsfarve3 18 4" xfId="37113" xr:uid="{00000000-0005-0000-0000-0000B51A0000}"/>
    <cellStyle name="20 % - Markeringsfarve3 2" xfId="4398" xr:uid="{00000000-0005-0000-0000-0000B61A0000}"/>
    <cellStyle name="20 % - Markeringsfarve3 2 10" xfId="4399" xr:uid="{00000000-0005-0000-0000-0000B71A0000}"/>
    <cellStyle name="20 % - Markeringsfarve3 2 10 2" xfId="8952" xr:uid="{00000000-0005-0000-0000-0000B81A0000}"/>
    <cellStyle name="20 % - Markeringsfarve3 2 10 2 2" xfId="16816" xr:uid="{00000000-0005-0000-0000-0000B91A0000}"/>
    <cellStyle name="20 % - Markeringsfarve3 2 10 2 2 2" xfId="33092" xr:uid="{00000000-0005-0000-0000-0000BA1A0000}"/>
    <cellStyle name="20 % - Markeringsfarve3 2 10 2 2 3" xfId="48051" xr:uid="{00000000-0005-0000-0000-0000BB1A0000}"/>
    <cellStyle name="20 % - Markeringsfarve3 2 10 2 3" xfId="26090" xr:uid="{00000000-0005-0000-0000-0000BC1A0000}"/>
    <cellStyle name="20 % - Markeringsfarve3 2 10 2 4" xfId="41054" xr:uid="{00000000-0005-0000-0000-0000BD1A0000}"/>
    <cellStyle name="20 % - Markeringsfarve3 2 10 3" xfId="12884" xr:uid="{00000000-0005-0000-0000-0000BE1A0000}"/>
    <cellStyle name="20 % - Markeringsfarve3 2 10 3 2" xfId="29163" xr:uid="{00000000-0005-0000-0000-0000BF1A0000}"/>
    <cellStyle name="20 % - Markeringsfarve3 2 10 3 3" xfId="44124" xr:uid="{00000000-0005-0000-0000-0000C01A0000}"/>
    <cellStyle name="20 % - Markeringsfarve3 2 10 4" xfId="22161" xr:uid="{00000000-0005-0000-0000-0000C11A0000}"/>
    <cellStyle name="20 % - Markeringsfarve3 2 10 5" xfId="37127" xr:uid="{00000000-0005-0000-0000-0000C21A0000}"/>
    <cellStyle name="20 % - Markeringsfarve3 2 11" xfId="4400" xr:uid="{00000000-0005-0000-0000-0000C31A0000}"/>
    <cellStyle name="20 % - Markeringsfarve3 2 11 2" xfId="10672" xr:uid="{00000000-0005-0000-0000-0000C41A0000}"/>
    <cellStyle name="20 % - Markeringsfarve3 2 11 2 2" xfId="18518" xr:uid="{00000000-0005-0000-0000-0000C51A0000}"/>
    <cellStyle name="20 % - Markeringsfarve3 2 11 2 2 2" xfId="34794" xr:uid="{00000000-0005-0000-0000-0000C61A0000}"/>
    <cellStyle name="20 % - Markeringsfarve3 2 11 2 2 3" xfId="49753" xr:uid="{00000000-0005-0000-0000-0000C71A0000}"/>
    <cellStyle name="20 % - Markeringsfarve3 2 11 2 3" xfId="27792" xr:uid="{00000000-0005-0000-0000-0000C81A0000}"/>
    <cellStyle name="20 % - Markeringsfarve3 2 11 2 4" xfId="42756" xr:uid="{00000000-0005-0000-0000-0000C91A0000}"/>
    <cellStyle name="20 % - Markeringsfarve3 2 11 3" xfId="12885" xr:uid="{00000000-0005-0000-0000-0000CA1A0000}"/>
    <cellStyle name="20 % - Markeringsfarve3 2 11 3 2" xfId="29164" xr:uid="{00000000-0005-0000-0000-0000CB1A0000}"/>
    <cellStyle name="20 % - Markeringsfarve3 2 11 3 3" xfId="44125" xr:uid="{00000000-0005-0000-0000-0000CC1A0000}"/>
    <cellStyle name="20 % - Markeringsfarve3 2 11 4" xfId="22162" xr:uid="{00000000-0005-0000-0000-0000CD1A0000}"/>
    <cellStyle name="20 % - Markeringsfarve3 2 11 5" xfId="37128" xr:uid="{00000000-0005-0000-0000-0000CE1A0000}"/>
    <cellStyle name="20 % - Markeringsfarve3 2 12" xfId="7736" xr:uid="{00000000-0005-0000-0000-0000CF1A0000}"/>
    <cellStyle name="20 % - Markeringsfarve3 2 12 2" xfId="15601" xr:uid="{00000000-0005-0000-0000-0000D01A0000}"/>
    <cellStyle name="20 % - Markeringsfarve3 2 12 2 2" xfId="31877" xr:uid="{00000000-0005-0000-0000-0000D11A0000}"/>
    <cellStyle name="20 % - Markeringsfarve3 2 12 2 3" xfId="46836" xr:uid="{00000000-0005-0000-0000-0000D21A0000}"/>
    <cellStyle name="20 % - Markeringsfarve3 2 12 3" xfId="24875" xr:uid="{00000000-0005-0000-0000-0000D31A0000}"/>
    <cellStyle name="20 % - Markeringsfarve3 2 12 4" xfId="39839" xr:uid="{00000000-0005-0000-0000-0000D41A0000}"/>
    <cellStyle name="20 % - Markeringsfarve3 2 13" xfId="12883" xr:uid="{00000000-0005-0000-0000-0000D51A0000}"/>
    <cellStyle name="20 % - Markeringsfarve3 2 13 2" xfId="29162" xr:uid="{00000000-0005-0000-0000-0000D61A0000}"/>
    <cellStyle name="20 % - Markeringsfarve3 2 13 3" xfId="44123" xr:uid="{00000000-0005-0000-0000-0000D71A0000}"/>
    <cellStyle name="20 % - Markeringsfarve3 2 14" xfId="22160" xr:uid="{00000000-0005-0000-0000-0000D81A0000}"/>
    <cellStyle name="20 % - Markeringsfarve3 2 15" xfId="37126" xr:uid="{00000000-0005-0000-0000-0000D91A0000}"/>
    <cellStyle name="20 % - Markeringsfarve3 2 2" xfId="4401" xr:uid="{00000000-0005-0000-0000-0000DA1A0000}"/>
    <cellStyle name="20 % - Markeringsfarve3 2 2 10" xfId="7737" xr:uid="{00000000-0005-0000-0000-0000DB1A0000}"/>
    <cellStyle name="20 % - Markeringsfarve3 2 2 10 2" xfId="15602" xr:uid="{00000000-0005-0000-0000-0000DC1A0000}"/>
    <cellStyle name="20 % - Markeringsfarve3 2 2 10 2 2" xfId="31878" xr:uid="{00000000-0005-0000-0000-0000DD1A0000}"/>
    <cellStyle name="20 % - Markeringsfarve3 2 2 10 2 3" xfId="46837" xr:uid="{00000000-0005-0000-0000-0000DE1A0000}"/>
    <cellStyle name="20 % - Markeringsfarve3 2 2 10 3" xfId="24876" xr:uid="{00000000-0005-0000-0000-0000DF1A0000}"/>
    <cellStyle name="20 % - Markeringsfarve3 2 2 10 4" xfId="39840" xr:uid="{00000000-0005-0000-0000-0000E01A0000}"/>
    <cellStyle name="20 % - Markeringsfarve3 2 2 11" xfId="12886" xr:uid="{00000000-0005-0000-0000-0000E11A0000}"/>
    <cellStyle name="20 % - Markeringsfarve3 2 2 11 2" xfId="29165" xr:uid="{00000000-0005-0000-0000-0000E21A0000}"/>
    <cellStyle name="20 % - Markeringsfarve3 2 2 11 3" xfId="44126" xr:uid="{00000000-0005-0000-0000-0000E31A0000}"/>
    <cellStyle name="20 % - Markeringsfarve3 2 2 12" xfId="22163" xr:uid="{00000000-0005-0000-0000-0000E41A0000}"/>
    <cellStyle name="20 % - Markeringsfarve3 2 2 13" xfId="37129" xr:uid="{00000000-0005-0000-0000-0000E51A0000}"/>
    <cellStyle name="20 % - Markeringsfarve3 2 2 2" xfId="4402" xr:uid="{00000000-0005-0000-0000-0000E61A0000}"/>
    <cellStyle name="20 % - Markeringsfarve3 2 2 2 2" xfId="4403" xr:uid="{00000000-0005-0000-0000-0000E71A0000}"/>
    <cellStyle name="20 % - Markeringsfarve3 2 2 2 2 2" xfId="4404" xr:uid="{00000000-0005-0000-0000-0000E81A0000}"/>
    <cellStyle name="20 % - Markeringsfarve3 2 2 2 2 2 2" xfId="9882" xr:uid="{00000000-0005-0000-0000-0000E91A0000}"/>
    <cellStyle name="20 % - Markeringsfarve3 2 2 2 2 2 2 2" xfId="17737" xr:uid="{00000000-0005-0000-0000-0000EA1A0000}"/>
    <cellStyle name="20 % - Markeringsfarve3 2 2 2 2 2 2 2 2" xfId="34013" xr:uid="{00000000-0005-0000-0000-0000EB1A0000}"/>
    <cellStyle name="20 % - Markeringsfarve3 2 2 2 2 2 2 2 3" xfId="48972" xr:uid="{00000000-0005-0000-0000-0000EC1A0000}"/>
    <cellStyle name="20 % - Markeringsfarve3 2 2 2 2 2 2 3" xfId="27011" xr:uid="{00000000-0005-0000-0000-0000ED1A0000}"/>
    <cellStyle name="20 % - Markeringsfarve3 2 2 2 2 2 2 4" xfId="41975" xr:uid="{00000000-0005-0000-0000-0000EE1A0000}"/>
    <cellStyle name="20 % - Markeringsfarve3 2 2 2 2 2 3" xfId="12889" xr:uid="{00000000-0005-0000-0000-0000EF1A0000}"/>
    <cellStyle name="20 % - Markeringsfarve3 2 2 2 2 2 3 2" xfId="29168" xr:uid="{00000000-0005-0000-0000-0000F01A0000}"/>
    <cellStyle name="20 % - Markeringsfarve3 2 2 2 2 2 3 3" xfId="44129" xr:uid="{00000000-0005-0000-0000-0000F11A0000}"/>
    <cellStyle name="20 % - Markeringsfarve3 2 2 2 2 2 4" xfId="22166" xr:uid="{00000000-0005-0000-0000-0000F21A0000}"/>
    <cellStyle name="20 % - Markeringsfarve3 2 2 2 2 2 5" xfId="37132" xr:uid="{00000000-0005-0000-0000-0000F31A0000}"/>
    <cellStyle name="20 % - Markeringsfarve3 2 2 2 2 3" xfId="8455" xr:uid="{00000000-0005-0000-0000-0000F41A0000}"/>
    <cellStyle name="20 % - Markeringsfarve3 2 2 2 2 3 2" xfId="16325" xr:uid="{00000000-0005-0000-0000-0000F51A0000}"/>
    <cellStyle name="20 % - Markeringsfarve3 2 2 2 2 3 2 2" xfId="32601" xr:uid="{00000000-0005-0000-0000-0000F61A0000}"/>
    <cellStyle name="20 % - Markeringsfarve3 2 2 2 2 3 2 3" xfId="47560" xr:uid="{00000000-0005-0000-0000-0000F71A0000}"/>
    <cellStyle name="20 % - Markeringsfarve3 2 2 2 2 3 3" xfId="25599" xr:uid="{00000000-0005-0000-0000-0000F81A0000}"/>
    <cellStyle name="20 % - Markeringsfarve3 2 2 2 2 3 4" xfId="40563" xr:uid="{00000000-0005-0000-0000-0000F91A0000}"/>
    <cellStyle name="20 % - Markeringsfarve3 2 2 2 2 4" xfId="12888" xr:uid="{00000000-0005-0000-0000-0000FA1A0000}"/>
    <cellStyle name="20 % - Markeringsfarve3 2 2 2 2 4 2" xfId="29167" xr:uid="{00000000-0005-0000-0000-0000FB1A0000}"/>
    <cellStyle name="20 % - Markeringsfarve3 2 2 2 2 4 3" xfId="44128" xr:uid="{00000000-0005-0000-0000-0000FC1A0000}"/>
    <cellStyle name="20 % - Markeringsfarve3 2 2 2 2 5" xfId="22165" xr:uid="{00000000-0005-0000-0000-0000FD1A0000}"/>
    <cellStyle name="20 % - Markeringsfarve3 2 2 2 2 6" xfId="37131" xr:uid="{00000000-0005-0000-0000-0000FE1A0000}"/>
    <cellStyle name="20 % - Markeringsfarve3 2 2 2 3" xfId="4405" xr:uid="{00000000-0005-0000-0000-0000FF1A0000}"/>
    <cellStyle name="20 % - Markeringsfarve3 2 2 2 3 2" xfId="9113" xr:uid="{00000000-0005-0000-0000-0000001B0000}"/>
    <cellStyle name="20 % - Markeringsfarve3 2 2 2 3 2 2" xfId="16977" xr:uid="{00000000-0005-0000-0000-0000011B0000}"/>
    <cellStyle name="20 % - Markeringsfarve3 2 2 2 3 2 2 2" xfId="33253" xr:uid="{00000000-0005-0000-0000-0000021B0000}"/>
    <cellStyle name="20 % - Markeringsfarve3 2 2 2 3 2 2 3" xfId="48212" xr:uid="{00000000-0005-0000-0000-0000031B0000}"/>
    <cellStyle name="20 % - Markeringsfarve3 2 2 2 3 2 3" xfId="26251" xr:uid="{00000000-0005-0000-0000-0000041B0000}"/>
    <cellStyle name="20 % - Markeringsfarve3 2 2 2 3 2 4" xfId="41215" xr:uid="{00000000-0005-0000-0000-0000051B0000}"/>
    <cellStyle name="20 % - Markeringsfarve3 2 2 2 3 3" xfId="12890" xr:uid="{00000000-0005-0000-0000-0000061B0000}"/>
    <cellStyle name="20 % - Markeringsfarve3 2 2 2 3 3 2" xfId="29169" xr:uid="{00000000-0005-0000-0000-0000071B0000}"/>
    <cellStyle name="20 % - Markeringsfarve3 2 2 2 3 3 3" xfId="44130" xr:uid="{00000000-0005-0000-0000-0000081B0000}"/>
    <cellStyle name="20 % - Markeringsfarve3 2 2 2 3 4" xfId="22167" xr:uid="{00000000-0005-0000-0000-0000091B0000}"/>
    <cellStyle name="20 % - Markeringsfarve3 2 2 2 3 5" xfId="37133" xr:uid="{00000000-0005-0000-0000-00000A1B0000}"/>
    <cellStyle name="20 % - Markeringsfarve3 2 2 2 4" xfId="4406" xr:uid="{00000000-0005-0000-0000-00000B1B0000}"/>
    <cellStyle name="20 % - Markeringsfarve3 2 2 2 4 2" xfId="10468" xr:uid="{00000000-0005-0000-0000-00000C1B0000}"/>
    <cellStyle name="20 % - Markeringsfarve3 2 2 2 4 2 2" xfId="18319" xr:uid="{00000000-0005-0000-0000-00000D1B0000}"/>
    <cellStyle name="20 % - Markeringsfarve3 2 2 2 4 2 2 2" xfId="34595" xr:uid="{00000000-0005-0000-0000-00000E1B0000}"/>
    <cellStyle name="20 % - Markeringsfarve3 2 2 2 4 2 2 3" xfId="49554" xr:uid="{00000000-0005-0000-0000-00000F1B0000}"/>
    <cellStyle name="20 % - Markeringsfarve3 2 2 2 4 2 3" xfId="27593" xr:uid="{00000000-0005-0000-0000-0000101B0000}"/>
    <cellStyle name="20 % - Markeringsfarve3 2 2 2 4 2 4" xfId="42557" xr:uid="{00000000-0005-0000-0000-0000111B0000}"/>
    <cellStyle name="20 % - Markeringsfarve3 2 2 2 4 3" xfId="12891" xr:uid="{00000000-0005-0000-0000-0000121B0000}"/>
    <cellStyle name="20 % - Markeringsfarve3 2 2 2 4 3 2" xfId="29170" xr:uid="{00000000-0005-0000-0000-0000131B0000}"/>
    <cellStyle name="20 % - Markeringsfarve3 2 2 2 4 3 3" xfId="44131" xr:uid="{00000000-0005-0000-0000-0000141B0000}"/>
    <cellStyle name="20 % - Markeringsfarve3 2 2 2 4 4" xfId="22168" xr:uid="{00000000-0005-0000-0000-0000151B0000}"/>
    <cellStyle name="20 % - Markeringsfarve3 2 2 2 4 5" xfId="37134" xr:uid="{00000000-0005-0000-0000-0000161B0000}"/>
    <cellStyle name="20 % - Markeringsfarve3 2 2 2 5" xfId="7738" xr:uid="{00000000-0005-0000-0000-0000171B0000}"/>
    <cellStyle name="20 % - Markeringsfarve3 2 2 2 5 2" xfId="15603" xr:uid="{00000000-0005-0000-0000-0000181B0000}"/>
    <cellStyle name="20 % - Markeringsfarve3 2 2 2 5 2 2" xfId="31879" xr:uid="{00000000-0005-0000-0000-0000191B0000}"/>
    <cellStyle name="20 % - Markeringsfarve3 2 2 2 5 2 3" xfId="46838" xr:uid="{00000000-0005-0000-0000-00001A1B0000}"/>
    <cellStyle name="20 % - Markeringsfarve3 2 2 2 5 3" xfId="24877" xr:uid="{00000000-0005-0000-0000-00001B1B0000}"/>
    <cellStyle name="20 % - Markeringsfarve3 2 2 2 5 4" xfId="39841" xr:uid="{00000000-0005-0000-0000-00001C1B0000}"/>
    <cellStyle name="20 % - Markeringsfarve3 2 2 2 6" xfId="12887" xr:uid="{00000000-0005-0000-0000-00001D1B0000}"/>
    <cellStyle name="20 % - Markeringsfarve3 2 2 2 6 2" xfId="29166" xr:uid="{00000000-0005-0000-0000-00001E1B0000}"/>
    <cellStyle name="20 % - Markeringsfarve3 2 2 2 6 3" xfId="44127" xr:uid="{00000000-0005-0000-0000-00001F1B0000}"/>
    <cellStyle name="20 % - Markeringsfarve3 2 2 2 7" xfId="22164" xr:uid="{00000000-0005-0000-0000-0000201B0000}"/>
    <cellStyle name="20 % - Markeringsfarve3 2 2 2 8" xfId="37130" xr:uid="{00000000-0005-0000-0000-0000211B0000}"/>
    <cellStyle name="20 % - Markeringsfarve3 2 2 3" xfId="4407" xr:uid="{00000000-0005-0000-0000-0000221B0000}"/>
    <cellStyle name="20 % - Markeringsfarve3 2 2 3 2" xfId="4408" xr:uid="{00000000-0005-0000-0000-0000231B0000}"/>
    <cellStyle name="20 % - Markeringsfarve3 2 2 3 2 2" xfId="4409" xr:uid="{00000000-0005-0000-0000-0000241B0000}"/>
    <cellStyle name="20 % - Markeringsfarve3 2 2 3 2 2 2" xfId="9950" xr:uid="{00000000-0005-0000-0000-0000251B0000}"/>
    <cellStyle name="20 % - Markeringsfarve3 2 2 3 2 2 2 2" xfId="17805" xr:uid="{00000000-0005-0000-0000-0000261B0000}"/>
    <cellStyle name="20 % - Markeringsfarve3 2 2 3 2 2 2 2 2" xfId="34081" xr:uid="{00000000-0005-0000-0000-0000271B0000}"/>
    <cellStyle name="20 % - Markeringsfarve3 2 2 3 2 2 2 2 3" xfId="49040" xr:uid="{00000000-0005-0000-0000-0000281B0000}"/>
    <cellStyle name="20 % - Markeringsfarve3 2 2 3 2 2 2 3" xfId="27079" xr:uid="{00000000-0005-0000-0000-0000291B0000}"/>
    <cellStyle name="20 % - Markeringsfarve3 2 2 3 2 2 2 4" xfId="42043" xr:uid="{00000000-0005-0000-0000-00002A1B0000}"/>
    <cellStyle name="20 % - Markeringsfarve3 2 2 3 2 2 3" xfId="12894" xr:uid="{00000000-0005-0000-0000-00002B1B0000}"/>
    <cellStyle name="20 % - Markeringsfarve3 2 2 3 2 2 3 2" xfId="29173" xr:uid="{00000000-0005-0000-0000-00002C1B0000}"/>
    <cellStyle name="20 % - Markeringsfarve3 2 2 3 2 2 3 3" xfId="44134" xr:uid="{00000000-0005-0000-0000-00002D1B0000}"/>
    <cellStyle name="20 % - Markeringsfarve3 2 2 3 2 2 4" xfId="22171" xr:uid="{00000000-0005-0000-0000-00002E1B0000}"/>
    <cellStyle name="20 % - Markeringsfarve3 2 2 3 2 2 5" xfId="37137" xr:uid="{00000000-0005-0000-0000-00002F1B0000}"/>
    <cellStyle name="20 % - Markeringsfarve3 2 2 3 2 3" xfId="8515" xr:uid="{00000000-0005-0000-0000-0000301B0000}"/>
    <cellStyle name="20 % - Markeringsfarve3 2 2 3 2 3 2" xfId="16385" xr:uid="{00000000-0005-0000-0000-0000311B0000}"/>
    <cellStyle name="20 % - Markeringsfarve3 2 2 3 2 3 2 2" xfId="32661" xr:uid="{00000000-0005-0000-0000-0000321B0000}"/>
    <cellStyle name="20 % - Markeringsfarve3 2 2 3 2 3 2 3" xfId="47620" xr:uid="{00000000-0005-0000-0000-0000331B0000}"/>
    <cellStyle name="20 % - Markeringsfarve3 2 2 3 2 3 3" xfId="25659" xr:uid="{00000000-0005-0000-0000-0000341B0000}"/>
    <cellStyle name="20 % - Markeringsfarve3 2 2 3 2 3 4" xfId="40623" xr:uid="{00000000-0005-0000-0000-0000351B0000}"/>
    <cellStyle name="20 % - Markeringsfarve3 2 2 3 2 4" xfId="12893" xr:uid="{00000000-0005-0000-0000-0000361B0000}"/>
    <cellStyle name="20 % - Markeringsfarve3 2 2 3 2 4 2" xfId="29172" xr:uid="{00000000-0005-0000-0000-0000371B0000}"/>
    <cellStyle name="20 % - Markeringsfarve3 2 2 3 2 4 3" xfId="44133" xr:uid="{00000000-0005-0000-0000-0000381B0000}"/>
    <cellStyle name="20 % - Markeringsfarve3 2 2 3 2 5" xfId="22170" xr:uid="{00000000-0005-0000-0000-0000391B0000}"/>
    <cellStyle name="20 % - Markeringsfarve3 2 2 3 2 6" xfId="37136" xr:uid="{00000000-0005-0000-0000-00003A1B0000}"/>
    <cellStyle name="20 % - Markeringsfarve3 2 2 3 3" xfId="4410" xr:uid="{00000000-0005-0000-0000-00003B1B0000}"/>
    <cellStyle name="20 % - Markeringsfarve3 2 2 3 3 2" xfId="9181" xr:uid="{00000000-0005-0000-0000-00003C1B0000}"/>
    <cellStyle name="20 % - Markeringsfarve3 2 2 3 3 2 2" xfId="17045" xr:uid="{00000000-0005-0000-0000-00003D1B0000}"/>
    <cellStyle name="20 % - Markeringsfarve3 2 2 3 3 2 2 2" xfId="33321" xr:uid="{00000000-0005-0000-0000-00003E1B0000}"/>
    <cellStyle name="20 % - Markeringsfarve3 2 2 3 3 2 2 3" xfId="48280" xr:uid="{00000000-0005-0000-0000-00003F1B0000}"/>
    <cellStyle name="20 % - Markeringsfarve3 2 2 3 3 2 3" xfId="26319" xr:uid="{00000000-0005-0000-0000-0000401B0000}"/>
    <cellStyle name="20 % - Markeringsfarve3 2 2 3 3 2 4" xfId="41283" xr:uid="{00000000-0005-0000-0000-0000411B0000}"/>
    <cellStyle name="20 % - Markeringsfarve3 2 2 3 3 3" xfId="12895" xr:uid="{00000000-0005-0000-0000-0000421B0000}"/>
    <cellStyle name="20 % - Markeringsfarve3 2 2 3 3 3 2" xfId="29174" xr:uid="{00000000-0005-0000-0000-0000431B0000}"/>
    <cellStyle name="20 % - Markeringsfarve3 2 2 3 3 3 3" xfId="44135" xr:uid="{00000000-0005-0000-0000-0000441B0000}"/>
    <cellStyle name="20 % - Markeringsfarve3 2 2 3 3 4" xfId="22172" xr:uid="{00000000-0005-0000-0000-0000451B0000}"/>
    <cellStyle name="20 % - Markeringsfarve3 2 2 3 3 5" xfId="37138" xr:uid="{00000000-0005-0000-0000-0000461B0000}"/>
    <cellStyle name="20 % - Markeringsfarve3 2 2 3 4" xfId="4411" xr:uid="{00000000-0005-0000-0000-0000471B0000}"/>
    <cellStyle name="20 % - Markeringsfarve3 2 2 3 4 2" xfId="10860" xr:uid="{00000000-0005-0000-0000-0000481B0000}"/>
    <cellStyle name="20 % - Markeringsfarve3 2 2 3 4 2 2" xfId="18698" xr:uid="{00000000-0005-0000-0000-0000491B0000}"/>
    <cellStyle name="20 % - Markeringsfarve3 2 2 3 4 2 2 2" xfId="34974" xr:uid="{00000000-0005-0000-0000-00004A1B0000}"/>
    <cellStyle name="20 % - Markeringsfarve3 2 2 3 4 2 2 3" xfId="49933" xr:uid="{00000000-0005-0000-0000-00004B1B0000}"/>
    <cellStyle name="20 % - Markeringsfarve3 2 2 3 4 2 3" xfId="27972" xr:uid="{00000000-0005-0000-0000-00004C1B0000}"/>
    <cellStyle name="20 % - Markeringsfarve3 2 2 3 4 2 4" xfId="42936" xr:uid="{00000000-0005-0000-0000-00004D1B0000}"/>
    <cellStyle name="20 % - Markeringsfarve3 2 2 3 4 3" xfId="12896" xr:uid="{00000000-0005-0000-0000-00004E1B0000}"/>
    <cellStyle name="20 % - Markeringsfarve3 2 2 3 4 3 2" xfId="29175" xr:uid="{00000000-0005-0000-0000-00004F1B0000}"/>
    <cellStyle name="20 % - Markeringsfarve3 2 2 3 4 3 3" xfId="44136" xr:uid="{00000000-0005-0000-0000-0000501B0000}"/>
    <cellStyle name="20 % - Markeringsfarve3 2 2 3 4 4" xfId="22173" xr:uid="{00000000-0005-0000-0000-0000511B0000}"/>
    <cellStyle name="20 % - Markeringsfarve3 2 2 3 4 5" xfId="37139" xr:uid="{00000000-0005-0000-0000-0000521B0000}"/>
    <cellStyle name="20 % - Markeringsfarve3 2 2 3 5" xfId="7739" xr:uid="{00000000-0005-0000-0000-0000531B0000}"/>
    <cellStyle name="20 % - Markeringsfarve3 2 2 3 5 2" xfId="15604" xr:uid="{00000000-0005-0000-0000-0000541B0000}"/>
    <cellStyle name="20 % - Markeringsfarve3 2 2 3 5 2 2" xfId="31880" xr:uid="{00000000-0005-0000-0000-0000551B0000}"/>
    <cellStyle name="20 % - Markeringsfarve3 2 2 3 5 2 3" xfId="46839" xr:uid="{00000000-0005-0000-0000-0000561B0000}"/>
    <cellStyle name="20 % - Markeringsfarve3 2 2 3 5 3" xfId="24878" xr:uid="{00000000-0005-0000-0000-0000571B0000}"/>
    <cellStyle name="20 % - Markeringsfarve3 2 2 3 5 4" xfId="39842" xr:uid="{00000000-0005-0000-0000-0000581B0000}"/>
    <cellStyle name="20 % - Markeringsfarve3 2 2 3 6" xfId="12892" xr:uid="{00000000-0005-0000-0000-0000591B0000}"/>
    <cellStyle name="20 % - Markeringsfarve3 2 2 3 6 2" xfId="29171" xr:uid="{00000000-0005-0000-0000-00005A1B0000}"/>
    <cellStyle name="20 % - Markeringsfarve3 2 2 3 6 3" xfId="44132" xr:uid="{00000000-0005-0000-0000-00005B1B0000}"/>
    <cellStyle name="20 % - Markeringsfarve3 2 2 3 7" xfId="22169" xr:uid="{00000000-0005-0000-0000-00005C1B0000}"/>
    <cellStyle name="20 % - Markeringsfarve3 2 2 3 8" xfId="37135" xr:uid="{00000000-0005-0000-0000-00005D1B0000}"/>
    <cellStyle name="20 % - Markeringsfarve3 2 2 4" xfId="4412" xr:uid="{00000000-0005-0000-0000-00005E1B0000}"/>
    <cellStyle name="20 % - Markeringsfarve3 2 2 4 2" xfId="4413" xr:uid="{00000000-0005-0000-0000-00005F1B0000}"/>
    <cellStyle name="20 % - Markeringsfarve3 2 2 4 2 2" xfId="4414" xr:uid="{00000000-0005-0000-0000-0000601B0000}"/>
    <cellStyle name="20 % - Markeringsfarve3 2 2 4 2 2 2" xfId="10120" xr:uid="{00000000-0005-0000-0000-0000611B0000}"/>
    <cellStyle name="20 % - Markeringsfarve3 2 2 4 2 2 2 2" xfId="17975" xr:uid="{00000000-0005-0000-0000-0000621B0000}"/>
    <cellStyle name="20 % - Markeringsfarve3 2 2 4 2 2 2 2 2" xfId="34251" xr:uid="{00000000-0005-0000-0000-0000631B0000}"/>
    <cellStyle name="20 % - Markeringsfarve3 2 2 4 2 2 2 2 3" xfId="49210" xr:uid="{00000000-0005-0000-0000-0000641B0000}"/>
    <cellStyle name="20 % - Markeringsfarve3 2 2 4 2 2 2 3" xfId="27249" xr:uid="{00000000-0005-0000-0000-0000651B0000}"/>
    <cellStyle name="20 % - Markeringsfarve3 2 2 4 2 2 2 4" xfId="42213" xr:uid="{00000000-0005-0000-0000-0000661B0000}"/>
    <cellStyle name="20 % - Markeringsfarve3 2 2 4 2 2 3" xfId="12899" xr:uid="{00000000-0005-0000-0000-0000671B0000}"/>
    <cellStyle name="20 % - Markeringsfarve3 2 2 4 2 2 3 2" xfId="29178" xr:uid="{00000000-0005-0000-0000-0000681B0000}"/>
    <cellStyle name="20 % - Markeringsfarve3 2 2 4 2 2 3 3" xfId="44139" xr:uid="{00000000-0005-0000-0000-0000691B0000}"/>
    <cellStyle name="20 % - Markeringsfarve3 2 2 4 2 2 4" xfId="22176" xr:uid="{00000000-0005-0000-0000-00006A1B0000}"/>
    <cellStyle name="20 % - Markeringsfarve3 2 2 4 2 2 5" xfId="37142" xr:uid="{00000000-0005-0000-0000-00006B1B0000}"/>
    <cellStyle name="20 % - Markeringsfarve3 2 2 4 2 3" xfId="8657" xr:uid="{00000000-0005-0000-0000-00006C1B0000}"/>
    <cellStyle name="20 % - Markeringsfarve3 2 2 4 2 3 2" xfId="16524" xr:uid="{00000000-0005-0000-0000-00006D1B0000}"/>
    <cellStyle name="20 % - Markeringsfarve3 2 2 4 2 3 2 2" xfId="32800" xr:uid="{00000000-0005-0000-0000-00006E1B0000}"/>
    <cellStyle name="20 % - Markeringsfarve3 2 2 4 2 3 2 3" xfId="47759" xr:uid="{00000000-0005-0000-0000-00006F1B0000}"/>
    <cellStyle name="20 % - Markeringsfarve3 2 2 4 2 3 3" xfId="25798" xr:uid="{00000000-0005-0000-0000-0000701B0000}"/>
    <cellStyle name="20 % - Markeringsfarve3 2 2 4 2 3 4" xfId="40762" xr:uid="{00000000-0005-0000-0000-0000711B0000}"/>
    <cellStyle name="20 % - Markeringsfarve3 2 2 4 2 4" xfId="12898" xr:uid="{00000000-0005-0000-0000-0000721B0000}"/>
    <cellStyle name="20 % - Markeringsfarve3 2 2 4 2 4 2" xfId="29177" xr:uid="{00000000-0005-0000-0000-0000731B0000}"/>
    <cellStyle name="20 % - Markeringsfarve3 2 2 4 2 4 3" xfId="44138" xr:uid="{00000000-0005-0000-0000-0000741B0000}"/>
    <cellStyle name="20 % - Markeringsfarve3 2 2 4 2 5" xfId="22175" xr:uid="{00000000-0005-0000-0000-0000751B0000}"/>
    <cellStyle name="20 % - Markeringsfarve3 2 2 4 2 6" xfId="37141" xr:uid="{00000000-0005-0000-0000-0000761B0000}"/>
    <cellStyle name="20 % - Markeringsfarve3 2 2 4 3" xfId="4415" xr:uid="{00000000-0005-0000-0000-0000771B0000}"/>
    <cellStyle name="20 % - Markeringsfarve3 2 2 4 3 2" xfId="9397" xr:uid="{00000000-0005-0000-0000-0000781B0000}"/>
    <cellStyle name="20 % - Markeringsfarve3 2 2 4 3 2 2" xfId="17260" xr:uid="{00000000-0005-0000-0000-0000791B0000}"/>
    <cellStyle name="20 % - Markeringsfarve3 2 2 4 3 2 2 2" xfId="33536" xr:uid="{00000000-0005-0000-0000-00007A1B0000}"/>
    <cellStyle name="20 % - Markeringsfarve3 2 2 4 3 2 2 3" xfId="48495" xr:uid="{00000000-0005-0000-0000-00007B1B0000}"/>
    <cellStyle name="20 % - Markeringsfarve3 2 2 4 3 2 3" xfId="26534" xr:uid="{00000000-0005-0000-0000-00007C1B0000}"/>
    <cellStyle name="20 % - Markeringsfarve3 2 2 4 3 2 4" xfId="41498" xr:uid="{00000000-0005-0000-0000-00007D1B0000}"/>
    <cellStyle name="20 % - Markeringsfarve3 2 2 4 3 3" xfId="12900" xr:uid="{00000000-0005-0000-0000-00007E1B0000}"/>
    <cellStyle name="20 % - Markeringsfarve3 2 2 4 3 3 2" xfId="29179" xr:uid="{00000000-0005-0000-0000-00007F1B0000}"/>
    <cellStyle name="20 % - Markeringsfarve3 2 2 4 3 3 3" xfId="44140" xr:uid="{00000000-0005-0000-0000-0000801B0000}"/>
    <cellStyle name="20 % - Markeringsfarve3 2 2 4 3 4" xfId="22177" xr:uid="{00000000-0005-0000-0000-0000811B0000}"/>
    <cellStyle name="20 % - Markeringsfarve3 2 2 4 3 5" xfId="37143" xr:uid="{00000000-0005-0000-0000-0000821B0000}"/>
    <cellStyle name="20 % - Markeringsfarve3 2 2 4 4" xfId="4416" xr:uid="{00000000-0005-0000-0000-0000831B0000}"/>
    <cellStyle name="20 % - Markeringsfarve3 2 2 4 4 2" xfId="10522" xr:uid="{00000000-0005-0000-0000-0000841B0000}"/>
    <cellStyle name="20 % - Markeringsfarve3 2 2 4 4 2 2" xfId="18371" xr:uid="{00000000-0005-0000-0000-0000851B0000}"/>
    <cellStyle name="20 % - Markeringsfarve3 2 2 4 4 2 2 2" xfId="34647" xr:uid="{00000000-0005-0000-0000-0000861B0000}"/>
    <cellStyle name="20 % - Markeringsfarve3 2 2 4 4 2 2 3" xfId="49606" xr:uid="{00000000-0005-0000-0000-0000871B0000}"/>
    <cellStyle name="20 % - Markeringsfarve3 2 2 4 4 2 3" xfId="27645" xr:uid="{00000000-0005-0000-0000-0000881B0000}"/>
    <cellStyle name="20 % - Markeringsfarve3 2 2 4 4 2 4" xfId="42609" xr:uid="{00000000-0005-0000-0000-0000891B0000}"/>
    <cellStyle name="20 % - Markeringsfarve3 2 2 4 4 3" xfId="12901" xr:uid="{00000000-0005-0000-0000-00008A1B0000}"/>
    <cellStyle name="20 % - Markeringsfarve3 2 2 4 4 3 2" xfId="29180" xr:uid="{00000000-0005-0000-0000-00008B1B0000}"/>
    <cellStyle name="20 % - Markeringsfarve3 2 2 4 4 3 3" xfId="44141" xr:uid="{00000000-0005-0000-0000-00008C1B0000}"/>
    <cellStyle name="20 % - Markeringsfarve3 2 2 4 4 4" xfId="22178" xr:uid="{00000000-0005-0000-0000-00008D1B0000}"/>
    <cellStyle name="20 % - Markeringsfarve3 2 2 4 4 5" xfId="37144" xr:uid="{00000000-0005-0000-0000-00008E1B0000}"/>
    <cellStyle name="20 % - Markeringsfarve3 2 2 4 5" xfId="7740" xr:uid="{00000000-0005-0000-0000-00008F1B0000}"/>
    <cellStyle name="20 % - Markeringsfarve3 2 2 4 5 2" xfId="15605" xr:uid="{00000000-0005-0000-0000-0000901B0000}"/>
    <cellStyle name="20 % - Markeringsfarve3 2 2 4 5 2 2" xfId="31881" xr:uid="{00000000-0005-0000-0000-0000911B0000}"/>
    <cellStyle name="20 % - Markeringsfarve3 2 2 4 5 2 3" xfId="46840" xr:uid="{00000000-0005-0000-0000-0000921B0000}"/>
    <cellStyle name="20 % - Markeringsfarve3 2 2 4 5 3" xfId="24879" xr:uid="{00000000-0005-0000-0000-0000931B0000}"/>
    <cellStyle name="20 % - Markeringsfarve3 2 2 4 5 4" xfId="39843" xr:uid="{00000000-0005-0000-0000-0000941B0000}"/>
    <cellStyle name="20 % - Markeringsfarve3 2 2 4 6" xfId="12897" xr:uid="{00000000-0005-0000-0000-0000951B0000}"/>
    <cellStyle name="20 % - Markeringsfarve3 2 2 4 6 2" xfId="29176" xr:uid="{00000000-0005-0000-0000-0000961B0000}"/>
    <cellStyle name="20 % - Markeringsfarve3 2 2 4 6 3" xfId="44137" xr:uid="{00000000-0005-0000-0000-0000971B0000}"/>
    <cellStyle name="20 % - Markeringsfarve3 2 2 4 7" xfId="22174" xr:uid="{00000000-0005-0000-0000-0000981B0000}"/>
    <cellStyle name="20 % - Markeringsfarve3 2 2 4 8" xfId="37140" xr:uid="{00000000-0005-0000-0000-0000991B0000}"/>
    <cellStyle name="20 % - Markeringsfarve3 2 2 5" xfId="4417" xr:uid="{00000000-0005-0000-0000-00009A1B0000}"/>
    <cellStyle name="20 % - Markeringsfarve3 2 2 5 2" xfId="4418" xr:uid="{00000000-0005-0000-0000-00009B1B0000}"/>
    <cellStyle name="20 % - Markeringsfarve3 2 2 5 2 2" xfId="4419" xr:uid="{00000000-0005-0000-0000-00009C1B0000}"/>
    <cellStyle name="20 % - Markeringsfarve3 2 2 5 2 2 2" xfId="10237" xr:uid="{00000000-0005-0000-0000-00009D1B0000}"/>
    <cellStyle name="20 % - Markeringsfarve3 2 2 5 2 2 2 2" xfId="18092" xr:uid="{00000000-0005-0000-0000-00009E1B0000}"/>
    <cellStyle name="20 % - Markeringsfarve3 2 2 5 2 2 2 2 2" xfId="34368" xr:uid="{00000000-0005-0000-0000-00009F1B0000}"/>
    <cellStyle name="20 % - Markeringsfarve3 2 2 5 2 2 2 2 3" xfId="49327" xr:uid="{00000000-0005-0000-0000-0000A01B0000}"/>
    <cellStyle name="20 % - Markeringsfarve3 2 2 5 2 2 2 3" xfId="27366" xr:uid="{00000000-0005-0000-0000-0000A11B0000}"/>
    <cellStyle name="20 % - Markeringsfarve3 2 2 5 2 2 2 4" xfId="42330" xr:uid="{00000000-0005-0000-0000-0000A21B0000}"/>
    <cellStyle name="20 % - Markeringsfarve3 2 2 5 2 2 3" xfId="12904" xr:uid="{00000000-0005-0000-0000-0000A31B0000}"/>
    <cellStyle name="20 % - Markeringsfarve3 2 2 5 2 2 3 2" xfId="29183" xr:uid="{00000000-0005-0000-0000-0000A41B0000}"/>
    <cellStyle name="20 % - Markeringsfarve3 2 2 5 2 2 3 3" xfId="44144" xr:uid="{00000000-0005-0000-0000-0000A51B0000}"/>
    <cellStyle name="20 % - Markeringsfarve3 2 2 5 2 2 4" xfId="22181" xr:uid="{00000000-0005-0000-0000-0000A61B0000}"/>
    <cellStyle name="20 % - Markeringsfarve3 2 2 5 2 2 5" xfId="37147" xr:uid="{00000000-0005-0000-0000-0000A71B0000}"/>
    <cellStyle name="20 % - Markeringsfarve3 2 2 5 2 3" xfId="8756" xr:uid="{00000000-0005-0000-0000-0000A81B0000}"/>
    <cellStyle name="20 % - Markeringsfarve3 2 2 5 2 3 2" xfId="16623" xr:uid="{00000000-0005-0000-0000-0000A91B0000}"/>
    <cellStyle name="20 % - Markeringsfarve3 2 2 5 2 3 2 2" xfId="32899" xr:uid="{00000000-0005-0000-0000-0000AA1B0000}"/>
    <cellStyle name="20 % - Markeringsfarve3 2 2 5 2 3 2 3" xfId="47858" xr:uid="{00000000-0005-0000-0000-0000AB1B0000}"/>
    <cellStyle name="20 % - Markeringsfarve3 2 2 5 2 3 3" xfId="25897" xr:uid="{00000000-0005-0000-0000-0000AC1B0000}"/>
    <cellStyle name="20 % - Markeringsfarve3 2 2 5 2 3 4" xfId="40861" xr:uid="{00000000-0005-0000-0000-0000AD1B0000}"/>
    <cellStyle name="20 % - Markeringsfarve3 2 2 5 2 4" xfId="12903" xr:uid="{00000000-0005-0000-0000-0000AE1B0000}"/>
    <cellStyle name="20 % - Markeringsfarve3 2 2 5 2 4 2" xfId="29182" xr:uid="{00000000-0005-0000-0000-0000AF1B0000}"/>
    <cellStyle name="20 % - Markeringsfarve3 2 2 5 2 4 3" xfId="44143" xr:uid="{00000000-0005-0000-0000-0000B01B0000}"/>
    <cellStyle name="20 % - Markeringsfarve3 2 2 5 2 5" xfId="22180" xr:uid="{00000000-0005-0000-0000-0000B11B0000}"/>
    <cellStyle name="20 % - Markeringsfarve3 2 2 5 2 6" xfId="37146" xr:uid="{00000000-0005-0000-0000-0000B21B0000}"/>
    <cellStyle name="20 % - Markeringsfarve3 2 2 5 3" xfId="4420" xr:uid="{00000000-0005-0000-0000-0000B31B0000}"/>
    <cellStyle name="20 % - Markeringsfarve3 2 2 5 3 2" xfId="9514" xr:uid="{00000000-0005-0000-0000-0000B41B0000}"/>
    <cellStyle name="20 % - Markeringsfarve3 2 2 5 3 2 2" xfId="17377" xr:uid="{00000000-0005-0000-0000-0000B51B0000}"/>
    <cellStyle name="20 % - Markeringsfarve3 2 2 5 3 2 2 2" xfId="33653" xr:uid="{00000000-0005-0000-0000-0000B61B0000}"/>
    <cellStyle name="20 % - Markeringsfarve3 2 2 5 3 2 2 3" xfId="48612" xr:uid="{00000000-0005-0000-0000-0000B71B0000}"/>
    <cellStyle name="20 % - Markeringsfarve3 2 2 5 3 2 3" xfId="26651" xr:uid="{00000000-0005-0000-0000-0000B81B0000}"/>
    <cellStyle name="20 % - Markeringsfarve3 2 2 5 3 2 4" xfId="41615" xr:uid="{00000000-0005-0000-0000-0000B91B0000}"/>
    <cellStyle name="20 % - Markeringsfarve3 2 2 5 3 3" xfId="12905" xr:uid="{00000000-0005-0000-0000-0000BA1B0000}"/>
    <cellStyle name="20 % - Markeringsfarve3 2 2 5 3 3 2" xfId="29184" xr:uid="{00000000-0005-0000-0000-0000BB1B0000}"/>
    <cellStyle name="20 % - Markeringsfarve3 2 2 5 3 3 3" xfId="44145" xr:uid="{00000000-0005-0000-0000-0000BC1B0000}"/>
    <cellStyle name="20 % - Markeringsfarve3 2 2 5 3 4" xfId="22182" xr:uid="{00000000-0005-0000-0000-0000BD1B0000}"/>
    <cellStyle name="20 % - Markeringsfarve3 2 2 5 3 5" xfId="37148" xr:uid="{00000000-0005-0000-0000-0000BE1B0000}"/>
    <cellStyle name="20 % - Markeringsfarve3 2 2 5 4" xfId="4421" xr:uid="{00000000-0005-0000-0000-0000BF1B0000}"/>
    <cellStyle name="20 % - Markeringsfarve3 2 2 5 4 2" xfId="8901" xr:uid="{00000000-0005-0000-0000-0000C01B0000}"/>
    <cellStyle name="20 % - Markeringsfarve3 2 2 5 4 2 2" xfId="16767" xr:uid="{00000000-0005-0000-0000-0000C11B0000}"/>
    <cellStyle name="20 % - Markeringsfarve3 2 2 5 4 2 2 2" xfId="33043" xr:uid="{00000000-0005-0000-0000-0000C21B0000}"/>
    <cellStyle name="20 % - Markeringsfarve3 2 2 5 4 2 2 3" xfId="48002" xr:uid="{00000000-0005-0000-0000-0000C31B0000}"/>
    <cellStyle name="20 % - Markeringsfarve3 2 2 5 4 2 3" xfId="26041" xr:uid="{00000000-0005-0000-0000-0000C41B0000}"/>
    <cellStyle name="20 % - Markeringsfarve3 2 2 5 4 2 4" xfId="41005" xr:uid="{00000000-0005-0000-0000-0000C51B0000}"/>
    <cellStyle name="20 % - Markeringsfarve3 2 2 5 4 3" xfId="12906" xr:uid="{00000000-0005-0000-0000-0000C61B0000}"/>
    <cellStyle name="20 % - Markeringsfarve3 2 2 5 4 3 2" xfId="29185" xr:uid="{00000000-0005-0000-0000-0000C71B0000}"/>
    <cellStyle name="20 % - Markeringsfarve3 2 2 5 4 3 3" xfId="44146" xr:uid="{00000000-0005-0000-0000-0000C81B0000}"/>
    <cellStyle name="20 % - Markeringsfarve3 2 2 5 4 4" xfId="22183" xr:uid="{00000000-0005-0000-0000-0000C91B0000}"/>
    <cellStyle name="20 % - Markeringsfarve3 2 2 5 4 5" xfId="37149" xr:uid="{00000000-0005-0000-0000-0000CA1B0000}"/>
    <cellStyle name="20 % - Markeringsfarve3 2 2 5 5" xfId="7741" xr:uid="{00000000-0005-0000-0000-0000CB1B0000}"/>
    <cellStyle name="20 % - Markeringsfarve3 2 2 5 5 2" xfId="15606" xr:uid="{00000000-0005-0000-0000-0000CC1B0000}"/>
    <cellStyle name="20 % - Markeringsfarve3 2 2 5 5 2 2" xfId="31882" xr:uid="{00000000-0005-0000-0000-0000CD1B0000}"/>
    <cellStyle name="20 % - Markeringsfarve3 2 2 5 5 2 3" xfId="46841" xr:uid="{00000000-0005-0000-0000-0000CE1B0000}"/>
    <cellStyle name="20 % - Markeringsfarve3 2 2 5 5 3" xfId="24880" xr:uid="{00000000-0005-0000-0000-0000CF1B0000}"/>
    <cellStyle name="20 % - Markeringsfarve3 2 2 5 5 4" xfId="39844" xr:uid="{00000000-0005-0000-0000-0000D01B0000}"/>
    <cellStyle name="20 % - Markeringsfarve3 2 2 5 6" xfId="12902" xr:uid="{00000000-0005-0000-0000-0000D11B0000}"/>
    <cellStyle name="20 % - Markeringsfarve3 2 2 5 6 2" xfId="29181" xr:uid="{00000000-0005-0000-0000-0000D21B0000}"/>
    <cellStyle name="20 % - Markeringsfarve3 2 2 5 6 3" xfId="44142" xr:uid="{00000000-0005-0000-0000-0000D31B0000}"/>
    <cellStyle name="20 % - Markeringsfarve3 2 2 5 7" xfId="22179" xr:uid="{00000000-0005-0000-0000-0000D41B0000}"/>
    <cellStyle name="20 % - Markeringsfarve3 2 2 5 8" xfId="37145" xr:uid="{00000000-0005-0000-0000-0000D51B0000}"/>
    <cellStyle name="20 % - Markeringsfarve3 2 2 6" xfId="4422" xr:uid="{00000000-0005-0000-0000-0000D61B0000}"/>
    <cellStyle name="20 % - Markeringsfarve3 2 2 6 2" xfId="4423" xr:uid="{00000000-0005-0000-0000-0000D71B0000}"/>
    <cellStyle name="20 % - Markeringsfarve3 2 2 6 2 2" xfId="4424" xr:uid="{00000000-0005-0000-0000-0000D81B0000}"/>
    <cellStyle name="20 % - Markeringsfarve3 2 2 6 2 2 2" xfId="10305" xr:uid="{00000000-0005-0000-0000-0000D91B0000}"/>
    <cellStyle name="20 % - Markeringsfarve3 2 2 6 2 2 2 2" xfId="18160" xr:uid="{00000000-0005-0000-0000-0000DA1B0000}"/>
    <cellStyle name="20 % - Markeringsfarve3 2 2 6 2 2 2 2 2" xfId="34436" xr:uid="{00000000-0005-0000-0000-0000DB1B0000}"/>
    <cellStyle name="20 % - Markeringsfarve3 2 2 6 2 2 2 2 3" xfId="49395" xr:uid="{00000000-0005-0000-0000-0000DC1B0000}"/>
    <cellStyle name="20 % - Markeringsfarve3 2 2 6 2 2 2 3" xfId="27434" xr:uid="{00000000-0005-0000-0000-0000DD1B0000}"/>
    <cellStyle name="20 % - Markeringsfarve3 2 2 6 2 2 2 4" xfId="42398" xr:uid="{00000000-0005-0000-0000-0000DE1B0000}"/>
    <cellStyle name="20 % - Markeringsfarve3 2 2 6 2 2 3" xfId="12909" xr:uid="{00000000-0005-0000-0000-0000DF1B0000}"/>
    <cellStyle name="20 % - Markeringsfarve3 2 2 6 2 2 3 2" xfId="29188" xr:uid="{00000000-0005-0000-0000-0000E01B0000}"/>
    <cellStyle name="20 % - Markeringsfarve3 2 2 6 2 2 3 3" xfId="44149" xr:uid="{00000000-0005-0000-0000-0000E11B0000}"/>
    <cellStyle name="20 % - Markeringsfarve3 2 2 6 2 2 4" xfId="22186" xr:uid="{00000000-0005-0000-0000-0000E21B0000}"/>
    <cellStyle name="20 % - Markeringsfarve3 2 2 6 2 2 5" xfId="37152" xr:uid="{00000000-0005-0000-0000-0000E31B0000}"/>
    <cellStyle name="20 % - Markeringsfarve3 2 2 6 2 3" xfId="8817" xr:uid="{00000000-0005-0000-0000-0000E41B0000}"/>
    <cellStyle name="20 % - Markeringsfarve3 2 2 6 2 3 2" xfId="16684" xr:uid="{00000000-0005-0000-0000-0000E51B0000}"/>
    <cellStyle name="20 % - Markeringsfarve3 2 2 6 2 3 2 2" xfId="32960" xr:uid="{00000000-0005-0000-0000-0000E61B0000}"/>
    <cellStyle name="20 % - Markeringsfarve3 2 2 6 2 3 2 3" xfId="47919" xr:uid="{00000000-0005-0000-0000-0000E71B0000}"/>
    <cellStyle name="20 % - Markeringsfarve3 2 2 6 2 3 3" xfId="25958" xr:uid="{00000000-0005-0000-0000-0000E81B0000}"/>
    <cellStyle name="20 % - Markeringsfarve3 2 2 6 2 3 4" xfId="40922" xr:uid="{00000000-0005-0000-0000-0000E91B0000}"/>
    <cellStyle name="20 % - Markeringsfarve3 2 2 6 2 4" xfId="12908" xr:uid="{00000000-0005-0000-0000-0000EA1B0000}"/>
    <cellStyle name="20 % - Markeringsfarve3 2 2 6 2 4 2" xfId="29187" xr:uid="{00000000-0005-0000-0000-0000EB1B0000}"/>
    <cellStyle name="20 % - Markeringsfarve3 2 2 6 2 4 3" xfId="44148" xr:uid="{00000000-0005-0000-0000-0000EC1B0000}"/>
    <cellStyle name="20 % - Markeringsfarve3 2 2 6 2 5" xfId="22185" xr:uid="{00000000-0005-0000-0000-0000ED1B0000}"/>
    <cellStyle name="20 % - Markeringsfarve3 2 2 6 2 6" xfId="37151" xr:uid="{00000000-0005-0000-0000-0000EE1B0000}"/>
    <cellStyle name="20 % - Markeringsfarve3 2 2 6 3" xfId="4425" xr:uid="{00000000-0005-0000-0000-0000EF1B0000}"/>
    <cellStyle name="20 % - Markeringsfarve3 2 2 6 3 2" xfId="9583" xr:uid="{00000000-0005-0000-0000-0000F01B0000}"/>
    <cellStyle name="20 % - Markeringsfarve3 2 2 6 3 2 2" xfId="17446" xr:uid="{00000000-0005-0000-0000-0000F11B0000}"/>
    <cellStyle name="20 % - Markeringsfarve3 2 2 6 3 2 2 2" xfId="33722" xr:uid="{00000000-0005-0000-0000-0000F21B0000}"/>
    <cellStyle name="20 % - Markeringsfarve3 2 2 6 3 2 2 3" xfId="48681" xr:uid="{00000000-0005-0000-0000-0000F31B0000}"/>
    <cellStyle name="20 % - Markeringsfarve3 2 2 6 3 2 3" xfId="26720" xr:uid="{00000000-0005-0000-0000-0000F41B0000}"/>
    <cellStyle name="20 % - Markeringsfarve3 2 2 6 3 2 4" xfId="41684" xr:uid="{00000000-0005-0000-0000-0000F51B0000}"/>
    <cellStyle name="20 % - Markeringsfarve3 2 2 6 3 3" xfId="12910" xr:uid="{00000000-0005-0000-0000-0000F61B0000}"/>
    <cellStyle name="20 % - Markeringsfarve3 2 2 6 3 3 2" xfId="29189" xr:uid="{00000000-0005-0000-0000-0000F71B0000}"/>
    <cellStyle name="20 % - Markeringsfarve3 2 2 6 3 3 3" xfId="44150" xr:uid="{00000000-0005-0000-0000-0000F81B0000}"/>
    <cellStyle name="20 % - Markeringsfarve3 2 2 6 3 4" xfId="22187" xr:uid="{00000000-0005-0000-0000-0000F91B0000}"/>
    <cellStyle name="20 % - Markeringsfarve3 2 2 6 3 5" xfId="37153" xr:uid="{00000000-0005-0000-0000-0000FA1B0000}"/>
    <cellStyle name="20 % - Markeringsfarve3 2 2 6 4" xfId="4426" xr:uid="{00000000-0005-0000-0000-0000FB1B0000}"/>
    <cellStyle name="20 % - Markeringsfarve3 2 2 6 4 2" xfId="9312" xr:uid="{00000000-0005-0000-0000-0000FC1B0000}"/>
    <cellStyle name="20 % - Markeringsfarve3 2 2 6 4 2 2" xfId="17175" xr:uid="{00000000-0005-0000-0000-0000FD1B0000}"/>
    <cellStyle name="20 % - Markeringsfarve3 2 2 6 4 2 2 2" xfId="33451" xr:uid="{00000000-0005-0000-0000-0000FE1B0000}"/>
    <cellStyle name="20 % - Markeringsfarve3 2 2 6 4 2 2 3" xfId="48410" xr:uid="{00000000-0005-0000-0000-0000FF1B0000}"/>
    <cellStyle name="20 % - Markeringsfarve3 2 2 6 4 2 3" xfId="26449" xr:uid="{00000000-0005-0000-0000-0000001C0000}"/>
    <cellStyle name="20 % - Markeringsfarve3 2 2 6 4 2 4" xfId="41413" xr:uid="{00000000-0005-0000-0000-0000011C0000}"/>
    <cellStyle name="20 % - Markeringsfarve3 2 2 6 4 3" xfId="12911" xr:uid="{00000000-0005-0000-0000-0000021C0000}"/>
    <cellStyle name="20 % - Markeringsfarve3 2 2 6 4 3 2" xfId="29190" xr:uid="{00000000-0005-0000-0000-0000031C0000}"/>
    <cellStyle name="20 % - Markeringsfarve3 2 2 6 4 3 3" xfId="44151" xr:uid="{00000000-0005-0000-0000-0000041C0000}"/>
    <cellStyle name="20 % - Markeringsfarve3 2 2 6 4 4" xfId="22188" xr:uid="{00000000-0005-0000-0000-0000051C0000}"/>
    <cellStyle name="20 % - Markeringsfarve3 2 2 6 4 5" xfId="37154" xr:uid="{00000000-0005-0000-0000-0000061C0000}"/>
    <cellStyle name="20 % - Markeringsfarve3 2 2 6 5" xfId="7742" xr:uid="{00000000-0005-0000-0000-0000071C0000}"/>
    <cellStyle name="20 % - Markeringsfarve3 2 2 6 5 2" xfId="15607" xr:uid="{00000000-0005-0000-0000-0000081C0000}"/>
    <cellStyle name="20 % - Markeringsfarve3 2 2 6 5 2 2" xfId="31883" xr:uid="{00000000-0005-0000-0000-0000091C0000}"/>
    <cellStyle name="20 % - Markeringsfarve3 2 2 6 5 2 3" xfId="46842" xr:uid="{00000000-0005-0000-0000-00000A1C0000}"/>
    <cellStyle name="20 % - Markeringsfarve3 2 2 6 5 3" xfId="24881" xr:uid="{00000000-0005-0000-0000-00000B1C0000}"/>
    <cellStyle name="20 % - Markeringsfarve3 2 2 6 5 4" xfId="39845" xr:uid="{00000000-0005-0000-0000-00000C1C0000}"/>
    <cellStyle name="20 % - Markeringsfarve3 2 2 6 6" xfId="12907" xr:uid="{00000000-0005-0000-0000-00000D1C0000}"/>
    <cellStyle name="20 % - Markeringsfarve3 2 2 6 6 2" xfId="29186" xr:uid="{00000000-0005-0000-0000-00000E1C0000}"/>
    <cellStyle name="20 % - Markeringsfarve3 2 2 6 6 3" xfId="44147" xr:uid="{00000000-0005-0000-0000-00000F1C0000}"/>
    <cellStyle name="20 % - Markeringsfarve3 2 2 6 7" xfId="22184" xr:uid="{00000000-0005-0000-0000-0000101C0000}"/>
    <cellStyle name="20 % - Markeringsfarve3 2 2 6 8" xfId="37150" xr:uid="{00000000-0005-0000-0000-0000111C0000}"/>
    <cellStyle name="20 % - Markeringsfarve3 2 2 7" xfId="4427" xr:uid="{00000000-0005-0000-0000-0000121C0000}"/>
    <cellStyle name="20 % - Markeringsfarve3 2 2 7 2" xfId="4428" xr:uid="{00000000-0005-0000-0000-0000131C0000}"/>
    <cellStyle name="20 % - Markeringsfarve3 2 2 7 2 2" xfId="9764" xr:uid="{00000000-0005-0000-0000-0000141C0000}"/>
    <cellStyle name="20 % - Markeringsfarve3 2 2 7 2 2 2" xfId="17618" xr:uid="{00000000-0005-0000-0000-0000151C0000}"/>
    <cellStyle name="20 % - Markeringsfarve3 2 2 7 2 2 2 2" xfId="33894" xr:uid="{00000000-0005-0000-0000-0000161C0000}"/>
    <cellStyle name="20 % - Markeringsfarve3 2 2 7 2 2 2 3" xfId="48853" xr:uid="{00000000-0005-0000-0000-0000171C0000}"/>
    <cellStyle name="20 % - Markeringsfarve3 2 2 7 2 2 3" xfId="26892" xr:uid="{00000000-0005-0000-0000-0000181C0000}"/>
    <cellStyle name="20 % - Markeringsfarve3 2 2 7 2 2 4" xfId="41856" xr:uid="{00000000-0005-0000-0000-0000191C0000}"/>
    <cellStyle name="20 % - Markeringsfarve3 2 2 7 2 3" xfId="12913" xr:uid="{00000000-0005-0000-0000-00001A1C0000}"/>
    <cellStyle name="20 % - Markeringsfarve3 2 2 7 2 3 2" xfId="29192" xr:uid="{00000000-0005-0000-0000-00001B1C0000}"/>
    <cellStyle name="20 % - Markeringsfarve3 2 2 7 2 3 3" xfId="44153" xr:uid="{00000000-0005-0000-0000-00001C1C0000}"/>
    <cellStyle name="20 % - Markeringsfarve3 2 2 7 2 4" xfId="22190" xr:uid="{00000000-0005-0000-0000-00001D1C0000}"/>
    <cellStyle name="20 % - Markeringsfarve3 2 2 7 2 5" xfId="37156" xr:uid="{00000000-0005-0000-0000-00001E1C0000}"/>
    <cellStyle name="20 % - Markeringsfarve3 2 2 7 3" xfId="8356" xr:uid="{00000000-0005-0000-0000-00001F1C0000}"/>
    <cellStyle name="20 % - Markeringsfarve3 2 2 7 3 2" xfId="16226" xr:uid="{00000000-0005-0000-0000-0000201C0000}"/>
    <cellStyle name="20 % - Markeringsfarve3 2 2 7 3 2 2" xfId="32502" xr:uid="{00000000-0005-0000-0000-0000211C0000}"/>
    <cellStyle name="20 % - Markeringsfarve3 2 2 7 3 2 3" xfId="47461" xr:uid="{00000000-0005-0000-0000-0000221C0000}"/>
    <cellStyle name="20 % - Markeringsfarve3 2 2 7 3 3" xfId="25500" xr:uid="{00000000-0005-0000-0000-0000231C0000}"/>
    <cellStyle name="20 % - Markeringsfarve3 2 2 7 3 4" xfId="40464" xr:uid="{00000000-0005-0000-0000-0000241C0000}"/>
    <cellStyle name="20 % - Markeringsfarve3 2 2 7 4" xfId="12912" xr:uid="{00000000-0005-0000-0000-0000251C0000}"/>
    <cellStyle name="20 % - Markeringsfarve3 2 2 7 4 2" xfId="29191" xr:uid="{00000000-0005-0000-0000-0000261C0000}"/>
    <cellStyle name="20 % - Markeringsfarve3 2 2 7 4 3" xfId="44152" xr:uid="{00000000-0005-0000-0000-0000271C0000}"/>
    <cellStyle name="20 % - Markeringsfarve3 2 2 7 5" xfId="22189" xr:uid="{00000000-0005-0000-0000-0000281C0000}"/>
    <cellStyle name="20 % - Markeringsfarve3 2 2 7 6" xfId="37155" xr:uid="{00000000-0005-0000-0000-0000291C0000}"/>
    <cellStyle name="20 % - Markeringsfarve3 2 2 8" xfId="4429" xr:uid="{00000000-0005-0000-0000-00002A1C0000}"/>
    <cellStyle name="20 % - Markeringsfarve3 2 2 8 2" xfId="8992" xr:uid="{00000000-0005-0000-0000-00002B1C0000}"/>
    <cellStyle name="20 % - Markeringsfarve3 2 2 8 2 2" xfId="16856" xr:uid="{00000000-0005-0000-0000-00002C1C0000}"/>
    <cellStyle name="20 % - Markeringsfarve3 2 2 8 2 2 2" xfId="33132" xr:uid="{00000000-0005-0000-0000-00002D1C0000}"/>
    <cellStyle name="20 % - Markeringsfarve3 2 2 8 2 2 3" xfId="48091" xr:uid="{00000000-0005-0000-0000-00002E1C0000}"/>
    <cellStyle name="20 % - Markeringsfarve3 2 2 8 2 3" xfId="26130" xr:uid="{00000000-0005-0000-0000-00002F1C0000}"/>
    <cellStyle name="20 % - Markeringsfarve3 2 2 8 2 4" xfId="41094" xr:uid="{00000000-0005-0000-0000-0000301C0000}"/>
    <cellStyle name="20 % - Markeringsfarve3 2 2 8 3" xfId="12914" xr:uid="{00000000-0005-0000-0000-0000311C0000}"/>
    <cellStyle name="20 % - Markeringsfarve3 2 2 8 3 2" xfId="29193" xr:uid="{00000000-0005-0000-0000-0000321C0000}"/>
    <cellStyle name="20 % - Markeringsfarve3 2 2 8 3 3" xfId="44154" xr:uid="{00000000-0005-0000-0000-0000331C0000}"/>
    <cellStyle name="20 % - Markeringsfarve3 2 2 8 4" xfId="22191" xr:uid="{00000000-0005-0000-0000-0000341C0000}"/>
    <cellStyle name="20 % - Markeringsfarve3 2 2 8 5" xfId="37157" xr:uid="{00000000-0005-0000-0000-0000351C0000}"/>
    <cellStyle name="20 % - Markeringsfarve3 2 2 9" xfId="4430" xr:uid="{00000000-0005-0000-0000-0000361C0000}"/>
    <cellStyle name="20 % - Markeringsfarve3 2 2 9 2" xfId="10817" xr:uid="{00000000-0005-0000-0000-0000371C0000}"/>
    <cellStyle name="20 % - Markeringsfarve3 2 2 9 2 2" xfId="18658" xr:uid="{00000000-0005-0000-0000-0000381C0000}"/>
    <cellStyle name="20 % - Markeringsfarve3 2 2 9 2 2 2" xfId="34934" xr:uid="{00000000-0005-0000-0000-0000391C0000}"/>
    <cellStyle name="20 % - Markeringsfarve3 2 2 9 2 2 3" xfId="49893" xr:uid="{00000000-0005-0000-0000-00003A1C0000}"/>
    <cellStyle name="20 % - Markeringsfarve3 2 2 9 2 3" xfId="27932" xr:uid="{00000000-0005-0000-0000-00003B1C0000}"/>
    <cellStyle name="20 % - Markeringsfarve3 2 2 9 2 4" xfId="42896" xr:uid="{00000000-0005-0000-0000-00003C1C0000}"/>
    <cellStyle name="20 % - Markeringsfarve3 2 2 9 3" xfId="12915" xr:uid="{00000000-0005-0000-0000-00003D1C0000}"/>
    <cellStyle name="20 % - Markeringsfarve3 2 2 9 3 2" xfId="29194" xr:uid="{00000000-0005-0000-0000-00003E1C0000}"/>
    <cellStyle name="20 % - Markeringsfarve3 2 2 9 3 3" xfId="44155" xr:uid="{00000000-0005-0000-0000-00003F1C0000}"/>
    <cellStyle name="20 % - Markeringsfarve3 2 2 9 4" xfId="22192" xr:uid="{00000000-0005-0000-0000-0000401C0000}"/>
    <cellStyle name="20 % - Markeringsfarve3 2 2 9 5" xfId="37158" xr:uid="{00000000-0005-0000-0000-0000411C0000}"/>
    <cellStyle name="20 % - Markeringsfarve3 2 3" xfId="4431" xr:uid="{00000000-0005-0000-0000-0000421C0000}"/>
    <cellStyle name="20 % - Markeringsfarve3 2 3 10" xfId="7743" xr:uid="{00000000-0005-0000-0000-0000431C0000}"/>
    <cellStyle name="20 % - Markeringsfarve3 2 3 10 2" xfId="15608" xr:uid="{00000000-0005-0000-0000-0000441C0000}"/>
    <cellStyle name="20 % - Markeringsfarve3 2 3 10 2 2" xfId="31884" xr:uid="{00000000-0005-0000-0000-0000451C0000}"/>
    <cellStyle name="20 % - Markeringsfarve3 2 3 10 2 3" xfId="46843" xr:uid="{00000000-0005-0000-0000-0000461C0000}"/>
    <cellStyle name="20 % - Markeringsfarve3 2 3 10 3" xfId="24882" xr:uid="{00000000-0005-0000-0000-0000471C0000}"/>
    <cellStyle name="20 % - Markeringsfarve3 2 3 10 4" xfId="39846" xr:uid="{00000000-0005-0000-0000-0000481C0000}"/>
    <cellStyle name="20 % - Markeringsfarve3 2 3 11" xfId="12916" xr:uid="{00000000-0005-0000-0000-0000491C0000}"/>
    <cellStyle name="20 % - Markeringsfarve3 2 3 11 2" xfId="29195" xr:uid="{00000000-0005-0000-0000-00004A1C0000}"/>
    <cellStyle name="20 % - Markeringsfarve3 2 3 11 3" xfId="44156" xr:uid="{00000000-0005-0000-0000-00004B1C0000}"/>
    <cellStyle name="20 % - Markeringsfarve3 2 3 12" xfId="22193" xr:uid="{00000000-0005-0000-0000-00004C1C0000}"/>
    <cellStyle name="20 % - Markeringsfarve3 2 3 13" xfId="37159" xr:uid="{00000000-0005-0000-0000-00004D1C0000}"/>
    <cellStyle name="20 % - Markeringsfarve3 2 3 2" xfId="4432" xr:uid="{00000000-0005-0000-0000-00004E1C0000}"/>
    <cellStyle name="20 % - Markeringsfarve3 2 3 2 2" xfId="4433" xr:uid="{00000000-0005-0000-0000-00004F1C0000}"/>
    <cellStyle name="20 % - Markeringsfarve3 2 3 2 2 2" xfId="4434" xr:uid="{00000000-0005-0000-0000-0000501C0000}"/>
    <cellStyle name="20 % - Markeringsfarve3 2 3 2 2 2 2" xfId="9921" xr:uid="{00000000-0005-0000-0000-0000511C0000}"/>
    <cellStyle name="20 % - Markeringsfarve3 2 3 2 2 2 2 2" xfId="17776" xr:uid="{00000000-0005-0000-0000-0000521C0000}"/>
    <cellStyle name="20 % - Markeringsfarve3 2 3 2 2 2 2 2 2" xfId="34052" xr:uid="{00000000-0005-0000-0000-0000531C0000}"/>
    <cellStyle name="20 % - Markeringsfarve3 2 3 2 2 2 2 2 3" xfId="49011" xr:uid="{00000000-0005-0000-0000-0000541C0000}"/>
    <cellStyle name="20 % - Markeringsfarve3 2 3 2 2 2 2 3" xfId="27050" xr:uid="{00000000-0005-0000-0000-0000551C0000}"/>
    <cellStyle name="20 % - Markeringsfarve3 2 3 2 2 2 2 4" xfId="42014" xr:uid="{00000000-0005-0000-0000-0000561C0000}"/>
    <cellStyle name="20 % - Markeringsfarve3 2 3 2 2 2 3" xfId="12919" xr:uid="{00000000-0005-0000-0000-0000571C0000}"/>
    <cellStyle name="20 % - Markeringsfarve3 2 3 2 2 2 3 2" xfId="29198" xr:uid="{00000000-0005-0000-0000-0000581C0000}"/>
    <cellStyle name="20 % - Markeringsfarve3 2 3 2 2 2 3 3" xfId="44159" xr:uid="{00000000-0005-0000-0000-0000591C0000}"/>
    <cellStyle name="20 % - Markeringsfarve3 2 3 2 2 2 4" xfId="22196" xr:uid="{00000000-0005-0000-0000-00005A1C0000}"/>
    <cellStyle name="20 % - Markeringsfarve3 2 3 2 2 2 5" xfId="37162" xr:uid="{00000000-0005-0000-0000-00005B1C0000}"/>
    <cellStyle name="20 % - Markeringsfarve3 2 3 2 2 3" xfId="8488" xr:uid="{00000000-0005-0000-0000-00005C1C0000}"/>
    <cellStyle name="20 % - Markeringsfarve3 2 3 2 2 3 2" xfId="16358" xr:uid="{00000000-0005-0000-0000-00005D1C0000}"/>
    <cellStyle name="20 % - Markeringsfarve3 2 3 2 2 3 2 2" xfId="32634" xr:uid="{00000000-0005-0000-0000-00005E1C0000}"/>
    <cellStyle name="20 % - Markeringsfarve3 2 3 2 2 3 2 3" xfId="47593" xr:uid="{00000000-0005-0000-0000-00005F1C0000}"/>
    <cellStyle name="20 % - Markeringsfarve3 2 3 2 2 3 3" xfId="25632" xr:uid="{00000000-0005-0000-0000-0000601C0000}"/>
    <cellStyle name="20 % - Markeringsfarve3 2 3 2 2 3 4" xfId="40596" xr:uid="{00000000-0005-0000-0000-0000611C0000}"/>
    <cellStyle name="20 % - Markeringsfarve3 2 3 2 2 4" xfId="12918" xr:uid="{00000000-0005-0000-0000-0000621C0000}"/>
    <cellStyle name="20 % - Markeringsfarve3 2 3 2 2 4 2" xfId="29197" xr:uid="{00000000-0005-0000-0000-0000631C0000}"/>
    <cellStyle name="20 % - Markeringsfarve3 2 3 2 2 4 3" xfId="44158" xr:uid="{00000000-0005-0000-0000-0000641C0000}"/>
    <cellStyle name="20 % - Markeringsfarve3 2 3 2 2 5" xfId="22195" xr:uid="{00000000-0005-0000-0000-0000651C0000}"/>
    <cellStyle name="20 % - Markeringsfarve3 2 3 2 2 6" xfId="37161" xr:uid="{00000000-0005-0000-0000-0000661C0000}"/>
    <cellStyle name="20 % - Markeringsfarve3 2 3 2 3" xfId="4435" xr:uid="{00000000-0005-0000-0000-0000671C0000}"/>
    <cellStyle name="20 % - Markeringsfarve3 2 3 2 3 2" xfId="9152" xr:uid="{00000000-0005-0000-0000-0000681C0000}"/>
    <cellStyle name="20 % - Markeringsfarve3 2 3 2 3 2 2" xfId="17016" xr:uid="{00000000-0005-0000-0000-0000691C0000}"/>
    <cellStyle name="20 % - Markeringsfarve3 2 3 2 3 2 2 2" xfId="33292" xr:uid="{00000000-0005-0000-0000-00006A1C0000}"/>
    <cellStyle name="20 % - Markeringsfarve3 2 3 2 3 2 2 3" xfId="48251" xr:uid="{00000000-0005-0000-0000-00006B1C0000}"/>
    <cellStyle name="20 % - Markeringsfarve3 2 3 2 3 2 3" xfId="26290" xr:uid="{00000000-0005-0000-0000-00006C1C0000}"/>
    <cellStyle name="20 % - Markeringsfarve3 2 3 2 3 2 4" xfId="41254" xr:uid="{00000000-0005-0000-0000-00006D1C0000}"/>
    <cellStyle name="20 % - Markeringsfarve3 2 3 2 3 3" xfId="12920" xr:uid="{00000000-0005-0000-0000-00006E1C0000}"/>
    <cellStyle name="20 % - Markeringsfarve3 2 3 2 3 3 2" xfId="29199" xr:uid="{00000000-0005-0000-0000-00006F1C0000}"/>
    <cellStyle name="20 % - Markeringsfarve3 2 3 2 3 3 3" xfId="44160" xr:uid="{00000000-0005-0000-0000-0000701C0000}"/>
    <cellStyle name="20 % - Markeringsfarve3 2 3 2 3 4" xfId="22197" xr:uid="{00000000-0005-0000-0000-0000711C0000}"/>
    <cellStyle name="20 % - Markeringsfarve3 2 3 2 3 5" xfId="37163" xr:uid="{00000000-0005-0000-0000-0000721C0000}"/>
    <cellStyle name="20 % - Markeringsfarve3 2 3 2 4" xfId="4436" xr:uid="{00000000-0005-0000-0000-0000731C0000}"/>
    <cellStyle name="20 % - Markeringsfarve3 2 3 2 4 2" xfId="9297" xr:uid="{00000000-0005-0000-0000-0000741C0000}"/>
    <cellStyle name="20 % - Markeringsfarve3 2 3 2 4 2 2" xfId="17160" xr:uid="{00000000-0005-0000-0000-0000751C0000}"/>
    <cellStyle name="20 % - Markeringsfarve3 2 3 2 4 2 2 2" xfId="33436" xr:uid="{00000000-0005-0000-0000-0000761C0000}"/>
    <cellStyle name="20 % - Markeringsfarve3 2 3 2 4 2 2 3" xfId="48395" xr:uid="{00000000-0005-0000-0000-0000771C0000}"/>
    <cellStyle name="20 % - Markeringsfarve3 2 3 2 4 2 3" xfId="26434" xr:uid="{00000000-0005-0000-0000-0000781C0000}"/>
    <cellStyle name="20 % - Markeringsfarve3 2 3 2 4 2 4" xfId="41398" xr:uid="{00000000-0005-0000-0000-0000791C0000}"/>
    <cellStyle name="20 % - Markeringsfarve3 2 3 2 4 3" xfId="12921" xr:uid="{00000000-0005-0000-0000-00007A1C0000}"/>
    <cellStyle name="20 % - Markeringsfarve3 2 3 2 4 3 2" xfId="29200" xr:uid="{00000000-0005-0000-0000-00007B1C0000}"/>
    <cellStyle name="20 % - Markeringsfarve3 2 3 2 4 3 3" xfId="44161" xr:uid="{00000000-0005-0000-0000-00007C1C0000}"/>
    <cellStyle name="20 % - Markeringsfarve3 2 3 2 4 4" xfId="22198" xr:uid="{00000000-0005-0000-0000-00007D1C0000}"/>
    <cellStyle name="20 % - Markeringsfarve3 2 3 2 4 5" xfId="37164" xr:uid="{00000000-0005-0000-0000-00007E1C0000}"/>
    <cellStyle name="20 % - Markeringsfarve3 2 3 2 5" xfId="7744" xr:uid="{00000000-0005-0000-0000-00007F1C0000}"/>
    <cellStyle name="20 % - Markeringsfarve3 2 3 2 5 2" xfId="15609" xr:uid="{00000000-0005-0000-0000-0000801C0000}"/>
    <cellStyle name="20 % - Markeringsfarve3 2 3 2 5 2 2" xfId="31885" xr:uid="{00000000-0005-0000-0000-0000811C0000}"/>
    <cellStyle name="20 % - Markeringsfarve3 2 3 2 5 2 3" xfId="46844" xr:uid="{00000000-0005-0000-0000-0000821C0000}"/>
    <cellStyle name="20 % - Markeringsfarve3 2 3 2 5 3" xfId="24883" xr:uid="{00000000-0005-0000-0000-0000831C0000}"/>
    <cellStyle name="20 % - Markeringsfarve3 2 3 2 5 4" xfId="39847" xr:uid="{00000000-0005-0000-0000-0000841C0000}"/>
    <cellStyle name="20 % - Markeringsfarve3 2 3 2 6" xfId="12917" xr:uid="{00000000-0005-0000-0000-0000851C0000}"/>
    <cellStyle name="20 % - Markeringsfarve3 2 3 2 6 2" xfId="29196" xr:uid="{00000000-0005-0000-0000-0000861C0000}"/>
    <cellStyle name="20 % - Markeringsfarve3 2 3 2 6 3" xfId="44157" xr:uid="{00000000-0005-0000-0000-0000871C0000}"/>
    <cellStyle name="20 % - Markeringsfarve3 2 3 2 7" xfId="22194" xr:uid="{00000000-0005-0000-0000-0000881C0000}"/>
    <cellStyle name="20 % - Markeringsfarve3 2 3 2 8" xfId="37160" xr:uid="{00000000-0005-0000-0000-0000891C0000}"/>
    <cellStyle name="20 % - Markeringsfarve3 2 3 3" xfId="4437" xr:uid="{00000000-0005-0000-0000-00008A1C0000}"/>
    <cellStyle name="20 % - Markeringsfarve3 2 3 3 2" xfId="4438" xr:uid="{00000000-0005-0000-0000-00008B1C0000}"/>
    <cellStyle name="20 % - Markeringsfarve3 2 3 3 2 2" xfId="4439" xr:uid="{00000000-0005-0000-0000-00008C1C0000}"/>
    <cellStyle name="20 % - Markeringsfarve3 2 3 3 2 2 2" xfId="9951" xr:uid="{00000000-0005-0000-0000-00008D1C0000}"/>
    <cellStyle name="20 % - Markeringsfarve3 2 3 3 2 2 2 2" xfId="17806" xr:uid="{00000000-0005-0000-0000-00008E1C0000}"/>
    <cellStyle name="20 % - Markeringsfarve3 2 3 3 2 2 2 2 2" xfId="34082" xr:uid="{00000000-0005-0000-0000-00008F1C0000}"/>
    <cellStyle name="20 % - Markeringsfarve3 2 3 3 2 2 2 2 3" xfId="49041" xr:uid="{00000000-0005-0000-0000-0000901C0000}"/>
    <cellStyle name="20 % - Markeringsfarve3 2 3 3 2 2 2 3" xfId="27080" xr:uid="{00000000-0005-0000-0000-0000911C0000}"/>
    <cellStyle name="20 % - Markeringsfarve3 2 3 3 2 2 2 4" xfId="42044" xr:uid="{00000000-0005-0000-0000-0000921C0000}"/>
    <cellStyle name="20 % - Markeringsfarve3 2 3 3 2 2 3" xfId="12924" xr:uid="{00000000-0005-0000-0000-0000931C0000}"/>
    <cellStyle name="20 % - Markeringsfarve3 2 3 3 2 2 3 2" xfId="29203" xr:uid="{00000000-0005-0000-0000-0000941C0000}"/>
    <cellStyle name="20 % - Markeringsfarve3 2 3 3 2 2 3 3" xfId="44164" xr:uid="{00000000-0005-0000-0000-0000951C0000}"/>
    <cellStyle name="20 % - Markeringsfarve3 2 3 3 2 2 4" xfId="22201" xr:uid="{00000000-0005-0000-0000-0000961C0000}"/>
    <cellStyle name="20 % - Markeringsfarve3 2 3 3 2 2 5" xfId="37167" xr:uid="{00000000-0005-0000-0000-0000971C0000}"/>
    <cellStyle name="20 % - Markeringsfarve3 2 3 3 2 3" xfId="8516" xr:uid="{00000000-0005-0000-0000-0000981C0000}"/>
    <cellStyle name="20 % - Markeringsfarve3 2 3 3 2 3 2" xfId="16386" xr:uid="{00000000-0005-0000-0000-0000991C0000}"/>
    <cellStyle name="20 % - Markeringsfarve3 2 3 3 2 3 2 2" xfId="32662" xr:uid="{00000000-0005-0000-0000-00009A1C0000}"/>
    <cellStyle name="20 % - Markeringsfarve3 2 3 3 2 3 2 3" xfId="47621" xr:uid="{00000000-0005-0000-0000-00009B1C0000}"/>
    <cellStyle name="20 % - Markeringsfarve3 2 3 3 2 3 3" xfId="25660" xr:uid="{00000000-0005-0000-0000-00009C1C0000}"/>
    <cellStyle name="20 % - Markeringsfarve3 2 3 3 2 3 4" xfId="40624" xr:uid="{00000000-0005-0000-0000-00009D1C0000}"/>
    <cellStyle name="20 % - Markeringsfarve3 2 3 3 2 4" xfId="12923" xr:uid="{00000000-0005-0000-0000-00009E1C0000}"/>
    <cellStyle name="20 % - Markeringsfarve3 2 3 3 2 4 2" xfId="29202" xr:uid="{00000000-0005-0000-0000-00009F1C0000}"/>
    <cellStyle name="20 % - Markeringsfarve3 2 3 3 2 4 3" xfId="44163" xr:uid="{00000000-0005-0000-0000-0000A01C0000}"/>
    <cellStyle name="20 % - Markeringsfarve3 2 3 3 2 5" xfId="22200" xr:uid="{00000000-0005-0000-0000-0000A11C0000}"/>
    <cellStyle name="20 % - Markeringsfarve3 2 3 3 2 6" xfId="37166" xr:uid="{00000000-0005-0000-0000-0000A21C0000}"/>
    <cellStyle name="20 % - Markeringsfarve3 2 3 3 3" xfId="4440" xr:uid="{00000000-0005-0000-0000-0000A31C0000}"/>
    <cellStyle name="20 % - Markeringsfarve3 2 3 3 3 2" xfId="9182" xr:uid="{00000000-0005-0000-0000-0000A41C0000}"/>
    <cellStyle name="20 % - Markeringsfarve3 2 3 3 3 2 2" xfId="17046" xr:uid="{00000000-0005-0000-0000-0000A51C0000}"/>
    <cellStyle name="20 % - Markeringsfarve3 2 3 3 3 2 2 2" xfId="33322" xr:uid="{00000000-0005-0000-0000-0000A61C0000}"/>
    <cellStyle name="20 % - Markeringsfarve3 2 3 3 3 2 2 3" xfId="48281" xr:uid="{00000000-0005-0000-0000-0000A71C0000}"/>
    <cellStyle name="20 % - Markeringsfarve3 2 3 3 3 2 3" xfId="26320" xr:uid="{00000000-0005-0000-0000-0000A81C0000}"/>
    <cellStyle name="20 % - Markeringsfarve3 2 3 3 3 2 4" xfId="41284" xr:uid="{00000000-0005-0000-0000-0000A91C0000}"/>
    <cellStyle name="20 % - Markeringsfarve3 2 3 3 3 3" xfId="12925" xr:uid="{00000000-0005-0000-0000-0000AA1C0000}"/>
    <cellStyle name="20 % - Markeringsfarve3 2 3 3 3 3 2" xfId="29204" xr:uid="{00000000-0005-0000-0000-0000AB1C0000}"/>
    <cellStyle name="20 % - Markeringsfarve3 2 3 3 3 3 3" xfId="44165" xr:uid="{00000000-0005-0000-0000-0000AC1C0000}"/>
    <cellStyle name="20 % - Markeringsfarve3 2 3 3 3 4" xfId="22202" xr:uid="{00000000-0005-0000-0000-0000AD1C0000}"/>
    <cellStyle name="20 % - Markeringsfarve3 2 3 3 3 5" xfId="37168" xr:uid="{00000000-0005-0000-0000-0000AE1C0000}"/>
    <cellStyle name="20 % - Markeringsfarve3 2 3 3 4" xfId="4441" xr:uid="{00000000-0005-0000-0000-0000AF1C0000}"/>
    <cellStyle name="20 % - Markeringsfarve3 2 3 3 4 2" xfId="9299" xr:uid="{00000000-0005-0000-0000-0000B01C0000}"/>
    <cellStyle name="20 % - Markeringsfarve3 2 3 3 4 2 2" xfId="17162" xr:uid="{00000000-0005-0000-0000-0000B11C0000}"/>
    <cellStyle name="20 % - Markeringsfarve3 2 3 3 4 2 2 2" xfId="33438" xr:uid="{00000000-0005-0000-0000-0000B21C0000}"/>
    <cellStyle name="20 % - Markeringsfarve3 2 3 3 4 2 2 3" xfId="48397" xr:uid="{00000000-0005-0000-0000-0000B31C0000}"/>
    <cellStyle name="20 % - Markeringsfarve3 2 3 3 4 2 3" xfId="26436" xr:uid="{00000000-0005-0000-0000-0000B41C0000}"/>
    <cellStyle name="20 % - Markeringsfarve3 2 3 3 4 2 4" xfId="41400" xr:uid="{00000000-0005-0000-0000-0000B51C0000}"/>
    <cellStyle name="20 % - Markeringsfarve3 2 3 3 4 3" xfId="12926" xr:uid="{00000000-0005-0000-0000-0000B61C0000}"/>
    <cellStyle name="20 % - Markeringsfarve3 2 3 3 4 3 2" xfId="29205" xr:uid="{00000000-0005-0000-0000-0000B71C0000}"/>
    <cellStyle name="20 % - Markeringsfarve3 2 3 3 4 3 3" xfId="44166" xr:uid="{00000000-0005-0000-0000-0000B81C0000}"/>
    <cellStyle name="20 % - Markeringsfarve3 2 3 3 4 4" xfId="22203" xr:uid="{00000000-0005-0000-0000-0000B91C0000}"/>
    <cellStyle name="20 % - Markeringsfarve3 2 3 3 4 5" xfId="37169" xr:uid="{00000000-0005-0000-0000-0000BA1C0000}"/>
    <cellStyle name="20 % - Markeringsfarve3 2 3 3 5" xfId="7745" xr:uid="{00000000-0005-0000-0000-0000BB1C0000}"/>
    <cellStyle name="20 % - Markeringsfarve3 2 3 3 5 2" xfId="15610" xr:uid="{00000000-0005-0000-0000-0000BC1C0000}"/>
    <cellStyle name="20 % - Markeringsfarve3 2 3 3 5 2 2" xfId="31886" xr:uid="{00000000-0005-0000-0000-0000BD1C0000}"/>
    <cellStyle name="20 % - Markeringsfarve3 2 3 3 5 2 3" xfId="46845" xr:uid="{00000000-0005-0000-0000-0000BE1C0000}"/>
    <cellStyle name="20 % - Markeringsfarve3 2 3 3 5 3" xfId="24884" xr:uid="{00000000-0005-0000-0000-0000BF1C0000}"/>
    <cellStyle name="20 % - Markeringsfarve3 2 3 3 5 4" xfId="39848" xr:uid="{00000000-0005-0000-0000-0000C01C0000}"/>
    <cellStyle name="20 % - Markeringsfarve3 2 3 3 6" xfId="12922" xr:uid="{00000000-0005-0000-0000-0000C11C0000}"/>
    <cellStyle name="20 % - Markeringsfarve3 2 3 3 6 2" xfId="29201" xr:uid="{00000000-0005-0000-0000-0000C21C0000}"/>
    <cellStyle name="20 % - Markeringsfarve3 2 3 3 6 3" xfId="44162" xr:uid="{00000000-0005-0000-0000-0000C31C0000}"/>
    <cellStyle name="20 % - Markeringsfarve3 2 3 3 7" xfId="22199" xr:uid="{00000000-0005-0000-0000-0000C41C0000}"/>
    <cellStyle name="20 % - Markeringsfarve3 2 3 3 8" xfId="37165" xr:uid="{00000000-0005-0000-0000-0000C51C0000}"/>
    <cellStyle name="20 % - Markeringsfarve3 2 3 4" xfId="4442" xr:uid="{00000000-0005-0000-0000-0000C61C0000}"/>
    <cellStyle name="20 % - Markeringsfarve3 2 3 4 2" xfId="4443" xr:uid="{00000000-0005-0000-0000-0000C71C0000}"/>
    <cellStyle name="20 % - Markeringsfarve3 2 3 4 2 2" xfId="4444" xr:uid="{00000000-0005-0000-0000-0000C81C0000}"/>
    <cellStyle name="20 % - Markeringsfarve3 2 3 4 2 2 2" xfId="10159" xr:uid="{00000000-0005-0000-0000-0000C91C0000}"/>
    <cellStyle name="20 % - Markeringsfarve3 2 3 4 2 2 2 2" xfId="18014" xr:uid="{00000000-0005-0000-0000-0000CA1C0000}"/>
    <cellStyle name="20 % - Markeringsfarve3 2 3 4 2 2 2 2 2" xfId="34290" xr:uid="{00000000-0005-0000-0000-0000CB1C0000}"/>
    <cellStyle name="20 % - Markeringsfarve3 2 3 4 2 2 2 2 3" xfId="49249" xr:uid="{00000000-0005-0000-0000-0000CC1C0000}"/>
    <cellStyle name="20 % - Markeringsfarve3 2 3 4 2 2 2 3" xfId="27288" xr:uid="{00000000-0005-0000-0000-0000CD1C0000}"/>
    <cellStyle name="20 % - Markeringsfarve3 2 3 4 2 2 2 4" xfId="42252" xr:uid="{00000000-0005-0000-0000-0000CE1C0000}"/>
    <cellStyle name="20 % - Markeringsfarve3 2 3 4 2 2 3" xfId="12929" xr:uid="{00000000-0005-0000-0000-0000CF1C0000}"/>
    <cellStyle name="20 % - Markeringsfarve3 2 3 4 2 2 3 2" xfId="29208" xr:uid="{00000000-0005-0000-0000-0000D01C0000}"/>
    <cellStyle name="20 % - Markeringsfarve3 2 3 4 2 2 3 3" xfId="44169" xr:uid="{00000000-0005-0000-0000-0000D11C0000}"/>
    <cellStyle name="20 % - Markeringsfarve3 2 3 4 2 2 4" xfId="22206" xr:uid="{00000000-0005-0000-0000-0000D21C0000}"/>
    <cellStyle name="20 % - Markeringsfarve3 2 3 4 2 2 5" xfId="37172" xr:uid="{00000000-0005-0000-0000-0000D31C0000}"/>
    <cellStyle name="20 % - Markeringsfarve3 2 3 4 2 3" xfId="8690" xr:uid="{00000000-0005-0000-0000-0000D41C0000}"/>
    <cellStyle name="20 % - Markeringsfarve3 2 3 4 2 3 2" xfId="16557" xr:uid="{00000000-0005-0000-0000-0000D51C0000}"/>
    <cellStyle name="20 % - Markeringsfarve3 2 3 4 2 3 2 2" xfId="32833" xr:uid="{00000000-0005-0000-0000-0000D61C0000}"/>
    <cellStyle name="20 % - Markeringsfarve3 2 3 4 2 3 2 3" xfId="47792" xr:uid="{00000000-0005-0000-0000-0000D71C0000}"/>
    <cellStyle name="20 % - Markeringsfarve3 2 3 4 2 3 3" xfId="25831" xr:uid="{00000000-0005-0000-0000-0000D81C0000}"/>
    <cellStyle name="20 % - Markeringsfarve3 2 3 4 2 3 4" xfId="40795" xr:uid="{00000000-0005-0000-0000-0000D91C0000}"/>
    <cellStyle name="20 % - Markeringsfarve3 2 3 4 2 4" xfId="12928" xr:uid="{00000000-0005-0000-0000-0000DA1C0000}"/>
    <cellStyle name="20 % - Markeringsfarve3 2 3 4 2 4 2" xfId="29207" xr:uid="{00000000-0005-0000-0000-0000DB1C0000}"/>
    <cellStyle name="20 % - Markeringsfarve3 2 3 4 2 4 3" xfId="44168" xr:uid="{00000000-0005-0000-0000-0000DC1C0000}"/>
    <cellStyle name="20 % - Markeringsfarve3 2 3 4 2 5" xfId="22205" xr:uid="{00000000-0005-0000-0000-0000DD1C0000}"/>
    <cellStyle name="20 % - Markeringsfarve3 2 3 4 2 6" xfId="37171" xr:uid="{00000000-0005-0000-0000-0000DE1C0000}"/>
    <cellStyle name="20 % - Markeringsfarve3 2 3 4 3" xfId="4445" xr:uid="{00000000-0005-0000-0000-0000DF1C0000}"/>
    <cellStyle name="20 % - Markeringsfarve3 2 3 4 3 2" xfId="9436" xr:uid="{00000000-0005-0000-0000-0000E01C0000}"/>
    <cellStyle name="20 % - Markeringsfarve3 2 3 4 3 2 2" xfId="17299" xr:uid="{00000000-0005-0000-0000-0000E11C0000}"/>
    <cellStyle name="20 % - Markeringsfarve3 2 3 4 3 2 2 2" xfId="33575" xr:uid="{00000000-0005-0000-0000-0000E21C0000}"/>
    <cellStyle name="20 % - Markeringsfarve3 2 3 4 3 2 2 3" xfId="48534" xr:uid="{00000000-0005-0000-0000-0000E31C0000}"/>
    <cellStyle name="20 % - Markeringsfarve3 2 3 4 3 2 3" xfId="26573" xr:uid="{00000000-0005-0000-0000-0000E41C0000}"/>
    <cellStyle name="20 % - Markeringsfarve3 2 3 4 3 2 4" xfId="41537" xr:uid="{00000000-0005-0000-0000-0000E51C0000}"/>
    <cellStyle name="20 % - Markeringsfarve3 2 3 4 3 3" xfId="12930" xr:uid="{00000000-0005-0000-0000-0000E61C0000}"/>
    <cellStyle name="20 % - Markeringsfarve3 2 3 4 3 3 2" xfId="29209" xr:uid="{00000000-0005-0000-0000-0000E71C0000}"/>
    <cellStyle name="20 % - Markeringsfarve3 2 3 4 3 3 3" xfId="44170" xr:uid="{00000000-0005-0000-0000-0000E81C0000}"/>
    <cellStyle name="20 % - Markeringsfarve3 2 3 4 3 4" xfId="22207" xr:uid="{00000000-0005-0000-0000-0000E91C0000}"/>
    <cellStyle name="20 % - Markeringsfarve3 2 3 4 3 5" xfId="37173" xr:uid="{00000000-0005-0000-0000-0000EA1C0000}"/>
    <cellStyle name="20 % - Markeringsfarve3 2 3 4 4" xfId="4446" xr:uid="{00000000-0005-0000-0000-0000EB1C0000}"/>
    <cellStyle name="20 % - Markeringsfarve3 2 3 4 4 2" xfId="9300" xr:uid="{00000000-0005-0000-0000-0000EC1C0000}"/>
    <cellStyle name="20 % - Markeringsfarve3 2 3 4 4 2 2" xfId="17163" xr:uid="{00000000-0005-0000-0000-0000ED1C0000}"/>
    <cellStyle name="20 % - Markeringsfarve3 2 3 4 4 2 2 2" xfId="33439" xr:uid="{00000000-0005-0000-0000-0000EE1C0000}"/>
    <cellStyle name="20 % - Markeringsfarve3 2 3 4 4 2 2 3" xfId="48398" xr:uid="{00000000-0005-0000-0000-0000EF1C0000}"/>
    <cellStyle name="20 % - Markeringsfarve3 2 3 4 4 2 3" xfId="26437" xr:uid="{00000000-0005-0000-0000-0000F01C0000}"/>
    <cellStyle name="20 % - Markeringsfarve3 2 3 4 4 2 4" xfId="41401" xr:uid="{00000000-0005-0000-0000-0000F11C0000}"/>
    <cellStyle name="20 % - Markeringsfarve3 2 3 4 4 3" xfId="12931" xr:uid="{00000000-0005-0000-0000-0000F21C0000}"/>
    <cellStyle name="20 % - Markeringsfarve3 2 3 4 4 3 2" xfId="29210" xr:uid="{00000000-0005-0000-0000-0000F31C0000}"/>
    <cellStyle name="20 % - Markeringsfarve3 2 3 4 4 3 3" xfId="44171" xr:uid="{00000000-0005-0000-0000-0000F41C0000}"/>
    <cellStyle name="20 % - Markeringsfarve3 2 3 4 4 4" xfId="22208" xr:uid="{00000000-0005-0000-0000-0000F51C0000}"/>
    <cellStyle name="20 % - Markeringsfarve3 2 3 4 4 5" xfId="37174" xr:uid="{00000000-0005-0000-0000-0000F61C0000}"/>
    <cellStyle name="20 % - Markeringsfarve3 2 3 4 5" xfId="7746" xr:uid="{00000000-0005-0000-0000-0000F71C0000}"/>
    <cellStyle name="20 % - Markeringsfarve3 2 3 4 5 2" xfId="15611" xr:uid="{00000000-0005-0000-0000-0000F81C0000}"/>
    <cellStyle name="20 % - Markeringsfarve3 2 3 4 5 2 2" xfId="31887" xr:uid="{00000000-0005-0000-0000-0000F91C0000}"/>
    <cellStyle name="20 % - Markeringsfarve3 2 3 4 5 2 3" xfId="46846" xr:uid="{00000000-0005-0000-0000-0000FA1C0000}"/>
    <cellStyle name="20 % - Markeringsfarve3 2 3 4 5 3" xfId="24885" xr:uid="{00000000-0005-0000-0000-0000FB1C0000}"/>
    <cellStyle name="20 % - Markeringsfarve3 2 3 4 5 4" xfId="39849" xr:uid="{00000000-0005-0000-0000-0000FC1C0000}"/>
    <cellStyle name="20 % - Markeringsfarve3 2 3 4 6" xfId="12927" xr:uid="{00000000-0005-0000-0000-0000FD1C0000}"/>
    <cellStyle name="20 % - Markeringsfarve3 2 3 4 6 2" xfId="29206" xr:uid="{00000000-0005-0000-0000-0000FE1C0000}"/>
    <cellStyle name="20 % - Markeringsfarve3 2 3 4 6 3" xfId="44167" xr:uid="{00000000-0005-0000-0000-0000FF1C0000}"/>
    <cellStyle name="20 % - Markeringsfarve3 2 3 4 7" xfId="22204" xr:uid="{00000000-0005-0000-0000-0000001D0000}"/>
    <cellStyle name="20 % - Markeringsfarve3 2 3 4 8" xfId="37170" xr:uid="{00000000-0005-0000-0000-0000011D0000}"/>
    <cellStyle name="20 % - Markeringsfarve3 2 3 5" xfId="4447" xr:uid="{00000000-0005-0000-0000-0000021D0000}"/>
    <cellStyle name="20 % - Markeringsfarve3 2 3 5 2" xfId="4448" xr:uid="{00000000-0005-0000-0000-0000031D0000}"/>
    <cellStyle name="20 % - Markeringsfarve3 2 3 5 2 2" xfId="4449" xr:uid="{00000000-0005-0000-0000-0000041D0000}"/>
    <cellStyle name="20 % - Markeringsfarve3 2 3 5 2 2 2" xfId="10276" xr:uid="{00000000-0005-0000-0000-0000051D0000}"/>
    <cellStyle name="20 % - Markeringsfarve3 2 3 5 2 2 2 2" xfId="18131" xr:uid="{00000000-0005-0000-0000-0000061D0000}"/>
    <cellStyle name="20 % - Markeringsfarve3 2 3 5 2 2 2 2 2" xfId="34407" xr:uid="{00000000-0005-0000-0000-0000071D0000}"/>
    <cellStyle name="20 % - Markeringsfarve3 2 3 5 2 2 2 2 3" xfId="49366" xr:uid="{00000000-0005-0000-0000-0000081D0000}"/>
    <cellStyle name="20 % - Markeringsfarve3 2 3 5 2 2 2 3" xfId="27405" xr:uid="{00000000-0005-0000-0000-0000091D0000}"/>
    <cellStyle name="20 % - Markeringsfarve3 2 3 5 2 2 2 4" xfId="42369" xr:uid="{00000000-0005-0000-0000-00000A1D0000}"/>
    <cellStyle name="20 % - Markeringsfarve3 2 3 5 2 2 3" xfId="12934" xr:uid="{00000000-0005-0000-0000-00000B1D0000}"/>
    <cellStyle name="20 % - Markeringsfarve3 2 3 5 2 2 3 2" xfId="29213" xr:uid="{00000000-0005-0000-0000-00000C1D0000}"/>
    <cellStyle name="20 % - Markeringsfarve3 2 3 5 2 2 3 3" xfId="44174" xr:uid="{00000000-0005-0000-0000-00000D1D0000}"/>
    <cellStyle name="20 % - Markeringsfarve3 2 3 5 2 2 4" xfId="22211" xr:uid="{00000000-0005-0000-0000-00000E1D0000}"/>
    <cellStyle name="20 % - Markeringsfarve3 2 3 5 2 2 5" xfId="37177" xr:uid="{00000000-0005-0000-0000-00000F1D0000}"/>
    <cellStyle name="20 % - Markeringsfarve3 2 3 5 2 3" xfId="8789" xr:uid="{00000000-0005-0000-0000-0000101D0000}"/>
    <cellStyle name="20 % - Markeringsfarve3 2 3 5 2 3 2" xfId="16656" xr:uid="{00000000-0005-0000-0000-0000111D0000}"/>
    <cellStyle name="20 % - Markeringsfarve3 2 3 5 2 3 2 2" xfId="32932" xr:uid="{00000000-0005-0000-0000-0000121D0000}"/>
    <cellStyle name="20 % - Markeringsfarve3 2 3 5 2 3 2 3" xfId="47891" xr:uid="{00000000-0005-0000-0000-0000131D0000}"/>
    <cellStyle name="20 % - Markeringsfarve3 2 3 5 2 3 3" xfId="25930" xr:uid="{00000000-0005-0000-0000-0000141D0000}"/>
    <cellStyle name="20 % - Markeringsfarve3 2 3 5 2 3 4" xfId="40894" xr:uid="{00000000-0005-0000-0000-0000151D0000}"/>
    <cellStyle name="20 % - Markeringsfarve3 2 3 5 2 4" xfId="12933" xr:uid="{00000000-0005-0000-0000-0000161D0000}"/>
    <cellStyle name="20 % - Markeringsfarve3 2 3 5 2 4 2" xfId="29212" xr:uid="{00000000-0005-0000-0000-0000171D0000}"/>
    <cellStyle name="20 % - Markeringsfarve3 2 3 5 2 4 3" xfId="44173" xr:uid="{00000000-0005-0000-0000-0000181D0000}"/>
    <cellStyle name="20 % - Markeringsfarve3 2 3 5 2 5" xfId="22210" xr:uid="{00000000-0005-0000-0000-0000191D0000}"/>
    <cellStyle name="20 % - Markeringsfarve3 2 3 5 2 6" xfId="37176" xr:uid="{00000000-0005-0000-0000-00001A1D0000}"/>
    <cellStyle name="20 % - Markeringsfarve3 2 3 5 3" xfId="4450" xr:uid="{00000000-0005-0000-0000-00001B1D0000}"/>
    <cellStyle name="20 % - Markeringsfarve3 2 3 5 3 2" xfId="9553" xr:uid="{00000000-0005-0000-0000-00001C1D0000}"/>
    <cellStyle name="20 % - Markeringsfarve3 2 3 5 3 2 2" xfId="17416" xr:uid="{00000000-0005-0000-0000-00001D1D0000}"/>
    <cellStyle name="20 % - Markeringsfarve3 2 3 5 3 2 2 2" xfId="33692" xr:uid="{00000000-0005-0000-0000-00001E1D0000}"/>
    <cellStyle name="20 % - Markeringsfarve3 2 3 5 3 2 2 3" xfId="48651" xr:uid="{00000000-0005-0000-0000-00001F1D0000}"/>
    <cellStyle name="20 % - Markeringsfarve3 2 3 5 3 2 3" xfId="26690" xr:uid="{00000000-0005-0000-0000-0000201D0000}"/>
    <cellStyle name="20 % - Markeringsfarve3 2 3 5 3 2 4" xfId="41654" xr:uid="{00000000-0005-0000-0000-0000211D0000}"/>
    <cellStyle name="20 % - Markeringsfarve3 2 3 5 3 3" xfId="12935" xr:uid="{00000000-0005-0000-0000-0000221D0000}"/>
    <cellStyle name="20 % - Markeringsfarve3 2 3 5 3 3 2" xfId="29214" xr:uid="{00000000-0005-0000-0000-0000231D0000}"/>
    <cellStyle name="20 % - Markeringsfarve3 2 3 5 3 3 3" xfId="44175" xr:uid="{00000000-0005-0000-0000-0000241D0000}"/>
    <cellStyle name="20 % - Markeringsfarve3 2 3 5 3 4" xfId="22212" xr:uid="{00000000-0005-0000-0000-0000251D0000}"/>
    <cellStyle name="20 % - Markeringsfarve3 2 3 5 3 5" xfId="37178" xr:uid="{00000000-0005-0000-0000-0000261D0000}"/>
    <cellStyle name="20 % - Markeringsfarve3 2 3 5 4" xfId="4451" xr:uid="{00000000-0005-0000-0000-0000271D0000}"/>
    <cellStyle name="20 % - Markeringsfarve3 2 3 5 4 2" xfId="9302" xr:uid="{00000000-0005-0000-0000-0000281D0000}"/>
    <cellStyle name="20 % - Markeringsfarve3 2 3 5 4 2 2" xfId="17165" xr:uid="{00000000-0005-0000-0000-0000291D0000}"/>
    <cellStyle name="20 % - Markeringsfarve3 2 3 5 4 2 2 2" xfId="33441" xr:uid="{00000000-0005-0000-0000-00002A1D0000}"/>
    <cellStyle name="20 % - Markeringsfarve3 2 3 5 4 2 2 3" xfId="48400" xr:uid="{00000000-0005-0000-0000-00002B1D0000}"/>
    <cellStyle name="20 % - Markeringsfarve3 2 3 5 4 2 3" xfId="26439" xr:uid="{00000000-0005-0000-0000-00002C1D0000}"/>
    <cellStyle name="20 % - Markeringsfarve3 2 3 5 4 2 4" xfId="41403" xr:uid="{00000000-0005-0000-0000-00002D1D0000}"/>
    <cellStyle name="20 % - Markeringsfarve3 2 3 5 4 3" xfId="12936" xr:uid="{00000000-0005-0000-0000-00002E1D0000}"/>
    <cellStyle name="20 % - Markeringsfarve3 2 3 5 4 3 2" xfId="29215" xr:uid="{00000000-0005-0000-0000-00002F1D0000}"/>
    <cellStyle name="20 % - Markeringsfarve3 2 3 5 4 3 3" xfId="44176" xr:uid="{00000000-0005-0000-0000-0000301D0000}"/>
    <cellStyle name="20 % - Markeringsfarve3 2 3 5 4 4" xfId="22213" xr:uid="{00000000-0005-0000-0000-0000311D0000}"/>
    <cellStyle name="20 % - Markeringsfarve3 2 3 5 4 5" xfId="37179" xr:uid="{00000000-0005-0000-0000-0000321D0000}"/>
    <cellStyle name="20 % - Markeringsfarve3 2 3 5 5" xfId="7747" xr:uid="{00000000-0005-0000-0000-0000331D0000}"/>
    <cellStyle name="20 % - Markeringsfarve3 2 3 5 5 2" xfId="15612" xr:uid="{00000000-0005-0000-0000-0000341D0000}"/>
    <cellStyle name="20 % - Markeringsfarve3 2 3 5 5 2 2" xfId="31888" xr:uid="{00000000-0005-0000-0000-0000351D0000}"/>
    <cellStyle name="20 % - Markeringsfarve3 2 3 5 5 2 3" xfId="46847" xr:uid="{00000000-0005-0000-0000-0000361D0000}"/>
    <cellStyle name="20 % - Markeringsfarve3 2 3 5 5 3" xfId="24886" xr:uid="{00000000-0005-0000-0000-0000371D0000}"/>
    <cellStyle name="20 % - Markeringsfarve3 2 3 5 5 4" xfId="39850" xr:uid="{00000000-0005-0000-0000-0000381D0000}"/>
    <cellStyle name="20 % - Markeringsfarve3 2 3 5 6" xfId="12932" xr:uid="{00000000-0005-0000-0000-0000391D0000}"/>
    <cellStyle name="20 % - Markeringsfarve3 2 3 5 6 2" xfId="29211" xr:uid="{00000000-0005-0000-0000-00003A1D0000}"/>
    <cellStyle name="20 % - Markeringsfarve3 2 3 5 6 3" xfId="44172" xr:uid="{00000000-0005-0000-0000-00003B1D0000}"/>
    <cellStyle name="20 % - Markeringsfarve3 2 3 5 7" xfId="22209" xr:uid="{00000000-0005-0000-0000-00003C1D0000}"/>
    <cellStyle name="20 % - Markeringsfarve3 2 3 5 8" xfId="37175" xr:uid="{00000000-0005-0000-0000-00003D1D0000}"/>
    <cellStyle name="20 % - Markeringsfarve3 2 3 6" xfId="4452" xr:uid="{00000000-0005-0000-0000-00003E1D0000}"/>
    <cellStyle name="20 % - Markeringsfarve3 2 3 6 2" xfId="4453" xr:uid="{00000000-0005-0000-0000-00003F1D0000}"/>
    <cellStyle name="20 % - Markeringsfarve3 2 3 6 2 2" xfId="4454" xr:uid="{00000000-0005-0000-0000-0000401D0000}"/>
    <cellStyle name="20 % - Markeringsfarve3 2 3 6 2 2 2" xfId="10306" xr:uid="{00000000-0005-0000-0000-0000411D0000}"/>
    <cellStyle name="20 % - Markeringsfarve3 2 3 6 2 2 2 2" xfId="18161" xr:uid="{00000000-0005-0000-0000-0000421D0000}"/>
    <cellStyle name="20 % - Markeringsfarve3 2 3 6 2 2 2 2 2" xfId="34437" xr:uid="{00000000-0005-0000-0000-0000431D0000}"/>
    <cellStyle name="20 % - Markeringsfarve3 2 3 6 2 2 2 2 3" xfId="49396" xr:uid="{00000000-0005-0000-0000-0000441D0000}"/>
    <cellStyle name="20 % - Markeringsfarve3 2 3 6 2 2 2 3" xfId="27435" xr:uid="{00000000-0005-0000-0000-0000451D0000}"/>
    <cellStyle name="20 % - Markeringsfarve3 2 3 6 2 2 2 4" xfId="42399" xr:uid="{00000000-0005-0000-0000-0000461D0000}"/>
    <cellStyle name="20 % - Markeringsfarve3 2 3 6 2 2 3" xfId="12939" xr:uid="{00000000-0005-0000-0000-0000471D0000}"/>
    <cellStyle name="20 % - Markeringsfarve3 2 3 6 2 2 3 2" xfId="29218" xr:uid="{00000000-0005-0000-0000-0000481D0000}"/>
    <cellStyle name="20 % - Markeringsfarve3 2 3 6 2 2 3 3" xfId="44179" xr:uid="{00000000-0005-0000-0000-0000491D0000}"/>
    <cellStyle name="20 % - Markeringsfarve3 2 3 6 2 2 4" xfId="22216" xr:uid="{00000000-0005-0000-0000-00004A1D0000}"/>
    <cellStyle name="20 % - Markeringsfarve3 2 3 6 2 2 5" xfId="37182" xr:uid="{00000000-0005-0000-0000-00004B1D0000}"/>
    <cellStyle name="20 % - Markeringsfarve3 2 3 6 2 3" xfId="8818" xr:uid="{00000000-0005-0000-0000-00004C1D0000}"/>
    <cellStyle name="20 % - Markeringsfarve3 2 3 6 2 3 2" xfId="16685" xr:uid="{00000000-0005-0000-0000-00004D1D0000}"/>
    <cellStyle name="20 % - Markeringsfarve3 2 3 6 2 3 2 2" xfId="32961" xr:uid="{00000000-0005-0000-0000-00004E1D0000}"/>
    <cellStyle name="20 % - Markeringsfarve3 2 3 6 2 3 2 3" xfId="47920" xr:uid="{00000000-0005-0000-0000-00004F1D0000}"/>
    <cellStyle name="20 % - Markeringsfarve3 2 3 6 2 3 3" xfId="25959" xr:uid="{00000000-0005-0000-0000-0000501D0000}"/>
    <cellStyle name="20 % - Markeringsfarve3 2 3 6 2 3 4" xfId="40923" xr:uid="{00000000-0005-0000-0000-0000511D0000}"/>
    <cellStyle name="20 % - Markeringsfarve3 2 3 6 2 4" xfId="12938" xr:uid="{00000000-0005-0000-0000-0000521D0000}"/>
    <cellStyle name="20 % - Markeringsfarve3 2 3 6 2 4 2" xfId="29217" xr:uid="{00000000-0005-0000-0000-0000531D0000}"/>
    <cellStyle name="20 % - Markeringsfarve3 2 3 6 2 4 3" xfId="44178" xr:uid="{00000000-0005-0000-0000-0000541D0000}"/>
    <cellStyle name="20 % - Markeringsfarve3 2 3 6 2 5" xfId="22215" xr:uid="{00000000-0005-0000-0000-0000551D0000}"/>
    <cellStyle name="20 % - Markeringsfarve3 2 3 6 2 6" xfId="37181" xr:uid="{00000000-0005-0000-0000-0000561D0000}"/>
    <cellStyle name="20 % - Markeringsfarve3 2 3 6 3" xfId="4455" xr:uid="{00000000-0005-0000-0000-0000571D0000}"/>
    <cellStyle name="20 % - Markeringsfarve3 2 3 6 3 2" xfId="9584" xr:uid="{00000000-0005-0000-0000-0000581D0000}"/>
    <cellStyle name="20 % - Markeringsfarve3 2 3 6 3 2 2" xfId="17447" xr:uid="{00000000-0005-0000-0000-0000591D0000}"/>
    <cellStyle name="20 % - Markeringsfarve3 2 3 6 3 2 2 2" xfId="33723" xr:uid="{00000000-0005-0000-0000-00005A1D0000}"/>
    <cellStyle name="20 % - Markeringsfarve3 2 3 6 3 2 2 3" xfId="48682" xr:uid="{00000000-0005-0000-0000-00005B1D0000}"/>
    <cellStyle name="20 % - Markeringsfarve3 2 3 6 3 2 3" xfId="26721" xr:uid="{00000000-0005-0000-0000-00005C1D0000}"/>
    <cellStyle name="20 % - Markeringsfarve3 2 3 6 3 2 4" xfId="41685" xr:uid="{00000000-0005-0000-0000-00005D1D0000}"/>
    <cellStyle name="20 % - Markeringsfarve3 2 3 6 3 3" xfId="12940" xr:uid="{00000000-0005-0000-0000-00005E1D0000}"/>
    <cellStyle name="20 % - Markeringsfarve3 2 3 6 3 3 2" xfId="29219" xr:uid="{00000000-0005-0000-0000-00005F1D0000}"/>
    <cellStyle name="20 % - Markeringsfarve3 2 3 6 3 3 3" xfId="44180" xr:uid="{00000000-0005-0000-0000-0000601D0000}"/>
    <cellStyle name="20 % - Markeringsfarve3 2 3 6 3 4" xfId="22217" xr:uid="{00000000-0005-0000-0000-0000611D0000}"/>
    <cellStyle name="20 % - Markeringsfarve3 2 3 6 3 5" xfId="37183" xr:uid="{00000000-0005-0000-0000-0000621D0000}"/>
    <cellStyle name="20 % - Markeringsfarve3 2 3 6 4" xfId="4456" xr:uid="{00000000-0005-0000-0000-0000631D0000}"/>
    <cellStyle name="20 % - Markeringsfarve3 2 3 6 4 2" xfId="9304" xr:uid="{00000000-0005-0000-0000-0000641D0000}"/>
    <cellStyle name="20 % - Markeringsfarve3 2 3 6 4 2 2" xfId="17167" xr:uid="{00000000-0005-0000-0000-0000651D0000}"/>
    <cellStyle name="20 % - Markeringsfarve3 2 3 6 4 2 2 2" xfId="33443" xr:uid="{00000000-0005-0000-0000-0000661D0000}"/>
    <cellStyle name="20 % - Markeringsfarve3 2 3 6 4 2 2 3" xfId="48402" xr:uid="{00000000-0005-0000-0000-0000671D0000}"/>
    <cellStyle name="20 % - Markeringsfarve3 2 3 6 4 2 3" xfId="26441" xr:uid="{00000000-0005-0000-0000-0000681D0000}"/>
    <cellStyle name="20 % - Markeringsfarve3 2 3 6 4 2 4" xfId="41405" xr:uid="{00000000-0005-0000-0000-0000691D0000}"/>
    <cellStyle name="20 % - Markeringsfarve3 2 3 6 4 3" xfId="12941" xr:uid="{00000000-0005-0000-0000-00006A1D0000}"/>
    <cellStyle name="20 % - Markeringsfarve3 2 3 6 4 3 2" xfId="29220" xr:uid="{00000000-0005-0000-0000-00006B1D0000}"/>
    <cellStyle name="20 % - Markeringsfarve3 2 3 6 4 3 3" xfId="44181" xr:uid="{00000000-0005-0000-0000-00006C1D0000}"/>
    <cellStyle name="20 % - Markeringsfarve3 2 3 6 4 4" xfId="22218" xr:uid="{00000000-0005-0000-0000-00006D1D0000}"/>
    <cellStyle name="20 % - Markeringsfarve3 2 3 6 4 5" xfId="37184" xr:uid="{00000000-0005-0000-0000-00006E1D0000}"/>
    <cellStyle name="20 % - Markeringsfarve3 2 3 6 5" xfId="7748" xr:uid="{00000000-0005-0000-0000-00006F1D0000}"/>
    <cellStyle name="20 % - Markeringsfarve3 2 3 6 5 2" xfId="15613" xr:uid="{00000000-0005-0000-0000-0000701D0000}"/>
    <cellStyle name="20 % - Markeringsfarve3 2 3 6 5 2 2" xfId="31889" xr:uid="{00000000-0005-0000-0000-0000711D0000}"/>
    <cellStyle name="20 % - Markeringsfarve3 2 3 6 5 2 3" xfId="46848" xr:uid="{00000000-0005-0000-0000-0000721D0000}"/>
    <cellStyle name="20 % - Markeringsfarve3 2 3 6 5 3" xfId="24887" xr:uid="{00000000-0005-0000-0000-0000731D0000}"/>
    <cellStyle name="20 % - Markeringsfarve3 2 3 6 5 4" xfId="39851" xr:uid="{00000000-0005-0000-0000-0000741D0000}"/>
    <cellStyle name="20 % - Markeringsfarve3 2 3 6 6" xfId="12937" xr:uid="{00000000-0005-0000-0000-0000751D0000}"/>
    <cellStyle name="20 % - Markeringsfarve3 2 3 6 6 2" xfId="29216" xr:uid="{00000000-0005-0000-0000-0000761D0000}"/>
    <cellStyle name="20 % - Markeringsfarve3 2 3 6 6 3" xfId="44177" xr:uid="{00000000-0005-0000-0000-0000771D0000}"/>
    <cellStyle name="20 % - Markeringsfarve3 2 3 6 7" xfId="22214" xr:uid="{00000000-0005-0000-0000-0000781D0000}"/>
    <cellStyle name="20 % - Markeringsfarve3 2 3 6 8" xfId="37180" xr:uid="{00000000-0005-0000-0000-0000791D0000}"/>
    <cellStyle name="20 % - Markeringsfarve3 2 3 7" xfId="4457" xr:uid="{00000000-0005-0000-0000-00007A1D0000}"/>
    <cellStyle name="20 % - Markeringsfarve3 2 3 7 2" xfId="4458" xr:uid="{00000000-0005-0000-0000-00007B1D0000}"/>
    <cellStyle name="20 % - Markeringsfarve3 2 3 7 2 2" xfId="9803" xr:uid="{00000000-0005-0000-0000-00007C1D0000}"/>
    <cellStyle name="20 % - Markeringsfarve3 2 3 7 2 2 2" xfId="17657" xr:uid="{00000000-0005-0000-0000-00007D1D0000}"/>
    <cellStyle name="20 % - Markeringsfarve3 2 3 7 2 2 2 2" xfId="33933" xr:uid="{00000000-0005-0000-0000-00007E1D0000}"/>
    <cellStyle name="20 % - Markeringsfarve3 2 3 7 2 2 2 3" xfId="48892" xr:uid="{00000000-0005-0000-0000-00007F1D0000}"/>
    <cellStyle name="20 % - Markeringsfarve3 2 3 7 2 2 3" xfId="26931" xr:uid="{00000000-0005-0000-0000-0000801D0000}"/>
    <cellStyle name="20 % - Markeringsfarve3 2 3 7 2 2 4" xfId="41895" xr:uid="{00000000-0005-0000-0000-0000811D0000}"/>
    <cellStyle name="20 % - Markeringsfarve3 2 3 7 2 3" xfId="12943" xr:uid="{00000000-0005-0000-0000-0000821D0000}"/>
    <cellStyle name="20 % - Markeringsfarve3 2 3 7 2 3 2" xfId="29222" xr:uid="{00000000-0005-0000-0000-0000831D0000}"/>
    <cellStyle name="20 % - Markeringsfarve3 2 3 7 2 3 3" xfId="44183" xr:uid="{00000000-0005-0000-0000-0000841D0000}"/>
    <cellStyle name="20 % - Markeringsfarve3 2 3 7 2 4" xfId="22220" xr:uid="{00000000-0005-0000-0000-0000851D0000}"/>
    <cellStyle name="20 % - Markeringsfarve3 2 3 7 2 5" xfId="37186" xr:uid="{00000000-0005-0000-0000-0000861D0000}"/>
    <cellStyle name="20 % - Markeringsfarve3 2 3 7 3" xfId="8389" xr:uid="{00000000-0005-0000-0000-0000871D0000}"/>
    <cellStyle name="20 % - Markeringsfarve3 2 3 7 3 2" xfId="16259" xr:uid="{00000000-0005-0000-0000-0000881D0000}"/>
    <cellStyle name="20 % - Markeringsfarve3 2 3 7 3 2 2" xfId="32535" xr:uid="{00000000-0005-0000-0000-0000891D0000}"/>
    <cellStyle name="20 % - Markeringsfarve3 2 3 7 3 2 3" xfId="47494" xr:uid="{00000000-0005-0000-0000-00008A1D0000}"/>
    <cellStyle name="20 % - Markeringsfarve3 2 3 7 3 3" xfId="25533" xr:uid="{00000000-0005-0000-0000-00008B1D0000}"/>
    <cellStyle name="20 % - Markeringsfarve3 2 3 7 3 4" xfId="40497" xr:uid="{00000000-0005-0000-0000-00008C1D0000}"/>
    <cellStyle name="20 % - Markeringsfarve3 2 3 7 4" xfId="12942" xr:uid="{00000000-0005-0000-0000-00008D1D0000}"/>
    <cellStyle name="20 % - Markeringsfarve3 2 3 7 4 2" xfId="29221" xr:uid="{00000000-0005-0000-0000-00008E1D0000}"/>
    <cellStyle name="20 % - Markeringsfarve3 2 3 7 4 3" xfId="44182" xr:uid="{00000000-0005-0000-0000-00008F1D0000}"/>
    <cellStyle name="20 % - Markeringsfarve3 2 3 7 5" xfId="22219" xr:uid="{00000000-0005-0000-0000-0000901D0000}"/>
    <cellStyle name="20 % - Markeringsfarve3 2 3 7 6" xfId="37185" xr:uid="{00000000-0005-0000-0000-0000911D0000}"/>
    <cellStyle name="20 % - Markeringsfarve3 2 3 8" xfId="4459" xr:uid="{00000000-0005-0000-0000-0000921D0000}"/>
    <cellStyle name="20 % - Markeringsfarve3 2 3 8 2" xfId="9031" xr:uid="{00000000-0005-0000-0000-0000931D0000}"/>
    <cellStyle name="20 % - Markeringsfarve3 2 3 8 2 2" xfId="16895" xr:uid="{00000000-0005-0000-0000-0000941D0000}"/>
    <cellStyle name="20 % - Markeringsfarve3 2 3 8 2 2 2" xfId="33171" xr:uid="{00000000-0005-0000-0000-0000951D0000}"/>
    <cellStyle name="20 % - Markeringsfarve3 2 3 8 2 2 3" xfId="48130" xr:uid="{00000000-0005-0000-0000-0000961D0000}"/>
    <cellStyle name="20 % - Markeringsfarve3 2 3 8 2 3" xfId="26169" xr:uid="{00000000-0005-0000-0000-0000971D0000}"/>
    <cellStyle name="20 % - Markeringsfarve3 2 3 8 2 4" xfId="41133" xr:uid="{00000000-0005-0000-0000-0000981D0000}"/>
    <cellStyle name="20 % - Markeringsfarve3 2 3 8 3" xfId="12944" xr:uid="{00000000-0005-0000-0000-0000991D0000}"/>
    <cellStyle name="20 % - Markeringsfarve3 2 3 8 3 2" xfId="29223" xr:uid="{00000000-0005-0000-0000-00009A1D0000}"/>
    <cellStyle name="20 % - Markeringsfarve3 2 3 8 3 3" xfId="44184" xr:uid="{00000000-0005-0000-0000-00009B1D0000}"/>
    <cellStyle name="20 % - Markeringsfarve3 2 3 8 4" xfId="22221" xr:uid="{00000000-0005-0000-0000-00009C1D0000}"/>
    <cellStyle name="20 % - Markeringsfarve3 2 3 8 5" xfId="37187" xr:uid="{00000000-0005-0000-0000-00009D1D0000}"/>
    <cellStyle name="20 % - Markeringsfarve3 2 3 9" xfId="4460" xr:uid="{00000000-0005-0000-0000-00009E1D0000}"/>
    <cellStyle name="20 % - Markeringsfarve3 2 3 9 2" xfId="9295" xr:uid="{00000000-0005-0000-0000-00009F1D0000}"/>
    <cellStyle name="20 % - Markeringsfarve3 2 3 9 2 2" xfId="17158" xr:uid="{00000000-0005-0000-0000-0000A01D0000}"/>
    <cellStyle name="20 % - Markeringsfarve3 2 3 9 2 2 2" xfId="33434" xr:uid="{00000000-0005-0000-0000-0000A11D0000}"/>
    <cellStyle name="20 % - Markeringsfarve3 2 3 9 2 2 3" xfId="48393" xr:uid="{00000000-0005-0000-0000-0000A21D0000}"/>
    <cellStyle name="20 % - Markeringsfarve3 2 3 9 2 3" xfId="26432" xr:uid="{00000000-0005-0000-0000-0000A31D0000}"/>
    <cellStyle name="20 % - Markeringsfarve3 2 3 9 2 4" xfId="41396" xr:uid="{00000000-0005-0000-0000-0000A41D0000}"/>
    <cellStyle name="20 % - Markeringsfarve3 2 3 9 3" xfId="12945" xr:uid="{00000000-0005-0000-0000-0000A51D0000}"/>
    <cellStyle name="20 % - Markeringsfarve3 2 3 9 3 2" xfId="29224" xr:uid="{00000000-0005-0000-0000-0000A61D0000}"/>
    <cellStyle name="20 % - Markeringsfarve3 2 3 9 3 3" xfId="44185" xr:uid="{00000000-0005-0000-0000-0000A71D0000}"/>
    <cellStyle name="20 % - Markeringsfarve3 2 3 9 4" xfId="22222" xr:uid="{00000000-0005-0000-0000-0000A81D0000}"/>
    <cellStyle name="20 % - Markeringsfarve3 2 3 9 5" xfId="37188" xr:uid="{00000000-0005-0000-0000-0000A91D0000}"/>
    <cellStyle name="20 % - Markeringsfarve3 2 4" xfId="4461" xr:uid="{00000000-0005-0000-0000-0000AA1D0000}"/>
    <cellStyle name="20 % - Markeringsfarve3 2 4 2" xfId="4462" xr:uid="{00000000-0005-0000-0000-0000AB1D0000}"/>
    <cellStyle name="20 % - Markeringsfarve3 2 4 2 2" xfId="4463" xr:uid="{00000000-0005-0000-0000-0000AC1D0000}"/>
    <cellStyle name="20 % - Markeringsfarve3 2 4 2 2 2" xfId="9843" xr:uid="{00000000-0005-0000-0000-0000AD1D0000}"/>
    <cellStyle name="20 % - Markeringsfarve3 2 4 2 2 2 2" xfId="17698" xr:uid="{00000000-0005-0000-0000-0000AE1D0000}"/>
    <cellStyle name="20 % - Markeringsfarve3 2 4 2 2 2 2 2" xfId="33974" xr:uid="{00000000-0005-0000-0000-0000AF1D0000}"/>
    <cellStyle name="20 % - Markeringsfarve3 2 4 2 2 2 2 3" xfId="48933" xr:uid="{00000000-0005-0000-0000-0000B01D0000}"/>
    <cellStyle name="20 % - Markeringsfarve3 2 4 2 2 2 3" xfId="26972" xr:uid="{00000000-0005-0000-0000-0000B11D0000}"/>
    <cellStyle name="20 % - Markeringsfarve3 2 4 2 2 2 4" xfId="41936" xr:uid="{00000000-0005-0000-0000-0000B21D0000}"/>
    <cellStyle name="20 % - Markeringsfarve3 2 4 2 2 3" xfId="12948" xr:uid="{00000000-0005-0000-0000-0000B31D0000}"/>
    <cellStyle name="20 % - Markeringsfarve3 2 4 2 2 3 2" xfId="29227" xr:uid="{00000000-0005-0000-0000-0000B41D0000}"/>
    <cellStyle name="20 % - Markeringsfarve3 2 4 2 2 3 3" xfId="44188" xr:uid="{00000000-0005-0000-0000-0000B51D0000}"/>
    <cellStyle name="20 % - Markeringsfarve3 2 4 2 2 4" xfId="22225" xr:uid="{00000000-0005-0000-0000-0000B61D0000}"/>
    <cellStyle name="20 % - Markeringsfarve3 2 4 2 2 5" xfId="37191" xr:uid="{00000000-0005-0000-0000-0000B71D0000}"/>
    <cellStyle name="20 % - Markeringsfarve3 2 4 2 3" xfId="8422" xr:uid="{00000000-0005-0000-0000-0000B81D0000}"/>
    <cellStyle name="20 % - Markeringsfarve3 2 4 2 3 2" xfId="16292" xr:uid="{00000000-0005-0000-0000-0000B91D0000}"/>
    <cellStyle name="20 % - Markeringsfarve3 2 4 2 3 2 2" xfId="32568" xr:uid="{00000000-0005-0000-0000-0000BA1D0000}"/>
    <cellStyle name="20 % - Markeringsfarve3 2 4 2 3 2 3" xfId="47527" xr:uid="{00000000-0005-0000-0000-0000BB1D0000}"/>
    <cellStyle name="20 % - Markeringsfarve3 2 4 2 3 3" xfId="25566" xr:uid="{00000000-0005-0000-0000-0000BC1D0000}"/>
    <cellStyle name="20 % - Markeringsfarve3 2 4 2 3 4" xfId="40530" xr:uid="{00000000-0005-0000-0000-0000BD1D0000}"/>
    <cellStyle name="20 % - Markeringsfarve3 2 4 2 4" xfId="12947" xr:uid="{00000000-0005-0000-0000-0000BE1D0000}"/>
    <cellStyle name="20 % - Markeringsfarve3 2 4 2 4 2" xfId="29226" xr:uid="{00000000-0005-0000-0000-0000BF1D0000}"/>
    <cellStyle name="20 % - Markeringsfarve3 2 4 2 4 3" xfId="44187" xr:uid="{00000000-0005-0000-0000-0000C01D0000}"/>
    <cellStyle name="20 % - Markeringsfarve3 2 4 2 5" xfId="22224" xr:uid="{00000000-0005-0000-0000-0000C11D0000}"/>
    <cellStyle name="20 % - Markeringsfarve3 2 4 2 6" xfId="37190" xr:uid="{00000000-0005-0000-0000-0000C21D0000}"/>
    <cellStyle name="20 % - Markeringsfarve3 2 4 3" xfId="4464" xr:uid="{00000000-0005-0000-0000-0000C31D0000}"/>
    <cellStyle name="20 % - Markeringsfarve3 2 4 3 2" xfId="9074" xr:uid="{00000000-0005-0000-0000-0000C41D0000}"/>
    <cellStyle name="20 % - Markeringsfarve3 2 4 3 2 2" xfId="16938" xr:uid="{00000000-0005-0000-0000-0000C51D0000}"/>
    <cellStyle name="20 % - Markeringsfarve3 2 4 3 2 2 2" xfId="33214" xr:uid="{00000000-0005-0000-0000-0000C61D0000}"/>
    <cellStyle name="20 % - Markeringsfarve3 2 4 3 2 2 3" xfId="48173" xr:uid="{00000000-0005-0000-0000-0000C71D0000}"/>
    <cellStyle name="20 % - Markeringsfarve3 2 4 3 2 3" xfId="26212" xr:uid="{00000000-0005-0000-0000-0000C81D0000}"/>
    <cellStyle name="20 % - Markeringsfarve3 2 4 3 2 4" xfId="41176" xr:uid="{00000000-0005-0000-0000-0000C91D0000}"/>
    <cellStyle name="20 % - Markeringsfarve3 2 4 3 3" xfId="12949" xr:uid="{00000000-0005-0000-0000-0000CA1D0000}"/>
    <cellStyle name="20 % - Markeringsfarve3 2 4 3 3 2" xfId="29228" xr:uid="{00000000-0005-0000-0000-0000CB1D0000}"/>
    <cellStyle name="20 % - Markeringsfarve3 2 4 3 3 3" xfId="44189" xr:uid="{00000000-0005-0000-0000-0000CC1D0000}"/>
    <cellStyle name="20 % - Markeringsfarve3 2 4 3 4" xfId="22226" xr:uid="{00000000-0005-0000-0000-0000CD1D0000}"/>
    <cellStyle name="20 % - Markeringsfarve3 2 4 3 5" xfId="37192" xr:uid="{00000000-0005-0000-0000-0000CE1D0000}"/>
    <cellStyle name="20 % - Markeringsfarve3 2 4 4" xfId="4465" xr:uid="{00000000-0005-0000-0000-0000CF1D0000}"/>
    <cellStyle name="20 % - Markeringsfarve3 2 4 4 2" xfId="10521" xr:uid="{00000000-0005-0000-0000-0000D01D0000}"/>
    <cellStyle name="20 % - Markeringsfarve3 2 4 4 2 2" xfId="18370" xr:uid="{00000000-0005-0000-0000-0000D11D0000}"/>
    <cellStyle name="20 % - Markeringsfarve3 2 4 4 2 2 2" xfId="34646" xr:uid="{00000000-0005-0000-0000-0000D21D0000}"/>
    <cellStyle name="20 % - Markeringsfarve3 2 4 4 2 2 3" xfId="49605" xr:uid="{00000000-0005-0000-0000-0000D31D0000}"/>
    <cellStyle name="20 % - Markeringsfarve3 2 4 4 2 3" xfId="27644" xr:uid="{00000000-0005-0000-0000-0000D41D0000}"/>
    <cellStyle name="20 % - Markeringsfarve3 2 4 4 2 4" xfId="42608" xr:uid="{00000000-0005-0000-0000-0000D51D0000}"/>
    <cellStyle name="20 % - Markeringsfarve3 2 4 4 3" xfId="12950" xr:uid="{00000000-0005-0000-0000-0000D61D0000}"/>
    <cellStyle name="20 % - Markeringsfarve3 2 4 4 3 2" xfId="29229" xr:uid="{00000000-0005-0000-0000-0000D71D0000}"/>
    <cellStyle name="20 % - Markeringsfarve3 2 4 4 3 3" xfId="44190" xr:uid="{00000000-0005-0000-0000-0000D81D0000}"/>
    <cellStyle name="20 % - Markeringsfarve3 2 4 4 4" xfId="22227" xr:uid="{00000000-0005-0000-0000-0000D91D0000}"/>
    <cellStyle name="20 % - Markeringsfarve3 2 4 4 5" xfId="37193" xr:uid="{00000000-0005-0000-0000-0000DA1D0000}"/>
    <cellStyle name="20 % - Markeringsfarve3 2 4 5" xfId="7749" xr:uid="{00000000-0005-0000-0000-0000DB1D0000}"/>
    <cellStyle name="20 % - Markeringsfarve3 2 4 5 2" xfId="15614" xr:uid="{00000000-0005-0000-0000-0000DC1D0000}"/>
    <cellStyle name="20 % - Markeringsfarve3 2 4 5 2 2" xfId="31890" xr:uid="{00000000-0005-0000-0000-0000DD1D0000}"/>
    <cellStyle name="20 % - Markeringsfarve3 2 4 5 2 3" xfId="46849" xr:uid="{00000000-0005-0000-0000-0000DE1D0000}"/>
    <cellStyle name="20 % - Markeringsfarve3 2 4 5 3" xfId="24888" xr:uid="{00000000-0005-0000-0000-0000DF1D0000}"/>
    <cellStyle name="20 % - Markeringsfarve3 2 4 5 4" xfId="39852" xr:uid="{00000000-0005-0000-0000-0000E01D0000}"/>
    <cellStyle name="20 % - Markeringsfarve3 2 4 6" xfId="12946" xr:uid="{00000000-0005-0000-0000-0000E11D0000}"/>
    <cellStyle name="20 % - Markeringsfarve3 2 4 6 2" xfId="29225" xr:uid="{00000000-0005-0000-0000-0000E21D0000}"/>
    <cellStyle name="20 % - Markeringsfarve3 2 4 6 3" xfId="44186" xr:uid="{00000000-0005-0000-0000-0000E31D0000}"/>
    <cellStyle name="20 % - Markeringsfarve3 2 4 7" xfId="22223" xr:uid="{00000000-0005-0000-0000-0000E41D0000}"/>
    <cellStyle name="20 % - Markeringsfarve3 2 4 8" xfId="37189" xr:uid="{00000000-0005-0000-0000-0000E51D0000}"/>
    <cellStyle name="20 % - Markeringsfarve3 2 5" xfId="4466" xr:uid="{00000000-0005-0000-0000-0000E61D0000}"/>
    <cellStyle name="20 % - Markeringsfarve3 2 5 2" xfId="4467" xr:uid="{00000000-0005-0000-0000-0000E71D0000}"/>
    <cellStyle name="20 % - Markeringsfarve3 2 5 2 2" xfId="4468" xr:uid="{00000000-0005-0000-0000-0000E81D0000}"/>
    <cellStyle name="20 % - Markeringsfarve3 2 5 2 2 2" xfId="9949" xr:uid="{00000000-0005-0000-0000-0000E91D0000}"/>
    <cellStyle name="20 % - Markeringsfarve3 2 5 2 2 2 2" xfId="17804" xr:uid="{00000000-0005-0000-0000-0000EA1D0000}"/>
    <cellStyle name="20 % - Markeringsfarve3 2 5 2 2 2 2 2" xfId="34080" xr:uid="{00000000-0005-0000-0000-0000EB1D0000}"/>
    <cellStyle name="20 % - Markeringsfarve3 2 5 2 2 2 2 3" xfId="49039" xr:uid="{00000000-0005-0000-0000-0000EC1D0000}"/>
    <cellStyle name="20 % - Markeringsfarve3 2 5 2 2 2 3" xfId="27078" xr:uid="{00000000-0005-0000-0000-0000ED1D0000}"/>
    <cellStyle name="20 % - Markeringsfarve3 2 5 2 2 2 4" xfId="42042" xr:uid="{00000000-0005-0000-0000-0000EE1D0000}"/>
    <cellStyle name="20 % - Markeringsfarve3 2 5 2 2 3" xfId="12953" xr:uid="{00000000-0005-0000-0000-0000EF1D0000}"/>
    <cellStyle name="20 % - Markeringsfarve3 2 5 2 2 3 2" xfId="29232" xr:uid="{00000000-0005-0000-0000-0000F01D0000}"/>
    <cellStyle name="20 % - Markeringsfarve3 2 5 2 2 3 3" xfId="44193" xr:uid="{00000000-0005-0000-0000-0000F11D0000}"/>
    <cellStyle name="20 % - Markeringsfarve3 2 5 2 2 4" xfId="22230" xr:uid="{00000000-0005-0000-0000-0000F21D0000}"/>
    <cellStyle name="20 % - Markeringsfarve3 2 5 2 2 5" xfId="37196" xr:uid="{00000000-0005-0000-0000-0000F31D0000}"/>
    <cellStyle name="20 % - Markeringsfarve3 2 5 2 3" xfId="8514" xr:uid="{00000000-0005-0000-0000-0000F41D0000}"/>
    <cellStyle name="20 % - Markeringsfarve3 2 5 2 3 2" xfId="16384" xr:uid="{00000000-0005-0000-0000-0000F51D0000}"/>
    <cellStyle name="20 % - Markeringsfarve3 2 5 2 3 2 2" xfId="32660" xr:uid="{00000000-0005-0000-0000-0000F61D0000}"/>
    <cellStyle name="20 % - Markeringsfarve3 2 5 2 3 2 3" xfId="47619" xr:uid="{00000000-0005-0000-0000-0000F71D0000}"/>
    <cellStyle name="20 % - Markeringsfarve3 2 5 2 3 3" xfId="25658" xr:uid="{00000000-0005-0000-0000-0000F81D0000}"/>
    <cellStyle name="20 % - Markeringsfarve3 2 5 2 3 4" xfId="40622" xr:uid="{00000000-0005-0000-0000-0000F91D0000}"/>
    <cellStyle name="20 % - Markeringsfarve3 2 5 2 4" xfId="12952" xr:uid="{00000000-0005-0000-0000-0000FA1D0000}"/>
    <cellStyle name="20 % - Markeringsfarve3 2 5 2 4 2" xfId="29231" xr:uid="{00000000-0005-0000-0000-0000FB1D0000}"/>
    <cellStyle name="20 % - Markeringsfarve3 2 5 2 4 3" xfId="44192" xr:uid="{00000000-0005-0000-0000-0000FC1D0000}"/>
    <cellStyle name="20 % - Markeringsfarve3 2 5 2 5" xfId="22229" xr:uid="{00000000-0005-0000-0000-0000FD1D0000}"/>
    <cellStyle name="20 % - Markeringsfarve3 2 5 2 6" xfId="37195" xr:uid="{00000000-0005-0000-0000-0000FE1D0000}"/>
    <cellStyle name="20 % - Markeringsfarve3 2 5 3" xfId="4469" xr:uid="{00000000-0005-0000-0000-0000FF1D0000}"/>
    <cellStyle name="20 % - Markeringsfarve3 2 5 3 2" xfId="9180" xr:uid="{00000000-0005-0000-0000-0000001E0000}"/>
    <cellStyle name="20 % - Markeringsfarve3 2 5 3 2 2" xfId="17044" xr:uid="{00000000-0005-0000-0000-0000011E0000}"/>
    <cellStyle name="20 % - Markeringsfarve3 2 5 3 2 2 2" xfId="33320" xr:uid="{00000000-0005-0000-0000-0000021E0000}"/>
    <cellStyle name="20 % - Markeringsfarve3 2 5 3 2 2 3" xfId="48279" xr:uid="{00000000-0005-0000-0000-0000031E0000}"/>
    <cellStyle name="20 % - Markeringsfarve3 2 5 3 2 3" xfId="26318" xr:uid="{00000000-0005-0000-0000-0000041E0000}"/>
    <cellStyle name="20 % - Markeringsfarve3 2 5 3 2 4" xfId="41282" xr:uid="{00000000-0005-0000-0000-0000051E0000}"/>
    <cellStyle name="20 % - Markeringsfarve3 2 5 3 3" xfId="12954" xr:uid="{00000000-0005-0000-0000-0000061E0000}"/>
    <cellStyle name="20 % - Markeringsfarve3 2 5 3 3 2" xfId="29233" xr:uid="{00000000-0005-0000-0000-0000071E0000}"/>
    <cellStyle name="20 % - Markeringsfarve3 2 5 3 3 3" xfId="44194" xr:uid="{00000000-0005-0000-0000-0000081E0000}"/>
    <cellStyle name="20 % - Markeringsfarve3 2 5 3 4" xfId="22231" xr:uid="{00000000-0005-0000-0000-0000091E0000}"/>
    <cellStyle name="20 % - Markeringsfarve3 2 5 3 5" xfId="37197" xr:uid="{00000000-0005-0000-0000-00000A1E0000}"/>
    <cellStyle name="20 % - Markeringsfarve3 2 5 4" xfId="4470" xr:uid="{00000000-0005-0000-0000-00000B1E0000}"/>
    <cellStyle name="20 % - Markeringsfarve3 2 5 4 2" xfId="9161" xr:uid="{00000000-0005-0000-0000-00000C1E0000}"/>
    <cellStyle name="20 % - Markeringsfarve3 2 5 4 2 2" xfId="17025" xr:uid="{00000000-0005-0000-0000-00000D1E0000}"/>
    <cellStyle name="20 % - Markeringsfarve3 2 5 4 2 2 2" xfId="33301" xr:uid="{00000000-0005-0000-0000-00000E1E0000}"/>
    <cellStyle name="20 % - Markeringsfarve3 2 5 4 2 2 3" xfId="48260" xr:uid="{00000000-0005-0000-0000-00000F1E0000}"/>
    <cellStyle name="20 % - Markeringsfarve3 2 5 4 2 3" xfId="26299" xr:uid="{00000000-0005-0000-0000-0000101E0000}"/>
    <cellStyle name="20 % - Markeringsfarve3 2 5 4 2 4" xfId="41263" xr:uid="{00000000-0005-0000-0000-0000111E0000}"/>
    <cellStyle name="20 % - Markeringsfarve3 2 5 4 3" xfId="12955" xr:uid="{00000000-0005-0000-0000-0000121E0000}"/>
    <cellStyle name="20 % - Markeringsfarve3 2 5 4 3 2" xfId="29234" xr:uid="{00000000-0005-0000-0000-0000131E0000}"/>
    <cellStyle name="20 % - Markeringsfarve3 2 5 4 3 3" xfId="44195" xr:uid="{00000000-0005-0000-0000-0000141E0000}"/>
    <cellStyle name="20 % - Markeringsfarve3 2 5 4 4" xfId="22232" xr:uid="{00000000-0005-0000-0000-0000151E0000}"/>
    <cellStyle name="20 % - Markeringsfarve3 2 5 4 5" xfId="37198" xr:uid="{00000000-0005-0000-0000-0000161E0000}"/>
    <cellStyle name="20 % - Markeringsfarve3 2 5 5" xfId="7750" xr:uid="{00000000-0005-0000-0000-0000171E0000}"/>
    <cellStyle name="20 % - Markeringsfarve3 2 5 5 2" xfId="15615" xr:uid="{00000000-0005-0000-0000-0000181E0000}"/>
    <cellStyle name="20 % - Markeringsfarve3 2 5 5 2 2" xfId="31891" xr:uid="{00000000-0005-0000-0000-0000191E0000}"/>
    <cellStyle name="20 % - Markeringsfarve3 2 5 5 2 3" xfId="46850" xr:uid="{00000000-0005-0000-0000-00001A1E0000}"/>
    <cellStyle name="20 % - Markeringsfarve3 2 5 5 3" xfId="24889" xr:uid="{00000000-0005-0000-0000-00001B1E0000}"/>
    <cellStyle name="20 % - Markeringsfarve3 2 5 5 4" xfId="39853" xr:uid="{00000000-0005-0000-0000-00001C1E0000}"/>
    <cellStyle name="20 % - Markeringsfarve3 2 5 6" xfId="12951" xr:uid="{00000000-0005-0000-0000-00001D1E0000}"/>
    <cellStyle name="20 % - Markeringsfarve3 2 5 6 2" xfId="29230" xr:uid="{00000000-0005-0000-0000-00001E1E0000}"/>
    <cellStyle name="20 % - Markeringsfarve3 2 5 6 3" xfId="44191" xr:uid="{00000000-0005-0000-0000-00001F1E0000}"/>
    <cellStyle name="20 % - Markeringsfarve3 2 5 7" xfId="22228" xr:uid="{00000000-0005-0000-0000-0000201E0000}"/>
    <cellStyle name="20 % - Markeringsfarve3 2 5 8" xfId="37194" xr:uid="{00000000-0005-0000-0000-0000211E0000}"/>
    <cellStyle name="20 % - Markeringsfarve3 2 6" xfId="4471" xr:uid="{00000000-0005-0000-0000-0000221E0000}"/>
    <cellStyle name="20 % - Markeringsfarve3 2 6 2" xfId="4472" xr:uid="{00000000-0005-0000-0000-0000231E0000}"/>
    <cellStyle name="20 % - Markeringsfarve3 2 6 2 2" xfId="4473" xr:uid="{00000000-0005-0000-0000-0000241E0000}"/>
    <cellStyle name="20 % - Markeringsfarve3 2 6 2 2 2" xfId="10081" xr:uid="{00000000-0005-0000-0000-0000251E0000}"/>
    <cellStyle name="20 % - Markeringsfarve3 2 6 2 2 2 2" xfId="17936" xr:uid="{00000000-0005-0000-0000-0000261E0000}"/>
    <cellStyle name="20 % - Markeringsfarve3 2 6 2 2 2 2 2" xfId="34212" xr:uid="{00000000-0005-0000-0000-0000271E0000}"/>
    <cellStyle name="20 % - Markeringsfarve3 2 6 2 2 2 2 3" xfId="49171" xr:uid="{00000000-0005-0000-0000-0000281E0000}"/>
    <cellStyle name="20 % - Markeringsfarve3 2 6 2 2 2 3" xfId="27210" xr:uid="{00000000-0005-0000-0000-0000291E0000}"/>
    <cellStyle name="20 % - Markeringsfarve3 2 6 2 2 2 4" xfId="42174" xr:uid="{00000000-0005-0000-0000-00002A1E0000}"/>
    <cellStyle name="20 % - Markeringsfarve3 2 6 2 2 3" xfId="12958" xr:uid="{00000000-0005-0000-0000-00002B1E0000}"/>
    <cellStyle name="20 % - Markeringsfarve3 2 6 2 2 3 2" xfId="29237" xr:uid="{00000000-0005-0000-0000-00002C1E0000}"/>
    <cellStyle name="20 % - Markeringsfarve3 2 6 2 2 3 3" xfId="44198" xr:uid="{00000000-0005-0000-0000-00002D1E0000}"/>
    <cellStyle name="20 % - Markeringsfarve3 2 6 2 2 4" xfId="22235" xr:uid="{00000000-0005-0000-0000-00002E1E0000}"/>
    <cellStyle name="20 % - Markeringsfarve3 2 6 2 2 5" xfId="37201" xr:uid="{00000000-0005-0000-0000-00002F1E0000}"/>
    <cellStyle name="20 % - Markeringsfarve3 2 6 2 3" xfId="8624" xr:uid="{00000000-0005-0000-0000-0000301E0000}"/>
    <cellStyle name="20 % - Markeringsfarve3 2 6 2 3 2" xfId="16491" xr:uid="{00000000-0005-0000-0000-0000311E0000}"/>
    <cellStyle name="20 % - Markeringsfarve3 2 6 2 3 2 2" xfId="32767" xr:uid="{00000000-0005-0000-0000-0000321E0000}"/>
    <cellStyle name="20 % - Markeringsfarve3 2 6 2 3 2 3" xfId="47726" xr:uid="{00000000-0005-0000-0000-0000331E0000}"/>
    <cellStyle name="20 % - Markeringsfarve3 2 6 2 3 3" xfId="25765" xr:uid="{00000000-0005-0000-0000-0000341E0000}"/>
    <cellStyle name="20 % - Markeringsfarve3 2 6 2 3 4" xfId="40729" xr:uid="{00000000-0005-0000-0000-0000351E0000}"/>
    <cellStyle name="20 % - Markeringsfarve3 2 6 2 4" xfId="12957" xr:uid="{00000000-0005-0000-0000-0000361E0000}"/>
    <cellStyle name="20 % - Markeringsfarve3 2 6 2 4 2" xfId="29236" xr:uid="{00000000-0005-0000-0000-0000371E0000}"/>
    <cellStyle name="20 % - Markeringsfarve3 2 6 2 4 3" xfId="44197" xr:uid="{00000000-0005-0000-0000-0000381E0000}"/>
    <cellStyle name="20 % - Markeringsfarve3 2 6 2 5" xfId="22234" xr:uid="{00000000-0005-0000-0000-0000391E0000}"/>
    <cellStyle name="20 % - Markeringsfarve3 2 6 2 6" xfId="37200" xr:uid="{00000000-0005-0000-0000-00003A1E0000}"/>
    <cellStyle name="20 % - Markeringsfarve3 2 6 3" xfId="4474" xr:uid="{00000000-0005-0000-0000-00003B1E0000}"/>
    <cellStyle name="20 % - Markeringsfarve3 2 6 3 2" xfId="9358" xr:uid="{00000000-0005-0000-0000-00003C1E0000}"/>
    <cellStyle name="20 % - Markeringsfarve3 2 6 3 2 2" xfId="17221" xr:uid="{00000000-0005-0000-0000-00003D1E0000}"/>
    <cellStyle name="20 % - Markeringsfarve3 2 6 3 2 2 2" xfId="33497" xr:uid="{00000000-0005-0000-0000-00003E1E0000}"/>
    <cellStyle name="20 % - Markeringsfarve3 2 6 3 2 2 3" xfId="48456" xr:uid="{00000000-0005-0000-0000-00003F1E0000}"/>
    <cellStyle name="20 % - Markeringsfarve3 2 6 3 2 3" xfId="26495" xr:uid="{00000000-0005-0000-0000-0000401E0000}"/>
    <cellStyle name="20 % - Markeringsfarve3 2 6 3 2 4" xfId="41459" xr:uid="{00000000-0005-0000-0000-0000411E0000}"/>
    <cellStyle name="20 % - Markeringsfarve3 2 6 3 3" xfId="12959" xr:uid="{00000000-0005-0000-0000-0000421E0000}"/>
    <cellStyle name="20 % - Markeringsfarve3 2 6 3 3 2" xfId="29238" xr:uid="{00000000-0005-0000-0000-0000431E0000}"/>
    <cellStyle name="20 % - Markeringsfarve3 2 6 3 3 3" xfId="44199" xr:uid="{00000000-0005-0000-0000-0000441E0000}"/>
    <cellStyle name="20 % - Markeringsfarve3 2 6 3 4" xfId="22236" xr:uid="{00000000-0005-0000-0000-0000451E0000}"/>
    <cellStyle name="20 % - Markeringsfarve3 2 6 3 5" xfId="37202" xr:uid="{00000000-0005-0000-0000-0000461E0000}"/>
    <cellStyle name="20 % - Markeringsfarve3 2 6 4" xfId="4475" xr:uid="{00000000-0005-0000-0000-0000471E0000}"/>
    <cellStyle name="20 % - Markeringsfarve3 2 6 4 2" xfId="9562" xr:uid="{00000000-0005-0000-0000-0000481E0000}"/>
    <cellStyle name="20 % - Markeringsfarve3 2 6 4 2 2" xfId="17425" xr:uid="{00000000-0005-0000-0000-0000491E0000}"/>
    <cellStyle name="20 % - Markeringsfarve3 2 6 4 2 2 2" xfId="33701" xr:uid="{00000000-0005-0000-0000-00004A1E0000}"/>
    <cellStyle name="20 % - Markeringsfarve3 2 6 4 2 2 3" xfId="48660" xr:uid="{00000000-0005-0000-0000-00004B1E0000}"/>
    <cellStyle name="20 % - Markeringsfarve3 2 6 4 2 3" xfId="26699" xr:uid="{00000000-0005-0000-0000-00004C1E0000}"/>
    <cellStyle name="20 % - Markeringsfarve3 2 6 4 2 4" xfId="41663" xr:uid="{00000000-0005-0000-0000-00004D1E0000}"/>
    <cellStyle name="20 % - Markeringsfarve3 2 6 4 3" xfId="12960" xr:uid="{00000000-0005-0000-0000-00004E1E0000}"/>
    <cellStyle name="20 % - Markeringsfarve3 2 6 4 3 2" xfId="29239" xr:uid="{00000000-0005-0000-0000-00004F1E0000}"/>
    <cellStyle name="20 % - Markeringsfarve3 2 6 4 3 3" xfId="44200" xr:uid="{00000000-0005-0000-0000-0000501E0000}"/>
    <cellStyle name="20 % - Markeringsfarve3 2 6 4 4" xfId="22237" xr:uid="{00000000-0005-0000-0000-0000511E0000}"/>
    <cellStyle name="20 % - Markeringsfarve3 2 6 4 5" xfId="37203" xr:uid="{00000000-0005-0000-0000-0000521E0000}"/>
    <cellStyle name="20 % - Markeringsfarve3 2 6 5" xfId="7751" xr:uid="{00000000-0005-0000-0000-0000531E0000}"/>
    <cellStyle name="20 % - Markeringsfarve3 2 6 5 2" xfId="15616" xr:uid="{00000000-0005-0000-0000-0000541E0000}"/>
    <cellStyle name="20 % - Markeringsfarve3 2 6 5 2 2" xfId="31892" xr:uid="{00000000-0005-0000-0000-0000551E0000}"/>
    <cellStyle name="20 % - Markeringsfarve3 2 6 5 2 3" xfId="46851" xr:uid="{00000000-0005-0000-0000-0000561E0000}"/>
    <cellStyle name="20 % - Markeringsfarve3 2 6 5 3" xfId="24890" xr:uid="{00000000-0005-0000-0000-0000571E0000}"/>
    <cellStyle name="20 % - Markeringsfarve3 2 6 5 4" xfId="39854" xr:uid="{00000000-0005-0000-0000-0000581E0000}"/>
    <cellStyle name="20 % - Markeringsfarve3 2 6 6" xfId="12956" xr:uid="{00000000-0005-0000-0000-0000591E0000}"/>
    <cellStyle name="20 % - Markeringsfarve3 2 6 6 2" xfId="29235" xr:uid="{00000000-0005-0000-0000-00005A1E0000}"/>
    <cellStyle name="20 % - Markeringsfarve3 2 6 6 3" xfId="44196" xr:uid="{00000000-0005-0000-0000-00005B1E0000}"/>
    <cellStyle name="20 % - Markeringsfarve3 2 6 7" xfId="22233" xr:uid="{00000000-0005-0000-0000-00005C1E0000}"/>
    <cellStyle name="20 % - Markeringsfarve3 2 6 8" xfId="37199" xr:uid="{00000000-0005-0000-0000-00005D1E0000}"/>
    <cellStyle name="20 % - Markeringsfarve3 2 7" xfId="4476" xr:uid="{00000000-0005-0000-0000-00005E1E0000}"/>
    <cellStyle name="20 % - Markeringsfarve3 2 7 2" xfId="4477" xr:uid="{00000000-0005-0000-0000-00005F1E0000}"/>
    <cellStyle name="20 % - Markeringsfarve3 2 7 2 2" xfId="4478" xr:uid="{00000000-0005-0000-0000-0000601E0000}"/>
    <cellStyle name="20 % - Markeringsfarve3 2 7 2 2 2" xfId="10198" xr:uid="{00000000-0005-0000-0000-0000611E0000}"/>
    <cellStyle name="20 % - Markeringsfarve3 2 7 2 2 2 2" xfId="18053" xr:uid="{00000000-0005-0000-0000-0000621E0000}"/>
    <cellStyle name="20 % - Markeringsfarve3 2 7 2 2 2 2 2" xfId="34329" xr:uid="{00000000-0005-0000-0000-0000631E0000}"/>
    <cellStyle name="20 % - Markeringsfarve3 2 7 2 2 2 2 3" xfId="49288" xr:uid="{00000000-0005-0000-0000-0000641E0000}"/>
    <cellStyle name="20 % - Markeringsfarve3 2 7 2 2 2 3" xfId="27327" xr:uid="{00000000-0005-0000-0000-0000651E0000}"/>
    <cellStyle name="20 % - Markeringsfarve3 2 7 2 2 2 4" xfId="42291" xr:uid="{00000000-0005-0000-0000-0000661E0000}"/>
    <cellStyle name="20 % - Markeringsfarve3 2 7 2 2 3" xfId="12963" xr:uid="{00000000-0005-0000-0000-0000671E0000}"/>
    <cellStyle name="20 % - Markeringsfarve3 2 7 2 2 3 2" xfId="29242" xr:uid="{00000000-0005-0000-0000-0000681E0000}"/>
    <cellStyle name="20 % - Markeringsfarve3 2 7 2 2 3 3" xfId="44203" xr:uid="{00000000-0005-0000-0000-0000691E0000}"/>
    <cellStyle name="20 % - Markeringsfarve3 2 7 2 2 4" xfId="22240" xr:uid="{00000000-0005-0000-0000-00006A1E0000}"/>
    <cellStyle name="20 % - Markeringsfarve3 2 7 2 2 5" xfId="37206" xr:uid="{00000000-0005-0000-0000-00006B1E0000}"/>
    <cellStyle name="20 % - Markeringsfarve3 2 7 2 3" xfId="8723" xr:uid="{00000000-0005-0000-0000-00006C1E0000}"/>
    <cellStyle name="20 % - Markeringsfarve3 2 7 2 3 2" xfId="16590" xr:uid="{00000000-0005-0000-0000-00006D1E0000}"/>
    <cellStyle name="20 % - Markeringsfarve3 2 7 2 3 2 2" xfId="32866" xr:uid="{00000000-0005-0000-0000-00006E1E0000}"/>
    <cellStyle name="20 % - Markeringsfarve3 2 7 2 3 2 3" xfId="47825" xr:uid="{00000000-0005-0000-0000-00006F1E0000}"/>
    <cellStyle name="20 % - Markeringsfarve3 2 7 2 3 3" xfId="25864" xr:uid="{00000000-0005-0000-0000-0000701E0000}"/>
    <cellStyle name="20 % - Markeringsfarve3 2 7 2 3 4" xfId="40828" xr:uid="{00000000-0005-0000-0000-0000711E0000}"/>
    <cellStyle name="20 % - Markeringsfarve3 2 7 2 4" xfId="12962" xr:uid="{00000000-0005-0000-0000-0000721E0000}"/>
    <cellStyle name="20 % - Markeringsfarve3 2 7 2 4 2" xfId="29241" xr:uid="{00000000-0005-0000-0000-0000731E0000}"/>
    <cellStyle name="20 % - Markeringsfarve3 2 7 2 4 3" xfId="44202" xr:uid="{00000000-0005-0000-0000-0000741E0000}"/>
    <cellStyle name="20 % - Markeringsfarve3 2 7 2 5" xfId="22239" xr:uid="{00000000-0005-0000-0000-0000751E0000}"/>
    <cellStyle name="20 % - Markeringsfarve3 2 7 2 6" xfId="37205" xr:uid="{00000000-0005-0000-0000-0000761E0000}"/>
    <cellStyle name="20 % - Markeringsfarve3 2 7 3" xfId="4479" xr:uid="{00000000-0005-0000-0000-0000771E0000}"/>
    <cellStyle name="20 % - Markeringsfarve3 2 7 3 2" xfId="9475" xr:uid="{00000000-0005-0000-0000-0000781E0000}"/>
    <cellStyle name="20 % - Markeringsfarve3 2 7 3 2 2" xfId="17338" xr:uid="{00000000-0005-0000-0000-0000791E0000}"/>
    <cellStyle name="20 % - Markeringsfarve3 2 7 3 2 2 2" xfId="33614" xr:uid="{00000000-0005-0000-0000-00007A1E0000}"/>
    <cellStyle name="20 % - Markeringsfarve3 2 7 3 2 2 3" xfId="48573" xr:uid="{00000000-0005-0000-0000-00007B1E0000}"/>
    <cellStyle name="20 % - Markeringsfarve3 2 7 3 2 3" xfId="26612" xr:uid="{00000000-0005-0000-0000-00007C1E0000}"/>
    <cellStyle name="20 % - Markeringsfarve3 2 7 3 2 4" xfId="41576" xr:uid="{00000000-0005-0000-0000-00007D1E0000}"/>
    <cellStyle name="20 % - Markeringsfarve3 2 7 3 3" xfId="12964" xr:uid="{00000000-0005-0000-0000-00007E1E0000}"/>
    <cellStyle name="20 % - Markeringsfarve3 2 7 3 3 2" xfId="29243" xr:uid="{00000000-0005-0000-0000-00007F1E0000}"/>
    <cellStyle name="20 % - Markeringsfarve3 2 7 3 3 3" xfId="44204" xr:uid="{00000000-0005-0000-0000-0000801E0000}"/>
    <cellStyle name="20 % - Markeringsfarve3 2 7 3 4" xfId="22241" xr:uid="{00000000-0005-0000-0000-0000811E0000}"/>
    <cellStyle name="20 % - Markeringsfarve3 2 7 3 5" xfId="37207" xr:uid="{00000000-0005-0000-0000-0000821E0000}"/>
    <cellStyle name="20 % - Markeringsfarve3 2 7 4" xfId="4480" xr:uid="{00000000-0005-0000-0000-0000831E0000}"/>
    <cellStyle name="20 % - Markeringsfarve3 2 7 4 2" xfId="9307" xr:uid="{00000000-0005-0000-0000-0000841E0000}"/>
    <cellStyle name="20 % - Markeringsfarve3 2 7 4 2 2" xfId="17170" xr:uid="{00000000-0005-0000-0000-0000851E0000}"/>
    <cellStyle name="20 % - Markeringsfarve3 2 7 4 2 2 2" xfId="33446" xr:uid="{00000000-0005-0000-0000-0000861E0000}"/>
    <cellStyle name="20 % - Markeringsfarve3 2 7 4 2 2 3" xfId="48405" xr:uid="{00000000-0005-0000-0000-0000871E0000}"/>
    <cellStyle name="20 % - Markeringsfarve3 2 7 4 2 3" xfId="26444" xr:uid="{00000000-0005-0000-0000-0000881E0000}"/>
    <cellStyle name="20 % - Markeringsfarve3 2 7 4 2 4" xfId="41408" xr:uid="{00000000-0005-0000-0000-0000891E0000}"/>
    <cellStyle name="20 % - Markeringsfarve3 2 7 4 3" xfId="12965" xr:uid="{00000000-0005-0000-0000-00008A1E0000}"/>
    <cellStyle name="20 % - Markeringsfarve3 2 7 4 3 2" xfId="29244" xr:uid="{00000000-0005-0000-0000-00008B1E0000}"/>
    <cellStyle name="20 % - Markeringsfarve3 2 7 4 3 3" xfId="44205" xr:uid="{00000000-0005-0000-0000-00008C1E0000}"/>
    <cellStyle name="20 % - Markeringsfarve3 2 7 4 4" xfId="22242" xr:uid="{00000000-0005-0000-0000-00008D1E0000}"/>
    <cellStyle name="20 % - Markeringsfarve3 2 7 4 5" xfId="37208" xr:uid="{00000000-0005-0000-0000-00008E1E0000}"/>
    <cellStyle name="20 % - Markeringsfarve3 2 7 5" xfId="7752" xr:uid="{00000000-0005-0000-0000-00008F1E0000}"/>
    <cellStyle name="20 % - Markeringsfarve3 2 7 5 2" xfId="15617" xr:uid="{00000000-0005-0000-0000-0000901E0000}"/>
    <cellStyle name="20 % - Markeringsfarve3 2 7 5 2 2" xfId="31893" xr:uid="{00000000-0005-0000-0000-0000911E0000}"/>
    <cellStyle name="20 % - Markeringsfarve3 2 7 5 2 3" xfId="46852" xr:uid="{00000000-0005-0000-0000-0000921E0000}"/>
    <cellStyle name="20 % - Markeringsfarve3 2 7 5 3" xfId="24891" xr:uid="{00000000-0005-0000-0000-0000931E0000}"/>
    <cellStyle name="20 % - Markeringsfarve3 2 7 5 4" xfId="39855" xr:uid="{00000000-0005-0000-0000-0000941E0000}"/>
    <cellStyle name="20 % - Markeringsfarve3 2 7 6" xfId="12961" xr:uid="{00000000-0005-0000-0000-0000951E0000}"/>
    <cellStyle name="20 % - Markeringsfarve3 2 7 6 2" xfId="29240" xr:uid="{00000000-0005-0000-0000-0000961E0000}"/>
    <cellStyle name="20 % - Markeringsfarve3 2 7 6 3" xfId="44201" xr:uid="{00000000-0005-0000-0000-0000971E0000}"/>
    <cellStyle name="20 % - Markeringsfarve3 2 7 7" xfId="22238" xr:uid="{00000000-0005-0000-0000-0000981E0000}"/>
    <cellStyle name="20 % - Markeringsfarve3 2 7 8" xfId="37204" xr:uid="{00000000-0005-0000-0000-0000991E0000}"/>
    <cellStyle name="20 % - Markeringsfarve3 2 8" xfId="4481" xr:uid="{00000000-0005-0000-0000-00009A1E0000}"/>
    <cellStyle name="20 % - Markeringsfarve3 2 8 2" xfId="4482" xr:uid="{00000000-0005-0000-0000-00009B1E0000}"/>
    <cellStyle name="20 % - Markeringsfarve3 2 8 2 2" xfId="4483" xr:uid="{00000000-0005-0000-0000-00009C1E0000}"/>
    <cellStyle name="20 % - Markeringsfarve3 2 8 2 2 2" xfId="10304" xr:uid="{00000000-0005-0000-0000-00009D1E0000}"/>
    <cellStyle name="20 % - Markeringsfarve3 2 8 2 2 2 2" xfId="18159" xr:uid="{00000000-0005-0000-0000-00009E1E0000}"/>
    <cellStyle name="20 % - Markeringsfarve3 2 8 2 2 2 2 2" xfId="34435" xr:uid="{00000000-0005-0000-0000-00009F1E0000}"/>
    <cellStyle name="20 % - Markeringsfarve3 2 8 2 2 2 2 3" xfId="49394" xr:uid="{00000000-0005-0000-0000-0000A01E0000}"/>
    <cellStyle name="20 % - Markeringsfarve3 2 8 2 2 2 3" xfId="27433" xr:uid="{00000000-0005-0000-0000-0000A11E0000}"/>
    <cellStyle name="20 % - Markeringsfarve3 2 8 2 2 2 4" xfId="42397" xr:uid="{00000000-0005-0000-0000-0000A21E0000}"/>
    <cellStyle name="20 % - Markeringsfarve3 2 8 2 2 3" xfId="12968" xr:uid="{00000000-0005-0000-0000-0000A31E0000}"/>
    <cellStyle name="20 % - Markeringsfarve3 2 8 2 2 3 2" xfId="29247" xr:uid="{00000000-0005-0000-0000-0000A41E0000}"/>
    <cellStyle name="20 % - Markeringsfarve3 2 8 2 2 3 3" xfId="44208" xr:uid="{00000000-0005-0000-0000-0000A51E0000}"/>
    <cellStyle name="20 % - Markeringsfarve3 2 8 2 2 4" xfId="22245" xr:uid="{00000000-0005-0000-0000-0000A61E0000}"/>
    <cellStyle name="20 % - Markeringsfarve3 2 8 2 2 5" xfId="37211" xr:uid="{00000000-0005-0000-0000-0000A71E0000}"/>
    <cellStyle name="20 % - Markeringsfarve3 2 8 2 3" xfId="8816" xr:uid="{00000000-0005-0000-0000-0000A81E0000}"/>
    <cellStyle name="20 % - Markeringsfarve3 2 8 2 3 2" xfId="16683" xr:uid="{00000000-0005-0000-0000-0000A91E0000}"/>
    <cellStyle name="20 % - Markeringsfarve3 2 8 2 3 2 2" xfId="32959" xr:uid="{00000000-0005-0000-0000-0000AA1E0000}"/>
    <cellStyle name="20 % - Markeringsfarve3 2 8 2 3 2 3" xfId="47918" xr:uid="{00000000-0005-0000-0000-0000AB1E0000}"/>
    <cellStyle name="20 % - Markeringsfarve3 2 8 2 3 3" xfId="25957" xr:uid="{00000000-0005-0000-0000-0000AC1E0000}"/>
    <cellStyle name="20 % - Markeringsfarve3 2 8 2 3 4" xfId="40921" xr:uid="{00000000-0005-0000-0000-0000AD1E0000}"/>
    <cellStyle name="20 % - Markeringsfarve3 2 8 2 4" xfId="12967" xr:uid="{00000000-0005-0000-0000-0000AE1E0000}"/>
    <cellStyle name="20 % - Markeringsfarve3 2 8 2 4 2" xfId="29246" xr:uid="{00000000-0005-0000-0000-0000AF1E0000}"/>
    <cellStyle name="20 % - Markeringsfarve3 2 8 2 4 3" xfId="44207" xr:uid="{00000000-0005-0000-0000-0000B01E0000}"/>
    <cellStyle name="20 % - Markeringsfarve3 2 8 2 5" xfId="22244" xr:uid="{00000000-0005-0000-0000-0000B11E0000}"/>
    <cellStyle name="20 % - Markeringsfarve3 2 8 2 6" xfId="37210" xr:uid="{00000000-0005-0000-0000-0000B21E0000}"/>
    <cellStyle name="20 % - Markeringsfarve3 2 8 3" xfId="4484" xr:uid="{00000000-0005-0000-0000-0000B31E0000}"/>
    <cellStyle name="20 % - Markeringsfarve3 2 8 3 2" xfId="9582" xr:uid="{00000000-0005-0000-0000-0000B41E0000}"/>
    <cellStyle name="20 % - Markeringsfarve3 2 8 3 2 2" xfId="17445" xr:uid="{00000000-0005-0000-0000-0000B51E0000}"/>
    <cellStyle name="20 % - Markeringsfarve3 2 8 3 2 2 2" xfId="33721" xr:uid="{00000000-0005-0000-0000-0000B61E0000}"/>
    <cellStyle name="20 % - Markeringsfarve3 2 8 3 2 2 3" xfId="48680" xr:uid="{00000000-0005-0000-0000-0000B71E0000}"/>
    <cellStyle name="20 % - Markeringsfarve3 2 8 3 2 3" xfId="26719" xr:uid="{00000000-0005-0000-0000-0000B81E0000}"/>
    <cellStyle name="20 % - Markeringsfarve3 2 8 3 2 4" xfId="41683" xr:uid="{00000000-0005-0000-0000-0000B91E0000}"/>
    <cellStyle name="20 % - Markeringsfarve3 2 8 3 3" xfId="12969" xr:uid="{00000000-0005-0000-0000-0000BA1E0000}"/>
    <cellStyle name="20 % - Markeringsfarve3 2 8 3 3 2" xfId="29248" xr:uid="{00000000-0005-0000-0000-0000BB1E0000}"/>
    <cellStyle name="20 % - Markeringsfarve3 2 8 3 3 3" xfId="44209" xr:uid="{00000000-0005-0000-0000-0000BC1E0000}"/>
    <cellStyle name="20 % - Markeringsfarve3 2 8 3 4" xfId="22246" xr:uid="{00000000-0005-0000-0000-0000BD1E0000}"/>
    <cellStyle name="20 % - Markeringsfarve3 2 8 3 5" xfId="37212" xr:uid="{00000000-0005-0000-0000-0000BE1E0000}"/>
    <cellStyle name="20 % - Markeringsfarve3 2 8 4" xfId="4485" xr:uid="{00000000-0005-0000-0000-0000BF1E0000}"/>
    <cellStyle name="20 % - Markeringsfarve3 2 8 4 2" xfId="10737" xr:uid="{00000000-0005-0000-0000-0000C01E0000}"/>
    <cellStyle name="20 % - Markeringsfarve3 2 8 4 2 2" xfId="18580" xr:uid="{00000000-0005-0000-0000-0000C11E0000}"/>
    <cellStyle name="20 % - Markeringsfarve3 2 8 4 2 2 2" xfId="34856" xr:uid="{00000000-0005-0000-0000-0000C21E0000}"/>
    <cellStyle name="20 % - Markeringsfarve3 2 8 4 2 2 3" xfId="49815" xr:uid="{00000000-0005-0000-0000-0000C31E0000}"/>
    <cellStyle name="20 % - Markeringsfarve3 2 8 4 2 3" xfId="27854" xr:uid="{00000000-0005-0000-0000-0000C41E0000}"/>
    <cellStyle name="20 % - Markeringsfarve3 2 8 4 2 4" xfId="42818" xr:uid="{00000000-0005-0000-0000-0000C51E0000}"/>
    <cellStyle name="20 % - Markeringsfarve3 2 8 4 3" xfId="12970" xr:uid="{00000000-0005-0000-0000-0000C61E0000}"/>
    <cellStyle name="20 % - Markeringsfarve3 2 8 4 3 2" xfId="29249" xr:uid="{00000000-0005-0000-0000-0000C71E0000}"/>
    <cellStyle name="20 % - Markeringsfarve3 2 8 4 3 3" xfId="44210" xr:uid="{00000000-0005-0000-0000-0000C81E0000}"/>
    <cellStyle name="20 % - Markeringsfarve3 2 8 4 4" xfId="22247" xr:uid="{00000000-0005-0000-0000-0000C91E0000}"/>
    <cellStyle name="20 % - Markeringsfarve3 2 8 4 5" xfId="37213" xr:uid="{00000000-0005-0000-0000-0000CA1E0000}"/>
    <cellStyle name="20 % - Markeringsfarve3 2 8 5" xfId="7753" xr:uid="{00000000-0005-0000-0000-0000CB1E0000}"/>
    <cellStyle name="20 % - Markeringsfarve3 2 8 5 2" xfId="15618" xr:uid="{00000000-0005-0000-0000-0000CC1E0000}"/>
    <cellStyle name="20 % - Markeringsfarve3 2 8 5 2 2" xfId="31894" xr:uid="{00000000-0005-0000-0000-0000CD1E0000}"/>
    <cellStyle name="20 % - Markeringsfarve3 2 8 5 2 3" xfId="46853" xr:uid="{00000000-0005-0000-0000-0000CE1E0000}"/>
    <cellStyle name="20 % - Markeringsfarve3 2 8 5 3" xfId="24892" xr:uid="{00000000-0005-0000-0000-0000CF1E0000}"/>
    <cellStyle name="20 % - Markeringsfarve3 2 8 5 4" xfId="39856" xr:uid="{00000000-0005-0000-0000-0000D01E0000}"/>
    <cellStyle name="20 % - Markeringsfarve3 2 8 6" xfId="12966" xr:uid="{00000000-0005-0000-0000-0000D11E0000}"/>
    <cellStyle name="20 % - Markeringsfarve3 2 8 6 2" xfId="29245" xr:uid="{00000000-0005-0000-0000-0000D21E0000}"/>
    <cellStyle name="20 % - Markeringsfarve3 2 8 6 3" xfId="44206" xr:uid="{00000000-0005-0000-0000-0000D31E0000}"/>
    <cellStyle name="20 % - Markeringsfarve3 2 8 7" xfId="22243" xr:uid="{00000000-0005-0000-0000-0000D41E0000}"/>
    <cellStyle name="20 % - Markeringsfarve3 2 8 8" xfId="37209" xr:uid="{00000000-0005-0000-0000-0000D51E0000}"/>
    <cellStyle name="20 % - Markeringsfarve3 2 9" xfId="4486" xr:uid="{00000000-0005-0000-0000-0000D61E0000}"/>
    <cellStyle name="20 % - Markeringsfarve3 2 9 2" xfId="4487" xr:uid="{00000000-0005-0000-0000-0000D71E0000}"/>
    <cellStyle name="20 % - Markeringsfarve3 2 9 2 2" xfId="9725" xr:uid="{00000000-0005-0000-0000-0000D81E0000}"/>
    <cellStyle name="20 % - Markeringsfarve3 2 9 2 2 2" xfId="17579" xr:uid="{00000000-0005-0000-0000-0000D91E0000}"/>
    <cellStyle name="20 % - Markeringsfarve3 2 9 2 2 2 2" xfId="33855" xr:uid="{00000000-0005-0000-0000-0000DA1E0000}"/>
    <cellStyle name="20 % - Markeringsfarve3 2 9 2 2 2 3" xfId="48814" xr:uid="{00000000-0005-0000-0000-0000DB1E0000}"/>
    <cellStyle name="20 % - Markeringsfarve3 2 9 2 2 3" xfId="26853" xr:uid="{00000000-0005-0000-0000-0000DC1E0000}"/>
    <cellStyle name="20 % - Markeringsfarve3 2 9 2 2 4" xfId="41817" xr:uid="{00000000-0005-0000-0000-0000DD1E0000}"/>
    <cellStyle name="20 % - Markeringsfarve3 2 9 2 3" xfId="12972" xr:uid="{00000000-0005-0000-0000-0000DE1E0000}"/>
    <cellStyle name="20 % - Markeringsfarve3 2 9 2 3 2" xfId="29251" xr:uid="{00000000-0005-0000-0000-0000DF1E0000}"/>
    <cellStyle name="20 % - Markeringsfarve3 2 9 2 3 3" xfId="44212" xr:uid="{00000000-0005-0000-0000-0000E01E0000}"/>
    <cellStyle name="20 % - Markeringsfarve3 2 9 2 4" xfId="22249" xr:uid="{00000000-0005-0000-0000-0000E11E0000}"/>
    <cellStyle name="20 % - Markeringsfarve3 2 9 2 5" xfId="37215" xr:uid="{00000000-0005-0000-0000-0000E21E0000}"/>
    <cellStyle name="20 % - Markeringsfarve3 2 9 3" xfId="8323" xr:uid="{00000000-0005-0000-0000-0000E31E0000}"/>
    <cellStyle name="20 % - Markeringsfarve3 2 9 3 2" xfId="16193" xr:uid="{00000000-0005-0000-0000-0000E41E0000}"/>
    <cellStyle name="20 % - Markeringsfarve3 2 9 3 2 2" xfId="32469" xr:uid="{00000000-0005-0000-0000-0000E51E0000}"/>
    <cellStyle name="20 % - Markeringsfarve3 2 9 3 2 3" xfId="47428" xr:uid="{00000000-0005-0000-0000-0000E61E0000}"/>
    <cellStyle name="20 % - Markeringsfarve3 2 9 3 3" xfId="25467" xr:uid="{00000000-0005-0000-0000-0000E71E0000}"/>
    <cellStyle name="20 % - Markeringsfarve3 2 9 3 4" xfId="40431" xr:uid="{00000000-0005-0000-0000-0000E81E0000}"/>
    <cellStyle name="20 % - Markeringsfarve3 2 9 4" xfId="12971" xr:uid="{00000000-0005-0000-0000-0000E91E0000}"/>
    <cellStyle name="20 % - Markeringsfarve3 2 9 4 2" xfId="29250" xr:uid="{00000000-0005-0000-0000-0000EA1E0000}"/>
    <cellStyle name="20 % - Markeringsfarve3 2 9 4 3" xfId="44211" xr:uid="{00000000-0005-0000-0000-0000EB1E0000}"/>
    <cellStyle name="20 % - Markeringsfarve3 2 9 5" xfId="22248" xr:uid="{00000000-0005-0000-0000-0000EC1E0000}"/>
    <cellStyle name="20 % - Markeringsfarve3 2 9 6" xfId="37214" xr:uid="{00000000-0005-0000-0000-0000ED1E0000}"/>
    <cellStyle name="20 % - Markeringsfarve3 3" xfId="4488" xr:uid="{00000000-0005-0000-0000-0000EE1E0000}"/>
    <cellStyle name="20 % - Markeringsfarve3 3 10" xfId="4489" xr:uid="{00000000-0005-0000-0000-0000EF1E0000}"/>
    <cellStyle name="20 % - Markeringsfarve3 3 10 2" xfId="8938" xr:uid="{00000000-0005-0000-0000-0000F01E0000}"/>
    <cellStyle name="20 % - Markeringsfarve3 3 10 2 2" xfId="16803" xr:uid="{00000000-0005-0000-0000-0000F11E0000}"/>
    <cellStyle name="20 % - Markeringsfarve3 3 10 2 2 2" xfId="33079" xr:uid="{00000000-0005-0000-0000-0000F21E0000}"/>
    <cellStyle name="20 % - Markeringsfarve3 3 10 2 2 3" xfId="48038" xr:uid="{00000000-0005-0000-0000-0000F31E0000}"/>
    <cellStyle name="20 % - Markeringsfarve3 3 10 2 3" xfId="26077" xr:uid="{00000000-0005-0000-0000-0000F41E0000}"/>
    <cellStyle name="20 % - Markeringsfarve3 3 10 2 4" xfId="41041" xr:uid="{00000000-0005-0000-0000-0000F51E0000}"/>
    <cellStyle name="20 % - Markeringsfarve3 3 10 3" xfId="12974" xr:uid="{00000000-0005-0000-0000-0000F61E0000}"/>
    <cellStyle name="20 % - Markeringsfarve3 3 10 3 2" xfId="29253" xr:uid="{00000000-0005-0000-0000-0000F71E0000}"/>
    <cellStyle name="20 % - Markeringsfarve3 3 10 3 3" xfId="44214" xr:uid="{00000000-0005-0000-0000-0000F81E0000}"/>
    <cellStyle name="20 % - Markeringsfarve3 3 10 4" xfId="22251" xr:uid="{00000000-0005-0000-0000-0000F91E0000}"/>
    <cellStyle name="20 % - Markeringsfarve3 3 10 5" xfId="37217" xr:uid="{00000000-0005-0000-0000-0000FA1E0000}"/>
    <cellStyle name="20 % - Markeringsfarve3 3 11" xfId="4490" xr:uid="{00000000-0005-0000-0000-0000FB1E0000}"/>
    <cellStyle name="20 % - Markeringsfarve3 3 11 2" xfId="10718" xr:uid="{00000000-0005-0000-0000-0000FC1E0000}"/>
    <cellStyle name="20 % - Markeringsfarve3 3 11 2 2" xfId="18562" xr:uid="{00000000-0005-0000-0000-0000FD1E0000}"/>
    <cellStyle name="20 % - Markeringsfarve3 3 11 2 2 2" xfId="34838" xr:uid="{00000000-0005-0000-0000-0000FE1E0000}"/>
    <cellStyle name="20 % - Markeringsfarve3 3 11 2 2 3" xfId="49797" xr:uid="{00000000-0005-0000-0000-0000FF1E0000}"/>
    <cellStyle name="20 % - Markeringsfarve3 3 11 2 3" xfId="27836" xr:uid="{00000000-0005-0000-0000-0000001F0000}"/>
    <cellStyle name="20 % - Markeringsfarve3 3 11 2 4" xfId="42800" xr:uid="{00000000-0005-0000-0000-0000011F0000}"/>
    <cellStyle name="20 % - Markeringsfarve3 3 11 3" xfId="12975" xr:uid="{00000000-0005-0000-0000-0000021F0000}"/>
    <cellStyle name="20 % - Markeringsfarve3 3 11 3 2" xfId="29254" xr:uid="{00000000-0005-0000-0000-0000031F0000}"/>
    <cellStyle name="20 % - Markeringsfarve3 3 11 3 3" xfId="44215" xr:uid="{00000000-0005-0000-0000-0000041F0000}"/>
    <cellStyle name="20 % - Markeringsfarve3 3 11 4" xfId="22252" xr:uid="{00000000-0005-0000-0000-0000051F0000}"/>
    <cellStyle name="20 % - Markeringsfarve3 3 11 5" xfId="37218" xr:uid="{00000000-0005-0000-0000-0000061F0000}"/>
    <cellStyle name="20 % - Markeringsfarve3 3 12" xfId="7754" xr:uid="{00000000-0005-0000-0000-0000071F0000}"/>
    <cellStyle name="20 % - Markeringsfarve3 3 12 2" xfId="15619" xr:uid="{00000000-0005-0000-0000-0000081F0000}"/>
    <cellStyle name="20 % - Markeringsfarve3 3 12 2 2" xfId="31895" xr:uid="{00000000-0005-0000-0000-0000091F0000}"/>
    <cellStyle name="20 % - Markeringsfarve3 3 12 2 3" xfId="46854" xr:uid="{00000000-0005-0000-0000-00000A1F0000}"/>
    <cellStyle name="20 % - Markeringsfarve3 3 12 3" xfId="24893" xr:uid="{00000000-0005-0000-0000-00000B1F0000}"/>
    <cellStyle name="20 % - Markeringsfarve3 3 12 4" xfId="39857" xr:uid="{00000000-0005-0000-0000-00000C1F0000}"/>
    <cellStyle name="20 % - Markeringsfarve3 3 13" xfId="12973" xr:uid="{00000000-0005-0000-0000-00000D1F0000}"/>
    <cellStyle name="20 % - Markeringsfarve3 3 13 2" xfId="29252" xr:uid="{00000000-0005-0000-0000-00000E1F0000}"/>
    <cellStyle name="20 % - Markeringsfarve3 3 13 3" xfId="44213" xr:uid="{00000000-0005-0000-0000-00000F1F0000}"/>
    <cellStyle name="20 % - Markeringsfarve3 3 14" xfId="22250" xr:uid="{00000000-0005-0000-0000-0000101F0000}"/>
    <cellStyle name="20 % - Markeringsfarve3 3 15" xfId="37216" xr:uid="{00000000-0005-0000-0000-0000111F0000}"/>
    <cellStyle name="20 % - Markeringsfarve3 3 2" xfId="4491" xr:uid="{00000000-0005-0000-0000-0000121F0000}"/>
    <cellStyle name="20 % - Markeringsfarve3 3 2 10" xfId="7755" xr:uid="{00000000-0005-0000-0000-0000131F0000}"/>
    <cellStyle name="20 % - Markeringsfarve3 3 2 10 2" xfId="15620" xr:uid="{00000000-0005-0000-0000-0000141F0000}"/>
    <cellStyle name="20 % - Markeringsfarve3 3 2 10 2 2" xfId="31896" xr:uid="{00000000-0005-0000-0000-0000151F0000}"/>
    <cellStyle name="20 % - Markeringsfarve3 3 2 10 2 3" xfId="46855" xr:uid="{00000000-0005-0000-0000-0000161F0000}"/>
    <cellStyle name="20 % - Markeringsfarve3 3 2 10 3" xfId="24894" xr:uid="{00000000-0005-0000-0000-0000171F0000}"/>
    <cellStyle name="20 % - Markeringsfarve3 3 2 10 4" xfId="39858" xr:uid="{00000000-0005-0000-0000-0000181F0000}"/>
    <cellStyle name="20 % - Markeringsfarve3 3 2 11" xfId="12976" xr:uid="{00000000-0005-0000-0000-0000191F0000}"/>
    <cellStyle name="20 % - Markeringsfarve3 3 2 11 2" xfId="29255" xr:uid="{00000000-0005-0000-0000-00001A1F0000}"/>
    <cellStyle name="20 % - Markeringsfarve3 3 2 11 3" xfId="44216" xr:uid="{00000000-0005-0000-0000-00001B1F0000}"/>
    <cellStyle name="20 % - Markeringsfarve3 3 2 12" xfId="22253" xr:uid="{00000000-0005-0000-0000-00001C1F0000}"/>
    <cellStyle name="20 % - Markeringsfarve3 3 2 13" xfId="37219" xr:uid="{00000000-0005-0000-0000-00001D1F0000}"/>
    <cellStyle name="20 % - Markeringsfarve3 3 2 2" xfId="4492" xr:uid="{00000000-0005-0000-0000-00001E1F0000}"/>
    <cellStyle name="20 % - Markeringsfarve3 3 2 2 2" xfId="4493" xr:uid="{00000000-0005-0000-0000-00001F1F0000}"/>
    <cellStyle name="20 % - Markeringsfarve3 3 2 2 2 2" xfId="4494" xr:uid="{00000000-0005-0000-0000-0000201F0000}"/>
    <cellStyle name="20 % - Markeringsfarve3 3 2 2 2 2 2" xfId="9870" xr:uid="{00000000-0005-0000-0000-0000211F0000}"/>
    <cellStyle name="20 % - Markeringsfarve3 3 2 2 2 2 2 2" xfId="17725" xr:uid="{00000000-0005-0000-0000-0000221F0000}"/>
    <cellStyle name="20 % - Markeringsfarve3 3 2 2 2 2 2 2 2" xfId="34001" xr:uid="{00000000-0005-0000-0000-0000231F0000}"/>
    <cellStyle name="20 % - Markeringsfarve3 3 2 2 2 2 2 2 3" xfId="48960" xr:uid="{00000000-0005-0000-0000-0000241F0000}"/>
    <cellStyle name="20 % - Markeringsfarve3 3 2 2 2 2 2 3" xfId="26999" xr:uid="{00000000-0005-0000-0000-0000251F0000}"/>
    <cellStyle name="20 % - Markeringsfarve3 3 2 2 2 2 2 4" xfId="41963" xr:uid="{00000000-0005-0000-0000-0000261F0000}"/>
    <cellStyle name="20 % - Markeringsfarve3 3 2 2 2 2 3" xfId="12979" xr:uid="{00000000-0005-0000-0000-0000271F0000}"/>
    <cellStyle name="20 % - Markeringsfarve3 3 2 2 2 2 3 2" xfId="29258" xr:uid="{00000000-0005-0000-0000-0000281F0000}"/>
    <cellStyle name="20 % - Markeringsfarve3 3 2 2 2 2 3 3" xfId="44219" xr:uid="{00000000-0005-0000-0000-0000291F0000}"/>
    <cellStyle name="20 % - Markeringsfarve3 3 2 2 2 2 4" xfId="22256" xr:uid="{00000000-0005-0000-0000-00002A1F0000}"/>
    <cellStyle name="20 % - Markeringsfarve3 3 2 2 2 2 5" xfId="37222" xr:uid="{00000000-0005-0000-0000-00002B1F0000}"/>
    <cellStyle name="20 % - Markeringsfarve3 3 2 2 2 3" xfId="8445" xr:uid="{00000000-0005-0000-0000-00002C1F0000}"/>
    <cellStyle name="20 % - Markeringsfarve3 3 2 2 2 3 2" xfId="16315" xr:uid="{00000000-0005-0000-0000-00002D1F0000}"/>
    <cellStyle name="20 % - Markeringsfarve3 3 2 2 2 3 2 2" xfId="32591" xr:uid="{00000000-0005-0000-0000-00002E1F0000}"/>
    <cellStyle name="20 % - Markeringsfarve3 3 2 2 2 3 2 3" xfId="47550" xr:uid="{00000000-0005-0000-0000-00002F1F0000}"/>
    <cellStyle name="20 % - Markeringsfarve3 3 2 2 2 3 3" xfId="25589" xr:uid="{00000000-0005-0000-0000-0000301F0000}"/>
    <cellStyle name="20 % - Markeringsfarve3 3 2 2 2 3 4" xfId="40553" xr:uid="{00000000-0005-0000-0000-0000311F0000}"/>
    <cellStyle name="20 % - Markeringsfarve3 3 2 2 2 4" xfId="12978" xr:uid="{00000000-0005-0000-0000-0000321F0000}"/>
    <cellStyle name="20 % - Markeringsfarve3 3 2 2 2 4 2" xfId="29257" xr:uid="{00000000-0005-0000-0000-0000331F0000}"/>
    <cellStyle name="20 % - Markeringsfarve3 3 2 2 2 4 3" xfId="44218" xr:uid="{00000000-0005-0000-0000-0000341F0000}"/>
    <cellStyle name="20 % - Markeringsfarve3 3 2 2 2 5" xfId="22255" xr:uid="{00000000-0005-0000-0000-0000351F0000}"/>
    <cellStyle name="20 % - Markeringsfarve3 3 2 2 2 6" xfId="37221" xr:uid="{00000000-0005-0000-0000-0000361F0000}"/>
    <cellStyle name="20 % - Markeringsfarve3 3 2 2 3" xfId="4495" xr:uid="{00000000-0005-0000-0000-0000371F0000}"/>
    <cellStyle name="20 % - Markeringsfarve3 3 2 2 3 2" xfId="9101" xr:uid="{00000000-0005-0000-0000-0000381F0000}"/>
    <cellStyle name="20 % - Markeringsfarve3 3 2 2 3 2 2" xfId="16965" xr:uid="{00000000-0005-0000-0000-0000391F0000}"/>
    <cellStyle name="20 % - Markeringsfarve3 3 2 2 3 2 2 2" xfId="33241" xr:uid="{00000000-0005-0000-0000-00003A1F0000}"/>
    <cellStyle name="20 % - Markeringsfarve3 3 2 2 3 2 2 3" xfId="48200" xr:uid="{00000000-0005-0000-0000-00003B1F0000}"/>
    <cellStyle name="20 % - Markeringsfarve3 3 2 2 3 2 3" xfId="26239" xr:uid="{00000000-0005-0000-0000-00003C1F0000}"/>
    <cellStyle name="20 % - Markeringsfarve3 3 2 2 3 2 4" xfId="41203" xr:uid="{00000000-0005-0000-0000-00003D1F0000}"/>
    <cellStyle name="20 % - Markeringsfarve3 3 2 2 3 3" xfId="12980" xr:uid="{00000000-0005-0000-0000-00003E1F0000}"/>
    <cellStyle name="20 % - Markeringsfarve3 3 2 2 3 3 2" xfId="29259" xr:uid="{00000000-0005-0000-0000-00003F1F0000}"/>
    <cellStyle name="20 % - Markeringsfarve3 3 2 2 3 3 3" xfId="44220" xr:uid="{00000000-0005-0000-0000-0000401F0000}"/>
    <cellStyle name="20 % - Markeringsfarve3 3 2 2 3 4" xfId="22257" xr:uid="{00000000-0005-0000-0000-0000411F0000}"/>
    <cellStyle name="20 % - Markeringsfarve3 3 2 2 3 5" xfId="37223" xr:uid="{00000000-0005-0000-0000-0000421F0000}"/>
    <cellStyle name="20 % - Markeringsfarve3 3 2 2 4" xfId="4496" xr:uid="{00000000-0005-0000-0000-0000431F0000}"/>
    <cellStyle name="20 % - Markeringsfarve3 3 2 2 4 2" xfId="10714" xr:uid="{00000000-0005-0000-0000-0000441F0000}"/>
    <cellStyle name="20 % - Markeringsfarve3 3 2 2 4 2 2" xfId="18558" xr:uid="{00000000-0005-0000-0000-0000451F0000}"/>
    <cellStyle name="20 % - Markeringsfarve3 3 2 2 4 2 2 2" xfId="34834" xr:uid="{00000000-0005-0000-0000-0000461F0000}"/>
    <cellStyle name="20 % - Markeringsfarve3 3 2 2 4 2 2 3" xfId="49793" xr:uid="{00000000-0005-0000-0000-0000471F0000}"/>
    <cellStyle name="20 % - Markeringsfarve3 3 2 2 4 2 3" xfId="27832" xr:uid="{00000000-0005-0000-0000-0000481F0000}"/>
    <cellStyle name="20 % - Markeringsfarve3 3 2 2 4 2 4" xfId="42796" xr:uid="{00000000-0005-0000-0000-0000491F0000}"/>
    <cellStyle name="20 % - Markeringsfarve3 3 2 2 4 3" xfId="12981" xr:uid="{00000000-0005-0000-0000-00004A1F0000}"/>
    <cellStyle name="20 % - Markeringsfarve3 3 2 2 4 3 2" xfId="29260" xr:uid="{00000000-0005-0000-0000-00004B1F0000}"/>
    <cellStyle name="20 % - Markeringsfarve3 3 2 2 4 3 3" xfId="44221" xr:uid="{00000000-0005-0000-0000-00004C1F0000}"/>
    <cellStyle name="20 % - Markeringsfarve3 3 2 2 4 4" xfId="22258" xr:uid="{00000000-0005-0000-0000-00004D1F0000}"/>
    <cellStyle name="20 % - Markeringsfarve3 3 2 2 4 5" xfId="37224" xr:uid="{00000000-0005-0000-0000-00004E1F0000}"/>
    <cellStyle name="20 % - Markeringsfarve3 3 2 2 5" xfId="7756" xr:uid="{00000000-0005-0000-0000-00004F1F0000}"/>
    <cellStyle name="20 % - Markeringsfarve3 3 2 2 5 2" xfId="15621" xr:uid="{00000000-0005-0000-0000-0000501F0000}"/>
    <cellStyle name="20 % - Markeringsfarve3 3 2 2 5 2 2" xfId="31897" xr:uid="{00000000-0005-0000-0000-0000511F0000}"/>
    <cellStyle name="20 % - Markeringsfarve3 3 2 2 5 2 3" xfId="46856" xr:uid="{00000000-0005-0000-0000-0000521F0000}"/>
    <cellStyle name="20 % - Markeringsfarve3 3 2 2 5 3" xfId="24895" xr:uid="{00000000-0005-0000-0000-0000531F0000}"/>
    <cellStyle name="20 % - Markeringsfarve3 3 2 2 5 4" xfId="39859" xr:uid="{00000000-0005-0000-0000-0000541F0000}"/>
    <cellStyle name="20 % - Markeringsfarve3 3 2 2 6" xfId="12977" xr:uid="{00000000-0005-0000-0000-0000551F0000}"/>
    <cellStyle name="20 % - Markeringsfarve3 3 2 2 6 2" xfId="29256" xr:uid="{00000000-0005-0000-0000-0000561F0000}"/>
    <cellStyle name="20 % - Markeringsfarve3 3 2 2 6 3" xfId="44217" xr:uid="{00000000-0005-0000-0000-0000571F0000}"/>
    <cellStyle name="20 % - Markeringsfarve3 3 2 2 7" xfId="22254" xr:uid="{00000000-0005-0000-0000-0000581F0000}"/>
    <cellStyle name="20 % - Markeringsfarve3 3 2 2 8" xfId="37220" xr:uid="{00000000-0005-0000-0000-0000591F0000}"/>
    <cellStyle name="20 % - Markeringsfarve3 3 2 3" xfId="4497" xr:uid="{00000000-0005-0000-0000-00005A1F0000}"/>
    <cellStyle name="20 % - Markeringsfarve3 3 2 3 2" xfId="4498" xr:uid="{00000000-0005-0000-0000-00005B1F0000}"/>
    <cellStyle name="20 % - Markeringsfarve3 3 2 3 2 2" xfId="4499" xr:uid="{00000000-0005-0000-0000-00005C1F0000}"/>
    <cellStyle name="20 % - Markeringsfarve3 3 2 3 2 2 2" xfId="9953" xr:uid="{00000000-0005-0000-0000-00005D1F0000}"/>
    <cellStyle name="20 % - Markeringsfarve3 3 2 3 2 2 2 2" xfId="17808" xr:uid="{00000000-0005-0000-0000-00005E1F0000}"/>
    <cellStyle name="20 % - Markeringsfarve3 3 2 3 2 2 2 2 2" xfId="34084" xr:uid="{00000000-0005-0000-0000-00005F1F0000}"/>
    <cellStyle name="20 % - Markeringsfarve3 3 2 3 2 2 2 2 3" xfId="49043" xr:uid="{00000000-0005-0000-0000-0000601F0000}"/>
    <cellStyle name="20 % - Markeringsfarve3 3 2 3 2 2 2 3" xfId="27082" xr:uid="{00000000-0005-0000-0000-0000611F0000}"/>
    <cellStyle name="20 % - Markeringsfarve3 3 2 3 2 2 2 4" xfId="42046" xr:uid="{00000000-0005-0000-0000-0000621F0000}"/>
    <cellStyle name="20 % - Markeringsfarve3 3 2 3 2 2 3" xfId="12984" xr:uid="{00000000-0005-0000-0000-0000631F0000}"/>
    <cellStyle name="20 % - Markeringsfarve3 3 2 3 2 2 3 2" xfId="29263" xr:uid="{00000000-0005-0000-0000-0000641F0000}"/>
    <cellStyle name="20 % - Markeringsfarve3 3 2 3 2 2 3 3" xfId="44224" xr:uid="{00000000-0005-0000-0000-0000651F0000}"/>
    <cellStyle name="20 % - Markeringsfarve3 3 2 3 2 2 4" xfId="22261" xr:uid="{00000000-0005-0000-0000-0000661F0000}"/>
    <cellStyle name="20 % - Markeringsfarve3 3 2 3 2 2 5" xfId="37227" xr:uid="{00000000-0005-0000-0000-0000671F0000}"/>
    <cellStyle name="20 % - Markeringsfarve3 3 2 3 2 3" xfId="8518" xr:uid="{00000000-0005-0000-0000-0000681F0000}"/>
    <cellStyle name="20 % - Markeringsfarve3 3 2 3 2 3 2" xfId="16388" xr:uid="{00000000-0005-0000-0000-0000691F0000}"/>
    <cellStyle name="20 % - Markeringsfarve3 3 2 3 2 3 2 2" xfId="32664" xr:uid="{00000000-0005-0000-0000-00006A1F0000}"/>
    <cellStyle name="20 % - Markeringsfarve3 3 2 3 2 3 2 3" xfId="47623" xr:uid="{00000000-0005-0000-0000-00006B1F0000}"/>
    <cellStyle name="20 % - Markeringsfarve3 3 2 3 2 3 3" xfId="25662" xr:uid="{00000000-0005-0000-0000-00006C1F0000}"/>
    <cellStyle name="20 % - Markeringsfarve3 3 2 3 2 3 4" xfId="40626" xr:uid="{00000000-0005-0000-0000-00006D1F0000}"/>
    <cellStyle name="20 % - Markeringsfarve3 3 2 3 2 4" xfId="12983" xr:uid="{00000000-0005-0000-0000-00006E1F0000}"/>
    <cellStyle name="20 % - Markeringsfarve3 3 2 3 2 4 2" xfId="29262" xr:uid="{00000000-0005-0000-0000-00006F1F0000}"/>
    <cellStyle name="20 % - Markeringsfarve3 3 2 3 2 4 3" xfId="44223" xr:uid="{00000000-0005-0000-0000-0000701F0000}"/>
    <cellStyle name="20 % - Markeringsfarve3 3 2 3 2 5" xfId="22260" xr:uid="{00000000-0005-0000-0000-0000711F0000}"/>
    <cellStyle name="20 % - Markeringsfarve3 3 2 3 2 6" xfId="37226" xr:uid="{00000000-0005-0000-0000-0000721F0000}"/>
    <cellStyle name="20 % - Markeringsfarve3 3 2 3 3" xfId="4500" xr:uid="{00000000-0005-0000-0000-0000731F0000}"/>
    <cellStyle name="20 % - Markeringsfarve3 3 2 3 3 2" xfId="9184" xr:uid="{00000000-0005-0000-0000-0000741F0000}"/>
    <cellStyle name="20 % - Markeringsfarve3 3 2 3 3 2 2" xfId="17048" xr:uid="{00000000-0005-0000-0000-0000751F0000}"/>
    <cellStyle name="20 % - Markeringsfarve3 3 2 3 3 2 2 2" xfId="33324" xr:uid="{00000000-0005-0000-0000-0000761F0000}"/>
    <cellStyle name="20 % - Markeringsfarve3 3 2 3 3 2 2 3" xfId="48283" xr:uid="{00000000-0005-0000-0000-0000771F0000}"/>
    <cellStyle name="20 % - Markeringsfarve3 3 2 3 3 2 3" xfId="26322" xr:uid="{00000000-0005-0000-0000-0000781F0000}"/>
    <cellStyle name="20 % - Markeringsfarve3 3 2 3 3 2 4" xfId="41286" xr:uid="{00000000-0005-0000-0000-0000791F0000}"/>
    <cellStyle name="20 % - Markeringsfarve3 3 2 3 3 3" xfId="12985" xr:uid="{00000000-0005-0000-0000-00007A1F0000}"/>
    <cellStyle name="20 % - Markeringsfarve3 3 2 3 3 3 2" xfId="29264" xr:uid="{00000000-0005-0000-0000-00007B1F0000}"/>
    <cellStyle name="20 % - Markeringsfarve3 3 2 3 3 3 3" xfId="44225" xr:uid="{00000000-0005-0000-0000-00007C1F0000}"/>
    <cellStyle name="20 % - Markeringsfarve3 3 2 3 3 4" xfId="22262" xr:uid="{00000000-0005-0000-0000-00007D1F0000}"/>
    <cellStyle name="20 % - Markeringsfarve3 3 2 3 3 5" xfId="37228" xr:uid="{00000000-0005-0000-0000-00007E1F0000}"/>
    <cellStyle name="20 % - Markeringsfarve3 3 2 3 4" xfId="4501" xr:uid="{00000000-0005-0000-0000-00007F1F0000}"/>
    <cellStyle name="20 % - Markeringsfarve3 3 2 3 4 2" xfId="10520" xr:uid="{00000000-0005-0000-0000-0000801F0000}"/>
    <cellStyle name="20 % - Markeringsfarve3 3 2 3 4 2 2" xfId="18369" xr:uid="{00000000-0005-0000-0000-0000811F0000}"/>
    <cellStyle name="20 % - Markeringsfarve3 3 2 3 4 2 2 2" xfId="34645" xr:uid="{00000000-0005-0000-0000-0000821F0000}"/>
    <cellStyle name="20 % - Markeringsfarve3 3 2 3 4 2 2 3" xfId="49604" xr:uid="{00000000-0005-0000-0000-0000831F0000}"/>
    <cellStyle name="20 % - Markeringsfarve3 3 2 3 4 2 3" xfId="27643" xr:uid="{00000000-0005-0000-0000-0000841F0000}"/>
    <cellStyle name="20 % - Markeringsfarve3 3 2 3 4 2 4" xfId="42607" xr:uid="{00000000-0005-0000-0000-0000851F0000}"/>
    <cellStyle name="20 % - Markeringsfarve3 3 2 3 4 3" xfId="12986" xr:uid="{00000000-0005-0000-0000-0000861F0000}"/>
    <cellStyle name="20 % - Markeringsfarve3 3 2 3 4 3 2" xfId="29265" xr:uid="{00000000-0005-0000-0000-0000871F0000}"/>
    <cellStyle name="20 % - Markeringsfarve3 3 2 3 4 3 3" xfId="44226" xr:uid="{00000000-0005-0000-0000-0000881F0000}"/>
    <cellStyle name="20 % - Markeringsfarve3 3 2 3 4 4" xfId="22263" xr:uid="{00000000-0005-0000-0000-0000891F0000}"/>
    <cellStyle name="20 % - Markeringsfarve3 3 2 3 4 5" xfId="37229" xr:uid="{00000000-0005-0000-0000-00008A1F0000}"/>
    <cellStyle name="20 % - Markeringsfarve3 3 2 3 5" xfId="7757" xr:uid="{00000000-0005-0000-0000-00008B1F0000}"/>
    <cellStyle name="20 % - Markeringsfarve3 3 2 3 5 2" xfId="15622" xr:uid="{00000000-0005-0000-0000-00008C1F0000}"/>
    <cellStyle name="20 % - Markeringsfarve3 3 2 3 5 2 2" xfId="31898" xr:uid="{00000000-0005-0000-0000-00008D1F0000}"/>
    <cellStyle name="20 % - Markeringsfarve3 3 2 3 5 2 3" xfId="46857" xr:uid="{00000000-0005-0000-0000-00008E1F0000}"/>
    <cellStyle name="20 % - Markeringsfarve3 3 2 3 5 3" xfId="24896" xr:uid="{00000000-0005-0000-0000-00008F1F0000}"/>
    <cellStyle name="20 % - Markeringsfarve3 3 2 3 5 4" xfId="39860" xr:uid="{00000000-0005-0000-0000-0000901F0000}"/>
    <cellStyle name="20 % - Markeringsfarve3 3 2 3 6" xfId="12982" xr:uid="{00000000-0005-0000-0000-0000911F0000}"/>
    <cellStyle name="20 % - Markeringsfarve3 3 2 3 6 2" xfId="29261" xr:uid="{00000000-0005-0000-0000-0000921F0000}"/>
    <cellStyle name="20 % - Markeringsfarve3 3 2 3 6 3" xfId="44222" xr:uid="{00000000-0005-0000-0000-0000931F0000}"/>
    <cellStyle name="20 % - Markeringsfarve3 3 2 3 7" xfId="22259" xr:uid="{00000000-0005-0000-0000-0000941F0000}"/>
    <cellStyle name="20 % - Markeringsfarve3 3 2 3 8" xfId="37225" xr:uid="{00000000-0005-0000-0000-0000951F0000}"/>
    <cellStyle name="20 % - Markeringsfarve3 3 2 4" xfId="4502" xr:uid="{00000000-0005-0000-0000-0000961F0000}"/>
    <cellStyle name="20 % - Markeringsfarve3 3 2 4 2" xfId="4503" xr:uid="{00000000-0005-0000-0000-0000971F0000}"/>
    <cellStyle name="20 % - Markeringsfarve3 3 2 4 2 2" xfId="4504" xr:uid="{00000000-0005-0000-0000-0000981F0000}"/>
    <cellStyle name="20 % - Markeringsfarve3 3 2 4 2 2 2" xfId="10108" xr:uid="{00000000-0005-0000-0000-0000991F0000}"/>
    <cellStyle name="20 % - Markeringsfarve3 3 2 4 2 2 2 2" xfId="17963" xr:uid="{00000000-0005-0000-0000-00009A1F0000}"/>
    <cellStyle name="20 % - Markeringsfarve3 3 2 4 2 2 2 2 2" xfId="34239" xr:uid="{00000000-0005-0000-0000-00009B1F0000}"/>
    <cellStyle name="20 % - Markeringsfarve3 3 2 4 2 2 2 2 3" xfId="49198" xr:uid="{00000000-0005-0000-0000-00009C1F0000}"/>
    <cellStyle name="20 % - Markeringsfarve3 3 2 4 2 2 2 3" xfId="27237" xr:uid="{00000000-0005-0000-0000-00009D1F0000}"/>
    <cellStyle name="20 % - Markeringsfarve3 3 2 4 2 2 2 4" xfId="42201" xr:uid="{00000000-0005-0000-0000-00009E1F0000}"/>
    <cellStyle name="20 % - Markeringsfarve3 3 2 4 2 2 3" xfId="12989" xr:uid="{00000000-0005-0000-0000-00009F1F0000}"/>
    <cellStyle name="20 % - Markeringsfarve3 3 2 4 2 2 3 2" xfId="29268" xr:uid="{00000000-0005-0000-0000-0000A01F0000}"/>
    <cellStyle name="20 % - Markeringsfarve3 3 2 4 2 2 3 3" xfId="44229" xr:uid="{00000000-0005-0000-0000-0000A11F0000}"/>
    <cellStyle name="20 % - Markeringsfarve3 3 2 4 2 2 4" xfId="22266" xr:uid="{00000000-0005-0000-0000-0000A21F0000}"/>
    <cellStyle name="20 % - Markeringsfarve3 3 2 4 2 2 5" xfId="37232" xr:uid="{00000000-0005-0000-0000-0000A31F0000}"/>
    <cellStyle name="20 % - Markeringsfarve3 3 2 4 2 3" xfId="8647" xr:uid="{00000000-0005-0000-0000-0000A41F0000}"/>
    <cellStyle name="20 % - Markeringsfarve3 3 2 4 2 3 2" xfId="16514" xr:uid="{00000000-0005-0000-0000-0000A51F0000}"/>
    <cellStyle name="20 % - Markeringsfarve3 3 2 4 2 3 2 2" xfId="32790" xr:uid="{00000000-0005-0000-0000-0000A61F0000}"/>
    <cellStyle name="20 % - Markeringsfarve3 3 2 4 2 3 2 3" xfId="47749" xr:uid="{00000000-0005-0000-0000-0000A71F0000}"/>
    <cellStyle name="20 % - Markeringsfarve3 3 2 4 2 3 3" xfId="25788" xr:uid="{00000000-0005-0000-0000-0000A81F0000}"/>
    <cellStyle name="20 % - Markeringsfarve3 3 2 4 2 3 4" xfId="40752" xr:uid="{00000000-0005-0000-0000-0000A91F0000}"/>
    <cellStyle name="20 % - Markeringsfarve3 3 2 4 2 4" xfId="12988" xr:uid="{00000000-0005-0000-0000-0000AA1F0000}"/>
    <cellStyle name="20 % - Markeringsfarve3 3 2 4 2 4 2" xfId="29267" xr:uid="{00000000-0005-0000-0000-0000AB1F0000}"/>
    <cellStyle name="20 % - Markeringsfarve3 3 2 4 2 4 3" xfId="44228" xr:uid="{00000000-0005-0000-0000-0000AC1F0000}"/>
    <cellStyle name="20 % - Markeringsfarve3 3 2 4 2 5" xfId="22265" xr:uid="{00000000-0005-0000-0000-0000AD1F0000}"/>
    <cellStyle name="20 % - Markeringsfarve3 3 2 4 2 6" xfId="37231" xr:uid="{00000000-0005-0000-0000-0000AE1F0000}"/>
    <cellStyle name="20 % - Markeringsfarve3 3 2 4 3" xfId="4505" xr:uid="{00000000-0005-0000-0000-0000AF1F0000}"/>
    <cellStyle name="20 % - Markeringsfarve3 3 2 4 3 2" xfId="9385" xr:uid="{00000000-0005-0000-0000-0000B01F0000}"/>
    <cellStyle name="20 % - Markeringsfarve3 3 2 4 3 2 2" xfId="17248" xr:uid="{00000000-0005-0000-0000-0000B11F0000}"/>
    <cellStyle name="20 % - Markeringsfarve3 3 2 4 3 2 2 2" xfId="33524" xr:uid="{00000000-0005-0000-0000-0000B21F0000}"/>
    <cellStyle name="20 % - Markeringsfarve3 3 2 4 3 2 2 3" xfId="48483" xr:uid="{00000000-0005-0000-0000-0000B31F0000}"/>
    <cellStyle name="20 % - Markeringsfarve3 3 2 4 3 2 3" xfId="26522" xr:uid="{00000000-0005-0000-0000-0000B41F0000}"/>
    <cellStyle name="20 % - Markeringsfarve3 3 2 4 3 2 4" xfId="41486" xr:uid="{00000000-0005-0000-0000-0000B51F0000}"/>
    <cellStyle name="20 % - Markeringsfarve3 3 2 4 3 3" xfId="12990" xr:uid="{00000000-0005-0000-0000-0000B61F0000}"/>
    <cellStyle name="20 % - Markeringsfarve3 3 2 4 3 3 2" xfId="29269" xr:uid="{00000000-0005-0000-0000-0000B71F0000}"/>
    <cellStyle name="20 % - Markeringsfarve3 3 2 4 3 3 3" xfId="44230" xr:uid="{00000000-0005-0000-0000-0000B81F0000}"/>
    <cellStyle name="20 % - Markeringsfarve3 3 2 4 3 4" xfId="22267" xr:uid="{00000000-0005-0000-0000-0000B91F0000}"/>
    <cellStyle name="20 % - Markeringsfarve3 3 2 4 3 5" xfId="37233" xr:uid="{00000000-0005-0000-0000-0000BA1F0000}"/>
    <cellStyle name="20 % - Markeringsfarve3 3 2 4 4" xfId="4506" xr:uid="{00000000-0005-0000-0000-0000BB1F0000}"/>
    <cellStyle name="20 % - Markeringsfarve3 3 2 4 4 2" xfId="10519" xr:uid="{00000000-0005-0000-0000-0000BC1F0000}"/>
    <cellStyle name="20 % - Markeringsfarve3 3 2 4 4 2 2" xfId="18368" xr:uid="{00000000-0005-0000-0000-0000BD1F0000}"/>
    <cellStyle name="20 % - Markeringsfarve3 3 2 4 4 2 2 2" xfId="34644" xr:uid="{00000000-0005-0000-0000-0000BE1F0000}"/>
    <cellStyle name="20 % - Markeringsfarve3 3 2 4 4 2 2 3" xfId="49603" xr:uid="{00000000-0005-0000-0000-0000BF1F0000}"/>
    <cellStyle name="20 % - Markeringsfarve3 3 2 4 4 2 3" xfId="27642" xr:uid="{00000000-0005-0000-0000-0000C01F0000}"/>
    <cellStyle name="20 % - Markeringsfarve3 3 2 4 4 2 4" xfId="42606" xr:uid="{00000000-0005-0000-0000-0000C11F0000}"/>
    <cellStyle name="20 % - Markeringsfarve3 3 2 4 4 3" xfId="12991" xr:uid="{00000000-0005-0000-0000-0000C21F0000}"/>
    <cellStyle name="20 % - Markeringsfarve3 3 2 4 4 3 2" xfId="29270" xr:uid="{00000000-0005-0000-0000-0000C31F0000}"/>
    <cellStyle name="20 % - Markeringsfarve3 3 2 4 4 3 3" xfId="44231" xr:uid="{00000000-0005-0000-0000-0000C41F0000}"/>
    <cellStyle name="20 % - Markeringsfarve3 3 2 4 4 4" xfId="22268" xr:uid="{00000000-0005-0000-0000-0000C51F0000}"/>
    <cellStyle name="20 % - Markeringsfarve3 3 2 4 4 5" xfId="37234" xr:uid="{00000000-0005-0000-0000-0000C61F0000}"/>
    <cellStyle name="20 % - Markeringsfarve3 3 2 4 5" xfId="7758" xr:uid="{00000000-0005-0000-0000-0000C71F0000}"/>
    <cellStyle name="20 % - Markeringsfarve3 3 2 4 5 2" xfId="15623" xr:uid="{00000000-0005-0000-0000-0000C81F0000}"/>
    <cellStyle name="20 % - Markeringsfarve3 3 2 4 5 2 2" xfId="31899" xr:uid="{00000000-0005-0000-0000-0000C91F0000}"/>
    <cellStyle name="20 % - Markeringsfarve3 3 2 4 5 2 3" xfId="46858" xr:uid="{00000000-0005-0000-0000-0000CA1F0000}"/>
    <cellStyle name="20 % - Markeringsfarve3 3 2 4 5 3" xfId="24897" xr:uid="{00000000-0005-0000-0000-0000CB1F0000}"/>
    <cellStyle name="20 % - Markeringsfarve3 3 2 4 5 4" xfId="39861" xr:uid="{00000000-0005-0000-0000-0000CC1F0000}"/>
    <cellStyle name="20 % - Markeringsfarve3 3 2 4 6" xfId="12987" xr:uid="{00000000-0005-0000-0000-0000CD1F0000}"/>
    <cellStyle name="20 % - Markeringsfarve3 3 2 4 6 2" xfId="29266" xr:uid="{00000000-0005-0000-0000-0000CE1F0000}"/>
    <cellStyle name="20 % - Markeringsfarve3 3 2 4 6 3" xfId="44227" xr:uid="{00000000-0005-0000-0000-0000CF1F0000}"/>
    <cellStyle name="20 % - Markeringsfarve3 3 2 4 7" xfId="22264" xr:uid="{00000000-0005-0000-0000-0000D01F0000}"/>
    <cellStyle name="20 % - Markeringsfarve3 3 2 4 8" xfId="37230" xr:uid="{00000000-0005-0000-0000-0000D11F0000}"/>
    <cellStyle name="20 % - Markeringsfarve3 3 2 5" xfId="4507" xr:uid="{00000000-0005-0000-0000-0000D21F0000}"/>
    <cellStyle name="20 % - Markeringsfarve3 3 2 5 2" xfId="4508" xr:uid="{00000000-0005-0000-0000-0000D31F0000}"/>
    <cellStyle name="20 % - Markeringsfarve3 3 2 5 2 2" xfId="4509" xr:uid="{00000000-0005-0000-0000-0000D41F0000}"/>
    <cellStyle name="20 % - Markeringsfarve3 3 2 5 2 2 2" xfId="10225" xr:uid="{00000000-0005-0000-0000-0000D51F0000}"/>
    <cellStyle name="20 % - Markeringsfarve3 3 2 5 2 2 2 2" xfId="18080" xr:uid="{00000000-0005-0000-0000-0000D61F0000}"/>
    <cellStyle name="20 % - Markeringsfarve3 3 2 5 2 2 2 2 2" xfId="34356" xr:uid="{00000000-0005-0000-0000-0000D71F0000}"/>
    <cellStyle name="20 % - Markeringsfarve3 3 2 5 2 2 2 2 3" xfId="49315" xr:uid="{00000000-0005-0000-0000-0000D81F0000}"/>
    <cellStyle name="20 % - Markeringsfarve3 3 2 5 2 2 2 3" xfId="27354" xr:uid="{00000000-0005-0000-0000-0000D91F0000}"/>
    <cellStyle name="20 % - Markeringsfarve3 3 2 5 2 2 2 4" xfId="42318" xr:uid="{00000000-0005-0000-0000-0000DA1F0000}"/>
    <cellStyle name="20 % - Markeringsfarve3 3 2 5 2 2 3" xfId="12994" xr:uid="{00000000-0005-0000-0000-0000DB1F0000}"/>
    <cellStyle name="20 % - Markeringsfarve3 3 2 5 2 2 3 2" xfId="29273" xr:uid="{00000000-0005-0000-0000-0000DC1F0000}"/>
    <cellStyle name="20 % - Markeringsfarve3 3 2 5 2 2 3 3" xfId="44234" xr:uid="{00000000-0005-0000-0000-0000DD1F0000}"/>
    <cellStyle name="20 % - Markeringsfarve3 3 2 5 2 2 4" xfId="22271" xr:uid="{00000000-0005-0000-0000-0000DE1F0000}"/>
    <cellStyle name="20 % - Markeringsfarve3 3 2 5 2 2 5" xfId="37237" xr:uid="{00000000-0005-0000-0000-0000DF1F0000}"/>
    <cellStyle name="20 % - Markeringsfarve3 3 2 5 2 3" xfId="8746" xr:uid="{00000000-0005-0000-0000-0000E01F0000}"/>
    <cellStyle name="20 % - Markeringsfarve3 3 2 5 2 3 2" xfId="16613" xr:uid="{00000000-0005-0000-0000-0000E11F0000}"/>
    <cellStyle name="20 % - Markeringsfarve3 3 2 5 2 3 2 2" xfId="32889" xr:uid="{00000000-0005-0000-0000-0000E21F0000}"/>
    <cellStyle name="20 % - Markeringsfarve3 3 2 5 2 3 2 3" xfId="47848" xr:uid="{00000000-0005-0000-0000-0000E31F0000}"/>
    <cellStyle name="20 % - Markeringsfarve3 3 2 5 2 3 3" xfId="25887" xr:uid="{00000000-0005-0000-0000-0000E41F0000}"/>
    <cellStyle name="20 % - Markeringsfarve3 3 2 5 2 3 4" xfId="40851" xr:uid="{00000000-0005-0000-0000-0000E51F0000}"/>
    <cellStyle name="20 % - Markeringsfarve3 3 2 5 2 4" xfId="12993" xr:uid="{00000000-0005-0000-0000-0000E61F0000}"/>
    <cellStyle name="20 % - Markeringsfarve3 3 2 5 2 4 2" xfId="29272" xr:uid="{00000000-0005-0000-0000-0000E71F0000}"/>
    <cellStyle name="20 % - Markeringsfarve3 3 2 5 2 4 3" xfId="44233" xr:uid="{00000000-0005-0000-0000-0000E81F0000}"/>
    <cellStyle name="20 % - Markeringsfarve3 3 2 5 2 5" xfId="22270" xr:uid="{00000000-0005-0000-0000-0000E91F0000}"/>
    <cellStyle name="20 % - Markeringsfarve3 3 2 5 2 6" xfId="37236" xr:uid="{00000000-0005-0000-0000-0000EA1F0000}"/>
    <cellStyle name="20 % - Markeringsfarve3 3 2 5 3" xfId="4510" xr:uid="{00000000-0005-0000-0000-0000EB1F0000}"/>
    <cellStyle name="20 % - Markeringsfarve3 3 2 5 3 2" xfId="9502" xr:uid="{00000000-0005-0000-0000-0000EC1F0000}"/>
    <cellStyle name="20 % - Markeringsfarve3 3 2 5 3 2 2" xfId="17365" xr:uid="{00000000-0005-0000-0000-0000ED1F0000}"/>
    <cellStyle name="20 % - Markeringsfarve3 3 2 5 3 2 2 2" xfId="33641" xr:uid="{00000000-0005-0000-0000-0000EE1F0000}"/>
    <cellStyle name="20 % - Markeringsfarve3 3 2 5 3 2 2 3" xfId="48600" xr:uid="{00000000-0005-0000-0000-0000EF1F0000}"/>
    <cellStyle name="20 % - Markeringsfarve3 3 2 5 3 2 3" xfId="26639" xr:uid="{00000000-0005-0000-0000-0000F01F0000}"/>
    <cellStyle name="20 % - Markeringsfarve3 3 2 5 3 2 4" xfId="41603" xr:uid="{00000000-0005-0000-0000-0000F11F0000}"/>
    <cellStyle name="20 % - Markeringsfarve3 3 2 5 3 3" xfId="12995" xr:uid="{00000000-0005-0000-0000-0000F21F0000}"/>
    <cellStyle name="20 % - Markeringsfarve3 3 2 5 3 3 2" xfId="29274" xr:uid="{00000000-0005-0000-0000-0000F31F0000}"/>
    <cellStyle name="20 % - Markeringsfarve3 3 2 5 3 3 3" xfId="44235" xr:uid="{00000000-0005-0000-0000-0000F41F0000}"/>
    <cellStyle name="20 % - Markeringsfarve3 3 2 5 3 4" xfId="22272" xr:uid="{00000000-0005-0000-0000-0000F51F0000}"/>
    <cellStyle name="20 % - Markeringsfarve3 3 2 5 3 5" xfId="37238" xr:uid="{00000000-0005-0000-0000-0000F61F0000}"/>
    <cellStyle name="20 % - Markeringsfarve3 3 2 5 4" xfId="4511" xr:uid="{00000000-0005-0000-0000-0000F71F0000}"/>
    <cellStyle name="20 % - Markeringsfarve3 3 2 5 4 2" xfId="10997" xr:uid="{00000000-0005-0000-0000-0000F81F0000}"/>
    <cellStyle name="20 % - Markeringsfarve3 3 2 5 4 2 2" xfId="18828" xr:uid="{00000000-0005-0000-0000-0000F91F0000}"/>
    <cellStyle name="20 % - Markeringsfarve3 3 2 5 4 2 2 2" xfId="35104" xr:uid="{00000000-0005-0000-0000-0000FA1F0000}"/>
    <cellStyle name="20 % - Markeringsfarve3 3 2 5 4 2 2 3" xfId="50063" xr:uid="{00000000-0005-0000-0000-0000FB1F0000}"/>
    <cellStyle name="20 % - Markeringsfarve3 3 2 5 4 2 3" xfId="28102" xr:uid="{00000000-0005-0000-0000-0000FC1F0000}"/>
    <cellStyle name="20 % - Markeringsfarve3 3 2 5 4 2 4" xfId="43066" xr:uid="{00000000-0005-0000-0000-0000FD1F0000}"/>
    <cellStyle name="20 % - Markeringsfarve3 3 2 5 4 3" xfId="12996" xr:uid="{00000000-0005-0000-0000-0000FE1F0000}"/>
    <cellStyle name="20 % - Markeringsfarve3 3 2 5 4 3 2" xfId="29275" xr:uid="{00000000-0005-0000-0000-0000FF1F0000}"/>
    <cellStyle name="20 % - Markeringsfarve3 3 2 5 4 3 3" xfId="44236" xr:uid="{00000000-0005-0000-0000-000000200000}"/>
    <cellStyle name="20 % - Markeringsfarve3 3 2 5 4 4" xfId="22273" xr:uid="{00000000-0005-0000-0000-000001200000}"/>
    <cellStyle name="20 % - Markeringsfarve3 3 2 5 4 5" xfId="37239" xr:uid="{00000000-0005-0000-0000-000002200000}"/>
    <cellStyle name="20 % - Markeringsfarve3 3 2 5 5" xfId="7759" xr:uid="{00000000-0005-0000-0000-000003200000}"/>
    <cellStyle name="20 % - Markeringsfarve3 3 2 5 5 2" xfId="15624" xr:uid="{00000000-0005-0000-0000-000004200000}"/>
    <cellStyle name="20 % - Markeringsfarve3 3 2 5 5 2 2" xfId="31900" xr:uid="{00000000-0005-0000-0000-000005200000}"/>
    <cellStyle name="20 % - Markeringsfarve3 3 2 5 5 2 3" xfId="46859" xr:uid="{00000000-0005-0000-0000-000006200000}"/>
    <cellStyle name="20 % - Markeringsfarve3 3 2 5 5 3" xfId="24898" xr:uid="{00000000-0005-0000-0000-000007200000}"/>
    <cellStyle name="20 % - Markeringsfarve3 3 2 5 5 4" xfId="39862" xr:uid="{00000000-0005-0000-0000-000008200000}"/>
    <cellStyle name="20 % - Markeringsfarve3 3 2 5 6" xfId="12992" xr:uid="{00000000-0005-0000-0000-000009200000}"/>
    <cellStyle name="20 % - Markeringsfarve3 3 2 5 6 2" xfId="29271" xr:uid="{00000000-0005-0000-0000-00000A200000}"/>
    <cellStyle name="20 % - Markeringsfarve3 3 2 5 6 3" xfId="44232" xr:uid="{00000000-0005-0000-0000-00000B200000}"/>
    <cellStyle name="20 % - Markeringsfarve3 3 2 5 7" xfId="22269" xr:uid="{00000000-0005-0000-0000-00000C200000}"/>
    <cellStyle name="20 % - Markeringsfarve3 3 2 5 8" xfId="37235" xr:uid="{00000000-0005-0000-0000-00000D200000}"/>
    <cellStyle name="20 % - Markeringsfarve3 3 2 6" xfId="4512" xr:uid="{00000000-0005-0000-0000-00000E200000}"/>
    <cellStyle name="20 % - Markeringsfarve3 3 2 6 2" xfId="4513" xr:uid="{00000000-0005-0000-0000-00000F200000}"/>
    <cellStyle name="20 % - Markeringsfarve3 3 2 6 2 2" xfId="4514" xr:uid="{00000000-0005-0000-0000-000010200000}"/>
    <cellStyle name="20 % - Markeringsfarve3 3 2 6 2 2 2" xfId="10308" xr:uid="{00000000-0005-0000-0000-000011200000}"/>
    <cellStyle name="20 % - Markeringsfarve3 3 2 6 2 2 2 2" xfId="18163" xr:uid="{00000000-0005-0000-0000-000012200000}"/>
    <cellStyle name="20 % - Markeringsfarve3 3 2 6 2 2 2 2 2" xfId="34439" xr:uid="{00000000-0005-0000-0000-000013200000}"/>
    <cellStyle name="20 % - Markeringsfarve3 3 2 6 2 2 2 2 3" xfId="49398" xr:uid="{00000000-0005-0000-0000-000014200000}"/>
    <cellStyle name="20 % - Markeringsfarve3 3 2 6 2 2 2 3" xfId="27437" xr:uid="{00000000-0005-0000-0000-000015200000}"/>
    <cellStyle name="20 % - Markeringsfarve3 3 2 6 2 2 2 4" xfId="42401" xr:uid="{00000000-0005-0000-0000-000016200000}"/>
    <cellStyle name="20 % - Markeringsfarve3 3 2 6 2 2 3" xfId="12999" xr:uid="{00000000-0005-0000-0000-000017200000}"/>
    <cellStyle name="20 % - Markeringsfarve3 3 2 6 2 2 3 2" xfId="29278" xr:uid="{00000000-0005-0000-0000-000018200000}"/>
    <cellStyle name="20 % - Markeringsfarve3 3 2 6 2 2 3 3" xfId="44239" xr:uid="{00000000-0005-0000-0000-000019200000}"/>
    <cellStyle name="20 % - Markeringsfarve3 3 2 6 2 2 4" xfId="22276" xr:uid="{00000000-0005-0000-0000-00001A200000}"/>
    <cellStyle name="20 % - Markeringsfarve3 3 2 6 2 2 5" xfId="37242" xr:uid="{00000000-0005-0000-0000-00001B200000}"/>
    <cellStyle name="20 % - Markeringsfarve3 3 2 6 2 3" xfId="8820" xr:uid="{00000000-0005-0000-0000-00001C200000}"/>
    <cellStyle name="20 % - Markeringsfarve3 3 2 6 2 3 2" xfId="16687" xr:uid="{00000000-0005-0000-0000-00001D200000}"/>
    <cellStyle name="20 % - Markeringsfarve3 3 2 6 2 3 2 2" xfId="32963" xr:uid="{00000000-0005-0000-0000-00001E200000}"/>
    <cellStyle name="20 % - Markeringsfarve3 3 2 6 2 3 2 3" xfId="47922" xr:uid="{00000000-0005-0000-0000-00001F200000}"/>
    <cellStyle name="20 % - Markeringsfarve3 3 2 6 2 3 3" xfId="25961" xr:uid="{00000000-0005-0000-0000-000020200000}"/>
    <cellStyle name="20 % - Markeringsfarve3 3 2 6 2 3 4" xfId="40925" xr:uid="{00000000-0005-0000-0000-000021200000}"/>
    <cellStyle name="20 % - Markeringsfarve3 3 2 6 2 4" xfId="12998" xr:uid="{00000000-0005-0000-0000-000022200000}"/>
    <cellStyle name="20 % - Markeringsfarve3 3 2 6 2 4 2" xfId="29277" xr:uid="{00000000-0005-0000-0000-000023200000}"/>
    <cellStyle name="20 % - Markeringsfarve3 3 2 6 2 4 3" xfId="44238" xr:uid="{00000000-0005-0000-0000-000024200000}"/>
    <cellStyle name="20 % - Markeringsfarve3 3 2 6 2 5" xfId="22275" xr:uid="{00000000-0005-0000-0000-000025200000}"/>
    <cellStyle name="20 % - Markeringsfarve3 3 2 6 2 6" xfId="37241" xr:uid="{00000000-0005-0000-0000-000026200000}"/>
    <cellStyle name="20 % - Markeringsfarve3 3 2 6 3" xfId="4515" xr:uid="{00000000-0005-0000-0000-000027200000}"/>
    <cellStyle name="20 % - Markeringsfarve3 3 2 6 3 2" xfId="9586" xr:uid="{00000000-0005-0000-0000-000028200000}"/>
    <cellStyle name="20 % - Markeringsfarve3 3 2 6 3 2 2" xfId="17449" xr:uid="{00000000-0005-0000-0000-000029200000}"/>
    <cellStyle name="20 % - Markeringsfarve3 3 2 6 3 2 2 2" xfId="33725" xr:uid="{00000000-0005-0000-0000-00002A200000}"/>
    <cellStyle name="20 % - Markeringsfarve3 3 2 6 3 2 2 3" xfId="48684" xr:uid="{00000000-0005-0000-0000-00002B200000}"/>
    <cellStyle name="20 % - Markeringsfarve3 3 2 6 3 2 3" xfId="26723" xr:uid="{00000000-0005-0000-0000-00002C200000}"/>
    <cellStyle name="20 % - Markeringsfarve3 3 2 6 3 2 4" xfId="41687" xr:uid="{00000000-0005-0000-0000-00002D200000}"/>
    <cellStyle name="20 % - Markeringsfarve3 3 2 6 3 3" xfId="13000" xr:uid="{00000000-0005-0000-0000-00002E200000}"/>
    <cellStyle name="20 % - Markeringsfarve3 3 2 6 3 3 2" xfId="29279" xr:uid="{00000000-0005-0000-0000-00002F200000}"/>
    <cellStyle name="20 % - Markeringsfarve3 3 2 6 3 3 3" xfId="44240" xr:uid="{00000000-0005-0000-0000-000030200000}"/>
    <cellStyle name="20 % - Markeringsfarve3 3 2 6 3 4" xfId="22277" xr:uid="{00000000-0005-0000-0000-000031200000}"/>
    <cellStyle name="20 % - Markeringsfarve3 3 2 6 3 5" xfId="37243" xr:uid="{00000000-0005-0000-0000-000032200000}"/>
    <cellStyle name="20 % - Markeringsfarve3 3 2 6 4" xfId="4516" xr:uid="{00000000-0005-0000-0000-000033200000}"/>
    <cellStyle name="20 % - Markeringsfarve3 3 2 6 4 2" xfId="10717" xr:uid="{00000000-0005-0000-0000-000034200000}"/>
    <cellStyle name="20 % - Markeringsfarve3 3 2 6 4 2 2" xfId="18561" xr:uid="{00000000-0005-0000-0000-000035200000}"/>
    <cellStyle name="20 % - Markeringsfarve3 3 2 6 4 2 2 2" xfId="34837" xr:uid="{00000000-0005-0000-0000-000036200000}"/>
    <cellStyle name="20 % - Markeringsfarve3 3 2 6 4 2 2 3" xfId="49796" xr:uid="{00000000-0005-0000-0000-000037200000}"/>
    <cellStyle name="20 % - Markeringsfarve3 3 2 6 4 2 3" xfId="27835" xr:uid="{00000000-0005-0000-0000-000038200000}"/>
    <cellStyle name="20 % - Markeringsfarve3 3 2 6 4 2 4" xfId="42799" xr:uid="{00000000-0005-0000-0000-000039200000}"/>
    <cellStyle name="20 % - Markeringsfarve3 3 2 6 4 3" xfId="13001" xr:uid="{00000000-0005-0000-0000-00003A200000}"/>
    <cellStyle name="20 % - Markeringsfarve3 3 2 6 4 3 2" xfId="29280" xr:uid="{00000000-0005-0000-0000-00003B200000}"/>
    <cellStyle name="20 % - Markeringsfarve3 3 2 6 4 3 3" xfId="44241" xr:uid="{00000000-0005-0000-0000-00003C200000}"/>
    <cellStyle name="20 % - Markeringsfarve3 3 2 6 4 4" xfId="22278" xr:uid="{00000000-0005-0000-0000-00003D200000}"/>
    <cellStyle name="20 % - Markeringsfarve3 3 2 6 4 5" xfId="37244" xr:uid="{00000000-0005-0000-0000-00003E200000}"/>
    <cellStyle name="20 % - Markeringsfarve3 3 2 6 5" xfId="7760" xr:uid="{00000000-0005-0000-0000-00003F200000}"/>
    <cellStyle name="20 % - Markeringsfarve3 3 2 6 5 2" xfId="15625" xr:uid="{00000000-0005-0000-0000-000040200000}"/>
    <cellStyle name="20 % - Markeringsfarve3 3 2 6 5 2 2" xfId="31901" xr:uid="{00000000-0005-0000-0000-000041200000}"/>
    <cellStyle name="20 % - Markeringsfarve3 3 2 6 5 2 3" xfId="46860" xr:uid="{00000000-0005-0000-0000-000042200000}"/>
    <cellStyle name="20 % - Markeringsfarve3 3 2 6 5 3" xfId="24899" xr:uid="{00000000-0005-0000-0000-000043200000}"/>
    <cellStyle name="20 % - Markeringsfarve3 3 2 6 5 4" xfId="39863" xr:uid="{00000000-0005-0000-0000-000044200000}"/>
    <cellStyle name="20 % - Markeringsfarve3 3 2 6 6" xfId="12997" xr:uid="{00000000-0005-0000-0000-000045200000}"/>
    <cellStyle name="20 % - Markeringsfarve3 3 2 6 6 2" xfId="29276" xr:uid="{00000000-0005-0000-0000-000046200000}"/>
    <cellStyle name="20 % - Markeringsfarve3 3 2 6 6 3" xfId="44237" xr:uid="{00000000-0005-0000-0000-000047200000}"/>
    <cellStyle name="20 % - Markeringsfarve3 3 2 6 7" xfId="22274" xr:uid="{00000000-0005-0000-0000-000048200000}"/>
    <cellStyle name="20 % - Markeringsfarve3 3 2 6 8" xfId="37240" xr:uid="{00000000-0005-0000-0000-000049200000}"/>
    <cellStyle name="20 % - Markeringsfarve3 3 2 7" xfId="4517" xr:uid="{00000000-0005-0000-0000-00004A200000}"/>
    <cellStyle name="20 % - Markeringsfarve3 3 2 7 2" xfId="4518" xr:uid="{00000000-0005-0000-0000-00004B200000}"/>
    <cellStyle name="20 % - Markeringsfarve3 3 2 7 2 2" xfId="9752" xr:uid="{00000000-0005-0000-0000-00004C200000}"/>
    <cellStyle name="20 % - Markeringsfarve3 3 2 7 2 2 2" xfId="17606" xr:uid="{00000000-0005-0000-0000-00004D200000}"/>
    <cellStyle name="20 % - Markeringsfarve3 3 2 7 2 2 2 2" xfId="33882" xr:uid="{00000000-0005-0000-0000-00004E200000}"/>
    <cellStyle name="20 % - Markeringsfarve3 3 2 7 2 2 2 3" xfId="48841" xr:uid="{00000000-0005-0000-0000-00004F200000}"/>
    <cellStyle name="20 % - Markeringsfarve3 3 2 7 2 2 3" xfId="26880" xr:uid="{00000000-0005-0000-0000-000050200000}"/>
    <cellStyle name="20 % - Markeringsfarve3 3 2 7 2 2 4" xfId="41844" xr:uid="{00000000-0005-0000-0000-000051200000}"/>
    <cellStyle name="20 % - Markeringsfarve3 3 2 7 2 3" xfId="13003" xr:uid="{00000000-0005-0000-0000-000052200000}"/>
    <cellStyle name="20 % - Markeringsfarve3 3 2 7 2 3 2" xfId="29282" xr:uid="{00000000-0005-0000-0000-000053200000}"/>
    <cellStyle name="20 % - Markeringsfarve3 3 2 7 2 3 3" xfId="44243" xr:uid="{00000000-0005-0000-0000-000054200000}"/>
    <cellStyle name="20 % - Markeringsfarve3 3 2 7 2 4" xfId="22280" xr:uid="{00000000-0005-0000-0000-000055200000}"/>
    <cellStyle name="20 % - Markeringsfarve3 3 2 7 2 5" xfId="37246" xr:uid="{00000000-0005-0000-0000-000056200000}"/>
    <cellStyle name="20 % - Markeringsfarve3 3 2 7 3" xfId="8346" xr:uid="{00000000-0005-0000-0000-000057200000}"/>
    <cellStyle name="20 % - Markeringsfarve3 3 2 7 3 2" xfId="16216" xr:uid="{00000000-0005-0000-0000-000058200000}"/>
    <cellStyle name="20 % - Markeringsfarve3 3 2 7 3 2 2" xfId="32492" xr:uid="{00000000-0005-0000-0000-000059200000}"/>
    <cellStyle name="20 % - Markeringsfarve3 3 2 7 3 2 3" xfId="47451" xr:uid="{00000000-0005-0000-0000-00005A200000}"/>
    <cellStyle name="20 % - Markeringsfarve3 3 2 7 3 3" xfId="25490" xr:uid="{00000000-0005-0000-0000-00005B200000}"/>
    <cellStyle name="20 % - Markeringsfarve3 3 2 7 3 4" xfId="40454" xr:uid="{00000000-0005-0000-0000-00005C200000}"/>
    <cellStyle name="20 % - Markeringsfarve3 3 2 7 4" xfId="13002" xr:uid="{00000000-0005-0000-0000-00005D200000}"/>
    <cellStyle name="20 % - Markeringsfarve3 3 2 7 4 2" xfId="29281" xr:uid="{00000000-0005-0000-0000-00005E200000}"/>
    <cellStyle name="20 % - Markeringsfarve3 3 2 7 4 3" xfId="44242" xr:uid="{00000000-0005-0000-0000-00005F200000}"/>
    <cellStyle name="20 % - Markeringsfarve3 3 2 7 5" xfId="22279" xr:uid="{00000000-0005-0000-0000-000060200000}"/>
    <cellStyle name="20 % - Markeringsfarve3 3 2 7 6" xfId="37245" xr:uid="{00000000-0005-0000-0000-000061200000}"/>
    <cellStyle name="20 % - Markeringsfarve3 3 2 8" xfId="4519" xr:uid="{00000000-0005-0000-0000-000062200000}"/>
    <cellStyle name="20 % - Markeringsfarve3 3 2 8 2" xfId="8980" xr:uid="{00000000-0005-0000-0000-000063200000}"/>
    <cellStyle name="20 % - Markeringsfarve3 3 2 8 2 2" xfId="16844" xr:uid="{00000000-0005-0000-0000-000064200000}"/>
    <cellStyle name="20 % - Markeringsfarve3 3 2 8 2 2 2" xfId="33120" xr:uid="{00000000-0005-0000-0000-000065200000}"/>
    <cellStyle name="20 % - Markeringsfarve3 3 2 8 2 2 3" xfId="48079" xr:uid="{00000000-0005-0000-0000-000066200000}"/>
    <cellStyle name="20 % - Markeringsfarve3 3 2 8 2 3" xfId="26118" xr:uid="{00000000-0005-0000-0000-000067200000}"/>
    <cellStyle name="20 % - Markeringsfarve3 3 2 8 2 4" xfId="41082" xr:uid="{00000000-0005-0000-0000-000068200000}"/>
    <cellStyle name="20 % - Markeringsfarve3 3 2 8 3" xfId="13004" xr:uid="{00000000-0005-0000-0000-000069200000}"/>
    <cellStyle name="20 % - Markeringsfarve3 3 2 8 3 2" xfId="29283" xr:uid="{00000000-0005-0000-0000-00006A200000}"/>
    <cellStyle name="20 % - Markeringsfarve3 3 2 8 3 3" xfId="44244" xr:uid="{00000000-0005-0000-0000-00006B200000}"/>
    <cellStyle name="20 % - Markeringsfarve3 3 2 8 4" xfId="22281" xr:uid="{00000000-0005-0000-0000-00006C200000}"/>
    <cellStyle name="20 % - Markeringsfarve3 3 2 8 5" xfId="37247" xr:uid="{00000000-0005-0000-0000-00006D200000}"/>
    <cellStyle name="20 % - Markeringsfarve3 3 2 9" xfId="4520" xr:uid="{00000000-0005-0000-0000-00006E200000}"/>
    <cellStyle name="20 % - Markeringsfarve3 3 2 9 2" xfId="10994" xr:uid="{00000000-0005-0000-0000-00006F200000}"/>
    <cellStyle name="20 % - Markeringsfarve3 3 2 9 2 2" xfId="18825" xr:uid="{00000000-0005-0000-0000-000070200000}"/>
    <cellStyle name="20 % - Markeringsfarve3 3 2 9 2 2 2" xfId="35101" xr:uid="{00000000-0005-0000-0000-000071200000}"/>
    <cellStyle name="20 % - Markeringsfarve3 3 2 9 2 2 3" xfId="50060" xr:uid="{00000000-0005-0000-0000-000072200000}"/>
    <cellStyle name="20 % - Markeringsfarve3 3 2 9 2 3" xfId="28099" xr:uid="{00000000-0005-0000-0000-000073200000}"/>
    <cellStyle name="20 % - Markeringsfarve3 3 2 9 2 4" xfId="43063" xr:uid="{00000000-0005-0000-0000-000074200000}"/>
    <cellStyle name="20 % - Markeringsfarve3 3 2 9 3" xfId="13005" xr:uid="{00000000-0005-0000-0000-000075200000}"/>
    <cellStyle name="20 % - Markeringsfarve3 3 2 9 3 2" xfId="29284" xr:uid="{00000000-0005-0000-0000-000076200000}"/>
    <cellStyle name="20 % - Markeringsfarve3 3 2 9 3 3" xfId="44245" xr:uid="{00000000-0005-0000-0000-000077200000}"/>
    <cellStyle name="20 % - Markeringsfarve3 3 2 9 4" xfId="22282" xr:uid="{00000000-0005-0000-0000-000078200000}"/>
    <cellStyle name="20 % - Markeringsfarve3 3 2 9 5" xfId="37248" xr:uid="{00000000-0005-0000-0000-000079200000}"/>
    <cellStyle name="20 % - Markeringsfarve3 3 3" xfId="4521" xr:uid="{00000000-0005-0000-0000-00007A200000}"/>
    <cellStyle name="20 % - Markeringsfarve3 3 3 10" xfId="7761" xr:uid="{00000000-0005-0000-0000-00007B200000}"/>
    <cellStyle name="20 % - Markeringsfarve3 3 3 10 2" xfId="15626" xr:uid="{00000000-0005-0000-0000-00007C200000}"/>
    <cellStyle name="20 % - Markeringsfarve3 3 3 10 2 2" xfId="31902" xr:uid="{00000000-0005-0000-0000-00007D200000}"/>
    <cellStyle name="20 % - Markeringsfarve3 3 3 10 2 3" xfId="46861" xr:uid="{00000000-0005-0000-0000-00007E200000}"/>
    <cellStyle name="20 % - Markeringsfarve3 3 3 10 3" xfId="24900" xr:uid="{00000000-0005-0000-0000-00007F200000}"/>
    <cellStyle name="20 % - Markeringsfarve3 3 3 10 4" xfId="39864" xr:uid="{00000000-0005-0000-0000-000080200000}"/>
    <cellStyle name="20 % - Markeringsfarve3 3 3 11" xfId="13006" xr:uid="{00000000-0005-0000-0000-000081200000}"/>
    <cellStyle name="20 % - Markeringsfarve3 3 3 11 2" xfId="29285" xr:uid="{00000000-0005-0000-0000-000082200000}"/>
    <cellStyle name="20 % - Markeringsfarve3 3 3 11 3" xfId="44246" xr:uid="{00000000-0005-0000-0000-000083200000}"/>
    <cellStyle name="20 % - Markeringsfarve3 3 3 12" xfId="22283" xr:uid="{00000000-0005-0000-0000-000084200000}"/>
    <cellStyle name="20 % - Markeringsfarve3 3 3 13" xfId="37249" xr:uid="{00000000-0005-0000-0000-000085200000}"/>
    <cellStyle name="20 % - Markeringsfarve3 3 3 2" xfId="4522" xr:uid="{00000000-0005-0000-0000-000086200000}"/>
    <cellStyle name="20 % - Markeringsfarve3 3 3 2 2" xfId="4523" xr:uid="{00000000-0005-0000-0000-000087200000}"/>
    <cellStyle name="20 % - Markeringsfarve3 3 3 2 2 2" xfId="4524" xr:uid="{00000000-0005-0000-0000-000088200000}"/>
    <cellStyle name="20 % - Markeringsfarve3 3 3 2 2 2 2" xfId="9909" xr:uid="{00000000-0005-0000-0000-000089200000}"/>
    <cellStyle name="20 % - Markeringsfarve3 3 3 2 2 2 2 2" xfId="17764" xr:uid="{00000000-0005-0000-0000-00008A200000}"/>
    <cellStyle name="20 % - Markeringsfarve3 3 3 2 2 2 2 2 2" xfId="34040" xr:uid="{00000000-0005-0000-0000-00008B200000}"/>
    <cellStyle name="20 % - Markeringsfarve3 3 3 2 2 2 2 2 3" xfId="48999" xr:uid="{00000000-0005-0000-0000-00008C200000}"/>
    <cellStyle name="20 % - Markeringsfarve3 3 3 2 2 2 2 3" xfId="27038" xr:uid="{00000000-0005-0000-0000-00008D200000}"/>
    <cellStyle name="20 % - Markeringsfarve3 3 3 2 2 2 2 4" xfId="42002" xr:uid="{00000000-0005-0000-0000-00008E200000}"/>
    <cellStyle name="20 % - Markeringsfarve3 3 3 2 2 2 3" xfId="13009" xr:uid="{00000000-0005-0000-0000-00008F200000}"/>
    <cellStyle name="20 % - Markeringsfarve3 3 3 2 2 2 3 2" xfId="29288" xr:uid="{00000000-0005-0000-0000-000090200000}"/>
    <cellStyle name="20 % - Markeringsfarve3 3 3 2 2 2 3 3" xfId="44249" xr:uid="{00000000-0005-0000-0000-000091200000}"/>
    <cellStyle name="20 % - Markeringsfarve3 3 3 2 2 2 4" xfId="22286" xr:uid="{00000000-0005-0000-0000-000092200000}"/>
    <cellStyle name="20 % - Markeringsfarve3 3 3 2 2 2 5" xfId="37252" xr:uid="{00000000-0005-0000-0000-000093200000}"/>
    <cellStyle name="20 % - Markeringsfarve3 3 3 2 2 3" xfId="8478" xr:uid="{00000000-0005-0000-0000-000094200000}"/>
    <cellStyle name="20 % - Markeringsfarve3 3 3 2 2 3 2" xfId="16348" xr:uid="{00000000-0005-0000-0000-000095200000}"/>
    <cellStyle name="20 % - Markeringsfarve3 3 3 2 2 3 2 2" xfId="32624" xr:uid="{00000000-0005-0000-0000-000096200000}"/>
    <cellStyle name="20 % - Markeringsfarve3 3 3 2 2 3 2 3" xfId="47583" xr:uid="{00000000-0005-0000-0000-000097200000}"/>
    <cellStyle name="20 % - Markeringsfarve3 3 3 2 2 3 3" xfId="25622" xr:uid="{00000000-0005-0000-0000-000098200000}"/>
    <cellStyle name="20 % - Markeringsfarve3 3 3 2 2 3 4" xfId="40586" xr:uid="{00000000-0005-0000-0000-000099200000}"/>
    <cellStyle name="20 % - Markeringsfarve3 3 3 2 2 4" xfId="13008" xr:uid="{00000000-0005-0000-0000-00009A200000}"/>
    <cellStyle name="20 % - Markeringsfarve3 3 3 2 2 4 2" xfId="29287" xr:uid="{00000000-0005-0000-0000-00009B200000}"/>
    <cellStyle name="20 % - Markeringsfarve3 3 3 2 2 4 3" xfId="44248" xr:uid="{00000000-0005-0000-0000-00009C200000}"/>
    <cellStyle name="20 % - Markeringsfarve3 3 3 2 2 5" xfId="22285" xr:uid="{00000000-0005-0000-0000-00009D200000}"/>
    <cellStyle name="20 % - Markeringsfarve3 3 3 2 2 6" xfId="37251" xr:uid="{00000000-0005-0000-0000-00009E200000}"/>
    <cellStyle name="20 % - Markeringsfarve3 3 3 2 3" xfId="4525" xr:uid="{00000000-0005-0000-0000-00009F200000}"/>
    <cellStyle name="20 % - Markeringsfarve3 3 3 2 3 2" xfId="9140" xr:uid="{00000000-0005-0000-0000-0000A0200000}"/>
    <cellStyle name="20 % - Markeringsfarve3 3 3 2 3 2 2" xfId="17004" xr:uid="{00000000-0005-0000-0000-0000A1200000}"/>
    <cellStyle name="20 % - Markeringsfarve3 3 3 2 3 2 2 2" xfId="33280" xr:uid="{00000000-0005-0000-0000-0000A2200000}"/>
    <cellStyle name="20 % - Markeringsfarve3 3 3 2 3 2 2 3" xfId="48239" xr:uid="{00000000-0005-0000-0000-0000A3200000}"/>
    <cellStyle name="20 % - Markeringsfarve3 3 3 2 3 2 3" xfId="26278" xr:uid="{00000000-0005-0000-0000-0000A4200000}"/>
    <cellStyle name="20 % - Markeringsfarve3 3 3 2 3 2 4" xfId="41242" xr:uid="{00000000-0005-0000-0000-0000A5200000}"/>
    <cellStyle name="20 % - Markeringsfarve3 3 3 2 3 3" xfId="13010" xr:uid="{00000000-0005-0000-0000-0000A6200000}"/>
    <cellStyle name="20 % - Markeringsfarve3 3 3 2 3 3 2" xfId="29289" xr:uid="{00000000-0005-0000-0000-0000A7200000}"/>
    <cellStyle name="20 % - Markeringsfarve3 3 3 2 3 3 3" xfId="44250" xr:uid="{00000000-0005-0000-0000-0000A8200000}"/>
    <cellStyle name="20 % - Markeringsfarve3 3 3 2 3 4" xfId="22287" xr:uid="{00000000-0005-0000-0000-0000A9200000}"/>
    <cellStyle name="20 % - Markeringsfarve3 3 3 2 3 5" xfId="37253" xr:uid="{00000000-0005-0000-0000-0000AA200000}"/>
    <cellStyle name="20 % - Markeringsfarve3 3 3 2 4" xfId="4526" xr:uid="{00000000-0005-0000-0000-0000AB200000}"/>
    <cellStyle name="20 % - Markeringsfarve3 3 3 2 4 2" xfId="10517" xr:uid="{00000000-0005-0000-0000-0000AC200000}"/>
    <cellStyle name="20 % - Markeringsfarve3 3 3 2 4 2 2" xfId="18366" xr:uid="{00000000-0005-0000-0000-0000AD200000}"/>
    <cellStyle name="20 % - Markeringsfarve3 3 3 2 4 2 2 2" xfId="34642" xr:uid="{00000000-0005-0000-0000-0000AE200000}"/>
    <cellStyle name="20 % - Markeringsfarve3 3 3 2 4 2 2 3" xfId="49601" xr:uid="{00000000-0005-0000-0000-0000AF200000}"/>
    <cellStyle name="20 % - Markeringsfarve3 3 3 2 4 2 3" xfId="27640" xr:uid="{00000000-0005-0000-0000-0000B0200000}"/>
    <cellStyle name="20 % - Markeringsfarve3 3 3 2 4 2 4" xfId="42604" xr:uid="{00000000-0005-0000-0000-0000B1200000}"/>
    <cellStyle name="20 % - Markeringsfarve3 3 3 2 4 3" xfId="13011" xr:uid="{00000000-0005-0000-0000-0000B2200000}"/>
    <cellStyle name="20 % - Markeringsfarve3 3 3 2 4 3 2" xfId="29290" xr:uid="{00000000-0005-0000-0000-0000B3200000}"/>
    <cellStyle name="20 % - Markeringsfarve3 3 3 2 4 3 3" xfId="44251" xr:uid="{00000000-0005-0000-0000-0000B4200000}"/>
    <cellStyle name="20 % - Markeringsfarve3 3 3 2 4 4" xfId="22288" xr:uid="{00000000-0005-0000-0000-0000B5200000}"/>
    <cellStyle name="20 % - Markeringsfarve3 3 3 2 4 5" xfId="37254" xr:uid="{00000000-0005-0000-0000-0000B6200000}"/>
    <cellStyle name="20 % - Markeringsfarve3 3 3 2 5" xfId="7762" xr:uid="{00000000-0005-0000-0000-0000B7200000}"/>
    <cellStyle name="20 % - Markeringsfarve3 3 3 2 5 2" xfId="15627" xr:uid="{00000000-0005-0000-0000-0000B8200000}"/>
    <cellStyle name="20 % - Markeringsfarve3 3 3 2 5 2 2" xfId="31903" xr:uid="{00000000-0005-0000-0000-0000B9200000}"/>
    <cellStyle name="20 % - Markeringsfarve3 3 3 2 5 2 3" xfId="46862" xr:uid="{00000000-0005-0000-0000-0000BA200000}"/>
    <cellStyle name="20 % - Markeringsfarve3 3 3 2 5 3" xfId="24901" xr:uid="{00000000-0005-0000-0000-0000BB200000}"/>
    <cellStyle name="20 % - Markeringsfarve3 3 3 2 5 4" xfId="39865" xr:uid="{00000000-0005-0000-0000-0000BC200000}"/>
    <cellStyle name="20 % - Markeringsfarve3 3 3 2 6" xfId="13007" xr:uid="{00000000-0005-0000-0000-0000BD200000}"/>
    <cellStyle name="20 % - Markeringsfarve3 3 3 2 6 2" xfId="29286" xr:uid="{00000000-0005-0000-0000-0000BE200000}"/>
    <cellStyle name="20 % - Markeringsfarve3 3 3 2 6 3" xfId="44247" xr:uid="{00000000-0005-0000-0000-0000BF200000}"/>
    <cellStyle name="20 % - Markeringsfarve3 3 3 2 7" xfId="22284" xr:uid="{00000000-0005-0000-0000-0000C0200000}"/>
    <cellStyle name="20 % - Markeringsfarve3 3 3 2 8" xfId="37250" xr:uid="{00000000-0005-0000-0000-0000C1200000}"/>
    <cellStyle name="20 % - Markeringsfarve3 3 3 3" xfId="4527" xr:uid="{00000000-0005-0000-0000-0000C2200000}"/>
    <cellStyle name="20 % - Markeringsfarve3 3 3 3 2" xfId="4528" xr:uid="{00000000-0005-0000-0000-0000C3200000}"/>
    <cellStyle name="20 % - Markeringsfarve3 3 3 3 2 2" xfId="4529" xr:uid="{00000000-0005-0000-0000-0000C4200000}"/>
    <cellStyle name="20 % - Markeringsfarve3 3 3 3 2 2 2" xfId="9954" xr:uid="{00000000-0005-0000-0000-0000C5200000}"/>
    <cellStyle name="20 % - Markeringsfarve3 3 3 3 2 2 2 2" xfId="17809" xr:uid="{00000000-0005-0000-0000-0000C6200000}"/>
    <cellStyle name="20 % - Markeringsfarve3 3 3 3 2 2 2 2 2" xfId="34085" xr:uid="{00000000-0005-0000-0000-0000C7200000}"/>
    <cellStyle name="20 % - Markeringsfarve3 3 3 3 2 2 2 2 3" xfId="49044" xr:uid="{00000000-0005-0000-0000-0000C8200000}"/>
    <cellStyle name="20 % - Markeringsfarve3 3 3 3 2 2 2 3" xfId="27083" xr:uid="{00000000-0005-0000-0000-0000C9200000}"/>
    <cellStyle name="20 % - Markeringsfarve3 3 3 3 2 2 2 4" xfId="42047" xr:uid="{00000000-0005-0000-0000-0000CA200000}"/>
    <cellStyle name="20 % - Markeringsfarve3 3 3 3 2 2 3" xfId="13014" xr:uid="{00000000-0005-0000-0000-0000CB200000}"/>
    <cellStyle name="20 % - Markeringsfarve3 3 3 3 2 2 3 2" xfId="29293" xr:uid="{00000000-0005-0000-0000-0000CC200000}"/>
    <cellStyle name="20 % - Markeringsfarve3 3 3 3 2 2 3 3" xfId="44254" xr:uid="{00000000-0005-0000-0000-0000CD200000}"/>
    <cellStyle name="20 % - Markeringsfarve3 3 3 3 2 2 4" xfId="22291" xr:uid="{00000000-0005-0000-0000-0000CE200000}"/>
    <cellStyle name="20 % - Markeringsfarve3 3 3 3 2 2 5" xfId="37257" xr:uid="{00000000-0005-0000-0000-0000CF200000}"/>
    <cellStyle name="20 % - Markeringsfarve3 3 3 3 2 3" xfId="8519" xr:uid="{00000000-0005-0000-0000-0000D0200000}"/>
    <cellStyle name="20 % - Markeringsfarve3 3 3 3 2 3 2" xfId="16389" xr:uid="{00000000-0005-0000-0000-0000D1200000}"/>
    <cellStyle name="20 % - Markeringsfarve3 3 3 3 2 3 2 2" xfId="32665" xr:uid="{00000000-0005-0000-0000-0000D2200000}"/>
    <cellStyle name="20 % - Markeringsfarve3 3 3 3 2 3 2 3" xfId="47624" xr:uid="{00000000-0005-0000-0000-0000D3200000}"/>
    <cellStyle name="20 % - Markeringsfarve3 3 3 3 2 3 3" xfId="25663" xr:uid="{00000000-0005-0000-0000-0000D4200000}"/>
    <cellStyle name="20 % - Markeringsfarve3 3 3 3 2 3 4" xfId="40627" xr:uid="{00000000-0005-0000-0000-0000D5200000}"/>
    <cellStyle name="20 % - Markeringsfarve3 3 3 3 2 4" xfId="13013" xr:uid="{00000000-0005-0000-0000-0000D6200000}"/>
    <cellStyle name="20 % - Markeringsfarve3 3 3 3 2 4 2" xfId="29292" xr:uid="{00000000-0005-0000-0000-0000D7200000}"/>
    <cellStyle name="20 % - Markeringsfarve3 3 3 3 2 4 3" xfId="44253" xr:uid="{00000000-0005-0000-0000-0000D8200000}"/>
    <cellStyle name="20 % - Markeringsfarve3 3 3 3 2 5" xfId="22290" xr:uid="{00000000-0005-0000-0000-0000D9200000}"/>
    <cellStyle name="20 % - Markeringsfarve3 3 3 3 2 6" xfId="37256" xr:uid="{00000000-0005-0000-0000-0000DA200000}"/>
    <cellStyle name="20 % - Markeringsfarve3 3 3 3 3" xfId="4530" xr:uid="{00000000-0005-0000-0000-0000DB200000}"/>
    <cellStyle name="20 % - Markeringsfarve3 3 3 3 3 2" xfId="9185" xr:uid="{00000000-0005-0000-0000-0000DC200000}"/>
    <cellStyle name="20 % - Markeringsfarve3 3 3 3 3 2 2" xfId="17049" xr:uid="{00000000-0005-0000-0000-0000DD200000}"/>
    <cellStyle name="20 % - Markeringsfarve3 3 3 3 3 2 2 2" xfId="33325" xr:uid="{00000000-0005-0000-0000-0000DE200000}"/>
    <cellStyle name="20 % - Markeringsfarve3 3 3 3 3 2 2 3" xfId="48284" xr:uid="{00000000-0005-0000-0000-0000DF200000}"/>
    <cellStyle name="20 % - Markeringsfarve3 3 3 3 3 2 3" xfId="26323" xr:uid="{00000000-0005-0000-0000-0000E0200000}"/>
    <cellStyle name="20 % - Markeringsfarve3 3 3 3 3 2 4" xfId="41287" xr:uid="{00000000-0005-0000-0000-0000E1200000}"/>
    <cellStyle name="20 % - Markeringsfarve3 3 3 3 3 3" xfId="13015" xr:uid="{00000000-0005-0000-0000-0000E2200000}"/>
    <cellStyle name="20 % - Markeringsfarve3 3 3 3 3 3 2" xfId="29294" xr:uid="{00000000-0005-0000-0000-0000E3200000}"/>
    <cellStyle name="20 % - Markeringsfarve3 3 3 3 3 3 3" xfId="44255" xr:uid="{00000000-0005-0000-0000-0000E4200000}"/>
    <cellStyle name="20 % - Markeringsfarve3 3 3 3 3 4" xfId="22292" xr:uid="{00000000-0005-0000-0000-0000E5200000}"/>
    <cellStyle name="20 % - Markeringsfarve3 3 3 3 3 5" xfId="37258" xr:uid="{00000000-0005-0000-0000-0000E6200000}"/>
    <cellStyle name="20 % - Markeringsfarve3 3 3 3 4" xfId="4531" xr:uid="{00000000-0005-0000-0000-0000E7200000}"/>
    <cellStyle name="20 % - Markeringsfarve3 3 3 3 4 2" xfId="10516" xr:uid="{00000000-0005-0000-0000-0000E8200000}"/>
    <cellStyle name="20 % - Markeringsfarve3 3 3 3 4 2 2" xfId="18365" xr:uid="{00000000-0005-0000-0000-0000E9200000}"/>
    <cellStyle name="20 % - Markeringsfarve3 3 3 3 4 2 2 2" xfId="34641" xr:uid="{00000000-0005-0000-0000-0000EA200000}"/>
    <cellStyle name="20 % - Markeringsfarve3 3 3 3 4 2 2 3" xfId="49600" xr:uid="{00000000-0005-0000-0000-0000EB200000}"/>
    <cellStyle name="20 % - Markeringsfarve3 3 3 3 4 2 3" xfId="27639" xr:uid="{00000000-0005-0000-0000-0000EC200000}"/>
    <cellStyle name="20 % - Markeringsfarve3 3 3 3 4 2 4" xfId="42603" xr:uid="{00000000-0005-0000-0000-0000ED200000}"/>
    <cellStyle name="20 % - Markeringsfarve3 3 3 3 4 3" xfId="13016" xr:uid="{00000000-0005-0000-0000-0000EE200000}"/>
    <cellStyle name="20 % - Markeringsfarve3 3 3 3 4 3 2" xfId="29295" xr:uid="{00000000-0005-0000-0000-0000EF200000}"/>
    <cellStyle name="20 % - Markeringsfarve3 3 3 3 4 3 3" xfId="44256" xr:uid="{00000000-0005-0000-0000-0000F0200000}"/>
    <cellStyle name="20 % - Markeringsfarve3 3 3 3 4 4" xfId="22293" xr:uid="{00000000-0005-0000-0000-0000F1200000}"/>
    <cellStyle name="20 % - Markeringsfarve3 3 3 3 4 5" xfId="37259" xr:uid="{00000000-0005-0000-0000-0000F2200000}"/>
    <cellStyle name="20 % - Markeringsfarve3 3 3 3 5" xfId="7763" xr:uid="{00000000-0005-0000-0000-0000F3200000}"/>
    <cellStyle name="20 % - Markeringsfarve3 3 3 3 5 2" xfId="15628" xr:uid="{00000000-0005-0000-0000-0000F4200000}"/>
    <cellStyle name="20 % - Markeringsfarve3 3 3 3 5 2 2" xfId="31904" xr:uid="{00000000-0005-0000-0000-0000F5200000}"/>
    <cellStyle name="20 % - Markeringsfarve3 3 3 3 5 2 3" xfId="46863" xr:uid="{00000000-0005-0000-0000-0000F6200000}"/>
    <cellStyle name="20 % - Markeringsfarve3 3 3 3 5 3" xfId="24902" xr:uid="{00000000-0005-0000-0000-0000F7200000}"/>
    <cellStyle name="20 % - Markeringsfarve3 3 3 3 5 4" xfId="39866" xr:uid="{00000000-0005-0000-0000-0000F8200000}"/>
    <cellStyle name="20 % - Markeringsfarve3 3 3 3 6" xfId="13012" xr:uid="{00000000-0005-0000-0000-0000F9200000}"/>
    <cellStyle name="20 % - Markeringsfarve3 3 3 3 6 2" xfId="29291" xr:uid="{00000000-0005-0000-0000-0000FA200000}"/>
    <cellStyle name="20 % - Markeringsfarve3 3 3 3 6 3" xfId="44252" xr:uid="{00000000-0005-0000-0000-0000FB200000}"/>
    <cellStyle name="20 % - Markeringsfarve3 3 3 3 7" xfId="22289" xr:uid="{00000000-0005-0000-0000-0000FC200000}"/>
    <cellStyle name="20 % - Markeringsfarve3 3 3 3 8" xfId="37255" xr:uid="{00000000-0005-0000-0000-0000FD200000}"/>
    <cellStyle name="20 % - Markeringsfarve3 3 3 4" xfId="4532" xr:uid="{00000000-0005-0000-0000-0000FE200000}"/>
    <cellStyle name="20 % - Markeringsfarve3 3 3 4 2" xfId="4533" xr:uid="{00000000-0005-0000-0000-0000FF200000}"/>
    <cellStyle name="20 % - Markeringsfarve3 3 3 4 2 2" xfId="4534" xr:uid="{00000000-0005-0000-0000-000000210000}"/>
    <cellStyle name="20 % - Markeringsfarve3 3 3 4 2 2 2" xfId="10147" xr:uid="{00000000-0005-0000-0000-000001210000}"/>
    <cellStyle name="20 % - Markeringsfarve3 3 3 4 2 2 2 2" xfId="18002" xr:uid="{00000000-0005-0000-0000-000002210000}"/>
    <cellStyle name="20 % - Markeringsfarve3 3 3 4 2 2 2 2 2" xfId="34278" xr:uid="{00000000-0005-0000-0000-000003210000}"/>
    <cellStyle name="20 % - Markeringsfarve3 3 3 4 2 2 2 2 3" xfId="49237" xr:uid="{00000000-0005-0000-0000-000004210000}"/>
    <cellStyle name="20 % - Markeringsfarve3 3 3 4 2 2 2 3" xfId="27276" xr:uid="{00000000-0005-0000-0000-000005210000}"/>
    <cellStyle name="20 % - Markeringsfarve3 3 3 4 2 2 2 4" xfId="42240" xr:uid="{00000000-0005-0000-0000-000006210000}"/>
    <cellStyle name="20 % - Markeringsfarve3 3 3 4 2 2 3" xfId="13019" xr:uid="{00000000-0005-0000-0000-000007210000}"/>
    <cellStyle name="20 % - Markeringsfarve3 3 3 4 2 2 3 2" xfId="29298" xr:uid="{00000000-0005-0000-0000-000008210000}"/>
    <cellStyle name="20 % - Markeringsfarve3 3 3 4 2 2 3 3" xfId="44259" xr:uid="{00000000-0005-0000-0000-000009210000}"/>
    <cellStyle name="20 % - Markeringsfarve3 3 3 4 2 2 4" xfId="22296" xr:uid="{00000000-0005-0000-0000-00000A210000}"/>
    <cellStyle name="20 % - Markeringsfarve3 3 3 4 2 2 5" xfId="37262" xr:uid="{00000000-0005-0000-0000-00000B210000}"/>
    <cellStyle name="20 % - Markeringsfarve3 3 3 4 2 3" xfId="8680" xr:uid="{00000000-0005-0000-0000-00000C210000}"/>
    <cellStyle name="20 % - Markeringsfarve3 3 3 4 2 3 2" xfId="16547" xr:uid="{00000000-0005-0000-0000-00000D210000}"/>
    <cellStyle name="20 % - Markeringsfarve3 3 3 4 2 3 2 2" xfId="32823" xr:uid="{00000000-0005-0000-0000-00000E210000}"/>
    <cellStyle name="20 % - Markeringsfarve3 3 3 4 2 3 2 3" xfId="47782" xr:uid="{00000000-0005-0000-0000-00000F210000}"/>
    <cellStyle name="20 % - Markeringsfarve3 3 3 4 2 3 3" xfId="25821" xr:uid="{00000000-0005-0000-0000-000010210000}"/>
    <cellStyle name="20 % - Markeringsfarve3 3 3 4 2 3 4" xfId="40785" xr:uid="{00000000-0005-0000-0000-000011210000}"/>
    <cellStyle name="20 % - Markeringsfarve3 3 3 4 2 4" xfId="13018" xr:uid="{00000000-0005-0000-0000-000012210000}"/>
    <cellStyle name="20 % - Markeringsfarve3 3 3 4 2 4 2" xfId="29297" xr:uid="{00000000-0005-0000-0000-000013210000}"/>
    <cellStyle name="20 % - Markeringsfarve3 3 3 4 2 4 3" xfId="44258" xr:uid="{00000000-0005-0000-0000-000014210000}"/>
    <cellStyle name="20 % - Markeringsfarve3 3 3 4 2 5" xfId="22295" xr:uid="{00000000-0005-0000-0000-000015210000}"/>
    <cellStyle name="20 % - Markeringsfarve3 3 3 4 2 6" xfId="37261" xr:uid="{00000000-0005-0000-0000-000016210000}"/>
    <cellStyle name="20 % - Markeringsfarve3 3 3 4 3" xfId="4535" xr:uid="{00000000-0005-0000-0000-000017210000}"/>
    <cellStyle name="20 % - Markeringsfarve3 3 3 4 3 2" xfId="9424" xr:uid="{00000000-0005-0000-0000-000018210000}"/>
    <cellStyle name="20 % - Markeringsfarve3 3 3 4 3 2 2" xfId="17287" xr:uid="{00000000-0005-0000-0000-000019210000}"/>
    <cellStyle name="20 % - Markeringsfarve3 3 3 4 3 2 2 2" xfId="33563" xr:uid="{00000000-0005-0000-0000-00001A210000}"/>
    <cellStyle name="20 % - Markeringsfarve3 3 3 4 3 2 2 3" xfId="48522" xr:uid="{00000000-0005-0000-0000-00001B210000}"/>
    <cellStyle name="20 % - Markeringsfarve3 3 3 4 3 2 3" xfId="26561" xr:uid="{00000000-0005-0000-0000-00001C210000}"/>
    <cellStyle name="20 % - Markeringsfarve3 3 3 4 3 2 4" xfId="41525" xr:uid="{00000000-0005-0000-0000-00001D210000}"/>
    <cellStyle name="20 % - Markeringsfarve3 3 3 4 3 3" xfId="13020" xr:uid="{00000000-0005-0000-0000-00001E210000}"/>
    <cellStyle name="20 % - Markeringsfarve3 3 3 4 3 3 2" xfId="29299" xr:uid="{00000000-0005-0000-0000-00001F210000}"/>
    <cellStyle name="20 % - Markeringsfarve3 3 3 4 3 3 3" xfId="44260" xr:uid="{00000000-0005-0000-0000-000020210000}"/>
    <cellStyle name="20 % - Markeringsfarve3 3 3 4 3 4" xfId="22297" xr:uid="{00000000-0005-0000-0000-000021210000}"/>
    <cellStyle name="20 % - Markeringsfarve3 3 3 4 3 5" xfId="37263" xr:uid="{00000000-0005-0000-0000-000022210000}"/>
    <cellStyle name="20 % - Markeringsfarve3 3 3 4 4" xfId="4536" xr:uid="{00000000-0005-0000-0000-000023210000}"/>
    <cellStyle name="20 % - Markeringsfarve3 3 3 4 4 2" xfId="9041" xr:uid="{00000000-0005-0000-0000-000024210000}"/>
    <cellStyle name="20 % - Markeringsfarve3 3 3 4 4 2 2" xfId="16905" xr:uid="{00000000-0005-0000-0000-000025210000}"/>
    <cellStyle name="20 % - Markeringsfarve3 3 3 4 4 2 2 2" xfId="33181" xr:uid="{00000000-0005-0000-0000-000026210000}"/>
    <cellStyle name="20 % - Markeringsfarve3 3 3 4 4 2 2 3" xfId="48140" xr:uid="{00000000-0005-0000-0000-000027210000}"/>
    <cellStyle name="20 % - Markeringsfarve3 3 3 4 4 2 3" xfId="26179" xr:uid="{00000000-0005-0000-0000-000028210000}"/>
    <cellStyle name="20 % - Markeringsfarve3 3 3 4 4 2 4" xfId="41143" xr:uid="{00000000-0005-0000-0000-000029210000}"/>
    <cellStyle name="20 % - Markeringsfarve3 3 3 4 4 3" xfId="13021" xr:uid="{00000000-0005-0000-0000-00002A210000}"/>
    <cellStyle name="20 % - Markeringsfarve3 3 3 4 4 3 2" xfId="29300" xr:uid="{00000000-0005-0000-0000-00002B210000}"/>
    <cellStyle name="20 % - Markeringsfarve3 3 3 4 4 3 3" xfId="44261" xr:uid="{00000000-0005-0000-0000-00002C210000}"/>
    <cellStyle name="20 % - Markeringsfarve3 3 3 4 4 4" xfId="22298" xr:uid="{00000000-0005-0000-0000-00002D210000}"/>
    <cellStyle name="20 % - Markeringsfarve3 3 3 4 4 5" xfId="37264" xr:uid="{00000000-0005-0000-0000-00002E210000}"/>
    <cellStyle name="20 % - Markeringsfarve3 3 3 4 5" xfId="7764" xr:uid="{00000000-0005-0000-0000-00002F210000}"/>
    <cellStyle name="20 % - Markeringsfarve3 3 3 4 5 2" xfId="15629" xr:uid="{00000000-0005-0000-0000-000030210000}"/>
    <cellStyle name="20 % - Markeringsfarve3 3 3 4 5 2 2" xfId="31905" xr:uid="{00000000-0005-0000-0000-000031210000}"/>
    <cellStyle name="20 % - Markeringsfarve3 3 3 4 5 2 3" xfId="46864" xr:uid="{00000000-0005-0000-0000-000032210000}"/>
    <cellStyle name="20 % - Markeringsfarve3 3 3 4 5 3" xfId="24903" xr:uid="{00000000-0005-0000-0000-000033210000}"/>
    <cellStyle name="20 % - Markeringsfarve3 3 3 4 5 4" xfId="39867" xr:uid="{00000000-0005-0000-0000-000034210000}"/>
    <cellStyle name="20 % - Markeringsfarve3 3 3 4 6" xfId="13017" xr:uid="{00000000-0005-0000-0000-000035210000}"/>
    <cellStyle name="20 % - Markeringsfarve3 3 3 4 6 2" xfId="29296" xr:uid="{00000000-0005-0000-0000-000036210000}"/>
    <cellStyle name="20 % - Markeringsfarve3 3 3 4 6 3" xfId="44257" xr:uid="{00000000-0005-0000-0000-000037210000}"/>
    <cellStyle name="20 % - Markeringsfarve3 3 3 4 7" xfId="22294" xr:uid="{00000000-0005-0000-0000-000038210000}"/>
    <cellStyle name="20 % - Markeringsfarve3 3 3 4 8" xfId="37260" xr:uid="{00000000-0005-0000-0000-000039210000}"/>
    <cellStyle name="20 % - Markeringsfarve3 3 3 5" xfId="4537" xr:uid="{00000000-0005-0000-0000-00003A210000}"/>
    <cellStyle name="20 % - Markeringsfarve3 3 3 5 2" xfId="4538" xr:uid="{00000000-0005-0000-0000-00003B210000}"/>
    <cellStyle name="20 % - Markeringsfarve3 3 3 5 2 2" xfId="4539" xr:uid="{00000000-0005-0000-0000-00003C210000}"/>
    <cellStyle name="20 % - Markeringsfarve3 3 3 5 2 2 2" xfId="10264" xr:uid="{00000000-0005-0000-0000-00003D210000}"/>
    <cellStyle name="20 % - Markeringsfarve3 3 3 5 2 2 2 2" xfId="18119" xr:uid="{00000000-0005-0000-0000-00003E210000}"/>
    <cellStyle name="20 % - Markeringsfarve3 3 3 5 2 2 2 2 2" xfId="34395" xr:uid="{00000000-0005-0000-0000-00003F210000}"/>
    <cellStyle name="20 % - Markeringsfarve3 3 3 5 2 2 2 2 3" xfId="49354" xr:uid="{00000000-0005-0000-0000-000040210000}"/>
    <cellStyle name="20 % - Markeringsfarve3 3 3 5 2 2 2 3" xfId="27393" xr:uid="{00000000-0005-0000-0000-000041210000}"/>
    <cellStyle name="20 % - Markeringsfarve3 3 3 5 2 2 2 4" xfId="42357" xr:uid="{00000000-0005-0000-0000-000042210000}"/>
    <cellStyle name="20 % - Markeringsfarve3 3 3 5 2 2 3" xfId="13024" xr:uid="{00000000-0005-0000-0000-000043210000}"/>
    <cellStyle name="20 % - Markeringsfarve3 3 3 5 2 2 3 2" xfId="29303" xr:uid="{00000000-0005-0000-0000-000044210000}"/>
    <cellStyle name="20 % - Markeringsfarve3 3 3 5 2 2 3 3" xfId="44264" xr:uid="{00000000-0005-0000-0000-000045210000}"/>
    <cellStyle name="20 % - Markeringsfarve3 3 3 5 2 2 4" xfId="22301" xr:uid="{00000000-0005-0000-0000-000046210000}"/>
    <cellStyle name="20 % - Markeringsfarve3 3 3 5 2 2 5" xfId="37267" xr:uid="{00000000-0005-0000-0000-000047210000}"/>
    <cellStyle name="20 % - Markeringsfarve3 3 3 5 2 3" xfId="8779" xr:uid="{00000000-0005-0000-0000-000048210000}"/>
    <cellStyle name="20 % - Markeringsfarve3 3 3 5 2 3 2" xfId="16646" xr:uid="{00000000-0005-0000-0000-000049210000}"/>
    <cellStyle name="20 % - Markeringsfarve3 3 3 5 2 3 2 2" xfId="32922" xr:uid="{00000000-0005-0000-0000-00004A210000}"/>
    <cellStyle name="20 % - Markeringsfarve3 3 3 5 2 3 2 3" xfId="47881" xr:uid="{00000000-0005-0000-0000-00004B210000}"/>
    <cellStyle name="20 % - Markeringsfarve3 3 3 5 2 3 3" xfId="25920" xr:uid="{00000000-0005-0000-0000-00004C210000}"/>
    <cellStyle name="20 % - Markeringsfarve3 3 3 5 2 3 4" xfId="40884" xr:uid="{00000000-0005-0000-0000-00004D210000}"/>
    <cellStyle name="20 % - Markeringsfarve3 3 3 5 2 4" xfId="13023" xr:uid="{00000000-0005-0000-0000-00004E210000}"/>
    <cellStyle name="20 % - Markeringsfarve3 3 3 5 2 4 2" xfId="29302" xr:uid="{00000000-0005-0000-0000-00004F210000}"/>
    <cellStyle name="20 % - Markeringsfarve3 3 3 5 2 4 3" xfId="44263" xr:uid="{00000000-0005-0000-0000-000050210000}"/>
    <cellStyle name="20 % - Markeringsfarve3 3 3 5 2 5" xfId="22300" xr:uid="{00000000-0005-0000-0000-000051210000}"/>
    <cellStyle name="20 % - Markeringsfarve3 3 3 5 2 6" xfId="37266" xr:uid="{00000000-0005-0000-0000-000052210000}"/>
    <cellStyle name="20 % - Markeringsfarve3 3 3 5 3" xfId="4540" xr:uid="{00000000-0005-0000-0000-000053210000}"/>
    <cellStyle name="20 % - Markeringsfarve3 3 3 5 3 2" xfId="9541" xr:uid="{00000000-0005-0000-0000-000054210000}"/>
    <cellStyle name="20 % - Markeringsfarve3 3 3 5 3 2 2" xfId="17404" xr:uid="{00000000-0005-0000-0000-000055210000}"/>
    <cellStyle name="20 % - Markeringsfarve3 3 3 5 3 2 2 2" xfId="33680" xr:uid="{00000000-0005-0000-0000-000056210000}"/>
    <cellStyle name="20 % - Markeringsfarve3 3 3 5 3 2 2 3" xfId="48639" xr:uid="{00000000-0005-0000-0000-000057210000}"/>
    <cellStyle name="20 % - Markeringsfarve3 3 3 5 3 2 3" xfId="26678" xr:uid="{00000000-0005-0000-0000-000058210000}"/>
    <cellStyle name="20 % - Markeringsfarve3 3 3 5 3 2 4" xfId="41642" xr:uid="{00000000-0005-0000-0000-000059210000}"/>
    <cellStyle name="20 % - Markeringsfarve3 3 3 5 3 3" xfId="13025" xr:uid="{00000000-0005-0000-0000-00005A210000}"/>
    <cellStyle name="20 % - Markeringsfarve3 3 3 5 3 3 2" xfId="29304" xr:uid="{00000000-0005-0000-0000-00005B210000}"/>
    <cellStyle name="20 % - Markeringsfarve3 3 3 5 3 3 3" xfId="44265" xr:uid="{00000000-0005-0000-0000-00005C210000}"/>
    <cellStyle name="20 % - Markeringsfarve3 3 3 5 3 4" xfId="22302" xr:uid="{00000000-0005-0000-0000-00005D210000}"/>
    <cellStyle name="20 % - Markeringsfarve3 3 3 5 3 5" xfId="37268" xr:uid="{00000000-0005-0000-0000-00005E210000}"/>
    <cellStyle name="20 % - Markeringsfarve3 3 3 5 4" xfId="4541" xr:uid="{00000000-0005-0000-0000-00005F210000}"/>
    <cellStyle name="20 % - Markeringsfarve3 3 3 5 4 2" xfId="9320" xr:uid="{00000000-0005-0000-0000-000060210000}"/>
    <cellStyle name="20 % - Markeringsfarve3 3 3 5 4 2 2" xfId="17183" xr:uid="{00000000-0005-0000-0000-000061210000}"/>
    <cellStyle name="20 % - Markeringsfarve3 3 3 5 4 2 2 2" xfId="33459" xr:uid="{00000000-0005-0000-0000-000062210000}"/>
    <cellStyle name="20 % - Markeringsfarve3 3 3 5 4 2 2 3" xfId="48418" xr:uid="{00000000-0005-0000-0000-000063210000}"/>
    <cellStyle name="20 % - Markeringsfarve3 3 3 5 4 2 3" xfId="26457" xr:uid="{00000000-0005-0000-0000-000064210000}"/>
    <cellStyle name="20 % - Markeringsfarve3 3 3 5 4 2 4" xfId="41421" xr:uid="{00000000-0005-0000-0000-000065210000}"/>
    <cellStyle name="20 % - Markeringsfarve3 3 3 5 4 3" xfId="13026" xr:uid="{00000000-0005-0000-0000-000066210000}"/>
    <cellStyle name="20 % - Markeringsfarve3 3 3 5 4 3 2" xfId="29305" xr:uid="{00000000-0005-0000-0000-000067210000}"/>
    <cellStyle name="20 % - Markeringsfarve3 3 3 5 4 3 3" xfId="44266" xr:uid="{00000000-0005-0000-0000-000068210000}"/>
    <cellStyle name="20 % - Markeringsfarve3 3 3 5 4 4" xfId="22303" xr:uid="{00000000-0005-0000-0000-000069210000}"/>
    <cellStyle name="20 % - Markeringsfarve3 3 3 5 4 5" xfId="37269" xr:uid="{00000000-0005-0000-0000-00006A210000}"/>
    <cellStyle name="20 % - Markeringsfarve3 3 3 5 5" xfId="7765" xr:uid="{00000000-0005-0000-0000-00006B210000}"/>
    <cellStyle name="20 % - Markeringsfarve3 3 3 5 5 2" xfId="15630" xr:uid="{00000000-0005-0000-0000-00006C210000}"/>
    <cellStyle name="20 % - Markeringsfarve3 3 3 5 5 2 2" xfId="31906" xr:uid="{00000000-0005-0000-0000-00006D210000}"/>
    <cellStyle name="20 % - Markeringsfarve3 3 3 5 5 2 3" xfId="46865" xr:uid="{00000000-0005-0000-0000-00006E210000}"/>
    <cellStyle name="20 % - Markeringsfarve3 3 3 5 5 3" xfId="24904" xr:uid="{00000000-0005-0000-0000-00006F210000}"/>
    <cellStyle name="20 % - Markeringsfarve3 3 3 5 5 4" xfId="39868" xr:uid="{00000000-0005-0000-0000-000070210000}"/>
    <cellStyle name="20 % - Markeringsfarve3 3 3 5 6" xfId="13022" xr:uid="{00000000-0005-0000-0000-000071210000}"/>
    <cellStyle name="20 % - Markeringsfarve3 3 3 5 6 2" xfId="29301" xr:uid="{00000000-0005-0000-0000-000072210000}"/>
    <cellStyle name="20 % - Markeringsfarve3 3 3 5 6 3" xfId="44262" xr:uid="{00000000-0005-0000-0000-000073210000}"/>
    <cellStyle name="20 % - Markeringsfarve3 3 3 5 7" xfId="22299" xr:uid="{00000000-0005-0000-0000-000074210000}"/>
    <cellStyle name="20 % - Markeringsfarve3 3 3 5 8" xfId="37265" xr:uid="{00000000-0005-0000-0000-000075210000}"/>
    <cellStyle name="20 % - Markeringsfarve3 3 3 6" xfId="4542" xr:uid="{00000000-0005-0000-0000-000076210000}"/>
    <cellStyle name="20 % - Markeringsfarve3 3 3 6 2" xfId="4543" xr:uid="{00000000-0005-0000-0000-000077210000}"/>
    <cellStyle name="20 % - Markeringsfarve3 3 3 6 2 2" xfId="4544" xr:uid="{00000000-0005-0000-0000-000078210000}"/>
    <cellStyle name="20 % - Markeringsfarve3 3 3 6 2 2 2" xfId="10309" xr:uid="{00000000-0005-0000-0000-000079210000}"/>
    <cellStyle name="20 % - Markeringsfarve3 3 3 6 2 2 2 2" xfId="18164" xr:uid="{00000000-0005-0000-0000-00007A210000}"/>
    <cellStyle name="20 % - Markeringsfarve3 3 3 6 2 2 2 2 2" xfId="34440" xr:uid="{00000000-0005-0000-0000-00007B210000}"/>
    <cellStyle name="20 % - Markeringsfarve3 3 3 6 2 2 2 2 3" xfId="49399" xr:uid="{00000000-0005-0000-0000-00007C210000}"/>
    <cellStyle name="20 % - Markeringsfarve3 3 3 6 2 2 2 3" xfId="27438" xr:uid="{00000000-0005-0000-0000-00007D210000}"/>
    <cellStyle name="20 % - Markeringsfarve3 3 3 6 2 2 2 4" xfId="42402" xr:uid="{00000000-0005-0000-0000-00007E210000}"/>
    <cellStyle name="20 % - Markeringsfarve3 3 3 6 2 2 3" xfId="13029" xr:uid="{00000000-0005-0000-0000-00007F210000}"/>
    <cellStyle name="20 % - Markeringsfarve3 3 3 6 2 2 3 2" xfId="29308" xr:uid="{00000000-0005-0000-0000-000080210000}"/>
    <cellStyle name="20 % - Markeringsfarve3 3 3 6 2 2 3 3" xfId="44269" xr:uid="{00000000-0005-0000-0000-000081210000}"/>
    <cellStyle name="20 % - Markeringsfarve3 3 3 6 2 2 4" xfId="22306" xr:uid="{00000000-0005-0000-0000-000082210000}"/>
    <cellStyle name="20 % - Markeringsfarve3 3 3 6 2 2 5" xfId="37272" xr:uid="{00000000-0005-0000-0000-000083210000}"/>
    <cellStyle name="20 % - Markeringsfarve3 3 3 6 2 3" xfId="8821" xr:uid="{00000000-0005-0000-0000-000084210000}"/>
    <cellStyle name="20 % - Markeringsfarve3 3 3 6 2 3 2" xfId="16688" xr:uid="{00000000-0005-0000-0000-000085210000}"/>
    <cellStyle name="20 % - Markeringsfarve3 3 3 6 2 3 2 2" xfId="32964" xr:uid="{00000000-0005-0000-0000-000086210000}"/>
    <cellStyle name="20 % - Markeringsfarve3 3 3 6 2 3 2 3" xfId="47923" xr:uid="{00000000-0005-0000-0000-000087210000}"/>
    <cellStyle name="20 % - Markeringsfarve3 3 3 6 2 3 3" xfId="25962" xr:uid="{00000000-0005-0000-0000-000088210000}"/>
    <cellStyle name="20 % - Markeringsfarve3 3 3 6 2 3 4" xfId="40926" xr:uid="{00000000-0005-0000-0000-000089210000}"/>
    <cellStyle name="20 % - Markeringsfarve3 3 3 6 2 4" xfId="13028" xr:uid="{00000000-0005-0000-0000-00008A210000}"/>
    <cellStyle name="20 % - Markeringsfarve3 3 3 6 2 4 2" xfId="29307" xr:uid="{00000000-0005-0000-0000-00008B210000}"/>
    <cellStyle name="20 % - Markeringsfarve3 3 3 6 2 4 3" xfId="44268" xr:uid="{00000000-0005-0000-0000-00008C210000}"/>
    <cellStyle name="20 % - Markeringsfarve3 3 3 6 2 5" xfId="22305" xr:uid="{00000000-0005-0000-0000-00008D210000}"/>
    <cellStyle name="20 % - Markeringsfarve3 3 3 6 2 6" xfId="37271" xr:uid="{00000000-0005-0000-0000-00008E210000}"/>
    <cellStyle name="20 % - Markeringsfarve3 3 3 6 3" xfId="4545" xr:uid="{00000000-0005-0000-0000-00008F210000}"/>
    <cellStyle name="20 % - Markeringsfarve3 3 3 6 3 2" xfId="9587" xr:uid="{00000000-0005-0000-0000-000090210000}"/>
    <cellStyle name="20 % - Markeringsfarve3 3 3 6 3 2 2" xfId="17450" xr:uid="{00000000-0005-0000-0000-000091210000}"/>
    <cellStyle name="20 % - Markeringsfarve3 3 3 6 3 2 2 2" xfId="33726" xr:uid="{00000000-0005-0000-0000-000092210000}"/>
    <cellStyle name="20 % - Markeringsfarve3 3 3 6 3 2 2 3" xfId="48685" xr:uid="{00000000-0005-0000-0000-000093210000}"/>
    <cellStyle name="20 % - Markeringsfarve3 3 3 6 3 2 3" xfId="26724" xr:uid="{00000000-0005-0000-0000-000094210000}"/>
    <cellStyle name="20 % - Markeringsfarve3 3 3 6 3 2 4" xfId="41688" xr:uid="{00000000-0005-0000-0000-000095210000}"/>
    <cellStyle name="20 % - Markeringsfarve3 3 3 6 3 3" xfId="13030" xr:uid="{00000000-0005-0000-0000-000096210000}"/>
    <cellStyle name="20 % - Markeringsfarve3 3 3 6 3 3 2" xfId="29309" xr:uid="{00000000-0005-0000-0000-000097210000}"/>
    <cellStyle name="20 % - Markeringsfarve3 3 3 6 3 3 3" xfId="44270" xr:uid="{00000000-0005-0000-0000-000098210000}"/>
    <cellStyle name="20 % - Markeringsfarve3 3 3 6 3 4" xfId="22307" xr:uid="{00000000-0005-0000-0000-000099210000}"/>
    <cellStyle name="20 % - Markeringsfarve3 3 3 6 3 5" xfId="37273" xr:uid="{00000000-0005-0000-0000-00009A210000}"/>
    <cellStyle name="20 % - Markeringsfarve3 3 3 6 4" xfId="4546" xr:uid="{00000000-0005-0000-0000-00009B210000}"/>
    <cellStyle name="20 % - Markeringsfarve3 3 3 6 4 2" xfId="9311" xr:uid="{00000000-0005-0000-0000-00009C210000}"/>
    <cellStyle name="20 % - Markeringsfarve3 3 3 6 4 2 2" xfId="17174" xr:uid="{00000000-0005-0000-0000-00009D210000}"/>
    <cellStyle name="20 % - Markeringsfarve3 3 3 6 4 2 2 2" xfId="33450" xr:uid="{00000000-0005-0000-0000-00009E210000}"/>
    <cellStyle name="20 % - Markeringsfarve3 3 3 6 4 2 2 3" xfId="48409" xr:uid="{00000000-0005-0000-0000-00009F210000}"/>
    <cellStyle name="20 % - Markeringsfarve3 3 3 6 4 2 3" xfId="26448" xr:uid="{00000000-0005-0000-0000-0000A0210000}"/>
    <cellStyle name="20 % - Markeringsfarve3 3 3 6 4 2 4" xfId="41412" xr:uid="{00000000-0005-0000-0000-0000A1210000}"/>
    <cellStyle name="20 % - Markeringsfarve3 3 3 6 4 3" xfId="13031" xr:uid="{00000000-0005-0000-0000-0000A2210000}"/>
    <cellStyle name="20 % - Markeringsfarve3 3 3 6 4 3 2" xfId="29310" xr:uid="{00000000-0005-0000-0000-0000A3210000}"/>
    <cellStyle name="20 % - Markeringsfarve3 3 3 6 4 3 3" xfId="44271" xr:uid="{00000000-0005-0000-0000-0000A4210000}"/>
    <cellStyle name="20 % - Markeringsfarve3 3 3 6 4 4" xfId="22308" xr:uid="{00000000-0005-0000-0000-0000A5210000}"/>
    <cellStyle name="20 % - Markeringsfarve3 3 3 6 4 5" xfId="37274" xr:uid="{00000000-0005-0000-0000-0000A6210000}"/>
    <cellStyle name="20 % - Markeringsfarve3 3 3 6 5" xfId="7766" xr:uid="{00000000-0005-0000-0000-0000A7210000}"/>
    <cellStyle name="20 % - Markeringsfarve3 3 3 6 5 2" xfId="15631" xr:uid="{00000000-0005-0000-0000-0000A8210000}"/>
    <cellStyle name="20 % - Markeringsfarve3 3 3 6 5 2 2" xfId="31907" xr:uid="{00000000-0005-0000-0000-0000A9210000}"/>
    <cellStyle name="20 % - Markeringsfarve3 3 3 6 5 2 3" xfId="46866" xr:uid="{00000000-0005-0000-0000-0000AA210000}"/>
    <cellStyle name="20 % - Markeringsfarve3 3 3 6 5 3" xfId="24905" xr:uid="{00000000-0005-0000-0000-0000AB210000}"/>
    <cellStyle name="20 % - Markeringsfarve3 3 3 6 5 4" xfId="39869" xr:uid="{00000000-0005-0000-0000-0000AC210000}"/>
    <cellStyle name="20 % - Markeringsfarve3 3 3 6 6" xfId="13027" xr:uid="{00000000-0005-0000-0000-0000AD210000}"/>
    <cellStyle name="20 % - Markeringsfarve3 3 3 6 6 2" xfId="29306" xr:uid="{00000000-0005-0000-0000-0000AE210000}"/>
    <cellStyle name="20 % - Markeringsfarve3 3 3 6 6 3" xfId="44267" xr:uid="{00000000-0005-0000-0000-0000AF210000}"/>
    <cellStyle name="20 % - Markeringsfarve3 3 3 6 7" xfId="22304" xr:uid="{00000000-0005-0000-0000-0000B0210000}"/>
    <cellStyle name="20 % - Markeringsfarve3 3 3 6 8" xfId="37270" xr:uid="{00000000-0005-0000-0000-0000B1210000}"/>
    <cellStyle name="20 % - Markeringsfarve3 3 3 7" xfId="4547" xr:uid="{00000000-0005-0000-0000-0000B2210000}"/>
    <cellStyle name="20 % - Markeringsfarve3 3 3 7 2" xfId="4548" xr:uid="{00000000-0005-0000-0000-0000B3210000}"/>
    <cellStyle name="20 % - Markeringsfarve3 3 3 7 2 2" xfId="9791" xr:uid="{00000000-0005-0000-0000-0000B4210000}"/>
    <cellStyle name="20 % - Markeringsfarve3 3 3 7 2 2 2" xfId="17645" xr:uid="{00000000-0005-0000-0000-0000B5210000}"/>
    <cellStyle name="20 % - Markeringsfarve3 3 3 7 2 2 2 2" xfId="33921" xr:uid="{00000000-0005-0000-0000-0000B6210000}"/>
    <cellStyle name="20 % - Markeringsfarve3 3 3 7 2 2 2 3" xfId="48880" xr:uid="{00000000-0005-0000-0000-0000B7210000}"/>
    <cellStyle name="20 % - Markeringsfarve3 3 3 7 2 2 3" xfId="26919" xr:uid="{00000000-0005-0000-0000-0000B8210000}"/>
    <cellStyle name="20 % - Markeringsfarve3 3 3 7 2 2 4" xfId="41883" xr:uid="{00000000-0005-0000-0000-0000B9210000}"/>
    <cellStyle name="20 % - Markeringsfarve3 3 3 7 2 3" xfId="13033" xr:uid="{00000000-0005-0000-0000-0000BA210000}"/>
    <cellStyle name="20 % - Markeringsfarve3 3 3 7 2 3 2" xfId="29312" xr:uid="{00000000-0005-0000-0000-0000BB210000}"/>
    <cellStyle name="20 % - Markeringsfarve3 3 3 7 2 3 3" xfId="44273" xr:uid="{00000000-0005-0000-0000-0000BC210000}"/>
    <cellStyle name="20 % - Markeringsfarve3 3 3 7 2 4" xfId="22310" xr:uid="{00000000-0005-0000-0000-0000BD210000}"/>
    <cellStyle name="20 % - Markeringsfarve3 3 3 7 2 5" xfId="37276" xr:uid="{00000000-0005-0000-0000-0000BE210000}"/>
    <cellStyle name="20 % - Markeringsfarve3 3 3 7 3" xfId="8379" xr:uid="{00000000-0005-0000-0000-0000BF210000}"/>
    <cellStyle name="20 % - Markeringsfarve3 3 3 7 3 2" xfId="16249" xr:uid="{00000000-0005-0000-0000-0000C0210000}"/>
    <cellStyle name="20 % - Markeringsfarve3 3 3 7 3 2 2" xfId="32525" xr:uid="{00000000-0005-0000-0000-0000C1210000}"/>
    <cellStyle name="20 % - Markeringsfarve3 3 3 7 3 2 3" xfId="47484" xr:uid="{00000000-0005-0000-0000-0000C2210000}"/>
    <cellStyle name="20 % - Markeringsfarve3 3 3 7 3 3" xfId="25523" xr:uid="{00000000-0005-0000-0000-0000C3210000}"/>
    <cellStyle name="20 % - Markeringsfarve3 3 3 7 3 4" xfId="40487" xr:uid="{00000000-0005-0000-0000-0000C4210000}"/>
    <cellStyle name="20 % - Markeringsfarve3 3 3 7 4" xfId="13032" xr:uid="{00000000-0005-0000-0000-0000C5210000}"/>
    <cellStyle name="20 % - Markeringsfarve3 3 3 7 4 2" xfId="29311" xr:uid="{00000000-0005-0000-0000-0000C6210000}"/>
    <cellStyle name="20 % - Markeringsfarve3 3 3 7 4 3" xfId="44272" xr:uid="{00000000-0005-0000-0000-0000C7210000}"/>
    <cellStyle name="20 % - Markeringsfarve3 3 3 7 5" xfId="22309" xr:uid="{00000000-0005-0000-0000-0000C8210000}"/>
    <cellStyle name="20 % - Markeringsfarve3 3 3 7 6" xfId="37275" xr:uid="{00000000-0005-0000-0000-0000C9210000}"/>
    <cellStyle name="20 % - Markeringsfarve3 3 3 8" xfId="4549" xr:uid="{00000000-0005-0000-0000-0000CA210000}"/>
    <cellStyle name="20 % - Markeringsfarve3 3 3 8 2" xfId="9019" xr:uid="{00000000-0005-0000-0000-0000CB210000}"/>
    <cellStyle name="20 % - Markeringsfarve3 3 3 8 2 2" xfId="16883" xr:uid="{00000000-0005-0000-0000-0000CC210000}"/>
    <cellStyle name="20 % - Markeringsfarve3 3 3 8 2 2 2" xfId="33159" xr:uid="{00000000-0005-0000-0000-0000CD210000}"/>
    <cellStyle name="20 % - Markeringsfarve3 3 3 8 2 2 3" xfId="48118" xr:uid="{00000000-0005-0000-0000-0000CE210000}"/>
    <cellStyle name="20 % - Markeringsfarve3 3 3 8 2 3" xfId="26157" xr:uid="{00000000-0005-0000-0000-0000CF210000}"/>
    <cellStyle name="20 % - Markeringsfarve3 3 3 8 2 4" xfId="41121" xr:uid="{00000000-0005-0000-0000-0000D0210000}"/>
    <cellStyle name="20 % - Markeringsfarve3 3 3 8 3" xfId="13034" xr:uid="{00000000-0005-0000-0000-0000D1210000}"/>
    <cellStyle name="20 % - Markeringsfarve3 3 3 8 3 2" xfId="29313" xr:uid="{00000000-0005-0000-0000-0000D2210000}"/>
    <cellStyle name="20 % - Markeringsfarve3 3 3 8 3 3" xfId="44274" xr:uid="{00000000-0005-0000-0000-0000D3210000}"/>
    <cellStyle name="20 % - Markeringsfarve3 3 3 8 4" xfId="22311" xr:uid="{00000000-0005-0000-0000-0000D4210000}"/>
    <cellStyle name="20 % - Markeringsfarve3 3 3 8 5" xfId="37277" xr:uid="{00000000-0005-0000-0000-0000D5210000}"/>
    <cellStyle name="20 % - Markeringsfarve3 3 3 9" xfId="4550" xr:uid="{00000000-0005-0000-0000-0000D6210000}"/>
    <cellStyle name="20 % - Markeringsfarve3 3 3 9 2" xfId="10518" xr:uid="{00000000-0005-0000-0000-0000D7210000}"/>
    <cellStyle name="20 % - Markeringsfarve3 3 3 9 2 2" xfId="18367" xr:uid="{00000000-0005-0000-0000-0000D8210000}"/>
    <cellStyle name="20 % - Markeringsfarve3 3 3 9 2 2 2" xfId="34643" xr:uid="{00000000-0005-0000-0000-0000D9210000}"/>
    <cellStyle name="20 % - Markeringsfarve3 3 3 9 2 2 3" xfId="49602" xr:uid="{00000000-0005-0000-0000-0000DA210000}"/>
    <cellStyle name="20 % - Markeringsfarve3 3 3 9 2 3" xfId="27641" xr:uid="{00000000-0005-0000-0000-0000DB210000}"/>
    <cellStyle name="20 % - Markeringsfarve3 3 3 9 2 4" xfId="42605" xr:uid="{00000000-0005-0000-0000-0000DC210000}"/>
    <cellStyle name="20 % - Markeringsfarve3 3 3 9 3" xfId="13035" xr:uid="{00000000-0005-0000-0000-0000DD210000}"/>
    <cellStyle name="20 % - Markeringsfarve3 3 3 9 3 2" xfId="29314" xr:uid="{00000000-0005-0000-0000-0000DE210000}"/>
    <cellStyle name="20 % - Markeringsfarve3 3 3 9 3 3" xfId="44275" xr:uid="{00000000-0005-0000-0000-0000DF210000}"/>
    <cellStyle name="20 % - Markeringsfarve3 3 3 9 4" xfId="22312" xr:uid="{00000000-0005-0000-0000-0000E0210000}"/>
    <cellStyle name="20 % - Markeringsfarve3 3 3 9 5" xfId="37278" xr:uid="{00000000-0005-0000-0000-0000E1210000}"/>
    <cellStyle name="20 % - Markeringsfarve3 3 4" xfId="4551" xr:uid="{00000000-0005-0000-0000-0000E2210000}"/>
    <cellStyle name="20 % - Markeringsfarve3 3 4 2" xfId="4552" xr:uid="{00000000-0005-0000-0000-0000E3210000}"/>
    <cellStyle name="20 % - Markeringsfarve3 3 4 2 2" xfId="4553" xr:uid="{00000000-0005-0000-0000-0000E4210000}"/>
    <cellStyle name="20 % - Markeringsfarve3 3 4 2 2 2" xfId="9831" xr:uid="{00000000-0005-0000-0000-0000E5210000}"/>
    <cellStyle name="20 % - Markeringsfarve3 3 4 2 2 2 2" xfId="17686" xr:uid="{00000000-0005-0000-0000-0000E6210000}"/>
    <cellStyle name="20 % - Markeringsfarve3 3 4 2 2 2 2 2" xfId="33962" xr:uid="{00000000-0005-0000-0000-0000E7210000}"/>
    <cellStyle name="20 % - Markeringsfarve3 3 4 2 2 2 2 3" xfId="48921" xr:uid="{00000000-0005-0000-0000-0000E8210000}"/>
    <cellStyle name="20 % - Markeringsfarve3 3 4 2 2 2 3" xfId="26960" xr:uid="{00000000-0005-0000-0000-0000E9210000}"/>
    <cellStyle name="20 % - Markeringsfarve3 3 4 2 2 2 4" xfId="41924" xr:uid="{00000000-0005-0000-0000-0000EA210000}"/>
    <cellStyle name="20 % - Markeringsfarve3 3 4 2 2 3" xfId="13038" xr:uid="{00000000-0005-0000-0000-0000EB210000}"/>
    <cellStyle name="20 % - Markeringsfarve3 3 4 2 2 3 2" xfId="29317" xr:uid="{00000000-0005-0000-0000-0000EC210000}"/>
    <cellStyle name="20 % - Markeringsfarve3 3 4 2 2 3 3" xfId="44278" xr:uid="{00000000-0005-0000-0000-0000ED210000}"/>
    <cellStyle name="20 % - Markeringsfarve3 3 4 2 2 4" xfId="22315" xr:uid="{00000000-0005-0000-0000-0000EE210000}"/>
    <cellStyle name="20 % - Markeringsfarve3 3 4 2 2 5" xfId="37281" xr:uid="{00000000-0005-0000-0000-0000EF210000}"/>
    <cellStyle name="20 % - Markeringsfarve3 3 4 2 3" xfId="8412" xr:uid="{00000000-0005-0000-0000-0000F0210000}"/>
    <cellStyle name="20 % - Markeringsfarve3 3 4 2 3 2" xfId="16282" xr:uid="{00000000-0005-0000-0000-0000F1210000}"/>
    <cellStyle name="20 % - Markeringsfarve3 3 4 2 3 2 2" xfId="32558" xr:uid="{00000000-0005-0000-0000-0000F2210000}"/>
    <cellStyle name="20 % - Markeringsfarve3 3 4 2 3 2 3" xfId="47517" xr:uid="{00000000-0005-0000-0000-0000F3210000}"/>
    <cellStyle name="20 % - Markeringsfarve3 3 4 2 3 3" xfId="25556" xr:uid="{00000000-0005-0000-0000-0000F4210000}"/>
    <cellStyle name="20 % - Markeringsfarve3 3 4 2 3 4" xfId="40520" xr:uid="{00000000-0005-0000-0000-0000F5210000}"/>
    <cellStyle name="20 % - Markeringsfarve3 3 4 2 4" xfId="13037" xr:uid="{00000000-0005-0000-0000-0000F6210000}"/>
    <cellStyle name="20 % - Markeringsfarve3 3 4 2 4 2" xfId="29316" xr:uid="{00000000-0005-0000-0000-0000F7210000}"/>
    <cellStyle name="20 % - Markeringsfarve3 3 4 2 4 3" xfId="44277" xr:uid="{00000000-0005-0000-0000-0000F8210000}"/>
    <cellStyle name="20 % - Markeringsfarve3 3 4 2 5" xfId="22314" xr:uid="{00000000-0005-0000-0000-0000F9210000}"/>
    <cellStyle name="20 % - Markeringsfarve3 3 4 2 6" xfId="37280" xr:uid="{00000000-0005-0000-0000-0000FA210000}"/>
    <cellStyle name="20 % - Markeringsfarve3 3 4 3" xfId="4554" xr:uid="{00000000-0005-0000-0000-0000FB210000}"/>
    <cellStyle name="20 % - Markeringsfarve3 3 4 3 2" xfId="9062" xr:uid="{00000000-0005-0000-0000-0000FC210000}"/>
    <cellStyle name="20 % - Markeringsfarve3 3 4 3 2 2" xfId="16926" xr:uid="{00000000-0005-0000-0000-0000FD210000}"/>
    <cellStyle name="20 % - Markeringsfarve3 3 4 3 2 2 2" xfId="33202" xr:uid="{00000000-0005-0000-0000-0000FE210000}"/>
    <cellStyle name="20 % - Markeringsfarve3 3 4 3 2 2 3" xfId="48161" xr:uid="{00000000-0005-0000-0000-0000FF210000}"/>
    <cellStyle name="20 % - Markeringsfarve3 3 4 3 2 3" xfId="26200" xr:uid="{00000000-0005-0000-0000-000000220000}"/>
    <cellStyle name="20 % - Markeringsfarve3 3 4 3 2 4" xfId="41164" xr:uid="{00000000-0005-0000-0000-000001220000}"/>
    <cellStyle name="20 % - Markeringsfarve3 3 4 3 3" xfId="13039" xr:uid="{00000000-0005-0000-0000-000002220000}"/>
    <cellStyle name="20 % - Markeringsfarve3 3 4 3 3 2" xfId="29318" xr:uid="{00000000-0005-0000-0000-000003220000}"/>
    <cellStyle name="20 % - Markeringsfarve3 3 4 3 3 3" xfId="44279" xr:uid="{00000000-0005-0000-0000-000004220000}"/>
    <cellStyle name="20 % - Markeringsfarve3 3 4 3 4" xfId="22316" xr:uid="{00000000-0005-0000-0000-000005220000}"/>
    <cellStyle name="20 % - Markeringsfarve3 3 4 3 5" xfId="37282" xr:uid="{00000000-0005-0000-0000-000006220000}"/>
    <cellStyle name="20 % - Markeringsfarve3 3 4 4" xfId="4555" xr:uid="{00000000-0005-0000-0000-000007220000}"/>
    <cellStyle name="20 % - Markeringsfarve3 3 4 4 2" xfId="11002" xr:uid="{00000000-0005-0000-0000-000008220000}"/>
    <cellStyle name="20 % - Markeringsfarve3 3 4 4 2 2" xfId="18833" xr:uid="{00000000-0005-0000-0000-000009220000}"/>
    <cellStyle name="20 % - Markeringsfarve3 3 4 4 2 2 2" xfId="35109" xr:uid="{00000000-0005-0000-0000-00000A220000}"/>
    <cellStyle name="20 % - Markeringsfarve3 3 4 4 2 2 3" xfId="50068" xr:uid="{00000000-0005-0000-0000-00000B220000}"/>
    <cellStyle name="20 % - Markeringsfarve3 3 4 4 2 3" xfId="28107" xr:uid="{00000000-0005-0000-0000-00000C220000}"/>
    <cellStyle name="20 % - Markeringsfarve3 3 4 4 2 4" xfId="43071" xr:uid="{00000000-0005-0000-0000-00000D220000}"/>
    <cellStyle name="20 % - Markeringsfarve3 3 4 4 3" xfId="13040" xr:uid="{00000000-0005-0000-0000-00000E220000}"/>
    <cellStyle name="20 % - Markeringsfarve3 3 4 4 3 2" xfId="29319" xr:uid="{00000000-0005-0000-0000-00000F220000}"/>
    <cellStyle name="20 % - Markeringsfarve3 3 4 4 3 3" xfId="44280" xr:uid="{00000000-0005-0000-0000-000010220000}"/>
    <cellStyle name="20 % - Markeringsfarve3 3 4 4 4" xfId="22317" xr:uid="{00000000-0005-0000-0000-000011220000}"/>
    <cellStyle name="20 % - Markeringsfarve3 3 4 4 5" xfId="37283" xr:uid="{00000000-0005-0000-0000-000012220000}"/>
    <cellStyle name="20 % - Markeringsfarve3 3 4 5" xfId="7767" xr:uid="{00000000-0005-0000-0000-000013220000}"/>
    <cellStyle name="20 % - Markeringsfarve3 3 4 5 2" xfId="15632" xr:uid="{00000000-0005-0000-0000-000014220000}"/>
    <cellStyle name="20 % - Markeringsfarve3 3 4 5 2 2" xfId="31908" xr:uid="{00000000-0005-0000-0000-000015220000}"/>
    <cellStyle name="20 % - Markeringsfarve3 3 4 5 2 3" xfId="46867" xr:uid="{00000000-0005-0000-0000-000016220000}"/>
    <cellStyle name="20 % - Markeringsfarve3 3 4 5 3" xfId="24906" xr:uid="{00000000-0005-0000-0000-000017220000}"/>
    <cellStyle name="20 % - Markeringsfarve3 3 4 5 4" xfId="39870" xr:uid="{00000000-0005-0000-0000-000018220000}"/>
    <cellStyle name="20 % - Markeringsfarve3 3 4 6" xfId="13036" xr:uid="{00000000-0005-0000-0000-000019220000}"/>
    <cellStyle name="20 % - Markeringsfarve3 3 4 6 2" xfId="29315" xr:uid="{00000000-0005-0000-0000-00001A220000}"/>
    <cellStyle name="20 % - Markeringsfarve3 3 4 6 3" xfId="44276" xr:uid="{00000000-0005-0000-0000-00001B220000}"/>
    <cellStyle name="20 % - Markeringsfarve3 3 4 7" xfId="22313" xr:uid="{00000000-0005-0000-0000-00001C220000}"/>
    <cellStyle name="20 % - Markeringsfarve3 3 4 8" xfId="37279" xr:uid="{00000000-0005-0000-0000-00001D220000}"/>
    <cellStyle name="20 % - Markeringsfarve3 3 5" xfId="4556" xr:uid="{00000000-0005-0000-0000-00001E220000}"/>
    <cellStyle name="20 % - Markeringsfarve3 3 5 2" xfId="4557" xr:uid="{00000000-0005-0000-0000-00001F220000}"/>
    <cellStyle name="20 % - Markeringsfarve3 3 5 2 2" xfId="4558" xr:uid="{00000000-0005-0000-0000-000020220000}"/>
    <cellStyle name="20 % - Markeringsfarve3 3 5 2 2 2" xfId="9952" xr:uid="{00000000-0005-0000-0000-000021220000}"/>
    <cellStyle name="20 % - Markeringsfarve3 3 5 2 2 2 2" xfId="17807" xr:uid="{00000000-0005-0000-0000-000022220000}"/>
    <cellStyle name="20 % - Markeringsfarve3 3 5 2 2 2 2 2" xfId="34083" xr:uid="{00000000-0005-0000-0000-000023220000}"/>
    <cellStyle name="20 % - Markeringsfarve3 3 5 2 2 2 2 3" xfId="49042" xr:uid="{00000000-0005-0000-0000-000024220000}"/>
    <cellStyle name="20 % - Markeringsfarve3 3 5 2 2 2 3" xfId="27081" xr:uid="{00000000-0005-0000-0000-000025220000}"/>
    <cellStyle name="20 % - Markeringsfarve3 3 5 2 2 2 4" xfId="42045" xr:uid="{00000000-0005-0000-0000-000026220000}"/>
    <cellStyle name="20 % - Markeringsfarve3 3 5 2 2 3" xfId="13043" xr:uid="{00000000-0005-0000-0000-000027220000}"/>
    <cellStyle name="20 % - Markeringsfarve3 3 5 2 2 3 2" xfId="29322" xr:uid="{00000000-0005-0000-0000-000028220000}"/>
    <cellStyle name="20 % - Markeringsfarve3 3 5 2 2 3 3" xfId="44283" xr:uid="{00000000-0005-0000-0000-000029220000}"/>
    <cellStyle name="20 % - Markeringsfarve3 3 5 2 2 4" xfId="22320" xr:uid="{00000000-0005-0000-0000-00002A220000}"/>
    <cellStyle name="20 % - Markeringsfarve3 3 5 2 2 5" xfId="37286" xr:uid="{00000000-0005-0000-0000-00002B220000}"/>
    <cellStyle name="20 % - Markeringsfarve3 3 5 2 3" xfId="8517" xr:uid="{00000000-0005-0000-0000-00002C220000}"/>
    <cellStyle name="20 % - Markeringsfarve3 3 5 2 3 2" xfId="16387" xr:uid="{00000000-0005-0000-0000-00002D220000}"/>
    <cellStyle name="20 % - Markeringsfarve3 3 5 2 3 2 2" xfId="32663" xr:uid="{00000000-0005-0000-0000-00002E220000}"/>
    <cellStyle name="20 % - Markeringsfarve3 3 5 2 3 2 3" xfId="47622" xr:uid="{00000000-0005-0000-0000-00002F220000}"/>
    <cellStyle name="20 % - Markeringsfarve3 3 5 2 3 3" xfId="25661" xr:uid="{00000000-0005-0000-0000-000030220000}"/>
    <cellStyle name="20 % - Markeringsfarve3 3 5 2 3 4" xfId="40625" xr:uid="{00000000-0005-0000-0000-000031220000}"/>
    <cellStyle name="20 % - Markeringsfarve3 3 5 2 4" xfId="13042" xr:uid="{00000000-0005-0000-0000-000032220000}"/>
    <cellStyle name="20 % - Markeringsfarve3 3 5 2 4 2" xfId="29321" xr:uid="{00000000-0005-0000-0000-000033220000}"/>
    <cellStyle name="20 % - Markeringsfarve3 3 5 2 4 3" xfId="44282" xr:uid="{00000000-0005-0000-0000-000034220000}"/>
    <cellStyle name="20 % - Markeringsfarve3 3 5 2 5" xfId="22319" xr:uid="{00000000-0005-0000-0000-000035220000}"/>
    <cellStyle name="20 % - Markeringsfarve3 3 5 2 6" xfId="37285" xr:uid="{00000000-0005-0000-0000-000036220000}"/>
    <cellStyle name="20 % - Markeringsfarve3 3 5 3" xfId="4559" xr:uid="{00000000-0005-0000-0000-000037220000}"/>
    <cellStyle name="20 % - Markeringsfarve3 3 5 3 2" xfId="9183" xr:uid="{00000000-0005-0000-0000-000038220000}"/>
    <cellStyle name="20 % - Markeringsfarve3 3 5 3 2 2" xfId="17047" xr:uid="{00000000-0005-0000-0000-000039220000}"/>
    <cellStyle name="20 % - Markeringsfarve3 3 5 3 2 2 2" xfId="33323" xr:uid="{00000000-0005-0000-0000-00003A220000}"/>
    <cellStyle name="20 % - Markeringsfarve3 3 5 3 2 2 3" xfId="48282" xr:uid="{00000000-0005-0000-0000-00003B220000}"/>
    <cellStyle name="20 % - Markeringsfarve3 3 5 3 2 3" xfId="26321" xr:uid="{00000000-0005-0000-0000-00003C220000}"/>
    <cellStyle name="20 % - Markeringsfarve3 3 5 3 2 4" xfId="41285" xr:uid="{00000000-0005-0000-0000-00003D220000}"/>
    <cellStyle name="20 % - Markeringsfarve3 3 5 3 3" xfId="13044" xr:uid="{00000000-0005-0000-0000-00003E220000}"/>
    <cellStyle name="20 % - Markeringsfarve3 3 5 3 3 2" xfId="29323" xr:uid="{00000000-0005-0000-0000-00003F220000}"/>
    <cellStyle name="20 % - Markeringsfarve3 3 5 3 3 3" xfId="44284" xr:uid="{00000000-0005-0000-0000-000040220000}"/>
    <cellStyle name="20 % - Markeringsfarve3 3 5 3 4" xfId="22321" xr:uid="{00000000-0005-0000-0000-000041220000}"/>
    <cellStyle name="20 % - Markeringsfarve3 3 5 3 5" xfId="37287" xr:uid="{00000000-0005-0000-0000-000042220000}"/>
    <cellStyle name="20 % - Markeringsfarve3 3 5 4" xfId="4560" xr:uid="{00000000-0005-0000-0000-000043220000}"/>
    <cellStyle name="20 % - Markeringsfarve3 3 5 4 2" xfId="10727" xr:uid="{00000000-0005-0000-0000-000044220000}"/>
    <cellStyle name="20 % - Markeringsfarve3 3 5 4 2 2" xfId="18571" xr:uid="{00000000-0005-0000-0000-000045220000}"/>
    <cellStyle name="20 % - Markeringsfarve3 3 5 4 2 2 2" xfId="34847" xr:uid="{00000000-0005-0000-0000-000046220000}"/>
    <cellStyle name="20 % - Markeringsfarve3 3 5 4 2 2 3" xfId="49806" xr:uid="{00000000-0005-0000-0000-000047220000}"/>
    <cellStyle name="20 % - Markeringsfarve3 3 5 4 2 3" xfId="27845" xr:uid="{00000000-0005-0000-0000-000048220000}"/>
    <cellStyle name="20 % - Markeringsfarve3 3 5 4 2 4" xfId="42809" xr:uid="{00000000-0005-0000-0000-000049220000}"/>
    <cellStyle name="20 % - Markeringsfarve3 3 5 4 3" xfId="13045" xr:uid="{00000000-0005-0000-0000-00004A220000}"/>
    <cellStyle name="20 % - Markeringsfarve3 3 5 4 3 2" xfId="29324" xr:uid="{00000000-0005-0000-0000-00004B220000}"/>
    <cellStyle name="20 % - Markeringsfarve3 3 5 4 3 3" xfId="44285" xr:uid="{00000000-0005-0000-0000-00004C220000}"/>
    <cellStyle name="20 % - Markeringsfarve3 3 5 4 4" xfId="22322" xr:uid="{00000000-0005-0000-0000-00004D220000}"/>
    <cellStyle name="20 % - Markeringsfarve3 3 5 4 5" xfId="37288" xr:uid="{00000000-0005-0000-0000-00004E220000}"/>
    <cellStyle name="20 % - Markeringsfarve3 3 5 5" xfId="7768" xr:uid="{00000000-0005-0000-0000-00004F220000}"/>
    <cellStyle name="20 % - Markeringsfarve3 3 5 5 2" xfId="15633" xr:uid="{00000000-0005-0000-0000-000050220000}"/>
    <cellStyle name="20 % - Markeringsfarve3 3 5 5 2 2" xfId="31909" xr:uid="{00000000-0005-0000-0000-000051220000}"/>
    <cellStyle name="20 % - Markeringsfarve3 3 5 5 2 3" xfId="46868" xr:uid="{00000000-0005-0000-0000-000052220000}"/>
    <cellStyle name="20 % - Markeringsfarve3 3 5 5 3" xfId="24907" xr:uid="{00000000-0005-0000-0000-000053220000}"/>
    <cellStyle name="20 % - Markeringsfarve3 3 5 5 4" xfId="39871" xr:uid="{00000000-0005-0000-0000-000054220000}"/>
    <cellStyle name="20 % - Markeringsfarve3 3 5 6" xfId="13041" xr:uid="{00000000-0005-0000-0000-000055220000}"/>
    <cellStyle name="20 % - Markeringsfarve3 3 5 6 2" xfId="29320" xr:uid="{00000000-0005-0000-0000-000056220000}"/>
    <cellStyle name="20 % - Markeringsfarve3 3 5 6 3" xfId="44281" xr:uid="{00000000-0005-0000-0000-000057220000}"/>
    <cellStyle name="20 % - Markeringsfarve3 3 5 7" xfId="22318" xr:uid="{00000000-0005-0000-0000-000058220000}"/>
    <cellStyle name="20 % - Markeringsfarve3 3 5 8" xfId="37284" xr:uid="{00000000-0005-0000-0000-000059220000}"/>
    <cellStyle name="20 % - Markeringsfarve3 3 6" xfId="4561" xr:uid="{00000000-0005-0000-0000-00005A220000}"/>
    <cellStyle name="20 % - Markeringsfarve3 3 6 2" xfId="4562" xr:uid="{00000000-0005-0000-0000-00005B220000}"/>
    <cellStyle name="20 % - Markeringsfarve3 3 6 2 2" xfId="4563" xr:uid="{00000000-0005-0000-0000-00005C220000}"/>
    <cellStyle name="20 % - Markeringsfarve3 3 6 2 2 2" xfId="10069" xr:uid="{00000000-0005-0000-0000-00005D220000}"/>
    <cellStyle name="20 % - Markeringsfarve3 3 6 2 2 2 2" xfId="17924" xr:uid="{00000000-0005-0000-0000-00005E220000}"/>
    <cellStyle name="20 % - Markeringsfarve3 3 6 2 2 2 2 2" xfId="34200" xr:uid="{00000000-0005-0000-0000-00005F220000}"/>
    <cellStyle name="20 % - Markeringsfarve3 3 6 2 2 2 2 3" xfId="49159" xr:uid="{00000000-0005-0000-0000-000060220000}"/>
    <cellStyle name="20 % - Markeringsfarve3 3 6 2 2 2 3" xfId="27198" xr:uid="{00000000-0005-0000-0000-000061220000}"/>
    <cellStyle name="20 % - Markeringsfarve3 3 6 2 2 2 4" xfId="42162" xr:uid="{00000000-0005-0000-0000-000062220000}"/>
    <cellStyle name="20 % - Markeringsfarve3 3 6 2 2 3" xfId="13048" xr:uid="{00000000-0005-0000-0000-000063220000}"/>
    <cellStyle name="20 % - Markeringsfarve3 3 6 2 2 3 2" xfId="29327" xr:uid="{00000000-0005-0000-0000-000064220000}"/>
    <cellStyle name="20 % - Markeringsfarve3 3 6 2 2 3 3" xfId="44288" xr:uid="{00000000-0005-0000-0000-000065220000}"/>
    <cellStyle name="20 % - Markeringsfarve3 3 6 2 2 4" xfId="22325" xr:uid="{00000000-0005-0000-0000-000066220000}"/>
    <cellStyle name="20 % - Markeringsfarve3 3 6 2 2 5" xfId="37291" xr:uid="{00000000-0005-0000-0000-000067220000}"/>
    <cellStyle name="20 % - Markeringsfarve3 3 6 2 3" xfId="8614" xr:uid="{00000000-0005-0000-0000-000068220000}"/>
    <cellStyle name="20 % - Markeringsfarve3 3 6 2 3 2" xfId="16481" xr:uid="{00000000-0005-0000-0000-000069220000}"/>
    <cellStyle name="20 % - Markeringsfarve3 3 6 2 3 2 2" xfId="32757" xr:uid="{00000000-0005-0000-0000-00006A220000}"/>
    <cellStyle name="20 % - Markeringsfarve3 3 6 2 3 2 3" xfId="47716" xr:uid="{00000000-0005-0000-0000-00006B220000}"/>
    <cellStyle name="20 % - Markeringsfarve3 3 6 2 3 3" xfId="25755" xr:uid="{00000000-0005-0000-0000-00006C220000}"/>
    <cellStyle name="20 % - Markeringsfarve3 3 6 2 3 4" xfId="40719" xr:uid="{00000000-0005-0000-0000-00006D220000}"/>
    <cellStyle name="20 % - Markeringsfarve3 3 6 2 4" xfId="13047" xr:uid="{00000000-0005-0000-0000-00006E220000}"/>
    <cellStyle name="20 % - Markeringsfarve3 3 6 2 4 2" xfId="29326" xr:uid="{00000000-0005-0000-0000-00006F220000}"/>
    <cellStyle name="20 % - Markeringsfarve3 3 6 2 4 3" xfId="44287" xr:uid="{00000000-0005-0000-0000-000070220000}"/>
    <cellStyle name="20 % - Markeringsfarve3 3 6 2 5" xfId="22324" xr:uid="{00000000-0005-0000-0000-000071220000}"/>
    <cellStyle name="20 % - Markeringsfarve3 3 6 2 6" xfId="37290" xr:uid="{00000000-0005-0000-0000-000072220000}"/>
    <cellStyle name="20 % - Markeringsfarve3 3 6 3" xfId="4564" xr:uid="{00000000-0005-0000-0000-000073220000}"/>
    <cellStyle name="20 % - Markeringsfarve3 3 6 3 2" xfId="9346" xr:uid="{00000000-0005-0000-0000-000074220000}"/>
    <cellStyle name="20 % - Markeringsfarve3 3 6 3 2 2" xfId="17209" xr:uid="{00000000-0005-0000-0000-000075220000}"/>
    <cellStyle name="20 % - Markeringsfarve3 3 6 3 2 2 2" xfId="33485" xr:uid="{00000000-0005-0000-0000-000076220000}"/>
    <cellStyle name="20 % - Markeringsfarve3 3 6 3 2 2 3" xfId="48444" xr:uid="{00000000-0005-0000-0000-000077220000}"/>
    <cellStyle name="20 % - Markeringsfarve3 3 6 3 2 3" xfId="26483" xr:uid="{00000000-0005-0000-0000-000078220000}"/>
    <cellStyle name="20 % - Markeringsfarve3 3 6 3 2 4" xfId="41447" xr:uid="{00000000-0005-0000-0000-000079220000}"/>
    <cellStyle name="20 % - Markeringsfarve3 3 6 3 3" xfId="13049" xr:uid="{00000000-0005-0000-0000-00007A220000}"/>
    <cellStyle name="20 % - Markeringsfarve3 3 6 3 3 2" xfId="29328" xr:uid="{00000000-0005-0000-0000-00007B220000}"/>
    <cellStyle name="20 % - Markeringsfarve3 3 6 3 3 3" xfId="44289" xr:uid="{00000000-0005-0000-0000-00007C220000}"/>
    <cellStyle name="20 % - Markeringsfarve3 3 6 3 4" xfId="22326" xr:uid="{00000000-0005-0000-0000-00007D220000}"/>
    <cellStyle name="20 % - Markeringsfarve3 3 6 3 5" xfId="37292" xr:uid="{00000000-0005-0000-0000-00007E220000}"/>
    <cellStyle name="20 % - Markeringsfarve3 3 6 4" xfId="4565" xr:uid="{00000000-0005-0000-0000-00007F220000}"/>
    <cellStyle name="20 % - Markeringsfarve3 3 6 4 2" xfId="11001" xr:uid="{00000000-0005-0000-0000-000080220000}"/>
    <cellStyle name="20 % - Markeringsfarve3 3 6 4 2 2" xfId="18832" xr:uid="{00000000-0005-0000-0000-000081220000}"/>
    <cellStyle name="20 % - Markeringsfarve3 3 6 4 2 2 2" xfId="35108" xr:uid="{00000000-0005-0000-0000-000082220000}"/>
    <cellStyle name="20 % - Markeringsfarve3 3 6 4 2 2 3" xfId="50067" xr:uid="{00000000-0005-0000-0000-000083220000}"/>
    <cellStyle name="20 % - Markeringsfarve3 3 6 4 2 3" xfId="28106" xr:uid="{00000000-0005-0000-0000-000084220000}"/>
    <cellStyle name="20 % - Markeringsfarve3 3 6 4 2 4" xfId="43070" xr:uid="{00000000-0005-0000-0000-000085220000}"/>
    <cellStyle name="20 % - Markeringsfarve3 3 6 4 3" xfId="13050" xr:uid="{00000000-0005-0000-0000-000086220000}"/>
    <cellStyle name="20 % - Markeringsfarve3 3 6 4 3 2" xfId="29329" xr:uid="{00000000-0005-0000-0000-000087220000}"/>
    <cellStyle name="20 % - Markeringsfarve3 3 6 4 3 3" xfId="44290" xr:uid="{00000000-0005-0000-0000-000088220000}"/>
    <cellStyle name="20 % - Markeringsfarve3 3 6 4 4" xfId="22327" xr:uid="{00000000-0005-0000-0000-000089220000}"/>
    <cellStyle name="20 % - Markeringsfarve3 3 6 4 5" xfId="37293" xr:uid="{00000000-0005-0000-0000-00008A220000}"/>
    <cellStyle name="20 % - Markeringsfarve3 3 6 5" xfId="7769" xr:uid="{00000000-0005-0000-0000-00008B220000}"/>
    <cellStyle name="20 % - Markeringsfarve3 3 6 5 2" xfId="15634" xr:uid="{00000000-0005-0000-0000-00008C220000}"/>
    <cellStyle name="20 % - Markeringsfarve3 3 6 5 2 2" xfId="31910" xr:uid="{00000000-0005-0000-0000-00008D220000}"/>
    <cellStyle name="20 % - Markeringsfarve3 3 6 5 2 3" xfId="46869" xr:uid="{00000000-0005-0000-0000-00008E220000}"/>
    <cellStyle name="20 % - Markeringsfarve3 3 6 5 3" xfId="24908" xr:uid="{00000000-0005-0000-0000-00008F220000}"/>
    <cellStyle name="20 % - Markeringsfarve3 3 6 5 4" xfId="39872" xr:uid="{00000000-0005-0000-0000-000090220000}"/>
    <cellStyle name="20 % - Markeringsfarve3 3 6 6" xfId="13046" xr:uid="{00000000-0005-0000-0000-000091220000}"/>
    <cellStyle name="20 % - Markeringsfarve3 3 6 6 2" xfId="29325" xr:uid="{00000000-0005-0000-0000-000092220000}"/>
    <cellStyle name="20 % - Markeringsfarve3 3 6 6 3" xfId="44286" xr:uid="{00000000-0005-0000-0000-000093220000}"/>
    <cellStyle name="20 % - Markeringsfarve3 3 6 7" xfId="22323" xr:uid="{00000000-0005-0000-0000-000094220000}"/>
    <cellStyle name="20 % - Markeringsfarve3 3 6 8" xfId="37289" xr:uid="{00000000-0005-0000-0000-000095220000}"/>
    <cellStyle name="20 % - Markeringsfarve3 3 7" xfId="4566" xr:uid="{00000000-0005-0000-0000-000096220000}"/>
    <cellStyle name="20 % - Markeringsfarve3 3 7 2" xfId="4567" xr:uid="{00000000-0005-0000-0000-000097220000}"/>
    <cellStyle name="20 % - Markeringsfarve3 3 7 2 2" xfId="4568" xr:uid="{00000000-0005-0000-0000-000098220000}"/>
    <cellStyle name="20 % - Markeringsfarve3 3 7 2 2 2" xfId="10186" xr:uid="{00000000-0005-0000-0000-000099220000}"/>
    <cellStyle name="20 % - Markeringsfarve3 3 7 2 2 2 2" xfId="18041" xr:uid="{00000000-0005-0000-0000-00009A220000}"/>
    <cellStyle name="20 % - Markeringsfarve3 3 7 2 2 2 2 2" xfId="34317" xr:uid="{00000000-0005-0000-0000-00009B220000}"/>
    <cellStyle name="20 % - Markeringsfarve3 3 7 2 2 2 2 3" xfId="49276" xr:uid="{00000000-0005-0000-0000-00009C220000}"/>
    <cellStyle name="20 % - Markeringsfarve3 3 7 2 2 2 3" xfId="27315" xr:uid="{00000000-0005-0000-0000-00009D220000}"/>
    <cellStyle name="20 % - Markeringsfarve3 3 7 2 2 2 4" xfId="42279" xr:uid="{00000000-0005-0000-0000-00009E220000}"/>
    <cellStyle name="20 % - Markeringsfarve3 3 7 2 2 3" xfId="13053" xr:uid="{00000000-0005-0000-0000-00009F220000}"/>
    <cellStyle name="20 % - Markeringsfarve3 3 7 2 2 3 2" xfId="29332" xr:uid="{00000000-0005-0000-0000-0000A0220000}"/>
    <cellStyle name="20 % - Markeringsfarve3 3 7 2 2 3 3" xfId="44293" xr:uid="{00000000-0005-0000-0000-0000A1220000}"/>
    <cellStyle name="20 % - Markeringsfarve3 3 7 2 2 4" xfId="22330" xr:uid="{00000000-0005-0000-0000-0000A2220000}"/>
    <cellStyle name="20 % - Markeringsfarve3 3 7 2 2 5" xfId="37296" xr:uid="{00000000-0005-0000-0000-0000A3220000}"/>
    <cellStyle name="20 % - Markeringsfarve3 3 7 2 3" xfId="8713" xr:uid="{00000000-0005-0000-0000-0000A4220000}"/>
    <cellStyle name="20 % - Markeringsfarve3 3 7 2 3 2" xfId="16580" xr:uid="{00000000-0005-0000-0000-0000A5220000}"/>
    <cellStyle name="20 % - Markeringsfarve3 3 7 2 3 2 2" xfId="32856" xr:uid="{00000000-0005-0000-0000-0000A6220000}"/>
    <cellStyle name="20 % - Markeringsfarve3 3 7 2 3 2 3" xfId="47815" xr:uid="{00000000-0005-0000-0000-0000A7220000}"/>
    <cellStyle name="20 % - Markeringsfarve3 3 7 2 3 3" xfId="25854" xr:uid="{00000000-0005-0000-0000-0000A8220000}"/>
    <cellStyle name="20 % - Markeringsfarve3 3 7 2 3 4" xfId="40818" xr:uid="{00000000-0005-0000-0000-0000A9220000}"/>
    <cellStyle name="20 % - Markeringsfarve3 3 7 2 4" xfId="13052" xr:uid="{00000000-0005-0000-0000-0000AA220000}"/>
    <cellStyle name="20 % - Markeringsfarve3 3 7 2 4 2" xfId="29331" xr:uid="{00000000-0005-0000-0000-0000AB220000}"/>
    <cellStyle name="20 % - Markeringsfarve3 3 7 2 4 3" xfId="44292" xr:uid="{00000000-0005-0000-0000-0000AC220000}"/>
    <cellStyle name="20 % - Markeringsfarve3 3 7 2 5" xfId="22329" xr:uid="{00000000-0005-0000-0000-0000AD220000}"/>
    <cellStyle name="20 % - Markeringsfarve3 3 7 2 6" xfId="37295" xr:uid="{00000000-0005-0000-0000-0000AE220000}"/>
    <cellStyle name="20 % - Markeringsfarve3 3 7 3" xfId="4569" xr:uid="{00000000-0005-0000-0000-0000AF220000}"/>
    <cellStyle name="20 % - Markeringsfarve3 3 7 3 2" xfId="9463" xr:uid="{00000000-0005-0000-0000-0000B0220000}"/>
    <cellStyle name="20 % - Markeringsfarve3 3 7 3 2 2" xfId="17326" xr:uid="{00000000-0005-0000-0000-0000B1220000}"/>
    <cellStyle name="20 % - Markeringsfarve3 3 7 3 2 2 2" xfId="33602" xr:uid="{00000000-0005-0000-0000-0000B2220000}"/>
    <cellStyle name="20 % - Markeringsfarve3 3 7 3 2 2 3" xfId="48561" xr:uid="{00000000-0005-0000-0000-0000B3220000}"/>
    <cellStyle name="20 % - Markeringsfarve3 3 7 3 2 3" xfId="26600" xr:uid="{00000000-0005-0000-0000-0000B4220000}"/>
    <cellStyle name="20 % - Markeringsfarve3 3 7 3 2 4" xfId="41564" xr:uid="{00000000-0005-0000-0000-0000B5220000}"/>
    <cellStyle name="20 % - Markeringsfarve3 3 7 3 3" xfId="13054" xr:uid="{00000000-0005-0000-0000-0000B6220000}"/>
    <cellStyle name="20 % - Markeringsfarve3 3 7 3 3 2" xfId="29333" xr:uid="{00000000-0005-0000-0000-0000B7220000}"/>
    <cellStyle name="20 % - Markeringsfarve3 3 7 3 3 3" xfId="44294" xr:uid="{00000000-0005-0000-0000-0000B8220000}"/>
    <cellStyle name="20 % - Markeringsfarve3 3 7 3 4" xfId="22331" xr:uid="{00000000-0005-0000-0000-0000B9220000}"/>
    <cellStyle name="20 % - Markeringsfarve3 3 7 3 5" xfId="37297" xr:uid="{00000000-0005-0000-0000-0000BA220000}"/>
    <cellStyle name="20 % - Markeringsfarve3 3 7 4" xfId="4570" xr:uid="{00000000-0005-0000-0000-0000BB220000}"/>
    <cellStyle name="20 % - Markeringsfarve3 3 7 4 2" xfId="10726" xr:uid="{00000000-0005-0000-0000-0000BC220000}"/>
    <cellStyle name="20 % - Markeringsfarve3 3 7 4 2 2" xfId="18570" xr:uid="{00000000-0005-0000-0000-0000BD220000}"/>
    <cellStyle name="20 % - Markeringsfarve3 3 7 4 2 2 2" xfId="34846" xr:uid="{00000000-0005-0000-0000-0000BE220000}"/>
    <cellStyle name="20 % - Markeringsfarve3 3 7 4 2 2 3" xfId="49805" xr:uid="{00000000-0005-0000-0000-0000BF220000}"/>
    <cellStyle name="20 % - Markeringsfarve3 3 7 4 2 3" xfId="27844" xr:uid="{00000000-0005-0000-0000-0000C0220000}"/>
    <cellStyle name="20 % - Markeringsfarve3 3 7 4 2 4" xfId="42808" xr:uid="{00000000-0005-0000-0000-0000C1220000}"/>
    <cellStyle name="20 % - Markeringsfarve3 3 7 4 3" xfId="13055" xr:uid="{00000000-0005-0000-0000-0000C2220000}"/>
    <cellStyle name="20 % - Markeringsfarve3 3 7 4 3 2" xfId="29334" xr:uid="{00000000-0005-0000-0000-0000C3220000}"/>
    <cellStyle name="20 % - Markeringsfarve3 3 7 4 3 3" xfId="44295" xr:uid="{00000000-0005-0000-0000-0000C4220000}"/>
    <cellStyle name="20 % - Markeringsfarve3 3 7 4 4" xfId="22332" xr:uid="{00000000-0005-0000-0000-0000C5220000}"/>
    <cellStyle name="20 % - Markeringsfarve3 3 7 4 5" xfId="37298" xr:uid="{00000000-0005-0000-0000-0000C6220000}"/>
    <cellStyle name="20 % - Markeringsfarve3 3 7 5" xfId="7770" xr:uid="{00000000-0005-0000-0000-0000C7220000}"/>
    <cellStyle name="20 % - Markeringsfarve3 3 7 5 2" xfId="15635" xr:uid="{00000000-0005-0000-0000-0000C8220000}"/>
    <cellStyle name="20 % - Markeringsfarve3 3 7 5 2 2" xfId="31911" xr:uid="{00000000-0005-0000-0000-0000C9220000}"/>
    <cellStyle name="20 % - Markeringsfarve3 3 7 5 2 3" xfId="46870" xr:uid="{00000000-0005-0000-0000-0000CA220000}"/>
    <cellStyle name="20 % - Markeringsfarve3 3 7 5 3" xfId="24909" xr:uid="{00000000-0005-0000-0000-0000CB220000}"/>
    <cellStyle name="20 % - Markeringsfarve3 3 7 5 4" xfId="39873" xr:uid="{00000000-0005-0000-0000-0000CC220000}"/>
    <cellStyle name="20 % - Markeringsfarve3 3 7 6" xfId="13051" xr:uid="{00000000-0005-0000-0000-0000CD220000}"/>
    <cellStyle name="20 % - Markeringsfarve3 3 7 6 2" xfId="29330" xr:uid="{00000000-0005-0000-0000-0000CE220000}"/>
    <cellStyle name="20 % - Markeringsfarve3 3 7 6 3" xfId="44291" xr:uid="{00000000-0005-0000-0000-0000CF220000}"/>
    <cellStyle name="20 % - Markeringsfarve3 3 7 7" xfId="22328" xr:uid="{00000000-0005-0000-0000-0000D0220000}"/>
    <cellStyle name="20 % - Markeringsfarve3 3 7 8" xfId="37294" xr:uid="{00000000-0005-0000-0000-0000D1220000}"/>
    <cellStyle name="20 % - Markeringsfarve3 3 8" xfId="4571" xr:uid="{00000000-0005-0000-0000-0000D2220000}"/>
    <cellStyle name="20 % - Markeringsfarve3 3 8 2" xfId="4572" xr:uid="{00000000-0005-0000-0000-0000D3220000}"/>
    <cellStyle name="20 % - Markeringsfarve3 3 8 2 2" xfId="4573" xr:uid="{00000000-0005-0000-0000-0000D4220000}"/>
    <cellStyle name="20 % - Markeringsfarve3 3 8 2 2 2" xfId="10307" xr:uid="{00000000-0005-0000-0000-0000D5220000}"/>
    <cellStyle name="20 % - Markeringsfarve3 3 8 2 2 2 2" xfId="18162" xr:uid="{00000000-0005-0000-0000-0000D6220000}"/>
    <cellStyle name="20 % - Markeringsfarve3 3 8 2 2 2 2 2" xfId="34438" xr:uid="{00000000-0005-0000-0000-0000D7220000}"/>
    <cellStyle name="20 % - Markeringsfarve3 3 8 2 2 2 2 3" xfId="49397" xr:uid="{00000000-0005-0000-0000-0000D8220000}"/>
    <cellStyle name="20 % - Markeringsfarve3 3 8 2 2 2 3" xfId="27436" xr:uid="{00000000-0005-0000-0000-0000D9220000}"/>
    <cellStyle name="20 % - Markeringsfarve3 3 8 2 2 2 4" xfId="42400" xr:uid="{00000000-0005-0000-0000-0000DA220000}"/>
    <cellStyle name="20 % - Markeringsfarve3 3 8 2 2 3" xfId="13058" xr:uid="{00000000-0005-0000-0000-0000DB220000}"/>
    <cellStyle name="20 % - Markeringsfarve3 3 8 2 2 3 2" xfId="29337" xr:uid="{00000000-0005-0000-0000-0000DC220000}"/>
    <cellStyle name="20 % - Markeringsfarve3 3 8 2 2 3 3" xfId="44298" xr:uid="{00000000-0005-0000-0000-0000DD220000}"/>
    <cellStyle name="20 % - Markeringsfarve3 3 8 2 2 4" xfId="22335" xr:uid="{00000000-0005-0000-0000-0000DE220000}"/>
    <cellStyle name="20 % - Markeringsfarve3 3 8 2 2 5" xfId="37301" xr:uid="{00000000-0005-0000-0000-0000DF220000}"/>
    <cellStyle name="20 % - Markeringsfarve3 3 8 2 3" xfId="8819" xr:uid="{00000000-0005-0000-0000-0000E0220000}"/>
    <cellStyle name="20 % - Markeringsfarve3 3 8 2 3 2" xfId="16686" xr:uid="{00000000-0005-0000-0000-0000E1220000}"/>
    <cellStyle name="20 % - Markeringsfarve3 3 8 2 3 2 2" xfId="32962" xr:uid="{00000000-0005-0000-0000-0000E2220000}"/>
    <cellStyle name="20 % - Markeringsfarve3 3 8 2 3 2 3" xfId="47921" xr:uid="{00000000-0005-0000-0000-0000E3220000}"/>
    <cellStyle name="20 % - Markeringsfarve3 3 8 2 3 3" xfId="25960" xr:uid="{00000000-0005-0000-0000-0000E4220000}"/>
    <cellStyle name="20 % - Markeringsfarve3 3 8 2 3 4" xfId="40924" xr:uid="{00000000-0005-0000-0000-0000E5220000}"/>
    <cellStyle name="20 % - Markeringsfarve3 3 8 2 4" xfId="13057" xr:uid="{00000000-0005-0000-0000-0000E6220000}"/>
    <cellStyle name="20 % - Markeringsfarve3 3 8 2 4 2" xfId="29336" xr:uid="{00000000-0005-0000-0000-0000E7220000}"/>
    <cellStyle name="20 % - Markeringsfarve3 3 8 2 4 3" xfId="44297" xr:uid="{00000000-0005-0000-0000-0000E8220000}"/>
    <cellStyle name="20 % - Markeringsfarve3 3 8 2 5" xfId="22334" xr:uid="{00000000-0005-0000-0000-0000E9220000}"/>
    <cellStyle name="20 % - Markeringsfarve3 3 8 2 6" xfId="37300" xr:uid="{00000000-0005-0000-0000-0000EA220000}"/>
    <cellStyle name="20 % - Markeringsfarve3 3 8 3" xfId="4574" xr:uid="{00000000-0005-0000-0000-0000EB220000}"/>
    <cellStyle name="20 % - Markeringsfarve3 3 8 3 2" xfId="9585" xr:uid="{00000000-0005-0000-0000-0000EC220000}"/>
    <cellStyle name="20 % - Markeringsfarve3 3 8 3 2 2" xfId="17448" xr:uid="{00000000-0005-0000-0000-0000ED220000}"/>
    <cellStyle name="20 % - Markeringsfarve3 3 8 3 2 2 2" xfId="33724" xr:uid="{00000000-0005-0000-0000-0000EE220000}"/>
    <cellStyle name="20 % - Markeringsfarve3 3 8 3 2 2 3" xfId="48683" xr:uid="{00000000-0005-0000-0000-0000EF220000}"/>
    <cellStyle name="20 % - Markeringsfarve3 3 8 3 2 3" xfId="26722" xr:uid="{00000000-0005-0000-0000-0000F0220000}"/>
    <cellStyle name="20 % - Markeringsfarve3 3 8 3 2 4" xfId="41686" xr:uid="{00000000-0005-0000-0000-0000F1220000}"/>
    <cellStyle name="20 % - Markeringsfarve3 3 8 3 3" xfId="13059" xr:uid="{00000000-0005-0000-0000-0000F2220000}"/>
    <cellStyle name="20 % - Markeringsfarve3 3 8 3 3 2" xfId="29338" xr:uid="{00000000-0005-0000-0000-0000F3220000}"/>
    <cellStyle name="20 % - Markeringsfarve3 3 8 3 3 3" xfId="44299" xr:uid="{00000000-0005-0000-0000-0000F4220000}"/>
    <cellStyle name="20 % - Markeringsfarve3 3 8 3 4" xfId="22336" xr:uid="{00000000-0005-0000-0000-0000F5220000}"/>
    <cellStyle name="20 % - Markeringsfarve3 3 8 3 5" xfId="37302" xr:uid="{00000000-0005-0000-0000-0000F6220000}"/>
    <cellStyle name="20 % - Markeringsfarve3 3 8 4" xfId="4575" xr:uid="{00000000-0005-0000-0000-0000F7220000}"/>
    <cellStyle name="20 % - Markeringsfarve3 3 8 4 2" xfId="9314" xr:uid="{00000000-0005-0000-0000-0000F8220000}"/>
    <cellStyle name="20 % - Markeringsfarve3 3 8 4 2 2" xfId="17177" xr:uid="{00000000-0005-0000-0000-0000F9220000}"/>
    <cellStyle name="20 % - Markeringsfarve3 3 8 4 2 2 2" xfId="33453" xr:uid="{00000000-0005-0000-0000-0000FA220000}"/>
    <cellStyle name="20 % - Markeringsfarve3 3 8 4 2 2 3" xfId="48412" xr:uid="{00000000-0005-0000-0000-0000FB220000}"/>
    <cellStyle name="20 % - Markeringsfarve3 3 8 4 2 3" xfId="26451" xr:uid="{00000000-0005-0000-0000-0000FC220000}"/>
    <cellStyle name="20 % - Markeringsfarve3 3 8 4 2 4" xfId="41415" xr:uid="{00000000-0005-0000-0000-0000FD220000}"/>
    <cellStyle name="20 % - Markeringsfarve3 3 8 4 3" xfId="13060" xr:uid="{00000000-0005-0000-0000-0000FE220000}"/>
    <cellStyle name="20 % - Markeringsfarve3 3 8 4 3 2" xfId="29339" xr:uid="{00000000-0005-0000-0000-0000FF220000}"/>
    <cellStyle name="20 % - Markeringsfarve3 3 8 4 3 3" xfId="44300" xr:uid="{00000000-0005-0000-0000-000000230000}"/>
    <cellStyle name="20 % - Markeringsfarve3 3 8 4 4" xfId="22337" xr:uid="{00000000-0005-0000-0000-000001230000}"/>
    <cellStyle name="20 % - Markeringsfarve3 3 8 4 5" xfId="37303" xr:uid="{00000000-0005-0000-0000-000002230000}"/>
    <cellStyle name="20 % - Markeringsfarve3 3 8 5" xfId="7771" xr:uid="{00000000-0005-0000-0000-000003230000}"/>
    <cellStyle name="20 % - Markeringsfarve3 3 8 5 2" xfId="15636" xr:uid="{00000000-0005-0000-0000-000004230000}"/>
    <cellStyle name="20 % - Markeringsfarve3 3 8 5 2 2" xfId="31912" xr:uid="{00000000-0005-0000-0000-000005230000}"/>
    <cellStyle name="20 % - Markeringsfarve3 3 8 5 2 3" xfId="46871" xr:uid="{00000000-0005-0000-0000-000006230000}"/>
    <cellStyle name="20 % - Markeringsfarve3 3 8 5 3" xfId="24910" xr:uid="{00000000-0005-0000-0000-000007230000}"/>
    <cellStyle name="20 % - Markeringsfarve3 3 8 5 4" xfId="39874" xr:uid="{00000000-0005-0000-0000-000008230000}"/>
    <cellStyle name="20 % - Markeringsfarve3 3 8 6" xfId="13056" xr:uid="{00000000-0005-0000-0000-000009230000}"/>
    <cellStyle name="20 % - Markeringsfarve3 3 8 6 2" xfId="29335" xr:uid="{00000000-0005-0000-0000-00000A230000}"/>
    <cellStyle name="20 % - Markeringsfarve3 3 8 6 3" xfId="44296" xr:uid="{00000000-0005-0000-0000-00000B230000}"/>
    <cellStyle name="20 % - Markeringsfarve3 3 8 7" xfId="22333" xr:uid="{00000000-0005-0000-0000-00000C230000}"/>
    <cellStyle name="20 % - Markeringsfarve3 3 8 8" xfId="37299" xr:uid="{00000000-0005-0000-0000-00000D230000}"/>
    <cellStyle name="20 % - Markeringsfarve3 3 9" xfId="4576" xr:uid="{00000000-0005-0000-0000-00000E230000}"/>
    <cellStyle name="20 % - Markeringsfarve3 3 9 2" xfId="4577" xr:uid="{00000000-0005-0000-0000-00000F230000}"/>
    <cellStyle name="20 % - Markeringsfarve3 3 9 2 2" xfId="9713" xr:uid="{00000000-0005-0000-0000-000010230000}"/>
    <cellStyle name="20 % - Markeringsfarve3 3 9 2 2 2" xfId="17567" xr:uid="{00000000-0005-0000-0000-000011230000}"/>
    <cellStyle name="20 % - Markeringsfarve3 3 9 2 2 2 2" xfId="33843" xr:uid="{00000000-0005-0000-0000-000012230000}"/>
    <cellStyle name="20 % - Markeringsfarve3 3 9 2 2 2 3" xfId="48802" xr:uid="{00000000-0005-0000-0000-000013230000}"/>
    <cellStyle name="20 % - Markeringsfarve3 3 9 2 2 3" xfId="26841" xr:uid="{00000000-0005-0000-0000-000014230000}"/>
    <cellStyle name="20 % - Markeringsfarve3 3 9 2 2 4" xfId="41805" xr:uid="{00000000-0005-0000-0000-000015230000}"/>
    <cellStyle name="20 % - Markeringsfarve3 3 9 2 3" xfId="13062" xr:uid="{00000000-0005-0000-0000-000016230000}"/>
    <cellStyle name="20 % - Markeringsfarve3 3 9 2 3 2" xfId="29341" xr:uid="{00000000-0005-0000-0000-000017230000}"/>
    <cellStyle name="20 % - Markeringsfarve3 3 9 2 3 3" xfId="44302" xr:uid="{00000000-0005-0000-0000-000018230000}"/>
    <cellStyle name="20 % - Markeringsfarve3 3 9 2 4" xfId="22339" xr:uid="{00000000-0005-0000-0000-000019230000}"/>
    <cellStyle name="20 % - Markeringsfarve3 3 9 2 5" xfId="37305" xr:uid="{00000000-0005-0000-0000-00001A230000}"/>
    <cellStyle name="20 % - Markeringsfarve3 3 9 3" xfId="8313" xr:uid="{00000000-0005-0000-0000-00001B230000}"/>
    <cellStyle name="20 % - Markeringsfarve3 3 9 3 2" xfId="16183" xr:uid="{00000000-0005-0000-0000-00001C230000}"/>
    <cellStyle name="20 % - Markeringsfarve3 3 9 3 2 2" xfId="32459" xr:uid="{00000000-0005-0000-0000-00001D230000}"/>
    <cellStyle name="20 % - Markeringsfarve3 3 9 3 2 3" xfId="47418" xr:uid="{00000000-0005-0000-0000-00001E230000}"/>
    <cellStyle name="20 % - Markeringsfarve3 3 9 3 3" xfId="25457" xr:uid="{00000000-0005-0000-0000-00001F230000}"/>
    <cellStyle name="20 % - Markeringsfarve3 3 9 3 4" xfId="40421" xr:uid="{00000000-0005-0000-0000-000020230000}"/>
    <cellStyle name="20 % - Markeringsfarve3 3 9 4" xfId="13061" xr:uid="{00000000-0005-0000-0000-000021230000}"/>
    <cellStyle name="20 % - Markeringsfarve3 3 9 4 2" xfId="29340" xr:uid="{00000000-0005-0000-0000-000022230000}"/>
    <cellStyle name="20 % - Markeringsfarve3 3 9 4 3" xfId="44301" xr:uid="{00000000-0005-0000-0000-000023230000}"/>
    <cellStyle name="20 % - Markeringsfarve3 3 9 5" xfId="22338" xr:uid="{00000000-0005-0000-0000-000024230000}"/>
    <cellStyle name="20 % - Markeringsfarve3 3 9 6" xfId="37304" xr:uid="{00000000-0005-0000-0000-000025230000}"/>
    <cellStyle name="20 % - Markeringsfarve3 4" xfId="4578" xr:uid="{00000000-0005-0000-0000-000026230000}"/>
    <cellStyle name="20 % - Markeringsfarve3 4 10" xfId="7772" xr:uid="{00000000-0005-0000-0000-000027230000}"/>
    <cellStyle name="20 % - Markeringsfarve3 4 10 2" xfId="15637" xr:uid="{00000000-0005-0000-0000-000028230000}"/>
    <cellStyle name="20 % - Markeringsfarve3 4 10 2 2" xfId="31913" xr:uid="{00000000-0005-0000-0000-000029230000}"/>
    <cellStyle name="20 % - Markeringsfarve3 4 10 2 3" xfId="46872" xr:uid="{00000000-0005-0000-0000-00002A230000}"/>
    <cellStyle name="20 % - Markeringsfarve3 4 10 3" xfId="24911" xr:uid="{00000000-0005-0000-0000-00002B230000}"/>
    <cellStyle name="20 % - Markeringsfarve3 4 10 4" xfId="39875" xr:uid="{00000000-0005-0000-0000-00002C230000}"/>
    <cellStyle name="20 % - Markeringsfarve3 4 11" xfId="13063" xr:uid="{00000000-0005-0000-0000-00002D230000}"/>
    <cellStyle name="20 % - Markeringsfarve3 4 11 2" xfId="29342" xr:uid="{00000000-0005-0000-0000-00002E230000}"/>
    <cellStyle name="20 % - Markeringsfarve3 4 11 3" xfId="44303" xr:uid="{00000000-0005-0000-0000-00002F230000}"/>
    <cellStyle name="20 % - Markeringsfarve3 4 12" xfId="22340" xr:uid="{00000000-0005-0000-0000-000030230000}"/>
    <cellStyle name="20 % - Markeringsfarve3 4 13" xfId="37306" xr:uid="{00000000-0005-0000-0000-000031230000}"/>
    <cellStyle name="20 % - Markeringsfarve3 4 2" xfId="4579" xr:uid="{00000000-0005-0000-0000-000032230000}"/>
    <cellStyle name="20 % - Markeringsfarve3 4 2 2" xfId="4580" xr:uid="{00000000-0005-0000-0000-000033230000}"/>
    <cellStyle name="20 % - Markeringsfarve3 4 2 2 2" xfId="4581" xr:uid="{00000000-0005-0000-0000-000034230000}"/>
    <cellStyle name="20 % - Markeringsfarve3 4 2 2 2 2" xfId="9856" xr:uid="{00000000-0005-0000-0000-000035230000}"/>
    <cellStyle name="20 % - Markeringsfarve3 4 2 2 2 2 2" xfId="17711" xr:uid="{00000000-0005-0000-0000-000036230000}"/>
    <cellStyle name="20 % - Markeringsfarve3 4 2 2 2 2 2 2" xfId="33987" xr:uid="{00000000-0005-0000-0000-000037230000}"/>
    <cellStyle name="20 % - Markeringsfarve3 4 2 2 2 2 2 3" xfId="48946" xr:uid="{00000000-0005-0000-0000-000038230000}"/>
    <cellStyle name="20 % - Markeringsfarve3 4 2 2 2 2 3" xfId="26985" xr:uid="{00000000-0005-0000-0000-000039230000}"/>
    <cellStyle name="20 % - Markeringsfarve3 4 2 2 2 2 4" xfId="41949" xr:uid="{00000000-0005-0000-0000-00003A230000}"/>
    <cellStyle name="20 % - Markeringsfarve3 4 2 2 2 3" xfId="13066" xr:uid="{00000000-0005-0000-0000-00003B230000}"/>
    <cellStyle name="20 % - Markeringsfarve3 4 2 2 2 3 2" xfId="29345" xr:uid="{00000000-0005-0000-0000-00003C230000}"/>
    <cellStyle name="20 % - Markeringsfarve3 4 2 2 2 3 3" xfId="44306" xr:uid="{00000000-0005-0000-0000-00003D230000}"/>
    <cellStyle name="20 % - Markeringsfarve3 4 2 2 2 4" xfId="22343" xr:uid="{00000000-0005-0000-0000-00003E230000}"/>
    <cellStyle name="20 % - Markeringsfarve3 4 2 2 2 5" xfId="37309" xr:uid="{00000000-0005-0000-0000-00003F230000}"/>
    <cellStyle name="20 % - Markeringsfarve3 4 2 2 3" xfId="8433" xr:uid="{00000000-0005-0000-0000-000040230000}"/>
    <cellStyle name="20 % - Markeringsfarve3 4 2 2 3 2" xfId="16303" xr:uid="{00000000-0005-0000-0000-000041230000}"/>
    <cellStyle name="20 % - Markeringsfarve3 4 2 2 3 2 2" xfId="32579" xr:uid="{00000000-0005-0000-0000-000042230000}"/>
    <cellStyle name="20 % - Markeringsfarve3 4 2 2 3 2 3" xfId="47538" xr:uid="{00000000-0005-0000-0000-000043230000}"/>
    <cellStyle name="20 % - Markeringsfarve3 4 2 2 3 3" xfId="25577" xr:uid="{00000000-0005-0000-0000-000044230000}"/>
    <cellStyle name="20 % - Markeringsfarve3 4 2 2 3 4" xfId="40541" xr:uid="{00000000-0005-0000-0000-000045230000}"/>
    <cellStyle name="20 % - Markeringsfarve3 4 2 2 4" xfId="13065" xr:uid="{00000000-0005-0000-0000-000046230000}"/>
    <cellStyle name="20 % - Markeringsfarve3 4 2 2 4 2" xfId="29344" xr:uid="{00000000-0005-0000-0000-000047230000}"/>
    <cellStyle name="20 % - Markeringsfarve3 4 2 2 4 3" xfId="44305" xr:uid="{00000000-0005-0000-0000-000048230000}"/>
    <cellStyle name="20 % - Markeringsfarve3 4 2 2 5" xfId="22342" xr:uid="{00000000-0005-0000-0000-000049230000}"/>
    <cellStyle name="20 % - Markeringsfarve3 4 2 2 6" xfId="37308" xr:uid="{00000000-0005-0000-0000-00004A230000}"/>
    <cellStyle name="20 % - Markeringsfarve3 4 2 3" xfId="4582" xr:uid="{00000000-0005-0000-0000-00004B230000}"/>
    <cellStyle name="20 % - Markeringsfarve3 4 2 3 2" xfId="9087" xr:uid="{00000000-0005-0000-0000-00004C230000}"/>
    <cellStyle name="20 % - Markeringsfarve3 4 2 3 2 2" xfId="16951" xr:uid="{00000000-0005-0000-0000-00004D230000}"/>
    <cellStyle name="20 % - Markeringsfarve3 4 2 3 2 2 2" xfId="33227" xr:uid="{00000000-0005-0000-0000-00004E230000}"/>
    <cellStyle name="20 % - Markeringsfarve3 4 2 3 2 2 3" xfId="48186" xr:uid="{00000000-0005-0000-0000-00004F230000}"/>
    <cellStyle name="20 % - Markeringsfarve3 4 2 3 2 3" xfId="26225" xr:uid="{00000000-0005-0000-0000-000050230000}"/>
    <cellStyle name="20 % - Markeringsfarve3 4 2 3 2 4" xfId="41189" xr:uid="{00000000-0005-0000-0000-000051230000}"/>
    <cellStyle name="20 % - Markeringsfarve3 4 2 3 3" xfId="13067" xr:uid="{00000000-0005-0000-0000-000052230000}"/>
    <cellStyle name="20 % - Markeringsfarve3 4 2 3 3 2" xfId="29346" xr:uid="{00000000-0005-0000-0000-000053230000}"/>
    <cellStyle name="20 % - Markeringsfarve3 4 2 3 3 3" xfId="44307" xr:uid="{00000000-0005-0000-0000-000054230000}"/>
    <cellStyle name="20 % - Markeringsfarve3 4 2 3 4" xfId="22344" xr:uid="{00000000-0005-0000-0000-000055230000}"/>
    <cellStyle name="20 % - Markeringsfarve3 4 2 3 5" xfId="37310" xr:uid="{00000000-0005-0000-0000-000056230000}"/>
    <cellStyle name="20 % - Markeringsfarve3 4 2 4" xfId="4583" xr:uid="{00000000-0005-0000-0000-000057230000}"/>
    <cellStyle name="20 % - Markeringsfarve3 4 2 4 2" xfId="10725" xr:uid="{00000000-0005-0000-0000-000058230000}"/>
    <cellStyle name="20 % - Markeringsfarve3 4 2 4 2 2" xfId="18569" xr:uid="{00000000-0005-0000-0000-000059230000}"/>
    <cellStyle name="20 % - Markeringsfarve3 4 2 4 2 2 2" xfId="34845" xr:uid="{00000000-0005-0000-0000-00005A230000}"/>
    <cellStyle name="20 % - Markeringsfarve3 4 2 4 2 2 3" xfId="49804" xr:uid="{00000000-0005-0000-0000-00005B230000}"/>
    <cellStyle name="20 % - Markeringsfarve3 4 2 4 2 3" xfId="27843" xr:uid="{00000000-0005-0000-0000-00005C230000}"/>
    <cellStyle name="20 % - Markeringsfarve3 4 2 4 2 4" xfId="42807" xr:uid="{00000000-0005-0000-0000-00005D230000}"/>
    <cellStyle name="20 % - Markeringsfarve3 4 2 4 3" xfId="13068" xr:uid="{00000000-0005-0000-0000-00005E230000}"/>
    <cellStyle name="20 % - Markeringsfarve3 4 2 4 3 2" xfId="29347" xr:uid="{00000000-0005-0000-0000-00005F230000}"/>
    <cellStyle name="20 % - Markeringsfarve3 4 2 4 3 3" xfId="44308" xr:uid="{00000000-0005-0000-0000-000060230000}"/>
    <cellStyle name="20 % - Markeringsfarve3 4 2 4 4" xfId="22345" xr:uid="{00000000-0005-0000-0000-000061230000}"/>
    <cellStyle name="20 % - Markeringsfarve3 4 2 4 5" xfId="37311" xr:uid="{00000000-0005-0000-0000-000062230000}"/>
    <cellStyle name="20 % - Markeringsfarve3 4 2 5" xfId="7773" xr:uid="{00000000-0005-0000-0000-000063230000}"/>
    <cellStyle name="20 % - Markeringsfarve3 4 2 5 2" xfId="15638" xr:uid="{00000000-0005-0000-0000-000064230000}"/>
    <cellStyle name="20 % - Markeringsfarve3 4 2 5 2 2" xfId="31914" xr:uid="{00000000-0005-0000-0000-000065230000}"/>
    <cellStyle name="20 % - Markeringsfarve3 4 2 5 2 3" xfId="46873" xr:uid="{00000000-0005-0000-0000-000066230000}"/>
    <cellStyle name="20 % - Markeringsfarve3 4 2 5 3" xfId="24912" xr:uid="{00000000-0005-0000-0000-000067230000}"/>
    <cellStyle name="20 % - Markeringsfarve3 4 2 5 4" xfId="39876" xr:uid="{00000000-0005-0000-0000-000068230000}"/>
    <cellStyle name="20 % - Markeringsfarve3 4 2 6" xfId="13064" xr:uid="{00000000-0005-0000-0000-000069230000}"/>
    <cellStyle name="20 % - Markeringsfarve3 4 2 6 2" xfId="29343" xr:uid="{00000000-0005-0000-0000-00006A230000}"/>
    <cellStyle name="20 % - Markeringsfarve3 4 2 6 3" xfId="44304" xr:uid="{00000000-0005-0000-0000-00006B230000}"/>
    <cellStyle name="20 % - Markeringsfarve3 4 2 7" xfId="22341" xr:uid="{00000000-0005-0000-0000-00006C230000}"/>
    <cellStyle name="20 % - Markeringsfarve3 4 2 8" xfId="37307" xr:uid="{00000000-0005-0000-0000-00006D230000}"/>
    <cellStyle name="20 % - Markeringsfarve3 4 3" xfId="4584" xr:uid="{00000000-0005-0000-0000-00006E230000}"/>
    <cellStyle name="20 % - Markeringsfarve3 4 3 2" xfId="4585" xr:uid="{00000000-0005-0000-0000-00006F230000}"/>
    <cellStyle name="20 % - Markeringsfarve3 4 3 2 2" xfId="4586" xr:uid="{00000000-0005-0000-0000-000070230000}"/>
    <cellStyle name="20 % - Markeringsfarve3 4 3 2 2 2" xfId="9955" xr:uid="{00000000-0005-0000-0000-000071230000}"/>
    <cellStyle name="20 % - Markeringsfarve3 4 3 2 2 2 2" xfId="17810" xr:uid="{00000000-0005-0000-0000-000072230000}"/>
    <cellStyle name="20 % - Markeringsfarve3 4 3 2 2 2 2 2" xfId="34086" xr:uid="{00000000-0005-0000-0000-000073230000}"/>
    <cellStyle name="20 % - Markeringsfarve3 4 3 2 2 2 2 3" xfId="49045" xr:uid="{00000000-0005-0000-0000-000074230000}"/>
    <cellStyle name="20 % - Markeringsfarve3 4 3 2 2 2 3" xfId="27084" xr:uid="{00000000-0005-0000-0000-000075230000}"/>
    <cellStyle name="20 % - Markeringsfarve3 4 3 2 2 2 4" xfId="42048" xr:uid="{00000000-0005-0000-0000-000076230000}"/>
    <cellStyle name="20 % - Markeringsfarve3 4 3 2 2 3" xfId="13071" xr:uid="{00000000-0005-0000-0000-000077230000}"/>
    <cellStyle name="20 % - Markeringsfarve3 4 3 2 2 3 2" xfId="29350" xr:uid="{00000000-0005-0000-0000-000078230000}"/>
    <cellStyle name="20 % - Markeringsfarve3 4 3 2 2 3 3" xfId="44311" xr:uid="{00000000-0005-0000-0000-000079230000}"/>
    <cellStyle name="20 % - Markeringsfarve3 4 3 2 2 4" xfId="22348" xr:uid="{00000000-0005-0000-0000-00007A230000}"/>
    <cellStyle name="20 % - Markeringsfarve3 4 3 2 2 5" xfId="37314" xr:uid="{00000000-0005-0000-0000-00007B230000}"/>
    <cellStyle name="20 % - Markeringsfarve3 4 3 2 3" xfId="8520" xr:uid="{00000000-0005-0000-0000-00007C230000}"/>
    <cellStyle name="20 % - Markeringsfarve3 4 3 2 3 2" xfId="16390" xr:uid="{00000000-0005-0000-0000-00007D230000}"/>
    <cellStyle name="20 % - Markeringsfarve3 4 3 2 3 2 2" xfId="32666" xr:uid="{00000000-0005-0000-0000-00007E230000}"/>
    <cellStyle name="20 % - Markeringsfarve3 4 3 2 3 2 3" xfId="47625" xr:uid="{00000000-0005-0000-0000-00007F230000}"/>
    <cellStyle name="20 % - Markeringsfarve3 4 3 2 3 3" xfId="25664" xr:uid="{00000000-0005-0000-0000-000080230000}"/>
    <cellStyle name="20 % - Markeringsfarve3 4 3 2 3 4" xfId="40628" xr:uid="{00000000-0005-0000-0000-000081230000}"/>
    <cellStyle name="20 % - Markeringsfarve3 4 3 2 4" xfId="13070" xr:uid="{00000000-0005-0000-0000-000082230000}"/>
    <cellStyle name="20 % - Markeringsfarve3 4 3 2 4 2" xfId="29349" xr:uid="{00000000-0005-0000-0000-000083230000}"/>
    <cellStyle name="20 % - Markeringsfarve3 4 3 2 4 3" xfId="44310" xr:uid="{00000000-0005-0000-0000-000084230000}"/>
    <cellStyle name="20 % - Markeringsfarve3 4 3 2 5" xfId="22347" xr:uid="{00000000-0005-0000-0000-000085230000}"/>
    <cellStyle name="20 % - Markeringsfarve3 4 3 2 6" xfId="37313" xr:uid="{00000000-0005-0000-0000-000086230000}"/>
    <cellStyle name="20 % - Markeringsfarve3 4 3 3" xfId="4587" xr:uid="{00000000-0005-0000-0000-000087230000}"/>
    <cellStyle name="20 % - Markeringsfarve3 4 3 3 2" xfId="9186" xr:uid="{00000000-0005-0000-0000-000088230000}"/>
    <cellStyle name="20 % - Markeringsfarve3 4 3 3 2 2" xfId="17050" xr:uid="{00000000-0005-0000-0000-000089230000}"/>
    <cellStyle name="20 % - Markeringsfarve3 4 3 3 2 2 2" xfId="33326" xr:uid="{00000000-0005-0000-0000-00008A230000}"/>
    <cellStyle name="20 % - Markeringsfarve3 4 3 3 2 2 3" xfId="48285" xr:uid="{00000000-0005-0000-0000-00008B230000}"/>
    <cellStyle name="20 % - Markeringsfarve3 4 3 3 2 3" xfId="26324" xr:uid="{00000000-0005-0000-0000-00008C230000}"/>
    <cellStyle name="20 % - Markeringsfarve3 4 3 3 2 4" xfId="41288" xr:uid="{00000000-0005-0000-0000-00008D230000}"/>
    <cellStyle name="20 % - Markeringsfarve3 4 3 3 3" xfId="13072" xr:uid="{00000000-0005-0000-0000-00008E230000}"/>
    <cellStyle name="20 % - Markeringsfarve3 4 3 3 3 2" xfId="29351" xr:uid="{00000000-0005-0000-0000-00008F230000}"/>
    <cellStyle name="20 % - Markeringsfarve3 4 3 3 3 3" xfId="44312" xr:uid="{00000000-0005-0000-0000-000090230000}"/>
    <cellStyle name="20 % - Markeringsfarve3 4 3 3 4" xfId="22349" xr:uid="{00000000-0005-0000-0000-000091230000}"/>
    <cellStyle name="20 % - Markeringsfarve3 4 3 3 5" xfId="37315" xr:uid="{00000000-0005-0000-0000-000092230000}"/>
    <cellStyle name="20 % - Markeringsfarve3 4 3 4" xfId="4588" xr:uid="{00000000-0005-0000-0000-000093230000}"/>
    <cellStyle name="20 % - Markeringsfarve3 4 3 4 2" xfId="10515" xr:uid="{00000000-0005-0000-0000-000094230000}"/>
    <cellStyle name="20 % - Markeringsfarve3 4 3 4 2 2" xfId="18364" xr:uid="{00000000-0005-0000-0000-000095230000}"/>
    <cellStyle name="20 % - Markeringsfarve3 4 3 4 2 2 2" xfId="34640" xr:uid="{00000000-0005-0000-0000-000096230000}"/>
    <cellStyle name="20 % - Markeringsfarve3 4 3 4 2 2 3" xfId="49599" xr:uid="{00000000-0005-0000-0000-000097230000}"/>
    <cellStyle name="20 % - Markeringsfarve3 4 3 4 2 3" xfId="27638" xr:uid="{00000000-0005-0000-0000-000098230000}"/>
    <cellStyle name="20 % - Markeringsfarve3 4 3 4 2 4" xfId="42602" xr:uid="{00000000-0005-0000-0000-000099230000}"/>
    <cellStyle name="20 % - Markeringsfarve3 4 3 4 3" xfId="13073" xr:uid="{00000000-0005-0000-0000-00009A230000}"/>
    <cellStyle name="20 % - Markeringsfarve3 4 3 4 3 2" xfId="29352" xr:uid="{00000000-0005-0000-0000-00009B230000}"/>
    <cellStyle name="20 % - Markeringsfarve3 4 3 4 3 3" xfId="44313" xr:uid="{00000000-0005-0000-0000-00009C230000}"/>
    <cellStyle name="20 % - Markeringsfarve3 4 3 4 4" xfId="22350" xr:uid="{00000000-0005-0000-0000-00009D230000}"/>
    <cellStyle name="20 % - Markeringsfarve3 4 3 4 5" xfId="37316" xr:uid="{00000000-0005-0000-0000-00009E230000}"/>
    <cellStyle name="20 % - Markeringsfarve3 4 3 5" xfId="7774" xr:uid="{00000000-0005-0000-0000-00009F230000}"/>
    <cellStyle name="20 % - Markeringsfarve3 4 3 5 2" xfId="15639" xr:uid="{00000000-0005-0000-0000-0000A0230000}"/>
    <cellStyle name="20 % - Markeringsfarve3 4 3 5 2 2" xfId="31915" xr:uid="{00000000-0005-0000-0000-0000A1230000}"/>
    <cellStyle name="20 % - Markeringsfarve3 4 3 5 2 3" xfId="46874" xr:uid="{00000000-0005-0000-0000-0000A2230000}"/>
    <cellStyle name="20 % - Markeringsfarve3 4 3 5 3" xfId="24913" xr:uid="{00000000-0005-0000-0000-0000A3230000}"/>
    <cellStyle name="20 % - Markeringsfarve3 4 3 5 4" xfId="39877" xr:uid="{00000000-0005-0000-0000-0000A4230000}"/>
    <cellStyle name="20 % - Markeringsfarve3 4 3 6" xfId="13069" xr:uid="{00000000-0005-0000-0000-0000A5230000}"/>
    <cellStyle name="20 % - Markeringsfarve3 4 3 6 2" xfId="29348" xr:uid="{00000000-0005-0000-0000-0000A6230000}"/>
    <cellStyle name="20 % - Markeringsfarve3 4 3 6 3" xfId="44309" xr:uid="{00000000-0005-0000-0000-0000A7230000}"/>
    <cellStyle name="20 % - Markeringsfarve3 4 3 7" xfId="22346" xr:uid="{00000000-0005-0000-0000-0000A8230000}"/>
    <cellStyle name="20 % - Markeringsfarve3 4 3 8" xfId="37312" xr:uid="{00000000-0005-0000-0000-0000A9230000}"/>
    <cellStyle name="20 % - Markeringsfarve3 4 4" xfId="4589" xr:uid="{00000000-0005-0000-0000-0000AA230000}"/>
    <cellStyle name="20 % - Markeringsfarve3 4 4 2" xfId="4590" xr:uid="{00000000-0005-0000-0000-0000AB230000}"/>
    <cellStyle name="20 % - Markeringsfarve3 4 4 2 2" xfId="4591" xr:uid="{00000000-0005-0000-0000-0000AC230000}"/>
    <cellStyle name="20 % - Markeringsfarve3 4 4 2 2 2" xfId="10094" xr:uid="{00000000-0005-0000-0000-0000AD230000}"/>
    <cellStyle name="20 % - Markeringsfarve3 4 4 2 2 2 2" xfId="17949" xr:uid="{00000000-0005-0000-0000-0000AE230000}"/>
    <cellStyle name="20 % - Markeringsfarve3 4 4 2 2 2 2 2" xfId="34225" xr:uid="{00000000-0005-0000-0000-0000AF230000}"/>
    <cellStyle name="20 % - Markeringsfarve3 4 4 2 2 2 2 3" xfId="49184" xr:uid="{00000000-0005-0000-0000-0000B0230000}"/>
    <cellStyle name="20 % - Markeringsfarve3 4 4 2 2 2 3" xfId="27223" xr:uid="{00000000-0005-0000-0000-0000B1230000}"/>
    <cellStyle name="20 % - Markeringsfarve3 4 4 2 2 2 4" xfId="42187" xr:uid="{00000000-0005-0000-0000-0000B2230000}"/>
    <cellStyle name="20 % - Markeringsfarve3 4 4 2 2 3" xfId="13076" xr:uid="{00000000-0005-0000-0000-0000B3230000}"/>
    <cellStyle name="20 % - Markeringsfarve3 4 4 2 2 3 2" xfId="29355" xr:uid="{00000000-0005-0000-0000-0000B4230000}"/>
    <cellStyle name="20 % - Markeringsfarve3 4 4 2 2 3 3" xfId="44316" xr:uid="{00000000-0005-0000-0000-0000B5230000}"/>
    <cellStyle name="20 % - Markeringsfarve3 4 4 2 2 4" xfId="22353" xr:uid="{00000000-0005-0000-0000-0000B6230000}"/>
    <cellStyle name="20 % - Markeringsfarve3 4 4 2 2 5" xfId="37319" xr:uid="{00000000-0005-0000-0000-0000B7230000}"/>
    <cellStyle name="20 % - Markeringsfarve3 4 4 2 3" xfId="8635" xr:uid="{00000000-0005-0000-0000-0000B8230000}"/>
    <cellStyle name="20 % - Markeringsfarve3 4 4 2 3 2" xfId="16502" xr:uid="{00000000-0005-0000-0000-0000B9230000}"/>
    <cellStyle name="20 % - Markeringsfarve3 4 4 2 3 2 2" xfId="32778" xr:uid="{00000000-0005-0000-0000-0000BA230000}"/>
    <cellStyle name="20 % - Markeringsfarve3 4 4 2 3 2 3" xfId="47737" xr:uid="{00000000-0005-0000-0000-0000BB230000}"/>
    <cellStyle name="20 % - Markeringsfarve3 4 4 2 3 3" xfId="25776" xr:uid="{00000000-0005-0000-0000-0000BC230000}"/>
    <cellStyle name="20 % - Markeringsfarve3 4 4 2 3 4" xfId="40740" xr:uid="{00000000-0005-0000-0000-0000BD230000}"/>
    <cellStyle name="20 % - Markeringsfarve3 4 4 2 4" xfId="13075" xr:uid="{00000000-0005-0000-0000-0000BE230000}"/>
    <cellStyle name="20 % - Markeringsfarve3 4 4 2 4 2" xfId="29354" xr:uid="{00000000-0005-0000-0000-0000BF230000}"/>
    <cellStyle name="20 % - Markeringsfarve3 4 4 2 4 3" xfId="44315" xr:uid="{00000000-0005-0000-0000-0000C0230000}"/>
    <cellStyle name="20 % - Markeringsfarve3 4 4 2 5" xfId="22352" xr:uid="{00000000-0005-0000-0000-0000C1230000}"/>
    <cellStyle name="20 % - Markeringsfarve3 4 4 2 6" xfId="37318" xr:uid="{00000000-0005-0000-0000-0000C2230000}"/>
    <cellStyle name="20 % - Markeringsfarve3 4 4 3" xfId="4592" xr:uid="{00000000-0005-0000-0000-0000C3230000}"/>
    <cellStyle name="20 % - Markeringsfarve3 4 4 3 2" xfId="9371" xr:uid="{00000000-0005-0000-0000-0000C4230000}"/>
    <cellStyle name="20 % - Markeringsfarve3 4 4 3 2 2" xfId="17234" xr:uid="{00000000-0005-0000-0000-0000C5230000}"/>
    <cellStyle name="20 % - Markeringsfarve3 4 4 3 2 2 2" xfId="33510" xr:uid="{00000000-0005-0000-0000-0000C6230000}"/>
    <cellStyle name="20 % - Markeringsfarve3 4 4 3 2 2 3" xfId="48469" xr:uid="{00000000-0005-0000-0000-0000C7230000}"/>
    <cellStyle name="20 % - Markeringsfarve3 4 4 3 2 3" xfId="26508" xr:uid="{00000000-0005-0000-0000-0000C8230000}"/>
    <cellStyle name="20 % - Markeringsfarve3 4 4 3 2 4" xfId="41472" xr:uid="{00000000-0005-0000-0000-0000C9230000}"/>
    <cellStyle name="20 % - Markeringsfarve3 4 4 3 3" xfId="13077" xr:uid="{00000000-0005-0000-0000-0000CA230000}"/>
    <cellStyle name="20 % - Markeringsfarve3 4 4 3 3 2" xfId="29356" xr:uid="{00000000-0005-0000-0000-0000CB230000}"/>
    <cellStyle name="20 % - Markeringsfarve3 4 4 3 3 3" xfId="44317" xr:uid="{00000000-0005-0000-0000-0000CC230000}"/>
    <cellStyle name="20 % - Markeringsfarve3 4 4 3 4" xfId="22354" xr:uid="{00000000-0005-0000-0000-0000CD230000}"/>
    <cellStyle name="20 % - Markeringsfarve3 4 4 3 5" xfId="37320" xr:uid="{00000000-0005-0000-0000-0000CE230000}"/>
    <cellStyle name="20 % - Markeringsfarve3 4 4 4" xfId="4593" xr:uid="{00000000-0005-0000-0000-0000CF230000}"/>
    <cellStyle name="20 % - Markeringsfarve3 4 4 4 2" xfId="10724" xr:uid="{00000000-0005-0000-0000-0000D0230000}"/>
    <cellStyle name="20 % - Markeringsfarve3 4 4 4 2 2" xfId="18568" xr:uid="{00000000-0005-0000-0000-0000D1230000}"/>
    <cellStyle name="20 % - Markeringsfarve3 4 4 4 2 2 2" xfId="34844" xr:uid="{00000000-0005-0000-0000-0000D2230000}"/>
    <cellStyle name="20 % - Markeringsfarve3 4 4 4 2 2 3" xfId="49803" xr:uid="{00000000-0005-0000-0000-0000D3230000}"/>
    <cellStyle name="20 % - Markeringsfarve3 4 4 4 2 3" xfId="27842" xr:uid="{00000000-0005-0000-0000-0000D4230000}"/>
    <cellStyle name="20 % - Markeringsfarve3 4 4 4 2 4" xfId="42806" xr:uid="{00000000-0005-0000-0000-0000D5230000}"/>
    <cellStyle name="20 % - Markeringsfarve3 4 4 4 3" xfId="13078" xr:uid="{00000000-0005-0000-0000-0000D6230000}"/>
    <cellStyle name="20 % - Markeringsfarve3 4 4 4 3 2" xfId="29357" xr:uid="{00000000-0005-0000-0000-0000D7230000}"/>
    <cellStyle name="20 % - Markeringsfarve3 4 4 4 3 3" xfId="44318" xr:uid="{00000000-0005-0000-0000-0000D8230000}"/>
    <cellStyle name="20 % - Markeringsfarve3 4 4 4 4" xfId="22355" xr:uid="{00000000-0005-0000-0000-0000D9230000}"/>
    <cellStyle name="20 % - Markeringsfarve3 4 4 4 5" xfId="37321" xr:uid="{00000000-0005-0000-0000-0000DA230000}"/>
    <cellStyle name="20 % - Markeringsfarve3 4 4 5" xfId="7775" xr:uid="{00000000-0005-0000-0000-0000DB230000}"/>
    <cellStyle name="20 % - Markeringsfarve3 4 4 5 2" xfId="15640" xr:uid="{00000000-0005-0000-0000-0000DC230000}"/>
    <cellStyle name="20 % - Markeringsfarve3 4 4 5 2 2" xfId="31916" xr:uid="{00000000-0005-0000-0000-0000DD230000}"/>
    <cellStyle name="20 % - Markeringsfarve3 4 4 5 2 3" xfId="46875" xr:uid="{00000000-0005-0000-0000-0000DE230000}"/>
    <cellStyle name="20 % - Markeringsfarve3 4 4 5 3" xfId="24914" xr:uid="{00000000-0005-0000-0000-0000DF230000}"/>
    <cellStyle name="20 % - Markeringsfarve3 4 4 5 4" xfId="39878" xr:uid="{00000000-0005-0000-0000-0000E0230000}"/>
    <cellStyle name="20 % - Markeringsfarve3 4 4 6" xfId="13074" xr:uid="{00000000-0005-0000-0000-0000E1230000}"/>
    <cellStyle name="20 % - Markeringsfarve3 4 4 6 2" xfId="29353" xr:uid="{00000000-0005-0000-0000-0000E2230000}"/>
    <cellStyle name="20 % - Markeringsfarve3 4 4 6 3" xfId="44314" xr:uid="{00000000-0005-0000-0000-0000E3230000}"/>
    <cellStyle name="20 % - Markeringsfarve3 4 4 7" xfId="22351" xr:uid="{00000000-0005-0000-0000-0000E4230000}"/>
    <cellStyle name="20 % - Markeringsfarve3 4 4 8" xfId="37317" xr:uid="{00000000-0005-0000-0000-0000E5230000}"/>
    <cellStyle name="20 % - Markeringsfarve3 4 5" xfId="4594" xr:uid="{00000000-0005-0000-0000-0000E6230000}"/>
    <cellStyle name="20 % - Markeringsfarve3 4 5 2" xfId="4595" xr:uid="{00000000-0005-0000-0000-0000E7230000}"/>
    <cellStyle name="20 % - Markeringsfarve3 4 5 2 2" xfId="4596" xr:uid="{00000000-0005-0000-0000-0000E8230000}"/>
    <cellStyle name="20 % - Markeringsfarve3 4 5 2 2 2" xfId="10211" xr:uid="{00000000-0005-0000-0000-0000E9230000}"/>
    <cellStyle name="20 % - Markeringsfarve3 4 5 2 2 2 2" xfId="18066" xr:uid="{00000000-0005-0000-0000-0000EA230000}"/>
    <cellStyle name="20 % - Markeringsfarve3 4 5 2 2 2 2 2" xfId="34342" xr:uid="{00000000-0005-0000-0000-0000EB230000}"/>
    <cellStyle name="20 % - Markeringsfarve3 4 5 2 2 2 2 3" xfId="49301" xr:uid="{00000000-0005-0000-0000-0000EC230000}"/>
    <cellStyle name="20 % - Markeringsfarve3 4 5 2 2 2 3" xfId="27340" xr:uid="{00000000-0005-0000-0000-0000ED230000}"/>
    <cellStyle name="20 % - Markeringsfarve3 4 5 2 2 2 4" xfId="42304" xr:uid="{00000000-0005-0000-0000-0000EE230000}"/>
    <cellStyle name="20 % - Markeringsfarve3 4 5 2 2 3" xfId="13081" xr:uid="{00000000-0005-0000-0000-0000EF230000}"/>
    <cellStyle name="20 % - Markeringsfarve3 4 5 2 2 3 2" xfId="29360" xr:uid="{00000000-0005-0000-0000-0000F0230000}"/>
    <cellStyle name="20 % - Markeringsfarve3 4 5 2 2 3 3" xfId="44321" xr:uid="{00000000-0005-0000-0000-0000F1230000}"/>
    <cellStyle name="20 % - Markeringsfarve3 4 5 2 2 4" xfId="22358" xr:uid="{00000000-0005-0000-0000-0000F2230000}"/>
    <cellStyle name="20 % - Markeringsfarve3 4 5 2 2 5" xfId="37324" xr:uid="{00000000-0005-0000-0000-0000F3230000}"/>
    <cellStyle name="20 % - Markeringsfarve3 4 5 2 3" xfId="8734" xr:uid="{00000000-0005-0000-0000-0000F4230000}"/>
    <cellStyle name="20 % - Markeringsfarve3 4 5 2 3 2" xfId="16601" xr:uid="{00000000-0005-0000-0000-0000F5230000}"/>
    <cellStyle name="20 % - Markeringsfarve3 4 5 2 3 2 2" xfId="32877" xr:uid="{00000000-0005-0000-0000-0000F6230000}"/>
    <cellStyle name="20 % - Markeringsfarve3 4 5 2 3 2 3" xfId="47836" xr:uid="{00000000-0005-0000-0000-0000F7230000}"/>
    <cellStyle name="20 % - Markeringsfarve3 4 5 2 3 3" xfId="25875" xr:uid="{00000000-0005-0000-0000-0000F8230000}"/>
    <cellStyle name="20 % - Markeringsfarve3 4 5 2 3 4" xfId="40839" xr:uid="{00000000-0005-0000-0000-0000F9230000}"/>
    <cellStyle name="20 % - Markeringsfarve3 4 5 2 4" xfId="13080" xr:uid="{00000000-0005-0000-0000-0000FA230000}"/>
    <cellStyle name="20 % - Markeringsfarve3 4 5 2 4 2" xfId="29359" xr:uid="{00000000-0005-0000-0000-0000FB230000}"/>
    <cellStyle name="20 % - Markeringsfarve3 4 5 2 4 3" xfId="44320" xr:uid="{00000000-0005-0000-0000-0000FC230000}"/>
    <cellStyle name="20 % - Markeringsfarve3 4 5 2 5" xfId="22357" xr:uid="{00000000-0005-0000-0000-0000FD230000}"/>
    <cellStyle name="20 % - Markeringsfarve3 4 5 2 6" xfId="37323" xr:uid="{00000000-0005-0000-0000-0000FE230000}"/>
    <cellStyle name="20 % - Markeringsfarve3 4 5 3" xfId="4597" xr:uid="{00000000-0005-0000-0000-0000FF230000}"/>
    <cellStyle name="20 % - Markeringsfarve3 4 5 3 2" xfId="9488" xr:uid="{00000000-0005-0000-0000-000000240000}"/>
    <cellStyle name="20 % - Markeringsfarve3 4 5 3 2 2" xfId="17351" xr:uid="{00000000-0005-0000-0000-000001240000}"/>
    <cellStyle name="20 % - Markeringsfarve3 4 5 3 2 2 2" xfId="33627" xr:uid="{00000000-0005-0000-0000-000002240000}"/>
    <cellStyle name="20 % - Markeringsfarve3 4 5 3 2 2 3" xfId="48586" xr:uid="{00000000-0005-0000-0000-000003240000}"/>
    <cellStyle name="20 % - Markeringsfarve3 4 5 3 2 3" xfId="26625" xr:uid="{00000000-0005-0000-0000-000004240000}"/>
    <cellStyle name="20 % - Markeringsfarve3 4 5 3 2 4" xfId="41589" xr:uid="{00000000-0005-0000-0000-000005240000}"/>
    <cellStyle name="20 % - Markeringsfarve3 4 5 3 3" xfId="13082" xr:uid="{00000000-0005-0000-0000-000006240000}"/>
    <cellStyle name="20 % - Markeringsfarve3 4 5 3 3 2" xfId="29361" xr:uid="{00000000-0005-0000-0000-000007240000}"/>
    <cellStyle name="20 % - Markeringsfarve3 4 5 3 3 3" xfId="44322" xr:uid="{00000000-0005-0000-0000-000008240000}"/>
    <cellStyle name="20 % - Markeringsfarve3 4 5 3 4" xfId="22359" xr:uid="{00000000-0005-0000-0000-000009240000}"/>
    <cellStyle name="20 % - Markeringsfarve3 4 5 3 5" xfId="37325" xr:uid="{00000000-0005-0000-0000-00000A240000}"/>
    <cellStyle name="20 % - Markeringsfarve3 4 5 4" xfId="4598" xr:uid="{00000000-0005-0000-0000-00000B240000}"/>
    <cellStyle name="20 % - Markeringsfarve3 4 5 4 2" xfId="10723" xr:uid="{00000000-0005-0000-0000-00000C240000}"/>
    <cellStyle name="20 % - Markeringsfarve3 4 5 4 2 2" xfId="18567" xr:uid="{00000000-0005-0000-0000-00000D240000}"/>
    <cellStyle name="20 % - Markeringsfarve3 4 5 4 2 2 2" xfId="34843" xr:uid="{00000000-0005-0000-0000-00000E240000}"/>
    <cellStyle name="20 % - Markeringsfarve3 4 5 4 2 2 3" xfId="49802" xr:uid="{00000000-0005-0000-0000-00000F240000}"/>
    <cellStyle name="20 % - Markeringsfarve3 4 5 4 2 3" xfId="27841" xr:uid="{00000000-0005-0000-0000-000010240000}"/>
    <cellStyle name="20 % - Markeringsfarve3 4 5 4 2 4" xfId="42805" xr:uid="{00000000-0005-0000-0000-000011240000}"/>
    <cellStyle name="20 % - Markeringsfarve3 4 5 4 3" xfId="13083" xr:uid="{00000000-0005-0000-0000-000012240000}"/>
    <cellStyle name="20 % - Markeringsfarve3 4 5 4 3 2" xfId="29362" xr:uid="{00000000-0005-0000-0000-000013240000}"/>
    <cellStyle name="20 % - Markeringsfarve3 4 5 4 3 3" xfId="44323" xr:uid="{00000000-0005-0000-0000-000014240000}"/>
    <cellStyle name="20 % - Markeringsfarve3 4 5 4 4" xfId="22360" xr:uid="{00000000-0005-0000-0000-000015240000}"/>
    <cellStyle name="20 % - Markeringsfarve3 4 5 4 5" xfId="37326" xr:uid="{00000000-0005-0000-0000-000016240000}"/>
    <cellStyle name="20 % - Markeringsfarve3 4 5 5" xfId="7776" xr:uid="{00000000-0005-0000-0000-000017240000}"/>
    <cellStyle name="20 % - Markeringsfarve3 4 5 5 2" xfId="15641" xr:uid="{00000000-0005-0000-0000-000018240000}"/>
    <cellStyle name="20 % - Markeringsfarve3 4 5 5 2 2" xfId="31917" xr:uid="{00000000-0005-0000-0000-000019240000}"/>
    <cellStyle name="20 % - Markeringsfarve3 4 5 5 2 3" xfId="46876" xr:uid="{00000000-0005-0000-0000-00001A240000}"/>
    <cellStyle name="20 % - Markeringsfarve3 4 5 5 3" xfId="24915" xr:uid="{00000000-0005-0000-0000-00001B240000}"/>
    <cellStyle name="20 % - Markeringsfarve3 4 5 5 4" xfId="39879" xr:uid="{00000000-0005-0000-0000-00001C240000}"/>
    <cellStyle name="20 % - Markeringsfarve3 4 5 6" xfId="13079" xr:uid="{00000000-0005-0000-0000-00001D240000}"/>
    <cellStyle name="20 % - Markeringsfarve3 4 5 6 2" xfId="29358" xr:uid="{00000000-0005-0000-0000-00001E240000}"/>
    <cellStyle name="20 % - Markeringsfarve3 4 5 6 3" xfId="44319" xr:uid="{00000000-0005-0000-0000-00001F240000}"/>
    <cellStyle name="20 % - Markeringsfarve3 4 5 7" xfId="22356" xr:uid="{00000000-0005-0000-0000-000020240000}"/>
    <cellStyle name="20 % - Markeringsfarve3 4 5 8" xfId="37322" xr:uid="{00000000-0005-0000-0000-000021240000}"/>
    <cellStyle name="20 % - Markeringsfarve3 4 6" xfId="4599" xr:uid="{00000000-0005-0000-0000-000022240000}"/>
    <cellStyle name="20 % - Markeringsfarve3 4 6 2" xfId="4600" xr:uid="{00000000-0005-0000-0000-000023240000}"/>
    <cellStyle name="20 % - Markeringsfarve3 4 6 2 2" xfId="4601" xr:uid="{00000000-0005-0000-0000-000024240000}"/>
    <cellStyle name="20 % - Markeringsfarve3 4 6 2 2 2" xfId="10310" xr:uid="{00000000-0005-0000-0000-000025240000}"/>
    <cellStyle name="20 % - Markeringsfarve3 4 6 2 2 2 2" xfId="18165" xr:uid="{00000000-0005-0000-0000-000026240000}"/>
    <cellStyle name="20 % - Markeringsfarve3 4 6 2 2 2 2 2" xfId="34441" xr:uid="{00000000-0005-0000-0000-000027240000}"/>
    <cellStyle name="20 % - Markeringsfarve3 4 6 2 2 2 2 3" xfId="49400" xr:uid="{00000000-0005-0000-0000-000028240000}"/>
    <cellStyle name="20 % - Markeringsfarve3 4 6 2 2 2 3" xfId="27439" xr:uid="{00000000-0005-0000-0000-000029240000}"/>
    <cellStyle name="20 % - Markeringsfarve3 4 6 2 2 2 4" xfId="42403" xr:uid="{00000000-0005-0000-0000-00002A240000}"/>
    <cellStyle name="20 % - Markeringsfarve3 4 6 2 2 3" xfId="13086" xr:uid="{00000000-0005-0000-0000-00002B240000}"/>
    <cellStyle name="20 % - Markeringsfarve3 4 6 2 2 3 2" xfId="29365" xr:uid="{00000000-0005-0000-0000-00002C240000}"/>
    <cellStyle name="20 % - Markeringsfarve3 4 6 2 2 3 3" xfId="44326" xr:uid="{00000000-0005-0000-0000-00002D240000}"/>
    <cellStyle name="20 % - Markeringsfarve3 4 6 2 2 4" xfId="22363" xr:uid="{00000000-0005-0000-0000-00002E240000}"/>
    <cellStyle name="20 % - Markeringsfarve3 4 6 2 2 5" xfId="37329" xr:uid="{00000000-0005-0000-0000-00002F240000}"/>
    <cellStyle name="20 % - Markeringsfarve3 4 6 2 3" xfId="8822" xr:uid="{00000000-0005-0000-0000-000030240000}"/>
    <cellStyle name="20 % - Markeringsfarve3 4 6 2 3 2" xfId="16689" xr:uid="{00000000-0005-0000-0000-000031240000}"/>
    <cellStyle name="20 % - Markeringsfarve3 4 6 2 3 2 2" xfId="32965" xr:uid="{00000000-0005-0000-0000-000032240000}"/>
    <cellStyle name="20 % - Markeringsfarve3 4 6 2 3 2 3" xfId="47924" xr:uid="{00000000-0005-0000-0000-000033240000}"/>
    <cellStyle name="20 % - Markeringsfarve3 4 6 2 3 3" xfId="25963" xr:uid="{00000000-0005-0000-0000-000034240000}"/>
    <cellStyle name="20 % - Markeringsfarve3 4 6 2 3 4" xfId="40927" xr:uid="{00000000-0005-0000-0000-000035240000}"/>
    <cellStyle name="20 % - Markeringsfarve3 4 6 2 4" xfId="13085" xr:uid="{00000000-0005-0000-0000-000036240000}"/>
    <cellStyle name="20 % - Markeringsfarve3 4 6 2 4 2" xfId="29364" xr:uid="{00000000-0005-0000-0000-000037240000}"/>
    <cellStyle name="20 % - Markeringsfarve3 4 6 2 4 3" xfId="44325" xr:uid="{00000000-0005-0000-0000-000038240000}"/>
    <cellStyle name="20 % - Markeringsfarve3 4 6 2 5" xfId="22362" xr:uid="{00000000-0005-0000-0000-000039240000}"/>
    <cellStyle name="20 % - Markeringsfarve3 4 6 2 6" xfId="37328" xr:uid="{00000000-0005-0000-0000-00003A240000}"/>
    <cellStyle name="20 % - Markeringsfarve3 4 6 3" xfId="4602" xr:uid="{00000000-0005-0000-0000-00003B240000}"/>
    <cellStyle name="20 % - Markeringsfarve3 4 6 3 2" xfId="9588" xr:uid="{00000000-0005-0000-0000-00003C240000}"/>
    <cellStyle name="20 % - Markeringsfarve3 4 6 3 2 2" xfId="17451" xr:uid="{00000000-0005-0000-0000-00003D240000}"/>
    <cellStyle name="20 % - Markeringsfarve3 4 6 3 2 2 2" xfId="33727" xr:uid="{00000000-0005-0000-0000-00003E240000}"/>
    <cellStyle name="20 % - Markeringsfarve3 4 6 3 2 2 3" xfId="48686" xr:uid="{00000000-0005-0000-0000-00003F240000}"/>
    <cellStyle name="20 % - Markeringsfarve3 4 6 3 2 3" xfId="26725" xr:uid="{00000000-0005-0000-0000-000040240000}"/>
    <cellStyle name="20 % - Markeringsfarve3 4 6 3 2 4" xfId="41689" xr:uid="{00000000-0005-0000-0000-000041240000}"/>
    <cellStyle name="20 % - Markeringsfarve3 4 6 3 3" xfId="13087" xr:uid="{00000000-0005-0000-0000-000042240000}"/>
    <cellStyle name="20 % - Markeringsfarve3 4 6 3 3 2" xfId="29366" xr:uid="{00000000-0005-0000-0000-000043240000}"/>
    <cellStyle name="20 % - Markeringsfarve3 4 6 3 3 3" xfId="44327" xr:uid="{00000000-0005-0000-0000-000044240000}"/>
    <cellStyle name="20 % - Markeringsfarve3 4 6 3 4" xfId="22364" xr:uid="{00000000-0005-0000-0000-000045240000}"/>
    <cellStyle name="20 % - Markeringsfarve3 4 6 3 5" xfId="37330" xr:uid="{00000000-0005-0000-0000-000046240000}"/>
    <cellStyle name="20 % - Markeringsfarve3 4 6 4" xfId="4603" xr:uid="{00000000-0005-0000-0000-000047240000}"/>
    <cellStyle name="20 % - Markeringsfarve3 4 6 4 2" xfId="10514" xr:uid="{00000000-0005-0000-0000-000048240000}"/>
    <cellStyle name="20 % - Markeringsfarve3 4 6 4 2 2" xfId="18363" xr:uid="{00000000-0005-0000-0000-000049240000}"/>
    <cellStyle name="20 % - Markeringsfarve3 4 6 4 2 2 2" xfId="34639" xr:uid="{00000000-0005-0000-0000-00004A240000}"/>
    <cellStyle name="20 % - Markeringsfarve3 4 6 4 2 2 3" xfId="49598" xr:uid="{00000000-0005-0000-0000-00004B240000}"/>
    <cellStyle name="20 % - Markeringsfarve3 4 6 4 2 3" xfId="27637" xr:uid="{00000000-0005-0000-0000-00004C240000}"/>
    <cellStyle name="20 % - Markeringsfarve3 4 6 4 2 4" xfId="42601" xr:uid="{00000000-0005-0000-0000-00004D240000}"/>
    <cellStyle name="20 % - Markeringsfarve3 4 6 4 3" xfId="13088" xr:uid="{00000000-0005-0000-0000-00004E240000}"/>
    <cellStyle name="20 % - Markeringsfarve3 4 6 4 3 2" xfId="29367" xr:uid="{00000000-0005-0000-0000-00004F240000}"/>
    <cellStyle name="20 % - Markeringsfarve3 4 6 4 3 3" xfId="44328" xr:uid="{00000000-0005-0000-0000-000050240000}"/>
    <cellStyle name="20 % - Markeringsfarve3 4 6 4 4" xfId="22365" xr:uid="{00000000-0005-0000-0000-000051240000}"/>
    <cellStyle name="20 % - Markeringsfarve3 4 6 4 5" xfId="37331" xr:uid="{00000000-0005-0000-0000-000052240000}"/>
    <cellStyle name="20 % - Markeringsfarve3 4 6 5" xfId="7777" xr:uid="{00000000-0005-0000-0000-000053240000}"/>
    <cellStyle name="20 % - Markeringsfarve3 4 6 5 2" xfId="15642" xr:uid="{00000000-0005-0000-0000-000054240000}"/>
    <cellStyle name="20 % - Markeringsfarve3 4 6 5 2 2" xfId="31918" xr:uid="{00000000-0005-0000-0000-000055240000}"/>
    <cellStyle name="20 % - Markeringsfarve3 4 6 5 2 3" xfId="46877" xr:uid="{00000000-0005-0000-0000-000056240000}"/>
    <cellStyle name="20 % - Markeringsfarve3 4 6 5 3" xfId="24916" xr:uid="{00000000-0005-0000-0000-000057240000}"/>
    <cellStyle name="20 % - Markeringsfarve3 4 6 5 4" xfId="39880" xr:uid="{00000000-0005-0000-0000-000058240000}"/>
    <cellStyle name="20 % - Markeringsfarve3 4 6 6" xfId="13084" xr:uid="{00000000-0005-0000-0000-000059240000}"/>
    <cellStyle name="20 % - Markeringsfarve3 4 6 6 2" xfId="29363" xr:uid="{00000000-0005-0000-0000-00005A240000}"/>
    <cellStyle name="20 % - Markeringsfarve3 4 6 6 3" xfId="44324" xr:uid="{00000000-0005-0000-0000-00005B240000}"/>
    <cellStyle name="20 % - Markeringsfarve3 4 6 7" xfId="22361" xr:uid="{00000000-0005-0000-0000-00005C240000}"/>
    <cellStyle name="20 % - Markeringsfarve3 4 6 8" xfId="37327" xr:uid="{00000000-0005-0000-0000-00005D240000}"/>
    <cellStyle name="20 % - Markeringsfarve3 4 7" xfId="4604" xr:uid="{00000000-0005-0000-0000-00005E240000}"/>
    <cellStyle name="20 % - Markeringsfarve3 4 7 2" xfId="4605" xr:uid="{00000000-0005-0000-0000-00005F240000}"/>
    <cellStyle name="20 % - Markeringsfarve3 4 7 2 2" xfId="9738" xr:uid="{00000000-0005-0000-0000-000060240000}"/>
    <cellStyle name="20 % - Markeringsfarve3 4 7 2 2 2" xfId="17592" xr:uid="{00000000-0005-0000-0000-000061240000}"/>
    <cellStyle name="20 % - Markeringsfarve3 4 7 2 2 2 2" xfId="33868" xr:uid="{00000000-0005-0000-0000-000062240000}"/>
    <cellStyle name="20 % - Markeringsfarve3 4 7 2 2 2 3" xfId="48827" xr:uid="{00000000-0005-0000-0000-000063240000}"/>
    <cellStyle name="20 % - Markeringsfarve3 4 7 2 2 3" xfId="26866" xr:uid="{00000000-0005-0000-0000-000064240000}"/>
    <cellStyle name="20 % - Markeringsfarve3 4 7 2 2 4" xfId="41830" xr:uid="{00000000-0005-0000-0000-000065240000}"/>
    <cellStyle name="20 % - Markeringsfarve3 4 7 2 3" xfId="13090" xr:uid="{00000000-0005-0000-0000-000066240000}"/>
    <cellStyle name="20 % - Markeringsfarve3 4 7 2 3 2" xfId="29369" xr:uid="{00000000-0005-0000-0000-000067240000}"/>
    <cellStyle name="20 % - Markeringsfarve3 4 7 2 3 3" xfId="44330" xr:uid="{00000000-0005-0000-0000-000068240000}"/>
    <cellStyle name="20 % - Markeringsfarve3 4 7 2 4" xfId="22367" xr:uid="{00000000-0005-0000-0000-000069240000}"/>
    <cellStyle name="20 % - Markeringsfarve3 4 7 2 5" xfId="37333" xr:uid="{00000000-0005-0000-0000-00006A240000}"/>
    <cellStyle name="20 % - Markeringsfarve3 4 7 3" xfId="8334" xr:uid="{00000000-0005-0000-0000-00006B240000}"/>
    <cellStyle name="20 % - Markeringsfarve3 4 7 3 2" xfId="16204" xr:uid="{00000000-0005-0000-0000-00006C240000}"/>
    <cellStyle name="20 % - Markeringsfarve3 4 7 3 2 2" xfId="32480" xr:uid="{00000000-0005-0000-0000-00006D240000}"/>
    <cellStyle name="20 % - Markeringsfarve3 4 7 3 2 3" xfId="47439" xr:uid="{00000000-0005-0000-0000-00006E240000}"/>
    <cellStyle name="20 % - Markeringsfarve3 4 7 3 3" xfId="25478" xr:uid="{00000000-0005-0000-0000-00006F240000}"/>
    <cellStyle name="20 % - Markeringsfarve3 4 7 3 4" xfId="40442" xr:uid="{00000000-0005-0000-0000-000070240000}"/>
    <cellStyle name="20 % - Markeringsfarve3 4 7 4" xfId="13089" xr:uid="{00000000-0005-0000-0000-000071240000}"/>
    <cellStyle name="20 % - Markeringsfarve3 4 7 4 2" xfId="29368" xr:uid="{00000000-0005-0000-0000-000072240000}"/>
    <cellStyle name="20 % - Markeringsfarve3 4 7 4 3" xfId="44329" xr:uid="{00000000-0005-0000-0000-000073240000}"/>
    <cellStyle name="20 % - Markeringsfarve3 4 7 5" xfId="22366" xr:uid="{00000000-0005-0000-0000-000074240000}"/>
    <cellStyle name="20 % - Markeringsfarve3 4 7 6" xfId="37332" xr:uid="{00000000-0005-0000-0000-000075240000}"/>
    <cellStyle name="20 % - Markeringsfarve3 4 8" xfId="4606" xr:uid="{00000000-0005-0000-0000-000076240000}"/>
    <cellStyle name="20 % - Markeringsfarve3 4 8 2" xfId="8966" xr:uid="{00000000-0005-0000-0000-000077240000}"/>
    <cellStyle name="20 % - Markeringsfarve3 4 8 2 2" xfId="16830" xr:uid="{00000000-0005-0000-0000-000078240000}"/>
    <cellStyle name="20 % - Markeringsfarve3 4 8 2 2 2" xfId="33106" xr:uid="{00000000-0005-0000-0000-000079240000}"/>
    <cellStyle name="20 % - Markeringsfarve3 4 8 2 2 3" xfId="48065" xr:uid="{00000000-0005-0000-0000-00007A240000}"/>
    <cellStyle name="20 % - Markeringsfarve3 4 8 2 3" xfId="26104" xr:uid="{00000000-0005-0000-0000-00007B240000}"/>
    <cellStyle name="20 % - Markeringsfarve3 4 8 2 4" xfId="41068" xr:uid="{00000000-0005-0000-0000-00007C240000}"/>
    <cellStyle name="20 % - Markeringsfarve3 4 8 3" xfId="13091" xr:uid="{00000000-0005-0000-0000-00007D240000}"/>
    <cellStyle name="20 % - Markeringsfarve3 4 8 3 2" xfId="29370" xr:uid="{00000000-0005-0000-0000-00007E240000}"/>
    <cellStyle name="20 % - Markeringsfarve3 4 8 3 3" xfId="44331" xr:uid="{00000000-0005-0000-0000-00007F240000}"/>
    <cellStyle name="20 % - Markeringsfarve3 4 8 4" xfId="22368" xr:uid="{00000000-0005-0000-0000-000080240000}"/>
    <cellStyle name="20 % - Markeringsfarve3 4 8 5" xfId="37334" xr:uid="{00000000-0005-0000-0000-000081240000}"/>
    <cellStyle name="20 % - Markeringsfarve3 4 9" xfId="4607" xr:uid="{00000000-0005-0000-0000-000082240000}"/>
    <cellStyle name="20 % - Markeringsfarve3 4 9 2" xfId="9306" xr:uid="{00000000-0005-0000-0000-000083240000}"/>
    <cellStyle name="20 % - Markeringsfarve3 4 9 2 2" xfId="17169" xr:uid="{00000000-0005-0000-0000-000084240000}"/>
    <cellStyle name="20 % - Markeringsfarve3 4 9 2 2 2" xfId="33445" xr:uid="{00000000-0005-0000-0000-000085240000}"/>
    <cellStyle name="20 % - Markeringsfarve3 4 9 2 2 3" xfId="48404" xr:uid="{00000000-0005-0000-0000-000086240000}"/>
    <cellStyle name="20 % - Markeringsfarve3 4 9 2 3" xfId="26443" xr:uid="{00000000-0005-0000-0000-000087240000}"/>
    <cellStyle name="20 % - Markeringsfarve3 4 9 2 4" xfId="41407" xr:uid="{00000000-0005-0000-0000-000088240000}"/>
    <cellStyle name="20 % - Markeringsfarve3 4 9 3" xfId="13092" xr:uid="{00000000-0005-0000-0000-000089240000}"/>
    <cellStyle name="20 % - Markeringsfarve3 4 9 3 2" xfId="29371" xr:uid="{00000000-0005-0000-0000-00008A240000}"/>
    <cellStyle name="20 % - Markeringsfarve3 4 9 3 3" xfId="44332" xr:uid="{00000000-0005-0000-0000-00008B240000}"/>
    <cellStyle name="20 % - Markeringsfarve3 4 9 4" xfId="22369" xr:uid="{00000000-0005-0000-0000-00008C240000}"/>
    <cellStyle name="20 % - Markeringsfarve3 4 9 5" xfId="37335" xr:uid="{00000000-0005-0000-0000-00008D240000}"/>
    <cellStyle name="20 % - Markeringsfarve3 5" xfId="4608" xr:uid="{00000000-0005-0000-0000-00008E240000}"/>
    <cellStyle name="20 % - Markeringsfarve3 5 10" xfId="7778" xr:uid="{00000000-0005-0000-0000-00008F240000}"/>
    <cellStyle name="20 % - Markeringsfarve3 5 10 2" xfId="15643" xr:uid="{00000000-0005-0000-0000-000090240000}"/>
    <cellStyle name="20 % - Markeringsfarve3 5 10 2 2" xfId="31919" xr:uid="{00000000-0005-0000-0000-000091240000}"/>
    <cellStyle name="20 % - Markeringsfarve3 5 10 2 3" xfId="46878" xr:uid="{00000000-0005-0000-0000-000092240000}"/>
    <cellStyle name="20 % - Markeringsfarve3 5 10 3" xfId="24917" xr:uid="{00000000-0005-0000-0000-000093240000}"/>
    <cellStyle name="20 % - Markeringsfarve3 5 10 4" xfId="39881" xr:uid="{00000000-0005-0000-0000-000094240000}"/>
    <cellStyle name="20 % - Markeringsfarve3 5 11" xfId="13093" xr:uid="{00000000-0005-0000-0000-000095240000}"/>
    <cellStyle name="20 % - Markeringsfarve3 5 11 2" xfId="29372" xr:uid="{00000000-0005-0000-0000-000096240000}"/>
    <cellStyle name="20 % - Markeringsfarve3 5 11 3" xfId="44333" xr:uid="{00000000-0005-0000-0000-000097240000}"/>
    <cellStyle name="20 % - Markeringsfarve3 5 12" xfId="22370" xr:uid="{00000000-0005-0000-0000-000098240000}"/>
    <cellStyle name="20 % - Markeringsfarve3 5 13" xfId="37336" xr:uid="{00000000-0005-0000-0000-000099240000}"/>
    <cellStyle name="20 % - Markeringsfarve3 5 2" xfId="4609" xr:uid="{00000000-0005-0000-0000-00009A240000}"/>
    <cellStyle name="20 % - Markeringsfarve3 5 2 2" xfId="4610" xr:uid="{00000000-0005-0000-0000-00009B240000}"/>
    <cellStyle name="20 % - Markeringsfarve3 5 2 2 2" xfId="4611" xr:uid="{00000000-0005-0000-0000-00009C240000}"/>
    <cellStyle name="20 % - Markeringsfarve3 5 2 2 2 2" xfId="9895" xr:uid="{00000000-0005-0000-0000-00009D240000}"/>
    <cellStyle name="20 % - Markeringsfarve3 5 2 2 2 2 2" xfId="17750" xr:uid="{00000000-0005-0000-0000-00009E240000}"/>
    <cellStyle name="20 % - Markeringsfarve3 5 2 2 2 2 2 2" xfId="34026" xr:uid="{00000000-0005-0000-0000-00009F240000}"/>
    <cellStyle name="20 % - Markeringsfarve3 5 2 2 2 2 2 3" xfId="48985" xr:uid="{00000000-0005-0000-0000-0000A0240000}"/>
    <cellStyle name="20 % - Markeringsfarve3 5 2 2 2 2 3" xfId="27024" xr:uid="{00000000-0005-0000-0000-0000A1240000}"/>
    <cellStyle name="20 % - Markeringsfarve3 5 2 2 2 2 4" xfId="41988" xr:uid="{00000000-0005-0000-0000-0000A2240000}"/>
    <cellStyle name="20 % - Markeringsfarve3 5 2 2 2 3" xfId="13096" xr:uid="{00000000-0005-0000-0000-0000A3240000}"/>
    <cellStyle name="20 % - Markeringsfarve3 5 2 2 2 3 2" xfId="29375" xr:uid="{00000000-0005-0000-0000-0000A4240000}"/>
    <cellStyle name="20 % - Markeringsfarve3 5 2 2 2 3 3" xfId="44336" xr:uid="{00000000-0005-0000-0000-0000A5240000}"/>
    <cellStyle name="20 % - Markeringsfarve3 5 2 2 2 4" xfId="22373" xr:uid="{00000000-0005-0000-0000-0000A6240000}"/>
    <cellStyle name="20 % - Markeringsfarve3 5 2 2 2 5" xfId="37339" xr:uid="{00000000-0005-0000-0000-0000A7240000}"/>
    <cellStyle name="20 % - Markeringsfarve3 5 2 2 3" xfId="8466" xr:uid="{00000000-0005-0000-0000-0000A8240000}"/>
    <cellStyle name="20 % - Markeringsfarve3 5 2 2 3 2" xfId="16336" xr:uid="{00000000-0005-0000-0000-0000A9240000}"/>
    <cellStyle name="20 % - Markeringsfarve3 5 2 2 3 2 2" xfId="32612" xr:uid="{00000000-0005-0000-0000-0000AA240000}"/>
    <cellStyle name="20 % - Markeringsfarve3 5 2 2 3 2 3" xfId="47571" xr:uid="{00000000-0005-0000-0000-0000AB240000}"/>
    <cellStyle name="20 % - Markeringsfarve3 5 2 2 3 3" xfId="25610" xr:uid="{00000000-0005-0000-0000-0000AC240000}"/>
    <cellStyle name="20 % - Markeringsfarve3 5 2 2 3 4" xfId="40574" xr:uid="{00000000-0005-0000-0000-0000AD240000}"/>
    <cellStyle name="20 % - Markeringsfarve3 5 2 2 4" xfId="13095" xr:uid="{00000000-0005-0000-0000-0000AE240000}"/>
    <cellStyle name="20 % - Markeringsfarve3 5 2 2 4 2" xfId="29374" xr:uid="{00000000-0005-0000-0000-0000AF240000}"/>
    <cellStyle name="20 % - Markeringsfarve3 5 2 2 4 3" xfId="44335" xr:uid="{00000000-0005-0000-0000-0000B0240000}"/>
    <cellStyle name="20 % - Markeringsfarve3 5 2 2 5" xfId="22372" xr:uid="{00000000-0005-0000-0000-0000B1240000}"/>
    <cellStyle name="20 % - Markeringsfarve3 5 2 2 6" xfId="37338" xr:uid="{00000000-0005-0000-0000-0000B2240000}"/>
    <cellStyle name="20 % - Markeringsfarve3 5 2 3" xfId="4612" xr:uid="{00000000-0005-0000-0000-0000B3240000}"/>
    <cellStyle name="20 % - Markeringsfarve3 5 2 3 2" xfId="9126" xr:uid="{00000000-0005-0000-0000-0000B4240000}"/>
    <cellStyle name="20 % - Markeringsfarve3 5 2 3 2 2" xfId="16990" xr:uid="{00000000-0005-0000-0000-0000B5240000}"/>
    <cellStyle name="20 % - Markeringsfarve3 5 2 3 2 2 2" xfId="33266" xr:uid="{00000000-0005-0000-0000-0000B6240000}"/>
    <cellStyle name="20 % - Markeringsfarve3 5 2 3 2 2 3" xfId="48225" xr:uid="{00000000-0005-0000-0000-0000B7240000}"/>
    <cellStyle name="20 % - Markeringsfarve3 5 2 3 2 3" xfId="26264" xr:uid="{00000000-0005-0000-0000-0000B8240000}"/>
    <cellStyle name="20 % - Markeringsfarve3 5 2 3 2 4" xfId="41228" xr:uid="{00000000-0005-0000-0000-0000B9240000}"/>
    <cellStyle name="20 % - Markeringsfarve3 5 2 3 3" xfId="13097" xr:uid="{00000000-0005-0000-0000-0000BA240000}"/>
    <cellStyle name="20 % - Markeringsfarve3 5 2 3 3 2" xfId="29376" xr:uid="{00000000-0005-0000-0000-0000BB240000}"/>
    <cellStyle name="20 % - Markeringsfarve3 5 2 3 3 3" xfId="44337" xr:uid="{00000000-0005-0000-0000-0000BC240000}"/>
    <cellStyle name="20 % - Markeringsfarve3 5 2 3 4" xfId="22374" xr:uid="{00000000-0005-0000-0000-0000BD240000}"/>
    <cellStyle name="20 % - Markeringsfarve3 5 2 3 5" xfId="37340" xr:uid="{00000000-0005-0000-0000-0000BE240000}"/>
    <cellStyle name="20 % - Markeringsfarve3 5 2 4" xfId="4613" xr:uid="{00000000-0005-0000-0000-0000BF240000}"/>
    <cellStyle name="20 % - Markeringsfarve3 5 2 4 2" xfId="10512" xr:uid="{00000000-0005-0000-0000-0000C0240000}"/>
    <cellStyle name="20 % - Markeringsfarve3 5 2 4 2 2" xfId="18361" xr:uid="{00000000-0005-0000-0000-0000C1240000}"/>
    <cellStyle name="20 % - Markeringsfarve3 5 2 4 2 2 2" xfId="34637" xr:uid="{00000000-0005-0000-0000-0000C2240000}"/>
    <cellStyle name="20 % - Markeringsfarve3 5 2 4 2 2 3" xfId="49596" xr:uid="{00000000-0005-0000-0000-0000C3240000}"/>
    <cellStyle name="20 % - Markeringsfarve3 5 2 4 2 3" xfId="27635" xr:uid="{00000000-0005-0000-0000-0000C4240000}"/>
    <cellStyle name="20 % - Markeringsfarve3 5 2 4 2 4" xfId="42599" xr:uid="{00000000-0005-0000-0000-0000C5240000}"/>
    <cellStyle name="20 % - Markeringsfarve3 5 2 4 3" xfId="13098" xr:uid="{00000000-0005-0000-0000-0000C6240000}"/>
    <cellStyle name="20 % - Markeringsfarve3 5 2 4 3 2" xfId="29377" xr:uid="{00000000-0005-0000-0000-0000C7240000}"/>
    <cellStyle name="20 % - Markeringsfarve3 5 2 4 3 3" xfId="44338" xr:uid="{00000000-0005-0000-0000-0000C8240000}"/>
    <cellStyle name="20 % - Markeringsfarve3 5 2 4 4" xfId="22375" xr:uid="{00000000-0005-0000-0000-0000C9240000}"/>
    <cellStyle name="20 % - Markeringsfarve3 5 2 4 5" xfId="37341" xr:uid="{00000000-0005-0000-0000-0000CA240000}"/>
    <cellStyle name="20 % - Markeringsfarve3 5 2 5" xfId="7779" xr:uid="{00000000-0005-0000-0000-0000CB240000}"/>
    <cellStyle name="20 % - Markeringsfarve3 5 2 5 2" xfId="15644" xr:uid="{00000000-0005-0000-0000-0000CC240000}"/>
    <cellStyle name="20 % - Markeringsfarve3 5 2 5 2 2" xfId="31920" xr:uid="{00000000-0005-0000-0000-0000CD240000}"/>
    <cellStyle name="20 % - Markeringsfarve3 5 2 5 2 3" xfId="46879" xr:uid="{00000000-0005-0000-0000-0000CE240000}"/>
    <cellStyle name="20 % - Markeringsfarve3 5 2 5 3" xfId="24918" xr:uid="{00000000-0005-0000-0000-0000CF240000}"/>
    <cellStyle name="20 % - Markeringsfarve3 5 2 5 4" xfId="39882" xr:uid="{00000000-0005-0000-0000-0000D0240000}"/>
    <cellStyle name="20 % - Markeringsfarve3 5 2 6" xfId="13094" xr:uid="{00000000-0005-0000-0000-0000D1240000}"/>
    <cellStyle name="20 % - Markeringsfarve3 5 2 6 2" xfId="29373" xr:uid="{00000000-0005-0000-0000-0000D2240000}"/>
    <cellStyle name="20 % - Markeringsfarve3 5 2 6 3" xfId="44334" xr:uid="{00000000-0005-0000-0000-0000D3240000}"/>
    <cellStyle name="20 % - Markeringsfarve3 5 2 7" xfId="22371" xr:uid="{00000000-0005-0000-0000-0000D4240000}"/>
    <cellStyle name="20 % - Markeringsfarve3 5 2 8" xfId="37337" xr:uid="{00000000-0005-0000-0000-0000D5240000}"/>
    <cellStyle name="20 % - Markeringsfarve3 5 3" xfId="4614" xr:uid="{00000000-0005-0000-0000-0000D6240000}"/>
    <cellStyle name="20 % - Markeringsfarve3 5 3 2" xfId="4615" xr:uid="{00000000-0005-0000-0000-0000D7240000}"/>
    <cellStyle name="20 % - Markeringsfarve3 5 3 2 2" xfId="4616" xr:uid="{00000000-0005-0000-0000-0000D8240000}"/>
    <cellStyle name="20 % - Markeringsfarve3 5 3 2 2 2" xfId="9956" xr:uid="{00000000-0005-0000-0000-0000D9240000}"/>
    <cellStyle name="20 % - Markeringsfarve3 5 3 2 2 2 2" xfId="17811" xr:uid="{00000000-0005-0000-0000-0000DA240000}"/>
    <cellStyle name="20 % - Markeringsfarve3 5 3 2 2 2 2 2" xfId="34087" xr:uid="{00000000-0005-0000-0000-0000DB240000}"/>
    <cellStyle name="20 % - Markeringsfarve3 5 3 2 2 2 2 3" xfId="49046" xr:uid="{00000000-0005-0000-0000-0000DC240000}"/>
    <cellStyle name="20 % - Markeringsfarve3 5 3 2 2 2 3" xfId="27085" xr:uid="{00000000-0005-0000-0000-0000DD240000}"/>
    <cellStyle name="20 % - Markeringsfarve3 5 3 2 2 2 4" xfId="42049" xr:uid="{00000000-0005-0000-0000-0000DE240000}"/>
    <cellStyle name="20 % - Markeringsfarve3 5 3 2 2 3" xfId="13101" xr:uid="{00000000-0005-0000-0000-0000DF240000}"/>
    <cellStyle name="20 % - Markeringsfarve3 5 3 2 2 3 2" xfId="29380" xr:uid="{00000000-0005-0000-0000-0000E0240000}"/>
    <cellStyle name="20 % - Markeringsfarve3 5 3 2 2 3 3" xfId="44341" xr:uid="{00000000-0005-0000-0000-0000E1240000}"/>
    <cellStyle name="20 % - Markeringsfarve3 5 3 2 2 4" xfId="22378" xr:uid="{00000000-0005-0000-0000-0000E2240000}"/>
    <cellStyle name="20 % - Markeringsfarve3 5 3 2 2 5" xfId="37344" xr:uid="{00000000-0005-0000-0000-0000E3240000}"/>
    <cellStyle name="20 % - Markeringsfarve3 5 3 2 3" xfId="8521" xr:uid="{00000000-0005-0000-0000-0000E4240000}"/>
    <cellStyle name="20 % - Markeringsfarve3 5 3 2 3 2" xfId="16391" xr:uid="{00000000-0005-0000-0000-0000E5240000}"/>
    <cellStyle name="20 % - Markeringsfarve3 5 3 2 3 2 2" xfId="32667" xr:uid="{00000000-0005-0000-0000-0000E6240000}"/>
    <cellStyle name="20 % - Markeringsfarve3 5 3 2 3 2 3" xfId="47626" xr:uid="{00000000-0005-0000-0000-0000E7240000}"/>
    <cellStyle name="20 % - Markeringsfarve3 5 3 2 3 3" xfId="25665" xr:uid="{00000000-0005-0000-0000-0000E8240000}"/>
    <cellStyle name="20 % - Markeringsfarve3 5 3 2 3 4" xfId="40629" xr:uid="{00000000-0005-0000-0000-0000E9240000}"/>
    <cellStyle name="20 % - Markeringsfarve3 5 3 2 4" xfId="13100" xr:uid="{00000000-0005-0000-0000-0000EA240000}"/>
    <cellStyle name="20 % - Markeringsfarve3 5 3 2 4 2" xfId="29379" xr:uid="{00000000-0005-0000-0000-0000EB240000}"/>
    <cellStyle name="20 % - Markeringsfarve3 5 3 2 4 3" xfId="44340" xr:uid="{00000000-0005-0000-0000-0000EC240000}"/>
    <cellStyle name="20 % - Markeringsfarve3 5 3 2 5" xfId="22377" xr:uid="{00000000-0005-0000-0000-0000ED240000}"/>
    <cellStyle name="20 % - Markeringsfarve3 5 3 2 6" xfId="37343" xr:uid="{00000000-0005-0000-0000-0000EE240000}"/>
    <cellStyle name="20 % - Markeringsfarve3 5 3 3" xfId="4617" xr:uid="{00000000-0005-0000-0000-0000EF240000}"/>
    <cellStyle name="20 % - Markeringsfarve3 5 3 3 2" xfId="9187" xr:uid="{00000000-0005-0000-0000-0000F0240000}"/>
    <cellStyle name="20 % - Markeringsfarve3 5 3 3 2 2" xfId="17051" xr:uid="{00000000-0005-0000-0000-0000F1240000}"/>
    <cellStyle name="20 % - Markeringsfarve3 5 3 3 2 2 2" xfId="33327" xr:uid="{00000000-0005-0000-0000-0000F2240000}"/>
    <cellStyle name="20 % - Markeringsfarve3 5 3 3 2 2 3" xfId="48286" xr:uid="{00000000-0005-0000-0000-0000F3240000}"/>
    <cellStyle name="20 % - Markeringsfarve3 5 3 3 2 3" xfId="26325" xr:uid="{00000000-0005-0000-0000-0000F4240000}"/>
    <cellStyle name="20 % - Markeringsfarve3 5 3 3 2 4" xfId="41289" xr:uid="{00000000-0005-0000-0000-0000F5240000}"/>
    <cellStyle name="20 % - Markeringsfarve3 5 3 3 3" xfId="13102" xr:uid="{00000000-0005-0000-0000-0000F6240000}"/>
    <cellStyle name="20 % - Markeringsfarve3 5 3 3 3 2" xfId="29381" xr:uid="{00000000-0005-0000-0000-0000F7240000}"/>
    <cellStyle name="20 % - Markeringsfarve3 5 3 3 3 3" xfId="44342" xr:uid="{00000000-0005-0000-0000-0000F8240000}"/>
    <cellStyle name="20 % - Markeringsfarve3 5 3 3 4" xfId="22379" xr:uid="{00000000-0005-0000-0000-0000F9240000}"/>
    <cellStyle name="20 % - Markeringsfarve3 5 3 3 5" xfId="37345" xr:uid="{00000000-0005-0000-0000-0000FA240000}"/>
    <cellStyle name="20 % - Markeringsfarve3 5 3 4" xfId="4618" xr:uid="{00000000-0005-0000-0000-0000FB240000}"/>
    <cellStyle name="20 % - Markeringsfarve3 5 3 4 2" xfId="10511" xr:uid="{00000000-0005-0000-0000-0000FC240000}"/>
    <cellStyle name="20 % - Markeringsfarve3 5 3 4 2 2" xfId="18360" xr:uid="{00000000-0005-0000-0000-0000FD240000}"/>
    <cellStyle name="20 % - Markeringsfarve3 5 3 4 2 2 2" xfId="34636" xr:uid="{00000000-0005-0000-0000-0000FE240000}"/>
    <cellStyle name="20 % - Markeringsfarve3 5 3 4 2 2 3" xfId="49595" xr:uid="{00000000-0005-0000-0000-0000FF240000}"/>
    <cellStyle name="20 % - Markeringsfarve3 5 3 4 2 3" xfId="27634" xr:uid="{00000000-0005-0000-0000-000000250000}"/>
    <cellStyle name="20 % - Markeringsfarve3 5 3 4 2 4" xfId="42598" xr:uid="{00000000-0005-0000-0000-000001250000}"/>
    <cellStyle name="20 % - Markeringsfarve3 5 3 4 3" xfId="13103" xr:uid="{00000000-0005-0000-0000-000002250000}"/>
    <cellStyle name="20 % - Markeringsfarve3 5 3 4 3 2" xfId="29382" xr:uid="{00000000-0005-0000-0000-000003250000}"/>
    <cellStyle name="20 % - Markeringsfarve3 5 3 4 3 3" xfId="44343" xr:uid="{00000000-0005-0000-0000-000004250000}"/>
    <cellStyle name="20 % - Markeringsfarve3 5 3 4 4" xfId="22380" xr:uid="{00000000-0005-0000-0000-000005250000}"/>
    <cellStyle name="20 % - Markeringsfarve3 5 3 4 5" xfId="37346" xr:uid="{00000000-0005-0000-0000-000006250000}"/>
    <cellStyle name="20 % - Markeringsfarve3 5 3 5" xfId="7780" xr:uid="{00000000-0005-0000-0000-000007250000}"/>
    <cellStyle name="20 % - Markeringsfarve3 5 3 5 2" xfId="15645" xr:uid="{00000000-0005-0000-0000-000008250000}"/>
    <cellStyle name="20 % - Markeringsfarve3 5 3 5 2 2" xfId="31921" xr:uid="{00000000-0005-0000-0000-000009250000}"/>
    <cellStyle name="20 % - Markeringsfarve3 5 3 5 2 3" xfId="46880" xr:uid="{00000000-0005-0000-0000-00000A250000}"/>
    <cellStyle name="20 % - Markeringsfarve3 5 3 5 3" xfId="24919" xr:uid="{00000000-0005-0000-0000-00000B250000}"/>
    <cellStyle name="20 % - Markeringsfarve3 5 3 5 4" xfId="39883" xr:uid="{00000000-0005-0000-0000-00000C250000}"/>
    <cellStyle name="20 % - Markeringsfarve3 5 3 6" xfId="13099" xr:uid="{00000000-0005-0000-0000-00000D250000}"/>
    <cellStyle name="20 % - Markeringsfarve3 5 3 6 2" xfId="29378" xr:uid="{00000000-0005-0000-0000-00000E250000}"/>
    <cellStyle name="20 % - Markeringsfarve3 5 3 6 3" xfId="44339" xr:uid="{00000000-0005-0000-0000-00000F250000}"/>
    <cellStyle name="20 % - Markeringsfarve3 5 3 7" xfId="22376" xr:uid="{00000000-0005-0000-0000-000010250000}"/>
    <cellStyle name="20 % - Markeringsfarve3 5 3 8" xfId="37342" xr:uid="{00000000-0005-0000-0000-000011250000}"/>
    <cellStyle name="20 % - Markeringsfarve3 5 4" xfId="4619" xr:uid="{00000000-0005-0000-0000-000012250000}"/>
    <cellStyle name="20 % - Markeringsfarve3 5 4 2" xfId="4620" xr:uid="{00000000-0005-0000-0000-000013250000}"/>
    <cellStyle name="20 % - Markeringsfarve3 5 4 2 2" xfId="4621" xr:uid="{00000000-0005-0000-0000-000014250000}"/>
    <cellStyle name="20 % - Markeringsfarve3 5 4 2 2 2" xfId="10133" xr:uid="{00000000-0005-0000-0000-000015250000}"/>
    <cellStyle name="20 % - Markeringsfarve3 5 4 2 2 2 2" xfId="17988" xr:uid="{00000000-0005-0000-0000-000016250000}"/>
    <cellStyle name="20 % - Markeringsfarve3 5 4 2 2 2 2 2" xfId="34264" xr:uid="{00000000-0005-0000-0000-000017250000}"/>
    <cellStyle name="20 % - Markeringsfarve3 5 4 2 2 2 2 3" xfId="49223" xr:uid="{00000000-0005-0000-0000-000018250000}"/>
    <cellStyle name="20 % - Markeringsfarve3 5 4 2 2 2 3" xfId="27262" xr:uid="{00000000-0005-0000-0000-000019250000}"/>
    <cellStyle name="20 % - Markeringsfarve3 5 4 2 2 2 4" xfId="42226" xr:uid="{00000000-0005-0000-0000-00001A250000}"/>
    <cellStyle name="20 % - Markeringsfarve3 5 4 2 2 3" xfId="13106" xr:uid="{00000000-0005-0000-0000-00001B250000}"/>
    <cellStyle name="20 % - Markeringsfarve3 5 4 2 2 3 2" xfId="29385" xr:uid="{00000000-0005-0000-0000-00001C250000}"/>
    <cellStyle name="20 % - Markeringsfarve3 5 4 2 2 3 3" xfId="44346" xr:uid="{00000000-0005-0000-0000-00001D250000}"/>
    <cellStyle name="20 % - Markeringsfarve3 5 4 2 2 4" xfId="22383" xr:uid="{00000000-0005-0000-0000-00001E250000}"/>
    <cellStyle name="20 % - Markeringsfarve3 5 4 2 2 5" xfId="37349" xr:uid="{00000000-0005-0000-0000-00001F250000}"/>
    <cellStyle name="20 % - Markeringsfarve3 5 4 2 3" xfId="8668" xr:uid="{00000000-0005-0000-0000-000020250000}"/>
    <cellStyle name="20 % - Markeringsfarve3 5 4 2 3 2" xfId="16535" xr:uid="{00000000-0005-0000-0000-000021250000}"/>
    <cellStyle name="20 % - Markeringsfarve3 5 4 2 3 2 2" xfId="32811" xr:uid="{00000000-0005-0000-0000-000022250000}"/>
    <cellStyle name="20 % - Markeringsfarve3 5 4 2 3 2 3" xfId="47770" xr:uid="{00000000-0005-0000-0000-000023250000}"/>
    <cellStyle name="20 % - Markeringsfarve3 5 4 2 3 3" xfId="25809" xr:uid="{00000000-0005-0000-0000-000024250000}"/>
    <cellStyle name="20 % - Markeringsfarve3 5 4 2 3 4" xfId="40773" xr:uid="{00000000-0005-0000-0000-000025250000}"/>
    <cellStyle name="20 % - Markeringsfarve3 5 4 2 4" xfId="13105" xr:uid="{00000000-0005-0000-0000-000026250000}"/>
    <cellStyle name="20 % - Markeringsfarve3 5 4 2 4 2" xfId="29384" xr:uid="{00000000-0005-0000-0000-000027250000}"/>
    <cellStyle name="20 % - Markeringsfarve3 5 4 2 4 3" xfId="44345" xr:uid="{00000000-0005-0000-0000-000028250000}"/>
    <cellStyle name="20 % - Markeringsfarve3 5 4 2 5" xfId="22382" xr:uid="{00000000-0005-0000-0000-000029250000}"/>
    <cellStyle name="20 % - Markeringsfarve3 5 4 2 6" xfId="37348" xr:uid="{00000000-0005-0000-0000-00002A250000}"/>
    <cellStyle name="20 % - Markeringsfarve3 5 4 3" xfId="4622" xr:uid="{00000000-0005-0000-0000-00002B250000}"/>
    <cellStyle name="20 % - Markeringsfarve3 5 4 3 2" xfId="9410" xr:uid="{00000000-0005-0000-0000-00002C250000}"/>
    <cellStyle name="20 % - Markeringsfarve3 5 4 3 2 2" xfId="17273" xr:uid="{00000000-0005-0000-0000-00002D250000}"/>
    <cellStyle name="20 % - Markeringsfarve3 5 4 3 2 2 2" xfId="33549" xr:uid="{00000000-0005-0000-0000-00002E250000}"/>
    <cellStyle name="20 % - Markeringsfarve3 5 4 3 2 2 3" xfId="48508" xr:uid="{00000000-0005-0000-0000-00002F250000}"/>
    <cellStyle name="20 % - Markeringsfarve3 5 4 3 2 3" xfId="26547" xr:uid="{00000000-0005-0000-0000-000030250000}"/>
    <cellStyle name="20 % - Markeringsfarve3 5 4 3 2 4" xfId="41511" xr:uid="{00000000-0005-0000-0000-000031250000}"/>
    <cellStyle name="20 % - Markeringsfarve3 5 4 3 3" xfId="13107" xr:uid="{00000000-0005-0000-0000-000032250000}"/>
    <cellStyle name="20 % - Markeringsfarve3 5 4 3 3 2" xfId="29386" xr:uid="{00000000-0005-0000-0000-000033250000}"/>
    <cellStyle name="20 % - Markeringsfarve3 5 4 3 3 3" xfId="44347" xr:uid="{00000000-0005-0000-0000-000034250000}"/>
    <cellStyle name="20 % - Markeringsfarve3 5 4 3 4" xfId="22384" xr:uid="{00000000-0005-0000-0000-000035250000}"/>
    <cellStyle name="20 % - Markeringsfarve3 5 4 3 5" xfId="37350" xr:uid="{00000000-0005-0000-0000-000036250000}"/>
    <cellStyle name="20 % - Markeringsfarve3 5 4 4" xfId="4623" xr:uid="{00000000-0005-0000-0000-000037250000}"/>
    <cellStyle name="20 % - Markeringsfarve3 5 4 4 2" xfId="10510" xr:uid="{00000000-0005-0000-0000-000038250000}"/>
    <cellStyle name="20 % - Markeringsfarve3 5 4 4 2 2" xfId="18359" xr:uid="{00000000-0005-0000-0000-000039250000}"/>
    <cellStyle name="20 % - Markeringsfarve3 5 4 4 2 2 2" xfId="34635" xr:uid="{00000000-0005-0000-0000-00003A250000}"/>
    <cellStyle name="20 % - Markeringsfarve3 5 4 4 2 2 3" xfId="49594" xr:uid="{00000000-0005-0000-0000-00003B250000}"/>
    <cellStyle name="20 % - Markeringsfarve3 5 4 4 2 3" xfId="27633" xr:uid="{00000000-0005-0000-0000-00003C250000}"/>
    <cellStyle name="20 % - Markeringsfarve3 5 4 4 2 4" xfId="42597" xr:uid="{00000000-0005-0000-0000-00003D250000}"/>
    <cellStyle name="20 % - Markeringsfarve3 5 4 4 3" xfId="13108" xr:uid="{00000000-0005-0000-0000-00003E250000}"/>
    <cellStyle name="20 % - Markeringsfarve3 5 4 4 3 2" xfId="29387" xr:uid="{00000000-0005-0000-0000-00003F250000}"/>
    <cellStyle name="20 % - Markeringsfarve3 5 4 4 3 3" xfId="44348" xr:uid="{00000000-0005-0000-0000-000040250000}"/>
    <cellStyle name="20 % - Markeringsfarve3 5 4 4 4" xfId="22385" xr:uid="{00000000-0005-0000-0000-000041250000}"/>
    <cellStyle name="20 % - Markeringsfarve3 5 4 4 5" xfId="37351" xr:uid="{00000000-0005-0000-0000-000042250000}"/>
    <cellStyle name="20 % - Markeringsfarve3 5 4 5" xfId="7781" xr:uid="{00000000-0005-0000-0000-000043250000}"/>
    <cellStyle name="20 % - Markeringsfarve3 5 4 5 2" xfId="15646" xr:uid="{00000000-0005-0000-0000-000044250000}"/>
    <cellStyle name="20 % - Markeringsfarve3 5 4 5 2 2" xfId="31922" xr:uid="{00000000-0005-0000-0000-000045250000}"/>
    <cellStyle name="20 % - Markeringsfarve3 5 4 5 2 3" xfId="46881" xr:uid="{00000000-0005-0000-0000-000046250000}"/>
    <cellStyle name="20 % - Markeringsfarve3 5 4 5 3" xfId="24920" xr:uid="{00000000-0005-0000-0000-000047250000}"/>
    <cellStyle name="20 % - Markeringsfarve3 5 4 5 4" xfId="39884" xr:uid="{00000000-0005-0000-0000-000048250000}"/>
    <cellStyle name="20 % - Markeringsfarve3 5 4 6" xfId="13104" xr:uid="{00000000-0005-0000-0000-000049250000}"/>
    <cellStyle name="20 % - Markeringsfarve3 5 4 6 2" xfId="29383" xr:uid="{00000000-0005-0000-0000-00004A250000}"/>
    <cellStyle name="20 % - Markeringsfarve3 5 4 6 3" xfId="44344" xr:uid="{00000000-0005-0000-0000-00004B250000}"/>
    <cellStyle name="20 % - Markeringsfarve3 5 4 7" xfId="22381" xr:uid="{00000000-0005-0000-0000-00004C250000}"/>
    <cellStyle name="20 % - Markeringsfarve3 5 4 8" xfId="37347" xr:uid="{00000000-0005-0000-0000-00004D250000}"/>
    <cellStyle name="20 % - Markeringsfarve3 5 5" xfId="4624" xr:uid="{00000000-0005-0000-0000-00004E250000}"/>
    <cellStyle name="20 % - Markeringsfarve3 5 5 2" xfId="4625" xr:uid="{00000000-0005-0000-0000-00004F250000}"/>
    <cellStyle name="20 % - Markeringsfarve3 5 5 2 2" xfId="4626" xr:uid="{00000000-0005-0000-0000-000050250000}"/>
    <cellStyle name="20 % - Markeringsfarve3 5 5 2 2 2" xfId="10250" xr:uid="{00000000-0005-0000-0000-000051250000}"/>
    <cellStyle name="20 % - Markeringsfarve3 5 5 2 2 2 2" xfId="18105" xr:uid="{00000000-0005-0000-0000-000052250000}"/>
    <cellStyle name="20 % - Markeringsfarve3 5 5 2 2 2 2 2" xfId="34381" xr:uid="{00000000-0005-0000-0000-000053250000}"/>
    <cellStyle name="20 % - Markeringsfarve3 5 5 2 2 2 2 3" xfId="49340" xr:uid="{00000000-0005-0000-0000-000054250000}"/>
    <cellStyle name="20 % - Markeringsfarve3 5 5 2 2 2 3" xfId="27379" xr:uid="{00000000-0005-0000-0000-000055250000}"/>
    <cellStyle name="20 % - Markeringsfarve3 5 5 2 2 2 4" xfId="42343" xr:uid="{00000000-0005-0000-0000-000056250000}"/>
    <cellStyle name="20 % - Markeringsfarve3 5 5 2 2 3" xfId="13111" xr:uid="{00000000-0005-0000-0000-000057250000}"/>
    <cellStyle name="20 % - Markeringsfarve3 5 5 2 2 3 2" xfId="29390" xr:uid="{00000000-0005-0000-0000-000058250000}"/>
    <cellStyle name="20 % - Markeringsfarve3 5 5 2 2 3 3" xfId="44351" xr:uid="{00000000-0005-0000-0000-000059250000}"/>
    <cellStyle name="20 % - Markeringsfarve3 5 5 2 2 4" xfId="22388" xr:uid="{00000000-0005-0000-0000-00005A250000}"/>
    <cellStyle name="20 % - Markeringsfarve3 5 5 2 2 5" xfId="37354" xr:uid="{00000000-0005-0000-0000-00005B250000}"/>
    <cellStyle name="20 % - Markeringsfarve3 5 5 2 3" xfId="8767" xr:uid="{00000000-0005-0000-0000-00005C250000}"/>
    <cellStyle name="20 % - Markeringsfarve3 5 5 2 3 2" xfId="16634" xr:uid="{00000000-0005-0000-0000-00005D250000}"/>
    <cellStyle name="20 % - Markeringsfarve3 5 5 2 3 2 2" xfId="32910" xr:uid="{00000000-0005-0000-0000-00005E250000}"/>
    <cellStyle name="20 % - Markeringsfarve3 5 5 2 3 2 3" xfId="47869" xr:uid="{00000000-0005-0000-0000-00005F250000}"/>
    <cellStyle name="20 % - Markeringsfarve3 5 5 2 3 3" xfId="25908" xr:uid="{00000000-0005-0000-0000-000060250000}"/>
    <cellStyle name="20 % - Markeringsfarve3 5 5 2 3 4" xfId="40872" xr:uid="{00000000-0005-0000-0000-000061250000}"/>
    <cellStyle name="20 % - Markeringsfarve3 5 5 2 4" xfId="13110" xr:uid="{00000000-0005-0000-0000-000062250000}"/>
    <cellStyle name="20 % - Markeringsfarve3 5 5 2 4 2" xfId="29389" xr:uid="{00000000-0005-0000-0000-000063250000}"/>
    <cellStyle name="20 % - Markeringsfarve3 5 5 2 4 3" xfId="44350" xr:uid="{00000000-0005-0000-0000-000064250000}"/>
    <cellStyle name="20 % - Markeringsfarve3 5 5 2 5" xfId="22387" xr:uid="{00000000-0005-0000-0000-000065250000}"/>
    <cellStyle name="20 % - Markeringsfarve3 5 5 2 6" xfId="37353" xr:uid="{00000000-0005-0000-0000-000066250000}"/>
    <cellStyle name="20 % - Markeringsfarve3 5 5 3" xfId="4627" xr:uid="{00000000-0005-0000-0000-000067250000}"/>
    <cellStyle name="20 % - Markeringsfarve3 5 5 3 2" xfId="9527" xr:uid="{00000000-0005-0000-0000-000068250000}"/>
    <cellStyle name="20 % - Markeringsfarve3 5 5 3 2 2" xfId="17390" xr:uid="{00000000-0005-0000-0000-000069250000}"/>
    <cellStyle name="20 % - Markeringsfarve3 5 5 3 2 2 2" xfId="33666" xr:uid="{00000000-0005-0000-0000-00006A250000}"/>
    <cellStyle name="20 % - Markeringsfarve3 5 5 3 2 2 3" xfId="48625" xr:uid="{00000000-0005-0000-0000-00006B250000}"/>
    <cellStyle name="20 % - Markeringsfarve3 5 5 3 2 3" xfId="26664" xr:uid="{00000000-0005-0000-0000-00006C250000}"/>
    <cellStyle name="20 % - Markeringsfarve3 5 5 3 2 4" xfId="41628" xr:uid="{00000000-0005-0000-0000-00006D250000}"/>
    <cellStyle name="20 % - Markeringsfarve3 5 5 3 3" xfId="13112" xr:uid="{00000000-0005-0000-0000-00006E250000}"/>
    <cellStyle name="20 % - Markeringsfarve3 5 5 3 3 2" xfId="29391" xr:uid="{00000000-0005-0000-0000-00006F250000}"/>
    <cellStyle name="20 % - Markeringsfarve3 5 5 3 3 3" xfId="44352" xr:uid="{00000000-0005-0000-0000-000070250000}"/>
    <cellStyle name="20 % - Markeringsfarve3 5 5 3 4" xfId="22389" xr:uid="{00000000-0005-0000-0000-000071250000}"/>
    <cellStyle name="20 % - Markeringsfarve3 5 5 3 5" xfId="37355" xr:uid="{00000000-0005-0000-0000-000072250000}"/>
    <cellStyle name="20 % - Markeringsfarve3 5 5 4" xfId="4628" xr:uid="{00000000-0005-0000-0000-000073250000}"/>
    <cellStyle name="20 % - Markeringsfarve3 5 5 4 2" xfId="10509" xr:uid="{00000000-0005-0000-0000-000074250000}"/>
    <cellStyle name="20 % - Markeringsfarve3 5 5 4 2 2" xfId="18358" xr:uid="{00000000-0005-0000-0000-000075250000}"/>
    <cellStyle name="20 % - Markeringsfarve3 5 5 4 2 2 2" xfId="34634" xr:uid="{00000000-0005-0000-0000-000076250000}"/>
    <cellStyle name="20 % - Markeringsfarve3 5 5 4 2 2 3" xfId="49593" xr:uid="{00000000-0005-0000-0000-000077250000}"/>
    <cellStyle name="20 % - Markeringsfarve3 5 5 4 2 3" xfId="27632" xr:uid="{00000000-0005-0000-0000-000078250000}"/>
    <cellStyle name="20 % - Markeringsfarve3 5 5 4 2 4" xfId="42596" xr:uid="{00000000-0005-0000-0000-000079250000}"/>
    <cellStyle name="20 % - Markeringsfarve3 5 5 4 3" xfId="13113" xr:uid="{00000000-0005-0000-0000-00007A250000}"/>
    <cellStyle name="20 % - Markeringsfarve3 5 5 4 3 2" xfId="29392" xr:uid="{00000000-0005-0000-0000-00007B250000}"/>
    <cellStyle name="20 % - Markeringsfarve3 5 5 4 3 3" xfId="44353" xr:uid="{00000000-0005-0000-0000-00007C250000}"/>
    <cellStyle name="20 % - Markeringsfarve3 5 5 4 4" xfId="22390" xr:uid="{00000000-0005-0000-0000-00007D250000}"/>
    <cellStyle name="20 % - Markeringsfarve3 5 5 4 5" xfId="37356" xr:uid="{00000000-0005-0000-0000-00007E250000}"/>
    <cellStyle name="20 % - Markeringsfarve3 5 5 5" xfId="7782" xr:uid="{00000000-0005-0000-0000-00007F250000}"/>
    <cellStyle name="20 % - Markeringsfarve3 5 5 5 2" xfId="15647" xr:uid="{00000000-0005-0000-0000-000080250000}"/>
    <cellStyle name="20 % - Markeringsfarve3 5 5 5 2 2" xfId="31923" xr:uid="{00000000-0005-0000-0000-000081250000}"/>
    <cellStyle name="20 % - Markeringsfarve3 5 5 5 2 3" xfId="46882" xr:uid="{00000000-0005-0000-0000-000082250000}"/>
    <cellStyle name="20 % - Markeringsfarve3 5 5 5 3" xfId="24921" xr:uid="{00000000-0005-0000-0000-000083250000}"/>
    <cellStyle name="20 % - Markeringsfarve3 5 5 5 4" xfId="39885" xr:uid="{00000000-0005-0000-0000-000084250000}"/>
    <cellStyle name="20 % - Markeringsfarve3 5 5 6" xfId="13109" xr:uid="{00000000-0005-0000-0000-000085250000}"/>
    <cellStyle name="20 % - Markeringsfarve3 5 5 6 2" xfId="29388" xr:uid="{00000000-0005-0000-0000-000086250000}"/>
    <cellStyle name="20 % - Markeringsfarve3 5 5 6 3" xfId="44349" xr:uid="{00000000-0005-0000-0000-000087250000}"/>
    <cellStyle name="20 % - Markeringsfarve3 5 5 7" xfId="22386" xr:uid="{00000000-0005-0000-0000-000088250000}"/>
    <cellStyle name="20 % - Markeringsfarve3 5 5 8" xfId="37352" xr:uid="{00000000-0005-0000-0000-000089250000}"/>
    <cellStyle name="20 % - Markeringsfarve3 5 6" xfId="4629" xr:uid="{00000000-0005-0000-0000-00008A250000}"/>
    <cellStyle name="20 % - Markeringsfarve3 5 6 2" xfId="4630" xr:uid="{00000000-0005-0000-0000-00008B250000}"/>
    <cellStyle name="20 % - Markeringsfarve3 5 6 2 2" xfId="4631" xr:uid="{00000000-0005-0000-0000-00008C250000}"/>
    <cellStyle name="20 % - Markeringsfarve3 5 6 2 2 2" xfId="10311" xr:uid="{00000000-0005-0000-0000-00008D250000}"/>
    <cellStyle name="20 % - Markeringsfarve3 5 6 2 2 2 2" xfId="18166" xr:uid="{00000000-0005-0000-0000-00008E250000}"/>
    <cellStyle name="20 % - Markeringsfarve3 5 6 2 2 2 2 2" xfId="34442" xr:uid="{00000000-0005-0000-0000-00008F250000}"/>
    <cellStyle name="20 % - Markeringsfarve3 5 6 2 2 2 2 3" xfId="49401" xr:uid="{00000000-0005-0000-0000-000090250000}"/>
    <cellStyle name="20 % - Markeringsfarve3 5 6 2 2 2 3" xfId="27440" xr:uid="{00000000-0005-0000-0000-000091250000}"/>
    <cellStyle name="20 % - Markeringsfarve3 5 6 2 2 2 4" xfId="42404" xr:uid="{00000000-0005-0000-0000-000092250000}"/>
    <cellStyle name="20 % - Markeringsfarve3 5 6 2 2 3" xfId="13116" xr:uid="{00000000-0005-0000-0000-000093250000}"/>
    <cellStyle name="20 % - Markeringsfarve3 5 6 2 2 3 2" xfId="29395" xr:uid="{00000000-0005-0000-0000-000094250000}"/>
    <cellStyle name="20 % - Markeringsfarve3 5 6 2 2 3 3" xfId="44356" xr:uid="{00000000-0005-0000-0000-000095250000}"/>
    <cellStyle name="20 % - Markeringsfarve3 5 6 2 2 4" xfId="22393" xr:uid="{00000000-0005-0000-0000-000096250000}"/>
    <cellStyle name="20 % - Markeringsfarve3 5 6 2 2 5" xfId="37359" xr:uid="{00000000-0005-0000-0000-000097250000}"/>
    <cellStyle name="20 % - Markeringsfarve3 5 6 2 3" xfId="8823" xr:uid="{00000000-0005-0000-0000-000098250000}"/>
    <cellStyle name="20 % - Markeringsfarve3 5 6 2 3 2" xfId="16690" xr:uid="{00000000-0005-0000-0000-000099250000}"/>
    <cellStyle name="20 % - Markeringsfarve3 5 6 2 3 2 2" xfId="32966" xr:uid="{00000000-0005-0000-0000-00009A250000}"/>
    <cellStyle name="20 % - Markeringsfarve3 5 6 2 3 2 3" xfId="47925" xr:uid="{00000000-0005-0000-0000-00009B250000}"/>
    <cellStyle name="20 % - Markeringsfarve3 5 6 2 3 3" xfId="25964" xr:uid="{00000000-0005-0000-0000-00009C250000}"/>
    <cellStyle name="20 % - Markeringsfarve3 5 6 2 3 4" xfId="40928" xr:uid="{00000000-0005-0000-0000-00009D250000}"/>
    <cellStyle name="20 % - Markeringsfarve3 5 6 2 4" xfId="13115" xr:uid="{00000000-0005-0000-0000-00009E250000}"/>
    <cellStyle name="20 % - Markeringsfarve3 5 6 2 4 2" xfId="29394" xr:uid="{00000000-0005-0000-0000-00009F250000}"/>
    <cellStyle name="20 % - Markeringsfarve3 5 6 2 4 3" xfId="44355" xr:uid="{00000000-0005-0000-0000-0000A0250000}"/>
    <cellStyle name="20 % - Markeringsfarve3 5 6 2 5" xfId="22392" xr:uid="{00000000-0005-0000-0000-0000A1250000}"/>
    <cellStyle name="20 % - Markeringsfarve3 5 6 2 6" xfId="37358" xr:uid="{00000000-0005-0000-0000-0000A2250000}"/>
    <cellStyle name="20 % - Markeringsfarve3 5 6 3" xfId="4632" xr:uid="{00000000-0005-0000-0000-0000A3250000}"/>
    <cellStyle name="20 % - Markeringsfarve3 5 6 3 2" xfId="9589" xr:uid="{00000000-0005-0000-0000-0000A4250000}"/>
    <cellStyle name="20 % - Markeringsfarve3 5 6 3 2 2" xfId="17452" xr:uid="{00000000-0005-0000-0000-0000A5250000}"/>
    <cellStyle name="20 % - Markeringsfarve3 5 6 3 2 2 2" xfId="33728" xr:uid="{00000000-0005-0000-0000-0000A6250000}"/>
    <cellStyle name="20 % - Markeringsfarve3 5 6 3 2 2 3" xfId="48687" xr:uid="{00000000-0005-0000-0000-0000A7250000}"/>
    <cellStyle name="20 % - Markeringsfarve3 5 6 3 2 3" xfId="26726" xr:uid="{00000000-0005-0000-0000-0000A8250000}"/>
    <cellStyle name="20 % - Markeringsfarve3 5 6 3 2 4" xfId="41690" xr:uid="{00000000-0005-0000-0000-0000A9250000}"/>
    <cellStyle name="20 % - Markeringsfarve3 5 6 3 3" xfId="13117" xr:uid="{00000000-0005-0000-0000-0000AA250000}"/>
    <cellStyle name="20 % - Markeringsfarve3 5 6 3 3 2" xfId="29396" xr:uid="{00000000-0005-0000-0000-0000AB250000}"/>
    <cellStyle name="20 % - Markeringsfarve3 5 6 3 3 3" xfId="44357" xr:uid="{00000000-0005-0000-0000-0000AC250000}"/>
    <cellStyle name="20 % - Markeringsfarve3 5 6 3 4" xfId="22394" xr:uid="{00000000-0005-0000-0000-0000AD250000}"/>
    <cellStyle name="20 % - Markeringsfarve3 5 6 3 5" xfId="37360" xr:uid="{00000000-0005-0000-0000-0000AE250000}"/>
    <cellStyle name="20 % - Markeringsfarve3 5 6 4" xfId="4633" xr:uid="{00000000-0005-0000-0000-0000AF250000}"/>
    <cellStyle name="20 % - Markeringsfarve3 5 6 4 2" xfId="10722" xr:uid="{00000000-0005-0000-0000-0000B0250000}"/>
    <cellStyle name="20 % - Markeringsfarve3 5 6 4 2 2" xfId="18566" xr:uid="{00000000-0005-0000-0000-0000B1250000}"/>
    <cellStyle name="20 % - Markeringsfarve3 5 6 4 2 2 2" xfId="34842" xr:uid="{00000000-0005-0000-0000-0000B2250000}"/>
    <cellStyle name="20 % - Markeringsfarve3 5 6 4 2 2 3" xfId="49801" xr:uid="{00000000-0005-0000-0000-0000B3250000}"/>
    <cellStyle name="20 % - Markeringsfarve3 5 6 4 2 3" xfId="27840" xr:uid="{00000000-0005-0000-0000-0000B4250000}"/>
    <cellStyle name="20 % - Markeringsfarve3 5 6 4 2 4" xfId="42804" xr:uid="{00000000-0005-0000-0000-0000B5250000}"/>
    <cellStyle name="20 % - Markeringsfarve3 5 6 4 3" xfId="13118" xr:uid="{00000000-0005-0000-0000-0000B6250000}"/>
    <cellStyle name="20 % - Markeringsfarve3 5 6 4 3 2" xfId="29397" xr:uid="{00000000-0005-0000-0000-0000B7250000}"/>
    <cellStyle name="20 % - Markeringsfarve3 5 6 4 3 3" xfId="44358" xr:uid="{00000000-0005-0000-0000-0000B8250000}"/>
    <cellStyle name="20 % - Markeringsfarve3 5 6 4 4" xfId="22395" xr:uid="{00000000-0005-0000-0000-0000B9250000}"/>
    <cellStyle name="20 % - Markeringsfarve3 5 6 4 5" xfId="37361" xr:uid="{00000000-0005-0000-0000-0000BA250000}"/>
    <cellStyle name="20 % - Markeringsfarve3 5 6 5" xfId="7783" xr:uid="{00000000-0005-0000-0000-0000BB250000}"/>
    <cellStyle name="20 % - Markeringsfarve3 5 6 5 2" xfId="15648" xr:uid="{00000000-0005-0000-0000-0000BC250000}"/>
    <cellStyle name="20 % - Markeringsfarve3 5 6 5 2 2" xfId="31924" xr:uid="{00000000-0005-0000-0000-0000BD250000}"/>
    <cellStyle name="20 % - Markeringsfarve3 5 6 5 2 3" xfId="46883" xr:uid="{00000000-0005-0000-0000-0000BE250000}"/>
    <cellStyle name="20 % - Markeringsfarve3 5 6 5 3" xfId="24922" xr:uid="{00000000-0005-0000-0000-0000BF250000}"/>
    <cellStyle name="20 % - Markeringsfarve3 5 6 5 4" xfId="39886" xr:uid="{00000000-0005-0000-0000-0000C0250000}"/>
    <cellStyle name="20 % - Markeringsfarve3 5 6 6" xfId="13114" xr:uid="{00000000-0005-0000-0000-0000C1250000}"/>
    <cellStyle name="20 % - Markeringsfarve3 5 6 6 2" xfId="29393" xr:uid="{00000000-0005-0000-0000-0000C2250000}"/>
    <cellStyle name="20 % - Markeringsfarve3 5 6 6 3" xfId="44354" xr:uid="{00000000-0005-0000-0000-0000C3250000}"/>
    <cellStyle name="20 % - Markeringsfarve3 5 6 7" xfId="22391" xr:uid="{00000000-0005-0000-0000-0000C4250000}"/>
    <cellStyle name="20 % - Markeringsfarve3 5 6 8" xfId="37357" xr:uid="{00000000-0005-0000-0000-0000C5250000}"/>
    <cellStyle name="20 % - Markeringsfarve3 5 7" xfId="4634" xr:uid="{00000000-0005-0000-0000-0000C6250000}"/>
    <cellStyle name="20 % - Markeringsfarve3 5 7 2" xfId="4635" xr:uid="{00000000-0005-0000-0000-0000C7250000}"/>
    <cellStyle name="20 % - Markeringsfarve3 5 7 2 2" xfId="9777" xr:uid="{00000000-0005-0000-0000-0000C8250000}"/>
    <cellStyle name="20 % - Markeringsfarve3 5 7 2 2 2" xfId="17631" xr:uid="{00000000-0005-0000-0000-0000C9250000}"/>
    <cellStyle name="20 % - Markeringsfarve3 5 7 2 2 2 2" xfId="33907" xr:uid="{00000000-0005-0000-0000-0000CA250000}"/>
    <cellStyle name="20 % - Markeringsfarve3 5 7 2 2 2 3" xfId="48866" xr:uid="{00000000-0005-0000-0000-0000CB250000}"/>
    <cellStyle name="20 % - Markeringsfarve3 5 7 2 2 3" xfId="26905" xr:uid="{00000000-0005-0000-0000-0000CC250000}"/>
    <cellStyle name="20 % - Markeringsfarve3 5 7 2 2 4" xfId="41869" xr:uid="{00000000-0005-0000-0000-0000CD250000}"/>
    <cellStyle name="20 % - Markeringsfarve3 5 7 2 3" xfId="13120" xr:uid="{00000000-0005-0000-0000-0000CE250000}"/>
    <cellStyle name="20 % - Markeringsfarve3 5 7 2 3 2" xfId="29399" xr:uid="{00000000-0005-0000-0000-0000CF250000}"/>
    <cellStyle name="20 % - Markeringsfarve3 5 7 2 3 3" xfId="44360" xr:uid="{00000000-0005-0000-0000-0000D0250000}"/>
    <cellStyle name="20 % - Markeringsfarve3 5 7 2 4" xfId="22397" xr:uid="{00000000-0005-0000-0000-0000D1250000}"/>
    <cellStyle name="20 % - Markeringsfarve3 5 7 2 5" xfId="37363" xr:uid="{00000000-0005-0000-0000-0000D2250000}"/>
    <cellStyle name="20 % - Markeringsfarve3 5 7 3" xfId="8367" xr:uid="{00000000-0005-0000-0000-0000D3250000}"/>
    <cellStyle name="20 % - Markeringsfarve3 5 7 3 2" xfId="16237" xr:uid="{00000000-0005-0000-0000-0000D4250000}"/>
    <cellStyle name="20 % - Markeringsfarve3 5 7 3 2 2" xfId="32513" xr:uid="{00000000-0005-0000-0000-0000D5250000}"/>
    <cellStyle name="20 % - Markeringsfarve3 5 7 3 2 3" xfId="47472" xr:uid="{00000000-0005-0000-0000-0000D6250000}"/>
    <cellStyle name="20 % - Markeringsfarve3 5 7 3 3" xfId="25511" xr:uid="{00000000-0005-0000-0000-0000D7250000}"/>
    <cellStyle name="20 % - Markeringsfarve3 5 7 3 4" xfId="40475" xr:uid="{00000000-0005-0000-0000-0000D8250000}"/>
    <cellStyle name="20 % - Markeringsfarve3 5 7 4" xfId="13119" xr:uid="{00000000-0005-0000-0000-0000D9250000}"/>
    <cellStyle name="20 % - Markeringsfarve3 5 7 4 2" xfId="29398" xr:uid="{00000000-0005-0000-0000-0000DA250000}"/>
    <cellStyle name="20 % - Markeringsfarve3 5 7 4 3" xfId="44359" xr:uid="{00000000-0005-0000-0000-0000DB250000}"/>
    <cellStyle name="20 % - Markeringsfarve3 5 7 5" xfId="22396" xr:uid="{00000000-0005-0000-0000-0000DC250000}"/>
    <cellStyle name="20 % - Markeringsfarve3 5 7 6" xfId="37362" xr:uid="{00000000-0005-0000-0000-0000DD250000}"/>
    <cellStyle name="20 % - Markeringsfarve3 5 8" xfId="4636" xr:uid="{00000000-0005-0000-0000-0000DE250000}"/>
    <cellStyle name="20 % - Markeringsfarve3 5 8 2" xfId="9005" xr:uid="{00000000-0005-0000-0000-0000DF250000}"/>
    <cellStyle name="20 % - Markeringsfarve3 5 8 2 2" xfId="16869" xr:uid="{00000000-0005-0000-0000-0000E0250000}"/>
    <cellStyle name="20 % - Markeringsfarve3 5 8 2 2 2" xfId="33145" xr:uid="{00000000-0005-0000-0000-0000E1250000}"/>
    <cellStyle name="20 % - Markeringsfarve3 5 8 2 2 3" xfId="48104" xr:uid="{00000000-0005-0000-0000-0000E2250000}"/>
    <cellStyle name="20 % - Markeringsfarve3 5 8 2 3" xfId="26143" xr:uid="{00000000-0005-0000-0000-0000E3250000}"/>
    <cellStyle name="20 % - Markeringsfarve3 5 8 2 4" xfId="41107" xr:uid="{00000000-0005-0000-0000-0000E4250000}"/>
    <cellStyle name="20 % - Markeringsfarve3 5 8 3" xfId="13121" xr:uid="{00000000-0005-0000-0000-0000E5250000}"/>
    <cellStyle name="20 % - Markeringsfarve3 5 8 3 2" xfId="29400" xr:uid="{00000000-0005-0000-0000-0000E6250000}"/>
    <cellStyle name="20 % - Markeringsfarve3 5 8 3 3" xfId="44361" xr:uid="{00000000-0005-0000-0000-0000E7250000}"/>
    <cellStyle name="20 % - Markeringsfarve3 5 8 4" xfId="22398" xr:uid="{00000000-0005-0000-0000-0000E8250000}"/>
    <cellStyle name="20 % - Markeringsfarve3 5 8 5" xfId="37364" xr:uid="{00000000-0005-0000-0000-0000E9250000}"/>
    <cellStyle name="20 % - Markeringsfarve3 5 9" xfId="4637" xr:uid="{00000000-0005-0000-0000-0000EA250000}"/>
    <cellStyle name="20 % - Markeringsfarve3 5 9 2" xfId="10513" xr:uid="{00000000-0005-0000-0000-0000EB250000}"/>
    <cellStyle name="20 % - Markeringsfarve3 5 9 2 2" xfId="18362" xr:uid="{00000000-0005-0000-0000-0000EC250000}"/>
    <cellStyle name="20 % - Markeringsfarve3 5 9 2 2 2" xfId="34638" xr:uid="{00000000-0005-0000-0000-0000ED250000}"/>
    <cellStyle name="20 % - Markeringsfarve3 5 9 2 2 3" xfId="49597" xr:uid="{00000000-0005-0000-0000-0000EE250000}"/>
    <cellStyle name="20 % - Markeringsfarve3 5 9 2 3" xfId="27636" xr:uid="{00000000-0005-0000-0000-0000EF250000}"/>
    <cellStyle name="20 % - Markeringsfarve3 5 9 2 4" xfId="42600" xr:uid="{00000000-0005-0000-0000-0000F0250000}"/>
    <cellStyle name="20 % - Markeringsfarve3 5 9 3" xfId="13122" xr:uid="{00000000-0005-0000-0000-0000F1250000}"/>
    <cellStyle name="20 % - Markeringsfarve3 5 9 3 2" xfId="29401" xr:uid="{00000000-0005-0000-0000-0000F2250000}"/>
    <cellStyle name="20 % - Markeringsfarve3 5 9 3 3" xfId="44362" xr:uid="{00000000-0005-0000-0000-0000F3250000}"/>
    <cellStyle name="20 % - Markeringsfarve3 5 9 4" xfId="22399" xr:uid="{00000000-0005-0000-0000-0000F4250000}"/>
    <cellStyle name="20 % - Markeringsfarve3 5 9 5" xfId="37365" xr:uid="{00000000-0005-0000-0000-0000F5250000}"/>
    <cellStyle name="20 % - Markeringsfarve3 6" xfId="4638" xr:uid="{00000000-0005-0000-0000-0000F6250000}"/>
    <cellStyle name="20 % - Markeringsfarve3 6 2" xfId="4639" xr:uid="{00000000-0005-0000-0000-0000F7250000}"/>
    <cellStyle name="20 % - Markeringsfarve3 6 2 2" xfId="4640" xr:uid="{00000000-0005-0000-0000-0000F8250000}"/>
    <cellStyle name="20 % - Markeringsfarve3 6 2 2 2" xfId="4641" xr:uid="{00000000-0005-0000-0000-0000F9250000}"/>
    <cellStyle name="20 % - Markeringsfarve3 6 2 2 2 2" xfId="9957" xr:uid="{00000000-0005-0000-0000-0000FA250000}"/>
    <cellStyle name="20 % - Markeringsfarve3 6 2 2 2 2 2" xfId="17812" xr:uid="{00000000-0005-0000-0000-0000FB250000}"/>
    <cellStyle name="20 % - Markeringsfarve3 6 2 2 2 2 2 2" xfId="34088" xr:uid="{00000000-0005-0000-0000-0000FC250000}"/>
    <cellStyle name="20 % - Markeringsfarve3 6 2 2 2 2 2 3" xfId="49047" xr:uid="{00000000-0005-0000-0000-0000FD250000}"/>
    <cellStyle name="20 % - Markeringsfarve3 6 2 2 2 2 3" xfId="27086" xr:uid="{00000000-0005-0000-0000-0000FE250000}"/>
    <cellStyle name="20 % - Markeringsfarve3 6 2 2 2 2 4" xfId="42050" xr:uid="{00000000-0005-0000-0000-0000FF250000}"/>
    <cellStyle name="20 % - Markeringsfarve3 6 2 2 2 3" xfId="13126" xr:uid="{00000000-0005-0000-0000-000000260000}"/>
    <cellStyle name="20 % - Markeringsfarve3 6 2 2 2 3 2" xfId="29405" xr:uid="{00000000-0005-0000-0000-000001260000}"/>
    <cellStyle name="20 % - Markeringsfarve3 6 2 2 2 3 3" xfId="44366" xr:uid="{00000000-0005-0000-0000-000002260000}"/>
    <cellStyle name="20 % - Markeringsfarve3 6 2 2 2 4" xfId="22403" xr:uid="{00000000-0005-0000-0000-000003260000}"/>
    <cellStyle name="20 % - Markeringsfarve3 6 2 2 2 5" xfId="37369" xr:uid="{00000000-0005-0000-0000-000004260000}"/>
    <cellStyle name="20 % - Markeringsfarve3 6 2 2 3" xfId="8522" xr:uid="{00000000-0005-0000-0000-000005260000}"/>
    <cellStyle name="20 % - Markeringsfarve3 6 2 2 3 2" xfId="16392" xr:uid="{00000000-0005-0000-0000-000006260000}"/>
    <cellStyle name="20 % - Markeringsfarve3 6 2 2 3 2 2" xfId="32668" xr:uid="{00000000-0005-0000-0000-000007260000}"/>
    <cellStyle name="20 % - Markeringsfarve3 6 2 2 3 2 3" xfId="47627" xr:uid="{00000000-0005-0000-0000-000008260000}"/>
    <cellStyle name="20 % - Markeringsfarve3 6 2 2 3 3" xfId="25666" xr:uid="{00000000-0005-0000-0000-000009260000}"/>
    <cellStyle name="20 % - Markeringsfarve3 6 2 2 3 4" xfId="40630" xr:uid="{00000000-0005-0000-0000-00000A260000}"/>
    <cellStyle name="20 % - Markeringsfarve3 6 2 2 4" xfId="13125" xr:uid="{00000000-0005-0000-0000-00000B260000}"/>
    <cellStyle name="20 % - Markeringsfarve3 6 2 2 4 2" xfId="29404" xr:uid="{00000000-0005-0000-0000-00000C260000}"/>
    <cellStyle name="20 % - Markeringsfarve3 6 2 2 4 3" xfId="44365" xr:uid="{00000000-0005-0000-0000-00000D260000}"/>
    <cellStyle name="20 % - Markeringsfarve3 6 2 2 5" xfId="22402" xr:uid="{00000000-0005-0000-0000-00000E260000}"/>
    <cellStyle name="20 % - Markeringsfarve3 6 2 2 6" xfId="37368" xr:uid="{00000000-0005-0000-0000-00000F260000}"/>
    <cellStyle name="20 % - Markeringsfarve3 6 2 3" xfId="4642" xr:uid="{00000000-0005-0000-0000-000010260000}"/>
    <cellStyle name="20 % - Markeringsfarve3 6 2 3 2" xfId="9188" xr:uid="{00000000-0005-0000-0000-000011260000}"/>
    <cellStyle name="20 % - Markeringsfarve3 6 2 3 2 2" xfId="17052" xr:uid="{00000000-0005-0000-0000-000012260000}"/>
    <cellStyle name="20 % - Markeringsfarve3 6 2 3 2 2 2" xfId="33328" xr:uid="{00000000-0005-0000-0000-000013260000}"/>
    <cellStyle name="20 % - Markeringsfarve3 6 2 3 2 2 3" xfId="48287" xr:uid="{00000000-0005-0000-0000-000014260000}"/>
    <cellStyle name="20 % - Markeringsfarve3 6 2 3 2 3" xfId="26326" xr:uid="{00000000-0005-0000-0000-000015260000}"/>
    <cellStyle name="20 % - Markeringsfarve3 6 2 3 2 4" xfId="41290" xr:uid="{00000000-0005-0000-0000-000016260000}"/>
    <cellStyle name="20 % - Markeringsfarve3 6 2 3 3" xfId="13127" xr:uid="{00000000-0005-0000-0000-000017260000}"/>
    <cellStyle name="20 % - Markeringsfarve3 6 2 3 3 2" xfId="29406" xr:uid="{00000000-0005-0000-0000-000018260000}"/>
    <cellStyle name="20 % - Markeringsfarve3 6 2 3 3 3" xfId="44367" xr:uid="{00000000-0005-0000-0000-000019260000}"/>
    <cellStyle name="20 % - Markeringsfarve3 6 2 3 4" xfId="22404" xr:uid="{00000000-0005-0000-0000-00001A260000}"/>
    <cellStyle name="20 % - Markeringsfarve3 6 2 3 5" xfId="37370" xr:uid="{00000000-0005-0000-0000-00001B260000}"/>
    <cellStyle name="20 % - Markeringsfarve3 6 2 4" xfId="4643" xr:uid="{00000000-0005-0000-0000-00001C260000}"/>
    <cellStyle name="20 % - Markeringsfarve3 6 2 4 2" xfId="10738" xr:uid="{00000000-0005-0000-0000-00001D260000}"/>
    <cellStyle name="20 % - Markeringsfarve3 6 2 4 2 2" xfId="18581" xr:uid="{00000000-0005-0000-0000-00001E260000}"/>
    <cellStyle name="20 % - Markeringsfarve3 6 2 4 2 2 2" xfId="34857" xr:uid="{00000000-0005-0000-0000-00001F260000}"/>
    <cellStyle name="20 % - Markeringsfarve3 6 2 4 2 2 3" xfId="49816" xr:uid="{00000000-0005-0000-0000-000020260000}"/>
    <cellStyle name="20 % - Markeringsfarve3 6 2 4 2 3" xfId="27855" xr:uid="{00000000-0005-0000-0000-000021260000}"/>
    <cellStyle name="20 % - Markeringsfarve3 6 2 4 2 4" xfId="42819" xr:uid="{00000000-0005-0000-0000-000022260000}"/>
    <cellStyle name="20 % - Markeringsfarve3 6 2 4 3" xfId="13128" xr:uid="{00000000-0005-0000-0000-000023260000}"/>
    <cellStyle name="20 % - Markeringsfarve3 6 2 4 3 2" xfId="29407" xr:uid="{00000000-0005-0000-0000-000024260000}"/>
    <cellStyle name="20 % - Markeringsfarve3 6 2 4 3 3" xfId="44368" xr:uid="{00000000-0005-0000-0000-000025260000}"/>
    <cellStyle name="20 % - Markeringsfarve3 6 2 4 4" xfId="22405" xr:uid="{00000000-0005-0000-0000-000026260000}"/>
    <cellStyle name="20 % - Markeringsfarve3 6 2 4 5" xfId="37371" xr:uid="{00000000-0005-0000-0000-000027260000}"/>
    <cellStyle name="20 % - Markeringsfarve3 6 2 5" xfId="7785" xr:uid="{00000000-0005-0000-0000-000028260000}"/>
    <cellStyle name="20 % - Markeringsfarve3 6 2 5 2" xfId="15650" xr:uid="{00000000-0005-0000-0000-000029260000}"/>
    <cellStyle name="20 % - Markeringsfarve3 6 2 5 2 2" xfId="31926" xr:uid="{00000000-0005-0000-0000-00002A260000}"/>
    <cellStyle name="20 % - Markeringsfarve3 6 2 5 2 3" xfId="46885" xr:uid="{00000000-0005-0000-0000-00002B260000}"/>
    <cellStyle name="20 % - Markeringsfarve3 6 2 5 3" xfId="24924" xr:uid="{00000000-0005-0000-0000-00002C260000}"/>
    <cellStyle name="20 % - Markeringsfarve3 6 2 5 4" xfId="39888" xr:uid="{00000000-0005-0000-0000-00002D260000}"/>
    <cellStyle name="20 % - Markeringsfarve3 6 2 6" xfId="13124" xr:uid="{00000000-0005-0000-0000-00002E260000}"/>
    <cellStyle name="20 % - Markeringsfarve3 6 2 6 2" xfId="29403" xr:uid="{00000000-0005-0000-0000-00002F260000}"/>
    <cellStyle name="20 % - Markeringsfarve3 6 2 6 3" xfId="44364" xr:uid="{00000000-0005-0000-0000-000030260000}"/>
    <cellStyle name="20 % - Markeringsfarve3 6 2 7" xfId="22401" xr:uid="{00000000-0005-0000-0000-000031260000}"/>
    <cellStyle name="20 % - Markeringsfarve3 6 2 8" xfId="37367" xr:uid="{00000000-0005-0000-0000-000032260000}"/>
    <cellStyle name="20 % - Markeringsfarve3 6 3" xfId="4644" xr:uid="{00000000-0005-0000-0000-000033260000}"/>
    <cellStyle name="20 % - Markeringsfarve3 6 3 2" xfId="4645" xr:uid="{00000000-0005-0000-0000-000034260000}"/>
    <cellStyle name="20 % - Markeringsfarve3 6 3 2 2" xfId="9817" xr:uid="{00000000-0005-0000-0000-000035260000}"/>
    <cellStyle name="20 % - Markeringsfarve3 6 3 2 2 2" xfId="17672" xr:uid="{00000000-0005-0000-0000-000036260000}"/>
    <cellStyle name="20 % - Markeringsfarve3 6 3 2 2 2 2" xfId="33948" xr:uid="{00000000-0005-0000-0000-000037260000}"/>
    <cellStyle name="20 % - Markeringsfarve3 6 3 2 2 2 3" xfId="48907" xr:uid="{00000000-0005-0000-0000-000038260000}"/>
    <cellStyle name="20 % - Markeringsfarve3 6 3 2 2 3" xfId="26946" xr:uid="{00000000-0005-0000-0000-000039260000}"/>
    <cellStyle name="20 % - Markeringsfarve3 6 3 2 2 4" xfId="41910" xr:uid="{00000000-0005-0000-0000-00003A260000}"/>
    <cellStyle name="20 % - Markeringsfarve3 6 3 2 3" xfId="13130" xr:uid="{00000000-0005-0000-0000-00003B260000}"/>
    <cellStyle name="20 % - Markeringsfarve3 6 3 2 3 2" xfId="29409" xr:uid="{00000000-0005-0000-0000-00003C260000}"/>
    <cellStyle name="20 % - Markeringsfarve3 6 3 2 3 3" xfId="44370" xr:uid="{00000000-0005-0000-0000-00003D260000}"/>
    <cellStyle name="20 % - Markeringsfarve3 6 3 2 4" xfId="22407" xr:uid="{00000000-0005-0000-0000-00003E260000}"/>
    <cellStyle name="20 % - Markeringsfarve3 6 3 2 5" xfId="37373" xr:uid="{00000000-0005-0000-0000-00003F260000}"/>
    <cellStyle name="20 % - Markeringsfarve3 6 3 3" xfId="8400" xr:uid="{00000000-0005-0000-0000-000040260000}"/>
    <cellStyle name="20 % - Markeringsfarve3 6 3 3 2" xfId="16270" xr:uid="{00000000-0005-0000-0000-000041260000}"/>
    <cellStyle name="20 % - Markeringsfarve3 6 3 3 2 2" xfId="32546" xr:uid="{00000000-0005-0000-0000-000042260000}"/>
    <cellStyle name="20 % - Markeringsfarve3 6 3 3 2 3" xfId="47505" xr:uid="{00000000-0005-0000-0000-000043260000}"/>
    <cellStyle name="20 % - Markeringsfarve3 6 3 3 3" xfId="25544" xr:uid="{00000000-0005-0000-0000-000044260000}"/>
    <cellStyle name="20 % - Markeringsfarve3 6 3 3 4" xfId="40508" xr:uid="{00000000-0005-0000-0000-000045260000}"/>
    <cellStyle name="20 % - Markeringsfarve3 6 3 4" xfId="13129" xr:uid="{00000000-0005-0000-0000-000046260000}"/>
    <cellStyle name="20 % - Markeringsfarve3 6 3 4 2" xfId="29408" xr:uid="{00000000-0005-0000-0000-000047260000}"/>
    <cellStyle name="20 % - Markeringsfarve3 6 3 4 3" xfId="44369" xr:uid="{00000000-0005-0000-0000-000048260000}"/>
    <cellStyle name="20 % - Markeringsfarve3 6 3 5" xfId="22406" xr:uid="{00000000-0005-0000-0000-000049260000}"/>
    <cellStyle name="20 % - Markeringsfarve3 6 3 6" xfId="37372" xr:uid="{00000000-0005-0000-0000-00004A260000}"/>
    <cellStyle name="20 % - Markeringsfarve3 6 4" xfId="4646" xr:uid="{00000000-0005-0000-0000-00004B260000}"/>
    <cellStyle name="20 % - Markeringsfarve3 6 4 2" xfId="9048" xr:uid="{00000000-0005-0000-0000-00004C260000}"/>
    <cellStyle name="20 % - Markeringsfarve3 6 4 2 2" xfId="16912" xr:uid="{00000000-0005-0000-0000-00004D260000}"/>
    <cellStyle name="20 % - Markeringsfarve3 6 4 2 2 2" xfId="33188" xr:uid="{00000000-0005-0000-0000-00004E260000}"/>
    <cellStyle name="20 % - Markeringsfarve3 6 4 2 2 3" xfId="48147" xr:uid="{00000000-0005-0000-0000-00004F260000}"/>
    <cellStyle name="20 % - Markeringsfarve3 6 4 2 3" xfId="26186" xr:uid="{00000000-0005-0000-0000-000050260000}"/>
    <cellStyle name="20 % - Markeringsfarve3 6 4 2 4" xfId="41150" xr:uid="{00000000-0005-0000-0000-000051260000}"/>
    <cellStyle name="20 % - Markeringsfarve3 6 4 3" xfId="13131" xr:uid="{00000000-0005-0000-0000-000052260000}"/>
    <cellStyle name="20 % - Markeringsfarve3 6 4 3 2" xfId="29410" xr:uid="{00000000-0005-0000-0000-000053260000}"/>
    <cellStyle name="20 % - Markeringsfarve3 6 4 3 3" xfId="44371" xr:uid="{00000000-0005-0000-0000-000054260000}"/>
    <cellStyle name="20 % - Markeringsfarve3 6 4 4" xfId="22408" xr:uid="{00000000-0005-0000-0000-000055260000}"/>
    <cellStyle name="20 % - Markeringsfarve3 6 4 5" xfId="37374" xr:uid="{00000000-0005-0000-0000-000056260000}"/>
    <cellStyle name="20 % - Markeringsfarve3 6 5" xfId="4647" xr:uid="{00000000-0005-0000-0000-000057260000}"/>
    <cellStyle name="20 % - Markeringsfarve3 6 5 2" xfId="9309" xr:uid="{00000000-0005-0000-0000-000058260000}"/>
    <cellStyle name="20 % - Markeringsfarve3 6 5 2 2" xfId="17172" xr:uid="{00000000-0005-0000-0000-000059260000}"/>
    <cellStyle name="20 % - Markeringsfarve3 6 5 2 2 2" xfId="33448" xr:uid="{00000000-0005-0000-0000-00005A260000}"/>
    <cellStyle name="20 % - Markeringsfarve3 6 5 2 2 3" xfId="48407" xr:uid="{00000000-0005-0000-0000-00005B260000}"/>
    <cellStyle name="20 % - Markeringsfarve3 6 5 2 3" xfId="26446" xr:uid="{00000000-0005-0000-0000-00005C260000}"/>
    <cellStyle name="20 % - Markeringsfarve3 6 5 2 4" xfId="41410" xr:uid="{00000000-0005-0000-0000-00005D260000}"/>
    <cellStyle name="20 % - Markeringsfarve3 6 5 3" xfId="13132" xr:uid="{00000000-0005-0000-0000-00005E260000}"/>
    <cellStyle name="20 % - Markeringsfarve3 6 5 3 2" xfId="29411" xr:uid="{00000000-0005-0000-0000-00005F260000}"/>
    <cellStyle name="20 % - Markeringsfarve3 6 5 3 3" xfId="44372" xr:uid="{00000000-0005-0000-0000-000060260000}"/>
    <cellStyle name="20 % - Markeringsfarve3 6 5 4" xfId="22409" xr:uid="{00000000-0005-0000-0000-000061260000}"/>
    <cellStyle name="20 % - Markeringsfarve3 6 5 5" xfId="37375" xr:uid="{00000000-0005-0000-0000-000062260000}"/>
    <cellStyle name="20 % - Markeringsfarve3 6 6" xfId="7784" xr:uid="{00000000-0005-0000-0000-000063260000}"/>
    <cellStyle name="20 % - Markeringsfarve3 6 6 2" xfId="15649" xr:uid="{00000000-0005-0000-0000-000064260000}"/>
    <cellStyle name="20 % - Markeringsfarve3 6 6 2 2" xfId="31925" xr:uid="{00000000-0005-0000-0000-000065260000}"/>
    <cellStyle name="20 % - Markeringsfarve3 6 6 2 3" xfId="46884" xr:uid="{00000000-0005-0000-0000-000066260000}"/>
    <cellStyle name="20 % - Markeringsfarve3 6 6 3" xfId="24923" xr:uid="{00000000-0005-0000-0000-000067260000}"/>
    <cellStyle name="20 % - Markeringsfarve3 6 6 4" xfId="39887" xr:uid="{00000000-0005-0000-0000-000068260000}"/>
    <cellStyle name="20 % - Markeringsfarve3 6 7" xfId="13123" xr:uid="{00000000-0005-0000-0000-000069260000}"/>
    <cellStyle name="20 % - Markeringsfarve3 6 7 2" xfId="29402" xr:uid="{00000000-0005-0000-0000-00006A260000}"/>
    <cellStyle name="20 % - Markeringsfarve3 6 7 3" xfId="44363" xr:uid="{00000000-0005-0000-0000-00006B260000}"/>
    <cellStyle name="20 % - Markeringsfarve3 6 8" xfId="22400" xr:uid="{00000000-0005-0000-0000-00006C260000}"/>
    <cellStyle name="20 % - Markeringsfarve3 6 9" xfId="37366" xr:uid="{00000000-0005-0000-0000-00006D260000}"/>
    <cellStyle name="20 % - Markeringsfarve3 7" xfId="4648" xr:uid="{00000000-0005-0000-0000-00006E260000}"/>
    <cellStyle name="20 % - Markeringsfarve3 7 2" xfId="4649" xr:uid="{00000000-0005-0000-0000-00006F260000}"/>
    <cellStyle name="20 % - Markeringsfarve3 7 2 2" xfId="4650" xr:uid="{00000000-0005-0000-0000-000070260000}"/>
    <cellStyle name="20 % - Markeringsfarve3 7 2 2 2" xfId="10055" xr:uid="{00000000-0005-0000-0000-000071260000}"/>
    <cellStyle name="20 % - Markeringsfarve3 7 2 2 2 2" xfId="17910" xr:uid="{00000000-0005-0000-0000-000072260000}"/>
    <cellStyle name="20 % - Markeringsfarve3 7 2 2 2 2 2" xfId="34186" xr:uid="{00000000-0005-0000-0000-000073260000}"/>
    <cellStyle name="20 % - Markeringsfarve3 7 2 2 2 2 3" xfId="49145" xr:uid="{00000000-0005-0000-0000-000074260000}"/>
    <cellStyle name="20 % - Markeringsfarve3 7 2 2 2 3" xfId="27184" xr:uid="{00000000-0005-0000-0000-000075260000}"/>
    <cellStyle name="20 % - Markeringsfarve3 7 2 2 2 4" xfId="42148" xr:uid="{00000000-0005-0000-0000-000076260000}"/>
    <cellStyle name="20 % - Markeringsfarve3 7 2 2 3" xfId="13135" xr:uid="{00000000-0005-0000-0000-000077260000}"/>
    <cellStyle name="20 % - Markeringsfarve3 7 2 2 3 2" xfId="29414" xr:uid="{00000000-0005-0000-0000-000078260000}"/>
    <cellStyle name="20 % - Markeringsfarve3 7 2 2 3 3" xfId="44375" xr:uid="{00000000-0005-0000-0000-000079260000}"/>
    <cellStyle name="20 % - Markeringsfarve3 7 2 2 4" xfId="22412" xr:uid="{00000000-0005-0000-0000-00007A260000}"/>
    <cellStyle name="20 % - Markeringsfarve3 7 2 2 5" xfId="37378" xr:uid="{00000000-0005-0000-0000-00007B260000}"/>
    <cellStyle name="20 % - Markeringsfarve3 7 2 3" xfId="8602" xr:uid="{00000000-0005-0000-0000-00007C260000}"/>
    <cellStyle name="20 % - Markeringsfarve3 7 2 3 2" xfId="16469" xr:uid="{00000000-0005-0000-0000-00007D260000}"/>
    <cellStyle name="20 % - Markeringsfarve3 7 2 3 2 2" xfId="32745" xr:uid="{00000000-0005-0000-0000-00007E260000}"/>
    <cellStyle name="20 % - Markeringsfarve3 7 2 3 2 3" xfId="47704" xr:uid="{00000000-0005-0000-0000-00007F260000}"/>
    <cellStyle name="20 % - Markeringsfarve3 7 2 3 3" xfId="25743" xr:uid="{00000000-0005-0000-0000-000080260000}"/>
    <cellStyle name="20 % - Markeringsfarve3 7 2 3 4" xfId="40707" xr:uid="{00000000-0005-0000-0000-000081260000}"/>
    <cellStyle name="20 % - Markeringsfarve3 7 2 4" xfId="13134" xr:uid="{00000000-0005-0000-0000-000082260000}"/>
    <cellStyle name="20 % - Markeringsfarve3 7 2 4 2" xfId="29413" xr:uid="{00000000-0005-0000-0000-000083260000}"/>
    <cellStyle name="20 % - Markeringsfarve3 7 2 4 3" xfId="44374" xr:uid="{00000000-0005-0000-0000-000084260000}"/>
    <cellStyle name="20 % - Markeringsfarve3 7 2 5" xfId="22411" xr:uid="{00000000-0005-0000-0000-000085260000}"/>
    <cellStyle name="20 % - Markeringsfarve3 7 2 6" xfId="37377" xr:uid="{00000000-0005-0000-0000-000086260000}"/>
    <cellStyle name="20 % - Markeringsfarve3 7 3" xfId="4651" xr:uid="{00000000-0005-0000-0000-000087260000}"/>
    <cellStyle name="20 % - Markeringsfarve3 7 3 2" xfId="9332" xr:uid="{00000000-0005-0000-0000-000088260000}"/>
    <cellStyle name="20 % - Markeringsfarve3 7 3 2 2" xfId="17195" xr:uid="{00000000-0005-0000-0000-000089260000}"/>
    <cellStyle name="20 % - Markeringsfarve3 7 3 2 2 2" xfId="33471" xr:uid="{00000000-0005-0000-0000-00008A260000}"/>
    <cellStyle name="20 % - Markeringsfarve3 7 3 2 2 3" xfId="48430" xr:uid="{00000000-0005-0000-0000-00008B260000}"/>
    <cellStyle name="20 % - Markeringsfarve3 7 3 2 3" xfId="26469" xr:uid="{00000000-0005-0000-0000-00008C260000}"/>
    <cellStyle name="20 % - Markeringsfarve3 7 3 2 4" xfId="41433" xr:uid="{00000000-0005-0000-0000-00008D260000}"/>
    <cellStyle name="20 % - Markeringsfarve3 7 3 3" xfId="13136" xr:uid="{00000000-0005-0000-0000-00008E260000}"/>
    <cellStyle name="20 % - Markeringsfarve3 7 3 3 2" xfId="29415" xr:uid="{00000000-0005-0000-0000-00008F260000}"/>
    <cellStyle name="20 % - Markeringsfarve3 7 3 3 3" xfId="44376" xr:uid="{00000000-0005-0000-0000-000090260000}"/>
    <cellStyle name="20 % - Markeringsfarve3 7 3 4" xfId="22413" xr:uid="{00000000-0005-0000-0000-000091260000}"/>
    <cellStyle name="20 % - Markeringsfarve3 7 3 5" xfId="37379" xr:uid="{00000000-0005-0000-0000-000092260000}"/>
    <cellStyle name="20 % - Markeringsfarve3 7 4" xfId="4652" xr:uid="{00000000-0005-0000-0000-000093260000}"/>
    <cellStyle name="20 % - Markeringsfarve3 7 4 2" xfId="10991" xr:uid="{00000000-0005-0000-0000-000094260000}"/>
    <cellStyle name="20 % - Markeringsfarve3 7 4 2 2" xfId="18822" xr:uid="{00000000-0005-0000-0000-000095260000}"/>
    <cellStyle name="20 % - Markeringsfarve3 7 4 2 2 2" xfId="35098" xr:uid="{00000000-0005-0000-0000-000096260000}"/>
    <cellStyle name="20 % - Markeringsfarve3 7 4 2 2 3" xfId="50057" xr:uid="{00000000-0005-0000-0000-000097260000}"/>
    <cellStyle name="20 % - Markeringsfarve3 7 4 2 3" xfId="28096" xr:uid="{00000000-0005-0000-0000-000098260000}"/>
    <cellStyle name="20 % - Markeringsfarve3 7 4 2 4" xfId="43060" xr:uid="{00000000-0005-0000-0000-000099260000}"/>
    <cellStyle name="20 % - Markeringsfarve3 7 4 3" xfId="13137" xr:uid="{00000000-0005-0000-0000-00009A260000}"/>
    <cellStyle name="20 % - Markeringsfarve3 7 4 3 2" xfId="29416" xr:uid="{00000000-0005-0000-0000-00009B260000}"/>
    <cellStyle name="20 % - Markeringsfarve3 7 4 3 3" xfId="44377" xr:uid="{00000000-0005-0000-0000-00009C260000}"/>
    <cellStyle name="20 % - Markeringsfarve3 7 4 4" xfId="22414" xr:uid="{00000000-0005-0000-0000-00009D260000}"/>
    <cellStyle name="20 % - Markeringsfarve3 7 4 5" xfId="37380" xr:uid="{00000000-0005-0000-0000-00009E260000}"/>
    <cellStyle name="20 % - Markeringsfarve3 7 5" xfId="7786" xr:uid="{00000000-0005-0000-0000-00009F260000}"/>
    <cellStyle name="20 % - Markeringsfarve3 7 5 2" xfId="15651" xr:uid="{00000000-0005-0000-0000-0000A0260000}"/>
    <cellStyle name="20 % - Markeringsfarve3 7 5 2 2" xfId="31927" xr:uid="{00000000-0005-0000-0000-0000A1260000}"/>
    <cellStyle name="20 % - Markeringsfarve3 7 5 2 3" xfId="46886" xr:uid="{00000000-0005-0000-0000-0000A2260000}"/>
    <cellStyle name="20 % - Markeringsfarve3 7 5 3" xfId="24925" xr:uid="{00000000-0005-0000-0000-0000A3260000}"/>
    <cellStyle name="20 % - Markeringsfarve3 7 5 4" xfId="39889" xr:uid="{00000000-0005-0000-0000-0000A4260000}"/>
    <cellStyle name="20 % - Markeringsfarve3 7 6" xfId="13133" xr:uid="{00000000-0005-0000-0000-0000A5260000}"/>
    <cellStyle name="20 % - Markeringsfarve3 7 6 2" xfId="29412" xr:uid="{00000000-0005-0000-0000-0000A6260000}"/>
    <cellStyle name="20 % - Markeringsfarve3 7 6 3" xfId="44373" xr:uid="{00000000-0005-0000-0000-0000A7260000}"/>
    <cellStyle name="20 % - Markeringsfarve3 7 7" xfId="22410" xr:uid="{00000000-0005-0000-0000-0000A8260000}"/>
    <cellStyle name="20 % - Markeringsfarve3 7 8" xfId="37376" xr:uid="{00000000-0005-0000-0000-0000A9260000}"/>
    <cellStyle name="20 % - Markeringsfarve3 8" xfId="4653" xr:uid="{00000000-0005-0000-0000-0000AA260000}"/>
    <cellStyle name="20 % - Markeringsfarve3 8 2" xfId="4654" xr:uid="{00000000-0005-0000-0000-0000AB260000}"/>
    <cellStyle name="20 % - Markeringsfarve3 8 2 2" xfId="4655" xr:uid="{00000000-0005-0000-0000-0000AC260000}"/>
    <cellStyle name="20 % - Markeringsfarve3 8 2 2 2" xfId="10172" xr:uid="{00000000-0005-0000-0000-0000AD260000}"/>
    <cellStyle name="20 % - Markeringsfarve3 8 2 2 2 2" xfId="18027" xr:uid="{00000000-0005-0000-0000-0000AE260000}"/>
    <cellStyle name="20 % - Markeringsfarve3 8 2 2 2 2 2" xfId="34303" xr:uid="{00000000-0005-0000-0000-0000AF260000}"/>
    <cellStyle name="20 % - Markeringsfarve3 8 2 2 2 2 3" xfId="49262" xr:uid="{00000000-0005-0000-0000-0000B0260000}"/>
    <cellStyle name="20 % - Markeringsfarve3 8 2 2 2 3" xfId="27301" xr:uid="{00000000-0005-0000-0000-0000B1260000}"/>
    <cellStyle name="20 % - Markeringsfarve3 8 2 2 2 4" xfId="42265" xr:uid="{00000000-0005-0000-0000-0000B2260000}"/>
    <cellStyle name="20 % - Markeringsfarve3 8 2 2 3" xfId="13140" xr:uid="{00000000-0005-0000-0000-0000B3260000}"/>
    <cellStyle name="20 % - Markeringsfarve3 8 2 2 3 2" xfId="29419" xr:uid="{00000000-0005-0000-0000-0000B4260000}"/>
    <cellStyle name="20 % - Markeringsfarve3 8 2 2 3 3" xfId="44380" xr:uid="{00000000-0005-0000-0000-0000B5260000}"/>
    <cellStyle name="20 % - Markeringsfarve3 8 2 2 4" xfId="22417" xr:uid="{00000000-0005-0000-0000-0000B6260000}"/>
    <cellStyle name="20 % - Markeringsfarve3 8 2 2 5" xfId="37383" xr:uid="{00000000-0005-0000-0000-0000B7260000}"/>
    <cellStyle name="20 % - Markeringsfarve3 8 2 3" xfId="8701" xr:uid="{00000000-0005-0000-0000-0000B8260000}"/>
    <cellStyle name="20 % - Markeringsfarve3 8 2 3 2" xfId="16568" xr:uid="{00000000-0005-0000-0000-0000B9260000}"/>
    <cellStyle name="20 % - Markeringsfarve3 8 2 3 2 2" xfId="32844" xr:uid="{00000000-0005-0000-0000-0000BA260000}"/>
    <cellStyle name="20 % - Markeringsfarve3 8 2 3 2 3" xfId="47803" xr:uid="{00000000-0005-0000-0000-0000BB260000}"/>
    <cellStyle name="20 % - Markeringsfarve3 8 2 3 3" xfId="25842" xr:uid="{00000000-0005-0000-0000-0000BC260000}"/>
    <cellStyle name="20 % - Markeringsfarve3 8 2 3 4" xfId="40806" xr:uid="{00000000-0005-0000-0000-0000BD260000}"/>
    <cellStyle name="20 % - Markeringsfarve3 8 2 4" xfId="13139" xr:uid="{00000000-0005-0000-0000-0000BE260000}"/>
    <cellStyle name="20 % - Markeringsfarve3 8 2 4 2" xfId="29418" xr:uid="{00000000-0005-0000-0000-0000BF260000}"/>
    <cellStyle name="20 % - Markeringsfarve3 8 2 4 3" xfId="44379" xr:uid="{00000000-0005-0000-0000-0000C0260000}"/>
    <cellStyle name="20 % - Markeringsfarve3 8 2 5" xfId="22416" xr:uid="{00000000-0005-0000-0000-0000C1260000}"/>
    <cellStyle name="20 % - Markeringsfarve3 8 2 6" xfId="37382" xr:uid="{00000000-0005-0000-0000-0000C2260000}"/>
    <cellStyle name="20 % - Markeringsfarve3 8 3" xfId="4656" xr:uid="{00000000-0005-0000-0000-0000C3260000}"/>
    <cellStyle name="20 % - Markeringsfarve3 8 3 2" xfId="9449" xr:uid="{00000000-0005-0000-0000-0000C4260000}"/>
    <cellStyle name="20 % - Markeringsfarve3 8 3 2 2" xfId="17312" xr:uid="{00000000-0005-0000-0000-0000C5260000}"/>
    <cellStyle name="20 % - Markeringsfarve3 8 3 2 2 2" xfId="33588" xr:uid="{00000000-0005-0000-0000-0000C6260000}"/>
    <cellStyle name="20 % - Markeringsfarve3 8 3 2 2 3" xfId="48547" xr:uid="{00000000-0005-0000-0000-0000C7260000}"/>
    <cellStyle name="20 % - Markeringsfarve3 8 3 2 3" xfId="26586" xr:uid="{00000000-0005-0000-0000-0000C8260000}"/>
    <cellStyle name="20 % - Markeringsfarve3 8 3 2 4" xfId="41550" xr:uid="{00000000-0005-0000-0000-0000C9260000}"/>
    <cellStyle name="20 % - Markeringsfarve3 8 3 3" xfId="13141" xr:uid="{00000000-0005-0000-0000-0000CA260000}"/>
    <cellStyle name="20 % - Markeringsfarve3 8 3 3 2" xfId="29420" xr:uid="{00000000-0005-0000-0000-0000CB260000}"/>
    <cellStyle name="20 % - Markeringsfarve3 8 3 3 3" xfId="44381" xr:uid="{00000000-0005-0000-0000-0000CC260000}"/>
    <cellStyle name="20 % - Markeringsfarve3 8 3 4" xfId="22418" xr:uid="{00000000-0005-0000-0000-0000CD260000}"/>
    <cellStyle name="20 % - Markeringsfarve3 8 3 5" xfId="37384" xr:uid="{00000000-0005-0000-0000-0000CE260000}"/>
    <cellStyle name="20 % - Markeringsfarve3 8 4" xfId="4657" xr:uid="{00000000-0005-0000-0000-0000CF260000}"/>
    <cellStyle name="20 % - Markeringsfarve3 8 4 2" xfId="10711" xr:uid="{00000000-0005-0000-0000-0000D0260000}"/>
    <cellStyle name="20 % - Markeringsfarve3 8 4 2 2" xfId="18555" xr:uid="{00000000-0005-0000-0000-0000D1260000}"/>
    <cellStyle name="20 % - Markeringsfarve3 8 4 2 2 2" xfId="34831" xr:uid="{00000000-0005-0000-0000-0000D2260000}"/>
    <cellStyle name="20 % - Markeringsfarve3 8 4 2 2 3" xfId="49790" xr:uid="{00000000-0005-0000-0000-0000D3260000}"/>
    <cellStyle name="20 % - Markeringsfarve3 8 4 2 3" xfId="27829" xr:uid="{00000000-0005-0000-0000-0000D4260000}"/>
    <cellStyle name="20 % - Markeringsfarve3 8 4 2 4" xfId="42793" xr:uid="{00000000-0005-0000-0000-0000D5260000}"/>
    <cellStyle name="20 % - Markeringsfarve3 8 4 3" xfId="13142" xr:uid="{00000000-0005-0000-0000-0000D6260000}"/>
    <cellStyle name="20 % - Markeringsfarve3 8 4 3 2" xfId="29421" xr:uid="{00000000-0005-0000-0000-0000D7260000}"/>
    <cellStyle name="20 % - Markeringsfarve3 8 4 3 3" xfId="44382" xr:uid="{00000000-0005-0000-0000-0000D8260000}"/>
    <cellStyle name="20 % - Markeringsfarve3 8 4 4" xfId="22419" xr:uid="{00000000-0005-0000-0000-0000D9260000}"/>
    <cellStyle name="20 % - Markeringsfarve3 8 4 5" xfId="37385" xr:uid="{00000000-0005-0000-0000-0000DA260000}"/>
    <cellStyle name="20 % - Markeringsfarve3 8 5" xfId="7787" xr:uid="{00000000-0005-0000-0000-0000DB260000}"/>
    <cellStyle name="20 % - Markeringsfarve3 8 5 2" xfId="15652" xr:uid="{00000000-0005-0000-0000-0000DC260000}"/>
    <cellStyle name="20 % - Markeringsfarve3 8 5 2 2" xfId="31928" xr:uid="{00000000-0005-0000-0000-0000DD260000}"/>
    <cellStyle name="20 % - Markeringsfarve3 8 5 2 3" xfId="46887" xr:uid="{00000000-0005-0000-0000-0000DE260000}"/>
    <cellStyle name="20 % - Markeringsfarve3 8 5 3" xfId="24926" xr:uid="{00000000-0005-0000-0000-0000DF260000}"/>
    <cellStyle name="20 % - Markeringsfarve3 8 5 4" xfId="39890" xr:uid="{00000000-0005-0000-0000-0000E0260000}"/>
    <cellStyle name="20 % - Markeringsfarve3 8 6" xfId="13138" xr:uid="{00000000-0005-0000-0000-0000E1260000}"/>
    <cellStyle name="20 % - Markeringsfarve3 8 6 2" xfId="29417" xr:uid="{00000000-0005-0000-0000-0000E2260000}"/>
    <cellStyle name="20 % - Markeringsfarve3 8 6 3" xfId="44378" xr:uid="{00000000-0005-0000-0000-0000E3260000}"/>
    <cellStyle name="20 % - Markeringsfarve3 8 7" xfId="22415" xr:uid="{00000000-0005-0000-0000-0000E4260000}"/>
    <cellStyle name="20 % - Markeringsfarve3 8 8" xfId="37381" xr:uid="{00000000-0005-0000-0000-0000E5260000}"/>
    <cellStyle name="20 % - Markeringsfarve3 9" xfId="4658" xr:uid="{00000000-0005-0000-0000-0000E6260000}"/>
    <cellStyle name="20 % - Markeringsfarve3 9 2" xfId="4659" xr:uid="{00000000-0005-0000-0000-0000E7260000}"/>
    <cellStyle name="20 % - Markeringsfarve3 9 2 2" xfId="4660" xr:uid="{00000000-0005-0000-0000-0000E8260000}"/>
    <cellStyle name="20 % - Markeringsfarve3 9 2 2 2" xfId="10303" xr:uid="{00000000-0005-0000-0000-0000E9260000}"/>
    <cellStyle name="20 % - Markeringsfarve3 9 2 2 2 2" xfId="18158" xr:uid="{00000000-0005-0000-0000-0000EA260000}"/>
    <cellStyle name="20 % - Markeringsfarve3 9 2 2 2 2 2" xfId="34434" xr:uid="{00000000-0005-0000-0000-0000EB260000}"/>
    <cellStyle name="20 % - Markeringsfarve3 9 2 2 2 2 3" xfId="49393" xr:uid="{00000000-0005-0000-0000-0000EC260000}"/>
    <cellStyle name="20 % - Markeringsfarve3 9 2 2 2 3" xfId="27432" xr:uid="{00000000-0005-0000-0000-0000ED260000}"/>
    <cellStyle name="20 % - Markeringsfarve3 9 2 2 2 4" xfId="42396" xr:uid="{00000000-0005-0000-0000-0000EE260000}"/>
    <cellStyle name="20 % - Markeringsfarve3 9 2 2 3" xfId="13145" xr:uid="{00000000-0005-0000-0000-0000EF260000}"/>
    <cellStyle name="20 % - Markeringsfarve3 9 2 2 3 2" xfId="29424" xr:uid="{00000000-0005-0000-0000-0000F0260000}"/>
    <cellStyle name="20 % - Markeringsfarve3 9 2 2 3 3" xfId="44385" xr:uid="{00000000-0005-0000-0000-0000F1260000}"/>
    <cellStyle name="20 % - Markeringsfarve3 9 2 2 4" xfId="22422" xr:uid="{00000000-0005-0000-0000-0000F2260000}"/>
    <cellStyle name="20 % - Markeringsfarve3 9 2 2 5" xfId="37388" xr:uid="{00000000-0005-0000-0000-0000F3260000}"/>
    <cellStyle name="20 % - Markeringsfarve3 9 2 3" xfId="8815" xr:uid="{00000000-0005-0000-0000-0000F4260000}"/>
    <cellStyle name="20 % - Markeringsfarve3 9 2 3 2" xfId="16682" xr:uid="{00000000-0005-0000-0000-0000F5260000}"/>
    <cellStyle name="20 % - Markeringsfarve3 9 2 3 2 2" xfId="32958" xr:uid="{00000000-0005-0000-0000-0000F6260000}"/>
    <cellStyle name="20 % - Markeringsfarve3 9 2 3 2 3" xfId="47917" xr:uid="{00000000-0005-0000-0000-0000F7260000}"/>
    <cellStyle name="20 % - Markeringsfarve3 9 2 3 3" xfId="25956" xr:uid="{00000000-0005-0000-0000-0000F8260000}"/>
    <cellStyle name="20 % - Markeringsfarve3 9 2 3 4" xfId="40920" xr:uid="{00000000-0005-0000-0000-0000F9260000}"/>
    <cellStyle name="20 % - Markeringsfarve3 9 2 4" xfId="13144" xr:uid="{00000000-0005-0000-0000-0000FA260000}"/>
    <cellStyle name="20 % - Markeringsfarve3 9 2 4 2" xfId="29423" xr:uid="{00000000-0005-0000-0000-0000FB260000}"/>
    <cellStyle name="20 % - Markeringsfarve3 9 2 4 3" xfId="44384" xr:uid="{00000000-0005-0000-0000-0000FC260000}"/>
    <cellStyle name="20 % - Markeringsfarve3 9 2 5" xfId="22421" xr:uid="{00000000-0005-0000-0000-0000FD260000}"/>
    <cellStyle name="20 % - Markeringsfarve3 9 2 6" xfId="37387" xr:uid="{00000000-0005-0000-0000-0000FE260000}"/>
    <cellStyle name="20 % - Markeringsfarve3 9 3" xfId="4661" xr:uid="{00000000-0005-0000-0000-0000FF260000}"/>
    <cellStyle name="20 % - Markeringsfarve3 9 3 2" xfId="9581" xr:uid="{00000000-0005-0000-0000-000000270000}"/>
    <cellStyle name="20 % - Markeringsfarve3 9 3 2 2" xfId="17444" xr:uid="{00000000-0005-0000-0000-000001270000}"/>
    <cellStyle name="20 % - Markeringsfarve3 9 3 2 2 2" xfId="33720" xr:uid="{00000000-0005-0000-0000-000002270000}"/>
    <cellStyle name="20 % - Markeringsfarve3 9 3 2 2 3" xfId="48679" xr:uid="{00000000-0005-0000-0000-000003270000}"/>
    <cellStyle name="20 % - Markeringsfarve3 9 3 2 3" xfId="26718" xr:uid="{00000000-0005-0000-0000-000004270000}"/>
    <cellStyle name="20 % - Markeringsfarve3 9 3 2 4" xfId="41682" xr:uid="{00000000-0005-0000-0000-000005270000}"/>
    <cellStyle name="20 % - Markeringsfarve3 9 3 3" xfId="13146" xr:uid="{00000000-0005-0000-0000-000006270000}"/>
    <cellStyle name="20 % - Markeringsfarve3 9 3 3 2" xfId="29425" xr:uid="{00000000-0005-0000-0000-000007270000}"/>
    <cellStyle name="20 % - Markeringsfarve3 9 3 3 3" xfId="44386" xr:uid="{00000000-0005-0000-0000-000008270000}"/>
    <cellStyle name="20 % - Markeringsfarve3 9 3 4" xfId="22423" xr:uid="{00000000-0005-0000-0000-000009270000}"/>
    <cellStyle name="20 % - Markeringsfarve3 9 3 5" xfId="37389" xr:uid="{00000000-0005-0000-0000-00000A270000}"/>
    <cellStyle name="20 % - Markeringsfarve3 9 4" xfId="4662" xr:uid="{00000000-0005-0000-0000-00000B270000}"/>
    <cellStyle name="20 % - Markeringsfarve3 9 4 2" xfId="10912" xr:uid="{00000000-0005-0000-0000-00000C270000}"/>
    <cellStyle name="20 % - Markeringsfarve3 9 4 2 2" xfId="18747" xr:uid="{00000000-0005-0000-0000-00000D270000}"/>
    <cellStyle name="20 % - Markeringsfarve3 9 4 2 2 2" xfId="35023" xr:uid="{00000000-0005-0000-0000-00000E270000}"/>
    <cellStyle name="20 % - Markeringsfarve3 9 4 2 2 3" xfId="49982" xr:uid="{00000000-0005-0000-0000-00000F270000}"/>
    <cellStyle name="20 % - Markeringsfarve3 9 4 2 3" xfId="28021" xr:uid="{00000000-0005-0000-0000-000010270000}"/>
    <cellStyle name="20 % - Markeringsfarve3 9 4 2 4" xfId="42985" xr:uid="{00000000-0005-0000-0000-000011270000}"/>
    <cellStyle name="20 % - Markeringsfarve3 9 4 3" xfId="13147" xr:uid="{00000000-0005-0000-0000-000012270000}"/>
    <cellStyle name="20 % - Markeringsfarve3 9 4 3 2" xfId="29426" xr:uid="{00000000-0005-0000-0000-000013270000}"/>
    <cellStyle name="20 % - Markeringsfarve3 9 4 3 3" xfId="44387" xr:uid="{00000000-0005-0000-0000-000014270000}"/>
    <cellStyle name="20 % - Markeringsfarve3 9 4 4" xfId="22424" xr:uid="{00000000-0005-0000-0000-000015270000}"/>
    <cellStyle name="20 % - Markeringsfarve3 9 4 5" xfId="37390" xr:uid="{00000000-0005-0000-0000-000016270000}"/>
    <cellStyle name="20 % - Markeringsfarve3 9 5" xfId="7788" xr:uid="{00000000-0005-0000-0000-000017270000}"/>
    <cellStyle name="20 % - Markeringsfarve3 9 5 2" xfId="15653" xr:uid="{00000000-0005-0000-0000-000018270000}"/>
    <cellStyle name="20 % - Markeringsfarve3 9 5 2 2" xfId="31929" xr:uid="{00000000-0005-0000-0000-000019270000}"/>
    <cellStyle name="20 % - Markeringsfarve3 9 5 2 3" xfId="46888" xr:uid="{00000000-0005-0000-0000-00001A270000}"/>
    <cellStyle name="20 % - Markeringsfarve3 9 5 3" xfId="24927" xr:uid="{00000000-0005-0000-0000-00001B270000}"/>
    <cellStyle name="20 % - Markeringsfarve3 9 5 4" xfId="39891" xr:uid="{00000000-0005-0000-0000-00001C270000}"/>
    <cellStyle name="20 % - Markeringsfarve3 9 6" xfId="13143" xr:uid="{00000000-0005-0000-0000-00001D270000}"/>
    <cellStyle name="20 % - Markeringsfarve3 9 6 2" xfId="29422" xr:uid="{00000000-0005-0000-0000-00001E270000}"/>
    <cellStyle name="20 % - Markeringsfarve3 9 6 3" xfId="44383" xr:uid="{00000000-0005-0000-0000-00001F270000}"/>
    <cellStyle name="20 % - Markeringsfarve3 9 7" xfId="22420" xr:uid="{00000000-0005-0000-0000-000020270000}"/>
    <cellStyle name="20 % - Markeringsfarve3 9 8" xfId="37386" xr:uid="{00000000-0005-0000-0000-000021270000}"/>
    <cellStyle name="20 % - Markeringsfarve4 10" xfId="4664" xr:uid="{00000000-0005-0000-0000-000022270000}"/>
    <cellStyle name="20 % - Markeringsfarve4 10 2" xfId="4665" xr:uid="{00000000-0005-0000-0000-000023270000}"/>
    <cellStyle name="20 % - Markeringsfarve4 10 2 2" xfId="9700" xr:uid="{00000000-0005-0000-0000-000024270000}"/>
    <cellStyle name="20 % - Markeringsfarve4 10 2 2 2" xfId="17554" xr:uid="{00000000-0005-0000-0000-000025270000}"/>
    <cellStyle name="20 % - Markeringsfarve4 10 2 2 2 2" xfId="33830" xr:uid="{00000000-0005-0000-0000-000026270000}"/>
    <cellStyle name="20 % - Markeringsfarve4 10 2 2 2 3" xfId="48789" xr:uid="{00000000-0005-0000-0000-000027270000}"/>
    <cellStyle name="20 % - Markeringsfarve4 10 2 2 3" xfId="26828" xr:uid="{00000000-0005-0000-0000-000028270000}"/>
    <cellStyle name="20 % - Markeringsfarve4 10 2 2 4" xfId="41792" xr:uid="{00000000-0005-0000-0000-000029270000}"/>
    <cellStyle name="20 % - Markeringsfarve4 10 2 3" xfId="13150" xr:uid="{00000000-0005-0000-0000-00002A270000}"/>
    <cellStyle name="20 % - Markeringsfarve4 10 2 3 2" xfId="29429" xr:uid="{00000000-0005-0000-0000-00002B270000}"/>
    <cellStyle name="20 % - Markeringsfarve4 10 2 3 3" xfId="44390" xr:uid="{00000000-0005-0000-0000-00002C270000}"/>
    <cellStyle name="20 % - Markeringsfarve4 10 2 4" xfId="22427" xr:uid="{00000000-0005-0000-0000-00002D270000}"/>
    <cellStyle name="20 % - Markeringsfarve4 10 2 5" xfId="37393" xr:uid="{00000000-0005-0000-0000-00002E270000}"/>
    <cellStyle name="20 % - Markeringsfarve4 10 3" xfId="4666" xr:uid="{00000000-0005-0000-0000-00002F270000}"/>
    <cellStyle name="20 % - Markeringsfarve4 10 3 2" xfId="10873" xr:uid="{00000000-0005-0000-0000-000030270000}"/>
    <cellStyle name="20 % - Markeringsfarve4 10 3 2 2" xfId="18710" xr:uid="{00000000-0005-0000-0000-000031270000}"/>
    <cellStyle name="20 % - Markeringsfarve4 10 3 2 2 2" xfId="34986" xr:uid="{00000000-0005-0000-0000-000032270000}"/>
    <cellStyle name="20 % - Markeringsfarve4 10 3 2 2 3" xfId="49945" xr:uid="{00000000-0005-0000-0000-000033270000}"/>
    <cellStyle name="20 % - Markeringsfarve4 10 3 2 3" xfId="27984" xr:uid="{00000000-0005-0000-0000-000034270000}"/>
    <cellStyle name="20 % - Markeringsfarve4 10 3 2 4" xfId="42948" xr:uid="{00000000-0005-0000-0000-000035270000}"/>
    <cellStyle name="20 % - Markeringsfarve4 10 3 3" xfId="13151" xr:uid="{00000000-0005-0000-0000-000036270000}"/>
    <cellStyle name="20 % - Markeringsfarve4 10 3 3 2" xfId="29430" xr:uid="{00000000-0005-0000-0000-000037270000}"/>
    <cellStyle name="20 % - Markeringsfarve4 10 3 3 3" xfId="44391" xr:uid="{00000000-0005-0000-0000-000038270000}"/>
    <cellStyle name="20 % - Markeringsfarve4 10 3 4" xfId="22428" xr:uid="{00000000-0005-0000-0000-000039270000}"/>
    <cellStyle name="20 % - Markeringsfarve4 10 3 5" xfId="37394" xr:uid="{00000000-0005-0000-0000-00003A270000}"/>
    <cellStyle name="20 % - Markeringsfarve4 10 4" xfId="7790" xr:uid="{00000000-0005-0000-0000-00003B270000}"/>
    <cellStyle name="20 % - Markeringsfarve4 10 4 2" xfId="15655" xr:uid="{00000000-0005-0000-0000-00003C270000}"/>
    <cellStyle name="20 % - Markeringsfarve4 10 4 2 2" xfId="31931" xr:uid="{00000000-0005-0000-0000-00003D270000}"/>
    <cellStyle name="20 % - Markeringsfarve4 10 4 2 3" xfId="46890" xr:uid="{00000000-0005-0000-0000-00003E270000}"/>
    <cellStyle name="20 % - Markeringsfarve4 10 4 3" xfId="24929" xr:uid="{00000000-0005-0000-0000-00003F270000}"/>
    <cellStyle name="20 % - Markeringsfarve4 10 4 4" xfId="39893" xr:uid="{00000000-0005-0000-0000-000040270000}"/>
    <cellStyle name="20 % - Markeringsfarve4 10 5" xfId="13149" xr:uid="{00000000-0005-0000-0000-000041270000}"/>
    <cellStyle name="20 % - Markeringsfarve4 10 5 2" xfId="29428" xr:uid="{00000000-0005-0000-0000-000042270000}"/>
    <cellStyle name="20 % - Markeringsfarve4 10 5 3" xfId="44389" xr:uid="{00000000-0005-0000-0000-000043270000}"/>
    <cellStyle name="20 % - Markeringsfarve4 10 6" xfId="22426" xr:uid="{00000000-0005-0000-0000-000044270000}"/>
    <cellStyle name="20 % - Markeringsfarve4 10 7" xfId="37392" xr:uid="{00000000-0005-0000-0000-000045270000}"/>
    <cellStyle name="20 % - Markeringsfarve4 11" xfId="4667" xr:uid="{00000000-0005-0000-0000-000046270000}"/>
    <cellStyle name="20 % - Markeringsfarve4 11 2" xfId="4668" xr:uid="{00000000-0005-0000-0000-000047270000}"/>
    <cellStyle name="20 % - Markeringsfarve4 11 2 2" xfId="10595" xr:uid="{00000000-0005-0000-0000-000048270000}"/>
    <cellStyle name="20 % - Markeringsfarve4 11 2 2 2" xfId="18443" xr:uid="{00000000-0005-0000-0000-000049270000}"/>
    <cellStyle name="20 % - Markeringsfarve4 11 2 2 2 2" xfId="34719" xr:uid="{00000000-0005-0000-0000-00004A270000}"/>
    <cellStyle name="20 % - Markeringsfarve4 11 2 2 2 3" xfId="49678" xr:uid="{00000000-0005-0000-0000-00004B270000}"/>
    <cellStyle name="20 % - Markeringsfarve4 11 2 2 3" xfId="27717" xr:uid="{00000000-0005-0000-0000-00004C270000}"/>
    <cellStyle name="20 % - Markeringsfarve4 11 2 2 4" xfId="42681" xr:uid="{00000000-0005-0000-0000-00004D270000}"/>
    <cellStyle name="20 % - Markeringsfarve4 11 2 3" xfId="13153" xr:uid="{00000000-0005-0000-0000-00004E270000}"/>
    <cellStyle name="20 % - Markeringsfarve4 11 2 3 2" xfId="29432" xr:uid="{00000000-0005-0000-0000-00004F270000}"/>
    <cellStyle name="20 % - Markeringsfarve4 11 2 3 3" xfId="44393" xr:uid="{00000000-0005-0000-0000-000050270000}"/>
    <cellStyle name="20 % - Markeringsfarve4 11 2 4" xfId="22430" xr:uid="{00000000-0005-0000-0000-000051270000}"/>
    <cellStyle name="20 % - Markeringsfarve4 11 2 5" xfId="37396" xr:uid="{00000000-0005-0000-0000-000052270000}"/>
    <cellStyle name="20 % - Markeringsfarve4 11 3" xfId="7791" xr:uid="{00000000-0005-0000-0000-000053270000}"/>
    <cellStyle name="20 % - Markeringsfarve4 11 3 2" xfId="15656" xr:uid="{00000000-0005-0000-0000-000054270000}"/>
    <cellStyle name="20 % - Markeringsfarve4 11 3 2 2" xfId="31932" xr:uid="{00000000-0005-0000-0000-000055270000}"/>
    <cellStyle name="20 % - Markeringsfarve4 11 3 2 3" xfId="46891" xr:uid="{00000000-0005-0000-0000-000056270000}"/>
    <cellStyle name="20 % - Markeringsfarve4 11 3 3" xfId="24930" xr:uid="{00000000-0005-0000-0000-000057270000}"/>
    <cellStyle name="20 % - Markeringsfarve4 11 3 4" xfId="39894" xr:uid="{00000000-0005-0000-0000-000058270000}"/>
    <cellStyle name="20 % - Markeringsfarve4 11 4" xfId="13152" xr:uid="{00000000-0005-0000-0000-000059270000}"/>
    <cellStyle name="20 % - Markeringsfarve4 11 4 2" xfId="29431" xr:uid="{00000000-0005-0000-0000-00005A270000}"/>
    <cellStyle name="20 % - Markeringsfarve4 11 4 3" xfId="44392" xr:uid="{00000000-0005-0000-0000-00005B270000}"/>
    <cellStyle name="20 % - Markeringsfarve4 11 5" xfId="22429" xr:uid="{00000000-0005-0000-0000-00005C270000}"/>
    <cellStyle name="20 % - Markeringsfarve4 11 6" xfId="37395" xr:uid="{00000000-0005-0000-0000-00005D270000}"/>
    <cellStyle name="20 % - Markeringsfarve4 12" xfId="4669" xr:uid="{00000000-0005-0000-0000-00005E270000}"/>
    <cellStyle name="20 % - Markeringsfarve4 12 2" xfId="4670" xr:uid="{00000000-0005-0000-0000-00005F270000}"/>
    <cellStyle name="20 % - Markeringsfarve4 12 2 2" xfId="10857" xr:uid="{00000000-0005-0000-0000-000060270000}"/>
    <cellStyle name="20 % - Markeringsfarve4 12 2 2 2" xfId="18695" xr:uid="{00000000-0005-0000-0000-000061270000}"/>
    <cellStyle name="20 % - Markeringsfarve4 12 2 2 2 2" xfId="34971" xr:uid="{00000000-0005-0000-0000-000062270000}"/>
    <cellStyle name="20 % - Markeringsfarve4 12 2 2 2 3" xfId="49930" xr:uid="{00000000-0005-0000-0000-000063270000}"/>
    <cellStyle name="20 % - Markeringsfarve4 12 2 2 3" xfId="27969" xr:uid="{00000000-0005-0000-0000-000064270000}"/>
    <cellStyle name="20 % - Markeringsfarve4 12 2 2 4" xfId="42933" xr:uid="{00000000-0005-0000-0000-000065270000}"/>
    <cellStyle name="20 % - Markeringsfarve4 12 2 3" xfId="13155" xr:uid="{00000000-0005-0000-0000-000066270000}"/>
    <cellStyle name="20 % - Markeringsfarve4 12 2 3 2" xfId="29434" xr:uid="{00000000-0005-0000-0000-000067270000}"/>
    <cellStyle name="20 % - Markeringsfarve4 12 2 3 3" xfId="44395" xr:uid="{00000000-0005-0000-0000-000068270000}"/>
    <cellStyle name="20 % - Markeringsfarve4 12 2 4" xfId="22432" xr:uid="{00000000-0005-0000-0000-000069270000}"/>
    <cellStyle name="20 % - Markeringsfarve4 12 2 5" xfId="37398" xr:uid="{00000000-0005-0000-0000-00006A270000}"/>
    <cellStyle name="20 % - Markeringsfarve4 12 3" xfId="7792" xr:uid="{00000000-0005-0000-0000-00006B270000}"/>
    <cellStyle name="20 % - Markeringsfarve4 12 3 2" xfId="15657" xr:uid="{00000000-0005-0000-0000-00006C270000}"/>
    <cellStyle name="20 % - Markeringsfarve4 12 3 2 2" xfId="31933" xr:uid="{00000000-0005-0000-0000-00006D270000}"/>
    <cellStyle name="20 % - Markeringsfarve4 12 3 2 3" xfId="46892" xr:uid="{00000000-0005-0000-0000-00006E270000}"/>
    <cellStyle name="20 % - Markeringsfarve4 12 3 3" xfId="24931" xr:uid="{00000000-0005-0000-0000-00006F270000}"/>
    <cellStyle name="20 % - Markeringsfarve4 12 3 4" xfId="39895" xr:uid="{00000000-0005-0000-0000-000070270000}"/>
    <cellStyle name="20 % - Markeringsfarve4 12 4" xfId="13154" xr:uid="{00000000-0005-0000-0000-000071270000}"/>
    <cellStyle name="20 % - Markeringsfarve4 12 4 2" xfId="29433" xr:uid="{00000000-0005-0000-0000-000072270000}"/>
    <cellStyle name="20 % - Markeringsfarve4 12 4 3" xfId="44394" xr:uid="{00000000-0005-0000-0000-000073270000}"/>
    <cellStyle name="20 % - Markeringsfarve4 12 5" xfId="22431" xr:uid="{00000000-0005-0000-0000-000074270000}"/>
    <cellStyle name="20 % - Markeringsfarve4 12 6" xfId="37397" xr:uid="{00000000-0005-0000-0000-000075270000}"/>
    <cellStyle name="20 % - Markeringsfarve4 13" xfId="4671" xr:uid="{00000000-0005-0000-0000-000076270000}"/>
    <cellStyle name="20 % - Markeringsfarve4 13 2" xfId="4672" xr:uid="{00000000-0005-0000-0000-000077270000}"/>
    <cellStyle name="20 % - Markeringsfarve4 13 2 2" xfId="10792" xr:uid="{00000000-0005-0000-0000-000078270000}"/>
    <cellStyle name="20 % - Markeringsfarve4 13 2 2 2" xfId="18634" xr:uid="{00000000-0005-0000-0000-000079270000}"/>
    <cellStyle name="20 % - Markeringsfarve4 13 2 2 2 2" xfId="34910" xr:uid="{00000000-0005-0000-0000-00007A270000}"/>
    <cellStyle name="20 % - Markeringsfarve4 13 2 2 2 3" xfId="49869" xr:uid="{00000000-0005-0000-0000-00007B270000}"/>
    <cellStyle name="20 % - Markeringsfarve4 13 2 2 3" xfId="27908" xr:uid="{00000000-0005-0000-0000-00007C270000}"/>
    <cellStyle name="20 % - Markeringsfarve4 13 2 2 4" xfId="42872" xr:uid="{00000000-0005-0000-0000-00007D270000}"/>
    <cellStyle name="20 % - Markeringsfarve4 13 2 3" xfId="13157" xr:uid="{00000000-0005-0000-0000-00007E270000}"/>
    <cellStyle name="20 % - Markeringsfarve4 13 2 3 2" xfId="29436" xr:uid="{00000000-0005-0000-0000-00007F270000}"/>
    <cellStyle name="20 % - Markeringsfarve4 13 2 3 3" xfId="44397" xr:uid="{00000000-0005-0000-0000-000080270000}"/>
    <cellStyle name="20 % - Markeringsfarve4 13 2 4" xfId="22434" xr:uid="{00000000-0005-0000-0000-000081270000}"/>
    <cellStyle name="20 % - Markeringsfarve4 13 2 5" xfId="37400" xr:uid="{00000000-0005-0000-0000-000082270000}"/>
    <cellStyle name="20 % - Markeringsfarve4 13 3" xfId="7789" xr:uid="{00000000-0005-0000-0000-000083270000}"/>
    <cellStyle name="20 % - Markeringsfarve4 13 3 2" xfId="15654" xr:uid="{00000000-0005-0000-0000-000084270000}"/>
    <cellStyle name="20 % - Markeringsfarve4 13 3 2 2" xfId="31930" xr:uid="{00000000-0005-0000-0000-000085270000}"/>
    <cellStyle name="20 % - Markeringsfarve4 13 3 2 3" xfId="46889" xr:uid="{00000000-0005-0000-0000-000086270000}"/>
    <cellStyle name="20 % - Markeringsfarve4 13 3 3" xfId="24928" xr:uid="{00000000-0005-0000-0000-000087270000}"/>
    <cellStyle name="20 % - Markeringsfarve4 13 3 4" xfId="39892" xr:uid="{00000000-0005-0000-0000-000088270000}"/>
    <cellStyle name="20 % - Markeringsfarve4 13 4" xfId="13156" xr:uid="{00000000-0005-0000-0000-000089270000}"/>
    <cellStyle name="20 % - Markeringsfarve4 13 4 2" xfId="29435" xr:uid="{00000000-0005-0000-0000-00008A270000}"/>
    <cellStyle name="20 % - Markeringsfarve4 13 4 3" xfId="44396" xr:uid="{00000000-0005-0000-0000-00008B270000}"/>
    <cellStyle name="20 % - Markeringsfarve4 13 5" xfId="22433" xr:uid="{00000000-0005-0000-0000-00008C270000}"/>
    <cellStyle name="20 % - Markeringsfarve4 13 6" xfId="37399" xr:uid="{00000000-0005-0000-0000-00008D270000}"/>
    <cellStyle name="20 % - Markeringsfarve4 14" xfId="4673" xr:uid="{00000000-0005-0000-0000-00008E270000}"/>
    <cellStyle name="20 % - Markeringsfarve4 14 2" xfId="8923" xr:uid="{00000000-0005-0000-0000-00008F270000}"/>
    <cellStyle name="20 % - Markeringsfarve4 14 2 2" xfId="16789" xr:uid="{00000000-0005-0000-0000-000090270000}"/>
    <cellStyle name="20 % - Markeringsfarve4 14 2 2 2" xfId="33065" xr:uid="{00000000-0005-0000-0000-000091270000}"/>
    <cellStyle name="20 % - Markeringsfarve4 14 2 2 3" xfId="48024" xr:uid="{00000000-0005-0000-0000-000092270000}"/>
    <cellStyle name="20 % - Markeringsfarve4 14 2 3" xfId="26063" xr:uid="{00000000-0005-0000-0000-000093270000}"/>
    <cellStyle name="20 % - Markeringsfarve4 14 2 4" xfId="41027" xr:uid="{00000000-0005-0000-0000-000094270000}"/>
    <cellStyle name="20 % - Markeringsfarve4 14 3" xfId="13158" xr:uid="{00000000-0005-0000-0000-000095270000}"/>
    <cellStyle name="20 % - Markeringsfarve4 14 3 2" xfId="29437" xr:uid="{00000000-0005-0000-0000-000096270000}"/>
    <cellStyle name="20 % - Markeringsfarve4 14 3 3" xfId="44398" xr:uid="{00000000-0005-0000-0000-000097270000}"/>
    <cellStyle name="20 % - Markeringsfarve4 14 4" xfId="22435" xr:uid="{00000000-0005-0000-0000-000098270000}"/>
    <cellStyle name="20 % - Markeringsfarve4 14 5" xfId="37401" xr:uid="{00000000-0005-0000-0000-000099270000}"/>
    <cellStyle name="20 % - Markeringsfarve4 15" xfId="4674" xr:uid="{00000000-0005-0000-0000-00009A270000}"/>
    <cellStyle name="20 % - Markeringsfarve4 15 2" xfId="10806" xr:uid="{00000000-0005-0000-0000-00009B270000}"/>
    <cellStyle name="20 % - Markeringsfarve4 15 2 2" xfId="18647" xr:uid="{00000000-0005-0000-0000-00009C270000}"/>
    <cellStyle name="20 % - Markeringsfarve4 15 2 2 2" xfId="34923" xr:uid="{00000000-0005-0000-0000-00009D270000}"/>
    <cellStyle name="20 % - Markeringsfarve4 15 2 2 3" xfId="49882" xr:uid="{00000000-0005-0000-0000-00009E270000}"/>
    <cellStyle name="20 % - Markeringsfarve4 15 2 3" xfId="27921" xr:uid="{00000000-0005-0000-0000-00009F270000}"/>
    <cellStyle name="20 % - Markeringsfarve4 15 2 4" xfId="42885" xr:uid="{00000000-0005-0000-0000-0000A0270000}"/>
    <cellStyle name="20 % - Markeringsfarve4 15 3" xfId="13159" xr:uid="{00000000-0005-0000-0000-0000A1270000}"/>
    <cellStyle name="20 % - Markeringsfarve4 15 3 2" xfId="29438" xr:uid="{00000000-0005-0000-0000-0000A2270000}"/>
    <cellStyle name="20 % - Markeringsfarve4 15 3 3" xfId="44399" xr:uid="{00000000-0005-0000-0000-0000A3270000}"/>
    <cellStyle name="20 % - Markeringsfarve4 15 4" xfId="22436" xr:uid="{00000000-0005-0000-0000-0000A4270000}"/>
    <cellStyle name="20 % - Markeringsfarve4 15 5" xfId="37402" xr:uid="{00000000-0005-0000-0000-0000A5270000}"/>
    <cellStyle name="20 % - Markeringsfarve4 16" xfId="4675" xr:uid="{00000000-0005-0000-0000-0000A6270000}"/>
    <cellStyle name="20 % - Markeringsfarve4 16 2" xfId="10637" xr:uid="{00000000-0005-0000-0000-0000A7270000}"/>
    <cellStyle name="20 % - Markeringsfarve4 16 2 2" xfId="18484" xr:uid="{00000000-0005-0000-0000-0000A8270000}"/>
    <cellStyle name="20 % - Markeringsfarve4 16 2 2 2" xfId="34760" xr:uid="{00000000-0005-0000-0000-0000A9270000}"/>
    <cellStyle name="20 % - Markeringsfarve4 16 2 2 3" xfId="49719" xr:uid="{00000000-0005-0000-0000-0000AA270000}"/>
    <cellStyle name="20 % - Markeringsfarve4 16 2 3" xfId="27758" xr:uid="{00000000-0005-0000-0000-0000AB270000}"/>
    <cellStyle name="20 % - Markeringsfarve4 16 2 4" xfId="42722" xr:uid="{00000000-0005-0000-0000-0000AC270000}"/>
    <cellStyle name="20 % - Markeringsfarve4 16 3" xfId="13160" xr:uid="{00000000-0005-0000-0000-0000AD270000}"/>
    <cellStyle name="20 % - Markeringsfarve4 16 3 2" xfId="29439" xr:uid="{00000000-0005-0000-0000-0000AE270000}"/>
    <cellStyle name="20 % - Markeringsfarve4 16 3 3" xfId="44400" xr:uid="{00000000-0005-0000-0000-0000AF270000}"/>
    <cellStyle name="20 % - Markeringsfarve4 16 4" xfId="22437" xr:uid="{00000000-0005-0000-0000-0000B0270000}"/>
    <cellStyle name="20 % - Markeringsfarve4 16 5" xfId="37403" xr:uid="{00000000-0005-0000-0000-0000B1270000}"/>
    <cellStyle name="20 % - Markeringsfarve4 17" xfId="7608" xr:uid="{00000000-0005-0000-0000-0000B2270000}"/>
    <cellStyle name="20 % - Markeringsfarve4 17 2" xfId="15477" xr:uid="{00000000-0005-0000-0000-0000B3270000}"/>
    <cellStyle name="20 % - Markeringsfarve4 17 2 2" xfId="31753" xr:uid="{00000000-0005-0000-0000-0000B4270000}"/>
    <cellStyle name="20 % - Markeringsfarve4 17 2 3" xfId="46712" xr:uid="{00000000-0005-0000-0000-0000B5270000}"/>
    <cellStyle name="20 % - Markeringsfarve4 17 3" xfId="24751" xr:uid="{00000000-0005-0000-0000-0000B6270000}"/>
    <cellStyle name="20 % - Markeringsfarve4 17 4" xfId="39715" xr:uid="{00000000-0005-0000-0000-0000B7270000}"/>
    <cellStyle name="20 % - Markeringsfarve4 18" xfId="4663" xr:uid="{00000000-0005-0000-0000-0000B8270000}"/>
    <cellStyle name="20 % - Markeringsfarve4 18 2" xfId="13148" xr:uid="{00000000-0005-0000-0000-0000B9270000}"/>
    <cellStyle name="20 % - Markeringsfarve4 18 2 2" xfId="29427" xr:uid="{00000000-0005-0000-0000-0000BA270000}"/>
    <cellStyle name="20 % - Markeringsfarve4 18 2 3" xfId="44388" xr:uid="{00000000-0005-0000-0000-0000BB270000}"/>
    <cellStyle name="20 % - Markeringsfarve4 18 3" xfId="22425" xr:uid="{00000000-0005-0000-0000-0000BC270000}"/>
    <cellStyle name="20 % - Markeringsfarve4 18 4" xfId="37391" xr:uid="{00000000-0005-0000-0000-0000BD270000}"/>
    <cellStyle name="20 % - Markeringsfarve4 2" xfId="4676" xr:uid="{00000000-0005-0000-0000-0000BE270000}"/>
    <cellStyle name="20 % - Markeringsfarve4 2 10" xfId="4677" xr:uid="{00000000-0005-0000-0000-0000BF270000}"/>
    <cellStyle name="20 % - Markeringsfarve4 2 10 2" xfId="8954" xr:uid="{00000000-0005-0000-0000-0000C0270000}"/>
    <cellStyle name="20 % - Markeringsfarve4 2 10 2 2" xfId="16818" xr:uid="{00000000-0005-0000-0000-0000C1270000}"/>
    <cellStyle name="20 % - Markeringsfarve4 2 10 2 2 2" xfId="33094" xr:uid="{00000000-0005-0000-0000-0000C2270000}"/>
    <cellStyle name="20 % - Markeringsfarve4 2 10 2 2 3" xfId="48053" xr:uid="{00000000-0005-0000-0000-0000C3270000}"/>
    <cellStyle name="20 % - Markeringsfarve4 2 10 2 3" xfId="26092" xr:uid="{00000000-0005-0000-0000-0000C4270000}"/>
    <cellStyle name="20 % - Markeringsfarve4 2 10 2 4" xfId="41056" xr:uid="{00000000-0005-0000-0000-0000C5270000}"/>
    <cellStyle name="20 % - Markeringsfarve4 2 10 3" xfId="13162" xr:uid="{00000000-0005-0000-0000-0000C6270000}"/>
    <cellStyle name="20 % - Markeringsfarve4 2 10 3 2" xfId="29441" xr:uid="{00000000-0005-0000-0000-0000C7270000}"/>
    <cellStyle name="20 % - Markeringsfarve4 2 10 3 3" xfId="44402" xr:uid="{00000000-0005-0000-0000-0000C8270000}"/>
    <cellStyle name="20 % - Markeringsfarve4 2 10 4" xfId="22439" xr:uid="{00000000-0005-0000-0000-0000C9270000}"/>
    <cellStyle name="20 % - Markeringsfarve4 2 10 5" xfId="37405" xr:uid="{00000000-0005-0000-0000-0000CA270000}"/>
    <cellStyle name="20 % - Markeringsfarve4 2 11" xfId="4678" xr:uid="{00000000-0005-0000-0000-0000CB270000}"/>
    <cellStyle name="20 % - Markeringsfarve4 2 11 2" xfId="10506" xr:uid="{00000000-0005-0000-0000-0000CC270000}"/>
    <cellStyle name="20 % - Markeringsfarve4 2 11 2 2" xfId="18355" xr:uid="{00000000-0005-0000-0000-0000CD270000}"/>
    <cellStyle name="20 % - Markeringsfarve4 2 11 2 2 2" xfId="34631" xr:uid="{00000000-0005-0000-0000-0000CE270000}"/>
    <cellStyle name="20 % - Markeringsfarve4 2 11 2 2 3" xfId="49590" xr:uid="{00000000-0005-0000-0000-0000CF270000}"/>
    <cellStyle name="20 % - Markeringsfarve4 2 11 2 3" xfId="27629" xr:uid="{00000000-0005-0000-0000-0000D0270000}"/>
    <cellStyle name="20 % - Markeringsfarve4 2 11 2 4" xfId="42593" xr:uid="{00000000-0005-0000-0000-0000D1270000}"/>
    <cellStyle name="20 % - Markeringsfarve4 2 11 3" xfId="13163" xr:uid="{00000000-0005-0000-0000-0000D2270000}"/>
    <cellStyle name="20 % - Markeringsfarve4 2 11 3 2" xfId="29442" xr:uid="{00000000-0005-0000-0000-0000D3270000}"/>
    <cellStyle name="20 % - Markeringsfarve4 2 11 3 3" xfId="44403" xr:uid="{00000000-0005-0000-0000-0000D4270000}"/>
    <cellStyle name="20 % - Markeringsfarve4 2 11 4" xfId="22440" xr:uid="{00000000-0005-0000-0000-0000D5270000}"/>
    <cellStyle name="20 % - Markeringsfarve4 2 11 5" xfId="37406" xr:uid="{00000000-0005-0000-0000-0000D6270000}"/>
    <cellStyle name="20 % - Markeringsfarve4 2 12" xfId="7793" xr:uid="{00000000-0005-0000-0000-0000D7270000}"/>
    <cellStyle name="20 % - Markeringsfarve4 2 12 2" xfId="15658" xr:uid="{00000000-0005-0000-0000-0000D8270000}"/>
    <cellStyle name="20 % - Markeringsfarve4 2 12 2 2" xfId="31934" xr:uid="{00000000-0005-0000-0000-0000D9270000}"/>
    <cellStyle name="20 % - Markeringsfarve4 2 12 2 3" xfId="46893" xr:uid="{00000000-0005-0000-0000-0000DA270000}"/>
    <cellStyle name="20 % - Markeringsfarve4 2 12 3" xfId="24932" xr:uid="{00000000-0005-0000-0000-0000DB270000}"/>
    <cellStyle name="20 % - Markeringsfarve4 2 12 4" xfId="39896" xr:uid="{00000000-0005-0000-0000-0000DC270000}"/>
    <cellStyle name="20 % - Markeringsfarve4 2 13" xfId="13161" xr:uid="{00000000-0005-0000-0000-0000DD270000}"/>
    <cellStyle name="20 % - Markeringsfarve4 2 13 2" xfId="29440" xr:uid="{00000000-0005-0000-0000-0000DE270000}"/>
    <cellStyle name="20 % - Markeringsfarve4 2 13 3" xfId="44401" xr:uid="{00000000-0005-0000-0000-0000DF270000}"/>
    <cellStyle name="20 % - Markeringsfarve4 2 14" xfId="22438" xr:uid="{00000000-0005-0000-0000-0000E0270000}"/>
    <cellStyle name="20 % - Markeringsfarve4 2 15" xfId="37404" xr:uid="{00000000-0005-0000-0000-0000E1270000}"/>
    <cellStyle name="20 % - Markeringsfarve4 2 2" xfId="4679" xr:uid="{00000000-0005-0000-0000-0000E2270000}"/>
    <cellStyle name="20 % - Markeringsfarve4 2 2 10" xfId="7794" xr:uid="{00000000-0005-0000-0000-0000E3270000}"/>
    <cellStyle name="20 % - Markeringsfarve4 2 2 10 2" xfId="15659" xr:uid="{00000000-0005-0000-0000-0000E4270000}"/>
    <cellStyle name="20 % - Markeringsfarve4 2 2 10 2 2" xfId="31935" xr:uid="{00000000-0005-0000-0000-0000E5270000}"/>
    <cellStyle name="20 % - Markeringsfarve4 2 2 10 2 3" xfId="46894" xr:uid="{00000000-0005-0000-0000-0000E6270000}"/>
    <cellStyle name="20 % - Markeringsfarve4 2 2 10 3" xfId="24933" xr:uid="{00000000-0005-0000-0000-0000E7270000}"/>
    <cellStyle name="20 % - Markeringsfarve4 2 2 10 4" xfId="39897" xr:uid="{00000000-0005-0000-0000-0000E8270000}"/>
    <cellStyle name="20 % - Markeringsfarve4 2 2 11" xfId="13164" xr:uid="{00000000-0005-0000-0000-0000E9270000}"/>
    <cellStyle name="20 % - Markeringsfarve4 2 2 11 2" xfId="29443" xr:uid="{00000000-0005-0000-0000-0000EA270000}"/>
    <cellStyle name="20 % - Markeringsfarve4 2 2 11 3" xfId="44404" xr:uid="{00000000-0005-0000-0000-0000EB270000}"/>
    <cellStyle name="20 % - Markeringsfarve4 2 2 12" xfId="22441" xr:uid="{00000000-0005-0000-0000-0000EC270000}"/>
    <cellStyle name="20 % - Markeringsfarve4 2 2 13" xfId="37407" xr:uid="{00000000-0005-0000-0000-0000ED270000}"/>
    <cellStyle name="20 % - Markeringsfarve4 2 2 2" xfId="4680" xr:uid="{00000000-0005-0000-0000-0000EE270000}"/>
    <cellStyle name="20 % - Markeringsfarve4 2 2 2 2" xfId="4681" xr:uid="{00000000-0005-0000-0000-0000EF270000}"/>
    <cellStyle name="20 % - Markeringsfarve4 2 2 2 2 2" xfId="4682" xr:uid="{00000000-0005-0000-0000-0000F0270000}"/>
    <cellStyle name="20 % - Markeringsfarve4 2 2 2 2 2 2" xfId="9884" xr:uid="{00000000-0005-0000-0000-0000F1270000}"/>
    <cellStyle name="20 % - Markeringsfarve4 2 2 2 2 2 2 2" xfId="17739" xr:uid="{00000000-0005-0000-0000-0000F2270000}"/>
    <cellStyle name="20 % - Markeringsfarve4 2 2 2 2 2 2 2 2" xfId="34015" xr:uid="{00000000-0005-0000-0000-0000F3270000}"/>
    <cellStyle name="20 % - Markeringsfarve4 2 2 2 2 2 2 2 3" xfId="48974" xr:uid="{00000000-0005-0000-0000-0000F4270000}"/>
    <cellStyle name="20 % - Markeringsfarve4 2 2 2 2 2 2 3" xfId="27013" xr:uid="{00000000-0005-0000-0000-0000F5270000}"/>
    <cellStyle name="20 % - Markeringsfarve4 2 2 2 2 2 2 4" xfId="41977" xr:uid="{00000000-0005-0000-0000-0000F6270000}"/>
    <cellStyle name="20 % - Markeringsfarve4 2 2 2 2 2 3" xfId="13167" xr:uid="{00000000-0005-0000-0000-0000F7270000}"/>
    <cellStyle name="20 % - Markeringsfarve4 2 2 2 2 2 3 2" xfId="29446" xr:uid="{00000000-0005-0000-0000-0000F8270000}"/>
    <cellStyle name="20 % - Markeringsfarve4 2 2 2 2 2 3 3" xfId="44407" xr:uid="{00000000-0005-0000-0000-0000F9270000}"/>
    <cellStyle name="20 % - Markeringsfarve4 2 2 2 2 2 4" xfId="22444" xr:uid="{00000000-0005-0000-0000-0000FA270000}"/>
    <cellStyle name="20 % - Markeringsfarve4 2 2 2 2 2 5" xfId="37410" xr:uid="{00000000-0005-0000-0000-0000FB270000}"/>
    <cellStyle name="20 % - Markeringsfarve4 2 2 2 2 3" xfId="8457" xr:uid="{00000000-0005-0000-0000-0000FC270000}"/>
    <cellStyle name="20 % - Markeringsfarve4 2 2 2 2 3 2" xfId="16327" xr:uid="{00000000-0005-0000-0000-0000FD270000}"/>
    <cellStyle name="20 % - Markeringsfarve4 2 2 2 2 3 2 2" xfId="32603" xr:uid="{00000000-0005-0000-0000-0000FE270000}"/>
    <cellStyle name="20 % - Markeringsfarve4 2 2 2 2 3 2 3" xfId="47562" xr:uid="{00000000-0005-0000-0000-0000FF270000}"/>
    <cellStyle name="20 % - Markeringsfarve4 2 2 2 2 3 3" xfId="25601" xr:uid="{00000000-0005-0000-0000-000000280000}"/>
    <cellStyle name="20 % - Markeringsfarve4 2 2 2 2 3 4" xfId="40565" xr:uid="{00000000-0005-0000-0000-000001280000}"/>
    <cellStyle name="20 % - Markeringsfarve4 2 2 2 2 4" xfId="13166" xr:uid="{00000000-0005-0000-0000-000002280000}"/>
    <cellStyle name="20 % - Markeringsfarve4 2 2 2 2 4 2" xfId="29445" xr:uid="{00000000-0005-0000-0000-000003280000}"/>
    <cellStyle name="20 % - Markeringsfarve4 2 2 2 2 4 3" xfId="44406" xr:uid="{00000000-0005-0000-0000-000004280000}"/>
    <cellStyle name="20 % - Markeringsfarve4 2 2 2 2 5" xfId="22443" xr:uid="{00000000-0005-0000-0000-000005280000}"/>
    <cellStyle name="20 % - Markeringsfarve4 2 2 2 2 6" xfId="37409" xr:uid="{00000000-0005-0000-0000-000006280000}"/>
    <cellStyle name="20 % - Markeringsfarve4 2 2 2 3" xfId="4683" xr:uid="{00000000-0005-0000-0000-000007280000}"/>
    <cellStyle name="20 % - Markeringsfarve4 2 2 2 3 2" xfId="9115" xr:uid="{00000000-0005-0000-0000-000008280000}"/>
    <cellStyle name="20 % - Markeringsfarve4 2 2 2 3 2 2" xfId="16979" xr:uid="{00000000-0005-0000-0000-000009280000}"/>
    <cellStyle name="20 % - Markeringsfarve4 2 2 2 3 2 2 2" xfId="33255" xr:uid="{00000000-0005-0000-0000-00000A280000}"/>
    <cellStyle name="20 % - Markeringsfarve4 2 2 2 3 2 2 3" xfId="48214" xr:uid="{00000000-0005-0000-0000-00000B280000}"/>
    <cellStyle name="20 % - Markeringsfarve4 2 2 2 3 2 3" xfId="26253" xr:uid="{00000000-0005-0000-0000-00000C280000}"/>
    <cellStyle name="20 % - Markeringsfarve4 2 2 2 3 2 4" xfId="41217" xr:uid="{00000000-0005-0000-0000-00000D280000}"/>
    <cellStyle name="20 % - Markeringsfarve4 2 2 2 3 3" xfId="13168" xr:uid="{00000000-0005-0000-0000-00000E280000}"/>
    <cellStyle name="20 % - Markeringsfarve4 2 2 2 3 3 2" xfId="29447" xr:uid="{00000000-0005-0000-0000-00000F280000}"/>
    <cellStyle name="20 % - Markeringsfarve4 2 2 2 3 3 3" xfId="44408" xr:uid="{00000000-0005-0000-0000-000010280000}"/>
    <cellStyle name="20 % - Markeringsfarve4 2 2 2 3 4" xfId="22445" xr:uid="{00000000-0005-0000-0000-000011280000}"/>
    <cellStyle name="20 % - Markeringsfarve4 2 2 2 3 5" xfId="37411" xr:uid="{00000000-0005-0000-0000-000012280000}"/>
    <cellStyle name="20 % - Markeringsfarve4 2 2 2 4" xfId="4684" xr:uid="{00000000-0005-0000-0000-000013280000}"/>
    <cellStyle name="20 % - Markeringsfarve4 2 2 2 4 2" xfId="10430" xr:uid="{00000000-0005-0000-0000-000014280000}"/>
    <cellStyle name="20 % - Markeringsfarve4 2 2 2 4 2 2" xfId="18282" xr:uid="{00000000-0005-0000-0000-000015280000}"/>
    <cellStyle name="20 % - Markeringsfarve4 2 2 2 4 2 2 2" xfId="34558" xr:uid="{00000000-0005-0000-0000-000016280000}"/>
    <cellStyle name="20 % - Markeringsfarve4 2 2 2 4 2 2 3" xfId="49517" xr:uid="{00000000-0005-0000-0000-000017280000}"/>
    <cellStyle name="20 % - Markeringsfarve4 2 2 2 4 2 3" xfId="27556" xr:uid="{00000000-0005-0000-0000-000018280000}"/>
    <cellStyle name="20 % - Markeringsfarve4 2 2 2 4 2 4" xfId="42520" xr:uid="{00000000-0005-0000-0000-000019280000}"/>
    <cellStyle name="20 % - Markeringsfarve4 2 2 2 4 3" xfId="13169" xr:uid="{00000000-0005-0000-0000-00001A280000}"/>
    <cellStyle name="20 % - Markeringsfarve4 2 2 2 4 3 2" xfId="29448" xr:uid="{00000000-0005-0000-0000-00001B280000}"/>
    <cellStyle name="20 % - Markeringsfarve4 2 2 2 4 3 3" xfId="44409" xr:uid="{00000000-0005-0000-0000-00001C280000}"/>
    <cellStyle name="20 % - Markeringsfarve4 2 2 2 4 4" xfId="22446" xr:uid="{00000000-0005-0000-0000-00001D280000}"/>
    <cellStyle name="20 % - Markeringsfarve4 2 2 2 4 5" xfId="37412" xr:uid="{00000000-0005-0000-0000-00001E280000}"/>
    <cellStyle name="20 % - Markeringsfarve4 2 2 2 5" xfId="7795" xr:uid="{00000000-0005-0000-0000-00001F280000}"/>
    <cellStyle name="20 % - Markeringsfarve4 2 2 2 5 2" xfId="15660" xr:uid="{00000000-0005-0000-0000-000020280000}"/>
    <cellStyle name="20 % - Markeringsfarve4 2 2 2 5 2 2" xfId="31936" xr:uid="{00000000-0005-0000-0000-000021280000}"/>
    <cellStyle name="20 % - Markeringsfarve4 2 2 2 5 2 3" xfId="46895" xr:uid="{00000000-0005-0000-0000-000022280000}"/>
    <cellStyle name="20 % - Markeringsfarve4 2 2 2 5 3" xfId="24934" xr:uid="{00000000-0005-0000-0000-000023280000}"/>
    <cellStyle name="20 % - Markeringsfarve4 2 2 2 5 4" xfId="39898" xr:uid="{00000000-0005-0000-0000-000024280000}"/>
    <cellStyle name="20 % - Markeringsfarve4 2 2 2 6" xfId="13165" xr:uid="{00000000-0005-0000-0000-000025280000}"/>
    <cellStyle name="20 % - Markeringsfarve4 2 2 2 6 2" xfId="29444" xr:uid="{00000000-0005-0000-0000-000026280000}"/>
    <cellStyle name="20 % - Markeringsfarve4 2 2 2 6 3" xfId="44405" xr:uid="{00000000-0005-0000-0000-000027280000}"/>
    <cellStyle name="20 % - Markeringsfarve4 2 2 2 7" xfId="22442" xr:uid="{00000000-0005-0000-0000-000028280000}"/>
    <cellStyle name="20 % - Markeringsfarve4 2 2 2 8" xfId="37408" xr:uid="{00000000-0005-0000-0000-000029280000}"/>
    <cellStyle name="20 % - Markeringsfarve4 2 2 3" xfId="4685" xr:uid="{00000000-0005-0000-0000-00002A280000}"/>
    <cellStyle name="20 % - Markeringsfarve4 2 2 3 2" xfId="4686" xr:uid="{00000000-0005-0000-0000-00002B280000}"/>
    <cellStyle name="20 % - Markeringsfarve4 2 2 3 2 2" xfId="4687" xr:uid="{00000000-0005-0000-0000-00002C280000}"/>
    <cellStyle name="20 % - Markeringsfarve4 2 2 3 2 2 2" xfId="9959" xr:uid="{00000000-0005-0000-0000-00002D280000}"/>
    <cellStyle name="20 % - Markeringsfarve4 2 2 3 2 2 2 2" xfId="17814" xr:uid="{00000000-0005-0000-0000-00002E280000}"/>
    <cellStyle name="20 % - Markeringsfarve4 2 2 3 2 2 2 2 2" xfId="34090" xr:uid="{00000000-0005-0000-0000-00002F280000}"/>
    <cellStyle name="20 % - Markeringsfarve4 2 2 3 2 2 2 2 3" xfId="49049" xr:uid="{00000000-0005-0000-0000-000030280000}"/>
    <cellStyle name="20 % - Markeringsfarve4 2 2 3 2 2 2 3" xfId="27088" xr:uid="{00000000-0005-0000-0000-000031280000}"/>
    <cellStyle name="20 % - Markeringsfarve4 2 2 3 2 2 2 4" xfId="42052" xr:uid="{00000000-0005-0000-0000-000032280000}"/>
    <cellStyle name="20 % - Markeringsfarve4 2 2 3 2 2 3" xfId="13172" xr:uid="{00000000-0005-0000-0000-000033280000}"/>
    <cellStyle name="20 % - Markeringsfarve4 2 2 3 2 2 3 2" xfId="29451" xr:uid="{00000000-0005-0000-0000-000034280000}"/>
    <cellStyle name="20 % - Markeringsfarve4 2 2 3 2 2 3 3" xfId="44412" xr:uid="{00000000-0005-0000-0000-000035280000}"/>
    <cellStyle name="20 % - Markeringsfarve4 2 2 3 2 2 4" xfId="22449" xr:uid="{00000000-0005-0000-0000-000036280000}"/>
    <cellStyle name="20 % - Markeringsfarve4 2 2 3 2 2 5" xfId="37415" xr:uid="{00000000-0005-0000-0000-000037280000}"/>
    <cellStyle name="20 % - Markeringsfarve4 2 2 3 2 3" xfId="8524" xr:uid="{00000000-0005-0000-0000-000038280000}"/>
    <cellStyle name="20 % - Markeringsfarve4 2 2 3 2 3 2" xfId="16394" xr:uid="{00000000-0005-0000-0000-000039280000}"/>
    <cellStyle name="20 % - Markeringsfarve4 2 2 3 2 3 2 2" xfId="32670" xr:uid="{00000000-0005-0000-0000-00003A280000}"/>
    <cellStyle name="20 % - Markeringsfarve4 2 2 3 2 3 2 3" xfId="47629" xr:uid="{00000000-0005-0000-0000-00003B280000}"/>
    <cellStyle name="20 % - Markeringsfarve4 2 2 3 2 3 3" xfId="25668" xr:uid="{00000000-0005-0000-0000-00003C280000}"/>
    <cellStyle name="20 % - Markeringsfarve4 2 2 3 2 3 4" xfId="40632" xr:uid="{00000000-0005-0000-0000-00003D280000}"/>
    <cellStyle name="20 % - Markeringsfarve4 2 2 3 2 4" xfId="13171" xr:uid="{00000000-0005-0000-0000-00003E280000}"/>
    <cellStyle name="20 % - Markeringsfarve4 2 2 3 2 4 2" xfId="29450" xr:uid="{00000000-0005-0000-0000-00003F280000}"/>
    <cellStyle name="20 % - Markeringsfarve4 2 2 3 2 4 3" xfId="44411" xr:uid="{00000000-0005-0000-0000-000040280000}"/>
    <cellStyle name="20 % - Markeringsfarve4 2 2 3 2 5" xfId="22448" xr:uid="{00000000-0005-0000-0000-000041280000}"/>
    <cellStyle name="20 % - Markeringsfarve4 2 2 3 2 6" xfId="37414" xr:uid="{00000000-0005-0000-0000-000042280000}"/>
    <cellStyle name="20 % - Markeringsfarve4 2 2 3 3" xfId="4688" xr:uid="{00000000-0005-0000-0000-000043280000}"/>
    <cellStyle name="20 % - Markeringsfarve4 2 2 3 3 2" xfId="9190" xr:uid="{00000000-0005-0000-0000-000044280000}"/>
    <cellStyle name="20 % - Markeringsfarve4 2 2 3 3 2 2" xfId="17054" xr:uid="{00000000-0005-0000-0000-000045280000}"/>
    <cellStyle name="20 % - Markeringsfarve4 2 2 3 3 2 2 2" xfId="33330" xr:uid="{00000000-0005-0000-0000-000046280000}"/>
    <cellStyle name="20 % - Markeringsfarve4 2 2 3 3 2 2 3" xfId="48289" xr:uid="{00000000-0005-0000-0000-000047280000}"/>
    <cellStyle name="20 % - Markeringsfarve4 2 2 3 3 2 3" xfId="26328" xr:uid="{00000000-0005-0000-0000-000048280000}"/>
    <cellStyle name="20 % - Markeringsfarve4 2 2 3 3 2 4" xfId="41292" xr:uid="{00000000-0005-0000-0000-000049280000}"/>
    <cellStyle name="20 % - Markeringsfarve4 2 2 3 3 3" xfId="13173" xr:uid="{00000000-0005-0000-0000-00004A280000}"/>
    <cellStyle name="20 % - Markeringsfarve4 2 2 3 3 3 2" xfId="29452" xr:uid="{00000000-0005-0000-0000-00004B280000}"/>
    <cellStyle name="20 % - Markeringsfarve4 2 2 3 3 3 3" xfId="44413" xr:uid="{00000000-0005-0000-0000-00004C280000}"/>
    <cellStyle name="20 % - Markeringsfarve4 2 2 3 3 4" xfId="22450" xr:uid="{00000000-0005-0000-0000-00004D280000}"/>
    <cellStyle name="20 % - Markeringsfarve4 2 2 3 3 5" xfId="37416" xr:uid="{00000000-0005-0000-0000-00004E280000}"/>
    <cellStyle name="20 % - Markeringsfarve4 2 2 3 4" xfId="4689" xr:uid="{00000000-0005-0000-0000-00004F280000}"/>
    <cellStyle name="20 % - Markeringsfarve4 2 2 3 4 2" xfId="10767" xr:uid="{00000000-0005-0000-0000-000050280000}"/>
    <cellStyle name="20 % - Markeringsfarve4 2 2 3 4 2 2" xfId="18609" xr:uid="{00000000-0005-0000-0000-000051280000}"/>
    <cellStyle name="20 % - Markeringsfarve4 2 2 3 4 2 2 2" xfId="34885" xr:uid="{00000000-0005-0000-0000-000052280000}"/>
    <cellStyle name="20 % - Markeringsfarve4 2 2 3 4 2 2 3" xfId="49844" xr:uid="{00000000-0005-0000-0000-000053280000}"/>
    <cellStyle name="20 % - Markeringsfarve4 2 2 3 4 2 3" xfId="27883" xr:uid="{00000000-0005-0000-0000-000054280000}"/>
    <cellStyle name="20 % - Markeringsfarve4 2 2 3 4 2 4" xfId="42847" xr:uid="{00000000-0005-0000-0000-000055280000}"/>
    <cellStyle name="20 % - Markeringsfarve4 2 2 3 4 3" xfId="13174" xr:uid="{00000000-0005-0000-0000-000056280000}"/>
    <cellStyle name="20 % - Markeringsfarve4 2 2 3 4 3 2" xfId="29453" xr:uid="{00000000-0005-0000-0000-000057280000}"/>
    <cellStyle name="20 % - Markeringsfarve4 2 2 3 4 3 3" xfId="44414" xr:uid="{00000000-0005-0000-0000-000058280000}"/>
    <cellStyle name="20 % - Markeringsfarve4 2 2 3 4 4" xfId="22451" xr:uid="{00000000-0005-0000-0000-000059280000}"/>
    <cellStyle name="20 % - Markeringsfarve4 2 2 3 4 5" xfId="37417" xr:uid="{00000000-0005-0000-0000-00005A280000}"/>
    <cellStyle name="20 % - Markeringsfarve4 2 2 3 5" xfId="7796" xr:uid="{00000000-0005-0000-0000-00005B280000}"/>
    <cellStyle name="20 % - Markeringsfarve4 2 2 3 5 2" xfId="15661" xr:uid="{00000000-0005-0000-0000-00005C280000}"/>
    <cellStyle name="20 % - Markeringsfarve4 2 2 3 5 2 2" xfId="31937" xr:uid="{00000000-0005-0000-0000-00005D280000}"/>
    <cellStyle name="20 % - Markeringsfarve4 2 2 3 5 2 3" xfId="46896" xr:uid="{00000000-0005-0000-0000-00005E280000}"/>
    <cellStyle name="20 % - Markeringsfarve4 2 2 3 5 3" xfId="24935" xr:uid="{00000000-0005-0000-0000-00005F280000}"/>
    <cellStyle name="20 % - Markeringsfarve4 2 2 3 5 4" xfId="39899" xr:uid="{00000000-0005-0000-0000-000060280000}"/>
    <cellStyle name="20 % - Markeringsfarve4 2 2 3 6" xfId="13170" xr:uid="{00000000-0005-0000-0000-000061280000}"/>
    <cellStyle name="20 % - Markeringsfarve4 2 2 3 6 2" xfId="29449" xr:uid="{00000000-0005-0000-0000-000062280000}"/>
    <cellStyle name="20 % - Markeringsfarve4 2 2 3 6 3" xfId="44410" xr:uid="{00000000-0005-0000-0000-000063280000}"/>
    <cellStyle name="20 % - Markeringsfarve4 2 2 3 7" xfId="22447" xr:uid="{00000000-0005-0000-0000-000064280000}"/>
    <cellStyle name="20 % - Markeringsfarve4 2 2 3 8" xfId="37413" xr:uid="{00000000-0005-0000-0000-000065280000}"/>
    <cellStyle name="20 % - Markeringsfarve4 2 2 4" xfId="4690" xr:uid="{00000000-0005-0000-0000-000066280000}"/>
    <cellStyle name="20 % - Markeringsfarve4 2 2 4 2" xfId="4691" xr:uid="{00000000-0005-0000-0000-000067280000}"/>
    <cellStyle name="20 % - Markeringsfarve4 2 2 4 2 2" xfId="4692" xr:uid="{00000000-0005-0000-0000-000068280000}"/>
    <cellStyle name="20 % - Markeringsfarve4 2 2 4 2 2 2" xfId="10122" xr:uid="{00000000-0005-0000-0000-000069280000}"/>
    <cellStyle name="20 % - Markeringsfarve4 2 2 4 2 2 2 2" xfId="17977" xr:uid="{00000000-0005-0000-0000-00006A280000}"/>
    <cellStyle name="20 % - Markeringsfarve4 2 2 4 2 2 2 2 2" xfId="34253" xr:uid="{00000000-0005-0000-0000-00006B280000}"/>
    <cellStyle name="20 % - Markeringsfarve4 2 2 4 2 2 2 2 3" xfId="49212" xr:uid="{00000000-0005-0000-0000-00006C280000}"/>
    <cellStyle name="20 % - Markeringsfarve4 2 2 4 2 2 2 3" xfId="27251" xr:uid="{00000000-0005-0000-0000-00006D280000}"/>
    <cellStyle name="20 % - Markeringsfarve4 2 2 4 2 2 2 4" xfId="42215" xr:uid="{00000000-0005-0000-0000-00006E280000}"/>
    <cellStyle name="20 % - Markeringsfarve4 2 2 4 2 2 3" xfId="13177" xr:uid="{00000000-0005-0000-0000-00006F280000}"/>
    <cellStyle name="20 % - Markeringsfarve4 2 2 4 2 2 3 2" xfId="29456" xr:uid="{00000000-0005-0000-0000-000070280000}"/>
    <cellStyle name="20 % - Markeringsfarve4 2 2 4 2 2 3 3" xfId="44417" xr:uid="{00000000-0005-0000-0000-000071280000}"/>
    <cellStyle name="20 % - Markeringsfarve4 2 2 4 2 2 4" xfId="22454" xr:uid="{00000000-0005-0000-0000-000072280000}"/>
    <cellStyle name="20 % - Markeringsfarve4 2 2 4 2 2 5" xfId="37420" xr:uid="{00000000-0005-0000-0000-000073280000}"/>
    <cellStyle name="20 % - Markeringsfarve4 2 2 4 2 3" xfId="8659" xr:uid="{00000000-0005-0000-0000-000074280000}"/>
    <cellStyle name="20 % - Markeringsfarve4 2 2 4 2 3 2" xfId="16526" xr:uid="{00000000-0005-0000-0000-000075280000}"/>
    <cellStyle name="20 % - Markeringsfarve4 2 2 4 2 3 2 2" xfId="32802" xr:uid="{00000000-0005-0000-0000-000076280000}"/>
    <cellStyle name="20 % - Markeringsfarve4 2 2 4 2 3 2 3" xfId="47761" xr:uid="{00000000-0005-0000-0000-000077280000}"/>
    <cellStyle name="20 % - Markeringsfarve4 2 2 4 2 3 3" xfId="25800" xr:uid="{00000000-0005-0000-0000-000078280000}"/>
    <cellStyle name="20 % - Markeringsfarve4 2 2 4 2 3 4" xfId="40764" xr:uid="{00000000-0005-0000-0000-000079280000}"/>
    <cellStyle name="20 % - Markeringsfarve4 2 2 4 2 4" xfId="13176" xr:uid="{00000000-0005-0000-0000-00007A280000}"/>
    <cellStyle name="20 % - Markeringsfarve4 2 2 4 2 4 2" xfId="29455" xr:uid="{00000000-0005-0000-0000-00007B280000}"/>
    <cellStyle name="20 % - Markeringsfarve4 2 2 4 2 4 3" xfId="44416" xr:uid="{00000000-0005-0000-0000-00007C280000}"/>
    <cellStyle name="20 % - Markeringsfarve4 2 2 4 2 5" xfId="22453" xr:uid="{00000000-0005-0000-0000-00007D280000}"/>
    <cellStyle name="20 % - Markeringsfarve4 2 2 4 2 6" xfId="37419" xr:uid="{00000000-0005-0000-0000-00007E280000}"/>
    <cellStyle name="20 % - Markeringsfarve4 2 2 4 3" xfId="4693" xr:uid="{00000000-0005-0000-0000-00007F280000}"/>
    <cellStyle name="20 % - Markeringsfarve4 2 2 4 3 2" xfId="9399" xr:uid="{00000000-0005-0000-0000-000080280000}"/>
    <cellStyle name="20 % - Markeringsfarve4 2 2 4 3 2 2" xfId="17262" xr:uid="{00000000-0005-0000-0000-000081280000}"/>
    <cellStyle name="20 % - Markeringsfarve4 2 2 4 3 2 2 2" xfId="33538" xr:uid="{00000000-0005-0000-0000-000082280000}"/>
    <cellStyle name="20 % - Markeringsfarve4 2 2 4 3 2 2 3" xfId="48497" xr:uid="{00000000-0005-0000-0000-000083280000}"/>
    <cellStyle name="20 % - Markeringsfarve4 2 2 4 3 2 3" xfId="26536" xr:uid="{00000000-0005-0000-0000-000084280000}"/>
    <cellStyle name="20 % - Markeringsfarve4 2 2 4 3 2 4" xfId="41500" xr:uid="{00000000-0005-0000-0000-000085280000}"/>
    <cellStyle name="20 % - Markeringsfarve4 2 2 4 3 3" xfId="13178" xr:uid="{00000000-0005-0000-0000-000086280000}"/>
    <cellStyle name="20 % - Markeringsfarve4 2 2 4 3 3 2" xfId="29457" xr:uid="{00000000-0005-0000-0000-000087280000}"/>
    <cellStyle name="20 % - Markeringsfarve4 2 2 4 3 3 3" xfId="44418" xr:uid="{00000000-0005-0000-0000-000088280000}"/>
    <cellStyle name="20 % - Markeringsfarve4 2 2 4 3 4" xfId="22455" xr:uid="{00000000-0005-0000-0000-000089280000}"/>
    <cellStyle name="20 % - Markeringsfarve4 2 2 4 3 5" xfId="37421" xr:uid="{00000000-0005-0000-0000-00008A280000}"/>
    <cellStyle name="20 % - Markeringsfarve4 2 2 4 4" xfId="4694" xr:uid="{00000000-0005-0000-0000-00008B280000}"/>
    <cellStyle name="20 % - Markeringsfarve4 2 2 4 4 2" xfId="10993" xr:uid="{00000000-0005-0000-0000-00008C280000}"/>
    <cellStyle name="20 % - Markeringsfarve4 2 2 4 4 2 2" xfId="18824" xr:uid="{00000000-0005-0000-0000-00008D280000}"/>
    <cellStyle name="20 % - Markeringsfarve4 2 2 4 4 2 2 2" xfId="35100" xr:uid="{00000000-0005-0000-0000-00008E280000}"/>
    <cellStyle name="20 % - Markeringsfarve4 2 2 4 4 2 2 3" xfId="50059" xr:uid="{00000000-0005-0000-0000-00008F280000}"/>
    <cellStyle name="20 % - Markeringsfarve4 2 2 4 4 2 3" xfId="28098" xr:uid="{00000000-0005-0000-0000-000090280000}"/>
    <cellStyle name="20 % - Markeringsfarve4 2 2 4 4 2 4" xfId="43062" xr:uid="{00000000-0005-0000-0000-000091280000}"/>
    <cellStyle name="20 % - Markeringsfarve4 2 2 4 4 3" xfId="13179" xr:uid="{00000000-0005-0000-0000-000092280000}"/>
    <cellStyle name="20 % - Markeringsfarve4 2 2 4 4 3 2" xfId="29458" xr:uid="{00000000-0005-0000-0000-000093280000}"/>
    <cellStyle name="20 % - Markeringsfarve4 2 2 4 4 3 3" xfId="44419" xr:uid="{00000000-0005-0000-0000-000094280000}"/>
    <cellStyle name="20 % - Markeringsfarve4 2 2 4 4 4" xfId="22456" xr:uid="{00000000-0005-0000-0000-000095280000}"/>
    <cellStyle name="20 % - Markeringsfarve4 2 2 4 4 5" xfId="37422" xr:uid="{00000000-0005-0000-0000-000096280000}"/>
    <cellStyle name="20 % - Markeringsfarve4 2 2 4 5" xfId="7797" xr:uid="{00000000-0005-0000-0000-000097280000}"/>
    <cellStyle name="20 % - Markeringsfarve4 2 2 4 5 2" xfId="15662" xr:uid="{00000000-0005-0000-0000-000098280000}"/>
    <cellStyle name="20 % - Markeringsfarve4 2 2 4 5 2 2" xfId="31938" xr:uid="{00000000-0005-0000-0000-000099280000}"/>
    <cellStyle name="20 % - Markeringsfarve4 2 2 4 5 2 3" xfId="46897" xr:uid="{00000000-0005-0000-0000-00009A280000}"/>
    <cellStyle name="20 % - Markeringsfarve4 2 2 4 5 3" xfId="24936" xr:uid="{00000000-0005-0000-0000-00009B280000}"/>
    <cellStyle name="20 % - Markeringsfarve4 2 2 4 5 4" xfId="39900" xr:uid="{00000000-0005-0000-0000-00009C280000}"/>
    <cellStyle name="20 % - Markeringsfarve4 2 2 4 6" xfId="13175" xr:uid="{00000000-0005-0000-0000-00009D280000}"/>
    <cellStyle name="20 % - Markeringsfarve4 2 2 4 6 2" xfId="29454" xr:uid="{00000000-0005-0000-0000-00009E280000}"/>
    <cellStyle name="20 % - Markeringsfarve4 2 2 4 6 3" xfId="44415" xr:uid="{00000000-0005-0000-0000-00009F280000}"/>
    <cellStyle name="20 % - Markeringsfarve4 2 2 4 7" xfId="22452" xr:uid="{00000000-0005-0000-0000-0000A0280000}"/>
    <cellStyle name="20 % - Markeringsfarve4 2 2 4 8" xfId="37418" xr:uid="{00000000-0005-0000-0000-0000A1280000}"/>
    <cellStyle name="20 % - Markeringsfarve4 2 2 5" xfId="4695" xr:uid="{00000000-0005-0000-0000-0000A2280000}"/>
    <cellStyle name="20 % - Markeringsfarve4 2 2 5 2" xfId="4696" xr:uid="{00000000-0005-0000-0000-0000A3280000}"/>
    <cellStyle name="20 % - Markeringsfarve4 2 2 5 2 2" xfId="4697" xr:uid="{00000000-0005-0000-0000-0000A4280000}"/>
    <cellStyle name="20 % - Markeringsfarve4 2 2 5 2 2 2" xfId="10239" xr:uid="{00000000-0005-0000-0000-0000A5280000}"/>
    <cellStyle name="20 % - Markeringsfarve4 2 2 5 2 2 2 2" xfId="18094" xr:uid="{00000000-0005-0000-0000-0000A6280000}"/>
    <cellStyle name="20 % - Markeringsfarve4 2 2 5 2 2 2 2 2" xfId="34370" xr:uid="{00000000-0005-0000-0000-0000A7280000}"/>
    <cellStyle name="20 % - Markeringsfarve4 2 2 5 2 2 2 2 3" xfId="49329" xr:uid="{00000000-0005-0000-0000-0000A8280000}"/>
    <cellStyle name="20 % - Markeringsfarve4 2 2 5 2 2 2 3" xfId="27368" xr:uid="{00000000-0005-0000-0000-0000A9280000}"/>
    <cellStyle name="20 % - Markeringsfarve4 2 2 5 2 2 2 4" xfId="42332" xr:uid="{00000000-0005-0000-0000-0000AA280000}"/>
    <cellStyle name="20 % - Markeringsfarve4 2 2 5 2 2 3" xfId="13182" xr:uid="{00000000-0005-0000-0000-0000AB280000}"/>
    <cellStyle name="20 % - Markeringsfarve4 2 2 5 2 2 3 2" xfId="29461" xr:uid="{00000000-0005-0000-0000-0000AC280000}"/>
    <cellStyle name="20 % - Markeringsfarve4 2 2 5 2 2 3 3" xfId="44422" xr:uid="{00000000-0005-0000-0000-0000AD280000}"/>
    <cellStyle name="20 % - Markeringsfarve4 2 2 5 2 2 4" xfId="22459" xr:uid="{00000000-0005-0000-0000-0000AE280000}"/>
    <cellStyle name="20 % - Markeringsfarve4 2 2 5 2 2 5" xfId="37425" xr:uid="{00000000-0005-0000-0000-0000AF280000}"/>
    <cellStyle name="20 % - Markeringsfarve4 2 2 5 2 3" xfId="8758" xr:uid="{00000000-0005-0000-0000-0000B0280000}"/>
    <cellStyle name="20 % - Markeringsfarve4 2 2 5 2 3 2" xfId="16625" xr:uid="{00000000-0005-0000-0000-0000B1280000}"/>
    <cellStyle name="20 % - Markeringsfarve4 2 2 5 2 3 2 2" xfId="32901" xr:uid="{00000000-0005-0000-0000-0000B2280000}"/>
    <cellStyle name="20 % - Markeringsfarve4 2 2 5 2 3 2 3" xfId="47860" xr:uid="{00000000-0005-0000-0000-0000B3280000}"/>
    <cellStyle name="20 % - Markeringsfarve4 2 2 5 2 3 3" xfId="25899" xr:uid="{00000000-0005-0000-0000-0000B4280000}"/>
    <cellStyle name="20 % - Markeringsfarve4 2 2 5 2 3 4" xfId="40863" xr:uid="{00000000-0005-0000-0000-0000B5280000}"/>
    <cellStyle name="20 % - Markeringsfarve4 2 2 5 2 4" xfId="13181" xr:uid="{00000000-0005-0000-0000-0000B6280000}"/>
    <cellStyle name="20 % - Markeringsfarve4 2 2 5 2 4 2" xfId="29460" xr:uid="{00000000-0005-0000-0000-0000B7280000}"/>
    <cellStyle name="20 % - Markeringsfarve4 2 2 5 2 4 3" xfId="44421" xr:uid="{00000000-0005-0000-0000-0000B8280000}"/>
    <cellStyle name="20 % - Markeringsfarve4 2 2 5 2 5" xfId="22458" xr:uid="{00000000-0005-0000-0000-0000B9280000}"/>
    <cellStyle name="20 % - Markeringsfarve4 2 2 5 2 6" xfId="37424" xr:uid="{00000000-0005-0000-0000-0000BA280000}"/>
    <cellStyle name="20 % - Markeringsfarve4 2 2 5 3" xfId="4698" xr:uid="{00000000-0005-0000-0000-0000BB280000}"/>
    <cellStyle name="20 % - Markeringsfarve4 2 2 5 3 2" xfId="9516" xr:uid="{00000000-0005-0000-0000-0000BC280000}"/>
    <cellStyle name="20 % - Markeringsfarve4 2 2 5 3 2 2" xfId="17379" xr:uid="{00000000-0005-0000-0000-0000BD280000}"/>
    <cellStyle name="20 % - Markeringsfarve4 2 2 5 3 2 2 2" xfId="33655" xr:uid="{00000000-0005-0000-0000-0000BE280000}"/>
    <cellStyle name="20 % - Markeringsfarve4 2 2 5 3 2 2 3" xfId="48614" xr:uid="{00000000-0005-0000-0000-0000BF280000}"/>
    <cellStyle name="20 % - Markeringsfarve4 2 2 5 3 2 3" xfId="26653" xr:uid="{00000000-0005-0000-0000-0000C0280000}"/>
    <cellStyle name="20 % - Markeringsfarve4 2 2 5 3 2 4" xfId="41617" xr:uid="{00000000-0005-0000-0000-0000C1280000}"/>
    <cellStyle name="20 % - Markeringsfarve4 2 2 5 3 3" xfId="13183" xr:uid="{00000000-0005-0000-0000-0000C2280000}"/>
    <cellStyle name="20 % - Markeringsfarve4 2 2 5 3 3 2" xfId="29462" xr:uid="{00000000-0005-0000-0000-0000C3280000}"/>
    <cellStyle name="20 % - Markeringsfarve4 2 2 5 3 3 3" xfId="44423" xr:uid="{00000000-0005-0000-0000-0000C4280000}"/>
    <cellStyle name="20 % - Markeringsfarve4 2 2 5 3 4" xfId="22460" xr:uid="{00000000-0005-0000-0000-0000C5280000}"/>
    <cellStyle name="20 % - Markeringsfarve4 2 2 5 3 5" xfId="37426" xr:uid="{00000000-0005-0000-0000-0000C6280000}"/>
    <cellStyle name="20 % - Markeringsfarve4 2 2 5 4" xfId="4699" xr:uid="{00000000-0005-0000-0000-0000C7280000}"/>
    <cellStyle name="20 % - Markeringsfarve4 2 2 5 4 2" xfId="10713" xr:uid="{00000000-0005-0000-0000-0000C8280000}"/>
    <cellStyle name="20 % - Markeringsfarve4 2 2 5 4 2 2" xfId="18557" xr:uid="{00000000-0005-0000-0000-0000C9280000}"/>
    <cellStyle name="20 % - Markeringsfarve4 2 2 5 4 2 2 2" xfId="34833" xr:uid="{00000000-0005-0000-0000-0000CA280000}"/>
    <cellStyle name="20 % - Markeringsfarve4 2 2 5 4 2 2 3" xfId="49792" xr:uid="{00000000-0005-0000-0000-0000CB280000}"/>
    <cellStyle name="20 % - Markeringsfarve4 2 2 5 4 2 3" xfId="27831" xr:uid="{00000000-0005-0000-0000-0000CC280000}"/>
    <cellStyle name="20 % - Markeringsfarve4 2 2 5 4 2 4" xfId="42795" xr:uid="{00000000-0005-0000-0000-0000CD280000}"/>
    <cellStyle name="20 % - Markeringsfarve4 2 2 5 4 3" xfId="13184" xr:uid="{00000000-0005-0000-0000-0000CE280000}"/>
    <cellStyle name="20 % - Markeringsfarve4 2 2 5 4 3 2" xfId="29463" xr:uid="{00000000-0005-0000-0000-0000CF280000}"/>
    <cellStyle name="20 % - Markeringsfarve4 2 2 5 4 3 3" xfId="44424" xr:uid="{00000000-0005-0000-0000-0000D0280000}"/>
    <cellStyle name="20 % - Markeringsfarve4 2 2 5 4 4" xfId="22461" xr:uid="{00000000-0005-0000-0000-0000D1280000}"/>
    <cellStyle name="20 % - Markeringsfarve4 2 2 5 4 5" xfId="37427" xr:uid="{00000000-0005-0000-0000-0000D2280000}"/>
    <cellStyle name="20 % - Markeringsfarve4 2 2 5 5" xfId="7798" xr:uid="{00000000-0005-0000-0000-0000D3280000}"/>
    <cellStyle name="20 % - Markeringsfarve4 2 2 5 5 2" xfId="15663" xr:uid="{00000000-0005-0000-0000-0000D4280000}"/>
    <cellStyle name="20 % - Markeringsfarve4 2 2 5 5 2 2" xfId="31939" xr:uid="{00000000-0005-0000-0000-0000D5280000}"/>
    <cellStyle name="20 % - Markeringsfarve4 2 2 5 5 2 3" xfId="46898" xr:uid="{00000000-0005-0000-0000-0000D6280000}"/>
    <cellStyle name="20 % - Markeringsfarve4 2 2 5 5 3" xfId="24937" xr:uid="{00000000-0005-0000-0000-0000D7280000}"/>
    <cellStyle name="20 % - Markeringsfarve4 2 2 5 5 4" xfId="39901" xr:uid="{00000000-0005-0000-0000-0000D8280000}"/>
    <cellStyle name="20 % - Markeringsfarve4 2 2 5 6" xfId="13180" xr:uid="{00000000-0005-0000-0000-0000D9280000}"/>
    <cellStyle name="20 % - Markeringsfarve4 2 2 5 6 2" xfId="29459" xr:uid="{00000000-0005-0000-0000-0000DA280000}"/>
    <cellStyle name="20 % - Markeringsfarve4 2 2 5 6 3" xfId="44420" xr:uid="{00000000-0005-0000-0000-0000DB280000}"/>
    <cellStyle name="20 % - Markeringsfarve4 2 2 5 7" xfId="22457" xr:uid="{00000000-0005-0000-0000-0000DC280000}"/>
    <cellStyle name="20 % - Markeringsfarve4 2 2 5 8" xfId="37423" xr:uid="{00000000-0005-0000-0000-0000DD280000}"/>
    <cellStyle name="20 % - Markeringsfarve4 2 2 6" xfId="4700" xr:uid="{00000000-0005-0000-0000-0000DE280000}"/>
    <cellStyle name="20 % - Markeringsfarve4 2 2 6 2" xfId="4701" xr:uid="{00000000-0005-0000-0000-0000DF280000}"/>
    <cellStyle name="20 % - Markeringsfarve4 2 2 6 2 2" xfId="4702" xr:uid="{00000000-0005-0000-0000-0000E0280000}"/>
    <cellStyle name="20 % - Markeringsfarve4 2 2 6 2 2 2" xfId="10314" xr:uid="{00000000-0005-0000-0000-0000E1280000}"/>
    <cellStyle name="20 % - Markeringsfarve4 2 2 6 2 2 2 2" xfId="18169" xr:uid="{00000000-0005-0000-0000-0000E2280000}"/>
    <cellStyle name="20 % - Markeringsfarve4 2 2 6 2 2 2 2 2" xfId="34445" xr:uid="{00000000-0005-0000-0000-0000E3280000}"/>
    <cellStyle name="20 % - Markeringsfarve4 2 2 6 2 2 2 2 3" xfId="49404" xr:uid="{00000000-0005-0000-0000-0000E4280000}"/>
    <cellStyle name="20 % - Markeringsfarve4 2 2 6 2 2 2 3" xfId="27443" xr:uid="{00000000-0005-0000-0000-0000E5280000}"/>
    <cellStyle name="20 % - Markeringsfarve4 2 2 6 2 2 2 4" xfId="42407" xr:uid="{00000000-0005-0000-0000-0000E6280000}"/>
    <cellStyle name="20 % - Markeringsfarve4 2 2 6 2 2 3" xfId="13187" xr:uid="{00000000-0005-0000-0000-0000E7280000}"/>
    <cellStyle name="20 % - Markeringsfarve4 2 2 6 2 2 3 2" xfId="29466" xr:uid="{00000000-0005-0000-0000-0000E8280000}"/>
    <cellStyle name="20 % - Markeringsfarve4 2 2 6 2 2 3 3" xfId="44427" xr:uid="{00000000-0005-0000-0000-0000E9280000}"/>
    <cellStyle name="20 % - Markeringsfarve4 2 2 6 2 2 4" xfId="22464" xr:uid="{00000000-0005-0000-0000-0000EA280000}"/>
    <cellStyle name="20 % - Markeringsfarve4 2 2 6 2 2 5" xfId="37430" xr:uid="{00000000-0005-0000-0000-0000EB280000}"/>
    <cellStyle name="20 % - Markeringsfarve4 2 2 6 2 3" xfId="8826" xr:uid="{00000000-0005-0000-0000-0000EC280000}"/>
    <cellStyle name="20 % - Markeringsfarve4 2 2 6 2 3 2" xfId="16693" xr:uid="{00000000-0005-0000-0000-0000ED280000}"/>
    <cellStyle name="20 % - Markeringsfarve4 2 2 6 2 3 2 2" xfId="32969" xr:uid="{00000000-0005-0000-0000-0000EE280000}"/>
    <cellStyle name="20 % - Markeringsfarve4 2 2 6 2 3 2 3" xfId="47928" xr:uid="{00000000-0005-0000-0000-0000EF280000}"/>
    <cellStyle name="20 % - Markeringsfarve4 2 2 6 2 3 3" xfId="25967" xr:uid="{00000000-0005-0000-0000-0000F0280000}"/>
    <cellStyle name="20 % - Markeringsfarve4 2 2 6 2 3 4" xfId="40931" xr:uid="{00000000-0005-0000-0000-0000F1280000}"/>
    <cellStyle name="20 % - Markeringsfarve4 2 2 6 2 4" xfId="13186" xr:uid="{00000000-0005-0000-0000-0000F2280000}"/>
    <cellStyle name="20 % - Markeringsfarve4 2 2 6 2 4 2" xfId="29465" xr:uid="{00000000-0005-0000-0000-0000F3280000}"/>
    <cellStyle name="20 % - Markeringsfarve4 2 2 6 2 4 3" xfId="44426" xr:uid="{00000000-0005-0000-0000-0000F4280000}"/>
    <cellStyle name="20 % - Markeringsfarve4 2 2 6 2 5" xfId="22463" xr:uid="{00000000-0005-0000-0000-0000F5280000}"/>
    <cellStyle name="20 % - Markeringsfarve4 2 2 6 2 6" xfId="37429" xr:uid="{00000000-0005-0000-0000-0000F6280000}"/>
    <cellStyle name="20 % - Markeringsfarve4 2 2 6 3" xfId="4703" xr:uid="{00000000-0005-0000-0000-0000F7280000}"/>
    <cellStyle name="20 % - Markeringsfarve4 2 2 6 3 2" xfId="9592" xr:uid="{00000000-0005-0000-0000-0000F8280000}"/>
    <cellStyle name="20 % - Markeringsfarve4 2 2 6 3 2 2" xfId="17455" xr:uid="{00000000-0005-0000-0000-0000F9280000}"/>
    <cellStyle name="20 % - Markeringsfarve4 2 2 6 3 2 2 2" xfId="33731" xr:uid="{00000000-0005-0000-0000-0000FA280000}"/>
    <cellStyle name="20 % - Markeringsfarve4 2 2 6 3 2 2 3" xfId="48690" xr:uid="{00000000-0005-0000-0000-0000FB280000}"/>
    <cellStyle name="20 % - Markeringsfarve4 2 2 6 3 2 3" xfId="26729" xr:uid="{00000000-0005-0000-0000-0000FC280000}"/>
    <cellStyle name="20 % - Markeringsfarve4 2 2 6 3 2 4" xfId="41693" xr:uid="{00000000-0005-0000-0000-0000FD280000}"/>
    <cellStyle name="20 % - Markeringsfarve4 2 2 6 3 3" xfId="13188" xr:uid="{00000000-0005-0000-0000-0000FE280000}"/>
    <cellStyle name="20 % - Markeringsfarve4 2 2 6 3 3 2" xfId="29467" xr:uid="{00000000-0005-0000-0000-0000FF280000}"/>
    <cellStyle name="20 % - Markeringsfarve4 2 2 6 3 3 3" xfId="44428" xr:uid="{00000000-0005-0000-0000-000000290000}"/>
    <cellStyle name="20 % - Markeringsfarve4 2 2 6 3 4" xfId="22465" xr:uid="{00000000-0005-0000-0000-000001290000}"/>
    <cellStyle name="20 % - Markeringsfarve4 2 2 6 3 5" xfId="37431" xr:uid="{00000000-0005-0000-0000-000002290000}"/>
    <cellStyle name="20 % - Markeringsfarve4 2 2 6 4" xfId="4704" xr:uid="{00000000-0005-0000-0000-000003290000}"/>
    <cellStyle name="20 % - Markeringsfarve4 2 2 6 4 2" xfId="10940" xr:uid="{00000000-0005-0000-0000-000004290000}"/>
    <cellStyle name="20 % - Markeringsfarve4 2 2 6 4 2 2" xfId="18774" xr:uid="{00000000-0005-0000-0000-000005290000}"/>
    <cellStyle name="20 % - Markeringsfarve4 2 2 6 4 2 2 2" xfId="35050" xr:uid="{00000000-0005-0000-0000-000006290000}"/>
    <cellStyle name="20 % - Markeringsfarve4 2 2 6 4 2 2 3" xfId="50009" xr:uid="{00000000-0005-0000-0000-000007290000}"/>
    <cellStyle name="20 % - Markeringsfarve4 2 2 6 4 2 3" xfId="28048" xr:uid="{00000000-0005-0000-0000-000008290000}"/>
    <cellStyle name="20 % - Markeringsfarve4 2 2 6 4 2 4" xfId="43012" xr:uid="{00000000-0005-0000-0000-000009290000}"/>
    <cellStyle name="20 % - Markeringsfarve4 2 2 6 4 3" xfId="13189" xr:uid="{00000000-0005-0000-0000-00000A290000}"/>
    <cellStyle name="20 % - Markeringsfarve4 2 2 6 4 3 2" xfId="29468" xr:uid="{00000000-0005-0000-0000-00000B290000}"/>
    <cellStyle name="20 % - Markeringsfarve4 2 2 6 4 3 3" xfId="44429" xr:uid="{00000000-0005-0000-0000-00000C290000}"/>
    <cellStyle name="20 % - Markeringsfarve4 2 2 6 4 4" xfId="22466" xr:uid="{00000000-0005-0000-0000-00000D290000}"/>
    <cellStyle name="20 % - Markeringsfarve4 2 2 6 4 5" xfId="37432" xr:uid="{00000000-0005-0000-0000-00000E290000}"/>
    <cellStyle name="20 % - Markeringsfarve4 2 2 6 5" xfId="7799" xr:uid="{00000000-0005-0000-0000-00000F290000}"/>
    <cellStyle name="20 % - Markeringsfarve4 2 2 6 5 2" xfId="15664" xr:uid="{00000000-0005-0000-0000-000010290000}"/>
    <cellStyle name="20 % - Markeringsfarve4 2 2 6 5 2 2" xfId="31940" xr:uid="{00000000-0005-0000-0000-000011290000}"/>
    <cellStyle name="20 % - Markeringsfarve4 2 2 6 5 2 3" xfId="46899" xr:uid="{00000000-0005-0000-0000-000012290000}"/>
    <cellStyle name="20 % - Markeringsfarve4 2 2 6 5 3" xfId="24938" xr:uid="{00000000-0005-0000-0000-000013290000}"/>
    <cellStyle name="20 % - Markeringsfarve4 2 2 6 5 4" xfId="39902" xr:uid="{00000000-0005-0000-0000-000014290000}"/>
    <cellStyle name="20 % - Markeringsfarve4 2 2 6 6" xfId="13185" xr:uid="{00000000-0005-0000-0000-000015290000}"/>
    <cellStyle name="20 % - Markeringsfarve4 2 2 6 6 2" xfId="29464" xr:uid="{00000000-0005-0000-0000-000016290000}"/>
    <cellStyle name="20 % - Markeringsfarve4 2 2 6 6 3" xfId="44425" xr:uid="{00000000-0005-0000-0000-000017290000}"/>
    <cellStyle name="20 % - Markeringsfarve4 2 2 6 7" xfId="22462" xr:uid="{00000000-0005-0000-0000-000018290000}"/>
    <cellStyle name="20 % - Markeringsfarve4 2 2 6 8" xfId="37428" xr:uid="{00000000-0005-0000-0000-000019290000}"/>
    <cellStyle name="20 % - Markeringsfarve4 2 2 7" xfId="4705" xr:uid="{00000000-0005-0000-0000-00001A290000}"/>
    <cellStyle name="20 % - Markeringsfarve4 2 2 7 2" xfId="4706" xr:uid="{00000000-0005-0000-0000-00001B290000}"/>
    <cellStyle name="20 % - Markeringsfarve4 2 2 7 2 2" xfId="9766" xr:uid="{00000000-0005-0000-0000-00001C290000}"/>
    <cellStyle name="20 % - Markeringsfarve4 2 2 7 2 2 2" xfId="17620" xr:uid="{00000000-0005-0000-0000-00001D290000}"/>
    <cellStyle name="20 % - Markeringsfarve4 2 2 7 2 2 2 2" xfId="33896" xr:uid="{00000000-0005-0000-0000-00001E290000}"/>
    <cellStyle name="20 % - Markeringsfarve4 2 2 7 2 2 2 3" xfId="48855" xr:uid="{00000000-0005-0000-0000-00001F290000}"/>
    <cellStyle name="20 % - Markeringsfarve4 2 2 7 2 2 3" xfId="26894" xr:uid="{00000000-0005-0000-0000-000020290000}"/>
    <cellStyle name="20 % - Markeringsfarve4 2 2 7 2 2 4" xfId="41858" xr:uid="{00000000-0005-0000-0000-000021290000}"/>
    <cellStyle name="20 % - Markeringsfarve4 2 2 7 2 3" xfId="13191" xr:uid="{00000000-0005-0000-0000-000022290000}"/>
    <cellStyle name="20 % - Markeringsfarve4 2 2 7 2 3 2" xfId="29470" xr:uid="{00000000-0005-0000-0000-000023290000}"/>
    <cellStyle name="20 % - Markeringsfarve4 2 2 7 2 3 3" xfId="44431" xr:uid="{00000000-0005-0000-0000-000024290000}"/>
    <cellStyle name="20 % - Markeringsfarve4 2 2 7 2 4" xfId="22468" xr:uid="{00000000-0005-0000-0000-000025290000}"/>
    <cellStyle name="20 % - Markeringsfarve4 2 2 7 2 5" xfId="37434" xr:uid="{00000000-0005-0000-0000-000026290000}"/>
    <cellStyle name="20 % - Markeringsfarve4 2 2 7 3" xfId="8358" xr:uid="{00000000-0005-0000-0000-000027290000}"/>
    <cellStyle name="20 % - Markeringsfarve4 2 2 7 3 2" xfId="16228" xr:uid="{00000000-0005-0000-0000-000028290000}"/>
    <cellStyle name="20 % - Markeringsfarve4 2 2 7 3 2 2" xfId="32504" xr:uid="{00000000-0005-0000-0000-000029290000}"/>
    <cellStyle name="20 % - Markeringsfarve4 2 2 7 3 2 3" xfId="47463" xr:uid="{00000000-0005-0000-0000-00002A290000}"/>
    <cellStyle name="20 % - Markeringsfarve4 2 2 7 3 3" xfId="25502" xr:uid="{00000000-0005-0000-0000-00002B290000}"/>
    <cellStyle name="20 % - Markeringsfarve4 2 2 7 3 4" xfId="40466" xr:uid="{00000000-0005-0000-0000-00002C290000}"/>
    <cellStyle name="20 % - Markeringsfarve4 2 2 7 4" xfId="13190" xr:uid="{00000000-0005-0000-0000-00002D290000}"/>
    <cellStyle name="20 % - Markeringsfarve4 2 2 7 4 2" xfId="29469" xr:uid="{00000000-0005-0000-0000-00002E290000}"/>
    <cellStyle name="20 % - Markeringsfarve4 2 2 7 4 3" xfId="44430" xr:uid="{00000000-0005-0000-0000-00002F290000}"/>
    <cellStyle name="20 % - Markeringsfarve4 2 2 7 5" xfId="22467" xr:uid="{00000000-0005-0000-0000-000030290000}"/>
    <cellStyle name="20 % - Markeringsfarve4 2 2 7 6" xfId="37433" xr:uid="{00000000-0005-0000-0000-000031290000}"/>
    <cellStyle name="20 % - Markeringsfarve4 2 2 8" xfId="4707" xr:uid="{00000000-0005-0000-0000-000032290000}"/>
    <cellStyle name="20 % - Markeringsfarve4 2 2 8 2" xfId="8994" xr:uid="{00000000-0005-0000-0000-000033290000}"/>
    <cellStyle name="20 % - Markeringsfarve4 2 2 8 2 2" xfId="16858" xr:uid="{00000000-0005-0000-0000-000034290000}"/>
    <cellStyle name="20 % - Markeringsfarve4 2 2 8 2 2 2" xfId="33134" xr:uid="{00000000-0005-0000-0000-000035290000}"/>
    <cellStyle name="20 % - Markeringsfarve4 2 2 8 2 2 3" xfId="48093" xr:uid="{00000000-0005-0000-0000-000036290000}"/>
    <cellStyle name="20 % - Markeringsfarve4 2 2 8 2 3" xfId="26132" xr:uid="{00000000-0005-0000-0000-000037290000}"/>
    <cellStyle name="20 % - Markeringsfarve4 2 2 8 2 4" xfId="41096" xr:uid="{00000000-0005-0000-0000-000038290000}"/>
    <cellStyle name="20 % - Markeringsfarve4 2 2 8 3" xfId="13192" xr:uid="{00000000-0005-0000-0000-000039290000}"/>
    <cellStyle name="20 % - Markeringsfarve4 2 2 8 3 2" xfId="29471" xr:uid="{00000000-0005-0000-0000-00003A290000}"/>
    <cellStyle name="20 % - Markeringsfarve4 2 2 8 3 3" xfId="44432" xr:uid="{00000000-0005-0000-0000-00003B290000}"/>
    <cellStyle name="20 % - Markeringsfarve4 2 2 8 4" xfId="22469" xr:uid="{00000000-0005-0000-0000-00003C290000}"/>
    <cellStyle name="20 % - Markeringsfarve4 2 2 8 5" xfId="37435" xr:uid="{00000000-0005-0000-0000-00003D290000}"/>
    <cellStyle name="20 % - Markeringsfarve4 2 2 9" xfId="4708" xr:uid="{00000000-0005-0000-0000-00003E290000}"/>
    <cellStyle name="20 % - Markeringsfarve4 2 2 9 2" xfId="10781" xr:uid="{00000000-0005-0000-0000-00003F290000}"/>
    <cellStyle name="20 % - Markeringsfarve4 2 2 9 2 2" xfId="18623" xr:uid="{00000000-0005-0000-0000-000040290000}"/>
    <cellStyle name="20 % - Markeringsfarve4 2 2 9 2 2 2" xfId="34899" xr:uid="{00000000-0005-0000-0000-000041290000}"/>
    <cellStyle name="20 % - Markeringsfarve4 2 2 9 2 2 3" xfId="49858" xr:uid="{00000000-0005-0000-0000-000042290000}"/>
    <cellStyle name="20 % - Markeringsfarve4 2 2 9 2 3" xfId="27897" xr:uid="{00000000-0005-0000-0000-000043290000}"/>
    <cellStyle name="20 % - Markeringsfarve4 2 2 9 2 4" xfId="42861" xr:uid="{00000000-0005-0000-0000-000044290000}"/>
    <cellStyle name="20 % - Markeringsfarve4 2 2 9 3" xfId="13193" xr:uid="{00000000-0005-0000-0000-000045290000}"/>
    <cellStyle name="20 % - Markeringsfarve4 2 2 9 3 2" xfId="29472" xr:uid="{00000000-0005-0000-0000-000046290000}"/>
    <cellStyle name="20 % - Markeringsfarve4 2 2 9 3 3" xfId="44433" xr:uid="{00000000-0005-0000-0000-000047290000}"/>
    <cellStyle name="20 % - Markeringsfarve4 2 2 9 4" xfId="22470" xr:uid="{00000000-0005-0000-0000-000048290000}"/>
    <cellStyle name="20 % - Markeringsfarve4 2 2 9 5" xfId="37436" xr:uid="{00000000-0005-0000-0000-000049290000}"/>
    <cellStyle name="20 % - Markeringsfarve4 2 3" xfId="4709" xr:uid="{00000000-0005-0000-0000-00004A290000}"/>
    <cellStyle name="20 % - Markeringsfarve4 2 3 10" xfId="7800" xr:uid="{00000000-0005-0000-0000-00004B290000}"/>
    <cellStyle name="20 % - Markeringsfarve4 2 3 10 2" xfId="15665" xr:uid="{00000000-0005-0000-0000-00004C290000}"/>
    <cellStyle name="20 % - Markeringsfarve4 2 3 10 2 2" xfId="31941" xr:uid="{00000000-0005-0000-0000-00004D290000}"/>
    <cellStyle name="20 % - Markeringsfarve4 2 3 10 2 3" xfId="46900" xr:uid="{00000000-0005-0000-0000-00004E290000}"/>
    <cellStyle name="20 % - Markeringsfarve4 2 3 10 3" xfId="24939" xr:uid="{00000000-0005-0000-0000-00004F290000}"/>
    <cellStyle name="20 % - Markeringsfarve4 2 3 10 4" xfId="39903" xr:uid="{00000000-0005-0000-0000-000050290000}"/>
    <cellStyle name="20 % - Markeringsfarve4 2 3 11" xfId="13194" xr:uid="{00000000-0005-0000-0000-000051290000}"/>
    <cellStyle name="20 % - Markeringsfarve4 2 3 11 2" xfId="29473" xr:uid="{00000000-0005-0000-0000-000052290000}"/>
    <cellStyle name="20 % - Markeringsfarve4 2 3 11 3" xfId="44434" xr:uid="{00000000-0005-0000-0000-000053290000}"/>
    <cellStyle name="20 % - Markeringsfarve4 2 3 12" xfId="22471" xr:uid="{00000000-0005-0000-0000-000054290000}"/>
    <cellStyle name="20 % - Markeringsfarve4 2 3 13" xfId="37437" xr:uid="{00000000-0005-0000-0000-000055290000}"/>
    <cellStyle name="20 % - Markeringsfarve4 2 3 2" xfId="4710" xr:uid="{00000000-0005-0000-0000-000056290000}"/>
    <cellStyle name="20 % - Markeringsfarve4 2 3 2 2" xfId="4711" xr:uid="{00000000-0005-0000-0000-000057290000}"/>
    <cellStyle name="20 % - Markeringsfarve4 2 3 2 2 2" xfId="4712" xr:uid="{00000000-0005-0000-0000-000058290000}"/>
    <cellStyle name="20 % - Markeringsfarve4 2 3 2 2 2 2" xfId="9923" xr:uid="{00000000-0005-0000-0000-000059290000}"/>
    <cellStyle name="20 % - Markeringsfarve4 2 3 2 2 2 2 2" xfId="17778" xr:uid="{00000000-0005-0000-0000-00005A290000}"/>
    <cellStyle name="20 % - Markeringsfarve4 2 3 2 2 2 2 2 2" xfId="34054" xr:uid="{00000000-0005-0000-0000-00005B290000}"/>
    <cellStyle name="20 % - Markeringsfarve4 2 3 2 2 2 2 2 3" xfId="49013" xr:uid="{00000000-0005-0000-0000-00005C290000}"/>
    <cellStyle name="20 % - Markeringsfarve4 2 3 2 2 2 2 3" xfId="27052" xr:uid="{00000000-0005-0000-0000-00005D290000}"/>
    <cellStyle name="20 % - Markeringsfarve4 2 3 2 2 2 2 4" xfId="42016" xr:uid="{00000000-0005-0000-0000-00005E290000}"/>
    <cellStyle name="20 % - Markeringsfarve4 2 3 2 2 2 3" xfId="13197" xr:uid="{00000000-0005-0000-0000-00005F290000}"/>
    <cellStyle name="20 % - Markeringsfarve4 2 3 2 2 2 3 2" xfId="29476" xr:uid="{00000000-0005-0000-0000-000060290000}"/>
    <cellStyle name="20 % - Markeringsfarve4 2 3 2 2 2 3 3" xfId="44437" xr:uid="{00000000-0005-0000-0000-000061290000}"/>
    <cellStyle name="20 % - Markeringsfarve4 2 3 2 2 2 4" xfId="22474" xr:uid="{00000000-0005-0000-0000-000062290000}"/>
    <cellStyle name="20 % - Markeringsfarve4 2 3 2 2 2 5" xfId="37440" xr:uid="{00000000-0005-0000-0000-000063290000}"/>
    <cellStyle name="20 % - Markeringsfarve4 2 3 2 2 3" xfId="8490" xr:uid="{00000000-0005-0000-0000-000064290000}"/>
    <cellStyle name="20 % - Markeringsfarve4 2 3 2 2 3 2" xfId="16360" xr:uid="{00000000-0005-0000-0000-000065290000}"/>
    <cellStyle name="20 % - Markeringsfarve4 2 3 2 2 3 2 2" xfId="32636" xr:uid="{00000000-0005-0000-0000-000066290000}"/>
    <cellStyle name="20 % - Markeringsfarve4 2 3 2 2 3 2 3" xfId="47595" xr:uid="{00000000-0005-0000-0000-000067290000}"/>
    <cellStyle name="20 % - Markeringsfarve4 2 3 2 2 3 3" xfId="25634" xr:uid="{00000000-0005-0000-0000-000068290000}"/>
    <cellStyle name="20 % - Markeringsfarve4 2 3 2 2 3 4" xfId="40598" xr:uid="{00000000-0005-0000-0000-000069290000}"/>
    <cellStyle name="20 % - Markeringsfarve4 2 3 2 2 4" xfId="13196" xr:uid="{00000000-0005-0000-0000-00006A290000}"/>
    <cellStyle name="20 % - Markeringsfarve4 2 3 2 2 4 2" xfId="29475" xr:uid="{00000000-0005-0000-0000-00006B290000}"/>
    <cellStyle name="20 % - Markeringsfarve4 2 3 2 2 4 3" xfId="44436" xr:uid="{00000000-0005-0000-0000-00006C290000}"/>
    <cellStyle name="20 % - Markeringsfarve4 2 3 2 2 5" xfId="22473" xr:uid="{00000000-0005-0000-0000-00006D290000}"/>
    <cellStyle name="20 % - Markeringsfarve4 2 3 2 2 6" xfId="37439" xr:uid="{00000000-0005-0000-0000-00006E290000}"/>
    <cellStyle name="20 % - Markeringsfarve4 2 3 2 3" xfId="4713" xr:uid="{00000000-0005-0000-0000-00006F290000}"/>
    <cellStyle name="20 % - Markeringsfarve4 2 3 2 3 2" xfId="9154" xr:uid="{00000000-0005-0000-0000-000070290000}"/>
    <cellStyle name="20 % - Markeringsfarve4 2 3 2 3 2 2" xfId="17018" xr:uid="{00000000-0005-0000-0000-000071290000}"/>
    <cellStyle name="20 % - Markeringsfarve4 2 3 2 3 2 2 2" xfId="33294" xr:uid="{00000000-0005-0000-0000-000072290000}"/>
    <cellStyle name="20 % - Markeringsfarve4 2 3 2 3 2 2 3" xfId="48253" xr:uid="{00000000-0005-0000-0000-000073290000}"/>
    <cellStyle name="20 % - Markeringsfarve4 2 3 2 3 2 3" xfId="26292" xr:uid="{00000000-0005-0000-0000-000074290000}"/>
    <cellStyle name="20 % - Markeringsfarve4 2 3 2 3 2 4" xfId="41256" xr:uid="{00000000-0005-0000-0000-000075290000}"/>
    <cellStyle name="20 % - Markeringsfarve4 2 3 2 3 3" xfId="13198" xr:uid="{00000000-0005-0000-0000-000076290000}"/>
    <cellStyle name="20 % - Markeringsfarve4 2 3 2 3 3 2" xfId="29477" xr:uid="{00000000-0005-0000-0000-000077290000}"/>
    <cellStyle name="20 % - Markeringsfarve4 2 3 2 3 3 3" xfId="44438" xr:uid="{00000000-0005-0000-0000-000078290000}"/>
    <cellStyle name="20 % - Markeringsfarve4 2 3 2 3 4" xfId="22475" xr:uid="{00000000-0005-0000-0000-000079290000}"/>
    <cellStyle name="20 % - Markeringsfarve4 2 3 2 3 5" xfId="37441" xr:uid="{00000000-0005-0000-0000-00007A290000}"/>
    <cellStyle name="20 % - Markeringsfarve4 2 3 2 4" xfId="4714" xr:uid="{00000000-0005-0000-0000-00007B290000}"/>
    <cellStyle name="20 % - Markeringsfarve4 2 3 2 4 2" xfId="10899" xr:uid="{00000000-0005-0000-0000-00007C290000}"/>
    <cellStyle name="20 % - Markeringsfarve4 2 3 2 4 2 2" xfId="18735" xr:uid="{00000000-0005-0000-0000-00007D290000}"/>
    <cellStyle name="20 % - Markeringsfarve4 2 3 2 4 2 2 2" xfId="35011" xr:uid="{00000000-0005-0000-0000-00007E290000}"/>
    <cellStyle name="20 % - Markeringsfarve4 2 3 2 4 2 2 3" xfId="49970" xr:uid="{00000000-0005-0000-0000-00007F290000}"/>
    <cellStyle name="20 % - Markeringsfarve4 2 3 2 4 2 3" xfId="28009" xr:uid="{00000000-0005-0000-0000-000080290000}"/>
    <cellStyle name="20 % - Markeringsfarve4 2 3 2 4 2 4" xfId="42973" xr:uid="{00000000-0005-0000-0000-000081290000}"/>
    <cellStyle name="20 % - Markeringsfarve4 2 3 2 4 3" xfId="13199" xr:uid="{00000000-0005-0000-0000-000082290000}"/>
    <cellStyle name="20 % - Markeringsfarve4 2 3 2 4 3 2" xfId="29478" xr:uid="{00000000-0005-0000-0000-000083290000}"/>
    <cellStyle name="20 % - Markeringsfarve4 2 3 2 4 3 3" xfId="44439" xr:uid="{00000000-0005-0000-0000-000084290000}"/>
    <cellStyle name="20 % - Markeringsfarve4 2 3 2 4 4" xfId="22476" xr:uid="{00000000-0005-0000-0000-000085290000}"/>
    <cellStyle name="20 % - Markeringsfarve4 2 3 2 4 5" xfId="37442" xr:uid="{00000000-0005-0000-0000-000086290000}"/>
    <cellStyle name="20 % - Markeringsfarve4 2 3 2 5" xfId="7801" xr:uid="{00000000-0005-0000-0000-000087290000}"/>
    <cellStyle name="20 % - Markeringsfarve4 2 3 2 5 2" xfId="15666" xr:uid="{00000000-0005-0000-0000-000088290000}"/>
    <cellStyle name="20 % - Markeringsfarve4 2 3 2 5 2 2" xfId="31942" xr:uid="{00000000-0005-0000-0000-000089290000}"/>
    <cellStyle name="20 % - Markeringsfarve4 2 3 2 5 2 3" xfId="46901" xr:uid="{00000000-0005-0000-0000-00008A290000}"/>
    <cellStyle name="20 % - Markeringsfarve4 2 3 2 5 3" xfId="24940" xr:uid="{00000000-0005-0000-0000-00008B290000}"/>
    <cellStyle name="20 % - Markeringsfarve4 2 3 2 5 4" xfId="39904" xr:uid="{00000000-0005-0000-0000-00008C290000}"/>
    <cellStyle name="20 % - Markeringsfarve4 2 3 2 6" xfId="13195" xr:uid="{00000000-0005-0000-0000-00008D290000}"/>
    <cellStyle name="20 % - Markeringsfarve4 2 3 2 6 2" xfId="29474" xr:uid="{00000000-0005-0000-0000-00008E290000}"/>
    <cellStyle name="20 % - Markeringsfarve4 2 3 2 6 3" xfId="44435" xr:uid="{00000000-0005-0000-0000-00008F290000}"/>
    <cellStyle name="20 % - Markeringsfarve4 2 3 2 7" xfId="22472" xr:uid="{00000000-0005-0000-0000-000090290000}"/>
    <cellStyle name="20 % - Markeringsfarve4 2 3 2 8" xfId="37438" xr:uid="{00000000-0005-0000-0000-000091290000}"/>
    <cellStyle name="20 % - Markeringsfarve4 2 3 3" xfId="4715" xr:uid="{00000000-0005-0000-0000-000092290000}"/>
    <cellStyle name="20 % - Markeringsfarve4 2 3 3 2" xfId="4716" xr:uid="{00000000-0005-0000-0000-000093290000}"/>
    <cellStyle name="20 % - Markeringsfarve4 2 3 3 2 2" xfId="4717" xr:uid="{00000000-0005-0000-0000-000094290000}"/>
    <cellStyle name="20 % - Markeringsfarve4 2 3 3 2 2 2" xfId="9960" xr:uid="{00000000-0005-0000-0000-000095290000}"/>
    <cellStyle name="20 % - Markeringsfarve4 2 3 3 2 2 2 2" xfId="17815" xr:uid="{00000000-0005-0000-0000-000096290000}"/>
    <cellStyle name="20 % - Markeringsfarve4 2 3 3 2 2 2 2 2" xfId="34091" xr:uid="{00000000-0005-0000-0000-000097290000}"/>
    <cellStyle name="20 % - Markeringsfarve4 2 3 3 2 2 2 2 3" xfId="49050" xr:uid="{00000000-0005-0000-0000-000098290000}"/>
    <cellStyle name="20 % - Markeringsfarve4 2 3 3 2 2 2 3" xfId="27089" xr:uid="{00000000-0005-0000-0000-000099290000}"/>
    <cellStyle name="20 % - Markeringsfarve4 2 3 3 2 2 2 4" xfId="42053" xr:uid="{00000000-0005-0000-0000-00009A290000}"/>
    <cellStyle name="20 % - Markeringsfarve4 2 3 3 2 2 3" xfId="13202" xr:uid="{00000000-0005-0000-0000-00009B290000}"/>
    <cellStyle name="20 % - Markeringsfarve4 2 3 3 2 2 3 2" xfId="29481" xr:uid="{00000000-0005-0000-0000-00009C290000}"/>
    <cellStyle name="20 % - Markeringsfarve4 2 3 3 2 2 3 3" xfId="44442" xr:uid="{00000000-0005-0000-0000-00009D290000}"/>
    <cellStyle name="20 % - Markeringsfarve4 2 3 3 2 2 4" xfId="22479" xr:uid="{00000000-0005-0000-0000-00009E290000}"/>
    <cellStyle name="20 % - Markeringsfarve4 2 3 3 2 2 5" xfId="37445" xr:uid="{00000000-0005-0000-0000-00009F290000}"/>
    <cellStyle name="20 % - Markeringsfarve4 2 3 3 2 3" xfId="8525" xr:uid="{00000000-0005-0000-0000-0000A0290000}"/>
    <cellStyle name="20 % - Markeringsfarve4 2 3 3 2 3 2" xfId="16395" xr:uid="{00000000-0005-0000-0000-0000A1290000}"/>
    <cellStyle name="20 % - Markeringsfarve4 2 3 3 2 3 2 2" xfId="32671" xr:uid="{00000000-0005-0000-0000-0000A2290000}"/>
    <cellStyle name="20 % - Markeringsfarve4 2 3 3 2 3 2 3" xfId="47630" xr:uid="{00000000-0005-0000-0000-0000A3290000}"/>
    <cellStyle name="20 % - Markeringsfarve4 2 3 3 2 3 3" xfId="25669" xr:uid="{00000000-0005-0000-0000-0000A4290000}"/>
    <cellStyle name="20 % - Markeringsfarve4 2 3 3 2 3 4" xfId="40633" xr:uid="{00000000-0005-0000-0000-0000A5290000}"/>
    <cellStyle name="20 % - Markeringsfarve4 2 3 3 2 4" xfId="13201" xr:uid="{00000000-0005-0000-0000-0000A6290000}"/>
    <cellStyle name="20 % - Markeringsfarve4 2 3 3 2 4 2" xfId="29480" xr:uid="{00000000-0005-0000-0000-0000A7290000}"/>
    <cellStyle name="20 % - Markeringsfarve4 2 3 3 2 4 3" xfId="44441" xr:uid="{00000000-0005-0000-0000-0000A8290000}"/>
    <cellStyle name="20 % - Markeringsfarve4 2 3 3 2 5" xfId="22478" xr:uid="{00000000-0005-0000-0000-0000A9290000}"/>
    <cellStyle name="20 % - Markeringsfarve4 2 3 3 2 6" xfId="37444" xr:uid="{00000000-0005-0000-0000-0000AA290000}"/>
    <cellStyle name="20 % - Markeringsfarve4 2 3 3 3" xfId="4718" xr:uid="{00000000-0005-0000-0000-0000AB290000}"/>
    <cellStyle name="20 % - Markeringsfarve4 2 3 3 3 2" xfId="9191" xr:uid="{00000000-0005-0000-0000-0000AC290000}"/>
    <cellStyle name="20 % - Markeringsfarve4 2 3 3 3 2 2" xfId="17055" xr:uid="{00000000-0005-0000-0000-0000AD290000}"/>
    <cellStyle name="20 % - Markeringsfarve4 2 3 3 3 2 2 2" xfId="33331" xr:uid="{00000000-0005-0000-0000-0000AE290000}"/>
    <cellStyle name="20 % - Markeringsfarve4 2 3 3 3 2 2 3" xfId="48290" xr:uid="{00000000-0005-0000-0000-0000AF290000}"/>
    <cellStyle name="20 % - Markeringsfarve4 2 3 3 3 2 3" xfId="26329" xr:uid="{00000000-0005-0000-0000-0000B0290000}"/>
    <cellStyle name="20 % - Markeringsfarve4 2 3 3 3 2 4" xfId="41293" xr:uid="{00000000-0005-0000-0000-0000B1290000}"/>
    <cellStyle name="20 % - Markeringsfarve4 2 3 3 3 3" xfId="13203" xr:uid="{00000000-0005-0000-0000-0000B2290000}"/>
    <cellStyle name="20 % - Markeringsfarve4 2 3 3 3 3 2" xfId="29482" xr:uid="{00000000-0005-0000-0000-0000B3290000}"/>
    <cellStyle name="20 % - Markeringsfarve4 2 3 3 3 3 3" xfId="44443" xr:uid="{00000000-0005-0000-0000-0000B4290000}"/>
    <cellStyle name="20 % - Markeringsfarve4 2 3 3 3 4" xfId="22480" xr:uid="{00000000-0005-0000-0000-0000B5290000}"/>
    <cellStyle name="20 % - Markeringsfarve4 2 3 3 3 5" xfId="37446" xr:uid="{00000000-0005-0000-0000-0000B6290000}"/>
    <cellStyle name="20 % - Markeringsfarve4 2 3 3 4" xfId="4719" xr:uid="{00000000-0005-0000-0000-0000B7290000}"/>
    <cellStyle name="20 % - Markeringsfarve4 2 3 3 4 2" xfId="10624" xr:uid="{00000000-0005-0000-0000-0000B8290000}"/>
    <cellStyle name="20 % - Markeringsfarve4 2 3 3 4 2 2" xfId="18472" xr:uid="{00000000-0005-0000-0000-0000B9290000}"/>
    <cellStyle name="20 % - Markeringsfarve4 2 3 3 4 2 2 2" xfId="34748" xr:uid="{00000000-0005-0000-0000-0000BA290000}"/>
    <cellStyle name="20 % - Markeringsfarve4 2 3 3 4 2 2 3" xfId="49707" xr:uid="{00000000-0005-0000-0000-0000BB290000}"/>
    <cellStyle name="20 % - Markeringsfarve4 2 3 3 4 2 3" xfId="27746" xr:uid="{00000000-0005-0000-0000-0000BC290000}"/>
    <cellStyle name="20 % - Markeringsfarve4 2 3 3 4 2 4" xfId="42710" xr:uid="{00000000-0005-0000-0000-0000BD290000}"/>
    <cellStyle name="20 % - Markeringsfarve4 2 3 3 4 3" xfId="13204" xr:uid="{00000000-0005-0000-0000-0000BE290000}"/>
    <cellStyle name="20 % - Markeringsfarve4 2 3 3 4 3 2" xfId="29483" xr:uid="{00000000-0005-0000-0000-0000BF290000}"/>
    <cellStyle name="20 % - Markeringsfarve4 2 3 3 4 3 3" xfId="44444" xr:uid="{00000000-0005-0000-0000-0000C0290000}"/>
    <cellStyle name="20 % - Markeringsfarve4 2 3 3 4 4" xfId="22481" xr:uid="{00000000-0005-0000-0000-0000C1290000}"/>
    <cellStyle name="20 % - Markeringsfarve4 2 3 3 4 5" xfId="37447" xr:uid="{00000000-0005-0000-0000-0000C2290000}"/>
    <cellStyle name="20 % - Markeringsfarve4 2 3 3 5" xfId="7802" xr:uid="{00000000-0005-0000-0000-0000C3290000}"/>
    <cellStyle name="20 % - Markeringsfarve4 2 3 3 5 2" xfId="15667" xr:uid="{00000000-0005-0000-0000-0000C4290000}"/>
    <cellStyle name="20 % - Markeringsfarve4 2 3 3 5 2 2" xfId="31943" xr:uid="{00000000-0005-0000-0000-0000C5290000}"/>
    <cellStyle name="20 % - Markeringsfarve4 2 3 3 5 2 3" xfId="46902" xr:uid="{00000000-0005-0000-0000-0000C6290000}"/>
    <cellStyle name="20 % - Markeringsfarve4 2 3 3 5 3" xfId="24941" xr:uid="{00000000-0005-0000-0000-0000C7290000}"/>
    <cellStyle name="20 % - Markeringsfarve4 2 3 3 5 4" xfId="39905" xr:uid="{00000000-0005-0000-0000-0000C8290000}"/>
    <cellStyle name="20 % - Markeringsfarve4 2 3 3 6" xfId="13200" xr:uid="{00000000-0005-0000-0000-0000C9290000}"/>
    <cellStyle name="20 % - Markeringsfarve4 2 3 3 6 2" xfId="29479" xr:uid="{00000000-0005-0000-0000-0000CA290000}"/>
    <cellStyle name="20 % - Markeringsfarve4 2 3 3 6 3" xfId="44440" xr:uid="{00000000-0005-0000-0000-0000CB290000}"/>
    <cellStyle name="20 % - Markeringsfarve4 2 3 3 7" xfId="22477" xr:uid="{00000000-0005-0000-0000-0000CC290000}"/>
    <cellStyle name="20 % - Markeringsfarve4 2 3 3 8" xfId="37443" xr:uid="{00000000-0005-0000-0000-0000CD290000}"/>
    <cellStyle name="20 % - Markeringsfarve4 2 3 4" xfId="4720" xr:uid="{00000000-0005-0000-0000-0000CE290000}"/>
    <cellStyle name="20 % - Markeringsfarve4 2 3 4 2" xfId="4721" xr:uid="{00000000-0005-0000-0000-0000CF290000}"/>
    <cellStyle name="20 % - Markeringsfarve4 2 3 4 2 2" xfId="4722" xr:uid="{00000000-0005-0000-0000-0000D0290000}"/>
    <cellStyle name="20 % - Markeringsfarve4 2 3 4 2 2 2" xfId="10161" xr:uid="{00000000-0005-0000-0000-0000D1290000}"/>
    <cellStyle name="20 % - Markeringsfarve4 2 3 4 2 2 2 2" xfId="18016" xr:uid="{00000000-0005-0000-0000-0000D2290000}"/>
    <cellStyle name="20 % - Markeringsfarve4 2 3 4 2 2 2 2 2" xfId="34292" xr:uid="{00000000-0005-0000-0000-0000D3290000}"/>
    <cellStyle name="20 % - Markeringsfarve4 2 3 4 2 2 2 2 3" xfId="49251" xr:uid="{00000000-0005-0000-0000-0000D4290000}"/>
    <cellStyle name="20 % - Markeringsfarve4 2 3 4 2 2 2 3" xfId="27290" xr:uid="{00000000-0005-0000-0000-0000D5290000}"/>
    <cellStyle name="20 % - Markeringsfarve4 2 3 4 2 2 2 4" xfId="42254" xr:uid="{00000000-0005-0000-0000-0000D6290000}"/>
    <cellStyle name="20 % - Markeringsfarve4 2 3 4 2 2 3" xfId="13207" xr:uid="{00000000-0005-0000-0000-0000D7290000}"/>
    <cellStyle name="20 % - Markeringsfarve4 2 3 4 2 2 3 2" xfId="29486" xr:uid="{00000000-0005-0000-0000-0000D8290000}"/>
    <cellStyle name="20 % - Markeringsfarve4 2 3 4 2 2 3 3" xfId="44447" xr:uid="{00000000-0005-0000-0000-0000D9290000}"/>
    <cellStyle name="20 % - Markeringsfarve4 2 3 4 2 2 4" xfId="22484" xr:uid="{00000000-0005-0000-0000-0000DA290000}"/>
    <cellStyle name="20 % - Markeringsfarve4 2 3 4 2 2 5" xfId="37450" xr:uid="{00000000-0005-0000-0000-0000DB290000}"/>
    <cellStyle name="20 % - Markeringsfarve4 2 3 4 2 3" xfId="8692" xr:uid="{00000000-0005-0000-0000-0000DC290000}"/>
    <cellStyle name="20 % - Markeringsfarve4 2 3 4 2 3 2" xfId="16559" xr:uid="{00000000-0005-0000-0000-0000DD290000}"/>
    <cellStyle name="20 % - Markeringsfarve4 2 3 4 2 3 2 2" xfId="32835" xr:uid="{00000000-0005-0000-0000-0000DE290000}"/>
    <cellStyle name="20 % - Markeringsfarve4 2 3 4 2 3 2 3" xfId="47794" xr:uid="{00000000-0005-0000-0000-0000DF290000}"/>
    <cellStyle name="20 % - Markeringsfarve4 2 3 4 2 3 3" xfId="25833" xr:uid="{00000000-0005-0000-0000-0000E0290000}"/>
    <cellStyle name="20 % - Markeringsfarve4 2 3 4 2 3 4" xfId="40797" xr:uid="{00000000-0005-0000-0000-0000E1290000}"/>
    <cellStyle name="20 % - Markeringsfarve4 2 3 4 2 4" xfId="13206" xr:uid="{00000000-0005-0000-0000-0000E2290000}"/>
    <cellStyle name="20 % - Markeringsfarve4 2 3 4 2 4 2" xfId="29485" xr:uid="{00000000-0005-0000-0000-0000E3290000}"/>
    <cellStyle name="20 % - Markeringsfarve4 2 3 4 2 4 3" xfId="44446" xr:uid="{00000000-0005-0000-0000-0000E4290000}"/>
    <cellStyle name="20 % - Markeringsfarve4 2 3 4 2 5" xfId="22483" xr:uid="{00000000-0005-0000-0000-0000E5290000}"/>
    <cellStyle name="20 % - Markeringsfarve4 2 3 4 2 6" xfId="37449" xr:uid="{00000000-0005-0000-0000-0000E6290000}"/>
    <cellStyle name="20 % - Markeringsfarve4 2 3 4 3" xfId="4723" xr:uid="{00000000-0005-0000-0000-0000E7290000}"/>
    <cellStyle name="20 % - Markeringsfarve4 2 3 4 3 2" xfId="9438" xr:uid="{00000000-0005-0000-0000-0000E8290000}"/>
    <cellStyle name="20 % - Markeringsfarve4 2 3 4 3 2 2" xfId="17301" xr:uid="{00000000-0005-0000-0000-0000E9290000}"/>
    <cellStyle name="20 % - Markeringsfarve4 2 3 4 3 2 2 2" xfId="33577" xr:uid="{00000000-0005-0000-0000-0000EA290000}"/>
    <cellStyle name="20 % - Markeringsfarve4 2 3 4 3 2 2 3" xfId="48536" xr:uid="{00000000-0005-0000-0000-0000EB290000}"/>
    <cellStyle name="20 % - Markeringsfarve4 2 3 4 3 2 3" xfId="26575" xr:uid="{00000000-0005-0000-0000-0000EC290000}"/>
    <cellStyle name="20 % - Markeringsfarve4 2 3 4 3 2 4" xfId="41539" xr:uid="{00000000-0005-0000-0000-0000ED290000}"/>
    <cellStyle name="20 % - Markeringsfarve4 2 3 4 3 3" xfId="13208" xr:uid="{00000000-0005-0000-0000-0000EE290000}"/>
    <cellStyle name="20 % - Markeringsfarve4 2 3 4 3 3 2" xfId="29487" xr:uid="{00000000-0005-0000-0000-0000EF290000}"/>
    <cellStyle name="20 % - Markeringsfarve4 2 3 4 3 3 3" xfId="44448" xr:uid="{00000000-0005-0000-0000-0000F0290000}"/>
    <cellStyle name="20 % - Markeringsfarve4 2 3 4 3 4" xfId="22485" xr:uid="{00000000-0005-0000-0000-0000F1290000}"/>
    <cellStyle name="20 % - Markeringsfarve4 2 3 4 3 5" xfId="37451" xr:uid="{00000000-0005-0000-0000-0000F2290000}"/>
    <cellStyle name="20 % - Markeringsfarve4 2 3 4 4" xfId="4724" xr:uid="{00000000-0005-0000-0000-0000F3290000}"/>
    <cellStyle name="20 % - Markeringsfarve4 2 3 4 4 2" xfId="10859" xr:uid="{00000000-0005-0000-0000-0000F4290000}"/>
    <cellStyle name="20 % - Markeringsfarve4 2 3 4 4 2 2" xfId="18697" xr:uid="{00000000-0005-0000-0000-0000F5290000}"/>
    <cellStyle name="20 % - Markeringsfarve4 2 3 4 4 2 2 2" xfId="34973" xr:uid="{00000000-0005-0000-0000-0000F6290000}"/>
    <cellStyle name="20 % - Markeringsfarve4 2 3 4 4 2 2 3" xfId="49932" xr:uid="{00000000-0005-0000-0000-0000F7290000}"/>
    <cellStyle name="20 % - Markeringsfarve4 2 3 4 4 2 3" xfId="27971" xr:uid="{00000000-0005-0000-0000-0000F8290000}"/>
    <cellStyle name="20 % - Markeringsfarve4 2 3 4 4 2 4" xfId="42935" xr:uid="{00000000-0005-0000-0000-0000F9290000}"/>
    <cellStyle name="20 % - Markeringsfarve4 2 3 4 4 3" xfId="13209" xr:uid="{00000000-0005-0000-0000-0000FA290000}"/>
    <cellStyle name="20 % - Markeringsfarve4 2 3 4 4 3 2" xfId="29488" xr:uid="{00000000-0005-0000-0000-0000FB290000}"/>
    <cellStyle name="20 % - Markeringsfarve4 2 3 4 4 3 3" xfId="44449" xr:uid="{00000000-0005-0000-0000-0000FC290000}"/>
    <cellStyle name="20 % - Markeringsfarve4 2 3 4 4 4" xfId="22486" xr:uid="{00000000-0005-0000-0000-0000FD290000}"/>
    <cellStyle name="20 % - Markeringsfarve4 2 3 4 4 5" xfId="37452" xr:uid="{00000000-0005-0000-0000-0000FE290000}"/>
    <cellStyle name="20 % - Markeringsfarve4 2 3 4 5" xfId="7803" xr:uid="{00000000-0005-0000-0000-0000FF290000}"/>
    <cellStyle name="20 % - Markeringsfarve4 2 3 4 5 2" xfId="15668" xr:uid="{00000000-0005-0000-0000-0000002A0000}"/>
    <cellStyle name="20 % - Markeringsfarve4 2 3 4 5 2 2" xfId="31944" xr:uid="{00000000-0005-0000-0000-0000012A0000}"/>
    <cellStyle name="20 % - Markeringsfarve4 2 3 4 5 2 3" xfId="46903" xr:uid="{00000000-0005-0000-0000-0000022A0000}"/>
    <cellStyle name="20 % - Markeringsfarve4 2 3 4 5 3" xfId="24942" xr:uid="{00000000-0005-0000-0000-0000032A0000}"/>
    <cellStyle name="20 % - Markeringsfarve4 2 3 4 5 4" xfId="39906" xr:uid="{00000000-0005-0000-0000-0000042A0000}"/>
    <cellStyle name="20 % - Markeringsfarve4 2 3 4 6" xfId="13205" xr:uid="{00000000-0005-0000-0000-0000052A0000}"/>
    <cellStyle name="20 % - Markeringsfarve4 2 3 4 6 2" xfId="29484" xr:uid="{00000000-0005-0000-0000-0000062A0000}"/>
    <cellStyle name="20 % - Markeringsfarve4 2 3 4 6 3" xfId="44445" xr:uid="{00000000-0005-0000-0000-0000072A0000}"/>
    <cellStyle name="20 % - Markeringsfarve4 2 3 4 7" xfId="22482" xr:uid="{00000000-0005-0000-0000-0000082A0000}"/>
    <cellStyle name="20 % - Markeringsfarve4 2 3 4 8" xfId="37448" xr:uid="{00000000-0005-0000-0000-0000092A0000}"/>
    <cellStyle name="20 % - Markeringsfarve4 2 3 5" xfId="4725" xr:uid="{00000000-0005-0000-0000-00000A2A0000}"/>
    <cellStyle name="20 % - Markeringsfarve4 2 3 5 2" xfId="4726" xr:uid="{00000000-0005-0000-0000-00000B2A0000}"/>
    <cellStyle name="20 % - Markeringsfarve4 2 3 5 2 2" xfId="4727" xr:uid="{00000000-0005-0000-0000-00000C2A0000}"/>
    <cellStyle name="20 % - Markeringsfarve4 2 3 5 2 2 2" xfId="10278" xr:uid="{00000000-0005-0000-0000-00000D2A0000}"/>
    <cellStyle name="20 % - Markeringsfarve4 2 3 5 2 2 2 2" xfId="18133" xr:uid="{00000000-0005-0000-0000-00000E2A0000}"/>
    <cellStyle name="20 % - Markeringsfarve4 2 3 5 2 2 2 2 2" xfId="34409" xr:uid="{00000000-0005-0000-0000-00000F2A0000}"/>
    <cellStyle name="20 % - Markeringsfarve4 2 3 5 2 2 2 2 3" xfId="49368" xr:uid="{00000000-0005-0000-0000-0000102A0000}"/>
    <cellStyle name="20 % - Markeringsfarve4 2 3 5 2 2 2 3" xfId="27407" xr:uid="{00000000-0005-0000-0000-0000112A0000}"/>
    <cellStyle name="20 % - Markeringsfarve4 2 3 5 2 2 2 4" xfId="42371" xr:uid="{00000000-0005-0000-0000-0000122A0000}"/>
    <cellStyle name="20 % - Markeringsfarve4 2 3 5 2 2 3" xfId="13212" xr:uid="{00000000-0005-0000-0000-0000132A0000}"/>
    <cellStyle name="20 % - Markeringsfarve4 2 3 5 2 2 3 2" xfId="29491" xr:uid="{00000000-0005-0000-0000-0000142A0000}"/>
    <cellStyle name="20 % - Markeringsfarve4 2 3 5 2 2 3 3" xfId="44452" xr:uid="{00000000-0005-0000-0000-0000152A0000}"/>
    <cellStyle name="20 % - Markeringsfarve4 2 3 5 2 2 4" xfId="22489" xr:uid="{00000000-0005-0000-0000-0000162A0000}"/>
    <cellStyle name="20 % - Markeringsfarve4 2 3 5 2 2 5" xfId="37455" xr:uid="{00000000-0005-0000-0000-0000172A0000}"/>
    <cellStyle name="20 % - Markeringsfarve4 2 3 5 2 3" xfId="8791" xr:uid="{00000000-0005-0000-0000-0000182A0000}"/>
    <cellStyle name="20 % - Markeringsfarve4 2 3 5 2 3 2" xfId="16658" xr:uid="{00000000-0005-0000-0000-0000192A0000}"/>
    <cellStyle name="20 % - Markeringsfarve4 2 3 5 2 3 2 2" xfId="32934" xr:uid="{00000000-0005-0000-0000-00001A2A0000}"/>
    <cellStyle name="20 % - Markeringsfarve4 2 3 5 2 3 2 3" xfId="47893" xr:uid="{00000000-0005-0000-0000-00001B2A0000}"/>
    <cellStyle name="20 % - Markeringsfarve4 2 3 5 2 3 3" xfId="25932" xr:uid="{00000000-0005-0000-0000-00001C2A0000}"/>
    <cellStyle name="20 % - Markeringsfarve4 2 3 5 2 3 4" xfId="40896" xr:uid="{00000000-0005-0000-0000-00001D2A0000}"/>
    <cellStyle name="20 % - Markeringsfarve4 2 3 5 2 4" xfId="13211" xr:uid="{00000000-0005-0000-0000-00001E2A0000}"/>
    <cellStyle name="20 % - Markeringsfarve4 2 3 5 2 4 2" xfId="29490" xr:uid="{00000000-0005-0000-0000-00001F2A0000}"/>
    <cellStyle name="20 % - Markeringsfarve4 2 3 5 2 4 3" xfId="44451" xr:uid="{00000000-0005-0000-0000-0000202A0000}"/>
    <cellStyle name="20 % - Markeringsfarve4 2 3 5 2 5" xfId="22488" xr:uid="{00000000-0005-0000-0000-0000212A0000}"/>
    <cellStyle name="20 % - Markeringsfarve4 2 3 5 2 6" xfId="37454" xr:uid="{00000000-0005-0000-0000-0000222A0000}"/>
    <cellStyle name="20 % - Markeringsfarve4 2 3 5 3" xfId="4728" xr:uid="{00000000-0005-0000-0000-0000232A0000}"/>
    <cellStyle name="20 % - Markeringsfarve4 2 3 5 3 2" xfId="9555" xr:uid="{00000000-0005-0000-0000-0000242A0000}"/>
    <cellStyle name="20 % - Markeringsfarve4 2 3 5 3 2 2" xfId="17418" xr:uid="{00000000-0005-0000-0000-0000252A0000}"/>
    <cellStyle name="20 % - Markeringsfarve4 2 3 5 3 2 2 2" xfId="33694" xr:uid="{00000000-0005-0000-0000-0000262A0000}"/>
    <cellStyle name="20 % - Markeringsfarve4 2 3 5 3 2 2 3" xfId="48653" xr:uid="{00000000-0005-0000-0000-0000272A0000}"/>
    <cellStyle name="20 % - Markeringsfarve4 2 3 5 3 2 3" xfId="26692" xr:uid="{00000000-0005-0000-0000-0000282A0000}"/>
    <cellStyle name="20 % - Markeringsfarve4 2 3 5 3 2 4" xfId="41656" xr:uid="{00000000-0005-0000-0000-0000292A0000}"/>
    <cellStyle name="20 % - Markeringsfarve4 2 3 5 3 3" xfId="13213" xr:uid="{00000000-0005-0000-0000-00002A2A0000}"/>
    <cellStyle name="20 % - Markeringsfarve4 2 3 5 3 3 2" xfId="29492" xr:uid="{00000000-0005-0000-0000-00002B2A0000}"/>
    <cellStyle name="20 % - Markeringsfarve4 2 3 5 3 3 3" xfId="44453" xr:uid="{00000000-0005-0000-0000-00002C2A0000}"/>
    <cellStyle name="20 % - Markeringsfarve4 2 3 5 3 4" xfId="22490" xr:uid="{00000000-0005-0000-0000-00002D2A0000}"/>
    <cellStyle name="20 % - Markeringsfarve4 2 3 5 3 5" xfId="37456" xr:uid="{00000000-0005-0000-0000-00002E2A0000}"/>
    <cellStyle name="20 % - Markeringsfarve4 2 3 5 4" xfId="4729" xr:uid="{00000000-0005-0000-0000-00002F2A0000}"/>
    <cellStyle name="20 % - Markeringsfarve4 2 3 5 4 2" xfId="10508" xr:uid="{00000000-0005-0000-0000-0000302A0000}"/>
    <cellStyle name="20 % - Markeringsfarve4 2 3 5 4 2 2" xfId="18357" xr:uid="{00000000-0005-0000-0000-0000312A0000}"/>
    <cellStyle name="20 % - Markeringsfarve4 2 3 5 4 2 2 2" xfId="34633" xr:uid="{00000000-0005-0000-0000-0000322A0000}"/>
    <cellStyle name="20 % - Markeringsfarve4 2 3 5 4 2 2 3" xfId="49592" xr:uid="{00000000-0005-0000-0000-0000332A0000}"/>
    <cellStyle name="20 % - Markeringsfarve4 2 3 5 4 2 3" xfId="27631" xr:uid="{00000000-0005-0000-0000-0000342A0000}"/>
    <cellStyle name="20 % - Markeringsfarve4 2 3 5 4 2 4" xfId="42595" xr:uid="{00000000-0005-0000-0000-0000352A0000}"/>
    <cellStyle name="20 % - Markeringsfarve4 2 3 5 4 3" xfId="13214" xr:uid="{00000000-0005-0000-0000-0000362A0000}"/>
    <cellStyle name="20 % - Markeringsfarve4 2 3 5 4 3 2" xfId="29493" xr:uid="{00000000-0005-0000-0000-0000372A0000}"/>
    <cellStyle name="20 % - Markeringsfarve4 2 3 5 4 3 3" xfId="44454" xr:uid="{00000000-0005-0000-0000-0000382A0000}"/>
    <cellStyle name="20 % - Markeringsfarve4 2 3 5 4 4" xfId="22491" xr:uid="{00000000-0005-0000-0000-0000392A0000}"/>
    <cellStyle name="20 % - Markeringsfarve4 2 3 5 4 5" xfId="37457" xr:uid="{00000000-0005-0000-0000-00003A2A0000}"/>
    <cellStyle name="20 % - Markeringsfarve4 2 3 5 5" xfId="7804" xr:uid="{00000000-0005-0000-0000-00003B2A0000}"/>
    <cellStyle name="20 % - Markeringsfarve4 2 3 5 5 2" xfId="15669" xr:uid="{00000000-0005-0000-0000-00003C2A0000}"/>
    <cellStyle name="20 % - Markeringsfarve4 2 3 5 5 2 2" xfId="31945" xr:uid="{00000000-0005-0000-0000-00003D2A0000}"/>
    <cellStyle name="20 % - Markeringsfarve4 2 3 5 5 2 3" xfId="46904" xr:uid="{00000000-0005-0000-0000-00003E2A0000}"/>
    <cellStyle name="20 % - Markeringsfarve4 2 3 5 5 3" xfId="24943" xr:uid="{00000000-0005-0000-0000-00003F2A0000}"/>
    <cellStyle name="20 % - Markeringsfarve4 2 3 5 5 4" xfId="39907" xr:uid="{00000000-0005-0000-0000-0000402A0000}"/>
    <cellStyle name="20 % - Markeringsfarve4 2 3 5 6" xfId="13210" xr:uid="{00000000-0005-0000-0000-0000412A0000}"/>
    <cellStyle name="20 % - Markeringsfarve4 2 3 5 6 2" xfId="29489" xr:uid="{00000000-0005-0000-0000-0000422A0000}"/>
    <cellStyle name="20 % - Markeringsfarve4 2 3 5 6 3" xfId="44450" xr:uid="{00000000-0005-0000-0000-0000432A0000}"/>
    <cellStyle name="20 % - Markeringsfarve4 2 3 5 7" xfId="22487" xr:uid="{00000000-0005-0000-0000-0000442A0000}"/>
    <cellStyle name="20 % - Markeringsfarve4 2 3 5 8" xfId="37453" xr:uid="{00000000-0005-0000-0000-0000452A0000}"/>
    <cellStyle name="20 % - Markeringsfarve4 2 3 6" xfId="4730" xr:uid="{00000000-0005-0000-0000-0000462A0000}"/>
    <cellStyle name="20 % - Markeringsfarve4 2 3 6 2" xfId="4731" xr:uid="{00000000-0005-0000-0000-0000472A0000}"/>
    <cellStyle name="20 % - Markeringsfarve4 2 3 6 2 2" xfId="4732" xr:uid="{00000000-0005-0000-0000-0000482A0000}"/>
    <cellStyle name="20 % - Markeringsfarve4 2 3 6 2 2 2" xfId="10315" xr:uid="{00000000-0005-0000-0000-0000492A0000}"/>
    <cellStyle name="20 % - Markeringsfarve4 2 3 6 2 2 2 2" xfId="18170" xr:uid="{00000000-0005-0000-0000-00004A2A0000}"/>
    <cellStyle name="20 % - Markeringsfarve4 2 3 6 2 2 2 2 2" xfId="34446" xr:uid="{00000000-0005-0000-0000-00004B2A0000}"/>
    <cellStyle name="20 % - Markeringsfarve4 2 3 6 2 2 2 2 3" xfId="49405" xr:uid="{00000000-0005-0000-0000-00004C2A0000}"/>
    <cellStyle name="20 % - Markeringsfarve4 2 3 6 2 2 2 3" xfId="27444" xr:uid="{00000000-0005-0000-0000-00004D2A0000}"/>
    <cellStyle name="20 % - Markeringsfarve4 2 3 6 2 2 2 4" xfId="42408" xr:uid="{00000000-0005-0000-0000-00004E2A0000}"/>
    <cellStyle name="20 % - Markeringsfarve4 2 3 6 2 2 3" xfId="13217" xr:uid="{00000000-0005-0000-0000-00004F2A0000}"/>
    <cellStyle name="20 % - Markeringsfarve4 2 3 6 2 2 3 2" xfId="29496" xr:uid="{00000000-0005-0000-0000-0000502A0000}"/>
    <cellStyle name="20 % - Markeringsfarve4 2 3 6 2 2 3 3" xfId="44457" xr:uid="{00000000-0005-0000-0000-0000512A0000}"/>
    <cellStyle name="20 % - Markeringsfarve4 2 3 6 2 2 4" xfId="22494" xr:uid="{00000000-0005-0000-0000-0000522A0000}"/>
    <cellStyle name="20 % - Markeringsfarve4 2 3 6 2 2 5" xfId="37460" xr:uid="{00000000-0005-0000-0000-0000532A0000}"/>
    <cellStyle name="20 % - Markeringsfarve4 2 3 6 2 3" xfId="8827" xr:uid="{00000000-0005-0000-0000-0000542A0000}"/>
    <cellStyle name="20 % - Markeringsfarve4 2 3 6 2 3 2" xfId="16694" xr:uid="{00000000-0005-0000-0000-0000552A0000}"/>
    <cellStyle name="20 % - Markeringsfarve4 2 3 6 2 3 2 2" xfId="32970" xr:uid="{00000000-0005-0000-0000-0000562A0000}"/>
    <cellStyle name="20 % - Markeringsfarve4 2 3 6 2 3 2 3" xfId="47929" xr:uid="{00000000-0005-0000-0000-0000572A0000}"/>
    <cellStyle name="20 % - Markeringsfarve4 2 3 6 2 3 3" xfId="25968" xr:uid="{00000000-0005-0000-0000-0000582A0000}"/>
    <cellStyle name="20 % - Markeringsfarve4 2 3 6 2 3 4" xfId="40932" xr:uid="{00000000-0005-0000-0000-0000592A0000}"/>
    <cellStyle name="20 % - Markeringsfarve4 2 3 6 2 4" xfId="13216" xr:uid="{00000000-0005-0000-0000-00005A2A0000}"/>
    <cellStyle name="20 % - Markeringsfarve4 2 3 6 2 4 2" xfId="29495" xr:uid="{00000000-0005-0000-0000-00005B2A0000}"/>
    <cellStyle name="20 % - Markeringsfarve4 2 3 6 2 4 3" xfId="44456" xr:uid="{00000000-0005-0000-0000-00005C2A0000}"/>
    <cellStyle name="20 % - Markeringsfarve4 2 3 6 2 5" xfId="22493" xr:uid="{00000000-0005-0000-0000-00005D2A0000}"/>
    <cellStyle name="20 % - Markeringsfarve4 2 3 6 2 6" xfId="37459" xr:uid="{00000000-0005-0000-0000-00005E2A0000}"/>
    <cellStyle name="20 % - Markeringsfarve4 2 3 6 3" xfId="4733" xr:uid="{00000000-0005-0000-0000-00005F2A0000}"/>
    <cellStyle name="20 % - Markeringsfarve4 2 3 6 3 2" xfId="9593" xr:uid="{00000000-0005-0000-0000-0000602A0000}"/>
    <cellStyle name="20 % - Markeringsfarve4 2 3 6 3 2 2" xfId="17456" xr:uid="{00000000-0005-0000-0000-0000612A0000}"/>
    <cellStyle name="20 % - Markeringsfarve4 2 3 6 3 2 2 2" xfId="33732" xr:uid="{00000000-0005-0000-0000-0000622A0000}"/>
    <cellStyle name="20 % - Markeringsfarve4 2 3 6 3 2 2 3" xfId="48691" xr:uid="{00000000-0005-0000-0000-0000632A0000}"/>
    <cellStyle name="20 % - Markeringsfarve4 2 3 6 3 2 3" xfId="26730" xr:uid="{00000000-0005-0000-0000-0000642A0000}"/>
    <cellStyle name="20 % - Markeringsfarve4 2 3 6 3 2 4" xfId="41694" xr:uid="{00000000-0005-0000-0000-0000652A0000}"/>
    <cellStyle name="20 % - Markeringsfarve4 2 3 6 3 3" xfId="13218" xr:uid="{00000000-0005-0000-0000-0000662A0000}"/>
    <cellStyle name="20 % - Markeringsfarve4 2 3 6 3 3 2" xfId="29497" xr:uid="{00000000-0005-0000-0000-0000672A0000}"/>
    <cellStyle name="20 % - Markeringsfarve4 2 3 6 3 3 3" xfId="44458" xr:uid="{00000000-0005-0000-0000-0000682A0000}"/>
    <cellStyle name="20 % - Markeringsfarve4 2 3 6 3 4" xfId="22495" xr:uid="{00000000-0005-0000-0000-0000692A0000}"/>
    <cellStyle name="20 % - Markeringsfarve4 2 3 6 3 5" xfId="37461" xr:uid="{00000000-0005-0000-0000-00006A2A0000}"/>
    <cellStyle name="20 % - Markeringsfarve4 2 3 6 4" xfId="4734" xr:uid="{00000000-0005-0000-0000-00006B2A0000}"/>
    <cellStyle name="20 % - Markeringsfarve4 2 3 6 4 2" xfId="10809" xr:uid="{00000000-0005-0000-0000-00006C2A0000}"/>
    <cellStyle name="20 % - Markeringsfarve4 2 3 6 4 2 2" xfId="18650" xr:uid="{00000000-0005-0000-0000-00006D2A0000}"/>
    <cellStyle name="20 % - Markeringsfarve4 2 3 6 4 2 2 2" xfId="34926" xr:uid="{00000000-0005-0000-0000-00006E2A0000}"/>
    <cellStyle name="20 % - Markeringsfarve4 2 3 6 4 2 2 3" xfId="49885" xr:uid="{00000000-0005-0000-0000-00006F2A0000}"/>
    <cellStyle name="20 % - Markeringsfarve4 2 3 6 4 2 3" xfId="27924" xr:uid="{00000000-0005-0000-0000-0000702A0000}"/>
    <cellStyle name="20 % - Markeringsfarve4 2 3 6 4 2 4" xfId="42888" xr:uid="{00000000-0005-0000-0000-0000712A0000}"/>
    <cellStyle name="20 % - Markeringsfarve4 2 3 6 4 3" xfId="13219" xr:uid="{00000000-0005-0000-0000-0000722A0000}"/>
    <cellStyle name="20 % - Markeringsfarve4 2 3 6 4 3 2" xfId="29498" xr:uid="{00000000-0005-0000-0000-0000732A0000}"/>
    <cellStyle name="20 % - Markeringsfarve4 2 3 6 4 3 3" xfId="44459" xr:uid="{00000000-0005-0000-0000-0000742A0000}"/>
    <cellStyle name="20 % - Markeringsfarve4 2 3 6 4 4" xfId="22496" xr:uid="{00000000-0005-0000-0000-0000752A0000}"/>
    <cellStyle name="20 % - Markeringsfarve4 2 3 6 4 5" xfId="37462" xr:uid="{00000000-0005-0000-0000-0000762A0000}"/>
    <cellStyle name="20 % - Markeringsfarve4 2 3 6 5" xfId="7805" xr:uid="{00000000-0005-0000-0000-0000772A0000}"/>
    <cellStyle name="20 % - Markeringsfarve4 2 3 6 5 2" xfId="15670" xr:uid="{00000000-0005-0000-0000-0000782A0000}"/>
    <cellStyle name="20 % - Markeringsfarve4 2 3 6 5 2 2" xfId="31946" xr:uid="{00000000-0005-0000-0000-0000792A0000}"/>
    <cellStyle name="20 % - Markeringsfarve4 2 3 6 5 2 3" xfId="46905" xr:uid="{00000000-0005-0000-0000-00007A2A0000}"/>
    <cellStyle name="20 % - Markeringsfarve4 2 3 6 5 3" xfId="24944" xr:uid="{00000000-0005-0000-0000-00007B2A0000}"/>
    <cellStyle name="20 % - Markeringsfarve4 2 3 6 5 4" xfId="39908" xr:uid="{00000000-0005-0000-0000-00007C2A0000}"/>
    <cellStyle name="20 % - Markeringsfarve4 2 3 6 6" xfId="13215" xr:uid="{00000000-0005-0000-0000-00007D2A0000}"/>
    <cellStyle name="20 % - Markeringsfarve4 2 3 6 6 2" xfId="29494" xr:uid="{00000000-0005-0000-0000-00007E2A0000}"/>
    <cellStyle name="20 % - Markeringsfarve4 2 3 6 6 3" xfId="44455" xr:uid="{00000000-0005-0000-0000-00007F2A0000}"/>
    <cellStyle name="20 % - Markeringsfarve4 2 3 6 7" xfId="22492" xr:uid="{00000000-0005-0000-0000-0000802A0000}"/>
    <cellStyle name="20 % - Markeringsfarve4 2 3 6 8" xfId="37458" xr:uid="{00000000-0005-0000-0000-0000812A0000}"/>
    <cellStyle name="20 % - Markeringsfarve4 2 3 7" xfId="4735" xr:uid="{00000000-0005-0000-0000-0000822A0000}"/>
    <cellStyle name="20 % - Markeringsfarve4 2 3 7 2" xfId="4736" xr:uid="{00000000-0005-0000-0000-0000832A0000}"/>
    <cellStyle name="20 % - Markeringsfarve4 2 3 7 2 2" xfId="9805" xr:uid="{00000000-0005-0000-0000-0000842A0000}"/>
    <cellStyle name="20 % - Markeringsfarve4 2 3 7 2 2 2" xfId="17659" xr:uid="{00000000-0005-0000-0000-0000852A0000}"/>
    <cellStyle name="20 % - Markeringsfarve4 2 3 7 2 2 2 2" xfId="33935" xr:uid="{00000000-0005-0000-0000-0000862A0000}"/>
    <cellStyle name="20 % - Markeringsfarve4 2 3 7 2 2 2 3" xfId="48894" xr:uid="{00000000-0005-0000-0000-0000872A0000}"/>
    <cellStyle name="20 % - Markeringsfarve4 2 3 7 2 2 3" xfId="26933" xr:uid="{00000000-0005-0000-0000-0000882A0000}"/>
    <cellStyle name="20 % - Markeringsfarve4 2 3 7 2 2 4" xfId="41897" xr:uid="{00000000-0005-0000-0000-0000892A0000}"/>
    <cellStyle name="20 % - Markeringsfarve4 2 3 7 2 3" xfId="13221" xr:uid="{00000000-0005-0000-0000-00008A2A0000}"/>
    <cellStyle name="20 % - Markeringsfarve4 2 3 7 2 3 2" xfId="29500" xr:uid="{00000000-0005-0000-0000-00008B2A0000}"/>
    <cellStyle name="20 % - Markeringsfarve4 2 3 7 2 3 3" xfId="44461" xr:uid="{00000000-0005-0000-0000-00008C2A0000}"/>
    <cellStyle name="20 % - Markeringsfarve4 2 3 7 2 4" xfId="22498" xr:uid="{00000000-0005-0000-0000-00008D2A0000}"/>
    <cellStyle name="20 % - Markeringsfarve4 2 3 7 2 5" xfId="37464" xr:uid="{00000000-0005-0000-0000-00008E2A0000}"/>
    <cellStyle name="20 % - Markeringsfarve4 2 3 7 3" xfId="8391" xr:uid="{00000000-0005-0000-0000-00008F2A0000}"/>
    <cellStyle name="20 % - Markeringsfarve4 2 3 7 3 2" xfId="16261" xr:uid="{00000000-0005-0000-0000-0000902A0000}"/>
    <cellStyle name="20 % - Markeringsfarve4 2 3 7 3 2 2" xfId="32537" xr:uid="{00000000-0005-0000-0000-0000912A0000}"/>
    <cellStyle name="20 % - Markeringsfarve4 2 3 7 3 2 3" xfId="47496" xr:uid="{00000000-0005-0000-0000-0000922A0000}"/>
    <cellStyle name="20 % - Markeringsfarve4 2 3 7 3 3" xfId="25535" xr:uid="{00000000-0005-0000-0000-0000932A0000}"/>
    <cellStyle name="20 % - Markeringsfarve4 2 3 7 3 4" xfId="40499" xr:uid="{00000000-0005-0000-0000-0000942A0000}"/>
    <cellStyle name="20 % - Markeringsfarve4 2 3 7 4" xfId="13220" xr:uid="{00000000-0005-0000-0000-0000952A0000}"/>
    <cellStyle name="20 % - Markeringsfarve4 2 3 7 4 2" xfId="29499" xr:uid="{00000000-0005-0000-0000-0000962A0000}"/>
    <cellStyle name="20 % - Markeringsfarve4 2 3 7 4 3" xfId="44460" xr:uid="{00000000-0005-0000-0000-0000972A0000}"/>
    <cellStyle name="20 % - Markeringsfarve4 2 3 7 5" xfId="22497" xr:uid="{00000000-0005-0000-0000-0000982A0000}"/>
    <cellStyle name="20 % - Markeringsfarve4 2 3 7 6" xfId="37463" xr:uid="{00000000-0005-0000-0000-0000992A0000}"/>
    <cellStyle name="20 % - Markeringsfarve4 2 3 8" xfId="4737" xr:uid="{00000000-0005-0000-0000-00009A2A0000}"/>
    <cellStyle name="20 % - Markeringsfarve4 2 3 8 2" xfId="9033" xr:uid="{00000000-0005-0000-0000-00009B2A0000}"/>
    <cellStyle name="20 % - Markeringsfarve4 2 3 8 2 2" xfId="16897" xr:uid="{00000000-0005-0000-0000-00009C2A0000}"/>
    <cellStyle name="20 % - Markeringsfarve4 2 3 8 2 2 2" xfId="33173" xr:uid="{00000000-0005-0000-0000-00009D2A0000}"/>
    <cellStyle name="20 % - Markeringsfarve4 2 3 8 2 2 3" xfId="48132" xr:uid="{00000000-0005-0000-0000-00009E2A0000}"/>
    <cellStyle name="20 % - Markeringsfarve4 2 3 8 2 3" xfId="26171" xr:uid="{00000000-0005-0000-0000-00009F2A0000}"/>
    <cellStyle name="20 % - Markeringsfarve4 2 3 8 2 4" xfId="41135" xr:uid="{00000000-0005-0000-0000-0000A02A0000}"/>
    <cellStyle name="20 % - Markeringsfarve4 2 3 8 3" xfId="13222" xr:uid="{00000000-0005-0000-0000-0000A12A0000}"/>
    <cellStyle name="20 % - Markeringsfarve4 2 3 8 3 2" xfId="29501" xr:uid="{00000000-0005-0000-0000-0000A22A0000}"/>
    <cellStyle name="20 % - Markeringsfarve4 2 3 8 3 3" xfId="44462" xr:uid="{00000000-0005-0000-0000-0000A32A0000}"/>
    <cellStyle name="20 % - Markeringsfarve4 2 3 8 4" xfId="22499" xr:uid="{00000000-0005-0000-0000-0000A42A0000}"/>
    <cellStyle name="20 % - Markeringsfarve4 2 3 8 5" xfId="37465" xr:uid="{00000000-0005-0000-0000-0000A52A0000}"/>
    <cellStyle name="20 % - Markeringsfarve4 2 3 9" xfId="4738" xr:uid="{00000000-0005-0000-0000-0000A62A0000}"/>
    <cellStyle name="20 % - Markeringsfarve4 2 3 9 2" xfId="10664" xr:uid="{00000000-0005-0000-0000-0000A72A0000}"/>
    <cellStyle name="20 % - Markeringsfarve4 2 3 9 2 2" xfId="18510" xr:uid="{00000000-0005-0000-0000-0000A82A0000}"/>
    <cellStyle name="20 % - Markeringsfarve4 2 3 9 2 2 2" xfId="34786" xr:uid="{00000000-0005-0000-0000-0000A92A0000}"/>
    <cellStyle name="20 % - Markeringsfarve4 2 3 9 2 2 3" xfId="49745" xr:uid="{00000000-0005-0000-0000-0000AA2A0000}"/>
    <cellStyle name="20 % - Markeringsfarve4 2 3 9 2 3" xfId="27784" xr:uid="{00000000-0005-0000-0000-0000AB2A0000}"/>
    <cellStyle name="20 % - Markeringsfarve4 2 3 9 2 4" xfId="42748" xr:uid="{00000000-0005-0000-0000-0000AC2A0000}"/>
    <cellStyle name="20 % - Markeringsfarve4 2 3 9 3" xfId="13223" xr:uid="{00000000-0005-0000-0000-0000AD2A0000}"/>
    <cellStyle name="20 % - Markeringsfarve4 2 3 9 3 2" xfId="29502" xr:uid="{00000000-0005-0000-0000-0000AE2A0000}"/>
    <cellStyle name="20 % - Markeringsfarve4 2 3 9 3 3" xfId="44463" xr:uid="{00000000-0005-0000-0000-0000AF2A0000}"/>
    <cellStyle name="20 % - Markeringsfarve4 2 3 9 4" xfId="22500" xr:uid="{00000000-0005-0000-0000-0000B02A0000}"/>
    <cellStyle name="20 % - Markeringsfarve4 2 3 9 5" xfId="37466" xr:uid="{00000000-0005-0000-0000-0000B12A0000}"/>
    <cellStyle name="20 % - Markeringsfarve4 2 4" xfId="4739" xr:uid="{00000000-0005-0000-0000-0000B22A0000}"/>
    <cellStyle name="20 % - Markeringsfarve4 2 4 2" xfId="4740" xr:uid="{00000000-0005-0000-0000-0000B32A0000}"/>
    <cellStyle name="20 % - Markeringsfarve4 2 4 2 2" xfId="4741" xr:uid="{00000000-0005-0000-0000-0000B42A0000}"/>
    <cellStyle name="20 % - Markeringsfarve4 2 4 2 2 2" xfId="9845" xr:uid="{00000000-0005-0000-0000-0000B52A0000}"/>
    <cellStyle name="20 % - Markeringsfarve4 2 4 2 2 2 2" xfId="17700" xr:uid="{00000000-0005-0000-0000-0000B62A0000}"/>
    <cellStyle name="20 % - Markeringsfarve4 2 4 2 2 2 2 2" xfId="33976" xr:uid="{00000000-0005-0000-0000-0000B72A0000}"/>
    <cellStyle name="20 % - Markeringsfarve4 2 4 2 2 2 2 3" xfId="48935" xr:uid="{00000000-0005-0000-0000-0000B82A0000}"/>
    <cellStyle name="20 % - Markeringsfarve4 2 4 2 2 2 3" xfId="26974" xr:uid="{00000000-0005-0000-0000-0000B92A0000}"/>
    <cellStyle name="20 % - Markeringsfarve4 2 4 2 2 2 4" xfId="41938" xr:uid="{00000000-0005-0000-0000-0000BA2A0000}"/>
    <cellStyle name="20 % - Markeringsfarve4 2 4 2 2 3" xfId="13226" xr:uid="{00000000-0005-0000-0000-0000BB2A0000}"/>
    <cellStyle name="20 % - Markeringsfarve4 2 4 2 2 3 2" xfId="29505" xr:uid="{00000000-0005-0000-0000-0000BC2A0000}"/>
    <cellStyle name="20 % - Markeringsfarve4 2 4 2 2 3 3" xfId="44466" xr:uid="{00000000-0005-0000-0000-0000BD2A0000}"/>
    <cellStyle name="20 % - Markeringsfarve4 2 4 2 2 4" xfId="22503" xr:uid="{00000000-0005-0000-0000-0000BE2A0000}"/>
    <cellStyle name="20 % - Markeringsfarve4 2 4 2 2 5" xfId="37469" xr:uid="{00000000-0005-0000-0000-0000BF2A0000}"/>
    <cellStyle name="20 % - Markeringsfarve4 2 4 2 3" xfId="8424" xr:uid="{00000000-0005-0000-0000-0000C02A0000}"/>
    <cellStyle name="20 % - Markeringsfarve4 2 4 2 3 2" xfId="16294" xr:uid="{00000000-0005-0000-0000-0000C12A0000}"/>
    <cellStyle name="20 % - Markeringsfarve4 2 4 2 3 2 2" xfId="32570" xr:uid="{00000000-0005-0000-0000-0000C22A0000}"/>
    <cellStyle name="20 % - Markeringsfarve4 2 4 2 3 2 3" xfId="47529" xr:uid="{00000000-0005-0000-0000-0000C32A0000}"/>
    <cellStyle name="20 % - Markeringsfarve4 2 4 2 3 3" xfId="25568" xr:uid="{00000000-0005-0000-0000-0000C42A0000}"/>
    <cellStyle name="20 % - Markeringsfarve4 2 4 2 3 4" xfId="40532" xr:uid="{00000000-0005-0000-0000-0000C52A0000}"/>
    <cellStyle name="20 % - Markeringsfarve4 2 4 2 4" xfId="13225" xr:uid="{00000000-0005-0000-0000-0000C62A0000}"/>
    <cellStyle name="20 % - Markeringsfarve4 2 4 2 4 2" xfId="29504" xr:uid="{00000000-0005-0000-0000-0000C72A0000}"/>
    <cellStyle name="20 % - Markeringsfarve4 2 4 2 4 3" xfId="44465" xr:uid="{00000000-0005-0000-0000-0000C82A0000}"/>
    <cellStyle name="20 % - Markeringsfarve4 2 4 2 5" xfId="22502" xr:uid="{00000000-0005-0000-0000-0000C92A0000}"/>
    <cellStyle name="20 % - Markeringsfarve4 2 4 2 6" xfId="37468" xr:uid="{00000000-0005-0000-0000-0000CA2A0000}"/>
    <cellStyle name="20 % - Markeringsfarve4 2 4 3" xfId="4742" xr:uid="{00000000-0005-0000-0000-0000CB2A0000}"/>
    <cellStyle name="20 % - Markeringsfarve4 2 4 3 2" xfId="9076" xr:uid="{00000000-0005-0000-0000-0000CC2A0000}"/>
    <cellStyle name="20 % - Markeringsfarve4 2 4 3 2 2" xfId="16940" xr:uid="{00000000-0005-0000-0000-0000CD2A0000}"/>
    <cellStyle name="20 % - Markeringsfarve4 2 4 3 2 2 2" xfId="33216" xr:uid="{00000000-0005-0000-0000-0000CE2A0000}"/>
    <cellStyle name="20 % - Markeringsfarve4 2 4 3 2 2 3" xfId="48175" xr:uid="{00000000-0005-0000-0000-0000CF2A0000}"/>
    <cellStyle name="20 % - Markeringsfarve4 2 4 3 2 3" xfId="26214" xr:uid="{00000000-0005-0000-0000-0000D02A0000}"/>
    <cellStyle name="20 % - Markeringsfarve4 2 4 3 2 4" xfId="41178" xr:uid="{00000000-0005-0000-0000-0000D12A0000}"/>
    <cellStyle name="20 % - Markeringsfarve4 2 4 3 3" xfId="13227" xr:uid="{00000000-0005-0000-0000-0000D22A0000}"/>
    <cellStyle name="20 % - Markeringsfarve4 2 4 3 3 2" xfId="29506" xr:uid="{00000000-0005-0000-0000-0000D32A0000}"/>
    <cellStyle name="20 % - Markeringsfarve4 2 4 3 3 3" xfId="44467" xr:uid="{00000000-0005-0000-0000-0000D42A0000}"/>
    <cellStyle name="20 % - Markeringsfarve4 2 4 3 4" xfId="22504" xr:uid="{00000000-0005-0000-0000-0000D52A0000}"/>
    <cellStyle name="20 % - Markeringsfarve4 2 4 3 5" xfId="37470" xr:uid="{00000000-0005-0000-0000-0000D62A0000}"/>
    <cellStyle name="20 % - Markeringsfarve4 2 4 4" xfId="4743" xr:uid="{00000000-0005-0000-0000-0000D72A0000}"/>
    <cellStyle name="20 % - Markeringsfarve4 2 4 4 2" xfId="10460" xr:uid="{00000000-0005-0000-0000-0000D82A0000}"/>
    <cellStyle name="20 % - Markeringsfarve4 2 4 4 2 2" xfId="18311" xr:uid="{00000000-0005-0000-0000-0000D92A0000}"/>
    <cellStyle name="20 % - Markeringsfarve4 2 4 4 2 2 2" xfId="34587" xr:uid="{00000000-0005-0000-0000-0000DA2A0000}"/>
    <cellStyle name="20 % - Markeringsfarve4 2 4 4 2 2 3" xfId="49546" xr:uid="{00000000-0005-0000-0000-0000DB2A0000}"/>
    <cellStyle name="20 % - Markeringsfarve4 2 4 4 2 3" xfId="27585" xr:uid="{00000000-0005-0000-0000-0000DC2A0000}"/>
    <cellStyle name="20 % - Markeringsfarve4 2 4 4 2 4" xfId="42549" xr:uid="{00000000-0005-0000-0000-0000DD2A0000}"/>
    <cellStyle name="20 % - Markeringsfarve4 2 4 4 3" xfId="13228" xr:uid="{00000000-0005-0000-0000-0000DE2A0000}"/>
    <cellStyle name="20 % - Markeringsfarve4 2 4 4 3 2" xfId="29507" xr:uid="{00000000-0005-0000-0000-0000DF2A0000}"/>
    <cellStyle name="20 % - Markeringsfarve4 2 4 4 3 3" xfId="44468" xr:uid="{00000000-0005-0000-0000-0000E02A0000}"/>
    <cellStyle name="20 % - Markeringsfarve4 2 4 4 4" xfId="22505" xr:uid="{00000000-0005-0000-0000-0000E12A0000}"/>
    <cellStyle name="20 % - Markeringsfarve4 2 4 4 5" xfId="37471" xr:uid="{00000000-0005-0000-0000-0000E22A0000}"/>
    <cellStyle name="20 % - Markeringsfarve4 2 4 5" xfId="7806" xr:uid="{00000000-0005-0000-0000-0000E32A0000}"/>
    <cellStyle name="20 % - Markeringsfarve4 2 4 5 2" xfId="15671" xr:uid="{00000000-0005-0000-0000-0000E42A0000}"/>
    <cellStyle name="20 % - Markeringsfarve4 2 4 5 2 2" xfId="31947" xr:uid="{00000000-0005-0000-0000-0000E52A0000}"/>
    <cellStyle name="20 % - Markeringsfarve4 2 4 5 2 3" xfId="46906" xr:uid="{00000000-0005-0000-0000-0000E62A0000}"/>
    <cellStyle name="20 % - Markeringsfarve4 2 4 5 3" xfId="24945" xr:uid="{00000000-0005-0000-0000-0000E72A0000}"/>
    <cellStyle name="20 % - Markeringsfarve4 2 4 5 4" xfId="39909" xr:uid="{00000000-0005-0000-0000-0000E82A0000}"/>
    <cellStyle name="20 % - Markeringsfarve4 2 4 6" xfId="13224" xr:uid="{00000000-0005-0000-0000-0000E92A0000}"/>
    <cellStyle name="20 % - Markeringsfarve4 2 4 6 2" xfId="29503" xr:uid="{00000000-0005-0000-0000-0000EA2A0000}"/>
    <cellStyle name="20 % - Markeringsfarve4 2 4 6 3" xfId="44464" xr:uid="{00000000-0005-0000-0000-0000EB2A0000}"/>
    <cellStyle name="20 % - Markeringsfarve4 2 4 7" xfId="22501" xr:uid="{00000000-0005-0000-0000-0000EC2A0000}"/>
    <cellStyle name="20 % - Markeringsfarve4 2 4 8" xfId="37467" xr:uid="{00000000-0005-0000-0000-0000ED2A0000}"/>
    <cellStyle name="20 % - Markeringsfarve4 2 5" xfId="4744" xr:uid="{00000000-0005-0000-0000-0000EE2A0000}"/>
    <cellStyle name="20 % - Markeringsfarve4 2 5 2" xfId="4745" xr:uid="{00000000-0005-0000-0000-0000EF2A0000}"/>
    <cellStyle name="20 % - Markeringsfarve4 2 5 2 2" xfId="4746" xr:uid="{00000000-0005-0000-0000-0000F02A0000}"/>
    <cellStyle name="20 % - Markeringsfarve4 2 5 2 2 2" xfId="9958" xr:uid="{00000000-0005-0000-0000-0000F12A0000}"/>
    <cellStyle name="20 % - Markeringsfarve4 2 5 2 2 2 2" xfId="17813" xr:uid="{00000000-0005-0000-0000-0000F22A0000}"/>
    <cellStyle name="20 % - Markeringsfarve4 2 5 2 2 2 2 2" xfId="34089" xr:uid="{00000000-0005-0000-0000-0000F32A0000}"/>
    <cellStyle name="20 % - Markeringsfarve4 2 5 2 2 2 2 3" xfId="49048" xr:uid="{00000000-0005-0000-0000-0000F42A0000}"/>
    <cellStyle name="20 % - Markeringsfarve4 2 5 2 2 2 3" xfId="27087" xr:uid="{00000000-0005-0000-0000-0000F52A0000}"/>
    <cellStyle name="20 % - Markeringsfarve4 2 5 2 2 2 4" xfId="42051" xr:uid="{00000000-0005-0000-0000-0000F62A0000}"/>
    <cellStyle name="20 % - Markeringsfarve4 2 5 2 2 3" xfId="13231" xr:uid="{00000000-0005-0000-0000-0000F72A0000}"/>
    <cellStyle name="20 % - Markeringsfarve4 2 5 2 2 3 2" xfId="29510" xr:uid="{00000000-0005-0000-0000-0000F82A0000}"/>
    <cellStyle name="20 % - Markeringsfarve4 2 5 2 2 3 3" xfId="44471" xr:uid="{00000000-0005-0000-0000-0000F92A0000}"/>
    <cellStyle name="20 % - Markeringsfarve4 2 5 2 2 4" xfId="22508" xr:uid="{00000000-0005-0000-0000-0000FA2A0000}"/>
    <cellStyle name="20 % - Markeringsfarve4 2 5 2 2 5" xfId="37474" xr:uid="{00000000-0005-0000-0000-0000FB2A0000}"/>
    <cellStyle name="20 % - Markeringsfarve4 2 5 2 3" xfId="8523" xr:uid="{00000000-0005-0000-0000-0000FC2A0000}"/>
    <cellStyle name="20 % - Markeringsfarve4 2 5 2 3 2" xfId="16393" xr:uid="{00000000-0005-0000-0000-0000FD2A0000}"/>
    <cellStyle name="20 % - Markeringsfarve4 2 5 2 3 2 2" xfId="32669" xr:uid="{00000000-0005-0000-0000-0000FE2A0000}"/>
    <cellStyle name="20 % - Markeringsfarve4 2 5 2 3 2 3" xfId="47628" xr:uid="{00000000-0005-0000-0000-0000FF2A0000}"/>
    <cellStyle name="20 % - Markeringsfarve4 2 5 2 3 3" xfId="25667" xr:uid="{00000000-0005-0000-0000-0000002B0000}"/>
    <cellStyle name="20 % - Markeringsfarve4 2 5 2 3 4" xfId="40631" xr:uid="{00000000-0005-0000-0000-0000012B0000}"/>
    <cellStyle name="20 % - Markeringsfarve4 2 5 2 4" xfId="13230" xr:uid="{00000000-0005-0000-0000-0000022B0000}"/>
    <cellStyle name="20 % - Markeringsfarve4 2 5 2 4 2" xfId="29509" xr:uid="{00000000-0005-0000-0000-0000032B0000}"/>
    <cellStyle name="20 % - Markeringsfarve4 2 5 2 4 3" xfId="44470" xr:uid="{00000000-0005-0000-0000-0000042B0000}"/>
    <cellStyle name="20 % - Markeringsfarve4 2 5 2 5" xfId="22507" xr:uid="{00000000-0005-0000-0000-0000052B0000}"/>
    <cellStyle name="20 % - Markeringsfarve4 2 5 2 6" xfId="37473" xr:uid="{00000000-0005-0000-0000-0000062B0000}"/>
    <cellStyle name="20 % - Markeringsfarve4 2 5 3" xfId="4747" xr:uid="{00000000-0005-0000-0000-0000072B0000}"/>
    <cellStyle name="20 % - Markeringsfarve4 2 5 3 2" xfId="9189" xr:uid="{00000000-0005-0000-0000-0000082B0000}"/>
    <cellStyle name="20 % - Markeringsfarve4 2 5 3 2 2" xfId="17053" xr:uid="{00000000-0005-0000-0000-0000092B0000}"/>
    <cellStyle name="20 % - Markeringsfarve4 2 5 3 2 2 2" xfId="33329" xr:uid="{00000000-0005-0000-0000-00000A2B0000}"/>
    <cellStyle name="20 % - Markeringsfarve4 2 5 3 2 2 3" xfId="48288" xr:uid="{00000000-0005-0000-0000-00000B2B0000}"/>
    <cellStyle name="20 % - Markeringsfarve4 2 5 3 2 3" xfId="26327" xr:uid="{00000000-0005-0000-0000-00000C2B0000}"/>
    <cellStyle name="20 % - Markeringsfarve4 2 5 3 2 4" xfId="41291" xr:uid="{00000000-0005-0000-0000-00000D2B0000}"/>
    <cellStyle name="20 % - Markeringsfarve4 2 5 3 3" xfId="13232" xr:uid="{00000000-0005-0000-0000-00000E2B0000}"/>
    <cellStyle name="20 % - Markeringsfarve4 2 5 3 3 2" xfId="29511" xr:uid="{00000000-0005-0000-0000-00000F2B0000}"/>
    <cellStyle name="20 % - Markeringsfarve4 2 5 3 3 3" xfId="44472" xr:uid="{00000000-0005-0000-0000-0000102B0000}"/>
    <cellStyle name="20 % - Markeringsfarve4 2 5 3 4" xfId="22509" xr:uid="{00000000-0005-0000-0000-0000112B0000}"/>
    <cellStyle name="20 % - Markeringsfarve4 2 5 3 5" xfId="37475" xr:uid="{00000000-0005-0000-0000-0000122B0000}"/>
    <cellStyle name="20 % - Markeringsfarve4 2 5 4" xfId="4748" xr:uid="{00000000-0005-0000-0000-0000132B0000}"/>
    <cellStyle name="20 % - Markeringsfarve4 2 5 4 2" xfId="10413" xr:uid="{00000000-0005-0000-0000-0000142B0000}"/>
    <cellStyle name="20 % - Markeringsfarve4 2 5 4 2 2" xfId="18265" xr:uid="{00000000-0005-0000-0000-0000152B0000}"/>
    <cellStyle name="20 % - Markeringsfarve4 2 5 4 2 2 2" xfId="34541" xr:uid="{00000000-0005-0000-0000-0000162B0000}"/>
    <cellStyle name="20 % - Markeringsfarve4 2 5 4 2 2 3" xfId="49500" xr:uid="{00000000-0005-0000-0000-0000172B0000}"/>
    <cellStyle name="20 % - Markeringsfarve4 2 5 4 2 3" xfId="27539" xr:uid="{00000000-0005-0000-0000-0000182B0000}"/>
    <cellStyle name="20 % - Markeringsfarve4 2 5 4 2 4" xfId="42503" xr:uid="{00000000-0005-0000-0000-0000192B0000}"/>
    <cellStyle name="20 % - Markeringsfarve4 2 5 4 3" xfId="13233" xr:uid="{00000000-0005-0000-0000-00001A2B0000}"/>
    <cellStyle name="20 % - Markeringsfarve4 2 5 4 3 2" xfId="29512" xr:uid="{00000000-0005-0000-0000-00001B2B0000}"/>
    <cellStyle name="20 % - Markeringsfarve4 2 5 4 3 3" xfId="44473" xr:uid="{00000000-0005-0000-0000-00001C2B0000}"/>
    <cellStyle name="20 % - Markeringsfarve4 2 5 4 4" xfId="22510" xr:uid="{00000000-0005-0000-0000-00001D2B0000}"/>
    <cellStyle name="20 % - Markeringsfarve4 2 5 4 5" xfId="37476" xr:uid="{00000000-0005-0000-0000-00001E2B0000}"/>
    <cellStyle name="20 % - Markeringsfarve4 2 5 5" xfId="7807" xr:uid="{00000000-0005-0000-0000-00001F2B0000}"/>
    <cellStyle name="20 % - Markeringsfarve4 2 5 5 2" xfId="15672" xr:uid="{00000000-0005-0000-0000-0000202B0000}"/>
    <cellStyle name="20 % - Markeringsfarve4 2 5 5 2 2" xfId="31948" xr:uid="{00000000-0005-0000-0000-0000212B0000}"/>
    <cellStyle name="20 % - Markeringsfarve4 2 5 5 2 3" xfId="46907" xr:uid="{00000000-0005-0000-0000-0000222B0000}"/>
    <cellStyle name="20 % - Markeringsfarve4 2 5 5 3" xfId="24946" xr:uid="{00000000-0005-0000-0000-0000232B0000}"/>
    <cellStyle name="20 % - Markeringsfarve4 2 5 5 4" xfId="39910" xr:uid="{00000000-0005-0000-0000-0000242B0000}"/>
    <cellStyle name="20 % - Markeringsfarve4 2 5 6" xfId="13229" xr:uid="{00000000-0005-0000-0000-0000252B0000}"/>
    <cellStyle name="20 % - Markeringsfarve4 2 5 6 2" xfId="29508" xr:uid="{00000000-0005-0000-0000-0000262B0000}"/>
    <cellStyle name="20 % - Markeringsfarve4 2 5 6 3" xfId="44469" xr:uid="{00000000-0005-0000-0000-0000272B0000}"/>
    <cellStyle name="20 % - Markeringsfarve4 2 5 7" xfId="22506" xr:uid="{00000000-0005-0000-0000-0000282B0000}"/>
    <cellStyle name="20 % - Markeringsfarve4 2 5 8" xfId="37472" xr:uid="{00000000-0005-0000-0000-0000292B0000}"/>
    <cellStyle name="20 % - Markeringsfarve4 2 6" xfId="4749" xr:uid="{00000000-0005-0000-0000-00002A2B0000}"/>
    <cellStyle name="20 % - Markeringsfarve4 2 6 2" xfId="4750" xr:uid="{00000000-0005-0000-0000-00002B2B0000}"/>
    <cellStyle name="20 % - Markeringsfarve4 2 6 2 2" xfId="4751" xr:uid="{00000000-0005-0000-0000-00002C2B0000}"/>
    <cellStyle name="20 % - Markeringsfarve4 2 6 2 2 2" xfId="10083" xr:uid="{00000000-0005-0000-0000-00002D2B0000}"/>
    <cellStyle name="20 % - Markeringsfarve4 2 6 2 2 2 2" xfId="17938" xr:uid="{00000000-0005-0000-0000-00002E2B0000}"/>
    <cellStyle name="20 % - Markeringsfarve4 2 6 2 2 2 2 2" xfId="34214" xr:uid="{00000000-0005-0000-0000-00002F2B0000}"/>
    <cellStyle name="20 % - Markeringsfarve4 2 6 2 2 2 2 3" xfId="49173" xr:uid="{00000000-0005-0000-0000-0000302B0000}"/>
    <cellStyle name="20 % - Markeringsfarve4 2 6 2 2 2 3" xfId="27212" xr:uid="{00000000-0005-0000-0000-0000312B0000}"/>
    <cellStyle name="20 % - Markeringsfarve4 2 6 2 2 2 4" xfId="42176" xr:uid="{00000000-0005-0000-0000-0000322B0000}"/>
    <cellStyle name="20 % - Markeringsfarve4 2 6 2 2 3" xfId="13236" xr:uid="{00000000-0005-0000-0000-0000332B0000}"/>
    <cellStyle name="20 % - Markeringsfarve4 2 6 2 2 3 2" xfId="29515" xr:uid="{00000000-0005-0000-0000-0000342B0000}"/>
    <cellStyle name="20 % - Markeringsfarve4 2 6 2 2 3 3" xfId="44476" xr:uid="{00000000-0005-0000-0000-0000352B0000}"/>
    <cellStyle name="20 % - Markeringsfarve4 2 6 2 2 4" xfId="22513" xr:uid="{00000000-0005-0000-0000-0000362B0000}"/>
    <cellStyle name="20 % - Markeringsfarve4 2 6 2 2 5" xfId="37479" xr:uid="{00000000-0005-0000-0000-0000372B0000}"/>
    <cellStyle name="20 % - Markeringsfarve4 2 6 2 3" xfId="8626" xr:uid="{00000000-0005-0000-0000-0000382B0000}"/>
    <cellStyle name="20 % - Markeringsfarve4 2 6 2 3 2" xfId="16493" xr:uid="{00000000-0005-0000-0000-0000392B0000}"/>
    <cellStyle name="20 % - Markeringsfarve4 2 6 2 3 2 2" xfId="32769" xr:uid="{00000000-0005-0000-0000-00003A2B0000}"/>
    <cellStyle name="20 % - Markeringsfarve4 2 6 2 3 2 3" xfId="47728" xr:uid="{00000000-0005-0000-0000-00003B2B0000}"/>
    <cellStyle name="20 % - Markeringsfarve4 2 6 2 3 3" xfId="25767" xr:uid="{00000000-0005-0000-0000-00003C2B0000}"/>
    <cellStyle name="20 % - Markeringsfarve4 2 6 2 3 4" xfId="40731" xr:uid="{00000000-0005-0000-0000-00003D2B0000}"/>
    <cellStyle name="20 % - Markeringsfarve4 2 6 2 4" xfId="13235" xr:uid="{00000000-0005-0000-0000-00003E2B0000}"/>
    <cellStyle name="20 % - Markeringsfarve4 2 6 2 4 2" xfId="29514" xr:uid="{00000000-0005-0000-0000-00003F2B0000}"/>
    <cellStyle name="20 % - Markeringsfarve4 2 6 2 4 3" xfId="44475" xr:uid="{00000000-0005-0000-0000-0000402B0000}"/>
    <cellStyle name="20 % - Markeringsfarve4 2 6 2 5" xfId="22512" xr:uid="{00000000-0005-0000-0000-0000412B0000}"/>
    <cellStyle name="20 % - Markeringsfarve4 2 6 2 6" xfId="37478" xr:uid="{00000000-0005-0000-0000-0000422B0000}"/>
    <cellStyle name="20 % - Markeringsfarve4 2 6 3" xfId="4752" xr:uid="{00000000-0005-0000-0000-0000432B0000}"/>
    <cellStyle name="20 % - Markeringsfarve4 2 6 3 2" xfId="9360" xr:uid="{00000000-0005-0000-0000-0000442B0000}"/>
    <cellStyle name="20 % - Markeringsfarve4 2 6 3 2 2" xfId="17223" xr:uid="{00000000-0005-0000-0000-0000452B0000}"/>
    <cellStyle name="20 % - Markeringsfarve4 2 6 3 2 2 2" xfId="33499" xr:uid="{00000000-0005-0000-0000-0000462B0000}"/>
    <cellStyle name="20 % - Markeringsfarve4 2 6 3 2 2 3" xfId="48458" xr:uid="{00000000-0005-0000-0000-0000472B0000}"/>
    <cellStyle name="20 % - Markeringsfarve4 2 6 3 2 3" xfId="26497" xr:uid="{00000000-0005-0000-0000-0000482B0000}"/>
    <cellStyle name="20 % - Markeringsfarve4 2 6 3 2 4" xfId="41461" xr:uid="{00000000-0005-0000-0000-0000492B0000}"/>
    <cellStyle name="20 % - Markeringsfarve4 2 6 3 3" xfId="13237" xr:uid="{00000000-0005-0000-0000-00004A2B0000}"/>
    <cellStyle name="20 % - Markeringsfarve4 2 6 3 3 2" xfId="29516" xr:uid="{00000000-0005-0000-0000-00004B2B0000}"/>
    <cellStyle name="20 % - Markeringsfarve4 2 6 3 3 3" xfId="44477" xr:uid="{00000000-0005-0000-0000-00004C2B0000}"/>
    <cellStyle name="20 % - Markeringsfarve4 2 6 3 4" xfId="22514" xr:uid="{00000000-0005-0000-0000-00004D2B0000}"/>
    <cellStyle name="20 % - Markeringsfarve4 2 6 3 5" xfId="37480" xr:uid="{00000000-0005-0000-0000-00004E2B0000}"/>
    <cellStyle name="20 % - Markeringsfarve4 2 6 4" xfId="4753" xr:uid="{00000000-0005-0000-0000-00004F2B0000}"/>
    <cellStyle name="20 % - Markeringsfarve4 2 6 4 2" xfId="10754" xr:uid="{00000000-0005-0000-0000-0000502B0000}"/>
    <cellStyle name="20 % - Markeringsfarve4 2 6 4 2 2" xfId="18597" xr:uid="{00000000-0005-0000-0000-0000512B0000}"/>
    <cellStyle name="20 % - Markeringsfarve4 2 6 4 2 2 2" xfId="34873" xr:uid="{00000000-0005-0000-0000-0000522B0000}"/>
    <cellStyle name="20 % - Markeringsfarve4 2 6 4 2 2 3" xfId="49832" xr:uid="{00000000-0005-0000-0000-0000532B0000}"/>
    <cellStyle name="20 % - Markeringsfarve4 2 6 4 2 3" xfId="27871" xr:uid="{00000000-0005-0000-0000-0000542B0000}"/>
    <cellStyle name="20 % - Markeringsfarve4 2 6 4 2 4" xfId="42835" xr:uid="{00000000-0005-0000-0000-0000552B0000}"/>
    <cellStyle name="20 % - Markeringsfarve4 2 6 4 3" xfId="13238" xr:uid="{00000000-0005-0000-0000-0000562B0000}"/>
    <cellStyle name="20 % - Markeringsfarve4 2 6 4 3 2" xfId="29517" xr:uid="{00000000-0005-0000-0000-0000572B0000}"/>
    <cellStyle name="20 % - Markeringsfarve4 2 6 4 3 3" xfId="44478" xr:uid="{00000000-0005-0000-0000-0000582B0000}"/>
    <cellStyle name="20 % - Markeringsfarve4 2 6 4 4" xfId="22515" xr:uid="{00000000-0005-0000-0000-0000592B0000}"/>
    <cellStyle name="20 % - Markeringsfarve4 2 6 4 5" xfId="37481" xr:uid="{00000000-0005-0000-0000-00005A2B0000}"/>
    <cellStyle name="20 % - Markeringsfarve4 2 6 5" xfId="7808" xr:uid="{00000000-0005-0000-0000-00005B2B0000}"/>
    <cellStyle name="20 % - Markeringsfarve4 2 6 5 2" xfId="15673" xr:uid="{00000000-0005-0000-0000-00005C2B0000}"/>
    <cellStyle name="20 % - Markeringsfarve4 2 6 5 2 2" xfId="31949" xr:uid="{00000000-0005-0000-0000-00005D2B0000}"/>
    <cellStyle name="20 % - Markeringsfarve4 2 6 5 2 3" xfId="46908" xr:uid="{00000000-0005-0000-0000-00005E2B0000}"/>
    <cellStyle name="20 % - Markeringsfarve4 2 6 5 3" xfId="24947" xr:uid="{00000000-0005-0000-0000-00005F2B0000}"/>
    <cellStyle name="20 % - Markeringsfarve4 2 6 5 4" xfId="39911" xr:uid="{00000000-0005-0000-0000-0000602B0000}"/>
    <cellStyle name="20 % - Markeringsfarve4 2 6 6" xfId="13234" xr:uid="{00000000-0005-0000-0000-0000612B0000}"/>
    <cellStyle name="20 % - Markeringsfarve4 2 6 6 2" xfId="29513" xr:uid="{00000000-0005-0000-0000-0000622B0000}"/>
    <cellStyle name="20 % - Markeringsfarve4 2 6 6 3" xfId="44474" xr:uid="{00000000-0005-0000-0000-0000632B0000}"/>
    <cellStyle name="20 % - Markeringsfarve4 2 6 7" xfId="22511" xr:uid="{00000000-0005-0000-0000-0000642B0000}"/>
    <cellStyle name="20 % - Markeringsfarve4 2 6 8" xfId="37477" xr:uid="{00000000-0005-0000-0000-0000652B0000}"/>
    <cellStyle name="20 % - Markeringsfarve4 2 7" xfId="4754" xr:uid="{00000000-0005-0000-0000-0000662B0000}"/>
    <cellStyle name="20 % - Markeringsfarve4 2 7 2" xfId="4755" xr:uid="{00000000-0005-0000-0000-0000672B0000}"/>
    <cellStyle name="20 % - Markeringsfarve4 2 7 2 2" xfId="4756" xr:uid="{00000000-0005-0000-0000-0000682B0000}"/>
    <cellStyle name="20 % - Markeringsfarve4 2 7 2 2 2" xfId="10200" xr:uid="{00000000-0005-0000-0000-0000692B0000}"/>
    <cellStyle name="20 % - Markeringsfarve4 2 7 2 2 2 2" xfId="18055" xr:uid="{00000000-0005-0000-0000-00006A2B0000}"/>
    <cellStyle name="20 % - Markeringsfarve4 2 7 2 2 2 2 2" xfId="34331" xr:uid="{00000000-0005-0000-0000-00006B2B0000}"/>
    <cellStyle name="20 % - Markeringsfarve4 2 7 2 2 2 2 3" xfId="49290" xr:uid="{00000000-0005-0000-0000-00006C2B0000}"/>
    <cellStyle name="20 % - Markeringsfarve4 2 7 2 2 2 3" xfId="27329" xr:uid="{00000000-0005-0000-0000-00006D2B0000}"/>
    <cellStyle name="20 % - Markeringsfarve4 2 7 2 2 2 4" xfId="42293" xr:uid="{00000000-0005-0000-0000-00006E2B0000}"/>
    <cellStyle name="20 % - Markeringsfarve4 2 7 2 2 3" xfId="13241" xr:uid="{00000000-0005-0000-0000-00006F2B0000}"/>
    <cellStyle name="20 % - Markeringsfarve4 2 7 2 2 3 2" xfId="29520" xr:uid="{00000000-0005-0000-0000-0000702B0000}"/>
    <cellStyle name="20 % - Markeringsfarve4 2 7 2 2 3 3" xfId="44481" xr:uid="{00000000-0005-0000-0000-0000712B0000}"/>
    <cellStyle name="20 % - Markeringsfarve4 2 7 2 2 4" xfId="22518" xr:uid="{00000000-0005-0000-0000-0000722B0000}"/>
    <cellStyle name="20 % - Markeringsfarve4 2 7 2 2 5" xfId="37484" xr:uid="{00000000-0005-0000-0000-0000732B0000}"/>
    <cellStyle name="20 % - Markeringsfarve4 2 7 2 3" xfId="8725" xr:uid="{00000000-0005-0000-0000-0000742B0000}"/>
    <cellStyle name="20 % - Markeringsfarve4 2 7 2 3 2" xfId="16592" xr:uid="{00000000-0005-0000-0000-0000752B0000}"/>
    <cellStyle name="20 % - Markeringsfarve4 2 7 2 3 2 2" xfId="32868" xr:uid="{00000000-0005-0000-0000-0000762B0000}"/>
    <cellStyle name="20 % - Markeringsfarve4 2 7 2 3 2 3" xfId="47827" xr:uid="{00000000-0005-0000-0000-0000772B0000}"/>
    <cellStyle name="20 % - Markeringsfarve4 2 7 2 3 3" xfId="25866" xr:uid="{00000000-0005-0000-0000-0000782B0000}"/>
    <cellStyle name="20 % - Markeringsfarve4 2 7 2 3 4" xfId="40830" xr:uid="{00000000-0005-0000-0000-0000792B0000}"/>
    <cellStyle name="20 % - Markeringsfarve4 2 7 2 4" xfId="13240" xr:uid="{00000000-0005-0000-0000-00007A2B0000}"/>
    <cellStyle name="20 % - Markeringsfarve4 2 7 2 4 2" xfId="29519" xr:uid="{00000000-0005-0000-0000-00007B2B0000}"/>
    <cellStyle name="20 % - Markeringsfarve4 2 7 2 4 3" xfId="44480" xr:uid="{00000000-0005-0000-0000-00007C2B0000}"/>
    <cellStyle name="20 % - Markeringsfarve4 2 7 2 5" xfId="22517" xr:uid="{00000000-0005-0000-0000-00007D2B0000}"/>
    <cellStyle name="20 % - Markeringsfarve4 2 7 2 6" xfId="37483" xr:uid="{00000000-0005-0000-0000-00007E2B0000}"/>
    <cellStyle name="20 % - Markeringsfarve4 2 7 3" xfId="4757" xr:uid="{00000000-0005-0000-0000-00007F2B0000}"/>
    <cellStyle name="20 % - Markeringsfarve4 2 7 3 2" xfId="9477" xr:uid="{00000000-0005-0000-0000-0000802B0000}"/>
    <cellStyle name="20 % - Markeringsfarve4 2 7 3 2 2" xfId="17340" xr:uid="{00000000-0005-0000-0000-0000812B0000}"/>
    <cellStyle name="20 % - Markeringsfarve4 2 7 3 2 2 2" xfId="33616" xr:uid="{00000000-0005-0000-0000-0000822B0000}"/>
    <cellStyle name="20 % - Markeringsfarve4 2 7 3 2 2 3" xfId="48575" xr:uid="{00000000-0005-0000-0000-0000832B0000}"/>
    <cellStyle name="20 % - Markeringsfarve4 2 7 3 2 3" xfId="26614" xr:uid="{00000000-0005-0000-0000-0000842B0000}"/>
    <cellStyle name="20 % - Markeringsfarve4 2 7 3 2 4" xfId="41578" xr:uid="{00000000-0005-0000-0000-0000852B0000}"/>
    <cellStyle name="20 % - Markeringsfarve4 2 7 3 3" xfId="13242" xr:uid="{00000000-0005-0000-0000-0000862B0000}"/>
    <cellStyle name="20 % - Markeringsfarve4 2 7 3 3 2" xfId="29521" xr:uid="{00000000-0005-0000-0000-0000872B0000}"/>
    <cellStyle name="20 % - Markeringsfarve4 2 7 3 3 3" xfId="44482" xr:uid="{00000000-0005-0000-0000-0000882B0000}"/>
    <cellStyle name="20 % - Markeringsfarve4 2 7 3 4" xfId="22519" xr:uid="{00000000-0005-0000-0000-0000892B0000}"/>
    <cellStyle name="20 % - Markeringsfarve4 2 7 3 5" xfId="37485" xr:uid="{00000000-0005-0000-0000-00008A2B0000}"/>
    <cellStyle name="20 % - Markeringsfarve4 2 7 4" xfId="4758" xr:uid="{00000000-0005-0000-0000-00008B2B0000}"/>
    <cellStyle name="20 % - Markeringsfarve4 2 7 4 2" xfId="10992" xr:uid="{00000000-0005-0000-0000-00008C2B0000}"/>
    <cellStyle name="20 % - Markeringsfarve4 2 7 4 2 2" xfId="18823" xr:uid="{00000000-0005-0000-0000-00008D2B0000}"/>
    <cellStyle name="20 % - Markeringsfarve4 2 7 4 2 2 2" xfId="35099" xr:uid="{00000000-0005-0000-0000-00008E2B0000}"/>
    <cellStyle name="20 % - Markeringsfarve4 2 7 4 2 2 3" xfId="50058" xr:uid="{00000000-0005-0000-0000-00008F2B0000}"/>
    <cellStyle name="20 % - Markeringsfarve4 2 7 4 2 3" xfId="28097" xr:uid="{00000000-0005-0000-0000-0000902B0000}"/>
    <cellStyle name="20 % - Markeringsfarve4 2 7 4 2 4" xfId="43061" xr:uid="{00000000-0005-0000-0000-0000912B0000}"/>
    <cellStyle name="20 % - Markeringsfarve4 2 7 4 3" xfId="13243" xr:uid="{00000000-0005-0000-0000-0000922B0000}"/>
    <cellStyle name="20 % - Markeringsfarve4 2 7 4 3 2" xfId="29522" xr:uid="{00000000-0005-0000-0000-0000932B0000}"/>
    <cellStyle name="20 % - Markeringsfarve4 2 7 4 3 3" xfId="44483" xr:uid="{00000000-0005-0000-0000-0000942B0000}"/>
    <cellStyle name="20 % - Markeringsfarve4 2 7 4 4" xfId="22520" xr:uid="{00000000-0005-0000-0000-0000952B0000}"/>
    <cellStyle name="20 % - Markeringsfarve4 2 7 4 5" xfId="37486" xr:uid="{00000000-0005-0000-0000-0000962B0000}"/>
    <cellStyle name="20 % - Markeringsfarve4 2 7 5" xfId="7809" xr:uid="{00000000-0005-0000-0000-0000972B0000}"/>
    <cellStyle name="20 % - Markeringsfarve4 2 7 5 2" xfId="15674" xr:uid="{00000000-0005-0000-0000-0000982B0000}"/>
    <cellStyle name="20 % - Markeringsfarve4 2 7 5 2 2" xfId="31950" xr:uid="{00000000-0005-0000-0000-0000992B0000}"/>
    <cellStyle name="20 % - Markeringsfarve4 2 7 5 2 3" xfId="46909" xr:uid="{00000000-0005-0000-0000-00009A2B0000}"/>
    <cellStyle name="20 % - Markeringsfarve4 2 7 5 3" xfId="24948" xr:uid="{00000000-0005-0000-0000-00009B2B0000}"/>
    <cellStyle name="20 % - Markeringsfarve4 2 7 5 4" xfId="39912" xr:uid="{00000000-0005-0000-0000-00009C2B0000}"/>
    <cellStyle name="20 % - Markeringsfarve4 2 7 6" xfId="13239" xr:uid="{00000000-0005-0000-0000-00009D2B0000}"/>
    <cellStyle name="20 % - Markeringsfarve4 2 7 6 2" xfId="29518" xr:uid="{00000000-0005-0000-0000-00009E2B0000}"/>
    <cellStyle name="20 % - Markeringsfarve4 2 7 6 3" xfId="44479" xr:uid="{00000000-0005-0000-0000-00009F2B0000}"/>
    <cellStyle name="20 % - Markeringsfarve4 2 7 7" xfId="22516" xr:uid="{00000000-0005-0000-0000-0000A02B0000}"/>
    <cellStyle name="20 % - Markeringsfarve4 2 7 8" xfId="37482" xr:uid="{00000000-0005-0000-0000-0000A12B0000}"/>
    <cellStyle name="20 % - Markeringsfarve4 2 8" xfId="4759" xr:uid="{00000000-0005-0000-0000-0000A22B0000}"/>
    <cellStyle name="20 % - Markeringsfarve4 2 8 2" xfId="4760" xr:uid="{00000000-0005-0000-0000-0000A32B0000}"/>
    <cellStyle name="20 % - Markeringsfarve4 2 8 2 2" xfId="4761" xr:uid="{00000000-0005-0000-0000-0000A42B0000}"/>
    <cellStyle name="20 % - Markeringsfarve4 2 8 2 2 2" xfId="10313" xr:uid="{00000000-0005-0000-0000-0000A52B0000}"/>
    <cellStyle name="20 % - Markeringsfarve4 2 8 2 2 2 2" xfId="18168" xr:uid="{00000000-0005-0000-0000-0000A62B0000}"/>
    <cellStyle name="20 % - Markeringsfarve4 2 8 2 2 2 2 2" xfId="34444" xr:uid="{00000000-0005-0000-0000-0000A72B0000}"/>
    <cellStyle name="20 % - Markeringsfarve4 2 8 2 2 2 2 3" xfId="49403" xr:uid="{00000000-0005-0000-0000-0000A82B0000}"/>
    <cellStyle name="20 % - Markeringsfarve4 2 8 2 2 2 3" xfId="27442" xr:uid="{00000000-0005-0000-0000-0000A92B0000}"/>
    <cellStyle name="20 % - Markeringsfarve4 2 8 2 2 2 4" xfId="42406" xr:uid="{00000000-0005-0000-0000-0000AA2B0000}"/>
    <cellStyle name="20 % - Markeringsfarve4 2 8 2 2 3" xfId="13246" xr:uid="{00000000-0005-0000-0000-0000AB2B0000}"/>
    <cellStyle name="20 % - Markeringsfarve4 2 8 2 2 3 2" xfId="29525" xr:uid="{00000000-0005-0000-0000-0000AC2B0000}"/>
    <cellStyle name="20 % - Markeringsfarve4 2 8 2 2 3 3" xfId="44486" xr:uid="{00000000-0005-0000-0000-0000AD2B0000}"/>
    <cellStyle name="20 % - Markeringsfarve4 2 8 2 2 4" xfId="22523" xr:uid="{00000000-0005-0000-0000-0000AE2B0000}"/>
    <cellStyle name="20 % - Markeringsfarve4 2 8 2 2 5" xfId="37489" xr:uid="{00000000-0005-0000-0000-0000AF2B0000}"/>
    <cellStyle name="20 % - Markeringsfarve4 2 8 2 3" xfId="8825" xr:uid="{00000000-0005-0000-0000-0000B02B0000}"/>
    <cellStyle name="20 % - Markeringsfarve4 2 8 2 3 2" xfId="16692" xr:uid="{00000000-0005-0000-0000-0000B12B0000}"/>
    <cellStyle name="20 % - Markeringsfarve4 2 8 2 3 2 2" xfId="32968" xr:uid="{00000000-0005-0000-0000-0000B22B0000}"/>
    <cellStyle name="20 % - Markeringsfarve4 2 8 2 3 2 3" xfId="47927" xr:uid="{00000000-0005-0000-0000-0000B32B0000}"/>
    <cellStyle name="20 % - Markeringsfarve4 2 8 2 3 3" xfId="25966" xr:uid="{00000000-0005-0000-0000-0000B42B0000}"/>
    <cellStyle name="20 % - Markeringsfarve4 2 8 2 3 4" xfId="40930" xr:uid="{00000000-0005-0000-0000-0000B52B0000}"/>
    <cellStyle name="20 % - Markeringsfarve4 2 8 2 4" xfId="13245" xr:uid="{00000000-0005-0000-0000-0000B62B0000}"/>
    <cellStyle name="20 % - Markeringsfarve4 2 8 2 4 2" xfId="29524" xr:uid="{00000000-0005-0000-0000-0000B72B0000}"/>
    <cellStyle name="20 % - Markeringsfarve4 2 8 2 4 3" xfId="44485" xr:uid="{00000000-0005-0000-0000-0000B82B0000}"/>
    <cellStyle name="20 % - Markeringsfarve4 2 8 2 5" xfId="22522" xr:uid="{00000000-0005-0000-0000-0000B92B0000}"/>
    <cellStyle name="20 % - Markeringsfarve4 2 8 2 6" xfId="37488" xr:uid="{00000000-0005-0000-0000-0000BA2B0000}"/>
    <cellStyle name="20 % - Markeringsfarve4 2 8 3" xfId="4762" xr:uid="{00000000-0005-0000-0000-0000BB2B0000}"/>
    <cellStyle name="20 % - Markeringsfarve4 2 8 3 2" xfId="9591" xr:uid="{00000000-0005-0000-0000-0000BC2B0000}"/>
    <cellStyle name="20 % - Markeringsfarve4 2 8 3 2 2" xfId="17454" xr:uid="{00000000-0005-0000-0000-0000BD2B0000}"/>
    <cellStyle name="20 % - Markeringsfarve4 2 8 3 2 2 2" xfId="33730" xr:uid="{00000000-0005-0000-0000-0000BE2B0000}"/>
    <cellStyle name="20 % - Markeringsfarve4 2 8 3 2 2 3" xfId="48689" xr:uid="{00000000-0005-0000-0000-0000BF2B0000}"/>
    <cellStyle name="20 % - Markeringsfarve4 2 8 3 2 3" xfId="26728" xr:uid="{00000000-0005-0000-0000-0000C02B0000}"/>
    <cellStyle name="20 % - Markeringsfarve4 2 8 3 2 4" xfId="41692" xr:uid="{00000000-0005-0000-0000-0000C12B0000}"/>
    <cellStyle name="20 % - Markeringsfarve4 2 8 3 3" xfId="13247" xr:uid="{00000000-0005-0000-0000-0000C22B0000}"/>
    <cellStyle name="20 % - Markeringsfarve4 2 8 3 3 2" xfId="29526" xr:uid="{00000000-0005-0000-0000-0000C32B0000}"/>
    <cellStyle name="20 % - Markeringsfarve4 2 8 3 3 3" xfId="44487" xr:uid="{00000000-0005-0000-0000-0000C42B0000}"/>
    <cellStyle name="20 % - Markeringsfarve4 2 8 3 4" xfId="22524" xr:uid="{00000000-0005-0000-0000-0000C52B0000}"/>
    <cellStyle name="20 % - Markeringsfarve4 2 8 3 5" xfId="37490" xr:uid="{00000000-0005-0000-0000-0000C62B0000}"/>
    <cellStyle name="20 % - Markeringsfarve4 2 8 4" xfId="4763" xr:uid="{00000000-0005-0000-0000-0000C72B0000}"/>
    <cellStyle name="20 % - Markeringsfarve4 2 8 4 2" xfId="10712" xr:uid="{00000000-0005-0000-0000-0000C82B0000}"/>
    <cellStyle name="20 % - Markeringsfarve4 2 8 4 2 2" xfId="18556" xr:uid="{00000000-0005-0000-0000-0000C92B0000}"/>
    <cellStyle name="20 % - Markeringsfarve4 2 8 4 2 2 2" xfId="34832" xr:uid="{00000000-0005-0000-0000-0000CA2B0000}"/>
    <cellStyle name="20 % - Markeringsfarve4 2 8 4 2 2 3" xfId="49791" xr:uid="{00000000-0005-0000-0000-0000CB2B0000}"/>
    <cellStyle name="20 % - Markeringsfarve4 2 8 4 2 3" xfId="27830" xr:uid="{00000000-0005-0000-0000-0000CC2B0000}"/>
    <cellStyle name="20 % - Markeringsfarve4 2 8 4 2 4" xfId="42794" xr:uid="{00000000-0005-0000-0000-0000CD2B0000}"/>
    <cellStyle name="20 % - Markeringsfarve4 2 8 4 3" xfId="13248" xr:uid="{00000000-0005-0000-0000-0000CE2B0000}"/>
    <cellStyle name="20 % - Markeringsfarve4 2 8 4 3 2" xfId="29527" xr:uid="{00000000-0005-0000-0000-0000CF2B0000}"/>
    <cellStyle name="20 % - Markeringsfarve4 2 8 4 3 3" xfId="44488" xr:uid="{00000000-0005-0000-0000-0000D02B0000}"/>
    <cellStyle name="20 % - Markeringsfarve4 2 8 4 4" xfId="22525" xr:uid="{00000000-0005-0000-0000-0000D12B0000}"/>
    <cellStyle name="20 % - Markeringsfarve4 2 8 4 5" xfId="37491" xr:uid="{00000000-0005-0000-0000-0000D22B0000}"/>
    <cellStyle name="20 % - Markeringsfarve4 2 8 5" xfId="7810" xr:uid="{00000000-0005-0000-0000-0000D32B0000}"/>
    <cellStyle name="20 % - Markeringsfarve4 2 8 5 2" xfId="15675" xr:uid="{00000000-0005-0000-0000-0000D42B0000}"/>
    <cellStyle name="20 % - Markeringsfarve4 2 8 5 2 2" xfId="31951" xr:uid="{00000000-0005-0000-0000-0000D52B0000}"/>
    <cellStyle name="20 % - Markeringsfarve4 2 8 5 2 3" xfId="46910" xr:uid="{00000000-0005-0000-0000-0000D62B0000}"/>
    <cellStyle name="20 % - Markeringsfarve4 2 8 5 3" xfId="24949" xr:uid="{00000000-0005-0000-0000-0000D72B0000}"/>
    <cellStyle name="20 % - Markeringsfarve4 2 8 5 4" xfId="39913" xr:uid="{00000000-0005-0000-0000-0000D82B0000}"/>
    <cellStyle name="20 % - Markeringsfarve4 2 8 6" xfId="13244" xr:uid="{00000000-0005-0000-0000-0000D92B0000}"/>
    <cellStyle name="20 % - Markeringsfarve4 2 8 6 2" xfId="29523" xr:uid="{00000000-0005-0000-0000-0000DA2B0000}"/>
    <cellStyle name="20 % - Markeringsfarve4 2 8 6 3" xfId="44484" xr:uid="{00000000-0005-0000-0000-0000DB2B0000}"/>
    <cellStyle name="20 % - Markeringsfarve4 2 8 7" xfId="22521" xr:uid="{00000000-0005-0000-0000-0000DC2B0000}"/>
    <cellStyle name="20 % - Markeringsfarve4 2 8 8" xfId="37487" xr:uid="{00000000-0005-0000-0000-0000DD2B0000}"/>
    <cellStyle name="20 % - Markeringsfarve4 2 9" xfId="4764" xr:uid="{00000000-0005-0000-0000-0000DE2B0000}"/>
    <cellStyle name="20 % - Markeringsfarve4 2 9 2" xfId="4765" xr:uid="{00000000-0005-0000-0000-0000DF2B0000}"/>
    <cellStyle name="20 % - Markeringsfarve4 2 9 2 2" xfId="9727" xr:uid="{00000000-0005-0000-0000-0000E02B0000}"/>
    <cellStyle name="20 % - Markeringsfarve4 2 9 2 2 2" xfId="17581" xr:uid="{00000000-0005-0000-0000-0000E12B0000}"/>
    <cellStyle name="20 % - Markeringsfarve4 2 9 2 2 2 2" xfId="33857" xr:uid="{00000000-0005-0000-0000-0000E22B0000}"/>
    <cellStyle name="20 % - Markeringsfarve4 2 9 2 2 2 3" xfId="48816" xr:uid="{00000000-0005-0000-0000-0000E32B0000}"/>
    <cellStyle name="20 % - Markeringsfarve4 2 9 2 2 3" xfId="26855" xr:uid="{00000000-0005-0000-0000-0000E42B0000}"/>
    <cellStyle name="20 % - Markeringsfarve4 2 9 2 2 4" xfId="41819" xr:uid="{00000000-0005-0000-0000-0000E52B0000}"/>
    <cellStyle name="20 % - Markeringsfarve4 2 9 2 3" xfId="13250" xr:uid="{00000000-0005-0000-0000-0000E62B0000}"/>
    <cellStyle name="20 % - Markeringsfarve4 2 9 2 3 2" xfId="29529" xr:uid="{00000000-0005-0000-0000-0000E72B0000}"/>
    <cellStyle name="20 % - Markeringsfarve4 2 9 2 3 3" xfId="44490" xr:uid="{00000000-0005-0000-0000-0000E82B0000}"/>
    <cellStyle name="20 % - Markeringsfarve4 2 9 2 4" xfId="22527" xr:uid="{00000000-0005-0000-0000-0000E92B0000}"/>
    <cellStyle name="20 % - Markeringsfarve4 2 9 2 5" xfId="37493" xr:uid="{00000000-0005-0000-0000-0000EA2B0000}"/>
    <cellStyle name="20 % - Markeringsfarve4 2 9 3" xfId="8325" xr:uid="{00000000-0005-0000-0000-0000EB2B0000}"/>
    <cellStyle name="20 % - Markeringsfarve4 2 9 3 2" xfId="16195" xr:uid="{00000000-0005-0000-0000-0000EC2B0000}"/>
    <cellStyle name="20 % - Markeringsfarve4 2 9 3 2 2" xfId="32471" xr:uid="{00000000-0005-0000-0000-0000ED2B0000}"/>
    <cellStyle name="20 % - Markeringsfarve4 2 9 3 2 3" xfId="47430" xr:uid="{00000000-0005-0000-0000-0000EE2B0000}"/>
    <cellStyle name="20 % - Markeringsfarve4 2 9 3 3" xfId="25469" xr:uid="{00000000-0005-0000-0000-0000EF2B0000}"/>
    <cellStyle name="20 % - Markeringsfarve4 2 9 3 4" xfId="40433" xr:uid="{00000000-0005-0000-0000-0000F02B0000}"/>
    <cellStyle name="20 % - Markeringsfarve4 2 9 4" xfId="13249" xr:uid="{00000000-0005-0000-0000-0000F12B0000}"/>
    <cellStyle name="20 % - Markeringsfarve4 2 9 4 2" xfId="29528" xr:uid="{00000000-0005-0000-0000-0000F22B0000}"/>
    <cellStyle name="20 % - Markeringsfarve4 2 9 4 3" xfId="44489" xr:uid="{00000000-0005-0000-0000-0000F32B0000}"/>
    <cellStyle name="20 % - Markeringsfarve4 2 9 5" xfId="22526" xr:uid="{00000000-0005-0000-0000-0000F42B0000}"/>
    <cellStyle name="20 % - Markeringsfarve4 2 9 6" xfId="37492" xr:uid="{00000000-0005-0000-0000-0000F52B0000}"/>
    <cellStyle name="20 % - Markeringsfarve4 3" xfId="4766" xr:uid="{00000000-0005-0000-0000-0000F62B0000}"/>
    <cellStyle name="20 % - Markeringsfarve4 3 10" xfId="4767" xr:uid="{00000000-0005-0000-0000-0000F72B0000}"/>
    <cellStyle name="20 % - Markeringsfarve4 3 10 2" xfId="8940" xr:uid="{00000000-0005-0000-0000-0000F82B0000}"/>
    <cellStyle name="20 % - Markeringsfarve4 3 10 2 2" xfId="16805" xr:uid="{00000000-0005-0000-0000-0000F92B0000}"/>
    <cellStyle name="20 % - Markeringsfarve4 3 10 2 2 2" xfId="33081" xr:uid="{00000000-0005-0000-0000-0000FA2B0000}"/>
    <cellStyle name="20 % - Markeringsfarve4 3 10 2 2 3" xfId="48040" xr:uid="{00000000-0005-0000-0000-0000FB2B0000}"/>
    <cellStyle name="20 % - Markeringsfarve4 3 10 2 3" xfId="26079" xr:uid="{00000000-0005-0000-0000-0000FC2B0000}"/>
    <cellStyle name="20 % - Markeringsfarve4 3 10 2 4" xfId="41043" xr:uid="{00000000-0005-0000-0000-0000FD2B0000}"/>
    <cellStyle name="20 % - Markeringsfarve4 3 10 3" xfId="13252" xr:uid="{00000000-0005-0000-0000-0000FE2B0000}"/>
    <cellStyle name="20 % - Markeringsfarve4 3 10 3 2" xfId="29531" xr:uid="{00000000-0005-0000-0000-0000FF2B0000}"/>
    <cellStyle name="20 % - Markeringsfarve4 3 10 3 3" xfId="44492" xr:uid="{00000000-0005-0000-0000-0000002C0000}"/>
    <cellStyle name="20 % - Markeringsfarve4 3 10 4" xfId="22529" xr:uid="{00000000-0005-0000-0000-0000012C0000}"/>
    <cellStyle name="20 % - Markeringsfarve4 3 10 5" xfId="37495" xr:uid="{00000000-0005-0000-0000-0000022C0000}"/>
    <cellStyle name="20 % - Markeringsfarve4 3 11" xfId="4768" xr:uid="{00000000-0005-0000-0000-0000032C0000}"/>
    <cellStyle name="20 % - Markeringsfarve4 3 11 2" xfId="10926" xr:uid="{00000000-0005-0000-0000-0000042C0000}"/>
    <cellStyle name="20 % - Markeringsfarve4 3 11 2 2" xfId="18761" xr:uid="{00000000-0005-0000-0000-0000052C0000}"/>
    <cellStyle name="20 % - Markeringsfarve4 3 11 2 2 2" xfId="35037" xr:uid="{00000000-0005-0000-0000-0000062C0000}"/>
    <cellStyle name="20 % - Markeringsfarve4 3 11 2 2 3" xfId="49996" xr:uid="{00000000-0005-0000-0000-0000072C0000}"/>
    <cellStyle name="20 % - Markeringsfarve4 3 11 2 3" xfId="28035" xr:uid="{00000000-0005-0000-0000-0000082C0000}"/>
    <cellStyle name="20 % - Markeringsfarve4 3 11 2 4" xfId="42999" xr:uid="{00000000-0005-0000-0000-0000092C0000}"/>
    <cellStyle name="20 % - Markeringsfarve4 3 11 3" xfId="13253" xr:uid="{00000000-0005-0000-0000-00000A2C0000}"/>
    <cellStyle name="20 % - Markeringsfarve4 3 11 3 2" xfId="29532" xr:uid="{00000000-0005-0000-0000-00000B2C0000}"/>
    <cellStyle name="20 % - Markeringsfarve4 3 11 3 3" xfId="44493" xr:uid="{00000000-0005-0000-0000-00000C2C0000}"/>
    <cellStyle name="20 % - Markeringsfarve4 3 11 4" xfId="22530" xr:uid="{00000000-0005-0000-0000-00000D2C0000}"/>
    <cellStyle name="20 % - Markeringsfarve4 3 11 5" xfId="37496" xr:uid="{00000000-0005-0000-0000-00000E2C0000}"/>
    <cellStyle name="20 % - Markeringsfarve4 3 12" xfId="7811" xr:uid="{00000000-0005-0000-0000-00000F2C0000}"/>
    <cellStyle name="20 % - Markeringsfarve4 3 12 2" xfId="15676" xr:uid="{00000000-0005-0000-0000-0000102C0000}"/>
    <cellStyle name="20 % - Markeringsfarve4 3 12 2 2" xfId="31952" xr:uid="{00000000-0005-0000-0000-0000112C0000}"/>
    <cellStyle name="20 % - Markeringsfarve4 3 12 2 3" xfId="46911" xr:uid="{00000000-0005-0000-0000-0000122C0000}"/>
    <cellStyle name="20 % - Markeringsfarve4 3 12 3" xfId="24950" xr:uid="{00000000-0005-0000-0000-0000132C0000}"/>
    <cellStyle name="20 % - Markeringsfarve4 3 12 4" xfId="39914" xr:uid="{00000000-0005-0000-0000-0000142C0000}"/>
    <cellStyle name="20 % - Markeringsfarve4 3 13" xfId="13251" xr:uid="{00000000-0005-0000-0000-0000152C0000}"/>
    <cellStyle name="20 % - Markeringsfarve4 3 13 2" xfId="29530" xr:uid="{00000000-0005-0000-0000-0000162C0000}"/>
    <cellStyle name="20 % - Markeringsfarve4 3 13 3" xfId="44491" xr:uid="{00000000-0005-0000-0000-0000172C0000}"/>
    <cellStyle name="20 % - Markeringsfarve4 3 14" xfId="22528" xr:uid="{00000000-0005-0000-0000-0000182C0000}"/>
    <cellStyle name="20 % - Markeringsfarve4 3 15" xfId="37494" xr:uid="{00000000-0005-0000-0000-0000192C0000}"/>
    <cellStyle name="20 % - Markeringsfarve4 3 2" xfId="4769" xr:uid="{00000000-0005-0000-0000-00001A2C0000}"/>
    <cellStyle name="20 % - Markeringsfarve4 3 2 10" xfId="7812" xr:uid="{00000000-0005-0000-0000-00001B2C0000}"/>
    <cellStyle name="20 % - Markeringsfarve4 3 2 10 2" xfId="15677" xr:uid="{00000000-0005-0000-0000-00001C2C0000}"/>
    <cellStyle name="20 % - Markeringsfarve4 3 2 10 2 2" xfId="31953" xr:uid="{00000000-0005-0000-0000-00001D2C0000}"/>
    <cellStyle name="20 % - Markeringsfarve4 3 2 10 2 3" xfId="46912" xr:uid="{00000000-0005-0000-0000-00001E2C0000}"/>
    <cellStyle name="20 % - Markeringsfarve4 3 2 10 3" xfId="24951" xr:uid="{00000000-0005-0000-0000-00001F2C0000}"/>
    <cellStyle name="20 % - Markeringsfarve4 3 2 10 4" xfId="39915" xr:uid="{00000000-0005-0000-0000-0000202C0000}"/>
    <cellStyle name="20 % - Markeringsfarve4 3 2 11" xfId="13254" xr:uid="{00000000-0005-0000-0000-0000212C0000}"/>
    <cellStyle name="20 % - Markeringsfarve4 3 2 11 2" xfId="29533" xr:uid="{00000000-0005-0000-0000-0000222C0000}"/>
    <cellStyle name="20 % - Markeringsfarve4 3 2 11 3" xfId="44494" xr:uid="{00000000-0005-0000-0000-0000232C0000}"/>
    <cellStyle name="20 % - Markeringsfarve4 3 2 12" xfId="22531" xr:uid="{00000000-0005-0000-0000-0000242C0000}"/>
    <cellStyle name="20 % - Markeringsfarve4 3 2 13" xfId="37497" xr:uid="{00000000-0005-0000-0000-0000252C0000}"/>
    <cellStyle name="20 % - Markeringsfarve4 3 2 2" xfId="4770" xr:uid="{00000000-0005-0000-0000-0000262C0000}"/>
    <cellStyle name="20 % - Markeringsfarve4 3 2 2 2" xfId="4771" xr:uid="{00000000-0005-0000-0000-0000272C0000}"/>
    <cellStyle name="20 % - Markeringsfarve4 3 2 2 2 2" xfId="4772" xr:uid="{00000000-0005-0000-0000-0000282C0000}"/>
    <cellStyle name="20 % - Markeringsfarve4 3 2 2 2 2 2" xfId="9872" xr:uid="{00000000-0005-0000-0000-0000292C0000}"/>
    <cellStyle name="20 % - Markeringsfarve4 3 2 2 2 2 2 2" xfId="17727" xr:uid="{00000000-0005-0000-0000-00002A2C0000}"/>
    <cellStyle name="20 % - Markeringsfarve4 3 2 2 2 2 2 2 2" xfId="34003" xr:uid="{00000000-0005-0000-0000-00002B2C0000}"/>
    <cellStyle name="20 % - Markeringsfarve4 3 2 2 2 2 2 2 3" xfId="48962" xr:uid="{00000000-0005-0000-0000-00002C2C0000}"/>
    <cellStyle name="20 % - Markeringsfarve4 3 2 2 2 2 2 3" xfId="27001" xr:uid="{00000000-0005-0000-0000-00002D2C0000}"/>
    <cellStyle name="20 % - Markeringsfarve4 3 2 2 2 2 2 4" xfId="41965" xr:uid="{00000000-0005-0000-0000-00002E2C0000}"/>
    <cellStyle name="20 % - Markeringsfarve4 3 2 2 2 2 3" xfId="13257" xr:uid="{00000000-0005-0000-0000-00002F2C0000}"/>
    <cellStyle name="20 % - Markeringsfarve4 3 2 2 2 2 3 2" xfId="29536" xr:uid="{00000000-0005-0000-0000-0000302C0000}"/>
    <cellStyle name="20 % - Markeringsfarve4 3 2 2 2 2 3 3" xfId="44497" xr:uid="{00000000-0005-0000-0000-0000312C0000}"/>
    <cellStyle name="20 % - Markeringsfarve4 3 2 2 2 2 4" xfId="22534" xr:uid="{00000000-0005-0000-0000-0000322C0000}"/>
    <cellStyle name="20 % - Markeringsfarve4 3 2 2 2 2 5" xfId="37500" xr:uid="{00000000-0005-0000-0000-0000332C0000}"/>
    <cellStyle name="20 % - Markeringsfarve4 3 2 2 2 3" xfId="8447" xr:uid="{00000000-0005-0000-0000-0000342C0000}"/>
    <cellStyle name="20 % - Markeringsfarve4 3 2 2 2 3 2" xfId="16317" xr:uid="{00000000-0005-0000-0000-0000352C0000}"/>
    <cellStyle name="20 % - Markeringsfarve4 3 2 2 2 3 2 2" xfId="32593" xr:uid="{00000000-0005-0000-0000-0000362C0000}"/>
    <cellStyle name="20 % - Markeringsfarve4 3 2 2 2 3 2 3" xfId="47552" xr:uid="{00000000-0005-0000-0000-0000372C0000}"/>
    <cellStyle name="20 % - Markeringsfarve4 3 2 2 2 3 3" xfId="25591" xr:uid="{00000000-0005-0000-0000-0000382C0000}"/>
    <cellStyle name="20 % - Markeringsfarve4 3 2 2 2 3 4" xfId="40555" xr:uid="{00000000-0005-0000-0000-0000392C0000}"/>
    <cellStyle name="20 % - Markeringsfarve4 3 2 2 2 4" xfId="13256" xr:uid="{00000000-0005-0000-0000-00003A2C0000}"/>
    <cellStyle name="20 % - Markeringsfarve4 3 2 2 2 4 2" xfId="29535" xr:uid="{00000000-0005-0000-0000-00003B2C0000}"/>
    <cellStyle name="20 % - Markeringsfarve4 3 2 2 2 4 3" xfId="44496" xr:uid="{00000000-0005-0000-0000-00003C2C0000}"/>
    <cellStyle name="20 % - Markeringsfarve4 3 2 2 2 5" xfId="22533" xr:uid="{00000000-0005-0000-0000-00003D2C0000}"/>
    <cellStyle name="20 % - Markeringsfarve4 3 2 2 2 6" xfId="37499" xr:uid="{00000000-0005-0000-0000-00003E2C0000}"/>
    <cellStyle name="20 % - Markeringsfarve4 3 2 2 3" xfId="4773" xr:uid="{00000000-0005-0000-0000-00003F2C0000}"/>
    <cellStyle name="20 % - Markeringsfarve4 3 2 2 3 2" xfId="9103" xr:uid="{00000000-0005-0000-0000-0000402C0000}"/>
    <cellStyle name="20 % - Markeringsfarve4 3 2 2 3 2 2" xfId="16967" xr:uid="{00000000-0005-0000-0000-0000412C0000}"/>
    <cellStyle name="20 % - Markeringsfarve4 3 2 2 3 2 2 2" xfId="33243" xr:uid="{00000000-0005-0000-0000-0000422C0000}"/>
    <cellStyle name="20 % - Markeringsfarve4 3 2 2 3 2 2 3" xfId="48202" xr:uid="{00000000-0005-0000-0000-0000432C0000}"/>
    <cellStyle name="20 % - Markeringsfarve4 3 2 2 3 2 3" xfId="26241" xr:uid="{00000000-0005-0000-0000-0000442C0000}"/>
    <cellStyle name="20 % - Markeringsfarve4 3 2 2 3 2 4" xfId="41205" xr:uid="{00000000-0005-0000-0000-0000452C0000}"/>
    <cellStyle name="20 % - Markeringsfarve4 3 2 2 3 3" xfId="13258" xr:uid="{00000000-0005-0000-0000-0000462C0000}"/>
    <cellStyle name="20 % - Markeringsfarve4 3 2 2 3 3 2" xfId="29537" xr:uid="{00000000-0005-0000-0000-0000472C0000}"/>
    <cellStyle name="20 % - Markeringsfarve4 3 2 2 3 3 3" xfId="44498" xr:uid="{00000000-0005-0000-0000-0000482C0000}"/>
    <cellStyle name="20 % - Markeringsfarve4 3 2 2 3 4" xfId="22535" xr:uid="{00000000-0005-0000-0000-0000492C0000}"/>
    <cellStyle name="20 % - Markeringsfarve4 3 2 2 3 5" xfId="37501" xr:uid="{00000000-0005-0000-0000-00004A2C0000}"/>
    <cellStyle name="20 % - Markeringsfarve4 3 2 2 4" xfId="4774" xr:uid="{00000000-0005-0000-0000-00004B2C0000}"/>
    <cellStyle name="20 % - Markeringsfarve4 3 2 2 4 2" xfId="10886" xr:uid="{00000000-0005-0000-0000-00004C2C0000}"/>
    <cellStyle name="20 % - Markeringsfarve4 3 2 2 4 2 2" xfId="18722" xr:uid="{00000000-0005-0000-0000-00004D2C0000}"/>
    <cellStyle name="20 % - Markeringsfarve4 3 2 2 4 2 2 2" xfId="34998" xr:uid="{00000000-0005-0000-0000-00004E2C0000}"/>
    <cellStyle name="20 % - Markeringsfarve4 3 2 2 4 2 2 3" xfId="49957" xr:uid="{00000000-0005-0000-0000-00004F2C0000}"/>
    <cellStyle name="20 % - Markeringsfarve4 3 2 2 4 2 3" xfId="27996" xr:uid="{00000000-0005-0000-0000-0000502C0000}"/>
    <cellStyle name="20 % - Markeringsfarve4 3 2 2 4 2 4" xfId="42960" xr:uid="{00000000-0005-0000-0000-0000512C0000}"/>
    <cellStyle name="20 % - Markeringsfarve4 3 2 2 4 3" xfId="13259" xr:uid="{00000000-0005-0000-0000-0000522C0000}"/>
    <cellStyle name="20 % - Markeringsfarve4 3 2 2 4 3 2" xfId="29538" xr:uid="{00000000-0005-0000-0000-0000532C0000}"/>
    <cellStyle name="20 % - Markeringsfarve4 3 2 2 4 3 3" xfId="44499" xr:uid="{00000000-0005-0000-0000-0000542C0000}"/>
    <cellStyle name="20 % - Markeringsfarve4 3 2 2 4 4" xfId="22536" xr:uid="{00000000-0005-0000-0000-0000552C0000}"/>
    <cellStyle name="20 % - Markeringsfarve4 3 2 2 4 5" xfId="37502" xr:uid="{00000000-0005-0000-0000-0000562C0000}"/>
    <cellStyle name="20 % - Markeringsfarve4 3 2 2 5" xfId="7813" xr:uid="{00000000-0005-0000-0000-0000572C0000}"/>
    <cellStyle name="20 % - Markeringsfarve4 3 2 2 5 2" xfId="15678" xr:uid="{00000000-0005-0000-0000-0000582C0000}"/>
    <cellStyle name="20 % - Markeringsfarve4 3 2 2 5 2 2" xfId="31954" xr:uid="{00000000-0005-0000-0000-0000592C0000}"/>
    <cellStyle name="20 % - Markeringsfarve4 3 2 2 5 2 3" xfId="46913" xr:uid="{00000000-0005-0000-0000-00005A2C0000}"/>
    <cellStyle name="20 % - Markeringsfarve4 3 2 2 5 3" xfId="24952" xr:uid="{00000000-0005-0000-0000-00005B2C0000}"/>
    <cellStyle name="20 % - Markeringsfarve4 3 2 2 5 4" xfId="39916" xr:uid="{00000000-0005-0000-0000-00005C2C0000}"/>
    <cellStyle name="20 % - Markeringsfarve4 3 2 2 6" xfId="13255" xr:uid="{00000000-0005-0000-0000-00005D2C0000}"/>
    <cellStyle name="20 % - Markeringsfarve4 3 2 2 6 2" xfId="29534" xr:uid="{00000000-0005-0000-0000-00005E2C0000}"/>
    <cellStyle name="20 % - Markeringsfarve4 3 2 2 6 3" xfId="44495" xr:uid="{00000000-0005-0000-0000-00005F2C0000}"/>
    <cellStyle name="20 % - Markeringsfarve4 3 2 2 7" xfId="22532" xr:uid="{00000000-0005-0000-0000-0000602C0000}"/>
    <cellStyle name="20 % - Markeringsfarve4 3 2 2 8" xfId="37498" xr:uid="{00000000-0005-0000-0000-0000612C0000}"/>
    <cellStyle name="20 % - Markeringsfarve4 3 2 3" xfId="4775" xr:uid="{00000000-0005-0000-0000-0000622C0000}"/>
    <cellStyle name="20 % - Markeringsfarve4 3 2 3 2" xfId="4776" xr:uid="{00000000-0005-0000-0000-0000632C0000}"/>
    <cellStyle name="20 % - Markeringsfarve4 3 2 3 2 2" xfId="4777" xr:uid="{00000000-0005-0000-0000-0000642C0000}"/>
    <cellStyle name="20 % - Markeringsfarve4 3 2 3 2 2 2" xfId="9962" xr:uid="{00000000-0005-0000-0000-0000652C0000}"/>
    <cellStyle name="20 % - Markeringsfarve4 3 2 3 2 2 2 2" xfId="17817" xr:uid="{00000000-0005-0000-0000-0000662C0000}"/>
    <cellStyle name="20 % - Markeringsfarve4 3 2 3 2 2 2 2 2" xfId="34093" xr:uid="{00000000-0005-0000-0000-0000672C0000}"/>
    <cellStyle name="20 % - Markeringsfarve4 3 2 3 2 2 2 2 3" xfId="49052" xr:uid="{00000000-0005-0000-0000-0000682C0000}"/>
    <cellStyle name="20 % - Markeringsfarve4 3 2 3 2 2 2 3" xfId="27091" xr:uid="{00000000-0005-0000-0000-0000692C0000}"/>
    <cellStyle name="20 % - Markeringsfarve4 3 2 3 2 2 2 4" xfId="42055" xr:uid="{00000000-0005-0000-0000-00006A2C0000}"/>
    <cellStyle name="20 % - Markeringsfarve4 3 2 3 2 2 3" xfId="13262" xr:uid="{00000000-0005-0000-0000-00006B2C0000}"/>
    <cellStyle name="20 % - Markeringsfarve4 3 2 3 2 2 3 2" xfId="29541" xr:uid="{00000000-0005-0000-0000-00006C2C0000}"/>
    <cellStyle name="20 % - Markeringsfarve4 3 2 3 2 2 3 3" xfId="44502" xr:uid="{00000000-0005-0000-0000-00006D2C0000}"/>
    <cellStyle name="20 % - Markeringsfarve4 3 2 3 2 2 4" xfId="22539" xr:uid="{00000000-0005-0000-0000-00006E2C0000}"/>
    <cellStyle name="20 % - Markeringsfarve4 3 2 3 2 2 5" xfId="37505" xr:uid="{00000000-0005-0000-0000-00006F2C0000}"/>
    <cellStyle name="20 % - Markeringsfarve4 3 2 3 2 3" xfId="8527" xr:uid="{00000000-0005-0000-0000-0000702C0000}"/>
    <cellStyle name="20 % - Markeringsfarve4 3 2 3 2 3 2" xfId="16397" xr:uid="{00000000-0005-0000-0000-0000712C0000}"/>
    <cellStyle name="20 % - Markeringsfarve4 3 2 3 2 3 2 2" xfId="32673" xr:uid="{00000000-0005-0000-0000-0000722C0000}"/>
    <cellStyle name="20 % - Markeringsfarve4 3 2 3 2 3 2 3" xfId="47632" xr:uid="{00000000-0005-0000-0000-0000732C0000}"/>
    <cellStyle name="20 % - Markeringsfarve4 3 2 3 2 3 3" xfId="25671" xr:uid="{00000000-0005-0000-0000-0000742C0000}"/>
    <cellStyle name="20 % - Markeringsfarve4 3 2 3 2 3 4" xfId="40635" xr:uid="{00000000-0005-0000-0000-0000752C0000}"/>
    <cellStyle name="20 % - Markeringsfarve4 3 2 3 2 4" xfId="13261" xr:uid="{00000000-0005-0000-0000-0000762C0000}"/>
    <cellStyle name="20 % - Markeringsfarve4 3 2 3 2 4 2" xfId="29540" xr:uid="{00000000-0005-0000-0000-0000772C0000}"/>
    <cellStyle name="20 % - Markeringsfarve4 3 2 3 2 4 3" xfId="44501" xr:uid="{00000000-0005-0000-0000-0000782C0000}"/>
    <cellStyle name="20 % - Markeringsfarve4 3 2 3 2 5" xfId="22538" xr:uid="{00000000-0005-0000-0000-0000792C0000}"/>
    <cellStyle name="20 % - Markeringsfarve4 3 2 3 2 6" xfId="37504" xr:uid="{00000000-0005-0000-0000-00007A2C0000}"/>
    <cellStyle name="20 % - Markeringsfarve4 3 2 3 3" xfId="4778" xr:uid="{00000000-0005-0000-0000-00007B2C0000}"/>
    <cellStyle name="20 % - Markeringsfarve4 3 2 3 3 2" xfId="9193" xr:uid="{00000000-0005-0000-0000-00007C2C0000}"/>
    <cellStyle name="20 % - Markeringsfarve4 3 2 3 3 2 2" xfId="17057" xr:uid="{00000000-0005-0000-0000-00007D2C0000}"/>
    <cellStyle name="20 % - Markeringsfarve4 3 2 3 3 2 2 2" xfId="33333" xr:uid="{00000000-0005-0000-0000-00007E2C0000}"/>
    <cellStyle name="20 % - Markeringsfarve4 3 2 3 3 2 2 3" xfId="48292" xr:uid="{00000000-0005-0000-0000-00007F2C0000}"/>
    <cellStyle name="20 % - Markeringsfarve4 3 2 3 3 2 3" xfId="26331" xr:uid="{00000000-0005-0000-0000-0000802C0000}"/>
    <cellStyle name="20 % - Markeringsfarve4 3 2 3 3 2 4" xfId="41295" xr:uid="{00000000-0005-0000-0000-0000812C0000}"/>
    <cellStyle name="20 % - Markeringsfarve4 3 2 3 3 3" xfId="13263" xr:uid="{00000000-0005-0000-0000-0000822C0000}"/>
    <cellStyle name="20 % - Markeringsfarve4 3 2 3 3 3 2" xfId="29542" xr:uid="{00000000-0005-0000-0000-0000832C0000}"/>
    <cellStyle name="20 % - Markeringsfarve4 3 2 3 3 3 3" xfId="44503" xr:uid="{00000000-0005-0000-0000-0000842C0000}"/>
    <cellStyle name="20 % - Markeringsfarve4 3 2 3 3 4" xfId="22540" xr:uid="{00000000-0005-0000-0000-0000852C0000}"/>
    <cellStyle name="20 % - Markeringsfarve4 3 2 3 3 5" xfId="37506" xr:uid="{00000000-0005-0000-0000-0000862C0000}"/>
    <cellStyle name="20 % - Markeringsfarve4 3 2 3 4" xfId="4779" xr:uid="{00000000-0005-0000-0000-0000872C0000}"/>
    <cellStyle name="20 % - Markeringsfarve4 3 2 3 4 2" xfId="10610" xr:uid="{00000000-0005-0000-0000-0000882C0000}"/>
    <cellStyle name="20 % - Markeringsfarve4 3 2 3 4 2 2" xfId="18458" xr:uid="{00000000-0005-0000-0000-0000892C0000}"/>
    <cellStyle name="20 % - Markeringsfarve4 3 2 3 4 2 2 2" xfId="34734" xr:uid="{00000000-0005-0000-0000-00008A2C0000}"/>
    <cellStyle name="20 % - Markeringsfarve4 3 2 3 4 2 2 3" xfId="49693" xr:uid="{00000000-0005-0000-0000-00008B2C0000}"/>
    <cellStyle name="20 % - Markeringsfarve4 3 2 3 4 2 3" xfId="27732" xr:uid="{00000000-0005-0000-0000-00008C2C0000}"/>
    <cellStyle name="20 % - Markeringsfarve4 3 2 3 4 2 4" xfId="42696" xr:uid="{00000000-0005-0000-0000-00008D2C0000}"/>
    <cellStyle name="20 % - Markeringsfarve4 3 2 3 4 3" xfId="13264" xr:uid="{00000000-0005-0000-0000-00008E2C0000}"/>
    <cellStyle name="20 % - Markeringsfarve4 3 2 3 4 3 2" xfId="29543" xr:uid="{00000000-0005-0000-0000-00008F2C0000}"/>
    <cellStyle name="20 % - Markeringsfarve4 3 2 3 4 3 3" xfId="44504" xr:uid="{00000000-0005-0000-0000-0000902C0000}"/>
    <cellStyle name="20 % - Markeringsfarve4 3 2 3 4 4" xfId="22541" xr:uid="{00000000-0005-0000-0000-0000912C0000}"/>
    <cellStyle name="20 % - Markeringsfarve4 3 2 3 4 5" xfId="37507" xr:uid="{00000000-0005-0000-0000-0000922C0000}"/>
    <cellStyle name="20 % - Markeringsfarve4 3 2 3 5" xfId="7814" xr:uid="{00000000-0005-0000-0000-0000932C0000}"/>
    <cellStyle name="20 % - Markeringsfarve4 3 2 3 5 2" xfId="15679" xr:uid="{00000000-0005-0000-0000-0000942C0000}"/>
    <cellStyle name="20 % - Markeringsfarve4 3 2 3 5 2 2" xfId="31955" xr:uid="{00000000-0005-0000-0000-0000952C0000}"/>
    <cellStyle name="20 % - Markeringsfarve4 3 2 3 5 2 3" xfId="46914" xr:uid="{00000000-0005-0000-0000-0000962C0000}"/>
    <cellStyle name="20 % - Markeringsfarve4 3 2 3 5 3" xfId="24953" xr:uid="{00000000-0005-0000-0000-0000972C0000}"/>
    <cellStyle name="20 % - Markeringsfarve4 3 2 3 5 4" xfId="39917" xr:uid="{00000000-0005-0000-0000-0000982C0000}"/>
    <cellStyle name="20 % - Markeringsfarve4 3 2 3 6" xfId="13260" xr:uid="{00000000-0005-0000-0000-0000992C0000}"/>
    <cellStyle name="20 % - Markeringsfarve4 3 2 3 6 2" xfId="29539" xr:uid="{00000000-0005-0000-0000-00009A2C0000}"/>
    <cellStyle name="20 % - Markeringsfarve4 3 2 3 6 3" xfId="44500" xr:uid="{00000000-0005-0000-0000-00009B2C0000}"/>
    <cellStyle name="20 % - Markeringsfarve4 3 2 3 7" xfId="22537" xr:uid="{00000000-0005-0000-0000-00009C2C0000}"/>
    <cellStyle name="20 % - Markeringsfarve4 3 2 3 8" xfId="37503" xr:uid="{00000000-0005-0000-0000-00009D2C0000}"/>
    <cellStyle name="20 % - Markeringsfarve4 3 2 4" xfId="4780" xr:uid="{00000000-0005-0000-0000-00009E2C0000}"/>
    <cellStyle name="20 % - Markeringsfarve4 3 2 4 2" xfId="4781" xr:uid="{00000000-0005-0000-0000-00009F2C0000}"/>
    <cellStyle name="20 % - Markeringsfarve4 3 2 4 2 2" xfId="4782" xr:uid="{00000000-0005-0000-0000-0000A02C0000}"/>
    <cellStyle name="20 % - Markeringsfarve4 3 2 4 2 2 2" xfId="10110" xr:uid="{00000000-0005-0000-0000-0000A12C0000}"/>
    <cellStyle name="20 % - Markeringsfarve4 3 2 4 2 2 2 2" xfId="17965" xr:uid="{00000000-0005-0000-0000-0000A22C0000}"/>
    <cellStyle name="20 % - Markeringsfarve4 3 2 4 2 2 2 2 2" xfId="34241" xr:uid="{00000000-0005-0000-0000-0000A32C0000}"/>
    <cellStyle name="20 % - Markeringsfarve4 3 2 4 2 2 2 2 3" xfId="49200" xr:uid="{00000000-0005-0000-0000-0000A42C0000}"/>
    <cellStyle name="20 % - Markeringsfarve4 3 2 4 2 2 2 3" xfId="27239" xr:uid="{00000000-0005-0000-0000-0000A52C0000}"/>
    <cellStyle name="20 % - Markeringsfarve4 3 2 4 2 2 2 4" xfId="42203" xr:uid="{00000000-0005-0000-0000-0000A62C0000}"/>
    <cellStyle name="20 % - Markeringsfarve4 3 2 4 2 2 3" xfId="13267" xr:uid="{00000000-0005-0000-0000-0000A72C0000}"/>
    <cellStyle name="20 % - Markeringsfarve4 3 2 4 2 2 3 2" xfId="29546" xr:uid="{00000000-0005-0000-0000-0000A82C0000}"/>
    <cellStyle name="20 % - Markeringsfarve4 3 2 4 2 2 3 3" xfId="44507" xr:uid="{00000000-0005-0000-0000-0000A92C0000}"/>
    <cellStyle name="20 % - Markeringsfarve4 3 2 4 2 2 4" xfId="22544" xr:uid="{00000000-0005-0000-0000-0000AA2C0000}"/>
    <cellStyle name="20 % - Markeringsfarve4 3 2 4 2 2 5" xfId="37510" xr:uid="{00000000-0005-0000-0000-0000AB2C0000}"/>
    <cellStyle name="20 % - Markeringsfarve4 3 2 4 2 3" xfId="8649" xr:uid="{00000000-0005-0000-0000-0000AC2C0000}"/>
    <cellStyle name="20 % - Markeringsfarve4 3 2 4 2 3 2" xfId="16516" xr:uid="{00000000-0005-0000-0000-0000AD2C0000}"/>
    <cellStyle name="20 % - Markeringsfarve4 3 2 4 2 3 2 2" xfId="32792" xr:uid="{00000000-0005-0000-0000-0000AE2C0000}"/>
    <cellStyle name="20 % - Markeringsfarve4 3 2 4 2 3 2 3" xfId="47751" xr:uid="{00000000-0005-0000-0000-0000AF2C0000}"/>
    <cellStyle name="20 % - Markeringsfarve4 3 2 4 2 3 3" xfId="25790" xr:uid="{00000000-0005-0000-0000-0000B02C0000}"/>
    <cellStyle name="20 % - Markeringsfarve4 3 2 4 2 3 4" xfId="40754" xr:uid="{00000000-0005-0000-0000-0000B12C0000}"/>
    <cellStyle name="20 % - Markeringsfarve4 3 2 4 2 4" xfId="13266" xr:uid="{00000000-0005-0000-0000-0000B22C0000}"/>
    <cellStyle name="20 % - Markeringsfarve4 3 2 4 2 4 2" xfId="29545" xr:uid="{00000000-0005-0000-0000-0000B32C0000}"/>
    <cellStyle name="20 % - Markeringsfarve4 3 2 4 2 4 3" xfId="44506" xr:uid="{00000000-0005-0000-0000-0000B42C0000}"/>
    <cellStyle name="20 % - Markeringsfarve4 3 2 4 2 5" xfId="22543" xr:uid="{00000000-0005-0000-0000-0000B52C0000}"/>
    <cellStyle name="20 % - Markeringsfarve4 3 2 4 2 6" xfId="37509" xr:uid="{00000000-0005-0000-0000-0000B62C0000}"/>
    <cellStyle name="20 % - Markeringsfarve4 3 2 4 3" xfId="4783" xr:uid="{00000000-0005-0000-0000-0000B72C0000}"/>
    <cellStyle name="20 % - Markeringsfarve4 3 2 4 3 2" xfId="9387" xr:uid="{00000000-0005-0000-0000-0000B82C0000}"/>
    <cellStyle name="20 % - Markeringsfarve4 3 2 4 3 2 2" xfId="17250" xr:uid="{00000000-0005-0000-0000-0000B92C0000}"/>
    <cellStyle name="20 % - Markeringsfarve4 3 2 4 3 2 2 2" xfId="33526" xr:uid="{00000000-0005-0000-0000-0000BA2C0000}"/>
    <cellStyle name="20 % - Markeringsfarve4 3 2 4 3 2 2 3" xfId="48485" xr:uid="{00000000-0005-0000-0000-0000BB2C0000}"/>
    <cellStyle name="20 % - Markeringsfarve4 3 2 4 3 2 3" xfId="26524" xr:uid="{00000000-0005-0000-0000-0000BC2C0000}"/>
    <cellStyle name="20 % - Markeringsfarve4 3 2 4 3 2 4" xfId="41488" xr:uid="{00000000-0005-0000-0000-0000BD2C0000}"/>
    <cellStyle name="20 % - Markeringsfarve4 3 2 4 3 3" xfId="13268" xr:uid="{00000000-0005-0000-0000-0000BE2C0000}"/>
    <cellStyle name="20 % - Markeringsfarve4 3 2 4 3 3 2" xfId="29547" xr:uid="{00000000-0005-0000-0000-0000BF2C0000}"/>
    <cellStyle name="20 % - Markeringsfarve4 3 2 4 3 3 3" xfId="44508" xr:uid="{00000000-0005-0000-0000-0000C02C0000}"/>
    <cellStyle name="20 % - Markeringsfarve4 3 2 4 3 4" xfId="22545" xr:uid="{00000000-0005-0000-0000-0000C12C0000}"/>
    <cellStyle name="20 % - Markeringsfarve4 3 2 4 3 5" xfId="37511" xr:uid="{00000000-0005-0000-0000-0000C22C0000}"/>
    <cellStyle name="20 % - Markeringsfarve4 3 2 4 4" xfId="4784" xr:uid="{00000000-0005-0000-0000-0000C32C0000}"/>
    <cellStyle name="20 % - Markeringsfarve4 3 2 4 4 2" xfId="10858" xr:uid="{00000000-0005-0000-0000-0000C42C0000}"/>
    <cellStyle name="20 % - Markeringsfarve4 3 2 4 4 2 2" xfId="18696" xr:uid="{00000000-0005-0000-0000-0000C52C0000}"/>
    <cellStyle name="20 % - Markeringsfarve4 3 2 4 4 2 2 2" xfId="34972" xr:uid="{00000000-0005-0000-0000-0000C62C0000}"/>
    <cellStyle name="20 % - Markeringsfarve4 3 2 4 4 2 2 3" xfId="49931" xr:uid="{00000000-0005-0000-0000-0000C72C0000}"/>
    <cellStyle name="20 % - Markeringsfarve4 3 2 4 4 2 3" xfId="27970" xr:uid="{00000000-0005-0000-0000-0000C82C0000}"/>
    <cellStyle name="20 % - Markeringsfarve4 3 2 4 4 2 4" xfId="42934" xr:uid="{00000000-0005-0000-0000-0000C92C0000}"/>
    <cellStyle name="20 % - Markeringsfarve4 3 2 4 4 3" xfId="13269" xr:uid="{00000000-0005-0000-0000-0000CA2C0000}"/>
    <cellStyle name="20 % - Markeringsfarve4 3 2 4 4 3 2" xfId="29548" xr:uid="{00000000-0005-0000-0000-0000CB2C0000}"/>
    <cellStyle name="20 % - Markeringsfarve4 3 2 4 4 3 3" xfId="44509" xr:uid="{00000000-0005-0000-0000-0000CC2C0000}"/>
    <cellStyle name="20 % - Markeringsfarve4 3 2 4 4 4" xfId="22546" xr:uid="{00000000-0005-0000-0000-0000CD2C0000}"/>
    <cellStyle name="20 % - Markeringsfarve4 3 2 4 4 5" xfId="37512" xr:uid="{00000000-0005-0000-0000-0000CE2C0000}"/>
    <cellStyle name="20 % - Markeringsfarve4 3 2 4 5" xfId="7815" xr:uid="{00000000-0005-0000-0000-0000CF2C0000}"/>
    <cellStyle name="20 % - Markeringsfarve4 3 2 4 5 2" xfId="15680" xr:uid="{00000000-0005-0000-0000-0000D02C0000}"/>
    <cellStyle name="20 % - Markeringsfarve4 3 2 4 5 2 2" xfId="31956" xr:uid="{00000000-0005-0000-0000-0000D12C0000}"/>
    <cellStyle name="20 % - Markeringsfarve4 3 2 4 5 2 3" xfId="46915" xr:uid="{00000000-0005-0000-0000-0000D22C0000}"/>
    <cellStyle name="20 % - Markeringsfarve4 3 2 4 5 3" xfId="24954" xr:uid="{00000000-0005-0000-0000-0000D32C0000}"/>
    <cellStyle name="20 % - Markeringsfarve4 3 2 4 5 4" xfId="39918" xr:uid="{00000000-0005-0000-0000-0000D42C0000}"/>
    <cellStyle name="20 % - Markeringsfarve4 3 2 4 6" xfId="13265" xr:uid="{00000000-0005-0000-0000-0000D52C0000}"/>
    <cellStyle name="20 % - Markeringsfarve4 3 2 4 6 2" xfId="29544" xr:uid="{00000000-0005-0000-0000-0000D62C0000}"/>
    <cellStyle name="20 % - Markeringsfarve4 3 2 4 6 3" xfId="44505" xr:uid="{00000000-0005-0000-0000-0000D72C0000}"/>
    <cellStyle name="20 % - Markeringsfarve4 3 2 4 7" xfId="22542" xr:uid="{00000000-0005-0000-0000-0000D82C0000}"/>
    <cellStyle name="20 % - Markeringsfarve4 3 2 4 8" xfId="37508" xr:uid="{00000000-0005-0000-0000-0000D92C0000}"/>
    <cellStyle name="20 % - Markeringsfarve4 3 2 5" xfId="4785" xr:uid="{00000000-0005-0000-0000-0000DA2C0000}"/>
    <cellStyle name="20 % - Markeringsfarve4 3 2 5 2" xfId="4786" xr:uid="{00000000-0005-0000-0000-0000DB2C0000}"/>
    <cellStyle name="20 % - Markeringsfarve4 3 2 5 2 2" xfId="4787" xr:uid="{00000000-0005-0000-0000-0000DC2C0000}"/>
    <cellStyle name="20 % - Markeringsfarve4 3 2 5 2 2 2" xfId="10227" xr:uid="{00000000-0005-0000-0000-0000DD2C0000}"/>
    <cellStyle name="20 % - Markeringsfarve4 3 2 5 2 2 2 2" xfId="18082" xr:uid="{00000000-0005-0000-0000-0000DE2C0000}"/>
    <cellStyle name="20 % - Markeringsfarve4 3 2 5 2 2 2 2 2" xfId="34358" xr:uid="{00000000-0005-0000-0000-0000DF2C0000}"/>
    <cellStyle name="20 % - Markeringsfarve4 3 2 5 2 2 2 2 3" xfId="49317" xr:uid="{00000000-0005-0000-0000-0000E02C0000}"/>
    <cellStyle name="20 % - Markeringsfarve4 3 2 5 2 2 2 3" xfId="27356" xr:uid="{00000000-0005-0000-0000-0000E12C0000}"/>
    <cellStyle name="20 % - Markeringsfarve4 3 2 5 2 2 2 4" xfId="42320" xr:uid="{00000000-0005-0000-0000-0000E22C0000}"/>
    <cellStyle name="20 % - Markeringsfarve4 3 2 5 2 2 3" xfId="13272" xr:uid="{00000000-0005-0000-0000-0000E32C0000}"/>
    <cellStyle name="20 % - Markeringsfarve4 3 2 5 2 2 3 2" xfId="29551" xr:uid="{00000000-0005-0000-0000-0000E42C0000}"/>
    <cellStyle name="20 % - Markeringsfarve4 3 2 5 2 2 3 3" xfId="44512" xr:uid="{00000000-0005-0000-0000-0000E52C0000}"/>
    <cellStyle name="20 % - Markeringsfarve4 3 2 5 2 2 4" xfId="22549" xr:uid="{00000000-0005-0000-0000-0000E62C0000}"/>
    <cellStyle name="20 % - Markeringsfarve4 3 2 5 2 2 5" xfId="37515" xr:uid="{00000000-0005-0000-0000-0000E72C0000}"/>
    <cellStyle name="20 % - Markeringsfarve4 3 2 5 2 3" xfId="8748" xr:uid="{00000000-0005-0000-0000-0000E82C0000}"/>
    <cellStyle name="20 % - Markeringsfarve4 3 2 5 2 3 2" xfId="16615" xr:uid="{00000000-0005-0000-0000-0000E92C0000}"/>
    <cellStyle name="20 % - Markeringsfarve4 3 2 5 2 3 2 2" xfId="32891" xr:uid="{00000000-0005-0000-0000-0000EA2C0000}"/>
    <cellStyle name="20 % - Markeringsfarve4 3 2 5 2 3 2 3" xfId="47850" xr:uid="{00000000-0005-0000-0000-0000EB2C0000}"/>
    <cellStyle name="20 % - Markeringsfarve4 3 2 5 2 3 3" xfId="25889" xr:uid="{00000000-0005-0000-0000-0000EC2C0000}"/>
    <cellStyle name="20 % - Markeringsfarve4 3 2 5 2 3 4" xfId="40853" xr:uid="{00000000-0005-0000-0000-0000ED2C0000}"/>
    <cellStyle name="20 % - Markeringsfarve4 3 2 5 2 4" xfId="13271" xr:uid="{00000000-0005-0000-0000-0000EE2C0000}"/>
    <cellStyle name="20 % - Markeringsfarve4 3 2 5 2 4 2" xfId="29550" xr:uid="{00000000-0005-0000-0000-0000EF2C0000}"/>
    <cellStyle name="20 % - Markeringsfarve4 3 2 5 2 4 3" xfId="44511" xr:uid="{00000000-0005-0000-0000-0000F02C0000}"/>
    <cellStyle name="20 % - Markeringsfarve4 3 2 5 2 5" xfId="22548" xr:uid="{00000000-0005-0000-0000-0000F12C0000}"/>
    <cellStyle name="20 % - Markeringsfarve4 3 2 5 2 6" xfId="37514" xr:uid="{00000000-0005-0000-0000-0000F22C0000}"/>
    <cellStyle name="20 % - Markeringsfarve4 3 2 5 3" xfId="4788" xr:uid="{00000000-0005-0000-0000-0000F32C0000}"/>
    <cellStyle name="20 % - Markeringsfarve4 3 2 5 3 2" xfId="9504" xr:uid="{00000000-0005-0000-0000-0000F42C0000}"/>
    <cellStyle name="20 % - Markeringsfarve4 3 2 5 3 2 2" xfId="17367" xr:uid="{00000000-0005-0000-0000-0000F52C0000}"/>
    <cellStyle name="20 % - Markeringsfarve4 3 2 5 3 2 2 2" xfId="33643" xr:uid="{00000000-0005-0000-0000-0000F62C0000}"/>
    <cellStyle name="20 % - Markeringsfarve4 3 2 5 3 2 2 3" xfId="48602" xr:uid="{00000000-0005-0000-0000-0000F72C0000}"/>
    <cellStyle name="20 % - Markeringsfarve4 3 2 5 3 2 3" xfId="26641" xr:uid="{00000000-0005-0000-0000-0000F82C0000}"/>
    <cellStyle name="20 % - Markeringsfarve4 3 2 5 3 2 4" xfId="41605" xr:uid="{00000000-0005-0000-0000-0000F92C0000}"/>
    <cellStyle name="20 % - Markeringsfarve4 3 2 5 3 3" xfId="13273" xr:uid="{00000000-0005-0000-0000-0000FA2C0000}"/>
    <cellStyle name="20 % - Markeringsfarve4 3 2 5 3 3 2" xfId="29552" xr:uid="{00000000-0005-0000-0000-0000FB2C0000}"/>
    <cellStyle name="20 % - Markeringsfarve4 3 2 5 3 3 3" xfId="44513" xr:uid="{00000000-0005-0000-0000-0000FC2C0000}"/>
    <cellStyle name="20 % - Markeringsfarve4 3 2 5 3 4" xfId="22550" xr:uid="{00000000-0005-0000-0000-0000FD2C0000}"/>
    <cellStyle name="20 % - Markeringsfarve4 3 2 5 3 5" xfId="37516" xr:uid="{00000000-0005-0000-0000-0000FE2C0000}"/>
    <cellStyle name="20 % - Markeringsfarve4 3 2 5 4" xfId="4789" xr:uid="{00000000-0005-0000-0000-0000FF2C0000}"/>
    <cellStyle name="20 % - Markeringsfarve4 3 2 5 4 2" xfId="10507" xr:uid="{00000000-0005-0000-0000-0000002D0000}"/>
    <cellStyle name="20 % - Markeringsfarve4 3 2 5 4 2 2" xfId="18356" xr:uid="{00000000-0005-0000-0000-0000012D0000}"/>
    <cellStyle name="20 % - Markeringsfarve4 3 2 5 4 2 2 2" xfId="34632" xr:uid="{00000000-0005-0000-0000-0000022D0000}"/>
    <cellStyle name="20 % - Markeringsfarve4 3 2 5 4 2 2 3" xfId="49591" xr:uid="{00000000-0005-0000-0000-0000032D0000}"/>
    <cellStyle name="20 % - Markeringsfarve4 3 2 5 4 2 3" xfId="27630" xr:uid="{00000000-0005-0000-0000-0000042D0000}"/>
    <cellStyle name="20 % - Markeringsfarve4 3 2 5 4 2 4" xfId="42594" xr:uid="{00000000-0005-0000-0000-0000052D0000}"/>
    <cellStyle name="20 % - Markeringsfarve4 3 2 5 4 3" xfId="13274" xr:uid="{00000000-0005-0000-0000-0000062D0000}"/>
    <cellStyle name="20 % - Markeringsfarve4 3 2 5 4 3 2" xfId="29553" xr:uid="{00000000-0005-0000-0000-0000072D0000}"/>
    <cellStyle name="20 % - Markeringsfarve4 3 2 5 4 3 3" xfId="44514" xr:uid="{00000000-0005-0000-0000-0000082D0000}"/>
    <cellStyle name="20 % - Markeringsfarve4 3 2 5 4 4" xfId="22551" xr:uid="{00000000-0005-0000-0000-0000092D0000}"/>
    <cellStyle name="20 % - Markeringsfarve4 3 2 5 4 5" xfId="37517" xr:uid="{00000000-0005-0000-0000-00000A2D0000}"/>
    <cellStyle name="20 % - Markeringsfarve4 3 2 5 5" xfId="7816" xr:uid="{00000000-0005-0000-0000-00000B2D0000}"/>
    <cellStyle name="20 % - Markeringsfarve4 3 2 5 5 2" xfId="15681" xr:uid="{00000000-0005-0000-0000-00000C2D0000}"/>
    <cellStyle name="20 % - Markeringsfarve4 3 2 5 5 2 2" xfId="31957" xr:uid="{00000000-0005-0000-0000-00000D2D0000}"/>
    <cellStyle name="20 % - Markeringsfarve4 3 2 5 5 2 3" xfId="46916" xr:uid="{00000000-0005-0000-0000-00000E2D0000}"/>
    <cellStyle name="20 % - Markeringsfarve4 3 2 5 5 3" xfId="24955" xr:uid="{00000000-0005-0000-0000-00000F2D0000}"/>
    <cellStyle name="20 % - Markeringsfarve4 3 2 5 5 4" xfId="39919" xr:uid="{00000000-0005-0000-0000-0000102D0000}"/>
    <cellStyle name="20 % - Markeringsfarve4 3 2 5 6" xfId="13270" xr:uid="{00000000-0005-0000-0000-0000112D0000}"/>
    <cellStyle name="20 % - Markeringsfarve4 3 2 5 6 2" xfId="29549" xr:uid="{00000000-0005-0000-0000-0000122D0000}"/>
    <cellStyle name="20 % - Markeringsfarve4 3 2 5 6 3" xfId="44510" xr:uid="{00000000-0005-0000-0000-0000132D0000}"/>
    <cellStyle name="20 % - Markeringsfarve4 3 2 5 7" xfId="22547" xr:uid="{00000000-0005-0000-0000-0000142D0000}"/>
    <cellStyle name="20 % - Markeringsfarve4 3 2 5 8" xfId="37513" xr:uid="{00000000-0005-0000-0000-0000152D0000}"/>
    <cellStyle name="20 % - Markeringsfarve4 3 2 6" xfId="4790" xr:uid="{00000000-0005-0000-0000-0000162D0000}"/>
    <cellStyle name="20 % - Markeringsfarve4 3 2 6 2" xfId="4791" xr:uid="{00000000-0005-0000-0000-0000172D0000}"/>
    <cellStyle name="20 % - Markeringsfarve4 3 2 6 2 2" xfId="4792" xr:uid="{00000000-0005-0000-0000-0000182D0000}"/>
    <cellStyle name="20 % - Markeringsfarve4 3 2 6 2 2 2" xfId="10317" xr:uid="{00000000-0005-0000-0000-0000192D0000}"/>
    <cellStyle name="20 % - Markeringsfarve4 3 2 6 2 2 2 2" xfId="18172" xr:uid="{00000000-0005-0000-0000-00001A2D0000}"/>
    <cellStyle name="20 % - Markeringsfarve4 3 2 6 2 2 2 2 2" xfId="34448" xr:uid="{00000000-0005-0000-0000-00001B2D0000}"/>
    <cellStyle name="20 % - Markeringsfarve4 3 2 6 2 2 2 2 3" xfId="49407" xr:uid="{00000000-0005-0000-0000-00001C2D0000}"/>
    <cellStyle name="20 % - Markeringsfarve4 3 2 6 2 2 2 3" xfId="27446" xr:uid="{00000000-0005-0000-0000-00001D2D0000}"/>
    <cellStyle name="20 % - Markeringsfarve4 3 2 6 2 2 2 4" xfId="42410" xr:uid="{00000000-0005-0000-0000-00001E2D0000}"/>
    <cellStyle name="20 % - Markeringsfarve4 3 2 6 2 2 3" xfId="13277" xr:uid="{00000000-0005-0000-0000-00001F2D0000}"/>
    <cellStyle name="20 % - Markeringsfarve4 3 2 6 2 2 3 2" xfId="29556" xr:uid="{00000000-0005-0000-0000-0000202D0000}"/>
    <cellStyle name="20 % - Markeringsfarve4 3 2 6 2 2 3 3" xfId="44517" xr:uid="{00000000-0005-0000-0000-0000212D0000}"/>
    <cellStyle name="20 % - Markeringsfarve4 3 2 6 2 2 4" xfId="22554" xr:uid="{00000000-0005-0000-0000-0000222D0000}"/>
    <cellStyle name="20 % - Markeringsfarve4 3 2 6 2 2 5" xfId="37520" xr:uid="{00000000-0005-0000-0000-0000232D0000}"/>
    <cellStyle name="20 % - Markeringsfarve4 3 2 6 2 3" xfId="8829" xr:uid="{00000000-0005-0000-0000-0000242D0000}"/>
    <cellStyle name="20 % - Markeringsfarve4 3 2 6 2 3 2" xfId="16696" xr:uid="{00000000-0005-0000-0000-0000252D0000}"/>
    <cellStyle name="20 % - Markeringsfarve4 3 2 6 2 3 2 2" xfId="32972" xr:uid="{00000000-0005-0000-0000-0000262D0000}"/>
    <cellStyle name="20 % - Markeringsfarve4 3 2 6 2 3 2 3" xfId="47931" xr:uid="{00000000-0005-0000-0000-0000272D0000}"/>
    <cellStyle name="20 % - Markeringsfarve4 3 2 6 2 3 3" xfId="25970" xr:uid="{00000000-0005-0000-0000-0000282D0000}"/>
    <cellStyle name="20 % - Markeringsfarve4 3 2 6 2 3 4" xfId="40934" xr:uid="{00000000-0005-0000-0000-0000292D0000}"/>
    <cellStyle name="20 % - Markeringsfarve4 3 2 6 2 4" xfId="13276" xr:uid="{00000000-0005-0000-0000-00002A2D0000}"/>
    <cellStyle name="20 % - Markeringsfarve4 3 2 6 2 4 2" xfId="29555" xr:uid="{00000000-0005-0000-0000-00002B2D0000}"/>
    <cellStyle name="20 % - Markeringsfarve4 3 2 6 2 4 3" xfId="44516" xr:uid="{00000000-0005-0000-0000-00002C2D0000}"/>
    <cellStyle name="20 % - Markeringsfarve4 3 2 6 2 5" xfId="22553" xr:uid="{00000000-0005-0000-0000-00002D2D0000}"/>
    <cellStyle name="20 % - Markeringsfarve4 3 2 6 2 6" xfId="37519" xr:uid="{00000000-0005-0000-0000-00002E2D0000}"/>
    <cellStyle name="20 % - Markeringsfarve4 3 2 6 3" xfId="4793" xr:uid="{00000000-0005-0000-0000-00002F2D0000}"/>
    <cellStyle name="20 % - Markeringsfarve4 3 2 6 3 2" xfId="9595" xr:uid="{00000000-0005-0000-0000-0000302D0000}"/>
    <cellStyle name="20 % - Markeringsfarve4 3 2 6 3 2 2" xfId="17458" xr:uid="{00000000-0005-0000-0000-0000312D0000}"/>
    <cellStyle name="20 % - Markeringsfarve4 3 2 6 3 2 2 2" xfId="33734" xr:uid="{00000000-0005-0000-0000-0000322D0000}"/>
    <cellStyle name="20 % - Markeringsfarve4 3 2 6 3 2 2 3" xfId="48693" xr:uid="{00000000-0005-0000-0000-0000332D0000}"/>
    <cellStyle name="20 % - Markeringsfarve4 3 2 6 3 2 3" xfId="26732" xr:uid="{00000000-0005-0000-0000-0000342D0000}"/>
    <cellStyle name="20 % - Markeringsfarve4 3 2 6 3 2 4" xfId="41696" xr:uid="{00000000-0005-0000-0000-0000352D0000}"/>
    <cellStyle name="20 % - Markeringsfarve4 3 2 6 3 3" xfId="13278" xr:uid="{00000000-0005-0000-0000-0000362D0000}"/>
    <cellStyle name="20 % - Markeringsfarve4 3 2 6 3 3 2" xfId="29557" xr:uid="{00000000-0005-0000-0000-0000372D0000}"/>
    <cellStyle name="20 % - Markeringsfarve4 3 2 6 3 3 3" xfId="44518" xr:uid="{00000000-0005-0000-0000-0000382D0000}"/>
    <cellStyle name="20 % - Markeringsfarve4 3 2 6 3 4" xfId="22555" xr:uid="{00000000-0005-0000-0000-0000392D0000}"/>
    <cellStyle name="20 % - Markeringsfarve4 3 2 6 3 5" xfId="37521" xr:uid="{00000000-0005-0000-0000-00003A2D0000}"/>
    <cellStyle name="20 % - Markeringsfarve4 3 2 6 4" xfId="4794" xr:uid="{00000000-0005-0000-0000-00003B2D0000}"/>
    <cellStyle name="20 % - Markeringsfarve4 3 2 6 4 2" xfId="10794" xr:uid="{00000000-0005-0000-0000-00003C2D0000}"/>
    <cellStyle name="20 % - Markeringsfarve4 3 2 6 4 2 2" xfId="18636" xr:uid="{00000000-0005-0000-0000-00003D2D0000}"/>
    <cellStyle name="20 % - Markeringsfarve4 3 2 6 4 2 2 2" xfId="34912" xr:uid="{00000000-0005-0000-0000-00003E2D0000}"/>
    <cellStyle name="20 % - Markeringsfarve4 3 2 6 4 2 2 3" xfId="49871" xr:uid="{00000000-0005-0000-0000-00003F2D0000}"/>
    <cellStyle name="20 % - Markeringsfarve4 3 2 6 4 2 3" xfId="27910" xr:uid="{00000000-0005-0000-0000-0000402D0000}"/>
    <cellStyle name="20 % - Markeringsfarve4 3 2 6 4 2 4" xfId="42874" xr:uid="{00000000-0005-0000-0000-0000412D0000}"/>
    <cellStyle name="20 % - Markeringsfarve4 3 2 6 4 3" xfId="13279" xr:uid="{00000000-0005-0000-0000-0000422D0000}"/>
    <cellStyle name="20 % - Markeringsfarve4 3 2 6 4 3 2" xfId="29558" xr:uid="{00000000-0005-0000-0000-0000432D0000}"/>
    <cellStyle name="20 % - Markeringsfarve4 3 2 6 4 3 3" xfId="44519" xr:uid="{00000000-0005-0000-0000-0000442D0000}"/>
    <cellStyle name="20 % - Markeringsfarve4 3 2 6 4 4" xfId="22556" xr:uid="{00000000-0005-0000-0000-0000452D0000}"/>
    <cellStyle name="20 % - Markeringsfarve4 3 2 6 4 5" xfId="37522" xr:uid="{00000000-0005-0000-0000-0000462D0000}"/>
    <cellStyle name="20 % - Markeringsfarve4 3 2 6 5" xfId="7817" xr:uid="{00000000-0005-0000-0000-0000472D0000}"/>
    <cellStyle name="20 % - Markeringsfarve4 3 2 6 5 2" xfId="15682" xr:uid="{00000000-0005-0000-0000-0000482D0000}"/>
    <cellStyle name="20 % - Markeringsfarve4 3 2 6 5 2 2" xfId="31958" xr:uid="{00000000-0005-0000-0000-0000492D0000}"/>
    <cellStyle name="20 % - Markeringsfarve4 3 2 6 5 2 3" xfId="46917" xr:uid="{00000000-0005-0000-0000-00004A2D0000}"/>
    <cellStyle name="20 % - Markeringsfarve4 3 2 6 5 3" xfId="24956" xr:uid="{00000000-0005-0000-0000-00004B2D0000}"/>
    <cellStyle name="20 % - Markeringsfarve4 3 2 6 5 4" xfId="39920" xr:uid="{00000000-0005-0000-0000-00004C2D0000}"/>
    <cellStyle name="20 % - Markeringsfarve4 3 2 6 6" xfId="13275" xr:uid="{00000000-0005-0000-0000-00004D2D0000}"/>
    <cellStyle name="20 % - Markeringsfarve4 3 2 6 6 2" xfId="29554" xr:uid="{00000000-0005-0000-0000-00004E2D0000}"/>
    <cellStyle name="20 % - Markeringsfarve4 3 2 6 6 3" xfId="44515" xr:uid="{00000000-0005-0000-0000-00004F2D0000}"/>
    <cellStyle name="20 % - Markeringsfarve4 3 2 6 7" xfId="22552" xr:uid="{00000000-0005-0000-0000-0000502D0000}"/>
    <cellStyle name="20 % - Markeringsfarve4 3 2 6 8" xfId="37518" xr:uid="{00000000-0005-0000-0000-0000512D0000}"/>
    <cellStyle name="20 % - Markeringsfarve4 3 2 7" xfId="4795" xr:uid="{00000000-0005-0000-0000-0000522D0000}"/>
    <cellStyle name="20 % - Markeringsfarve4 3 2 7 2" xfId="4796" xr:uid="{00000000-0005-0000-0000-0000532D0000}"/>
    <cellStyle name="20 % - Markeringsfarve4 3 2 7 2 2" xfId="9754" xr:uid="{00000000-0005-0000-0000-0000542D0000}"/>
    <cellStyle name="20 % - Markeringsfarve4 3 2 7 2 2 2" xfId="17608" xr:uid="{00000000-0005-0000-0000-0000552D0000}"/>
    <cellStyle name="20 % - Markeringsfarve4 3 2 7 2 2 2 2" xfId="33884" xr:uid="{00000000-0005-0000-0000-0000562D0000}"/>
    <cellStyle name="20 % - Markeringsfarve4 3 2 7 2 2 2 3" xfId="48843" xr:uid="{00000000-0005-0000-0000-0000572D0000}"/>
    <cellStyle name="20 % - Markeringsfarve4 3 2 7 2 2 3" xfId="26882" xr:uid="{00000000-0005-0000-0000-0000582D0000}"/>
    <cellStyle name="20 % - Markeringsfarve4 3 2 7 2 2 4" xfId="41846" xr:uid="{00000000-0005-0000-0000-0000592D0000}"/>
    <cellStyle name="20 % - Markeringsfarve4 3 2 7 2 3" xfId="13281" xr:uid="{00000000-0005-0000-0000-00005A2D0000}"/>
    <cellStyle name="20 % - Markeringsfarve4 3 2 7 2 3 2" xfId="29560" xr:uid="{00000000-0005-0000-0000-00005B2D0000}"/>
    <cellStyle name="20 % - Markeringsfarve4 3 2 7 2 3 3" xfId="44521" xr:uid="{00000000-0005-0000-0000-00005C2D0000}"/>
    <cellStyle name="20 % - Markeringsfarve4 3 2 7 2 4" xfId="22558" xr:uid="{00000000-0005-0000-0000-00005D2D0000}"/>
    <cellStyle name="20 % - Markeringsfarve4 3 2 7 2 5" xfId="37524" xr:uid="{00000000-0005-0000-0000-00005E2D0000}"/>
    <cellStyle name="20 % - Markeringsfarve4 3 2 7 3" xfId="8348" xr:uid="{00000000-0005-0000-0000-00005F2D0000}"/>
    <cellStyle name="20 % - Markeringsfarve4 3 2 7 3 2" xfId="16218" xr:uid="{00000000-0005-0000-0000-0000602D0000}"/>
    <cellStyle name="20 % - Markeringsfarve4 3 2 7 3 2 2" xfId="32494" xr:uid="{00000000-0005-0000-0000-0000612D0000}"/>
    <cellStyle name="20 % - Markeringsfarve4 3 2 7 3 2 3" xfId="47453" xr:uid="{00000000-0005-0000-0000-0000622D0000}"/>
    <cellStyle name="20 % - Markeringsfarve4 3 2 7 3 3" xfId="25492" xr:uid="{00000000-0005-0000-0000-0000632D0000}"/>
    <cellStyle name="20 % - Markeringsfarve4 3 2 7 3 4" xfId="40456" xr:uid="{00000000-0005-0000-0000-0000642D0000}"/>
    <cellStyle name="20 % - Markeringsfarve4 3 2 7 4" xfId="13280" xr:uid="{00000000-0005-0000-0000-0000652D0000}"/>
    <cellStyle name="20 % - Markeringsfarve4 3 2 7 4 2" xfId="29559" xr:uid="{00000000-0005-0000-0000-0000662D0000}"/>
    <cellStyle name="20 % - Markeringsfarve4 3 2 7 4 3" xfId="44520" xr:uid="{00000000-0005-0000-0000-0000672D0000}"/>
    <cellStyle name="20 % - Markeringsfarve4 3 2 7 5" xfId="22557" xr:uid="{00000000-0005-0000-0000-0000682D0000}"/>
    <cellStyle name="20 % - Markeringsfarve4 3 2 7 6" xfId="37523" xr:uid="{00000000-0005-0000-0000-0000692D0000}"/>
    <cellStyle name="20 % - Markeringsfarve4 3 2 8" xfId="4797" xr:uid="{00000000-0005-0000-0000-00006A2D0000}"/>
    <cellStyle name="20 % - Markeringsfarve4 3 2 8 2" xfId="8982" xr:uid="{00000000-0005-0000-0000-00006B2D0000}"/>
    <cellStyle name="20 % - Markeringsfarve4 3 2 8 2 2" xfId="16846" xr:uid="{00000000-0005-0000-0000-00006C2D0000}"/>
    <cellStyle name="20 % - Markeringsfarve4 3 2 8 2 2 2" xfId="33122" xr:uid="{00000000-0005-0000-0000-00006D2D0000}"/>
    <cellStyle name="20 % - Markeringsfarve4 3 2 8 2 2 3" xfId="48081" xr:uid="{00000000-0005-0000-0000-00006E2D0000}"/>
    <cellStyle name="20 % - Markeringsfarve4 3 2 8 2 3" xfId="26120" xr:uid="{00000000-0005-0000-0000-00006F2D0000}"/>
    <cellStyle name="20 % - Markeringsfarve4 3 2 8 2 4" xfId="41084" xr:uid="{00000000-0005-0000-0000-0000702D0000}"/>
    <cellStyle name="20 % - Markeringsfarve4 3 2 8 3" xfId="13282" xr:uid="{00000000-0005-0000-0000-0000712D0000}"/>
    <cellStyle name="20 % - Markeringsfarve4 3 2 8 3 2" xfId="29561" xr:uid="{00000000-0005-0000-0000-0000722D0000}"/>
    <cellStyle name="20 % - Markeringsfarve4 3 2 8 3 3" xfId="44522" xr:uid="{00000000-0005-0000-0000-0000732D0000}"/>
    <cellStyle name="20 % - Markeringsfarve4 3 2 8 4" xfId="22559" xr:uid="{00000000-0005-0000-0000-0000742D0000}"/>
    <cellStyle name="20 % - Markeringsfarve4 3 2 8 5" xfId="37525" xr:uid="{00000000-0005-0000-0000-0000752D0000}"/>
    <cellStyle name="20 % - Markeringsfarve4 3 2 9" xfId="4798" xr:uid="{00000000-0005-0000-0000-0000762D0000}"/>
    <cellStyle name="20 % - Markeringsfarve4 3 2 9 2" xfId="10651" xr:uid="{00000000-0005-0000-0000-0000772D0000}"/>
    <cellStyle name="20 % - Markeringsfarve4 3 2 9 2 2" xfId="18498" xr:uid="{00000000-0005-0000-0000-0000782D0000}"/>
    <cellStyle name="20 % - Markeringsfarve4 3 2 9 2 2 2" xfId="34774" xr:uid="{00000000-0005-0000-0000-0000792D0000}"/>
    <cellStyle name="20 % - Markeringsfarve4 3 2 9 2 2 3" xfId="49733" xr:uid="{00000000-0005-0000-0000-00007A2D0000}"/>
    <cellStyle name="20 % - Markeringsfarve4 3 2 9 2 3" xfId="27772" xr:uid="{00000000-0005-0000-0000-00007B2D0000}"/>
    <cellStyle name="20 % - Markeringsfarve4 3 2 9 2 4" xfId="42736" xr:uid="{00000000-0005-0000-0000-00007C2D0000}"/>
    <cellStyle name="20 % - Markeringsfarve4 3 2 9 3" xfId="13283" xr:uid="{00000000-0005-0000-0000-00007D2D0000}"/>
    <cellStyle name="20 % - Markeringsfarve4 3 2 9 3 2" xfId="29562" xr:uid="{00000000-0005-0000-0000-00007E2D0000}"/>
    <cellStyle name="20 % - Markeringsfarve4 3 2 9 3 3" xfId="44523" xr:uid="{00000000-0005-0000-0000-00007F2D0000}"/>
    <cellStyle name="20 % - Markeringsfarve4 3 2 9 4" xfId="22560" xr:uid="{00000000-0005-0000-0000-0000802D0000}"/>
    <cellStyle name="20 % - Markeringsfarve4 3 2 9 5" xfId="37526" xr:uid="{00000000-0005-0000-0000-0000812D0000}"/>
    <cellStyle name="20 % - Markeringsfarve4 3 3" xfId="4799" xr:uid="{00000000-0005-0000-0000-0000822D0000}"/>
    <cellStyle name="20 % - Markeringsfarve4 3 3 10" xfId="7818" xr:uid="{00000000-0005-0000-0000-0000832D0000}"/>
    <cellStyle name="20 % - Markeringsfarve4 3 3 10 2" xfId="15683" xr:uid="{00000000-0005-0000-0000-0000842D0000}"/>
    <cellStyle name="20 % - Markeringsfarve4 3 3 10 2 2" xfId="31959" xr:uid="{00000000-0005-0000-0000-0000852D0000}"/>
    <cellStyle name="20 % - Markeringsfarve4 3 3 10 2 3" xfId="46918" xr:uid="{00000000-0005-0000-0000-0000862D0000}"/>
    <cellStyle name="20 % - Markeringsfarve4 3 3 10 3" xfId="24957" xr:uid="{00000000-0005-0000-0000-0000872D0000}"/>
    <cellStyle name="20 % - Markeringsfarve4 3 3 10 4" xfId="39921" xr:uid="{00000000-0005-0000-0000-0000882D0000}"/>
    <cellStyle name="20 % - Markeringsfarve4 3 3 11" xfId="13284" xr:uid="{00000000-0005-0000-0000-0000892D0000}"/>
    <cellStyle name="20 % - Markeringsfarve4 3 3 11 2" xfId="29563" xr:uid="{00000000-0005-0000-0000-00008A2D0000}"/>
    <cellStyle name="20 % - Markeringsfarve4 3 3 11 3" xfId="44524" xr:uid="{00000000-0005-0000-0000-00008B2D0000}"/>
    <cellStyle name="20 % - Markeringsfarve4 3 3 12" xfId="22561" xr:uid="{00000000-0005-0000-0000-00008C2D0000}"/>
    <cellStyle name="20 % - Markeringsfarve4 3 3 13" xfId="37527" xr:uid="{00000000-0005-0000-0000-00008D2D0000}"/>
    <cellStyle name="20 % - Markeringsfarve4 3 3 2" xfId="4800" xr:uid="{00000000-0005-0000-0000-00008E2D0000}"/>
    <cellStyle name="20 % - Markeringsfarve4 3 3 2 2" xfId="4801" xr:uid="{00000000-0005-0000-0000-00008F2D0000}"/>
    <cellStyle name="20 % - Markeringsfarve4 3 3 2 2 2" xfId="4802" xr:uid="{00000000-0005-0000-0000-0000902D0000}"/>
    <cellStyle name="20 % - Markeringsfarve4 3 3 2 2 2 2" xfId="9911" xr:uid="{00000000-0005-0000-0000-0000912D0000}"/>
    <cellStyle name="20 % - Markeringsfarve4 3 3 2 2 2 2 2" xfId="17766" xr:uid="{00000000-0005-0000-0000-0000922D0000}"/>
    <cellStyle name="20 % - Markeringsfarve4 3 3 2 2 2 2 2 2" xfId="34042" xr:uid="{00000000-0005-0000-0000-0000932D0000}"/>
    <cellStyle name="20 % - Markeringsfarve4 3 3 2 2 2 2 2 3" xfId="49001" xr:uid="{00000000-0005-0000-0000-0000942D0000}"/>
    <cellStyle name="20 % - Markeringsfarve4 3 3 2 2 2 2 3" xfId="27040" xr:uid="{00000000-0005-0000-0000-0000952D0000}"/>
    <cellStyle name="20 % - Markeringsfarve4 3 3 2 2 2 2 4" xfId="42004" xr:uid="{00000000-0005-0000-0000-0000962D0000}"/>
    <cellStyle name="20 % - Markeringsfarve4 3 3 2 2 2 3" xfId="13287" xr:uid="{00000000-0005-0000-0000-0000972D0000}"/>
    <cellStyle name="20 % - Markeringsfarve4 3 3 2 2 2 3 2" xfId="29566" xr:uid="{00000000-0005-0000-0000-0000982D0000}"/>
    <cellStyle name="20 % - Markeringsfarve4 3 3 2 2 2 3 3" xfId="44527" xr:uid="{00000000-0005-0000-0000-0000992D0000}"/>
    <cellStyle name="20 % - Markeringsfarve4 3 3 2 2 2 4" xfId="22564" xr:uid="{00000000-0005-0000-0000-00009A2D0000}"/>
    <cellStyle name="20 % - Markeringsfarve4 3 3 2 2 2 5" xfId="37530" xr:uid="{00000000-0005-0000-0000-00009B2D0000}"/>
    <cellStyle name="20 % - Markeringsfarve4 3 3 2 2 3" xfId="8480" xr:uid="{00000000-0005-0000-0000-00009C2D0000}"/>
    <cellStyle name="20 % - Markeringsfarve4 3 3 2 2 3 2" xfId="16350" xr:uid="{00000000-0005-0000-0000-00009D2D0000}"/>
    <cellStyle name="20 % - Markeringsfarve4 3 3 2 2 3 2 2" xfId="32626" xr:uid="{00000000-0005-0000-0000-00009E2D0000}"/>
    <cellStyle name="20 % - Markeringsfarve4 3 3 2 2 3 2 3" xfId="47585" xr:uid="{00000000-0005-0000-0000-00009F2D0000}"/>
    <cellStyle name="20 % - Markeringsfarve4 3 3 2 2 3 3" xfId="25624" xr:uid="{00000000-0005-0000-0000-0000A02D0000}"/>
    <cellStyle name="20 % - Markeringsfarve4 3 3 2 2 3 4" xfId="40588" xr:uid="{00000000-0005-0000-0000-0000A12D0000}"/>
    <cellStyle name="20 % - Markeringsfarve4 3 3 2 2 4" xfId="13286" xr:uid="{00000000-0005-0000-0000-0000A22D0000}"/>
    <cellStyle name="20 % - Markeringsfarve4 3 3 2 2 4 2" xfId="29565" xr:uid="{00000000-0005-0000-0000-0000A32D0000}"/>
    <cellStyle name="20 % - Markeringsfarve4 3 3 2 2 4 3" xfId="44526" xr:uid="{00000000-0005-0000-0000-0000A42D0000}"/>
    <cellStyle name="20 % - Markeringsfarve4 3 3 2 2 5" xfId="22563" xr:uid="{00000000-0005-0000-0000-0000A52D0000}"/>
    <cellStyle name="20 % - Markeringsfarve4 3 3 2 2 6" xfId="37529" xr:uid="{00000000-0005-0000-0000-0000A62D0000}"/>
    <cellStyle name="20 % - Markeringsfarve4 3 3 2 3" xfId="4803" xr:uid="{00000000-0005-0000-0000-0000A72D0000}"/>
    <cellStyle name="20 % - Markeringsfarve4 3 3 2 3 2" xfId="9142" xr:uid="{00000000-0005-0000-0000-0000A82D0000}"/>
    <cellStyle name="20 % - Markeringsfarve4 3 3 2 3 2 2" xfId="17006" xr:uid="{00000000-0005-0000-0000-0000A92D0000}"/>
    <cellStyle name="20 % - Markeringsfarve4 3 3 2 3 2 2 2" xfId="33282" xr:uid="{00000000-0005-0000-0000-0000AA2D0000}"/>
    <cellStyle name="20 % - Markeringsfarve4 3 3 2 3 2 2 3" xfId="48241" xr:uid="{00000000-0005-0000-0000-0000AB2D0000}"/>
    <cellStyle name="20 % - Markeringsfarve4 3 3 2 3 2 3" xfId="26280" xr:uid="{00000000-0005-0000-0000-0000AC2D0000}"/>
    <cellStyle name="20 % - Markeringsfarve4 3 3 2 3 2 4" xfId="41244" xr:uid="{00000000-0005-0000-0000-0000AD2D0000}"/>
    <cellStyle name="20 % - Markeringsfarve4 3 3 2 3 3" xfId="13288" xr:uid="{00000000-0005-0000-0000-0000AE2D0000}"/>
    <cellStyle name="20 % - Markeringsfarve4 3 3 2 3 3 2" xfId="29567" xr:uid="{00000000-0005-0000-0000-0000AF2D0000}"/>
    <cellStyle name="20 % - Markeringsfarve4 3 3 2 3 3 3" xfId="44528" xr:uid="{00000000-0005-0000-0000-0000B02D0000}"/>
    <cellStyle name="20 % - Markeringsfarve4 3 3 2 3 4" xfId="22565" xr:uid="{00000000-0005-0000-0000-0000B12D0000}"/>
    <cellStyle name="20 % - Markeringsfarve4 3 3 2 3 5" xfId="37531" xr:uid="{00000000-0005-0000-0000-0000B22D0000}"/>
    <cellStyle name="20 % - Markeringsfarve4 3 3 2 4" xfId="4804" xr:uid="{00000000-0005-0000-0000-0000B32D0000}"/>
    <cellStyle name="20 % - Markeringsfarve4 3 3 2 4 2" xfId="9706" xr:uid="{00000000-0005-0000-0000-0000B42D0000}"/>
    <cellStyle name="20 % - Markeringsfarve4 3 3 2 4 2 2" xfId="17560" xr:uid="{00000000-0005-0000-0000-0000B52D0000}"/>
    <cellStyle name="20 % - Markeringsfarve4 3 3 2 4 2 2 2" xfId="33836" xr:uid="{00000000-0005-0000-0000-0000B62D0000}"/>
    <cellStyle name="20 % - Markeringsfarve4 3 3 2 4 2 2 3" xfId="48795" xr:uid="{00000000-0005-0000-0000-0000B72D0000}"/>
    <cellStyle name="20 % - Markeringsfarve4 3 3 2 4 2 3" xfId="26834" xr:uid="{00000000-0005-0000-0000-0000B82D0000}"/>
    <cellStyle name="20 % - Markeringsfarve4 3 3 2 4 2 4" xfId="41798" xr:uid="{00000000-0005-0000-0000-0000B92D0000}"/>
    <cellStyle name="20 % - Markeringsfarve4 3 3 2 4 3" xfId="13289" xr:uid="{00000000-0005-0000-0000-0000BA2D0000}"/>
    <cellStyle name="20 % - Markeringsfarve4 3 3 2 4 3 2" xfId="29568" xr:uid="{00000000-0005-0000-0000-0000BB2D0000}"/>
    <cellStyle name="20 % - Markeringsfarve4 3 3 2 4 3 3" xfId="44529" xr:uid="{00000000-0005-0000-0000-0000BC2D0000}"/>
    <cellStyle name="20 % - Markeringsfarve4 3 3 2 4 4" xfId="22566" xr:uid="{00000000-0005-0000-0000-0000BD2D0000}"/>
    <cellStyle name="20 % - Markeringsfarve4 3 3 2 4 5" xfId="37532" xr:uid="{00000000-0005-0000-0000-0000BE2D0000}"/>
    <cellStyle name="20 % - Markeringsfarve4 3 3 2 5" xfId="7819" xr:uid="{00000000-0005-0000-0000-0000BF2D0000}"/>
    <cellStyle name="20 % - Markeringsfarve4 3 3 2 5 2" xfId="15684" xr:uid="{00000000-0005-0000-0000-0000C02D0000}"/>
    <cellStyle name="20 % - Markeringsfarve4 3 3 2 5 2 2" xfId="31960" xr:uid="{00000000-0005-0000-0000-0000C12D0000}"/>
    <cellStyle name="20 % - Markeringsfarve4 3 3 2 5 2 3" xfId="46919" xr:uid="{00000000-0005-0000-0000-0000C22D0000}"/>
    <cellStyle name="20 % - Markeringsfarve4 3 3 2 5 3" xfId="24958" xr:uid="{00000000-0005-0000-0000-0000C32D0000}"/>
    <cellStyle name="20 % - Markeringsfarve4 3 3 2 5 4" xfId="39922" xr:uid="{00000000-0005-0000-0000-0000C42D0000}"/>
    <cellStyle name="20 % - Markeringsfarve4 3 3 2 6" xfId="13285" xr:uid="{00000000-0005-0000-0000-0000C52D0000}"/>
    <cellStyle name="20 % - Markeringsfarve4 3 3 2 6 2" xfId="29564" xr:uid="{00000000-0005-0000-0000-0000C62D0000}"/>
    <cellStyle name="20 % - Markeringsfarve4 3 3 2 6 3" xfId="44525" xr:uid="{00000000-0005-0000-0000-0000C72D0000}"/>
    <cellStyle name="20 % - Markeringsfarve4 3 3 2 7" xfId="22562" xr:uid="{00000000-0005-0000-0000-0000C82D0000}"/>
    <cellStyle name="20 % - Markeringsfarve4 3 3 2 8" xfId="37528" xr:uid="{00000000-0005-0000-0000-0000C92D0000}"/>
    <cellStyle name="20 % - Markeringsfarve4 3 3 3" xfId="4805" xr:uid="{00000000-0005-0000-0000-0000CA2D0000}"/>
    <cellStyle name="20 % - Markeringsfarve4 3 3 3 2" xfId="4806" xr:uid="{00000000-0005-0000-0000-0000CB2D0000}"/>
    <cellStyle name="20 % - Markeringsfarve4 3 3 3 2 2" xfId="4807" xr:uid="{00000000-0005-0000-0000-0000CC2D0000}"/>
    <cellStyle name="20 % - Markeringsfarve4 3 3 3 2 2 2" xfId="9963" xr:uid="{00000000-0005-0000-0000-0000CD2D0000}"/>
    <cellStyle name="20 % - Markeringsfarve4 3 3 3 2 2 2 2" xfId="17818" xr:uid="{00000000-0005-0000-0000-0000CE2D0000}"/>
    <cellStyle name="20 % - Markeringsfarve4 3 3 3 2 2 2 2 2" xfId="34094" xr:uid="{00000000-0005-0000-0000-0000CF2D0000}"/>
    <cellStyle name="20 % - Markeringsfarve4 3 3 3 2 2 2 2 3" xfId="49053" xr:uid="{00000000-0005-0000-0000-0000D02D0000}"/>
    <cellStyle name="20 % - Markeringsfarve4 3 3 3 2 2 2 3" xfId="27092" xr:uid="{00000000-0005-0000-0000-0000D12D0000}"/>
    <cellStyle name="20 % - Markeringsfarve4 3 3 3 2 2 2 4" xfId="42056" xr:uid="{00000000-0005-0000-0000-0000D22D0000}"/>
    <cellStyle name="20 % - Markeringsfarve4 3 3 3 2 2 3" xfId="13292" xr:uid="{00000000-0005-0000-0000-0000D32D0000}"/>
    <cellStyle name="20 % - Markeringsfarve4 3 3 3 2 2 3 2" xfId="29571" xr:uid="{00000000-0005-0000-0000-0000D42D0000}"/>
    <cellStyle name="20 % - Markeringsfarve4 3 3 3 2 2 3 3" xfId="44532" xr:uid="{00000000-0005-0000-0000-0000D52D0000}"/>
    <cellStyle name="20 % - Markeringsfarve4 3 3 3 2 2 4" xfId="22569" xr:uid="{00000000-0005-0000-0000-0000D62D0000}"/>
    <cellStyle name="20 % - Markeringsfarve4 3 3 3 2 2 5" xfId="37535" xr:uid="{00000000-0005-0000-0000-0000D72D0000}"/>
    <cellStyle name="20 % - Markeringsfarve4 3 3 3 2 3" xfId="8528" xr:uid="{00000000-0005-0000-0000-0000D82D0000}"/>
    <cellStyle name="20 % - Markeringsfarve4 3 3 3 2 3 2" xfId="16398" xr:uid="{00000000-0005-0000-0000-0000D92D0000}"/>
    <cellStyle name="20 % - Markeringsfarve4 3 3 3 2 3 2 2" xfId="32674" xr:uid="{00000000-0005-0000-0000-0000DA2D0000}"/>
    <cellStyle name="20 % - Markeringsfarve4 3 3 3 2 3 2 3" xfId="47633" xr:uid="{00000000-0005-0000-0000-0000DB2D0000}"/>
    <cellStyle name="20 % - Markeringsfarve4 3 3 3 2 3 3" xfId="25672" xr:uid="{00000000-0005-0000-0000-0000DC2D0000}"/>
    <cellStyle name="20 % - Markeringsfarve4 3 3 3 2 3 4" xfId="40636" xr:uid="{00000000-0005-0000-0000-0000DD2D0000}"/>
    <cellStyle name="20 % - Markeringsfarve4 3 3 3 2 4" xfId="13291" xr:uid="{00000000-0005-0000-0000-0000DE2D0000}"/>
    <cellStyle name="20 % - Markeringsfarve4 3 3 3 2 4 2" xfId="29570" xr:uid="{00000000-0005-0000-0000-0000DF2D0000}"/>
    <cellStyle name="20 % - Markeringsfarve4 3 3 3 2 4 3" xfId="44531" xr:uid="{00000000-0005-0000-0000-0000E02D0000}"/>
    <cellStyle name="20 % - Markeringsfarve4 3 3 3 2 5" xfId="22568" xr:uid="{00000000-0005-0000-0000-0000E12D0000}"/>
    <cellStyle name="20 % - Markeringsfarve4 3 3 3 2 6" xfId="37534" xr:uid="{00000000-0005-0000-0000-0000E22D0000}"/>
    <cellStyle name="20 % - Markeringsfarve4 3 3 3 3" xfId="4808" xr:uid="{00000000-0005-0000-0000-0000E32D0000}"/>
    <cellStyle name="20 % - Markeringsfarve4 3 3 3 3 2" xfId="9194" xr:uid="{00000000-0005-0000-0000-0000E42D0000}"/>
    <cellStyle name="20 % - Markeringsfarve4 3 3 3 3 2 2" xfId="17058" xr:uid="{00000000-0005-0000-0000-0000E52D0000}"/>
    <cellStyle name="20 % - Markeringsfarve4 3 3 3 3 2 2 2" xfId="33334" xr:uid="{00000000-0005-0000-0000-0000E62D0000}"/>
    <cellStyle name="20 % - Markeringsfarve4 3 3 3 3 2 2 3" xfId="48293" xr:uid="{00000000-0005-0000-0000-0000E72D0000}"/>
    <cellStyle name="20 % - Markeringsfarve4 3 3 3 3 2 3" xfId="26332" xr:uid="{00000000-0005-0000-0000-0000E82D0000}"/>
    <cellStyle name="20 % - Markeringsfarve4 3 3 3 3 2 4" xfId="41296" xr:uid="{00000000-0005-0000-0000-0000E92D0000}"/>
    <cellStyle name="20 % - Markeringsfarve4 3 3 3 3 3" xfId="13293" xr:uid="{00000000-0005-0000-0000-0000EA2D0000}"/>
    <cellStyle name="20 % - Markeringsfarve4 3 3 3 3 3 2" xfId="29572" xr:uid="{00000000-0005-0000-0000-0000EB2D0000}"/>
    <cellStyle name="20 % - Markeringsfarve4 3 3 3 3 3 3" xfId="44533" xr:uid="{00000000-0005-0000-0000-0000EC2D0000}"/>
    <cellStyle name="20 % - Markeringsfarve4 3 3 3 3 4" xfId="22570" xr:uid="{00000000-0005-0000-0000-0000ED2D0000}"/>
    <cellStyle name="20 % - Markeringsfarve4 3 3 3 3 5" xfId="37536" xr:uid="{00000000-0005-0000-0000-0000EE2D0000}"/>
    <cellStyle name="20 % - Markeringsfarve4 3 3 3 4" xfId="4809" xr:uid="{00000000-0005-0000-0000-0000EF2D0000}"/>
    <cellStyle name="20 % - Markeringsfarve4 3 3 3 4 2" xfId="9292" xr:uid="{00000000-0005-0000-0000-0000F02D0000}"/>
    <cellStyle name="20 % - Markeringsfarve4 3 3 3 4 2 2" xfId="17156" xr:uid="{00000000-0005-0000-0000-0000F12D0000}"/>
    <cellStyle name="20 % - Markeringsfarve4 3 3 3 4 2 2 2" xfId="33432" xr:uid="{00000000-0005-0000-0000-0000F22D0000}"/>
    <cellStyle name="20 % - Markeringsfarve4 3 3 3 4 2 2 3" xfId="48391" xr:uid="{00000000-0005-0000-0000-0000F32D0000}"/>
    <cellStyle name="20 % - Markeringsfarve4 3 3 3 4 2 3" xfId="26430" xr:uid="{00000000-0005-0000-0000-0000F42D0000}"/>
    <cellStyle name="20 % - Markeringsfarve4 3 3 3 4 2 4" xfId="41394" xr:uid="{00000000-0005-0000-0000-0000F52D0000}"/>
    <cellStyle name="20 % - Markeringsfarve4 3 3 3 4 3" xfId="13294" xr:uid="{00000000-0005-0000-0000-0000F62D0000}"/>
    <cellStyle name="20 % - Markeringsfarve4 3 3 3 4 3 2" xfId="29573" xr:uid="{00000000-0005-0000-0000-0000F72D0000}"/>
    <cellStyle name="20 % - Markeringsfarve4 3 3 3 4 3 3" xfId="44534" xr:uid="{00000000-0005-0000-0000-0000F82D0000}"/>
    <cellStyle name="20 % - Markeringsfarve4 3 3 3 4 4" xfId="22571" xr:uid="{00000000-0005-0000-0000-0000F92D0000}"/>
    <cellStyle name="20 % - Markeringsfarve4 3 3 3 4 5" xfId="37537" xr:uid="{00000000-0005-0000-0000-0000FA2D0000}"/>
    <cellStyle name="20 % - Markeringsfarve4 3 3 3 5" xfId="7820" xr:uid="{00000000-0005-0000-0000-0000FB2D0000}"/>
    <cellStyle name="20 % - Markeringsfarve4 3 3 3 5 2" xfId="15685" xr:uid="{00000000-0005-0000-0000-0000FC2D0000}"/>
    <cellStyle name="20 % - Markeringsfarve4 3 3 3 5 2 2" xfId="31961" xr:uid="{00000000-0005-0000-0000-0000FD2D0000}"/>
    <cellStyle name="20 % - Markeringsfarve4 3 3 3 5 2 3" xfId="46920" xr:uid="{00000000-0005-0000-0000-0000FE2D0000}"/>
    <cellStyle name="20 % - Markeringsfarve4 3 3 3 5 3" xfId="24959" xr:uid="{00000000-0005-0000-0000-0000FF2D0000}"/>
    <cellStyle name="20 % - Markeringsfarve4 3 3 3 5 4" xfId="39923" xr:uid="{00000000-0005-0000-0000-0000002E0000}"/>
    <cellStyle name="20 % - Markeringsfarve4 3 3 3 6" xfId="13290" xr:uid="{00000000-0005-0000-0000-0000012E0000}"/>
    <cellStyle name="20 % - Markeringsfarve4 3 3 3 6 2" xfId="29569" xr:uid="{00000000-0005-0000-0000-0000022E0000}"/>
    <cellStyle name="20 % - Markeringsfarve4 3 3 3 6 3" xfId="44530" xr:uid="{00000000-0005-0000-0000-0000032E0000}"/>
    <cellStyle name="20 % - Markeringsfarve4 3 3 3 7" xfId="22567" xr:uid="{00000000-0005-0000-0000-0000042E0000}"/>
    <cellStyle name="20 % - Markeringsfarve4 3 3 3 8" xfId="37533" xr:uid="{00000000-0005-0000-0000-0000052E0000}"/>
    <cellStyle name="20 % - Markeringsfarve4 3 3 4" xfId="4810" xr:uid="{00000000-0005-0000-0000-0000062E0000}"/>
    <cellStyle name="20 % - Markeringsfarve4 3 3 4 2" xfId="4811" xr:uid="{00000000-0005-0000-0000-0000072E0000}"/>
    <cellStyle name="20 % - Markeringsfarve4 3 3 4 2 2" xfId="4812" xr:uid="{00000000-0005-0000-0000-0000082E0000}"/>
    <cellStyle name="20 % - Markeringsfarve4 3 3 4 2 2 2" xfId="10149" xr:uid="{00000000-0005-0000-0000-0000092E0000}"/>
    <cellStyle name="20 % - Markeringsfarve4 3 3 4 2 2 2 2" xfId="18004" xr:uid="{00000000-0005-0000-0000-00000A2E0000}"/>
    <cellStyle name="20 % - Markeringsfarve4 3 3 4 2 2 2 2 2" xfId="34280" xr:uid="{00000000-0005-0000-0000-00000B2E0000}"/>
    <cellStyle name="20 % - Markeringsfarve4 3 3 4 2 2 2 2 3" xfId="49239" xr:uid="{00000000-0005-0000-0000-00000C2E0000}"/>
    <cellStyle name="20 % - Markeringsfarve4 3 3 4 2 2 2 3" xfId="27278" xr:uid="{00000000-0005-0000-0000-00000D2E0000}"/>
    <cellStyle name="20 % - Markeringsfarve4 3 3 4 2 2 2 4" xfId="42242" xr:uid="{00000000-0005-0000-0000-00000E2E0000}"/>
    <cellStyle name="20 % - Markeringsfarve4 3 3 4 2 2 3" xfId="13297" xr:uid="{00000000-0005-0000-0000-00000F2E0000}"/>
    <cellStyle name="20 % - Markeringsfarve4 3 3 4 2 2 3 2" xfId="29576" xr:uid="{00000000-0005-0000-0000-0000102E0000}"/>
    <cellStyle name="20 % - Markeringsfarve4 3 3 4 2 2 3 3" xfId="44537" xr:uid="{00000000-0005-0000-0000-0000112E0000}"/>
    <cellStyle name="20 % - Markeringsfarve4 3 3 4 2 2 4" xfId="22574" xr:uid="{00000000-0005-0000-0000-0000122E0000}"/>
    <cellStyle name="20 % - Markeringsfarve4 3 3 4 2 2 5" xfId="37540" xr:uid="{00000000-0005-0000-0000-0000132E0000}"/>
    <cellStyle name="20 % - Markeringsfarve4 3 3 4 2 3" xfId="8682" xr:uid="{00000000-0005-0000-0000-0000142E0000}"/>
    <cellStyle name="20 % - Markeringsfarve4 3 3 4 2 3 2" xfId="16549" xr:uid="{00000000-0005-0000-0000-0000152E0000}"/>
    <cellStyle name="20 % - Markeringsfarve4 3 3 4 2 3 2 2" xfId="32825" xr:uid="{00000000-0005-0000-0000-0000162E0000}"/>
    <cellStyle name="20 % - Markeringsfarve4 3 3 4 2 3 2 3" xfId="47784" xr:uid="{00000000-0005-0000-0000-0000172E0000}"/>
    <cellStyle name="20 % - Markeringsfarve4 3 3 4 2 3 3" xfId="25823" xr:uid="{00000000-0005-0000-0000-0000182E0000}"/>
    <cellStyle name="20 % - Markeringsfarve4 3 3 4 2 3 4" xfId="40787" xr:uid="{00000000-0005-0000-0000-0000192E0000}"/>
    <cellStyle name="20 % - Markeringsfarve4 3 3 4 2 4" xfId="13296" xr:uid="{00000000-0005-0000-0000-00001A2E0000}"/>
    <cellStyle name="20 % - Markeringsfarve4 3 3 4 2 4 2" xfId="29575" xr:uid="{00000000-0005-0000-0000-00001B2E0000}"/>
    <cellStyle name="20 % - Markeringsfarve4 3 3 4 2 4 3" xfId="44536" xr:uid="{00000000-0005-0000-0000-00001C2E0000}"/>
    <cellStyle name="20 % - Markeringsfarve4 3 3 4 2 5" xfId="22573" xr:uid="{00000000-0005-0000-0000-00001D2E0000}"/>
    <cellStyle name="20 % - Markeringsfarve4 3 3 4 2 6" xfId="37539" xr:uid="{00000000-0005-0000-0000-00001E2E0000}"/>
    <cellStyle name="20 % - Markeringsfarve4 3 3 4 3" xfId="4813" xr:uid="{00000000-0005-0000-0000-00001F2E0000}"/>
    <cellStyle name="20 % - Markeringsfarve4 3 3 4 3 2" xfId="9426" xr:uid="{00000000-0005-0000-0000-0000202E0000}"/>
    <cellStyle name="20 % - Markeringsfarve4 3 3 4 3 2 2" xfId="17289" xr:uid="{00000000-0005-0000-0000-0000212E0000}"/>
    <cellStyle name="20 % - Markeringsfarve4 3 3 4 3 2 2 2" xfId="33565" xr:uid="{00000000-0005-0000-0000-0000222E0000}"/>
    <cellStyle name="20 % - Markeringsfarve4 3 3 4 3 2 2 3" xfId="48524" xr:uid="{00000000-0005-0000-0000-0000232E0000}"/>
    <cellStyle name="20 % - Markeringsfarve4 3 3 4 3 2 3" xfId="26563" xr:uid="{00000000-0005-0000-0000-0000242E0000}"/>
    <cellStyle name="20 % - Markeringsfarve4 3 3 4 3 2 4" xfId="41527" xr:uid="{00000000-0005-0000-0000-0000252E0000}"/>
    <cellStyle name="20 % - Markeringsfarve4 3 3 4 3 3" xfId="13298" xr:uid="{00000000-0005-0000-0000-0000262E0000}"/>
    <cellStyle name="20 % - Markeringsfarve4 3 3 4 3 3 2" xfId="29577" xr:uid="{00000000-0005-0000-0000-0000272E0000}"/>
    <cellStyle name="20 % - Markeringsfarve4 3 3 4 3 3 3" xfId="44538" xr:uid="{00000000-0005-0000-0000-0000282E0000}"/>
    <cellStyle name="20 % - Markeringsfarve4 3 3 4 3 4" xfId="22575" xr:uid="{00000000-0005-0000-0000-0000292E0000}"/>
    <cellStyle name="20 % - Markeringsfarve4 3 3 4 3 5" xfId="37541" xr:uid="{00000000-0005-0000-0000-00002A2E0000}"/>
    <cellStyle name="20 % - Markeringsfarve4 3 3 4 4" xfId="4814" xr:uid="{00000000-0005-0000-0000-00002B2E0000}"/>
    <cellStyle name="20 % - Markeringsfarve4 3 3 4 4 2" xfId="10988" xr:uid="{00000000-0005-0000-0000-00002C2E0000}"/>
    <cellStyle name="20 % - Markeringsfarve4 3 3 4 4 2 2" xfId="18819" xr:uid="{00000000-0005-0000-0000-00002D2E0000}"/>
    <cellStyle name="20 % - Markeringsfarve4 3 3 4 4 2 2 2" xfId="35095" xr:uid="{00000000-0005-0000-0000-00002E2E0000}"/>
    <cellStyle name="20 % - Markeringsfarve4 3 3 4 4 2 2 3" xfId="50054" xr:uid="{00000000-0005-0000-0000-00002F2E0000}"/>
    <cellStyle name="20 % - Markeringsfarve4 3 3 4 4 2 3" xfId="28093" xr:uid="{00000000-0005-0000-0000-0000302E0000}"/>
    <cellStyle name="20 % - Markeringsfarve4 3 3 4 4 2 4" xfId="43057" xr:uid="{00000000-0005-0000-0000-0000312E0000}"/>
    <cellStyle name="20 % - Markeringsfarve4 3 3 4 4 3" xfId="13299" xr:uid="{00000000-0005-0000-0000-0000322E0000}"/>
    <cellStyle name="20 % - Markeringsfarve4 3 3 4 4 3 2" xfId="29578" xr:uid="{00000000-0005-0000-0000-0000332E0000}"/>
    <cellStyle name="20 % - Markeringsfarve4 3 3 4 4 3 3" xfId="44539" xr:uid="{00000000-0005-0000-0000-0000342E0000}"/>
    <cellStyle name="20 % - Markeringsfarve4 3 3 4 4 4" xfId="22576" xr:uid="{00000000-0005-0000-0000-0000352E0000}"/>
    <cellStyle name="20 % - Markeringsfarve4 3 3 4 4 5" xfId="37542" xr:uid="{00000000-0005-0000-0000-0000362E0000}"/>
    <cellStyle name="20 % - Markeringsfarve4 3 3 4 5" xfId="7821" xr:uid="{00000000-0005-0000-0000-0000372E0000}"/>
    <cellStyle name="20 % - Markeringsfarve4 3 3 4 5 2" xfId="15686" xr:uid="{00000000-0005-0000-0000-0000382E0000}"/>
    <cellStyle name="20 % - Markeringsfarve4 3 3 4 5 2 2" xfId="31962" xr:uid="{00000000-0005-0000-0000-0000392E0000}"/>
    <cellStyle name="20 % - Markeringsfarve4 3 3 4 5 2 3" xfId="46921" xr:uid="{00000000-0005-0000-0000-00003A2E0000}"/>
    <cellStyle name="20 % - Markeringsfarve4 3 3 4 5 3" xfId="24960" xr:uid="{00000000-0005-0000-0000-00003B2E0000}"/>
    <cellStyle name="20 % - Markeringsfarve4 3 3 4 5 4" xfId="39924" xr:uid="{00000000-0005-0000-0000-00003C2E0000}"/>
    <cellStyle name="20 % - Markeringsfarve4 3 3 4 6" xfId="13295" xr:uid="{00000000-0005-0000-0000-00003D2E0000}"/>
    <cellStyle name="20 % - Markeringsfarve4 3 3 4 6 2" xfId="29574" xr:uid="{00000000-0005-0000-0000-00003E2E0000}"/>
    <cellStyle name="20 % - Markeringsfarve4 3 3 4 6 3" xfId="44535" xr:uid="{00000000-0005-0000-0000-00003F2E0000}"/>
    <cellStyle name="20 % - Markeringsfarve4 3 3 4 7" xfId="22572" xr:uid="{00000000-0005-0000-0000-0000402E0000}"/>
    <cellStyle name="20 % - Markeringsfarve4 3 3 4 8" xfId="37538" xr:uid="{00000000-0005-0000-0000-0000412E0000}"/>
    <cellStyle name="20 % - Markeringsfarve4 3 3 5" xfId="4815" xr:uid="{00000000-0005-0000-0000-0000422E0000}"/>
    <cellStyle name="20 % - Markeringsfarve4 3 3 5 2" xfId="4816" xr:uid="{00000000-0005-0000-0000-0000432E0000}"/>
    <cellStyle name="20 % - Markeringsfarve4 3 3 5 2 2" xfId="4817" xr:uid="{00000000-0005-0000-0000-0000442E0000}"/>
    <cellStyle name="20 % - Markeringsfarve4 3 3 5 2 2 2" xfId="10266" xr:uid="{00000000-0005-0000-0000-0000452E0000}"/>
    <cellStyle name="20 % - Markeringsfarve4 3 3 5 2 2 2 2" xfId="18121" xr:uid="{00000000-0005-0000-0000-0000462E0000}"/>
    <cellStyle name="20 % - Markeringsfarve4 3 3 5 2 2 2 2 2" xfId="34397" xr:uid="{00000000-0005-0000-0000-0000472E0000}"/>
    <cellStyle name="20 % - Markeringsfarve4 3 3 5 2 2 2 2 3" xfId="49356" xr:uid="{00000000-0005-0000-0000-0000482E0000}"/>
    <cellStyle name="20 % - Markeringsfarve4 3 3 5 2 2 2 3" xfId="27395" xr:uid="{00000000-0005-0000-0000-0000492E0000}"/>
    <cellStyle name="20 % - Markeringsfarve4 3 3 5 2 2 2 4" xfId="42359" xr:uid="{00000000-0005-0000-0000-00004A2E0000}"/>
    <cellStyle name="20 % - Markeringsfarve4 3 3 5 2 2 3" xfId="13302" xr:uid="{00000000-0005-0000-0000-00004B2E0000}"/>
    <cellStyle name="20 % - Markeringsfarve4 3 3 5 2 2 3 2" xfId="29581" xr:uid="{00000000-0005-0000-0000-00004C2E0000}"/>
    <cellStyle name="20 % - Markeringsfarve4 3 3 5 2 2 3 3" xfId="44542" xr:uid="{00000000-0005-0000-0000-00004D2E0000}"/>
    <cellStyle name="20 % - Markeringsfarve4 3 3 5 2 2 4" xfId="22579" xr:uid="{00000000-0005-0000-0000-00004E2E0000}"/>
    <cellStyle name="20 % - Markeringsfarve4 3 3 5 2 2 5" xfId="37545" xr:uid="{00000000-0005-0000-0000-00004F2E0000}"/>
    <cellStyle name="20 % - Markeringsfarve4 3 3 5 2 3" xfId="8781" xr:uid="{00000000-0005-0000-0000-0000502E0000}"/>
    <cellStyle name="20 % - Markeringsfarve4 3 3 5 2 3 2" xfId="16648" xr:uid="{00000000-0005-0000-0000-0000512E0000}"/>
    <cellStyle name="20 % - Markeringsfarve4 3 3 5 2 3 2 2" xfId="32924" xr:uid="{00000000-0005-0000-0000-0000522E0000}"/>
    <cellStyle name="20 % - Markeringsfarve4 3 3 5 2 3 2 3" xfId="47883" xr:uid="{00000000-0005-0000-0000-0000532E0000}"/>
    <cellStyle name="20 % - Markeringsfarve4 3 3 5 2 3 3" xfId="25922" xr:uid="{00000000-0005-0000-0000-0000542E0000}"/>
    <cellStyle name="20 % - Markeringsfarve4 3 3 5 2 3 4" xfId="40886" xr:uid="{00000000-0005-0000-0000-0000552E0000}"/>
    <cellStyle name="20 % - Markeringsfarve4 3 3 5 2 4" xfId="13301" xr:uid="{00000000-0005-0000-0000-0000562E0000}"/>
    <cellStyle name="20 % - Markeringsfarve4 3 3 5 2 4 2" xfId="29580" xr:uid="{00000000-0005-0000-0000-0000572E0000}"/>
    <cellStyle name="20 % - Markeringsfarve4 3 3 5 2 4 3" xfId="44541" xr:uid="{00000000-0005-0000-0000-0000582E0000}"/>
    <cellStyle name="20 % - Markeringsfarve4 3 3 5 2 5" xfId="22578" xr:uid="{00000000-0005-0000-0000-0000592E0000}"/>
    <cellStyle name="20 % - Markeringsfarve4 3 3 5 2 6" xfId="37544" xr:uid="{00000000-0005-0000-0000-00005A2E0000}"/>
    <cellStyle name="20 % - Markeringsfarve4 3 3 5 3" xfId="4818" xr:uid="{00000000-0005-0000-0000-00005B2E0000}"/>
    <cellStyle name="20 % - Markeringsfarve4 3 3 5 3 2" xfId="9543" xr:uid="{00000000-0005-0000-0000-00005C2E0000}"/>
    <cellStyle name="20 % - Markeringsfarve4 3 3 5 3 2 2" xfId="17406" xr:uid="{00000000-0005-0000-0000-00005D2E0000}"/>
    <cellStyle name="20 % - Markeringsfarve4 3 3 5 3 2 2 2" xfId="33682" xr:uid="{00000000-0005-0000-0000-00005E2E0000}"/>
    <cellStyle name="20 % - Markeringsfarve4 3 3 5 3 2 2 3" xfId="48641" xr:uid="{00000000-0005-0000-0000-00005F2E0000}"/>
    <cellStyle name="20 % - Markeringsfarve4 3 3 5 3 2 3" xfId="26680" xr:uid="{00000000-0005-0000-0000-0000602E0000}"/>
    <cellStyle name="20 % - Markeringsfarve4 3 3 5 3 2 4" xfId="41644" xr:uid="{00000000-0005-0000-0000-0000612E0000}"/>
    <cellStyle name="20 % - Markeringsfarve4 3 3 5 3 3" xfId="13303" xr:uid="{00000000-0005-0000-0000-0000622E0000}"/>
    <cellStyle name="20 % - Markeringsfarve4 3 3 5 3 3 2" xfId="29582" xr:uid="{00000000-0005-0000-0000-0000632E0000}"/>
    <cellStyle name="20 % - Markeringsfarve4 3 3 5 3 3 3" xfId="44543" xr:uid="{00000000-0005-0000-0000-0000642E0000}"/>
    <cellStyle name="20 % - Markeringsfarve4 3 3 5 3 4" xfId="22580" xr:uid="{00000000-0005-0000-0000-0000652E0000}"/>
    <cellStyle name="20 % - Markeringsfarve4 3 3 5 3 5" xfId="37546" xr:uid="{00000000-0005-0000-0000-0000662E0000}"/>
    <cellStyle name="20 % - Markeringsfarve4 3 3 5 4" xfId="4819" xr:uid="{00000000-0005-0000-0000-0000672E0000}"/>
    <cellStyle name="20 % - Markeringsfarve4 3 3 5 4 2" xfId="10708" xr:uid="{00000000-0005-0000-0000-0000682E0000}"/>
    <cellStyle name="20 % - Markeringsfarve4 3 3 5 4 2 2" xfId="18552" xr:uid="{00000000-0005-0000-0000-0000692E0000}"/>
    <cellStyle name="20 % - Markeringsfarve4 3 3 5 4 2 2 2" xfId="34828" xr:uid="{00000000-0005-0000-0000-00006A2E0000}"/>
    <cellStyle name="20 % - Markeringsfarve4 3 3 5 4 2 2 3" xfId="49787" xr:uid="{00000000-0005-0000-0000-00006B2E0000}"/>
    <cellStyle name="20 % - Markeringsfarve4 3 3 5 4 2 3" xfId="27826" xr:uid="{00000000-0005-0000-0000-00006C2E0000}"/>
    <cellStyle name="20 % - Markeringsfarve4 3 3 5 4 2 4" xfId="42790" xr:uid="{00000000-0005-0000-0000-00006D2E0000}"/>
    <cellStyle name="20 % - Markeringsfarve4 3 3 5 4 3" xfId="13304" xr:uid="{00000000-0005-0000-0000-00006E2E0000}"/>
    <cellStyle name="20 % - Markeringsfarve4 3 3 5 4 3 2" xfId="29583" xr:uid="{00000000-0005-0000-0000-00006F2E0000}"/>
    <cellStyle name="20 % - Markeringsfarve4 3 3 5 4 3 3" xfId="44544" xr:uid="{00000000-0005-0000-0000-0000702E0000}"/>
    <cellStyle name="20 % - Markeringsfarve4 3 3 5 4 4" xfId="22581" xr:uid="{00000000-0005-0000-0000-0000712E0000}"/>
    <cellStyle name="20 % - Markeringsfarve4 3 3 5 4 5" xfId="37547" xr:uid="{00000000-0005-0000-0000-0000722E0000}"/>
    <cellStyle name="20 % - Markeringsfarve4 3 3 5 5" xfId="7822" xr:uid="{00000000-0005-0000-0000-0000732E0000}"/>
    <cellStyle name="20 % - Markeringsfarve4 3 3 5 5 2" xfId="15687" xr:uid="{00000000-0005-0000-0000-0000742E0000}"/>
    <cellStyle name="20 % - Markeringsfarve4 3 3 5 5 2 2" xfId="31963" xr:uid="{00000000-0005-0000-0000-0000752E0000}"/>
    <cellStyle name="20 % - Markeringsfarve4 3 3 5 5 2 3" xfId="46922" xr:uid="{00000000-0005-0000-0000-0000762E0000}"/>
    <cellStyle name="20 % - Markeringsfarve4 3 3 5 5 3" xfId="24961" xr:uid="{00000000-0005-0000-0000-0000772E0000}"/>
    <cellStyle name="20 % - Markeringsfarve4 3 3 5 5 4" xfId="39925" xr:uid="{00000000-0005-0000-0000-0000782E0000}"/>
    <cellStyle name="20 % - Markeringsfarve4 3 3 5 6" xfId="13300" xr:uid="{00000000-0005-0000-0000-0000792E0000}"/>
    <cellStyle name="20 % - Markeringsfarve4 3 3 5 6 2" xfId="29579" xr:uid="{00000000-0005-0000-0000-00007A2E0000}"/>
    <cellStyle name="20 % - Markeringsfarve4 3 3 5 6 3" xfId="44540" xr:uid="{00000000-0005-0000-0000-00007B2E0000}"/>
    <cellStyle name="20 % - Markeringsfarve4 3 3 5 7" xfId="22577" xr:uid="{00000000-0005-0000-0000-00007C2E0000}"/>
    <cellStyle name="20 % - Markeringsfarve4 3 3 5 8" xfId="37543" xr:uid="{00000000-0005-0000-0000-00007D2E0000}"/>
    <cellStyle name="20 % - Markeringsfarve4 3 3 6" xfId="4820" xr:uid="{00000000-0005-0000-0000-00007E2E0000}"/>
    <cellStyle name="20 % - Markeringsfarve4 3 3 6 2" xfId="4821" xr:uid="{00000000-0005-0000-0000-00007F2E0000}"/>
    <cellStyle name="20 % - Markeringsfarve4 3 3 6 2 2" xfId="4822" xr:uid="{00000000-0005-0000-0000-0000802E0000}"/>
    <cellStyle name="20 % - Markeringsfarve4 3 3 6 2 2 2" xfId="10318" xr:uid="{00000000-0005-0000-0000-0000812E0000}"/>
    <cellStyle name="20 % - Markeringsfarve4 3 3 6 2 2 2 2" xfId="18173" xr:uid="{00000000-0005-0000-0000-0000822E0000}"/>
    <cellStyle name="20 % - Markeringsfarve4 3 3 6 2 2 2 2 2" xfId="34449" xr:uid="{00000000-0005-0000-0000-0000832E0000}"/>
    <cellStyle name="20 % - Markeringsfarve4 3 3 6 2 2 2 2 3" xfId="49408" xr:uid="{00000000-0005-0000-0000-0000842E0000}"/>
    <cellStyle name="20 % - Markeringsfarve4 3 3 6 2 2 2 3" xfId="27447" xr:uid="{00000000-0005-0000-0000-0000852E0000}"/>
    <cellStyle name="20 % - Markeringsfarve4 3 3 6 2 2 2 4" xfId="42411" xr:uid="{00000000-0005-0000-0000-0000862E0000}"/>
    <cellStyle name="20 % - Markeringsfarve4 3 3 6 2 2 3" xfId="13307" xr:uid="{00000000-0005-0000-0000-0000872E0000}"/>
    <cellStyle name="20 % - Markeringsfarve4 3 3 6 2 2 3 2" xfId="29586" xr:uid="{00000000-0005-0000-0000-0000882E0000}"/>
    <cellStyle name="20 % - Markeringsfarve4 3 3 6 2 2 3 3" xfId="44547" xr:uid="{00000000-0005-0000-0000-0000892E0000}"/>
    <cellStyle name="20 % - Markeringsfarve4 3 3 6 2 2 4" xfId="22584" xr:uid="{00000000-0005-0000-0000-00008A2E0000}"/>
    <cellStyle name="20 % - Markeringsfarve4 3 3 6 2 2 5" xfId="37550" xr:uid="{00000000-0005-0000-0000-00008B2E0000}"/>
    <cellStyle name="20 % - Markeringsfarve4 3 3 6 2 3" xfId="8830" xr:uid="{00000000-0005-0000-0000-00008C2E0000}"/>
    <cellStyle name="20 % - Markeringsfarve4 3 3 6 2 3 2" xfId="16697" xr:uid="{00000000-0005-0000-0000-00008D2E0000}"/>
    <cellStyle name="20 % - Markeringsfarve4 3 3 6 2 3 2 2" xfId="32973" xr:uid="{00000000-0005-0000-0000-00008E2E0000}"/>
    <cellStyle name="20 % - Markeringsfarve4 3 3 6 2 3 2 3" xfId="47932" xr:uid="{00000000-0005-0000-0000-00008F2E0000}"/>
    <cellStyle name="20 % - Markeringsfarve4 3 3 6 2 3 3" xfId="25971" xr:uid="{00000000-0005-0000-0000-0000902E0000}"/>
    <cellStyle name="20 % - Markeringsfarve4 3 3 6 2 3 4" xfId="40935" xr:uid="{00000000-0005-0000-0000-0000912E0000}"/>
    <cellStyle name="20 % - Markeringsfarve4 3 3 6 2 4" xfId="13306" xr:uid="{00000000-0005-0000-0000-0000922E0000}"/>
    <cellStyle name="20 % - Markeringsfarve4 3 3 6 2 4 2" xfId="29585" xr:uid="{00000000-0005-0000-0000-0000932E0000}"/>
    <cellStyle name="20 % - Markeringsfarve4 3 3 6 2 4 3" xfId="44546" xr:uid="{00000000-0005-0000-0000-0000942E0000}"/>
    <cellStyle name="20 % - Markeringsfarve4 3 3 6 2 5" xfId="22583" xr:uid="{00000000-0005-0000-0000-0000952E0000}"/>
    <cellStyle name="20 % - Markeringsfarve4 3 3 6 2 6" xfId="37549" xr:uid="{00000000-0005-0000-0000-0000962E0000}"/>
    <cellStyle name="20 % - Markeringsfarve4 3 3 6 3" xfId="4823" xr:uid="{00000000-0005-0000-0000-0000972E0000}"/>
    <cellStyle name="20 % - Markeringsfarve4 3 3 6 3 2" xfId="9596" xr:uid="{00000000-0005-0000-0000-0000982E0000}"/>
    <cellStyle name="20 % - Markeringsfarve4 3 3 6 3 2 2" xfId="17459" xr:uid="{00000000-0005-0000-0000-0000992E0000}"/>
    <cellStyle name="20 % - Markeringsfarve4 3 3 6 3 2 2 2" xfId="33735" xr:uid="{00000000-0005-0000-0000-00009A2E0000}"/>
    <cellStyle name="20 % - Markeringsfarve4 3 3 6 3 2 2 3" xfId="48694" xr:uid="{00000000-0005-0000-0000-00009B2E0000}"/>
    <cellStyle name="20 % - Markeringsfarve4 3 3 6 3 2 3" xfId="26733" xr:uid="{00000000-0005-0000-0000-00009C2E0000}"/>
    <cellStyle name="20 % - Markeringsfarve4 3 3 6 3 2 4" xfId="41697" xr:uid="{00000000-0005-0000-0000-00009D2E0000}"/>
    <cellStyle name="20 % - Markeringsfarve4 3 3 6 3 3" xfId="13308" xr:uid="{00000000-0005-0000-0000-00009E2E0000}"/>
    <cellStyle name="20 % - Markeringsfarve4 3 3 6 3 3 2" xfId="29587" xr:uid="{00000000-0005-0000-0000-00009F2E0000}"/>
    <cellStyle name="20 % - Markeringsfarve4 3 3 6 3 3 3" xfId="44548" xr:uid="{00000000-0005-0000-0000-0000A02E0000}"/>
    <cellStyle name="20 % - Markeringsfarve4 3 3 6 3 4" xfId="22585" xr:uid="{00000000-0005-0000-0000-0000A12E0000}"/>
    <cellStyle name="20 % - Markeringsfarve4 3 3 6 3 5" xfId="37551" xr:uid="{00000000-0005-0000-0000-0000A22E0000}"/>
    <cellStyle name="20 % - Markeringsfarve4 3 3 6 4" xfId="4824" xr:uid="{00000000-0005-0000-0000-0000A32E0000}"/>
    <cellStyle name="20 % - Markeringsfarve4 3 3 6 4 2" xfId="10911" xr:uid="{00000000-0005-0000-0000-0000A42E0000}"/>
    <cellStyle name="20 % - Markeringsfarve4 3 3 6 4 2 2" xfId="18746" xr:uid="{00000000-0005-0000-0000-0000A52E0000}"/>
    <cellStyle name="20 % - Markeringsfarve4 3 3 6 4 2 2 2" xfId="35022" xr:uid="{00000000-0005-0000-0000-0000A62E0000}"/>
    <cellStyle name="20 % - Markeringsfarve4 3 3 6 4 2 2 3" xfId="49981" xr:uid="{00000000-0005-0000-0000-0000A72E0000}"/>
    <cellStyle name="20 % - Markeringsfarve4 3 3 6 4 2 3" xfId="28020" xr:uid="{00000000-0005-0000-0000-0000A82E0000}"/>
    <cellStyle name="20 % - Markeringsfarve4 3 3 6 4 2 4" xfId="42984" xr:uid="{00000000-0005-0000-0000-0000A92E0000}"/>
    <cellStyle name="20 % - Markeringsfarve4 3 3 6 4 3" xfId="13309" xr:uid="{00000000-0005-0000-0000-0000AA2E0000}"/>
    <cellStyle name="20 % - Markeringsfarve4 3 3 6 4 3 2" xfId="29588" xr:uid="{00000000-0005-0000-0000-0000AB2E0000}"/>
    <cellStyle name="20 % - Markeringsfarve4 3 3 6 4 3 3" xfId="44549" xr:uid="{00000000-0005-0000-0000-0000AC2E0000}"/>
    <cellStyle name="20 % - Markeringsfarve4 3 3 6 4 4" xfId="22586" xr:uid="{00000000-0005-0000-0000-0000AD2E0000}"/>
    <cellStyle name="20 % - Markeringsfarve4 3 3 6 4 5" xfId="37552" xr:uid="{00000000-0005-0000-0000-0000AE2E0000}"/>
    <cellStyle name="20 % - Markeringsfarve4 3 3 6 5" xfId="7823" xr:uid="{00000000-0005-0000-0000-0000AF2E0000}"/>
    <cellStyle name="20 % - Markeringsfarve4 3 3 6 5 2" xfId="15688" xr:uid="{00000000-0005-0000-0000-0000B02E0000}"/>
    <cellStyle name="20 % - Markeringsfarve4 3 3 6 5 2 2" xfId="31964" xr:uid="{00000000-0005-0000-0000-0000B12E0000}"/>
    <cellStyle name="20 % - Markeringsfarve4 3 3 6 5 2 3" xfId="46923" xr:uid="{00000000-0005-0000-0000-0000B22E0000}"/>
    <cellStyle name="20 % - Markeringsfarve4 3 3 6 5 3" xfId="24962" xr:uid="{00000000-0005-0000-0000-0000B32E0000}"/>
    <cellStyle name="20 % - Markeringsfarve4 3 3 6 5 4" xfId="39926" xr:uid="{00000000-0005-0000-0000-0000B42E0000}"/>
    <cellStyle name="20 % - Markeringsfarve4 3 3 6 6" xfId="13305" xr:uid="{00000000-0005-0000-0000-0000B52E0000}"/>
    <cellStyle name="20 % - Markeringsfarve4 3 3 6 6 2" xfId="29584" xr:uid="{00000000-0005-0000-0000-0000B62E0000}"/>
    <cellStyle name="20 % - Markeringsfarve4 3 3 6 6 3" xfId="44545" xr:uid="{00000000-0005-0000-0000-0000B72E0000}"/>
    <cellStyle name="20 % - Markeringsfarve4 3 3 6 7" xfId="22582" xr:uid="{00000000-0005-0000-0000-0000B82E0000}"/>
    <cellStyle name="20 % - Markeringsfarve4 3 3 6 8" xfId="37548" xr:uid="{00000000-0005-0000-0000-0000B92E0000}"/>
    <cellStyle name="20 % - Markeringsfarve4 3 3 7" xfId="4825" xr:uid="{00000000-0005-0000-0000-0000BA2E0000}"/>
    <cellStyle name="20 % - Markeringsfarve4 3 3 7 2" xfId="4826" xr:uid="{00000000-0005-0000-0000-0000BB2E0000}"/>
    <cellStyle name="20 % - Markeringsfarve4 3 3 7 2 2" xfId="9793" xr:uid="{00000000-0005-0000-0000-0000BC2E0000}"/>
    <cellStyle name="20 % - Markeringsfarve4 3 3 7 2 2 2" xfId="17647" xr:uid="{00000000-0005-0000-0000-0000BD2E0000}"/>
    <cellStyle name="20 % - Markeringsfarve4 3 3 7 2 2 2 2" xfId="33923" xr:uid="{00000000-0005-0000-0000-0000BE2E0000}"/>
    <cellStyle name="20 % - Markeringsfarve4 3 3 7 2 2 2 3" xfId="48882" xr:uid="{00000000-0005-0000-0000-0000BF2E0000}"/>
    <cellStyle name="20 % - Markeringsfarve4 3 3 7 2 2 3" xfId="26921" xr:uid="{00000000-0005-0000-0000-0000C02E0000}"/>
    <cellStyle name="20 % - Markeringsfarve4 3 3 7 2 2 4" xfId="41885" xr:uid="{00000000-0005-0000-0000-0000C12E0000}"/>
    <cellStyle name="20 % - Markeringsfarve4 3 3 7 2 3" xfId="13311" xr:uid="{00000000-0005-0000-0000-0000C22E0000}"/>
    <cellStyle name="20 % - Markeringsfarve4 3 3 7 2 3 2" xfId="29590" xr:uid="{00000000-0005-0000-0000-0000C32E0000}"/>
    <cellStyle name="20 % - Markeringsfarve4 3 3 7 2 3 3" xfId="44551" xr:uid="{00000000-0005-0000-0000-0000C42E0000}"/>
    <cellStyle name="20 % - Markeringsfarve4 3 3 7 2 4" xfId="22588" xr:uid="{00000000-0005-0000-0000-0000C52E0000}"/>
    <cellStyle name="20 % - Markeringsfarve4 3 3 7 2 5" xfId="37554" xr:uid="{00000000-0005-0000-0000-0000C62E0000}"/>
    <cellStyle name="20 % - Markeringsfarve4 3 3 7 3" xfId="8381" xr:uid="{00000000-0005-0000-0000-0000C72E0000}"/>
    <cellStyle name="20 % - Markeringsfarve4 3 3 7 3 2" xfId="16251" xr:uid="{00000000-0005-0000-0000-0000C82E0000}"/>
    <cellStyle name="20 % - Markeringsfarve4 3 3 7 3 2 2" xfId="32527" xr:uid="{00000000-0005-0000-0000-0000C92E0000}"/>
    <cellStyle name="20 % - Markeringsfarve4 3 3 7 3 2 3" xfId="47486" xr:uid="{00000000-0005-0000-0000-0000CA2E0000}"/>
    <cellStyle name="20 % - Markeringsfarve4 3 3 7 3 3" xfId="25525" xr:uid="{00000000-0005-0000-0000-0000CB2E0000}"/>
    <cellStyle name="20 % - Markeringsfarve4 3 3 7 3 4" xfId="40489" xr:uid="{00000000-0005-0000-0000-0000CC2E0000}"/>
    <cellStyle name="20 % - Markeringsfarve4 3 3 7 4" xfId="13310" xr:uid="{00000000-0005-0000-0000-0000CD2E0000}"/>
    <cellStyle name="20 % - Markeringsfarve4 3 3 7 4 2" xfId="29589" xr:uid="{00000000-0005-0000-0000-0000CE2E0000}"/>
    <cellStyle name="20 % - Markeringsfarve4 3 3 7 4 3" xfId="44550" xr:uid="{00000000-0005-0000-0000-0000CF2E0000}"/>
    <cellStyle name="20 % - Markeringsfarve4 3 3 7 5" xfId="22587" xr:uid="{00000000-0005-0000-0000-0000D02E0000}"/>
    <cellStyle name="20 % - Markeringsfarve4 3 3 7 6" xfId="37553" xr:uid="{00000000-0005-0000-0000-0000D12E0000}"/>
    <cellStyle name="20 % - Markeringsfarve4 3 3 8" xfId="4827" xr:uid="{00000000-0005-0000-0000-0000D22E0000}"/>
    <cellStyle name="20 % - Markeringsfarve4 3 3 8 2" xfId="9021" xr:uid="{00000000-0005-0000-0000-0000D32E0000}"/>
    <cellStyle name="20 % - Markeringsfarve4 3 3 8 2 2" xfId="16885" xr:uid="{00000000-0005-0000-0000-0000D42E0000}"/>
    <cellStyle name="20 % - Markeringsfarve4 3 3 8 2 2 2" xfId="33161" xr:uid="{00000000-0005-0000-0000-0000D52E0000}"/>
    <cellStyle name="20 % - Markeringsfarve4 3 3 8 2 2 3" xfId="48120" xr:uid="{00000000-0005-0000-0000-0000D62E0000}"/>
    <cellStyle name="20 % - Markeringsfarve4 3 3 8 2 3" xfId="26159" xr:uid="{00000000-0005-0000-0000-0000D72E0000}"/>
    <cellStyle name="20 % - Markeringsfarve4 3 3 8 2 4" xfId="41123" xr:uid="{00000000-0005-0000-0000-0000D82E0000}"/>
    <cellStyle name="20 % - Markeringsfarve4 3 3 8 3" xfId="13312" xr:uid="{00000000-0005-0000-0000-0000D92E0000}"/>
    <cellStyle name="20 % - Markeringsfarve4 3 3 8 3 2" xfId="29591" xr:uid="{00000000-0005-0000-0000-0000DA2E0000}"/>
    <cellStyle name="20 % - Markeringsfarve4 3 3 8 3 3" xfId="44552" xr:uid="{00000000-0005-0000-0000-0000DB2E0000}"/>
    <cellStyle name="20 % - Markeringsfarve4 3 3 8 4" xfId="22589" xr:uid="{00000000-0005-0000-0000-0000DC2E0000}"/>
    <cellStyle name="20 % - Markeringsfarve4 3 3 8 5" xfId="37555" xr:uid="{00000000-0005-0000-0000-0000DD2E0000}"/>
    <cellStyle name="20 % - Markeringsfarve4 3 3 9" xfId="4828" xr:uid="{00000000-0005-0000-0000-0000DE2E0000}"/>
    <cellStyle name="20 % - Markeringsfarve4 3 3 9 2" xfId="10444" xr:uid="{00000000-0005-0000-0000-0000DF2E0000}"/>
    <cellStyle name="20 % - Markeringsfarve4 3 3 9 2 2" xfId="18296" xr:uid="{00000000-0005-0000-0000-0000E02E0000}"/>
    <cellStyle name="20 % - Markeringsfarve4 3 3 9 2 2 2" xfId="34572" xr:uid="{00000000-0005-0000-0000-0000E12E0000}"/>
    <cellStyle name="20 % - Markeringsfarve4 3 3 9 2 2 3" xfId="49531" xr:uid="{00000000-0005-0000-0000-0000E22E0000}"/>
    <cellStyle name="20 % - Markeringsfarve4 3 3 9 2 3" xfId="27570" xr:uid="{00000000-0005-0000-0000-0000E32E0000}"/>
    <cellStyle name="20 % - Markeringsfarve4 3 3 9 2 4" xfId="42534" xr:uid="{00000000-0005-0000-0000-0000E42E0000}"/>
    <cellStyle name="20 % - Markeringsfarve4 3 3 9 3" xfId="13313" xr:uid="{00000000-0005-0000-0000-0000E52E0000}"/>
    <cellStyle name="20 % - Markeringsfarve4 3 3 9 3 2" xfId="29592" xr:uid="{00000000-0005-0000-0000-0000E62E0000}"/>
    <cellStyle name="20 % - Markeringsfarve4 3 3 9 3 3" xfId="44553" xr:uid="{00000000-0005-0000-0000-0000E72E0000}"/>
    <cellStyle name="20 % - Markeringsfarve4 3 3 9 4" xfId="22590" xr:uid="{00000000-0005-0000-0000-0000E82E0000}"/>
    <cellStyle name="20 % - Markeringsfarve4 3 3 9 5" xfId="37556" xr:uid="{00000000-0005-0000-0000-0000E92E0000}"/>
    <cellStyle name="20 % - Markeringsfarve4 3 4" xfId="4829" xr:uid="{00000000-0005-0000-0000-0000EA2E0000}"/>
    <cellStyle name="20 % - Markeringsfarve4 3 4 2" xfId="4830" xr:uid="{00000000-0005-0000-0000-0000EB2E0000}"/>
    <cellStyle name="20 % - Markeringsfarve4 3 4 2 2" xfId="4831" xr:uid="{00000000-0005-0000-0000-0000EC2E0000}"/>
    <cellStyle name="20 % - Markeringsfarve4 3 4 2 2 2" xfId="9833" xr:uid="{00000000-0005-0000-0000-0000ED2E0000}"/>
    <cellStyle name="20 % - Markeringsfarve4 3 4 2 2 2 2" xfId="17688" xr:uid="{00000000-0005-0000-0000-0000EE2E0000}"/>
    <cellStyle name="20 % - Markeringsfarve4 3 4 2 2 2 2 2" xfId="33964" xr:uid="{00000000-0005-0000-0000-0000EF2E0000}"/>
    <cellStyle name="20 % - Markeringsfarve4 3 4 2 2 2 2 3" xfId="48923" xr:uid="{00000000-0005-0000-0000-0000F02E0000}"/>
    <cellStyle name="20 % - Markeringsfarve4 3 4 2 2 2 3" xfId="26962" xr:uid="{00000000-0005-0000-0000-0000F12E0000}"/>
    <cellStyle name="20 % - Markeringsfarve4 3 4 2 2 2 4" xfId="41926" xr:uid="{00000000-0005-0000-0000-0000F22E0000}"/>
    <cellStyle name="20 % - Markeringsfarve4 3 4 2 2 3" xfId="13316" xr:uid="{00000000-0005-0000-0000-0000F32E0000}"/>
    <cellStyle name="20 % - Markeringsfarve4 3 4 2 2 3 2" xfId="29595" xr:uid="{00000000-0005-0000-0000-0000F42E0000}"/>
    <cellStyle name="20 % - Markeringsfarve4 3 4 2 2 3 3" xfId="44556" xr:uid="{00000000-0005-0000-0000-0000F52E0000}"/>
    <cellStyle name="20 % - Markeringsfarve4 3 4 2 2 4" xfId="22593" xr:uid="{00000000-0005-0000-0000-0000F62E0000}"/>
    <cellStyle name="20 % - Markeringsfarve4 3 4 2 2 5" xfId="37559" xr:uid="{00000000-0005-0000-0000-0000F72E0000}"/>
    <cellStyle name="20 % - Markeringsfarve4 3 4 2 3" xfId="8414" xr:uid="{00000000-0005-0000-0000-0000F82E0000}"/>
    <cellStyle name="20 % - Markeringsfarve4 3 4 2 3 2" xfId="16284" xr:uid="{00000000-0005-0000-0000-0000F92E0000}"/>
    <cellStyle name="20 % - Markeringsfarve4 3 4 2 3 2 2" xfId="32560" xr:uid="{00000000-0005-0000-0000-0000FA2E0000}"/>
    <cellStyle name="20 % - Markeringsfarve4 3 4 2 3 2 3" xfId="47519" xr:uid="{00000000-0005-0000-0000-0000FB2E0000}"/>
    <cellStyle name="20 % - Markeringsfarve4 3 4 2 3 3" xfId="25558" xr:uid="{00000000-0005-0000-0000-0000FC2E0000}"/>
    <cellStyle name="20 % - Markeringsfarve4 3 4 2 3 4" xfId="40522" xr:uid="{00000000-0005-0000-0000-0000FD2E0000}"/>
    <cellStyle name="20 % - Markeringsfarve4 3 4 2 4" xfId="13315" xr:uid="{00000000-0005-0000-0000-0000FE2E0000}"/>
    <cellStyle name="20 % - Markeringsfarve4 3 4 2 4 2" xfId="29594" xr:uid="{00000000-0005-0000-0000-0000FF2E0000}"/>
    <cellStyle name="20 % - Markeringsfarve4 3 4 2 4 3" xfId="44555" xr:uid="{00000000-0005-0000-0000-0000002F0000}"/>
    <cellStyle name="20 % - Markeringsfarve4 3 4 2 5" xfId="22592" xr:uid="{00000000-0005-0000-0000-0000012F0000}"/>
    <cellStyle name="20 % - Markeringsfarve4 3 4 2 6" xfId="37558" xr:uid="{00000000-0005-0000-0000-0000022F0000}"/>
    <cellStyle name="20 % - Markeringsfarve4 3 4 3" xfId="4832" xr:uid="{00000000-0005-0000-0000-0000032F0000}"/>
    <cellStyle name="20 % - Markeringsfarve4 3 4 3 2" xfId="9064" xr:uid="{00000000-0005-0000-0000-0000042F0000}"/>
    <cellStyle name="20 % - Markeringsfarve4 3 4 3 2 2" xfId="16928" xr:uid="{00000000-0005-0000-0000-0000052F0000}"/>
    <cellStyle name="20 % - Markeringsfarve4 3 4 3 2 2 2" xfId="33204" xr:uid="{00000000-0005-0000-0000-0000062F0000}"/>
    <cellStyle name="20 % - Markeringsfarve4 3 4 3 2 2 3" xfId="48163" xr:uid="{00000000-0005-0000-0000-0000072F0000}"/>
    <cellStyle name="20 % - Markeringsfarve4 3 4 3 2 3" xfId="26202" xr:uid="{00000000-0005-0000-0000-0000082F0000}"/>
    <cellStyle name="20 % - Markeringsfarve4 3 4 3 2 4" xfId="41166" xr:uid="{00000000-0005-0000-0000-0000092F0000}"/>
    <cellStyle name="20 % - Markeringsfarve4 3 4 3 3" xfId="13317" xr:uid="{00000000-0005-0000-0000-00000A2F0000}"/>
    <cellStyle name="20 % - Markeringsfarve4 3 4 3 3 2" xfId="29596" xr:uid="{00000000-0005-0000-0000-00000B2F0000}"/>
    <cellStyle name="20 % - Markeringsfarve4 3 4 3 3 3" xfId="44557" xr:uid="{00000000-0005-0000-0000-00000C2F0000}"/>
    <cellStyle name="20 % - Markeringsfarve4 3 4 3 4" xfId="22594" xr:uid="{00000000-0005-0000-0000-00000D2F0000}"/>
    <cellStyle name="20 % - Markeringsfarve4 3 4 3 5" xfId="37560" xr:uid="{00000000-0005-0000-0000-00000E2F0000}"/>
    <cellStyle name="20 % - Markeringsfarve4 3 4 4" xfId="4833" xr:uid="{00000000-0005-0000-0000-00000F2F0000}"/>
    <cellStyle name="20 % - Markeringsfarve4 3 4 4 2" xfId="10636" xr:uid="{00000000-0005-0000-0000-0000102F0000}"/>
    <cellStyle name="20 % - Markeringsfarve4 3 4 4 2 2" xfId="18483" xr:uid="{00000000-0005-0000-0000-0000112F0000}"/>
    <cellStyle name="20 % - Markeringsfarve4 3 4 4 2 2 2" xfId="34759" xr:uid="{00000000-0005-0000-0000-0000122F0000}"/>
    <cellStyle name="20 % - Markeringsfarve4 3 4 4 2 2 3" xfId="49718" xr:uid="{00000000-0005-0000-0000-0000132F0000}"/>
    <cellStyle name="20 % - Markeringsfarve4 3 4 4 2 3" xfId="27757" xr:uid="{00000000-0005-0000-0000-0000142F0000}"/>
    <cellStyle name="20 % - Markeringsfarve4 3 4 4 2 4" xfId="42721" xr:uid="{00000000-0005-0000-0000-0000152F0000}"/>
    <cellStyle name="20 % - Markeringsfarve4 3 4 4 3" xfId="13318" xr:uid="{00000000-0005-0000-0000-0000162F0000}"/>
    <cellStyle name="20 % - Markeringsfarve4 3 4 4 3 2" xfId="29597" xr:uid="{00000000-0005-0000-0000-0000172F0000}"/>
    <cellStyle name="20 % - Markeringsfarve4 3 4 4 3 3" xfId="44558" xr:uid="{00000000-0005-0000-0000-0000182F0000}"/>
    <cellStyle name="20 % - Markeringsfarve4 3 4 4 4" xfId="22595" xr:uid="{00000000-0005-0000-0000-0000192F0000}"/>
    <cellStyle name="20 % - Markeringsfarve4 3 4 4 5" xfId="37561" xr:uid="{00000000-0005-0000-0000-00001A2F0000}"/>
    <cellStyle name="20 % - Markeringsfarve4 3 4 5" xfId="7824" xr:uid="{00000000-0005-0000-0000-00001B2F0000}"/>
    <cellStyle name="20 % - Markeringsfarve4 3 4 5 2" xfId="15689" xr:uid="{00000000-0005-0000-0000-00001C2F0000}"/>
    <cellStyle name="20 % - Markeringsfarve4 3 4 5 2 2" xfId="31965" xr:uid="{00000000-0005-0000-0000-00001D2F0000}"/>
    <cellStyle name="20 % - Markeringsfarve4 3 4 5 2 3" xfId="46924" xr:uid="{00000000-0005-0000-0000-00001E2F0000}"/>
    <cellStyle name="20 % - Markeringsfarve4 3 4 5 3" xfId="24963" xr:uid="{00000000-0005-0000-0000-00001F2F0000}"/>
    <cellStyle name="20 % - Markeringsfarve4 3 4 5 4" xfId="39927" xr:uid="{00000000-0005-0000-0000-0000202F0000}"/>
    <cellStyle name="20 % - Markeringsfarve4 3 4 6" xfId="13314" xr:uid="{00000000-0005-0000-0000-0000212F0000}"/>
    <cellStyle name="20 % - Markeringsfarve4 3 4 6 2" xfId="29593" xr:uid="{00000000-0005-0000-0000-0000222F0000}"/>
    <cellStyle name="20 % - Markeringsfarve4 3 4 6 3" xfId="44554" xr:uid="{00000000-0005-0000-0000-0000232F0000}"/>
    <cellStyle name="20 % - Markeringsfarve4 3 4 7" xfId="22591" xr:uid="{00000000-0005-0000-0000-0000242F0000}"/>
    <cellStyle name="20 % - Markeringsfarve4 3 4 8" xfId="37557" xr:uid="{00000000-0005-0000-0000-0000252F0000}"/>
    <cellStyle name="20 % - Markeringsfarve4 3 5" xfId="4834" xr:uid="{00000000-0005-0000-0000-0000262F0000}"/>
    <cellStyle name="20 % - Markeringsfarve4 3 5 2" xfId="4835" xr:uid="{00000000-0005-0000-0000-0000272F0000}"/>
    <cellStyle name="20 % - Markeringsfarve4 3 5 2 2" xfId="4836" xr:uid="{00000000-0005-0000-0000-0000282F0000}"/>
    <cellStyle name="20 % - Markeringsfarve4 3 5 2 2 2" xfId="9961" xr:uid="{00000000-0005-0000-0000-0000292F0000}"/>
    <cellStyle name="20 % - Markeringsfarve4 3 5 2 2 2 2" xfId="17816" xr:uid="{00000000-0005-0000-0000-00002A2F0000}"/>
    <cellStyle name="20 % - Markeringsfarve4 3 5 2 2 2 2 2" xfId="34092" xr:uid="{00000000-0005-0000-0000-00002B2F0000}"/>
    <cellStyle name="20 % - Markeringsfarve4 3 5 2 2 2 2 3" xfId="49051" xr:uid="{00000000-0005-0000-0000-00002C2F0000}"/>
    <cellStyle name="20 % - Markeringsfarve4 3 5 2 2 2 3" xfId="27090" xr:uid="{00000000-0005-0000-0000-00002D2F0000}"/>
    <cellStyle name="20 % - Markeringsfarve4 3 5 2 2 2 4" xfId="42054" xr:uid="{00000000-0005-0000-0000-00002E2F0000}"/>
    <cellStyle name="20 % - Markeringsfarve4 3 5 2 2 3" xfId="13321" xr:uid="{00000000-0005-0000-0000-00002F2F0000}"/>
    <cellStyle name="20 % - Markeringsfarve4 3 5 2 2 3 2" xfId="29600" xr:uid="{00000000-0005-0000-0000-0000302F0000}"/>
    <cellStyle name="20 % - Markeringsfarve4 3 5 2 2 3 3" xfId="44561" xr:uid="{00000000-0005-0000-0000-0000312F0000}"/>
    <cellStyle name="20 % - Markeringsfarve4 3 5 2 2 4" xfId="22598" xr:uid="{00000000-0005-0000-0000-0000322F0000}"/>
    <cellStyle name="20 % - Markeringsfarve4 3 5 2 2 5" xfId="37564" xr:uid="{00000000-0005-0000-0000-0000332F0000}"/>
    <cellStyle name="20 % - Markeringsfarve4 3 5 2 3" xfId="8526" xr:uid="{00000000-0005-0000-0000-0000342F0000}"/>
    <cellStyle name="20 % - Markeringsfarve4 3 5 2 3 2" xfId="16396" xr:uid="{00000000-0005-0000-0000-0000352F0000}"/>
    <cellStyle name="20 % - Markeringsfarve4 3 5 2 3 2 2" xfId="32672" xr:uid="{00000000-0005-0000-0000-0000362F0000}"/>
    <cellStyle name="20 % - Markeringsfarve4 3 5 2 3 2 3" xfId="47631" xr:uid="{00000000-0005-0000-0000-0000372F0000}"/>
    <cellStyle name="20 % - Markeringsfarve4 3 5 2 3 3" xfId="25670" xr:uid="{00000000-0005-0000-0000-0000382F0000}"/>
    <cellStyle name="20 % - Markeringsfarve4 3 5 2 3 4" xfId="40634" xr:uid="{00000000-0005-0000-0000-0000392F0000}"/>
    <cellStyle name="20 % - Markeringsfarve4 3 5 2 4" xfId="13320" xr:uid="{00000000-0005-0000-0000-00003A2F0000}"/>
    <cellStyle name="20 % - Markeringsfarve4 3 5 2 4 2" xfId="29599" xr:uid="{00000000-0005-0000-0000-00003B2F0000}"/>
    <cellStyle name="20 % - Markeringsfarve4 3 5 2 4 3" xfId="44560" xr:uid="{00000000-0005-0000-0000-00003C2F0000}"/>
    <cellStyle name="20 % - Markeringsfarve4 3 5 2 5" xfId="22597" xr:uid="{00000000-0005-0000-0000-00003D2F0000}"/>
    <cellStyle name="20 % - Markeringsfarve4 3 5 2 6" xfId="37563" xr:uid="{00000000-0005-0000-0000-00003E2F0000}"/>
    <cellStyle name="20 % - Markeringsfarve4 3 5 3" xfId="4837" xr:uid="{00000000-0005-0000-0000-00003F2F0000}"/>
    <cellStyle name="20 % - Markeringsfarve4 3 5 3 2" xfId="9192" xr:uid="{00000000-0005-0000-0000-0000402F0000}"/>
    <cellStyle name="20 % - Markeringsfarve4 3 5 3 2 2" xfId="17056" xr:uid="{00000000-0005-0000-0000-0000412F0000}"/>
    <cellStyle name="20 % - Markeringsfarve4 3 5 3 2 2 2" xfId="33332" xr:uid="{00000000-0005-0000-0000-0000422F0000}"/>
    <cellStyle name="20 % - Markeringsfarve4 3 5 3 2 2 3" xfId="48291" xr:uid="{00000000-0005-0000-0000-0000432F0000}"/>
    <cellStyle name="20 % - Markeringsfarve4 3 5 3 2 3" xfId="26330" xr:uid="{00000000-0005-0000-0000-0000442F0000}"/>
    <cellStyle name="20 % - Markeringsfarve4 3 5 3 2 4" xfId="41294" xr:uid="{00000000-0005-0000-0000-0000452F0000}"/>
    <cellStyle name="20 % - Markeringsfarve4 3 5 3 3" xfId="13322" xr:uid="{00000000-0005-0000-0000-0000462F0000}"/>
    <cellStyle name="20 % - Markeringsfarve4 3 5 3 3 2" xfId="29601" xr:uid="{00000000-0005-0000-0000-0000472F0000}"/>
    <cellStyle name="20 % - Markeringsfarve4 3 5 3 3 3" xfId="44562" xr:uid="{00000000-0005-0000-0000-0000482F0000}"/>
    <cellStyle name="20 % - Markeringsfarve4 3 5 3 4" xfId="22599" xr:uid="{00000000-0005-0000-0000-0000492F0000}"/>
    <cellStyle name="20 % - Markeringsfarve4 3 5 3 5" xfId="37565" xr:uid="{00000000-0005-0000-0000-00004A2F0000}"/>
    <cellStyle name="20 % - Markeringsfarve4 3 5 4" xfId="4838" xr:uid="{00000000-0005-0000-0000-00004B2F0000}"/>
    <cellStyle name="20 % - Markeringsfarve4 3 5 4 2" xfId="10872" xr:uid="{00000000-0005-0000-0000-00004C2F0000}"/>
    <cellStyle name="20 % - Markeringsfarve4 3 5 4 2 2" xfId="18709" xr:uid="{00000000-0005-0000-0000-00004D2F0000}"/>
    <cellStyle name="20 % - Markeringsfarve4 3 5 4 2 2 2" xfId="34985" xr:uid="{00000000-0005-0000-0000-00004E2F0000}"/>
    <cellStyle name="20 % - Markeringsfarve4 3 5 4 2 2 3" xfId="49944" xr:uid="{00000000-0005-0000-0000-00004F2F0000}"/>
    <cellStyle name="20 % - Markeringsfarve4 3 5 4 2 3" xfId="27983" xr:uid="{00000000-0005-0000-0000-0000502F0000}"/>
    <cellStyle name="20 % - Markeringsfarve4 3 5 4 2 4" xfId="42947" xr:uid="{00000000-0005-0000-0000-0000512F0000}"/>
    <cellStyle name="20 % - Markeringsfarve4 3 5 4 3" xfId="13323" xr:uid="{00000000-0005-0000-0000-0000522F0000}"/>
    <cellStyle name="20 % - Markeringsfarve4 3 5 4 3 2" xfId="29602" xr:uid="{00000000-0005-0000-0000-0000532F0000}"/>
    <cellStyle name="20 % - Markeringsfarve4 3 5 4 3 3" xfId="44563" xr:uid="{00000000-0005-0000-0000-0000542F0000}"/>
    <cellStyle name="20 % - Markeringsfarve4 3 5 4 4" xfId="22600" xr:uid="{00000000-0005-0000-0000-0000552F0000}"/>
    <cellStyle name="20 % - Markeringsfarve4 3 5 4 5" xfId="37566" xr:uid="{00000000-0005-0000-0000-0000562F0000}"/>
    <cellStyle name="20 % - Markeringsfarve4 3 5 5" xfId="7825" xr:uid="{00000000-0005-0000-0000-0000572F0000}"/>
    <cellStyle name="20 % - Markeringsfarve4 3 5 5 2" xfId="15690" xr:uid="{00000000-0005-0000-0000-0000582F0000}"/>
    <cellStyle name="20 % - Markeringsfarve4 3 5 5 2 2" xfId="31966" xr:uid="{00000000-0005-0000-0000-0000592F0000}"/>
    <cellStyle name="20 % - Markeringsfarve4 3 5 5 2 3" xfId="46925" xr:uid="{00000000-0005-0000-0000-00005A2F0000}"/>
    <cellStyle name="20 % - Markeringsfarve4 3 5 5 3" xfId="24964" xr:uid="{00000000-0005-0000-0000-00005B2F0000}"/>
    <cellStyle name="20 % - Markeringsfarve4 3 5 5 4" xfId="39928" xr:uid="{00000000-0005-0000-0000-00005C2F0000}"/>
    <cellStyle name="20 % - Markeringsfarve4 3 5 6" xfId="13319" xr:uid="{00000000-0005-0000-0000-00005D2F0000}"/>
    <cellStyle name="20 % - Markeringsfarve4 3 5 6 2" xfId="29598" xr:uid="{00000000-0005-0000-0000-00005E2F0000}"/>
    <cellStyle name="20 % - Markeringsfarve4 3 5 6 3" xfId="44559" xr:uid="{00000000-0005-0000-0000-00005F2F0000}"/>
    <cellStyle name="20 % - Markeringsfarve4 3 5 7" xfId="22596" xr:uid="{00000000-0005-0000-0000-0000602F0000}"/>
    <cellStyle name="20 % - Markeringsfarve4 3 5 8" xfId="37562" xr:uid="{00000000-0005-0000-0000-0000612F0000}"/>
    <cellStyle name="20 % - Markeringsfarve4 3 6" xfId="4839" xr:uid="{00000000-0005-0000-0000-0000622F0000}"/>
    <cellStyle name="20 % - Markeringsfarve4 3 6 2" xfId="4840" xr:uid="{00000000-0005-0000-0000-0000632F0000}"/>
    <cellStyle name="20 % - Markeringsfarve4 3 6 2 2" xfId="4841" xr:uid="{00000000-0005-0000-0000-0000642F0000}"/>
    <cellStyle name="20 % - Markeringsfarve4 3 6 2 2 2" xfId="10071" xr:uid="{00000000-0005-0000-0000-0000652F0000}"/>
    <cellStyle name="20 % - Markeringsfarve4 3 6 2 2 2 2" xfId="17926" xr:uid="{00000000-0005-0000-0000-0000662F0000}"/>
    <cellStyle name="20 % - Markeringsfarve4 3 6 2 2 2 2 2" xfId="34202" xr:uid="{00000000-0005-0000-0000-0000672F0000}"/>
    <cellStyle name="20 % - Markeringsfarve4 3 6 2 2 2 2 3" xfId="49161" xr:uid="{00000000-0005-0000-0000-0000682F0000}"/>
    <cellStyle name="20 % - Markeringsfarve4 3 6 2 2 2 3" xfId="27200" xr:uid="{00000000-0005-0000-0000-0000692F0000}"/>
    <cellStyle name="20 % - Markeringsfarve4 3 6 2 2 2 4" xfId="42164" xr:uid="{00000000-0005-0000-0000-00006A2F0000}"/>
    <cellStyle name="20 % - Markeringsfarve4 3 6 2 2 3" xfId="13326" xr:uid="{00000000-0005-0000-0000-00006B2F0000}"/>
    <cellStyle name="20 % - Markeringsfarve4 3 6 2 2 3 2" xfId="29605" xr:uid="{00000000-0005-0000-0000-00006C2F0000}"/>
    <cellStyle name="20 % - Markeringsfarve4 3 6 2 2 3 3" xfId="44566" xr:uid="{00000000-0005-0000-0000-00006D2F0000}"/>
    <cellStyle name="20 % - Markeringsfarve4 3 6 2 2 4" xfId="22603" xr:uid="{00000000-0005-0000-0000-00006E2F0000}"/>
    <cellStyle name="20 % - Markeringsfarve4 3 6 2 2 5" xfId="37569" xr:uid="{00000000-0005-0000-0000-00006F2F0000}"/>
    <cellStyle name="20 % - Markeringsfarve4 3 6 2 3" xfId="8616" xr:uid="{00000000-0005-0000-0000-0000702F0000}"/>
    <cellStyle name="20 % - Markeringsfarve4 3 6 2 3 2" xfId="16483" xr:uid="{00000000-0005-0000-0000-0000712F0000}"/>
    <cellStyle name="20 % - Markeringsfarve4 3 6 2 3 2 2" xfId="32759" xr:uid="{00000000-0005-0000-0000-0000722F0000}"/>
    <cellStyle name="20 % - Markeringsfarve4 3 6 2 3 2 3" xfId="47718" xr:uid="{00000000-0005-0000-0000-0000732F0000}"/>
    <cellStyle name="20 % - Markeringsfarve4 3 6 2 3 3" xfId="25757" xr:uid="{00000000-0005-0000-0000-0000742F0000}"/>
    <cellStyle name="20 % - Markeringsfarve4 3 6 2 3 4" xfId="40721" xr:uid="{00000000-0005-0000-0000-0000752F0000}"/>
    <cellStyle name="20 % - Markeringsfarve4 3 6 2 4" xfId="13325" xr:uid="{00000000-0005-0000-0000-0000762F0000}"/>
    <cellStyle name="20 % - Markeringsfarve4 3 6 2 4 2" xfId="29604" xr:uid="{00000000-0005-0000-0000-0000772F0000}"/>
    <cellStyle name="20 % - Markeringsfarve4 3 6 2 4 3" xfId="44565" xr:uid="{00000000-0005-0000-0000-0000782F0000}"/>
    <cellStyle name="20 % - Markeringsfarve4 3 6 2 5" xfId="22602" xr:uid="{00000000-0005-0000-0000-0000792F0000}"/>
    <cellStyle name="20 % - Markeringsfarve4 3 6 2 6" xfId="37568" xr:uid="{00000000-0005-0000-0000-00007A2F0000}"/>
    <cellStyle name="20 % - Markeringsfarve4 3 6 3" xfId="4842" xr:uid="{00000000-0005-0000-0000-00007B2F0000}"/>
    <cellStyle name="20 % - Markeringsfarve4 3 6 3 2" xfId="9348" xr:uid="{00000000-0005-0000-0000-00007C2F0000}"/>
    <cellStyle name="20 % - Markeringsfarve4 3 6 3 2 2" xfId="17211" xr:uid="{00000000-0005-0000-0000-00007D2F0000}"/>
    <cellStyle name="20 % - Markeringsfarve4 3 6 3 2 2 2" xfId="33487" xr:uid="{00000000-0005-0000-0000-00007E2F0000}"/>
    <cellStyle name="20 % - Markeringsfarve4 3 6 3 2 2 3" xfId="48446" xr:uid="{00000000-0005-0000-0000-00007F2F0000}"/>
    <cellStyle name="20 % - Markeringsfarve4 3 6 3 2 3" xfId="26485" xr:uid="{00000000-0005-0000-0000-0000802F0000}"/>
    <cellStyle name="20 % - Markeringsfarve4 3 6 3 2 4" xfId="41449" xr:uid="{00000000-0005-0000-0000-0000812F0000}"/>
    <cellStyle name="20 % - Markeringsfarve4 3 6 3 3" xfId="13327" xr:uid="{00000000-0005-0000-0000-0000822F0000}"/>
    <cellStyle name="20 % - Markeringsfarve4 3 6 3 3 2" xfId="29606" xr:uid="{00000000-0005-0000-0000-0000832F0000}"/>
    <cellStyle name="20 % - Markeringsfarve4 3 6 3 3 3" xfId="44567" xr:uid="{00000000-0005-0000-0000-0000842F0000}"/>
    <cellStyle name="20 % - Markeringsfarve4 3 6 3 4" xfId="22604" xr:uid="{00000000-0005-0000-0000-0000852F0000}"/>
    <cellStyle name="20 % - Markeringsfarve4 3 6 3 5" xfId="37570" xr:uid="{00000000-0005-0000-0000-0000862F0000}"/>
    <cellStyle name="20 % - Markeringsfarve4 3 6 4" xfId="4843" xr:uid="{00000000-0005-0000-0000-0000872F0000}"/>
    <cellStyle name="20 % - Markeringsfarve4 3 6 4 2" xfId="10594" xr:uid="{00000000-0005-0000-0000-0000882F0000}"/>
    <cellStyle name="20 % - Markeringsfarve4 3 6 4 2 2" xfId="18442" xr:uid="{00000000-0005-0000-0000-0000892F0000}"/>
    <cellStyle name="20 % - Markeringsfarve4 3 6 4 2 2 2" xfId="34718" xr:uid="{00000000-0005-0000-0000-00008A2F0000}"/>
    <cellStyle name="20 % - Markeringsfarve4 3 6 4 2 2 3" xfId="49677" xr:uid="{00000000-0005-0000-0000-00008B2F0000}"/>
    <cellStyle name="20 % - Markeringsfarve4 3 6 4 2 3" xfId="27716" xr:uid="{00000000-0005-0000-0000-00008C2F0000}"/>
    <cellStyle name="20 % - Markeringsfarve4 3 6 4 2 4" xfId="42680" xr:uid="{00000000-0005-0000-0000-00008D2F0000}"/>
    <cellStyle name="20 % - Markeringsfarve4 3 6 4 3" xfId="13328" xr:uid="{00000000-0005-0000-0000-00008E2F0000}"/>
    <cellStyle name="20 % - Markeringsfarve4 3 6 4 3 2" xfId="29607" xr:uid="{00000000-0005-0000-0000-00008F2F0000}"/>
    <cellStyle name="20 % - Markeringsfarve4 3 6 4 3 3" xfId="44568" xr:uid="{00000000-0005-0000-0000-0000902F0000}"/>
    <cellStyle name="20 % - Markeringsfarve4 3 6 4 4" xfId="22605" xr:uid="{00000000-0005-0000-0000-0000912F0000}"/>
    <cellStyle name="20 % - Markeringsfarve4 3 6 4 5" xfId="37571" xr:uid="{00000000-0005-0000-0000-0000922F0000}"/>
    <cellStyle name="20 % - Markeringsfarve4 3 6 5" xfId="7826" xr:uid="{00000000-0005-0000-0000-0000932F0000}"/>
    <cellStyle name="20 % - Markeringsfarve4 3 6 5 2" xfId="15691" xr:uid="{00000000-0005-0000-0000-0000942F0000}"/>
    <cellStyle name="20 % - Markeringsfarve4 3 6 5 2 2" xfId="31967" xr:uid="{00000000-0005-0000-0000-0000952F0000}"/>
    <cellStyle name="20 % - Markeringsfarve4 3 6 5 2 3" xfId="46926" xr:uid="{00000000-0005-0000-0000-0000962F0000}"/>
    <cellStyle name="20 % - Markeringsfarve4 3 6 5 3" xfId="24965" xr:uid="{00000000-0005-0000-0000-0000972F0000}"/>
    <cellStyle name="20 % - Markeringsfarve4 3 6 5 4" xfId="39929" xr:uid="{00000000-0005-0000-0000-0000982F0000}"/>
    <cellStyle name="20 % - Markeringsfarve4 3 6 6" xfId="13324" xr:uid="{00000000-0005-0000-0000-0000992F0000}"/>
    <cellStyle name="20 % - Markeringsfarve4 3 6 6 2" xfId="29603" xr:uid="{00000000-0005-0000-0000-00009A2F0000}"/>
    <cellStyle name="20 % - Markeringsfarve4 3 6 6 3" xfId="44564" xr:uid="{00000000-0005-0000-0000-00009B2F0000}"/>
    <cellStyle name="20 % - Markeringsfarve4 3 6 7" xfId="22601" xr:uid="{00000000-0005-0000-0000-00009C2F0000}"/>
    <cellStyle name="20 % - Markeringsfarve4 3 6 8" xfId="37567" xr:uid="{00000000-0005-0000-0000-00009D2F0000}"/>
    <cellStyle name="20 % - Markeringsfarve4 3 7" xfId="4844" xr:uid="{00000000-0005-0000-0000-00009E2F0000}"/>
    <cellStyle name="20 % - Markeringsfarve4 3 7 2" xfId="4845" xr:uid="{00000000-0005-0000-0000-00009F2F0000}"/>
    <cellStyle name="20 % - Markeringsfarve4 3 7 2 2" xfId="4846" xr:uid="{00000000-0005-0000-0000-0000A02F0000}"/>
    <cellStyle name="20 % - Markeringsfarve4 3 7 2 2 2" xfId="10188" xr:uid="{00000000-0005-0000-0000-0000A12F0000}"/>
    <cellStyle name="20 % - Markeringsfarve4 3 7 2 2 2 2" xfId="18043" xr:uid="{00000000-0005-0000-0000-0000A22F0000}"/>
    <cellStyle name="20 % - Markeringsfarve4 3 7 2 2 2 2 2" xfId="34319" xr:uid="{00000000-0005-0000-0000-0000A32F0000}"/>
    <cellStyle name="20 % - Markeringsfarve4 3 7 2 2 2 2 3" xfId="49278" xr:uid="{00000000-0005-0000-0000-0000A42F0000}"/>
    <cellStyle name="20 % - Markeringsfarve4 3 7 2 2 2 3" xfId="27317" xr:uid="{00000000-0005-0000-0000-0000A52F0000}"/>
    <cellStyle name="20 % - Markeringsfarve4 3 7 2 2 2 4" xfId="42281" xr:uid="{00000000-0005-0000-0000-0000A62F0000}"/>
    <cellStyle name="20 % - Markeringsfarve4 3 7 2 2 3" xfId="13331" xr:uid="{00000000-0005-0000-0000-0000A72F0000}"/>
    <cellStyle name="20 % - Markeringsfarve4 3 7 2 2 3 2" xfId="29610" xr:uid="{00000000-0005-0000-0000-0000A82F0000}"/>
    <cellStyle name="20 % - Markeringsfarve4 3 7 2 2 3 3" xfId="44571" xr:uid="{00000000-0005-0000-0000-0000A92F0000}"/>
    <cellStyle name="20 % - Markeringsfarve4 3 7 2 2 4" xfId="22608" xr:uid="{00000000-0005-0000-0000-0000AA2F0000}"/>
    <cellStyle name="20 % - Markeringsfarve4 3 7 2 2 5" xfId="37574" xr:uid="{00000000-0005-0000-0000-0000AB2F0000}"/>
    <cellStyle name="20 % - Markeringsfarve4 3 7 2 3" xfId="8715" xr:uid="{00000000-0005-0000-0000-0000AC2F0000}"/>
    <cellStyle name="20 % - Markeringsfarve4 3 7 2 3 2" xfId="16582" xr:uid="{00000000-0005-0000-0000-0000AD2F0000}"/>
    <cellStyle name="20 % - Markeringsfarve4 3 7 2 3 2 2" xfId="32858" xr:uid="{00000000-0005-0000-0000-0000AE2F0000}"/>
    <cellStyle name="20 % - Markeringsfarve4 3 7 2 3 2 3" xfId="47817" xr:uid="{00000000-0005-0000-0000-0000AF2F0000}"/>
    <cellStyle name="20 % - Markeringsfarve4 3 7 2 3 3" xfId="25856" xr:uid="{00000000-0005-0000-0000-0000B02F0000}"/>
    <cellStyle name="20 % - Markeringsfarve4 3 7 2 3 4" xfId="40820" xr:uid="{00000000-0005-0000-0000-0000B12F0000}"/>
    <cellStyle name="20 % - Markeringsfarve4 3 7 2 4" xfId="13330" xr:uid="{00000000-0005-0000-0000-0000B22F0000}"/>
    <cellStyle name="20 % - Markeringsfarve4 3 7 2 4 2" xfId="29609" xr:uid="{00000000-0005-0000-0000-0000B32F0000}"/>
    <cellStyle name="20 % - Markeringsfarve4 3 7 2 4 3" xfId="44570" xr:uid="{00000000-0005-0000-0000-0000B42F0000}"/>
    <cellStyle name="20 % - Markeringsfarve4 3 7 2 5" xfId="22607" xr:uid="{00000000-0005-0000-0000-0000B52F0000}"/>
    <cellStyle name="20 % - Markeringsfarve4 3 7 2 6" xfId="37573" xr:uid="{00000000-0005-0000-0000-0000B62F0000}"/>
    <cellStyle name="20 % - Markeringsfarve4 3 7 3" xfId="4847" xr:uid="{00000000-0005-0000-0000-0000B72F0000}"/>
    <cellStyle name="20 % - Markeringsfarve4 3 7 3 2" xfId="9465" xr:uid="{00000000-0005-0000-0000-0000B82F0000}"/>
    <cellStyle name="20 % - Markeringsfarve4 3 7 3 2 2" xfId="17328" xr:uid="{00000000-0005-0000-0000-0000B92F0000}"/>
    <cellStyle name="20 % - Markeringsfarve4 3 7 3 2 2 2" xfId="33604" xr:uid="{00000000-0005-0000-0000-0000BA2F0000}"/>
    <cellStyle name="20 % - Markeringsfarve4 3 7 3 2 2 3" xfId="48563" xr:uid="{00000000-0005-0000-0000-0000BB2F0000}"/>
    <cellStyle name="20 % - Markeringsfarve4 3 7 3 2 3" xfId="26602" xr:uid="{00000000-0005-0000-0000-0000BC2F0000}"/>
    <cellStyle name="20 % - Markeringsfarve4 3 7 3 2 4" xfId="41566" xr:uid="{00000000-0005-0000-0000-0000BD2F0000}"/>
    <cellStyle name="20 % - Markeringsfarve4 3 7 3 3" xfId="13332" xr:uid="{00000000-0005-0000-0000-0000BE2F0000}"/>
    <cellStyle name="20 % - Markeringsfarve4 3 7 3 3 2" xfId="29611" xr:uid="{00000000-0005-0000-0000-0000BF2F0000}"/>
    <cellStyle name="20 % - Markeringsfarve4 3 7 3 3 3" xfId="44572" xr:uid="{00000000-0005-0000-0000-0000C02F0000}"/>
    <cellStyle name="20 % - Markeringsfarve4 3 7 3 4" xfId="22609" xr:uid="{00000000-0005-0000-0000-0000C12F0000}"/>
    <cellStyle name="20 % - Markeringsfarve4 3 7 3 5" xfId="37575" xr:uid="{00000000-0005-0000-0000-0000C22F0000}"/>
    <cellStyle name="20 % - Markeringsfarve4 3 7 4" xfId="4848" xr:uid="{00000000-0005-0000-0000-0000C32F0000}"/>
    <cellStyle name="20 % - Markeringsfarve4 3 7 4 2" xfId="10855" xr:uid="{00000000-0005-0000-0000-0000C42F0000}"/>
    <cellStyle name="20 % - Markeringsfarve4 3 7 4 2 2" xfId="18693" xr:uid="{00000000-0005-0000-0000-0000C52F0000}"/>
    <cellStyle name="20 % - Markeringsfarve4 3 7 4 2 2 2" xfId="34969" xr:uid="{00000000-0005-0000-0000-0000C62F0000}"/>
    <cellStyle name="20 % - Markeringsfarve4 3 7 4 2 2 3" xfId="49928" xr:uid="{00000000-0005-0000-0000-0000C72F0000}"/>
    <cellStyle name="20 % - Markeringsfarve4 3 7 4 2 3" xfId="27967" xr:uid="{00000000-0005-0000-0000-0000C82F0000}"/>
    <cellStyle name="20 % - Markeringsfarve4 3 7 4 2 4" xfId="42931" xr:uid="{00000000-0005-0000-0000-0000C92F0000}"/>
    <cellStyle name="20 % - Markeringsfarve4 3 7 4 3" xfId="13333" xr:uid="{00000000-0005-0000-0000-0000CA2F0000}"/>
    <cellStyle name="20 % - Markeringsfarve4 3 7 4 3 2" xfId="29612" xr:uid="{00000000-0005-0000-0000-0000CB2F0000}"/>
    <cellStyle name="20 % - Markeringsfarve4 3 7 4 3 3" xfId="44573" xr:uid="{00000000-0005-0000-0000-0000CC2F0000}"/>
    <cellStyle name="20 % - Markeringsfarve4 3 7 4 4" xfId="22610" xr:uid="{00000000-0005-0000-0000-0000CD2F0000}"/>
    <cellStyle name="20 % - Markeringsfarve4 3 7 4 5" xfId="37576" xr:uid="{00000000-0005-0000-0000-0000CE2F0000}"/>
    <cellStyle name="20 % - Markeringsfarve4 3 7 5" xfId="7827" xr:uid="{00000000-0005-0000-0000-0000CF2F0000}"/>
    <cellStyle name="20 % - Markeringsfarve4 3 7 5 2" xfId="15692" xr:uid="{00000000-0005-0000-0000-0000D02F0000}"/>
    <cellStyle name="20 % - Markeringsfarve4 3 7 5 2 2" xfId="31968" xr:uid="{00000000-0005-0000-0000-0000D12F0000}"/>
    <cellStyle name="20 % - Markeringsfarve4 3 7 5 2 3" xfId="46927" xr:uid="{00000000-0005-0000-0000-0000D22F0000}"/>
    <cellStyle name="20 % - Markeringsfarve4 3 7 5 3" xfId="24966" xr:uid="{00000000-0005-0000-0000-0000D32F0000}"/>
    <cellStyle name="20 % - Markeringsfarve4 3 7 5 4" xfId="39930" xr:uid="{00000000-0005-0000-0000-0000D42F0000}"/>
    <cellStyle name="20 % - Markeringsfarve4 3 7 6" xfId="13329" xr:uid="{00000000-0005-0000-0000-0000D52F0000}"/>
    <cellStyle name="20 % - Markeringsfarve4 3 7 6 2" xfId="29608" xr:uid="{00000000-0005-0000-0000-0000D62F0000}"/>
    <cellStyle name="20 % - Markeringsfarve4 3 7 6 3" xfId="44569" xr:uid="{00000000-0005-0000-0000-0000D72F0000}"/>
    <cellStyle name="20 % - Markeringsfarve4 3 7 7" xfId="22606" xr:uid="{00000000-0005-0000-0000-0000D82F0000}"/>
    <cellStyle name="20 % - Markeringsfarve4 3 7 8" xfId="37572" xr:uid="{00000000-0005-0000-0000-0000D92F0000}"/>
    <cellStyle name="20 % - Markeringsfarve4 3 8" xfId="4849" xr:uid="{00000000-0005-0000-0000-0000DA2F0000}"/>
    <cellStyle name="20 % - Markeringsfarve4 3 8 2" xfId="4850" xr:uid="{00000000-0005-0000-0000-0000DB2F0000}"/>
    <cellStyle name="20 % - Markeringsfarve4 3 8 2 2" xfId="4851" xr:uid="{00000000-0005-0000-0000-0000DC2F0000}"/>
    <cellStyle name="20 % - Markeringsfarve4 3 8 2 2 2" xfId="10316" xr:uid="{00000000-0005-0000-0000-0000DD2F0000}"/>
    <cellStyle name="20 % - Markeringsfarve4 3 8 2 2 2 2" xfId="18171" xr:uid="{00000000-0005-0000-0000-0000DE2F0000}"/>
    <cellStyle name="20 % - Markeringsfarve4 3 8 2 2 2 2 2" xfId="34447" xr:uid="{00000000-0005-0000-0000-0000DF2F0000}"/>
    <cellStyle name="20 % - Markeringsfarve4 3 8 2 2 2 2 3" xfId="49406" xr:uid="{00000000-0005-0000-0000-0000E02F0000}"/>
    <cellStyle name="20 % - Markeringsfarve4 3 8 2 2 2 3" xfId="27445" xr:uid="{00000000-0005-0000-0000-0000E12F0000}"/>
    <cellStyle name="20 % - Markeringsfarve4 3 8 2 2 2 4" xfId="42409" xr:uid="{00000000-0005-0000-0000-0000E22F0000}"/>
    <cellStyle name="20 % - Markeringsfarve4 3 8 2 2 3" xfId="13336" xr:uid="{00000000-0005-0000-0000-0000E32F0000}"/>
    <cellStyle name="20 % - Markeringsfarve4 3 8 2 2 3 2" xfId="29615" xr:uid="{00000000-0005-0000-0000-0000E42F0000}"/>
    <cellStyle name="20 % - Markeringsfarve4 3 8 2 2 3 3" xfId="44576" xr:uid="{00000000-0005-0000-0000-0000E52F0000}"/>
    <cellStyle name="20 % - Markeringsfarve4 3 8 2 2 4" xfId="22613" xr:uid="{00000000-0005-0000-0000-0000E62F0000}"/>
    <cellStyle name="20 % - Markeringsfarve4 3 8 2 2 5" xfId="37579" xr:uid="{00000000-0005-0000-0000-0000E72F0000}"/>
    <cellStyle name="20 % - Markeringsfarve4 3 8 2 3" xfId="8828" xr:uid="{00000000-0005-0000-0000-0000E82F0000}"/>
    <cellStyle name="20 % - Markeringsfarve4 3 8 2 3 2" xfId="16695" xr:uid="{00000000-0005-0000-0000-0000E92F0000}"/>
    <cellStyle name="20 % - Markeringsfarve4 3 8 2 3 2 2" xfId="32971" xr:uid="{00000000-0005-0000-0000-0000EA2F0000}"/>
    <cellStyle name="20 % - Markeringsfarve4 3 8 2 3 2 3" xfId="47930" xr:uid="{00000000-0005-0000-0000-0000EB2F0000}"/>
    <cellStyle name="20 % - Markeringsfarve4 3 8 2 3 3" xfId="25969" xr:uid="{00000000-0005-0000-0000-0000EC2F0000}"/>
    <cellStyle name="20 % - Markeringsfarve4 3 8 2 3 4" xfId="40933" xr:uid="{00000000-0005-0000-0000-0000ED2F0000}"/>
    <cellStyle name="20 % - Markeringsfarve4 3 8 2 4" xfId="13335" xr:uid="{00000000-0005-0000-0000-0000EE2F0000}"/>
    <cellStyle name="20 % - Markeringsfarve4 3 8 2 4 2" xfId="29614" xr:uid="{00000000-0005-0000-0000-0000EF2F0000}"/>
    <cellStyle name="20 % - Markeringsfarve4 3 8 2 4 3" xfId="44575" xr:uid="{00000000-0005-0000-0000-0000F02F0000}"/>
    <cellStyle name="20 % - Markeringsfarve4 3 8 2 5" xfId="22612" xr:uid="{00000000-0005-0000-0000-0000F12F0000}"/>
    <cellStyle name="20 % - Markeringsfarve4 3 8 2 6" xfId="37578" xr:uid="{00000000-0005-0000-0000-0000F22F0000}"/>
    <cellStyle name="20 % - Markeringsfarve4 3 8 3" xfId="4852" xr:uid="{00000000-0005-0000-0000-0000F32F0000}"/>
    <cellStyle name="20 % - Markeringsfarve4 3 8 3 2" xfId="9594" xr:uid="{00000000-0005-0000-0000-0000F42F0000}"/>
    <cellStyle name="20 % - Markeringsfarve4 3 8 3 2 2" xfId="17457" xr:uid="{00000000-0005-0000-0000-0000F52F0000}"/>
    <cellStyle name="20 % - Markeringsfarve4 3 8 3 2 2 2" xfId="33733" xr:uid="{00000000-0005-0000-0000-0000F62F0000}"/>
    <cellStyle name="20 % - Markeringsfarve4 3 8 3 2 2 3" xfId="48692" xr:uid="{00000000-0005-0000-0000-0000F72F0000}"/>
    <cellStyle name="20 % - Markeringsfarve4 3 8 3 2 3" xfId="26731" xr:uid="{00000000-0005-0000-0000-0000F82F0000}"/>
    <cellStyle name="20 % - Markeringsfarve4 3 8 3 2 4" xfId="41695" xr:uid="{00000000-0005-0000-0000-0000F92F0000}"/>
    <cellStyle name="20 % - Markeringsfarve4 3 8 3 3" xfId="13337" xr:uid="{00000000-0005-0000-0000-0000FA2F0000}"/>
    <cellStyle name="20 % - Markeringsfarve4 3 8 3 3 2" xfId="29616" xr:uid="{00000000-0005-0000-0000-0000FB2F0000}"/>
    <cellStyle name="20 % - Markeringsfarve4 3 8 3 3 3" xfId="44577" xr:uid="{00000000-0005-0000-0000-0000FC2F0000}"/>
    <cellStyle name="20 % - Markeringsfarve4 3 8 3 4" xfId="22614" xr:uid="{00000000-0005-0000-0000-0000FD2F0000}"/>
    <cellStyle name="20 % - Markeringsfarve4 3 8 3 5" xfId="37580" xr:uid="{00000000-0005-0000-0000-0000FE2F0000}"/>
    <cellStyle name="20 % - Markeringsfarve4 3 8 4" xfId="4853" xr:uid="{00000000-0005-0000-0000-0000FF2F0000}"/>
    <cellStyle name="20 % - Markeringsfarve4 3 8 4 2" xfId="10504" xr:uid="{00000000-0005-0000-0000-000000300000}"/>
    <cellStyle name="20 % - Markeringsfarve4 3 8 4 2 2" xfId="18353" xr:uid="{00000000-0005-0000-0000-000001300000}"/>
    <cellStyle name="20 % - Markeringsfarve4 3 8 4 2 2 2" xfId="34629" xr:uid="{00000000-0005-0000-0000-000002300000}"/>
    <cellStyle name="20 % - Markeringsfarve4 3 8 4 2 2 3" xfId="49588" xr:uid="{00000000-0005-0000-0000-000003300000}"/>
    <cellStyle name="20 % - Markeringsfarve4 3 8 4 2 3" xfId="27627" xr:uid="{00000000-0005-0000-0000-000004300000}"/>
    <cellStyle name="20 % - Markeringsfarve4 3 8 4 2 4" xfId="42591" xr:uid="{00000000-0005-0000-0000-000005300000}"/>
    <cellStyle name="20 % - Markeringsfarve4 3 8 4 3" xfId="13338" xr:uid="{00000000-0005-0000-0000-000006300000}"/>
    <cellStyle name="20 % - Markeringsfarve4 3 8 4 3 2" xfId="29617" xr:uid="{00000000-0005-0000-0000-000007300000}"/>
    <cellStyle name="20 % - Markeringsfarve4 3 8 4 3 3" xfId="44578" xr:uid="{00000000-0005-0000-0000-000008300000}"/>
    <cellStyle name="20 % - Markeringsfarve4 3 8 4 4" xfId="22615" xr:uid="{00000000-0005-0000-0000-000009300000}"/>
    <cellStyle name="20 % - Markeringsfarve4 3 8 4 5" xfId="37581" xr:uid="{00000000-0005-0000-0000-00000A300000}"/>
    <cellStyle name="20 % - Markeringsfarve4 3 8 5" xfId="7828" xr:uid="{00000000-0005-0000-0000-00000B300000}"/>
    <cellStyle name="20 % - Markeringsfarve4 3 8 5 2" xfId="15693" xr:uid="{00000000-0005-0000-0000-00000C300000}"/>
    <cellStyle name="20 % - Markeringsfarve4 3 8 5 2 2" xfId="31969" xr:uid="{00000000-0005-0000-0000-00000D300000}"/>
    <cellStyle name="20 % - Markeringsfarve4 3 8 5 2 3" xfId="46928" xr:uid="{00000000-0005-0000-0000-00000E300000}"/>
    <cellStyle name="20 % - Markeringsfarve4 3 8 5 3" xfId="24967" xr:uid="{00000000-0005-0000-0000-00000F300000}"/>
    <cellStyle name="20 % - Markeringsfarve4 3 8 5 4" xfId="39931" xr:uid="{00000000-0005-0000-0000-000010300000}"/>
    <cellStyle name="20 % - Markeringsfarve4 3 8 6" xfId="13334" xr:uid="{00000000-0005-0000-0000-000011300000}"/>
    <cellStyle name="20 % - Markeringsfarve4 3 8 6 2" xfId="29613" xr:uid="{00000000-0005-0000-0000-000012300000}"/>
    <cellStyle name="20 % - Markeringsfarve4 3 8 6 3" xfId="44574" xr:uid="{00000000-0005-0000-0000-000013300000}"/>
    <cellStyle name="20 % - Markeringsfarve4 3 8 7" xfId="22611" xr:uid="{00000000-0005-0000-0000-000014300000}"/>
    <cellStyle name="20 % - Markeringsfarve4 3 8 8" xfId="37577" xr:uid="{00000000-0005-0000-0000-000015300000}"/>
    <cellStyle name="20 % - Markeringsfarve4 3 9" xfId="4854" xr:uid="{00000000-0005-0000-0000-000016300000}"/>
    <cellStyle name="20 % - Markeringsfarve4 3 9 2" xfId="4855" xr:uid="{00000000-0005-0000-0000-000017300000}"/>
    <cellStyle name="20 % - Markeringsfarve4 3 9 2 2" xfId="9715" xr:uid="{00000000-0005-0000-0000-000018300000}"/>
    <cellStyle name="20 % - Markeringsfarve4 3 9 2 2 2" xfId="17569" xr:uid="{00000000-0005-0000-0000-000019300000}"/>
    <cellStyle name="20 % - Markeringsfarve4 3 9 2 2 2 2" xfId="33845" xr:uid="{00000000-0005-0000-0000-00001A300000}"/>
    <cellStyle name="20 % - Markeringsfarve4 3 9 2 2 2 3" xfId="48804" xr:uid="{00000000-0005-0000-0000-00001B300000}"/>
    <cellStyle name="20 % - Markeringsfarve4 3 9 2 2 3" xfId="26843" xr:uid="{00000000-0005-0000-0000-00001C300000}"/>
    <cellStyle name="20 % - Markeringsfarve4 3 9 2 2 4" xfId="41807" xr:uid="{00000000-0005-0000-0000-00001D300000}"/>
    <cellStyle name="20 % - Markeringsfarve4 3 9 2 3" xfId="13340" xr:uid="{00000000-0005-0000-0000-00001E300000}"/>
    <cellStyle name="20 % - Markeringsfarve4 3 9 2 3 2" xfId="29619" xr:uid="{00000000-0005-0000-0000-00001F300000}"/>
    <cellStyle name="20 % - Markeringsfarve4 3 9 2 3 3" xfId="44580" xr:uid="{00000000-0005-0000-0000-000020300000}"/>
    <cellStyle name="20 % - Markeringsfarve4 3 9 2 4" xfId="22617" xr:uid="{00000000-0005-0000-0000-000021300000}"/>
    <cellStyle name="20 % - Markeringsfarve4 3 9 2 5" xfId="37583" xr:uid="{00000000-0005-0000-0000-000022300000}"/>
    <cellStyle name="20 % - Markeringsfarve4 3 9 3" xfId="8315" xr:uid="{00000000-0005-0000-0000-000023300000}"/>
    <cellStyle name="20 % - Markeringsfarve4 3 9 3 2" xfId="16185" xr:uid="{00000000-0005-0000-0000-000024300000}"/>
    <cellStyle name="20 % - Markeringsfarve4 3 9 3 2 2" xfId="32461" xr:uid="{00000000-0005-0000-0000-000025300000}"/>
    <cellStyle name="20 % - Markeringsfarve4 3 9 3 2 3" xfId="47420" xr:uid="{00000000-0005-0000-0000-000026300000}"/>
    <cellStyle name="20 % - Markeringsfarve4 3 9 3 3" xfId="25459" xr:uid="{00000000-0005-0000-0000-000027300000}"/>
    <cellStyle name="20 % - Markeringsfarve4 3 9 3 4" xfId="40423" xr:uid="{00000000-0005-0000-0000-000028300000}"/>
    <cellStyle name="20 % - Markeringsfarve4 3 9 4" xfId="13339" xr:uid="{00000000-0005-0000-0000-000029300000}"/>
    <cellStyle name="20 % - Markeringsfarve4 3 9 4 2" xfId="29618" xr:uid="{00000000-0005-0000-0000-00002A300000}"/>
    <cellStyle name="20 % - Markeringsfarve4 3 9 4 3" xfId="44579" xr:uid="{00000000-0005-0000-0000-00002B300000}"/>
    <cellStyle name="20 % - Markeringsfarve4 3 9 5" xfId="22616" xr:uid="{00000000-0005-0000-0000-00002C300000}"/>
    <cellStyle name="20 % - Markeringsfarve4 3 9 6" xfId="37582" xr:uid="{00000000-0005-0000-0000-00002D300000}"/>
    <cellStyle name="20 % - Markeringsfarve4 4" xfId="4856" xr:uid="{00000000-0005-0000-0000-00002E300000}"/>
    <cellStyle name="20 % - Markeringsfarve4 4 10" xfId="7829" xr:uid="{00000000-0005-0000-0000-00002F300000}"/>
    <cellStyle name="20 % - Markeringsfarve4 4 10 2" xfId="15694" xr:uid="{00000000-0005-0000-0000-000030300000}"/>
    <cellStyle name="20 % - Markeringsfarve4 4 10 2 2" xfId="31970" xr:uid="{00000000-0005-0000-0000-000031300000}"/>
    <cellStyle name="20 % - Markeringsfarve4 4 10 2 3" xfId="46929" xr:uid="{00000000-0005-0000-0000-000032300000}"/>
    <cellStyle name="20 % - Markeringsfarve4 4 10 3" xfId="24968" xr:uid="{00000000-0005-0000-0000-000033300000}"/>
    <cellStyle name="20 % - Markeringsfarve4 4 10 4" xfId="39932" xr:uid="{00000000-0005-0000-0000-000034300000}"/>
    <cellStyle name="20 % - Markeringsfarve4 4 11" xfId="13341" xr:uid="{00000000-0005-0000-0000-000035300000}"/>
    <cellStyle name="20 % - Markeringsfarve4 4 11 2" xfId="29620" xr:uid="{00000000-0005-0000-0000-000036300000}"/>
    <cellStyle name="20 % - Markeringsfarve4 4 11 3" xfId="44581" xr:uid="{00000000-0005-0000-0000-000037300000}"/>
    <cellStyle name="20 % - Markeringsfarve4 4 12" xfId="22618" xr:uid="{00000000-0005-0000-0000-000038300000}"/>
    <cellStyle name="20 % - Markeringsfarve4 4 13" xfId="37584" xr:uid="{00000000-0005-0000-0000-000039300000}"/>
    <cellStyle name="20 % - Markeringsfarve4 4 2" xfId="4857" xr:uid="{00000000-0005-0000-0000-00003A300000}"/>
    <cellStyle name="20 % - Markeringsfarve4 4 2 2" xfId="4858" xr:uid="{00000000-0005-0000-0000-00003B300000}"/>
    <cellStyle name="20 % - Markeringsfarve4 4 2 2 2" xfId="4859" xr:uid="{00000000-0005-0000-0000-00003C300000}"/>
    <cellStyle name="20 % - Markeringsfarve4 4 2 2 2 2" xfId="9858" xr:uid="{00000000-0005-0000-0000-00003D300000}"/>
    <cellStyle name="20 % - Markeringsfarve4 4 2 2 2 2 2" xfId="17713" xr:uid="{00000000-0005-0000-0000-00003E300000}"/>
    <cellStyle name="20 % - Markeringsfarve4 4 2 2 2 2 2 2" xfId="33989" xr:uid="{00000000-0005-0000-0000-00003F300000}"/>
    <cellStyle name="20 % - Markeringsfarve4 4 2 2 2 2 2 3" xfId="48948" xr:uid="{00000000-0005-0000-0000-000040300000}"/>
    <cellStyle name="20 % - Markeringsfarve4 4 2 2 2 2 3" xfId="26987" xr:uid="{00000000-0005-0000-0000-000041300000}"/>
    <cellStyle name="20 % - Markeringsfarve4 4 2 2 2 2 4" xfId="41951" xr:uid="{00000000-0005-0000-0000-000042300000}"/>
    <cellStyle name="20 % - Markeringsfarve4 4 2 2 2 3" xfId="13344" xr:uid="{00000000-0005-0000-0000-000043300000}"/>
    <cellStyle name="20 % - Markeringsfarve4 4 2 2 2 3 2" xfId="29623" xr:uid="{00000000-0005-0000-0000-000044300000}"/>
    <cellStyle name="20 % - Markeringsfarve4 4 2 2 2 3 3" xfId="44584" xr:uid="{00000000-0005-0000-0000-000045300000}"/>
    <cellStyle name="20 % - Markeringsfarve4 4 2 2 2 4" xfId="22621" xr:uid="{00000000-0005-0000-0000-000046300000}"/>
    <cellStyle name="20 % - Markeringsfarve4 4 2 2 2 5" xfId="37587" xr:uid="{00000000-0005-0000-0000-000047300000}"/>
    <cellStyle name="20 % - Markeringsfarve4 4 2 2 3" xfId="8435" xr:uid="{00000000-0005-0000-0000-000048300000}"/>
    <cellStyle name="20 % - Markeringsfarve4 4 2 2 3 2" xfId="16305" xr:uid="{00000000-0005-0000-0000-000049300000}"/>
    <cellStyle name="20 % - Markeringsfarve4 4 2 2 3 2 2" xfId="32581" xr:uid="{00000000-0005-0000-0000-00004A300000}"/>
    <cellStyle name="20 % - Markeringsfarve4 4 2 2 3 2 3" xfId="47540" xr:uid="{00000000-0005-0000-0000-00004B300000}"/>
    <cellStyle name="20 % - Markeringsfarve4 4 2 2 3 3" xfId="25579" xr:uid="{00000000-0005-0000-0000-00004C300000}"/>
    <cellStyle name="20 % - Markeringsfarve4 4 2 2 3 4" xfId="40543" xr:uid="{00000000-0005-0000-0000-00004D300000}"/>
    <cellStyle name="20 % - Markeringsfarve4 4 2 2 4" xfId="13343" xr:uid="{00000000-0005-0000-0000-00004E300000}"/>
    <cellStyle name="20 % - Markeringsfarve4 4 2 2 4 2" xfId="29622" xr:uid="{00000000-0005-0000-0000-00004F300000}"/>
    <cellStyle name="20 % - Markeringsfarve4 4 2 2 4 3" xfId="44583" xr:uid="{00000000-0005-0000-0000-000050300000}"/>
    <cellStyle name="20 % - Markeringsfarve4 4 2 2 5" xfId="22620" xr:uid="{00000000-0005-0000-0000-000051300000}"/>
    <cellStyle name="20 % - Markeringsfarve4 4 2 2 6" xfId="37586" xr:uid="{00000000-0005-0000-0000-000052300000}"/>
    <cellStyle name="20 % - Markeringsfarve4 4 2 3" xfId="4860" xr:uid="{00000000-0005-0000-0000-000053300000}"/>
    <cellStyle name="20 % - Markeringsfarve4 4 2 3 2" xfId="9089" xr:uid="{00000000-0005-0000-0000-000054300000}"/>
    <cellStyle name="20 % - Markeringsfarve4 4 2 3 2 2" xfId="16953" xr:uid="{00000000-0005-0000-0000-000055300000}"/>
    <cellStyle name="20 % - Markeringsfarve4 4 2 3 2 2 2" xfId="33229" xr:uid="{00000000-0005-0000-0000-000056300000}"/>
    <cellStyle name="20 % - Markeringsfarve4 4 2 3 2 2 3" xfId="48188" xr:uid="{00000000-0005-0000-0000-000057300000}"/>
    <cellStyle name="20 % - Markeringsfarve4 4 2 3 2 3" xfId="26227" xr:uid="{00000000-0005-0000-0000-000058300000}"/>
    <cellStyle name="20 % - Markeringsfarve4 4 2 3 2 4" xfId="41191" xr:uid="{00000000-0005-0000-0000-000059300000}"/>
    <cellStyle name="20 % - Markeringsfarve4 4 2 3 3" xfId="13345" xr:uid="{00000000-0005-0000-0000-00005A300000}"/>
    <cellStyle name="20 % - Markeringsfarve4 4 2 3 3 2" xfId="29624" xr:uid="{00000000-0005-0000-0000-00005B300000}"/>
    <cellStyle name="20 % - Markeringsfarve4 4 2 3 3 3" xfId="44585" xr:uid="{00000000-0005-0000-0000-00005C300000}"/>
    <cellStyle name="20 % - Markeringsfarve4 4 2 3 4" xfId="22622" xr:uid="{00000000-0005-0000-0000-00005D300000}"/>
    <cellStyle name="20 % - Markeringsfarve4 4 2 3 5" xfId="37588" xr:uid="{00000000-0005-0000-0000-00005E300000}"/>
    <cellStyle name="20 % - Markeringsfarve4 4 2 4" xfId="4861" xr:uid="{00000000-0005-0000-0000-00005F300000}"/>
    <cellStyle name="20 % - Markeringsfarve4 4 2 4 2" xfId="10429" xr:uid="{00000000-0005-0000-0000-000060300000}"/>
    <cellStyle name="20 % - Markeringsfarve4 4 2 4 2 2" xfId="18281" xr:uid="{00000000-0005-0000-0000-000061300000}"/>
    <cellStyle name="20 % - Markeringsfarve4 4 2 4 2 2 2" xfId="34557" xr:uid="{00000000-0005-0000-0000-000062300000}"/>
    <cellStyle name="20 % - Markeringsfarve4 4 2 4 2 2 3" xfId="49516" xr:uid="{00000000-0005-0000-0000-000063300000}"/>
    <cellStyle name="20 % - Markeringsfarve4 4 2 4 2 3" xfId="27555" xr:uid="{00000000-0005-0000-0000-000064300000}"/>
    <cellStyle name="20 % - Markeringsfarve4 4 2 4 2 4" xfId="42519" xr:uid="{00000000-0005-0000-0000-000065300000}"/>
    <cellStyle name="20 % - Markeringsfarve4 4 2 4 3" xfId="13346" xr:uid="{00000000-0005-0000-0000-000066300000}"/>
    <cellStyle name="20 % - Markeringsfarve4 4 2 4 3 2" xfId="29625" xr:uid="{00000000-0005-0000-0000-000067300000}"/>
    <cellStyle name="20 % - Markeringsfarve4 4 2 4 3 3" xfId="44586" xr:uid="{00000000-0005-0000-0000-000068300000}"/>
    <cellStyle name="20 % - Markeringsfarve4 4 2 4 4" xfId="22623" xr:uid="{00000000-0005-0000-0000-000069300000}"/>
    <cellStyle name="20 % - Markeringsfarve4 4 2 4 5" xfId="37589" xr:uid="{00000000-0005-0000-0000-00006A300000}"/>
    <cellStyle name="20 % - Markeringsfarve4 4 2 5" xfId="7830" xr:uid="{00000000-0005-0000-0000-00006B300000}"/>
    <cellStyle name="20 % - Markeringsfarve4 4 2 5 2" xfId="15695" xr:uid="{00000000-0005-0000-0000-00006C300000}"/>
    <cellStyle name="20 % - Markeringsfarve4 4 2 5 2 2" xfId="31971" xr:uid="{00000000-0005-0000-0000-00006D300000}"/>
    <cellStyle name="20 % - Markeringsfarve4 4 2 5 2 3" xfId="46930" xr:uid="{00000000-0005-0000-0000-00006E300000}"/>
    <cellStyle name="20 % - Markeringsfarve4 4 2 5 3" xfId="24969" xr:uid="{00000000-0005-0000-0000-00006F300000}"/>
    <cellStyle name="20 % - Markeringsfarve4 4 2 5 4" xfId="39933" xr:uid="{00000000-0005-0000-0000-000070300000}"/>
    <cellStyle name="20 % - Markeringsfarve4 4 2 6" xfId="13342" xr:uid="{00000000-0005-0000-0000-000071300000}"/>
    <cellStyle name="20 % - Markeringsfarve4 4 2 6 2" xfId="29621" xr:uid="{00000000-0005-0000-0000-000072300000}"/>
    <cellStyle name="20 % - Markeringsfarve4 4 2 6 3" xfId="44582" xr:uid="{00000000-0005-0000-0000-000073300000}"/>
    <cellStyle name="20 % - Markeringsfarve4 4 2 7" xfId="22619" xr:uid="{00000000-0005-0000-0000-000074300000}"/>
    <cellStyle name="20 % - Markeringsfarve4 4 2 8" xfId="37585" xr:uid="{00000000-0005-0000-0000-000075300000}"/>
    <cellStyle name="20 % - Markeringsfarve4 4 3" xfId="4862" xr:uid="{00000000-0005-0000-0000-000076300000}"/>
    <cellStyle name="20 % - Markeringsfarve4 4 3 2" xfId="4863" xr:uid="{00000000-0005-0000-0000-000077300000}"/>
    <cellStyle name="20 % - Markeringsfarve4 4 3 2 2" xfId="4864" xr:uid="{00000000-0005-0000-0000-000078300000}"/>
    <cellStyle name="20 % - Markeringsfarve4 4 3 2 2 2" xfId="9964" xr:uid="{00000000-0005-0000-0000-000079300000}"/>
    <cellStyle name="20 % - Markeringsfarve4 4 3 2 2 2 2" xfId="17819" xr:uid="{00000000-0005-0000-0000-00007A300000}"/>
    <cellStyle name="20 % - Markeringsfarve4 4 3 2 2 2 2 2" xfId="34095" xr:uid="{00000000-0005-0000-0000-00007B300000}"/>
    <cellStyle name="20 % - Markeringsfarve4 4 3 2 2 2 2 3" xfId="49054" xr:uid="{00000000-0005-0000-0000-00007C300000}"/>
    <cellStyle name="20 % - Markeringsfarve4 4 3 2 2 2 3" xfId="27093" xr:uid="{00000000-0005-0000-0000-00007D300000}"/>
    <cellStyle name="20 % - Markeringsfarve4 4 3 2 2 2 4" xfId="42057" xr:uid="{00000000-0005-0000-0000-00007E300000}"/>
    <cellStyle name="20 % - Markeringsfarve4 4 3 2 2 3" xfId="13349" xr:uid="{00000000-0005-0000-0000-00007F300000}"/>
    <cellStyle name="20 % - Markeringsfarve4 4 3 2 2 3 2" xfId="29628" xr:uid="{00000000-0005-0000-0000-000080300000}"/>
    <cellStyle name="20 % - Markeringsfarve4 4 3 2 2 3 3" xfId="44589" xr:uid="{00000000-0005-0000-0000-000081300000}"/>
    <cellStyle name="20 % - Markeringsfarve4 4 3 2 2 4" xfId="22626" xr:uid="{00000000-0005-0000-0000-000082300000}"/>
    <cellStyle name="20 % - Markeringsfarve4 4 3 2 2 5" xfId="37592" xr:uid="{00000000-0005-0000-0000-000083300000}"/>
    <cellStyle name="20 % - Markeringsfarve4 4 3 2 3" xfId="8529" xr:uid="{00000000-0005-0000-0000-000084300000}"/>
    <cellStyle name="20 % - Markeringsfarve4 4 3 2 3 2" xfId="16399" xr:uid="{00000000-0005-0000-0000-000085300000}"/>
    <cellStyle name="20 % - Markeringsfarve4 4 3 2 3 2 2" xfId="32675" xr:uid="{00000000-0005-0000-0000-000086300000}"/>
    <cellStyle name="20 % - Markeringsfarve4 4 3 2 3 2 3" xfId="47634" xr:uid="{00000000-0005-0000-0000-000087300000}"/>
    <cellStyle name="20 % - Markeringsfarve4 4 3 2 3 3" xfId="25673" xr:uid="{00000000-0005-0000-0000-000088300000}"/>
    <cellStyle name="20 % - Markeringsfarve4 4 3 2 3 4" xfId="40637" xr:uid="{00000000-0005-0000-0000-000089300000}"/>
    <cellStyle name="20 % - Markeringsfarve4 4 3 2 4" xfId="13348" xr:uid="{00000000-0005-0000-0000-00008A300000}"/>
    <cellStyle name="20 % - Markeringsfarve4 4 3 2 4 2" xfId="29627" xr:uid="{00000000-0005-0000-0000-00008B300000}"/>
    <cellStyle name="20 % - Markeringsfarve4 4 3 2 4 3" xfId="44588" xr:uid="{00000000-0005-0000-0000-00008C300000}"/>
    <cellStyle name="20 % - Markeringsfarve4 4 3 2 5" xfId="22625" xr:uid="{00000000-0005-0000-0000-00008D300000}"/>
    <cellStyle name="20 % - Markeringsfarve4 4 3 2 6" xfId="37591" xr:uid="{00000000-0005-0000-0000-00008E300000}"/>
    <cellStyle name="20 % - Markeringsfarve4 4 3 3" xfId="4865" xr:uid="{00000000-0005-0000-0000-00008F300000}"/>
    <cellStyle name="20 % - Markeringsfarve4 4 3 3 2" xfId="9195" xr:uid="{00000000-0005-0000-0000-000090300000}"/>
    <cellStyle name="20 % - Markeringsfarve4 4 3 3 2 2" xfId="17059" xr:uid="{00000000-0005-0000-0000-000091300000}"/>
    <cellStyle name="20 % - Markeringsfarve4 4 3 3 2 2 2" xfId="33335" xr:uid="{00000000-0005-0000-0000-000092300000}"/>
    <cellStyle name="20 % - Markeringsfarve4 4 3 3 2 2 3" xfId="48294" xr:uid="{00000000-0005-0000-0000-000093300000}"/>
    <cellStyle name="20 % - Markeringsfarve4 4 3 3 2 3" xfId="26333" xr:uid="{00000000-0005-0000-0000-000094300000}"/>
    <cellStyle name="20 % - Markeringsfarve4 4 3 3 2 4" xfId="41297" xr:uid="{00000000-0005-0000-0000-000095300000}"/>
    <cellStyle name="20 % - Markeringsfarve4 4 3 3 3" xfId="13350" xr:uid="{00000000-0005-0000-0000-000096300000}"/>
    <cellStyle name="20 % - Markeringsfarve4 4 3 3 3 2" xfId="29629" xr:uid="{00000000-0005-0000-0000-000097300000}"/>
    <cellStyle name="20 % - Markeringsfarve4 4 3 3 3 3" xfId="44590" xr:uid="{00000000-0005-0000-0000-000098300000}"/>
    <cellStyle name="20 % - Markeringsfarve4 4 3 3 4" xfId="22627" xr:uid="{00000000-0005-0000-0000-000099300000}"/>
    <cellStyle name="20 % - Markeringsfarve4 4 3 3 5" xfId="37593" xr:uid="{00000000-0005-0000-0000-00009A300000}"/>
    <cellStyle name="20 % - Markeringsfarve4 4 3 4" xfId="4866" xr:uid="{00000000-0005-0000-0000-00009B300000}"/>
    <cellStyle name="20 % - Markeringsfarve4 4 3 4 2" xfId="10766" xr:uid="{00000000-0005-0000-0000-00009C300000}"/>
    <cellStyle name="20 % - Markeringsfarve4 4 3 4 2 2" xfId="18608" xr:uid="{00000000-0005-0000-0000-00009D300000}"/>
    <cellStyle name="20 % - Markeringsfarve4 4 3 4 2 2 2" xfId="34884" xr:uid="{00000000-0005-0000-0000-00009E300000}"/>
    <cellStyle name="20 % - Markeringsfarve4 4 3 4 2 2 3" xfId="49843" xr:uid="{00000000-0005-0000-0000-00009F300000}"/>
    <cellStyle name="20 % - Markeringsfarve4 4 3 4 2 3" xfId="27882" xr:uid="{00000000-0005-0000-0000-0000A0300000}"/>
    <cellStyle name="20 % - Markeringsfarve4 4 3 4 2 4" xfId="42846" xr:uid="{00000000-0005-0000-0000-0000A1300000}"/>
    <cellStyle name="20 % - Markeringsfarve4 4 3 4 3" xfId="13351" xr:uid="{00000000-0005-0000-0000-0000A2300000}"/>
    <cellStyle name="20 % - Markeringsfarve4 4 3 4 3 2" xfId="29630" xr:uid="{00000000-0005-0000-0000-0000A3300000}"/>
    <cellStyle name="20 % - Markeringsfarve4 4 3 4 3 3" xfId="44591" xr:uid="{00000000-0005-0000-0000-0000A4300000}"/>
    <cellStyle name="20 % - Markeringsfarve4 4 3 4 4" xfId="22628" xr:uid="{00000000-0005-0000-0000-0000A5300000}"/>
    <cellStyle name="20 % - Markeringsfarve4 4 3 4 5" xfId="37594" xr:uid="{00000000-0005-0000-0000-0000A6300000}"/>
    <cellStyle name="20 % - Markeringsfarve4 4 3 5" xfId="7831" xr:uid="{00000000-0005-0000-0000-0000A7300000}"/>
    <cellStyle name="20 % - Markeringsfarve4 4 3 5 2" xfId="15696" xr:uid="{00000000-0005-0000-0000-0000A8300000}"/>
    <cellStyle name="20 % - Markeringsfarve4 4 3 5 2 2" xfId="31972" xr:uid="{00000000-0005-0000-0000-0000A9300000}"/>
    <cellStyle name="20 % - Markeringsfarve4 4 3 5 2 3" xfId="46931" xr:uid="{00000000-0005-0000-0000-0000AA300000}"/>
    <cellStyle name="20 % - Markeringsfarve4 4 3 5 3" xfId="24970" xr:uid="{00000000-0005-0000-0000-0000AB300000}"/>
    <cellStyle name="20 % - Markeringsfarve4 4 3 5 4" xfId="39934" xr:uid="{00000000-0005-0000-0000-0000AC300000}"/>
    <cellStyle name="20 % - Markeringsfarve4 4 3 6" xfId="13347" xr:uid="{00000000-0005-0000-0000-0000AD300000}"/>
    <cellStyle name="20 % - Markeringsfarve4 4 3 6 2" xfId="29626" xr:uid="{00000000-0005-0000-0000-0000AE300000}"/>
    <cellStyle name="20 % - Markeringsfarve4 4 3 6 3" xfId="44587" xr:uid="{00000000-0005-0000-0000-0000AF300000}"/>
    <cellStyle name="20 % - Markeringsfarve4 4 3 7" xfId="22624" xr:uid="{00000000-0005-0000-0000-0000B0300000}"/>
    <cellStyle name="20 % - Markeringsfarve4 4 3 8" xfId="37590" xr:uid="{00000000-0005-0000-0000-0000B1300000}"/>
    <cellStyle name="20 % - Markeringsfarve4 4 4" xfId="4867" xr:uid="{00000000-0005-0000-0000-0000B2300000}"/>
    <cellStyle name="20 % - Markeringsfarve4 4 4 2" xfId="4868" xr:uid="{00000000-0005-0000-0000-0000B3300000}"/>
    <cellStyle name="20 % - Markeringsfarve4 4 4 2 2" xfId="4869" xr:uid="{00000000-0005-0000-0000-0000B4300000}"/>
    <cellStyle name="20 % - Markeringsfarve4 4 4 2 2 2" xfId="10096" xr:uid="{00000000-0005-0000-0000-0000B5300000}"/>
    <cellStyle name="20 % - Markeringsfarve4 4 4 2 2 2 2" xfId="17951" xr:uid="{00000000-0005-0000-0000-0000B6300000}"/>
    <cellStyle name="20 % - Markeringsfarve4 4 4 2 2 2 2 2" xfId="34227" xr:uid="{00000000-0005-0000-0000-0000B7300000}"/>
    <cellStyle name="20 % - Markeringsfarve4 4 4 2 2 2 2 3" xfId="49186" xr:uid="{00000000-0005-0000-0000-0000B8300000}"/>
    <cellStyle name="20 % - Markeringsfarve4 4 4 2 2 2 3" xfId="27225" xr:uid="{00000000-0005-0000-0000-0000B9300000}"/>
    <cellStyle name="20 % - Markeringsfarve4 4 4 2 2 2 4" xfId="42189" xr:uid="{00000000-0005-0000-0000-0000BA300000}"/>
    <cellStyle name="20 % - Markeringsfarve4 4 4 2 2 3" xfId="13354" xr:uid="{00000000-0005-0000-0000-0000BB300000}"/>
    <cellStyle name="20 % - Markeringsfarve4 4 4 2 2 3 2" xfId="29633" xr:uid="{00000000-0005-0000-0000-0000BC300000}"/>
    <cellStyle name="20 % - Markeringsfarve4 4 4 2 2 3 3" xfId="44594" xr:uid="{00000000-0005-0000-0000-0000BD300000}"/>
    <cellStyle name="20 % - Markeringsfarve4 4 4 2 2 4" xfId="22631" xr:uid="{00000000-0005-0000-0000-0000BE300000}"/>
    <cellStyle name="20 % - Markeringsfarve4 4 4 2 2 5" xfId="37597" xr:uid="{00000000-0005-0000-0000-0000BF300000}"/>
    <cellStyle name="20 % - Markeringsfarve4 4 4 2 3" xfId="8637" xr:uid="{00000000-0005-0000-0000-0000C0300000}"/>
    <cellStyle name="20 % - Markeringsfarve4 4 4 2 3 2" xfId="16504" xr:uid="{00000000-0005-0000-0000-0000C1300000}"/>
    <cellStyle name="20 % - Markeringsfarve4 4 4 2 3 2 2" xfId="32780" xr:uid="{00000000-0005-0000-0000-0000C2300000}"/>
    <cellStyle name="20 % - Markeringsfarve4 4 4 2 3 2 3" xfId="47739" xr:uid="{00000000-0005-0000-0000-0000C3300000}"/>
    <cellStyle name="20 % - Markeringsfarve4 4 4 2 3 3" xfId="25778" xr:uid="{00000000-0005-0000-0000-0000C4300000}"/>
    <cellStyle name="20 % - Markeringsfarve4 4 4 2 3 4" xfId="40742" xr:uid="{00000000-0005-0000-0000-0000C5300000}"/>
    <cellStyle name="20 % - Markeringsfarve4 4 4 2 4" xfId="13353" xr:uid="{00000000-0005-0000-0000-0000C6300000}"/>
    <cellStyle name="20 % - Markeringsfarve4 4 4 2 4 2" xfId="29632" xr:uid="{00000000-0005-0000-0000-0000C7300000}"/>
    <cellStyle name="20 % - Markeringsfarve4 4 4 2 4 3" xfId="44593" xr:uid="{00000000-0005-0000-0000-0000C8300000}"/>
    <cellStyle name="20 % - Markeringsfarve4 4 4 2 5" xfId="22630" xr:uid="{00000000-0005-0000-0000-0000C9300000}"/>
    <cellStyle name="20 % - Markeringsfarve4 4 4 2 6" xfId="37596" xr:uid="{00000000-0005-0000-0000-0000CA300000}"/>
    <cellStyle name="20 % - Markeringsfarve4 4 4 3" xfId="4870" xr:uid="{00000000-0005-0000-0000-0000CB300000}"/>
    <cellStyle name="20 % - Markeringsfarve4 4 4 3 2" xfId="9373" xr:uid="{00000000-0005-0000-0000-0000CC300000}"/>
    <cellStyle name="20 % - Markeringsfarve4 4 4 3 2 2" xfId="17236" xr:uid="{00000000-0005-0000-0000-0000CD300000}"/>
    <cellStyle name="20 % - Markeringsfarve4 4 4 3 2 2 2" xfId="33512" xr:uid="{00000000-0005-0000-0000-0000CE300000}"/>
    <cellStyle name="20 % - Markeringsfarve4 4 4 3 2 2 3" xfId="48471" xr:uid="{00000000-0005-0000-0000-0000CF300000}"/>
    <cellStyle name="20 % - Markeringsfarve4 4 4 3 2 3" xfId="26510" xr:uid="{00000000-0005-0000-0000-0000D0300000}"/>
    <cellStyle name="20 % - Markeringsfarve4 4 4 3 2 4" xfId="41474" xr:uid="{00000000-0005-0000-0000-0000D1300000}"/>
    <cellStyle name="20 % - Markeringsfarve4 4 4 3 3" xfId="13355" xr:uid="{00000000-0005-0000-0000-0000D2300000}"/>
    <cellStyle name="20 % - Markeringsfarve4 4 4 3 3 2" xfId="29634" xr:uid="{00000000-0005-0000-0000-0000D3300000}"/>
    <cellStyle name="20 % - Markeringsfarve4 4 4 3 3 3" xfId="44595" xr:uid="{00000000-0005-0000-0000-0000D4300000}"/>
    <cellStyle name="20 % - Markeringsfarve4 4 4 3 4" xfId="22632" xr:uid="{00000000-0005-0000-0000-0000D5300000}"/>
    <cellStyle name="20 % - Markeringsfarve4 4 4 3 5" xfId="37598" xr:uid="{00000000-0005-0000-0000-0000D6300000}"/>
    <cellStyle name="20 % - Markeringsfarve4 4 4 4" xfId="4871" xr:uid="{00000000-0005-0000-0000-0000D7300000}"/>
    <cellStyle name="20 % - Markeringsfarve4 4 4 4 2" xfId="10990" xr:uid="{00000000-0005-0000-0000-0000D8300000}"/>
    <cellStyle name="20 % - Markeringsfarve4 4 4 4 2 2" xfId="18821" xr:uid="{00000000-0005-0000-0000-0000D9300000}"/>
    <cellStyle name="20 % - Markeringsfarve4 4 4 4 2 2 2" xfId="35097" xr:uid="{00000000-0005-0000-0000-0000DA300000}"/>
    <cellStyle name="20 % - Markeringsfarve4 4 4 4 2 2 3" xfId="50056" xr:uid="{00000000-0005-0000-0000-0000DB300000}"/>
    <cellStyle name="20 % - Markeringsfarve4 4 4 4 2 3" xfId="28095" xr:uid="{00000000-0005-0000-0000-0000DC300000}"/>
    <cellStyle name="20 % - Markeringsfarve4 4 4 4 2 4" xfId="43059" xr:uid="{00000000-0005-0000-0000-0000DD300000}"/>
    <cellStyle name="20 % - Markeringsfarve4 4 4 4 3" xfId="13356" xr:uid="{00000000-0005-0000-0000-0000DE300000}"/>
    <cellStyle name="20 % - Markeringsfarve4 4 4 4 3 2" xfId="29635" xr:uid="{00000000-0005-0000-0000-0000DF300000}"/>
    <cellStyle name="20 % - Markeringsfarve4 4 4 4 3 3" xfId="44596" xr:uid="{00000000-0005-0000-0000-0000E0300000}"/>
    <cellStyle name="20 % - Markeringsfarve4 4 4 4 4" xfId="22633" xr:uid="{00000000-0005-0000-0000-0000E1300000}"/>
    <cellStyle name="20 % - Markeringsfarve4 4 4 4 5" xfId="37599" xr:uid="{00000000-0005-0000-0000-0000E2300000}"/>
    <cellStyle name="20 % - Markeringsfarve4 4 4 5" xfId="7832" xr:uid="{00000000-0005-0000-0000-0000E3300000}"/>
    <cellStyle name="20 % - Markeringsfarve4 4 4 5 2" xfId="15697" xr:uid="{00000000-0005-0000-0000-0000E4300000}"/>
    <cellStyle name="20 % - Markeringsfarve4 4 4 5 2 2" xfId="31973" xr:uid="{00000000-0005-0000-0000-0000E5300000}"/>
    <cellStyle name="20 % - Markeringsfarve4 4 4 5 2 3" xfId="46932" xr:uid="{00000000-0005-0000-0000-0000E6300000}"/>
    <cellStyle name="20 % - Markeringsfarve4 4 4 5 3" xfId="24971" xr:uid="{00000000-0005-0000-0000-0000E7300000}"/>
    <cellStyle name="20 % - Markeringsfarve4 4 4 5 4" xfId="39935" xr:uid="{00000000-0005-0000-0000-0000E8300000}"/>
    <cellStyle name="20 % - Markeringsfarve4 4 4 6" xfId="13352" xr:uid="{00000000-0005-0000-0000-0000E9300000}"/>
    <cellStyle name="20 % - Markeringsfarve4 4 4 6 2" xfId="29631" xr:uid="{00000000-0005-0000-0000-0000EA300000}"/>
    <cellStyle name="20 % - Markeringsfarve4 4 4 6 3" xfId="44592" xr:uid="{00000000-0005-0000-0000-0000EB300000}"/>
    <cellStyle name="20 % - Markeringsfarve4 4 4 7" xfId="22629" xr:uid="{00000000-0005-0000-0000-0000EC300000}"/>
    <cellStyle name="20 % - Markeringsfarve4 4 4 8" xfId="37595" xr:uid="{00000000-0005-0000-0000-0000ED300000}"/>
    <cellStyle name="20 % - Markeringsfarve4 4 5" xfId="4872" xr:uid="{00000000-0005-0000-0000-0000EE300000}"/>
    <cellStyle name="20 % - Markeringsfarve4 4 5 2" xfId="4873" xr:uid="{00000000-0005-0000-0000-0000EF300000}"/>
    <cellStyle name="20 % - Markeringsfarve4 4 5 2 2" xfId="4874" xr:uid="{00000000-0005-0000-0000-0000F0300000}"/>
    <cellStyle name="20 % - Markeringsfarve4 4 5 2 2 2" xfId="10213" xr:uid="{00000000-0005-0000-0000-0000F1300000}"/>
    <cellStyle name="20 % - Markeringsfarve4 4 5 2 2 2 2" xfId="18068" xr:uid="{00000000-0005-0000-0000-0000F2300000}"/>
    <cellStyle name="20 % - Markeringsfarve4 4 5 2 2 2 2 2" xfId="34344" xr:uid="{00000000-0005-0000-0000-0000F3300000}"/>
    <cellStyle name="20 % - Markeringsfarve4 4 5 2 2 2 2 3" xfId="49303" xr:uid="{00000000-0005-0000-0000-0000F4300000}"/>
    <cellStyle name="20 % - Markeringsfarve4 4 5 2 2 2 3" xfId="27342" xr:uid="{00000000-0005-0000-0000-0000F5300000}"/>
    <cellStyle name="20 % - Markeringsfarve4 4 5 2 2 2 4" xfId="42306" xr:uid="{00000000-0005-0000-0000-0000F6300000}"/>
    <cellStyle name="20 % - Markeringsfarve4 4 5 2 2 3" xfId="13359" xr:uid="{00000000-0005-0000-0000-0000F7300000}"/>
    <cellStyle name="20 % - Markeringsfarve4 4 5 2 2 3 2" xfId="29638" xr:uid="{00000000-0005-0000-0000-0000F8300000}"/>
    <cellStyle name="20 % - Markeringsfarve4 4 5 2 2 3 3" xfId="44599" xr:uid="{00000000-0005-0000-0000-0000F9300000}"/>
    <cellStyle name="20 % - Markeringsfarve4 4 5 2 2 4" xfId="22636" xr:uid="{00000000-0005-0000-0000-0000FA300000}"/>
    <cellStyle name="20 % - Markeringsfarve4 4 5 2 2 5" xfId="37602" xr:uid="{00000000-0005-0000-0000-0000FB300000}"/>
    <cellStyle name="20 % - Markeringsfarve4 4 5 2 3" xfId="8736" xr:uid="{00000000-0005-0000-0000-0000FC300000}"/>
    <cellStyle name="20 % - Markeringsfarve4 4 5 2 3 2" xfId="16603" xr:uid="{00000000-0005-0000-0000-0000FD300000}"/>
    <cellStyle name="20 % - Markeringsfarve4 4 5 2 3 2 2" xfId="32879" xr:uid="{00000000-0005-0000-0000-0000FE300000}"/>
    <cellStyle name="20 % - Markeringsfarve4 4 5 2 3 2 3" xfId="47838" xr:uid="{00000000-0005-0000-0000-0000FF300000}"/>
    <cellStyle name="20 % - Markeringsfarve4 4 5 2 3 3" xfId="25877" xr:uid="{00000000-0005-0000-0000-000000310000}"/>
    <cellStyle name="20 % - Markeringsfarve4 4 5 2 3 4" xfId="40841" xr:uid="{00000000-0005-0000-0000-000001310000}"/>
    <cellStyle name="20 % - Markeringsfarve4 4 5 2 4" xfId="13358" xr:uid="{00000000-0005-0000-0000-000002310000}"/>
    <cellStyle name="20 % - Markeringsfarve4 4 5 2 4 2" xfId="29637" xr:uid="{00000000-0005-0000-0000-000003310000}"/>
    <cellStyle name="20 % - Markeringsfarve4 4 5 2 4 3" xfId="44598" xr:uid="{00000000-0005-0000-0000-000004310000}"/>
    <cellStyle name="20 % - Markeringsfarve4 4 5 2 5" xfId="22635" xr:uid="{00000000-0005-0000-0000-000005310000}"/>
    <cellStyle name="20 % - Markeringsfarve4 4 5 2 6" xfId="37601" xr:uid="{00000000-0005-0000-0000-000006310000}"/>
    <cellStyle name="20 % - Markeringsfarve4 4 5 3" xfId="4875" xr:uid="{00000000-0005-0000-0000-000007310000}"/>
    <cellStyle name="20 % - Markeringsfarve4 4 5 3 2" xfId="9490" xr:uid="{00000000-0005-0000-0000-000008310000}"/>
    <cellStyle name="20 % - Markeringsfarve4 4 5 3 2 2" xfId="17353" xr:uid="{00000000-0005-0000-0000-000009310000}"/>
    <cellStyle name="20 % - Markeringsfarve4 4 5 3 2 2 2" xfId="33629" xr:uid="{00000000-0005-0000-0000-00000A310000}"/>
    <cellStyle name="20 % - Markeringsfarve4 4 5 3 2 2 3" xfId="48588" xr:uid="{00000000-0005-0000-0000-00000B310000}"/>
    <cellStyle name="20 % - Markeringsfarve4 4 5 3 2 3" xfId="26627" xr:uid="{00000000-0005-0000-0000-00000C310000}"/>
    <cellStyle name="20 % - Markeringsfarve4 4 5 3 2 4" xfId="41591" xr:uid="{00000000-0005-0000-0000-00000D310000}"/>
    <cellStyle name="20 % - Markeringsfarve4 4 5 3 3" xfId="13360" xr:uid="{00000000-0005-0000-0000-00000E310000}"/>
    <cellStyle name="20 % - Markeringsfarve4 4 5 3 3 2" xfId="29639" xr:uid="{00000000-0005-0000-0000-00000F310000}"/>
    <cellStyle name="20 % - Markeringsfarve4 4 5 3 3 3" xfId="44600" xr:uid="{00000000-0005-0000-0000-000010310000}"/>
    <cellStyle name="20 % - Markeringsfarve4 4 5 3 4" xfId="22637" xr:uid="{00000000-0005-0000-0000-000011310000}"/>
    <cellStyle name="20 % - Markeringsfarve4 4 5 3 5" xfId="37603" xr:uid="{00000000-0005-0000-0000-000012310000}"/>
    <cellStyle name="20 % - Markeringsfarve4 4 5 4" xfId="4876" xr:uid="{00000000-0005-0000-0000-000013310000}"/>
    <cellStyle name="20 % - Markeringsfarve4 4 5 4 2" xfId="10710" xr:uid="{00000000-0005-0000-0000-000014310000}"/>
    <cellStyle name="20 % - Markeringsfarve4 4 5 4 2 2" xfId="18554" xr:uid="{00000000-0005-0000-0000-000015310000}"/>
    <cellStyle name="20 % - Markeringsfarve4 4 5 4 2 2 2" xfId="34830" xr:uid="{00000000-0005-0000-0000-000016310000}"/>
    <cellStyle name="20 % - Markeringsfarve4 4 5 4 2 2 3" xfId="49789" xr:uid="{00000000-0005-0000-0000-000017310000}"/>
    <cellStyle name="20 % - Markeringsfarve4 4 5 4 2 3" xfId="27828" xr:uid="{00000000-0005-0000-0000-000018310000}"/>
    <cellStyle name="20 % - Markeringsfarve4 4 5 4 2 4" xfId="42792" xr:uid="{00000000-0005-0000-0000-000019310000}"/>
    <cellStyle name="20 % - Markeringsfarve4 4 5 4 3" xfId="13361" xr:uid="{00000000-0005-0000-0000-00001A310000}"/>
    <cellStyle name="20 % - Markeringsfarve4 4 5 4 3 2" xfId="29640" xr:uid="{00000000-0005-0000-0000-00001B310000}"/>
    <cellStyle name="20 % - Markeringsfarve4 4 5 4 3 3" xfId="44601" xr:uid="{00000000-0005-0000-0000-00001C310000}"/>
    <cellStyle name="20 % - Markeringsfarve4 4 5 4 4" xfId="22638" xr:uid="{00000000-0005-0000-0000-00001D310000}"/>
    <cellStyle name="20 % - Markeringsfarve4 4 5 4 5" xfId="37604" xr:uid="{00000000-0005-0000-0000-00001E310000}"/>
    <cellStyle name="20 % - Markeringsfarve4 4 5 5" xfId="7833" xr:uid="{00000000-0005-0000-0000-00001F310000}"/>
    <cellStyle name="20 % - Markeringsfarve4 4 5 5 2" xfId="15698" xr:uid="{00000000-0005-0000-0000-000020310000}"/>
    <cellStyle name="20 % - Markeringsfarve4 4 5 5 2 2" xfId="31974" xr:uid="{00000000-0005-0000-0000-000021310000}"/>
    <cellStyle name="20 % - Markeringsfarve4 4 5 5 2 3" xfId="46933" xr:uid="{00000000-0005-0000-0000-000022310000}"/>
    <cellStyle name="20 % - Markeringsfarve4 4 5 5 3" xfId="24972" xr:uid="{00000000-0005-0000-0000-000023310000}"/>
    <cellStyle name="20 % - Markeringsfarve4 4 5 5 4" xfId="39936" xr:uid="{00000000-0005-0000-0000-000024310000}"/>
    <cellStyle name="20 % - Markeringsfarve4 4 5 6" xfId="13357" xr:uid="{00000000-0005-0000-0000-000025310000}"/>
    <cellStyle name="20 % - Markeringsfarve4 4 5 6 2" xfId="29636" xr:uid="{00000000-0005-0000-0000-000026310000}"/>
    <cellStyle name="20 % - Markeringsfarve4 4 5 6 3" xfId="44597" xr:uid="{00000000-0005-0000-0000-000027310000}"/>
    <cellStyle name="20 % - Markeringsfarve4 4 5 7" xfId="22634" xr:uid="{00000000-0005-0000-0000-000028310000}"/>
    <cellStyle name="20 % - Markeringsfarve4 4 5 8" xfId="37600" xr:uid="{00000000-0005-0000-0000-000029310000}"/>
    <cellStyle name="20 % - Markeringsfarve4 4 6" xfId="4877" xr:uid="{00000000-0005-0000-0000-00002A310000}"/>
    <cellStyle name="20 % - Markeringsfarve4 4 6 2" xfId="4878" xr:uid="{00000000-0005-0000-0000-00002B310000}"/>
    <cellStyle name="20 % - Markeringsfarve4 4 6 2 2" xfId="4879" xr:uid="{00000000-0005-0000-0000-00002C310000}"/>
    <cellStyle name="20 % - Markeringsfarve4 4 6 2 2 2" xfId="10319" xr:uid="{00000000-0005-0000-0000-00002D310000}"/>
    <cellStyle name="20 % - Markeringsfarve4 4 6 2 2 2 2" xfId="18174" xr:uid="{00000000-0005-0000-0000-00002E310000}"/>
    <cellStyle name="20 % - Markeringsfarve4 4 6 2 2 2 2 2" xfId="34450" xr:uid="{00000000-0005-0000-0000-00002F310000}"/>
    <cellStyle name="20 % - Markeringsfarve4 4 6 2 2 2 2 3" xfId="49409" xr:uid="{00000000-0005-0000-0000-000030310000}"/>
    <cellStyle name="20 % - Markeringsfarve4 4 6 2 2 2 3" xfId="27448" xr:uid="{00000000-0005-0000-0000-000031310000}"/>
    <cellStyle name="20 % - Markeringsfarve4 4 6 2 2 2 4" xfId="42412" xr:uid="{00000000-0005-0000-0000-000032310000}"/>
    <cellStyle name="20 % - Markeringsfarve4 4 6 2 2 3" xfId="13364" xr:uid="{00000000-0005-0000-0000-000033310000}"/>
    <cellStyle name="20 % - Markeringsfarve4 4 6 2 2 3 2" xfId="29643" xr:uid="{00000000-0005-0000-0000-000034310000}"/>
    <cellStyle name="20 % - Markeringsfarve4 4 6 2 2 3 3" xfId="44604" xr:uid="{00000000-0005-0000-0000-000035310000}"/>
    <cellStyle name="20 % - Markeringsfarve4 4 6 2 2 4" xfId="22641" xr:uid="{00000000-0005-0000-0000-000036310000}"/>
    <cellStyle name="20 % - Markeringsfarve4 4 6 2 2 5" xfId="37607" xr:uid="{00000000-0005-0000-0000-000037310000}"/>
    <cellStyle name="20 % - Markeringsfarve4 4 6 2 3" xfId="8831" xr:uid="{00000000-0005-0000-0000-000038310000}"/>
    <cellStyle name="20 % - Markeringsfarve4 4 6 2 3 2" xfId="16698" xr:uid="{00000000-0005-0000-0000-000039310000}"/>
    <cellStyle name="20 % - Markeringsfarve4 4 6 2 3 2 2" xfId="32974" xr:uid="{00000000-0005-0000-0000-00003A310000}"/>
    <cellStyle name="20 % - Markeringsfarve4 4 6 2 3 2 3" xfId="47933" xr:uid="{00000000-0005-0000-0000-00003B310000}"/>
    <cellStyle name="20 % - Markeringsfarve4 4 6 2 3 3" xfId="25972" xr:uid="{00000000-0005-0000-0000-00003C310000}"/>
    <cellStyle name="20 % - Markeringsfarve4 4 6 2 3 4" xfId="40936" xr:uid="{00000000-0005-0000-0000-00003D310000}"/>
    <cellStyle name="20 % - Markeringsfarve4 4 6 2 4" xfId="13363" xr:uid="{00000000-0005-0000-0000-00003E310000}"/>
    <cellStyle name="20 % - Markeringsfarve4 4 6 2 4 2" xfId="29642" xr:uid="{00000000-0005-0000-0000-00003F310000}"/>
    <cellStyle name="20 % - Markeringsfarve4 4 6 2 4 3" xfId="44603" xr:uid="{00000000-0005-0000-0000-000040310000}"/>
    <cellStyle name="20 % - Markeringsfarve4 4 6 2 5" xfId="22640" xr:uid="{00000000-0005-0000-0000-000041310000}"/>
    <cellStyle name="20 % - Markeringsfarve4 4 6 2 6" xfId="37606" xr:uid="{00000000-0005-0000-0000-000042310000}"/>
    <cellStyle name="20 % - Markeringsfarve4 4 6 3" xfId="4880" xr:uid="{00000000-0005-0000-0000-000043310000}"/>
    <cellStyle name="20 % - Markeringsfarve4 4 6 3 2" xfId="9597" xr:uid="{00000000-0005-0000-0000-000044310000}"/>
    <cellStyle name="20 % - Markeringsfarve4 4 6 3 2 2" xfId="17460" xr:uid="{00000000-0005-0000-0000-000045310000}"/>
    <cellStyle name="20 % - Markeringsfarve4 4 6 3 2 2 2" xfId="33736" xr:uid="{00000000-0005-0000-0000-000046310000}"/>
    <cellStyle name="20 % - Markeringsfarve4 4 6 3 2 2 3" xfId="48695" xr:uid="{00000000-0005-0000-0000-000047310000}"/>
    <cellStyle name="20 % - Markeringsfarve4 4 6 3 2 3" xfId="26734" xr:uid="{00000000-0005-0000-0000-000048310000}"/>
    <cellStyle name="20 % - Markeringsfarve4 4 6 3 2 4" xfId="41698" xr:uid="{00000000-0005-0000-0000-000049310000}"/>
    <cellStyle name="20 % - Markeringsfarve4 4 6 3 3" xfId="13365" xr:uid="{00000000-0005-0000-0000-00004A310000}"/>
    <cellStyle name="20 % - Markeringsfarve4 4 6 3 3 2" xfId="29644" xr:uid="{00000000-0005-0000-0000-00004B310000}"/>
    <cellStyle name="20 % - Markeringsfarve4 4 6 3 3 3" xfId="44605" xr:uid="{00000000-0005-0000-0000-00004C310000}"/>
    <cellStyle name="20 % - Markeringsfarve4 4 6 3 4" xfId="22642" xr:uid="{00000000-0005-0000-0000-00004D310000}"/>
    <cellStyle name="20 % - Markeringsfarve4 4 6 3 5" xfId="37608" xr:uid="{00000000-0005-0000-0000-00004E310000}"/>
    <cellStyle name="20 % - Markeringsfarve4 4 6 4" xfId="4881" xr:uid="{00000000-0005-0000-0000-00004F310000}"/>
    <cellStyle name="20 % - Markeringsfarve4 4 6 4 2" xfId="10939" xr:uid="{00000000-0005-0000-0000-000050310000}"/>
    <cellStyle name="20 % - Markeringsfarve4 4 6 4 2 2" xfId="18773" xr:uid="{00000000-0005-0000-0000-000051310000}"/>
    <cellStyle name="20 % - Markeringsfarve4 4 6 4 2 2 2" xfId="35049" xr:uid="{00000000-0005-0000-0000-000052310000}"/>
    <cellStyle name="20 % - Markeringsfarve4 4 6 4 2 2 3" xfId="50008" xr:uid="{00000000-0005-0000-0000-000053310000}"/>
    <cellStyle name="20 % - Markeringsfarve4 4 6 4 2 3" xfId="28047" xr:uid="{00000000-0005-0000-0000-000054310000}"/>
    <cellStyle name="20 % - Markeringsfarve4 4 6 4 2 4" xfId="43011" xr:uid="{00000000-0005-0000-0000-000055310000}"/>
    <cellStyle name="20 % - Markeringsfarve4 4 6 4 3" xfId="13366" xr:uid="{00000000-0005-0000-0000-000056310000}"/>
    <cellStyle name="20 % - Markeringsfarve4 4 6 4 3 2" xfId="29645" xr:uid="{00000000-0005-0000-0000-000057310000}"/>
    <cellStyle name="20 % - Markeringsfarve4 4 6 4 3 3" xfId="44606" xr:uid="{00000000-0005-0000-0000-000058310000}"/>
    <cellStyle name="20 % - Markeringsfarve4 4 6 4 4" xfId="22643" xr:uid="{00000000-0005-0000-0000-000059310000}"/>
    <cellStyle name="20 % - Markeringsfarve4 4 6 4 5" xfId="37609" xr:uid="{00000000-0005-0000-0000-00005A310000}"/>
    <cellStyle name="20 % - Markeringsfarve4 4 6 5" xfId="7834" xr:uid="{00000000-0005-0000-0000-00005B310000}"/>
    <cellStyle name="20 % - Markeringsfarve4 4 6 5 2" xfId="15699" xr:uid="{00000000-0005-0000-0000-00005C310000}"/>
    <cellStyle name="20 % - Markeringsfarve4 4 6 5 2 2" xfId="31975" xr:uid="{00000000-0005-0000-0000-00005D310000}"/>
    <cellStyle name="20 % - Markeringsfarve4 4 6 5 2 3" xfId="46934" xr:uid="{00000000-0005-0000-0000-00005E310000}"/>
    <cellStyle name="20 % - Markeringsfarve4 4 6 5 3" xfId="24973" xr:uid="{00000000-0005-0000-0000-00005F310000}"/>
    <cellStyle name="20 % - Markeringsfarve4 4 6 5 4" xfId="39937" xr:uid="{00000000-0005-0000-0000-000060310000}"/>
    <cellStyle name="20 % - Markeringsfarve4 4 6 6" xfId="13362" xr:uid="{00000000-0005-0000-0000-000061310000}"/>
    <cellStyle name="20 % - Markeringsfarve4 4 6 6 2" xfId="29641" xr:uid="{00000000-0005-0000-0000-000062310000}"/>
    <cellStyle name="20 % - Markeringsfarve4 4 6 6 3" xfId="44602" xr:uid="{00000000-0005-0000-0000-000063310000}"/>
    <cellStyle name="20 % - Markeringsfarve4 4 6 7" xfId="22639" xr:uid="{00000000-0005-0000-0000-000064310000}"/>
    <cellStyle name="20 % - Markeringsfarve4 4 6 8" xfId="37605" xr:uid="{00000000-0005-0000-0000-000065310000}"/>
    <cellStyle name="20 % - Markeringsfarve4 4 7" xfId="4882" xr:uid="{00000000-0005-0000-0000-000066310000}"/>
    <cellStyle name="20 % - Markeringsfarve4 4 7 2" xfId="4883" xr:uid="{00000000-0005-0000-0000-000067310000}"/>
    <cellStyle name="20 % - Markeringsfarve4 4 7 2 2" xfId="9740" xr:uid="{00000000-0005-0000-0000-000068310000}"/>
    <cellStyle name="20 % - Markeringsfarve4 4 7 2 2 2" xfId="17594" xr:uid="{00000000-0005-0000-0000-000069310000}"/>
    <cellStyle name="20 % - Markeringsfarve4 4 7 2 2 2 2" xfId="33870" xr:uid="{00000000-0005-0000-0000-00006A310000}"/>
    <cellStyle name="20 % - Markeringsfarve4 4 7 2 2 2 3" xfId="48829" xr:uid="{00000000-0005-0000-0000-00006B310000}"/>
    <cellStyle name="20 % - Markeringsfarve4 4 7 2 2 3" xfId="26868" xr:uid="{00000000-0005-0000-0000-00006C310000}"/>
    <cellStyle name="20 % - Markeringsfarve4 4 7 2 2 4" xfId="41832" xr:uid="{00000000-0005-0000-0000-00006D310000}"/>
    <cellStyle name="20 % - Markeringsfarve4 4 7 2 3" xfId="13368" xr:uid="{00000000-0005-0000-0000-00006E310000}"/>
    <cellStyle name="20 % - Markeringsfarve4 4 7 2 3 2" xfId="29647" xr:uid="{00000000-0005-0000-0000-00006F310000}"/>
    <cellStyle name="20 % - Markeringsfarve4 4 7 2 3 3" xfId="44608" xr:uid="{00000000-0005-0000-0000-000070310000}"/>
    <cellStyle name="20 % - Markeringsfarve4 4 7 2 4" xfId="22645" xr:uid="{00000000-0005-0000-0000-000071310000}"/>
    <cellStyle name="20 % - Markeringsfarve4 4 7 2 5" xfId="37611" xr:uid="{00000000-0005-0000-0000-000072310000}"/>
    <cellStyle name="20 % - Markeringsfarve4 4 7 3" xfId="8336" xr:uid="{00000000-0005-0000-0000-000073310000}"/>
    <cellStyle name="20 % - Markeringsfarve4 4 7 3 2" xfId="16206" xr:uid="{00000000-0005-0000-0000-000074310000}"/>
    <cellStyle name="20 % - Markeringsfarve4 4 7 3 2 2" xfId="32482" xr:uid="{00000000-0005-0000-0000-000075310000}"/>
    <cellStyle name="20 % - Markeringsfarve4 4 7 3 2 3" xfId="47441" xr:uid="{00000000-0005-0000-0000-000076310000}"/>
    <cellStyle name="20 % - Markeringsfarve4 4 7 3 3" xfId="25480" xr:uid="{00000000-0005-0000-0000-000077310000}"/>
    <cellStyle name="20 % - Markeringsfarve4 4 7 3 4" xfId="40444" xr:uid="{00000000-0005-0000-0000-000078310000}"/>
    <cellStyle name="20 % - Markeringsfarve4 4 7 4" xfId="13367" xr:uid="{00000000-0005-0000-0000-000079310000}"/>
    <cellStyle name="20 % - Markeringsfarve4 4 7 4 2" xfId="29646" xr:uid="{00000000-0005-0000-0000-00007A310000}"/>
    <cellStyle name="20 % - Markeringsfarve4 4 7 4 3" xfId="44607" xr:uid="{00000000-0005-0000-0000-00007B310000}"/>
    <cellStyle name="20 % - Markeringsfarve4 4 7 5" xfId="22644" xr:uid="{00000000-0005-0000-0000-00007C310000}"/>
    <cellStyle name="20 % - Markeringsfarve4 4 7 6" xfId="37610" xr:uid="{00000000-0005-0000-0000-00007D310000}"/>
    <cellStyle name="20 % - Markeringsfarve4 4 8" xfId="4884" xr:uid="{00000000-0005-0000-0000-00007E310000}"/>
    <cellStyle name="20 % - Markeringsfarve4 4 8 2" xfId="8968" xr:uid="{00000000-0005-0000-0000-00007F310000}"/>
    <cellStyle name="20 % - Markeringsfarve4 4 8 2 2" xfId="16832" xr:uid="{00000000-0005-0000-0000-000080310000}"/>
    <cellStyle name="20 % - Markeringsfarve4 4 8 2 2 2" xfId="33108" xr:uid="{00000000-0005-0000-0000-000081310000}"/>
    <cellStyle name="20 % - Markeringsfarve4 4 8 2 2 3" xfId="48067" xr:uid="{00000000-0005-0000-0000-000082310000}"/>
    <cellStyle name="20 % - Markeringsfarve4 4 8 2 3" xfId="26106" xr:uid="{00000000-0005-0000-0000-000083310000}"/>
    <cellStyle name="20 % - Markeringsfarve4 4 8 2 4" xfId="41070" xr:uid="{00000000-0005-0000-0000-000084310000}"/>
    <cellStyle name="20 % - Markeringsfarve4 4 8 3" xfId="13369" xr:uid="{00000000-0005-0000-0000-000085310000}"/>
    <cellStyle name="20 % - Markeringsfarve4 4 8 3 2" xfId="29648" xr:uid="{00000000-0005-0000-0000-000086310000}"/>
    <cellStyle name="20 % - Markeringsfarve4 4 8 3 3" xfId="44609" xr:uid="{00000000-0005-0000-0000-000087310000}"/>
    <cellStyle name="20 % - Markeringsfarve4 4 8 4" xfId="22646" xr:uid="{00000000-0005-0000-0000-000088310000}"/>
    <cellStyle name="20 % - Markeringsfarve4 4 8 5" xfId="37612" xr:uid="{00000000-0005-0000-0000-000089310000}"/>
    <cellStyle name="20 % - Markeringsfarve4 4 9" xfId="4885" xr:uid="{00000000-0005-0000-0000-00008A310000}"/>
    <cellStyle name="20 % - Markeringsfarve4 4 9 2" xfId="10780" xr:uid="{00000000-0005-0000-0000-00008B310000}"/>
    <cellStyle name="20 % - Markeringsfarve4 4 9 2 2" xfId="18622" xr:uid="{00000000-0005-0000-0000-00008C310000}"/>
    <cellStyle name="20 % - Markeringsfarve4 4 9 2 2 2" xfId="34898" xr:uid="{00000000-0005-0000-0000-00008D310000}"/>
    <cellStyle name="20 % - Markeringsfarve4 4 9 2 2 3" xfId="49857" xr:uid="{00000000-0005-0000-0000-00008E310000}"/>
    <cellStyle name="20 % - Markeringsfarve4 4 9 2 3" xfId="27896" xr:uid="{00000000-0005-0000-0000-00008F310000}"/>
    <cellStyle name="20 % - Markeringsfarve4 4 9 2 4" xfId="42860" xr:uid="{00000000-0005-0000-0000-000090310000}"/>
    <cellStyle name="20 % - Markeringsfarve4 4 9 3" xfId="13370" xr:uid="{00000000-0005-0000-0000-000091310000}"/>
    <cellStyle name="20 % - Markeringsfarve4 4 9 3 2" xfId="29649" xr:uid="{00000000-0005-0000-0000-000092310000}"/>
    <cellStyle name="20 % - Markeringsfarve4 4 9 3 3" xfId="44610" xr:uid="{00000000-0005-0000-0000-000093310000}"/>
    <cellStyle name="20 % - Markeringsfarve4 4 9 4" xfId="22647" xr:uid="{00000000-0005-0000-0000-000094310000}"/>
    <cellStyle name="20 % - Markeringsfarve4 4 9 5" xfId="37613" xr:uid="{00000000-0005-0000-0000-000095310000}"/>
    <cellStyle name="20 % - Markeringsfarve4 5" xfId="4886" xr:uid="{00000000-0005-0000-0000-000096310000}"/>
    <cellStyle name="20 % - Markeringsfarve4 5 10" xfId="7835" xr:uid="{00000000-0005-0000-0000-000097310000}"/>
    <cellStyle name="20 % - Markeringsfarve4 5 10 2" xfId="15700" xr:uid="{00000000-0005-0000-0000-000098310000}"/>
    <cellStyle name="20 % - Markeringsfarve4 5 10 2 2" xfId="31976" xr:uid="{00000000-0005-0000-0000-000099310000}"/>
    <cellStyle name="20 % - Markeringsfarve4 5 10 2 3" xfId="46935" xr:uid="{00000000-0005-0000-0000-00009A310000}"/>
    <cellStyle name="20 % - Markeringsfarve4 5 10 3" xfId="24974" xr:uid="{00000000-0005-0000-0000-00009B310000}"/>
    <cellStyle name="20 % - Markeringsfarve4 5 10 4" xfId="39938" xr:uid="{00000000-0005-0000-0000-00009C310000}"/>
    <cellStyle name="20 % - Markeringsfarve4 5 11" xfId="13371" xr:uid="{00000000-0005-0000-0000-00009D310000}"/>
    <cellStyle name="20 % - Markeringsfarve4 5 11 2" xfId="29650" xr:uid="{00000000-0005-0000-0000-00009E310000}"/>
    <cellStyle name="20 % - Markeringsfarve4 5 11 3" xfId="44611" xr:uid="{00000000-0005-0000-0000-00009F310000}"/>
    <cellStyle name="20 % - Markeringsfarve4 5 12" xfId="22648" xr:uid="{00000000-0005-0000-0000-0000A0310000}"/>
    <cellStyle name="20 % - Markeringsfarve4 5 13" xfId="37614" xr:uid="{00000000-0005-0000-0000-0000A1310000}"/>
    <cellStyle name="20 % - Markeringsfarve4 5 2" xfId="4887" xr:uid="{00000000-0005-0000-0000-0000A2310000}"/>
    <cellStyle name="20 % - Markeringsfarve4 5 2 2" xfId="4888" xr:uid="{00000000-0005-0000-0000-0000A3310000}"/>
    <cellStyle name="20 % - Markeringsfarve4 5 2 2 2" xfId="4889" xr:uid="{00000000-0005-0000-0000-0000A4310000}"/>
    <cellStyle name="20 % - Markeringsfarve4 5 2 2 2 2" xfId="9897" xr:uid="{00000000-0005-0000-0000-0000A5310000}"/>
    <cellStyle name="20 % - Markeringsfarve4 5 2 2 2 2 2" xfId="17752" xr:uid="{00000000-0005-0000-0000-0000A6310000}"/>
    <cellStyle name="20 % - Markeringsfarve4 5 2 2 2 2 2 2" xfId="34028" xr:uid="{00000000-0005-0000-0000-0000A7310000}"/>
    <cellStyle name="20 % - Markeringsfarve4 5 2 2 2 2 2 3" xfId="48987" xr:uid="{00000000-0005-0000-0000-0000A8310000}"/>
    <cellStyle name="20 % - Markeringsfarve4 5 2 2 2 2 3" xfId="27026" xr:uid="{00000000-0005-0000-0000-0000A9310000}"/>
    <cellStyle name="20 % - Markeringsfarve4 5 2 2 2 2 4" xfId="41990" xr:uid="{00000000-0005-0000-0000-0000AA310000}"/>
    <cellStyle name="20 % - Markeringsfarve4 5 2 2 2 3" xfId="13374" xr:uid="{00000000-0005-0000-0000-0000AB310000}"/>
    <cellStyle name="20 % - Markeringsfarve4 5 2 2 2 3 2" xfId="29653" xr:uid="{00000000-0005-0000-0000-0000AC310000}"/>
    <cellStyle name="20 % - Markeringsfarve4 5 2 2 2 3 3" xfId="44614" xr:uid="{00000000-0005-0000-0000-0000AD310000}"/>
    <cellStyle name="20 % - Markeringsfarve4 5 2 2 2 4" xfId="22651" xr:uid="{00000000-0005-0000-0000-0000AE310000}"/>
    <cellStyle name="20 % - Markeringsfarve4 5 2 2 2 5" xfId="37617" xr:uid="{00000000-0005-0000-0000-0000AF310000}"/>
    <cellStyle name="20 % - Markeringsfarve4 5 2 2 3" xfId="8468" xr:uid="{00000000-0005-0000-0000-0000B0310000}"/>
    <cellStyle name="20 % - Markeringsfarve4 5 2 2 3 2" xfId="16338" xr:uid="{00000000-0005-0000-0000-0000B1310000}"/>
    <cellStyle name="20 % - Markeringsfarve4 5 2 2 3 2 2" xfId="32614" xr:uid="{00000000-0005-0000-0000-0000B2310000}"/>
    <cellStyle name="20 % - Markeringsfarve4 5 2 2 3 2 3" xfId="47573" xr:uid="{00000000-0005-0000-0000-0000B3310000}"/>
    <cellStyle name="20 % - Markeringsfarve4 5 2 2 3 3" xfId="25612" xr:uid="{00000000-0005-0000-0000-0000B4310000}"/>
    <cellStyle name="20 % - Markeringsfarve4 5 2 2 3 4" xfId="40576" xr:uid="{00000000-0005-0000-0000-0000B5310000}"/>
    <cellStyle name="20 % - Markeringsfarve4 5 2 2 4" xfId="13373" xr:uid="{00000000-0005-0000-0000-0000B6310000}"/>
    <cellStyle name="20 % - Markeringsfarve4 5 2 2 4 2" xfId="29652" xr:uid="{00000000-0005-0000-0000-0000B7310000}"/>
    <cellStyle name="20 % - Markeringsfarve4 5 2 2 4 3" xfId="44613" xr:uid="{00000000-0005-0000-0000-0000B8310000}"/>
    <cellStyle name="20 % - Markeringsfarve4 5 2 2 5" xfId="22650" xr:uid="{00000000-0005-0000-0000-0000B9310000}"/>
    <cellStyle name="20 % - Markeringsfarve4 5 2 2 6" xfId="37616" xr:uid="{00000000-0005-0000-0000-0000BA310000}"/>
    <cellStyle name="20 % - Markeringsfarve4 5 2 3" xfId="4890" xr:uid="{00000000-0005-0000-0000-0000BB310000}"/>
    <cellStyle name="20 % - Markeringsfarve4 5 2 3 2" xfId="9128" xr:uid="{00000000-0005-0000-0000-0000BC310000}"/>
    <cellStyle name="20 % - Markeringsfarve4 5 2 3 2 2" xfId="16992" xr:uid="{00000000-0005-0000-0000-0000BD310000}"/>
    <cellStyle name="20 % - Markeringsfarve4 5 2 3 2 2 2" xfId="33268" xr:uid="{00000000-0005-0000-0000-0000BE310000}"/>
    <cellStyle name="20 % - Markeringsfarve4 5 2 3 2 2 3" xfId="48227" xr:uid="{00000000-0005-0000-0000-0000BF310000}"/>
    <cellStyle name="20 % - Markeringsfarve4 5 2 3 2 3" xfId="26266" xr:uid="{00000000-0005-0000-0000-0000C0310000}"/>
    <cellStyle name="20 % - Markeringsfarve4 5 2 3 2 4" xfId="41230" xr:uid="{00000000-0005-0000-0000-0000C1310000}"/>
    <cellStyle name="20 % - Markeringsfarve4 5 2 3 3" xfId="13375" xr:uid="{00000000-0005-0000-0000-0000C2310000}"/>
    <cellStyle name="20 % - Markeringsfarve4 5 2 3 3 2" xfId="29654" xr:uid="{00000000-0005-0000-0000-0000C3310000}"/>
    <cellStyle name="20 % - Markeringsfarve4 5 2 3 3 3" xfId="44615" xr:uid="{00000000-0005-0000-0000-0000C4310000}"/>
    <cellStyle name="20 % - Markeringsfarve4 5 2 3 4" xfId="22652" xr:uid="{00000000-0005-0000-0000-0000C5310000}"/>
    <cellStyle name="20 % - Markeringsfarve4 5 2 3 5" xfId="37618" xr:uid="{00000000-0005-0000-0000-0000C6310000}"/>
    <cellStyle name="20 % - Markeringsfarve4 5 2 4" xfId="4891" xr:uid="{00000000-0005-0000-0000-0000C7310000}"/>
    <cellStyle name="20 % - Markeringsfarve4 5 2 4 2" xfId="10898" xr:uid="{00000000-0005-0000-0000-0000C8310000}"/>
    <cellStyle name="20 % - Markeringsfarve4 5 2 4 2 2" xfId="18734" xr:uid="{00000000-0005-0000-0000-0000C9310000}"/>
    <cellStyle name="20 % - Markeringsfarve4 5 2 4 2 2 2" xfId="35010" xr:uid="{00000000-0005-0000-0000-0000CA310000}"/>
    <cellStyle name="20 % - Markeringsfarve4 5 2 4 2 2 3" xfId="49969" xr:uid="{00000000-0005-0000-0000-0000CB310000}"/>
    <cellStyle name="20 % - Markeringsfarve4 5 2 4 2 3" xfId="28008" xr:uid="{00000000-0005-0000-0000-0000CC310000}"/>
    <cellStyle name="20 % - Markeringsfarve4 5 2 4 2 4" xfId="42972" xr:uid="{00000000-0005-0000-0000-0000CD310000}"/>
    <cellStyle name="20 % - Markeringsfarve4 5 2 4 3" xfId="13376" xr:uid="{00000000-0005-0000-0000-0000CE310000}"/>
    <cellStyle name="20 % - Markeringsfarve4 5 2 4 3 2" xfId="29655" xr:uid="{00000000-0005-0000-0000-0000CF310000}"/>
    <cellStyle name="20 % - Markeringsfarve4 5 2 4 3 3" xfId="44616" xr:uid="{00000000-0005-0000-0000-0000D0310000}"/>
    <cellStyle name="20 % - Markeringsfarve4 5 2 4 4" xfId="22653" xr:uid="{00000000-0005-0000-0000-0000D1310000}"/>
    <cellStyle name="20 % - Markeringsfarve4 5 2 4 5" xfId="37619" xr:uid="{00000000-0005-0000-0000-0000D2310000}"/>
    <cellStyle name="20 % - Markeringsfarve4 5 2 5" xfId="7836" xr:uid="{00000000-0005-0000-0000-0000D3310000}"/>
    <cellStyle name="20 % - Markeringsfarve4 5 2 5 2" xfId="15701" xr:uid="{00000000-0005-0000-0000-0000D4310000}"/>
    <cellStyle name="20 % - Markeringsfarve4 5 2 5 2 2" xfId="31977" xr:uid="{00000000-0005-0000-0000-0000D5310000}"/>
    <cellStyle name="20 % - Markeringsfarve4 5 2 5 2 3" xfId="46936" xr:uid="{00000000-0005-0000-0000-0000D6310000}"/>
    <cellStyle name="20 % - Markeringsfarve4 5 2 5 3" xfId="24975" xr:uid="{00000000-0005-0000-0000-0000D7310000}"/>
    <cellStyle name="20 % - Markeringsfarve4 5 2 5 4" xfId="39939" xr:uid="{00000000-0005-0000-0000-0000D8310000}"/>
    <cellStyle name="20 % - Markeringsfarve4 5 2 6" xfId="13372" xr:uid="{00000000-0005-0000-0000-0000D9310000}"/>
    <cellStyle name="20 % - Markeringsfarve4 5 2 6 2" xfId="29651" xr:uid="{00000000-0005-0000-0000-0000DA310000}"/>
    <cellStyle name="20 % - Markeringsfarve4 5 2 6 3" xfId="44612" xr:uid="{00000000-0005-0000-0000-0000DB310000}"/>
    <cellStyle name="20 % - Markeringsfarve4 5 2 7" xfId="22649" xr:uid="{00000000-0005-0000-0000-0000DC310000}"/>
    <cellStyle name="20 % - Markeringsfarve4 5 2 8" xfId="37615" xr:uid="{00000000-0005-0000-0000-0000DD310000}"/>
    <cellStyle name="20 % - Markeringsfarve4 5 3" xfId="4892" xr:uid="{00000000-0005-0000-0000-0000DE310000}"/>
    <cellStyle name="20 % - Markeringsfarve4 5 3 2" xfId="4893" xr:uid="{00000000-0005-0000-0000-0000DF310000}"/>
    <cellStyle name="20 % - Markeringsfarve4 5 3 2 2" xfId="4894" xr:uid="{00000000-0005-0000-0000-0000E0310000}"/>
    <cellStyle name="20 % - Markeringsfarve4 5 3 2 2 2" xfId="9965" xr:uid="{00000000-0005-0000-0000-0000E1310000}"/>
    <cellStyle name="20 % - Markeringsfarve4 5 3 2 2 2 2" xfId="17820" xr:uid="{00000000-0005-0000-0000-0000E2310000}"/>
    <cellStyle name="20 % - Markeringsfarve4 5 3 2 2 2 2 2" xfId="34096" xr:uid="{00000000-0005-0000-0000-0000E3310000}"/>
    <cellStyle name="20 % - Markeringsfarve4 5 3 2 2 2 2 3" xfId="49055" xr:uid="{00000000-0005-0000-0000-0000E4310000}"/>
    <cellStyle name="20 % - Markeringsfarve4 5 3 2 2 2 3" xfId="27094" xr:uid="{00000000-0005-0000-0000-0000E5310000}"/>
    <cellStyle name="20 % - Markeringsfarve4 5 3 2 2 2 4" xfId="42058" xr:uid="{00000000-0005-0000-0000-0000E6310000}"/>
    <cellStyle name="20 % - Markeringsfarve4 5 3 2 2 3" xfId="13379" xr:uid="{00000000-0005-0000-0000-0000E7310000}"/>
    <cellStyle name="20 % - Markeringsfarve4 5 3 2 2 3 2" xfId="29658" xr:uid="{00000000-0005-0000-0000-0000E8310000}"/>
    <cellStyle name="20 % - Markeringsfarve4 5 3 2 2 3 3" xfId="44619" xr:uid="{00000000-0005-0000-0000-0000E9310000}"/>
    <cellStyle name="20 % - Markeringsfarve4 5 3 2 2 4" xfId="22656" xr:uid="{00000000-0005-0000-0000-0000EA310000}"/>
    <cellStyle name="20 % - Markeringsfarve4 5 3 2 2 5" xfId="37622" xr:uid="{00000000-0005-0000-0000-0000EB310000}"/>
    <cellStyle name="20 % - Markeringsfarve4 5 3 2 3" xfId="8530" xr:uid="{00000000-0005-0000-0000-0000EC310000}"/>
    <cellStyle name="20 % - Markeringsfarve4 5 3 2 3 2" xfId="16400" xr:uid="{00000000-0005-0000-0000-0000ED310000}"/>
    <cellStyle name="20 % - Markeringsfarve4 5 3 2 3 2 2" xfId="32676" xr:uid="{00000000-0005-0000-0000-0000EE310000}"/>
    <cellStyle name="20 % - Markeringsfarve4 5 3 2 3 2 3" xfId="47635" xr:uid="{00000000-0005-0000-0000-0000EF310000}"/>
    <cellStyle name="20 % - Markeringsfarve4 5 3 2 3 3" xfId="25674" xr:uid="{00000000-0005-0000-0000-0000F0310000}"/>
    <cellStyle name="20 % - Markeringsfarve4 5 3 2 3 4" xfId="40638" xr:uid="{00000000-0005-0000-0000-0000F1310000}"/>
    <cellStyle name="20 % - Markeringsfarve4 5 3 2 4" xfId="13378" xr:uid="{00000000-0005-0000-0000-0000F2310000}"/>
    <cellStyle name="20 % - Markeringsfarve4 5 3 2 4 2" xfId="29657" xr:uid="{00000000-0005-0000-0000-0000F3310000}"/>
    <cellStyle name="20 % - Markeringsfarve4 5 3 2 4 3" xfId="44618" xr:uid="{00000000-0005-0000-0000-0000F4310000}"/>
    <cellStyle name="20 % - Markeringsfarve4 5 3 2 5" xfId="22655" xr:uid="{00000000-0005-0000-0000-0000F5310000}"/>
    <cellStyle name="20 % - Markeringsfarve4 5 3 2 6" xfId="37621" xr:uid="{00000000-0005-0000-0000-0000F6310000}"/>
    <cellStyle name="20 % - Markeringsfarve4 5 3 3" xfId="4895" xr:uid="{00000000-0005-0000-0000-0000F7310000}"/>
    <cellStyle name="20 % - Markeringsfarve4 5 3 3 2" xfId="9196" xr:uid="{00000000-0005-0000-0000-0000F8310000}"/>
    <cellStyle name="20 % - Markeringsfarve4 5 3 3 2 2" xfId="17060" xr:uid="{00000000-0005-0000-0000-0000F9310000}"/>
    <cellStyle name="20 % - Markeringsfarve4 5 3 3 2 2 2" xfId="33336" xr:uid="{00000000-0005-0000-0000-0000FA310000}"/>
    <cellStyle name="20 % - Markeringsfarve4 5 3 3 2 2 3" xfId="48295" xr:uid="{00000000-0005-0000-0000-0000FB310000}"/>
    <cellStyle name="20 % - Markeringsfarve4 5 3 3 2 3" xfId="26334" xr:uid="{00000000-0005-0000-0000-0000FC310000}"/>
    <cellStyle name="20 % - Markeringsfarve4 5 3 3 2 4" xfId="41298" xr:uid="{00000000-0005-0000-0000-0000FD310000}"/>
    <cellStyle name="20 % - Markeringsfarve4 5 3 3 3" xfId="13380" xr:uid="{00000000-0005-0000-0000-0000FE310000}"/>
    <cellStyle name="20 % - Markeringsfarve4 5 3 3 3 2" xfId="29659" xr:uid="{00000000-0005-0000-0000-0000FF310000}"/>
    <cellStyle name="20 % - Markeringsfarve4 5 3 3 3 3" xfId="44620" xr:uid="{00000000-0005-0000-0000-000000320000}"/>
    <cellStyle name="20 % - Markeringsfarve4 5 3 3 4" xfId="22657" xr:uid="{00000000-0005-0000-0000-000001320000}"/>
    <cellStyle name="20 % - Markeringsfarve4 5 3 3 5" xfId="37623" xr:uid="{00000000-0005-0000-0000-000002320000}"/>
    <cellStyle name="20 % - Markeringsfarve4 5 3 4" xfId="4896" xr:uid="{00000000-0005-0000-0000-000003320000}"/>
    <cellStyle name="20 % - Markeringsfarve4 5 3 4 2" xfId="10623" xr:uid="{00000000-0005-0000-0000-000004320000}"/>
    <cellStyle name="20 % - Markeringsfarve4 5 3 4 2 2" xfId="18471" xr:uid="{00000000-0005-0000-0000-000005320000}"/>
    <cellStyle name="20 % - Markeringsfarve4 5 3 4 2 2 2" xfId="34747" xr:uid="{00000000-0005-0000-0000-000006320000}"/>
    <cellStyle name="20 % - Markeringsfarve4 5 3 4 2 2 3" xfId="49706" xr:uid="{00000000-0005-0000-0000-000007320000}"/>
    <cellStyle name="20 % - Markeringsfarve4 5 3 4 2 3" xfId="27745" xr:uid="{00000000-0005-0000-0000-000008320000}"/>
    <cellStyle name="20 % - Markeringsfarve4 5 3 4 2 4" xfId="42709" xr:uid="{00000000-0005-0000-0000-000009320000}"/>
    <cellStyle name="20 % - Markeringsfarve4 5 3 4 3" xfId="13381" xr:uid="{00000000-0005-0000-0000-00000A320000}"/>
    <cellStyle name="20 % - Markeringsfarve4 5 3 4 3 2" xfId="29660" xr:uid="{00000000-0005-0000-0000-00000B320000}"/>
    <cellStyle name="20 % - Markeringsfarve4 5 3 4 3 3" xfId="44621" xr:uid="{00000000-0005-0000-0000-00000C320000}"/>
    <cellStyle name="20 % - Markeringsfarve4 5 3 4 4" xfId="22658" xr:uid="{00000000-0005-0000-0000-00000D320000}"/>
    <cellStyle name="20 % - Markeringsfarve4 5 3 4 5" xfId="37624" xr:uid="{00000000-0005-0000-0000-00000E320000}"/>
    <cellStyle name="20 % - Markeringsfarve4 5 3 5" xfId="7837" xr:uid="{00000000-0005-0000-0000-00000F320000}"/>
    <cellStyle name="20 % - Markeringsfarve4 5 3 5 2" xfId="15702" xr:uid="{00000000-0005-0000-0000-000010320000}"/>
    <cellStyle name="20 % - Markeringsfarve4 5 3 5 2 2" xfId="31978" xr:uid="{00000000-0005-0000-0000-000011320000}"/>
    <cellStyle name="20 % - Markeringsfarve4 5 3 5 2 3" xfId="46937" xr:uid="{00000000-0005-0000-0000-000012320000}"/>
    <cellStyle name="20 % - Markeringsfarve4 5 3 5 3" xfId="24976" xr:uid="{00000000-0005-0000-0000-000013320000}"/>
    <cellStyle name="20 % - Markeringsfarve4 5 3 5 4" xfId="39940" xr:uid="{00000000-0005-0000-0000-000014320000}"/>
    <cellStyle name="20 % - Markeringsfarve4 5 3 6" xfId="13377" xr:uid="{00000000-0005-0000-0000-000015320000}"/>
    <cellStyle name="20 % - Markeringsfarve4 5 3 6 2" xfId="29656" xr:uid="{00000000-0005-0000-0000-000016320000}"/>
    <cellStyle name="20 % - Markeringsfarve4 5 3 6 3" xfId="44617" xr:uid="{00000000-0005-0000-0000-000017320000}"/>
    <cellStyle name="20 % - Markeringsfarve4 5 3 7" xfId="22654" xr:uid="{00000000-0005-0000-0000-000018320000}"/>
    <cellStyle name="20 % - Markeringsfarve4 5 3 8" xfId="37620" xr:uid="{00000000-0005-0000-0000-000019320000}"/>
    <cellStyle name="20 % - Markeringsfarve4 5 4" xfId="4897" xr:uid="{00000000-0005-0000-0000-00001A320000}"/>
    <cellStyle name="20 % - Markeringsfarve4 5 4 2" xfId="4898" xr:uid="{00000000-0005-0000-0000-00001B320000}"/>
    <cellStyle name="20 % - Markeringsfarve4 5 4 2 2" xfId="4899" xr:uid="{00000000-0005-0000-0000-00001C320000}"/>
    <cellStyle name="20 % - Markeringsfarve4 5 4 2 2 2" xfId="10135" xr:uid="{00000000-0005-0000-0000-00001D320000}"/>
    <cellStyle name="20 % - Markeringsfarve4 5 4 2 2 2 2" xfId="17990" xr:uid="{00000000-0005-0000-0000-00001E320000}"/>
    <cellStyle name="20 % - Markeringsfarve4 5 4 2 2 2 2 2" xfId="34266" xr:uid="{00000000-0005-0000-0000-00001F320000}"/>
    <cellStyle name="20 % - Markeringsfarve4 5 4 2 2 2 2 3" xfId="49225" xr:uid="{00000000-0005-0000-0000-000020320000}"/>
    <cellStyle name="20 % - Markeringsfarve4 5 4 2 2 2 3" xfId="27264" xr:uid="{00000000-0005-0000-0000-000021320000}"/>
    <cellStyle name="20 % - Markeringsfarve4 5 4 2 2 2 4" xfId="42228" xr:uid="{00000000-0005-0000-0000-000022320000}"/>
    <cellStyle name="20 % - Markeringsfarve4 5 4 2 2 3" xfId="13384" xr:uid="{00000000-0005-0000-0000-000023320000}"/>
    <cellStyle name="20 % - Markeringsfarve4 5 4 2 2 3 2" xfId="29663" xr:uid="{00000000-0005-0000-0000-000024320000}"/>
    <cellStyle name="20 % - Markeringsfarve4 5 4 2 2 3 3" xfId="44624" xr:uid="{00000000-0005-0000-0000-000025320000}"/>
    <cellStyle name="20 % - Markeringsfarve4 5 4 2 2 4" xfId="22661" xr:uid="{00000000-0005-0000-0000-000026320000}"/>
    <cellStyle name="20 % - Markeringsfarve4 5 4 2 2 5" xfId="37627" xr:uid="{00000000-0005-0000-0000-000027320000}"/>
    <cellStyle name="20 % - Markeringsfarve4 5 4 2 3" xfId="8670" xr:uid="{00000000-0005-0000-0000-000028320000}"/>
    <cellStyle name="20 % - Markeringsfarve4 5 4 2 3 2" xfId="16537" xr:uid="{00000000-0005-0000-0000-000029320000}"/>
    <cellStyle name="20 % - Markeringsfarve4 5 4 2 3 2 2" xfId="32813" xr:uid="{00000000-0005-0000-0000-00002A320000}"/>
    <cellStyle name="20 % - Markeringsfarve4 5 4 2 3 2 3" xfId="47772" xr:uid="{00000000-0005-0000-0000-00002B320000}"/>
    <cellStyle name="20 % - Markeringsfarve4 5 4 2 3 3" xfId="25811" xr:uid="{00000000-0005-0000-0000-00002C320000}"/>
    <cellStyle name="20 % - Markeringsfarve4 5 4 2 3 4" xfId="40775" xr:uid="{00000000-0005-0000-0000-00002D320000}"/>
    <cellStyle name="20 % - Markeringsfarve4 5 4 2 4" xfId="13383" xr:uid="{00000000-0005-0000-0000-00002E320000}"/>
    <cellStyle name="20 % - Markeringsfarve4 5 4 2 4 2" xfId="29662" xr:uid="{00000000-0005-0000-0000-00002F320000}"/>
    <cellStyle name="20 % - Markeringsfarve4 5 4 2 4 3" xfId="44623" xr:uid="{00000000-0005-0000-0000-000030320000}"/>
    <cellStyle name="20 % - Markeringsfarve4 5 4 2 5" xfId="22660" xr:uid="{00000000-0005-0000-0000-000031320000}"/>
    <cellStyle name="20 % - Markeringsfarve4 5 4 2 6" xfId="37626" xr:uid="{00000000-0005-0000-0000-000032320000}"/>
    <cellStyle name="20 % - Markeringsfarve4 5 4 3" xfId="4900" xr:uid="{00000000-0005-0000-0000-000033320000}"/>
    <cellStyle name="20 % - Markeringsfarve4 5 4 3 2" xfId="9412" xr:uid="{00000000-0005-0000-0000-000034320000}"/>
    <cellStyle name="20 % - Markeringsfarve4 5 4 3 2 2" xfId="17275" xr:uid="{00000000-0005-0000-0000-000035320000}"/>
    <cellStyle name="20 % - Markeringsfarve4 5 4 3 2 2 2" xfId="33551" xr:uid="{00000000-0005-0000-0000-000036320000}"/>
    <cellStyle name="20 % - Markeringsfarve4 5 4 3 2 2 3" xfId="48510" xr:uid="{00000000-0005-0000-0000-000037320000}"/>
    <cellStyle name="20 % - Markeringsfarve4 5 4 3 2 3" xfId="26549" xr:uid="{00000000-0005-0000-0000-000038320000}"/>
    <cellStyle name="20 % - Markeringsfarve4 5 4 3 2 4" xfId="41513" xr:uid="{00000000-0005-0000-0000-000039320000}"/>
    <cellStyle name="20 % - Markeringsfarve4 5 4 3 3" xfId="13385" xr:uid="{00000000-0005-0000-0000-00003A320000}"/>
    <cellStyle name="20 % - Markeringsfarve4 5 4 3 3 2" xfId="29664" xr:uid="{00000000-0005-0000-0000-00003B320000}"/>
    <cellStyle name="20 % - Markeringsfarve4 5 4 3 3 3" xfId="44625" xr:uid="{00000000-0005-0000-0000-00003C320000}"/>
    <cellStyle name="20 % - Markeringsfarve4 5 4 3 4" xfId="22662" xr:uid="{00000000-0005-0000-0000-00003D320000}"/>
    <cellStyle name="20 % - Markeringsfarve4 5 4 3 5" xfId="37628" xr:uid="{00000000-0005-0000-0000-00003E320000}"/>
    <cellStyle name="20 % - Markeringsfarve4 5 4 4" xfId="4901" xr:uid="{00000000-0005-0000-0000-00003F320000}"/>
    <cellStyle name="20 % - Markeringsfarve4 5 4 4 2" xfId="10856" xr:uid="{00000000-0005-0000-0000-000040320000}"/>
    <cellStyle name="20 % - Markeringsfarve4 5 4 4 2 2" xfId="18694" xr:uid="{00000000-0005-0000-0000-000041320000}"/>
    <cellStyle name="20 % - Markeringsfarve4 5 4 4 2 2 2" xfId="34970" xr:uid="{00000000-0005-0000-0000-000042320000}"/>
    <cellStyle name="20 % - Markeringsfarve4 5 4 4 2 2 3" xfId="49929" xr:uid="{00000000-0005-0000-0000-000043320000}"/>
    <cellStyle name="20 % - Markeringsfarve4 5 4 4 2 3" xfId="27968" xr:uid="{00000000-0005-0000-0000-000044320000}"/>
    <cellStyle name="20 % - Markeringsfarve4 5 4 4 2 4" xfId="42932" xr:uid="{00000000-0005-0000-0000-000045320000}"/>
    <cellStyle name="20 % - Markeringsfarve4 5 4 4 3" xfId="13386" xr:uid="{00000000-0005-0000-0000-000046320000}"/>
    <cellStyle name="20 % - Markeringsfarve4 5 4 4 3 2" xfId="29665" xr:uid="{00000000-0005-0000-0000-000047320000}"/>
    <cellStyle name="20 % - Markeringsfarve4 5 4 4 3 3" xfId="44626" xr:uid="{00000000-0005-0000-0000-000048320000}"/>
    <cellStyle name="20 % - Markeringsfarve4 5 4 4 4" xfId="22663" xr:uid="{00000000-0005-0000-0000-000049320000}"/>
    <cellStyle name="20 % - Markeringsfarve4 5 4 4 5" xfId="37629" xr:uid="{00000000-0005-0000-0000-00004A320000}"/>
    <cellStyle name="20 % - Markeringsfarve4 5 4 5" xfId="7838" xr:uid="{00000000-0005-0000-0000-00004B320000}"/>
    <cellStyle name="20 % - Markeringsfarve4 5 4 5 2" xfId="15703" xr:uid="{00000000-0005-0000-0000-00004C320000}"/>
    <cellStyle name="20 % - Markeringsfarve4 5 4 5 2 2" xfId="31979" xr:uid="{00000000-0005-0000-0000-00004D320000}"/>
    <cellStyle name="20 % - Markeringsfarve4 5 4 5 2 3" xfId="46938" xr:uid="{00000000-0005-0000-0000-00004E320000}"/>
    <cellStyle name="20 % - Markeringsfarve4 5 4 5 3" xfId="24977" xr:uid="{00000000-0005-0000-0000-00004F320000}"/>
    <cellStyle name="20 % - Markeringsfarve4 5 4 5 4" xfId="39941" xr:uid="{00000000-0005-0000-0000-000050320000}"/>
    <cellStyle name="20 % - Markeringsfarve4 5 4 6" xfId="13382" xr:uid="{00000000-0005-0000-0000-000051320000}"/>
    <cellStyle name="20 % - Markeringsfarve4 5 4 6 2" xfId="29661" xr:uid="{00000000-0005-0000-0000-000052320000}"/>
    <cellStyle name="20 % - Markeringsfarve4 5 4 6 3" xfId="44622" xr:uid="{00000000-0005-0000-0000-000053320000}"/>
    <cellStyle name="20 % - Markeringsfarve4 5 4 7" xfId="22659" xr:uid="{00000000-0005-0000-0000-000054320000}"/>
    <cellStyle name="20 % - Markeringsfarve4 5 4 8" xfId="37625" xr:uid="{00000000-0005-0000-0000-000055320000}"/>
    <cellStyle name="20 % - Markeringsfarve4 5 5" xfId="4902" xr:uid="{00000000-0005-0000-0000-000056320000}"/>
    <cellStyle name="20 % - Markeringsfarve4 5 5 2" xfId="4903" xr:uid="{00000000-0005-0000-0000-000057320000}"/>
    <cellStyle name="20 % - Markeringsfarve4 5 5 2 2" xfId="4904" xr:uid="{00000000-0005-0000-0000-000058320000}"/>
    <cellStyle name="20 % - Markeringsfarve4 5 5 2 2 2" xfId="10252" xr:uid="{00000000-0005-0000-0000-000059320000}"/>
    <cellStyle name="20 % - Markeringsfarve4 5 5 2 2 2 2" xfId="18107" xr:uid="{00000000-0005-0000-0000-00005A320000}"/>
    <cellStyle name="20 % - Markeringsfarve4 5 5 2 2 2 2 2" xfId="34383" xr:uid="{00000000-0005-0000-0000-00005B320000}"/>
    <cellStyle name="20 % - Markeringsfarve4 5 5 2 2 2 2 3" xfId="49342" xr:uid="{00000000-0005-0000-0000-00005C320000}"/>
    <cellStyle name="20 % - Markeringsfarve4 5 5 2 2 2 3" xfId="27381" xr:uid="{00000000-0005-0000-0000-00005D320000}"/>
    <cellStyle name="20 % - Markeringsfarve4 5 5 2 2 2 4" xfId="42345" xr:uid="{00000000-0005-0000-0000-00005E320000}"/>
    <cellStyle name="20 % - Markeringsfarve4 5 5 2 2 3" xfId="13389" xr:uid="{00000000-0005-0000-0000-00005F320000}"/>
    <cellStyle name="20 % - Markeringsfarve4 5 5 2 2 3 2" xfId="29668" xr:uid="{00000000-0005-0000-0000-000060320000}"/>
    <cellStyle name="20 % - Markeringsfarve4 5 5 2 2 3 3" xfId="44629" xr:uid="{00000000-0005-0000-0000-000061320000}"/>
    <cellStyle name="20 % - Markeringsfarve4 5 5 2 2 4" xfId="22666" xr:uid="{00000000-0005-0000-0000-000062320000}"/>
    <cellStyle name="20 % - Markeringsfarve4 5 5 2 2 5" xfId="37632" xr:uid="{00000000-0005-0000-0000-000063320000}"/>
    <cellStyle name="20 % - Markeringsfarve4 5 5 2 3" xfId="8769" xr:uid="{00000000-0005-0000-0000-000064320000}"/>
    <cellStyle name="20 % - Markeringsfarve4 5 5 2 3 2" xfId="16636" xr:uid="{00000000-0005-0000-0000-000065320000}"/>
    <cellStyle name="20 % - Markeringsfarve4 5 5 2 3 2 2" xfId="32912" xr:uid="{00000000-0005-0000-0000-000066320000}"/>
    <cellStyle name="20 % - Markeringsfarve4 5 5 2 3 2 3" xfId="47871" xr:uid="{00000000-0005-0000-0000-000067320000}"/>
    <cellStyle name="20 % - Markeringsfarve4 5 5 2 3 3" xfId="25910" xr:uid="{00000000-0005-0000-0000-000068320000}"/>
    <cellStyle name="20 % - Markeringsfarve4 5 5 2 3 4" xfId="40874" xr:uid="{00000000-0005-0000-0000-000069320000}"/>
    <cellStyle name="20 % - Markeringsfarve4 5 5 2 4" xfId="13388" xr:uid="{00000000-0005-0000-0000-00006A320000}"/>
    <cellStyle name="20 % - Markeringsfarve4 5 5 2 4 2" xfId="29667" xr:uid="{00000000-0005-0000-0000-00006B320000}"/>
    <cellStyle name="20 % - Markeringsfarve4 5 5 2 4 3" xfId="44628" xr:uid="{00000000-0005-0000-0000-00006C320000}"/>
    <cellStyle name="20 % - Markeringsfarve4 5 5 2 5" xfId="22665" xr:uid="{00000000-0005-0000-0000-00006D320000}"/>
    <cellStyle name="20 % - Markeringsfarve4 5 5 2 6" xfId="37631" xr:uid="{00000000-0005-0000-0000-00006E320000}"/>
    <cellStyle name="20 % - Markeringsfarve4 5 5 3" xfId="4905" xr:uid="{00000000-0005-0000-0000-00006F320000}"/>
    <cellStyle name="20 % - Markeringsfarve4 5 5 3 2" xfId="9529" xr:uid="{00000000-0005-0000-0000-000070320000}"/>
    <cellStyle name="20 % - Markeringsfarve4 5 5 3 2 2" xfId="17392" xr:uid="{00000000-0005-0000-0000-000071320000}"/>
    <cellStyle name="20 % - Markeringsfarve4 5 5 3 2 2 2" xfId="33668" xr:uid="{00000000-0005-0000-0000-000072320000}"/>
    <cellStyle name="20 % - Markeringsfarve4 5 5 3 2 2 3" xfId="48627" xr:uid="{00000000-0005-0000-0000-000073320000}"/>
    <cellStyle name="20 % - Markeringsfarve4 5 5 3 2 3" xfId="26666" xr:uid="{00000000-0005-0000-0000-000074320000}"/>
    <cellStyle name="20 % - Markeringsfarve4 5 5 3 2 4" xfId="41630" xr:uid="{00000000-0005-0000-0000-000075320000}"/>
    <cellStyle name="20 % - Markeringsfarve4 5 5 3 3" xfId="13390" xr:uid="{00000000-0005-0000-0000-000076320000}"/>
    <cellStyle name="20 % - Markeringsfarve4 5 5 3 3 2" xfId="29669" xr:uid="{00000000-0005-0000-0000-000077320000}"/>
    <cellStyle name="20 % - Markeringsfarve4 5 5 3 3 3" xfId="44630" xr:uid="{00000000-0005-0000-0000-000078320000}"/>
    <cellStyle name="20 % - Markeringsfarve4 5 5 3 4" xfId="22667" xr:uid="{00000000-0005-0000-0000-000079320000}"/>
    <cellStyle name="20 % - Markeringsfarve4 5 5 3 5" xfId="37633" xr:uid="{00000000-0005-0000-0000-00007A320000}"/>
    <cellStyle name="20 % - Markeringsfarve4 5 5 4" xfId="4906" xr:uid="{00000000-0005-0000-0000-00007B320000}"/>
    <cellStyle name="20 % - Markeringsfarve4 5 5 4 2" xfId="10505" xr:uid="{00000000-0005-0000-0000-00007C320000}"/>
    <cellStyle name="20 % - Markeringsfarve4 5 5 4 2 2" xfId="18354" xr:uid="{00000000-0005-0000-0000-00007D320000}"/>
    <cellStyle name="20 % - Markeringsfarve4 5 5 4 2 2 2" xfId="34630" xr:uid="{00000000-0005-0000-0000-00007E320000}"/>
    <cellStyle name="20 % - Markeringsfarve4 5 5 4 2 2 3" xfId="49589" xr:uid="{00000000-0005-0000-0000-00007F320000}"/>
    <cellStyle name="20 % - Markeringsfarve4 5 5 4 2 3" xfId="27628" xr:uid="{00000000-0005-0000-0000-000080320000}"/>
    <cellStyle name="20 % - Markeringsfarve4 5 5 4 2 4" xfId="42592" xr:uid="{00000000-0005-0000-0000-000081320000}"/>
    <cellStyle name="20 % - Markeringsfarve4 5 5 4 3" xfId="13391" xr:uid="{00000000-0005-0000-0000-000082320000}"/>
    <cellStyle name="20 % - Markeringsfarve4 5 5 4 3 2" xfId="29670" xr:uid="{00000000-0005-0000-0000-000083320000}"/>
    <cellStyle name="20 % - Markeringsfarve4 5 5 4 3 3" xfId="44631" xr:uid="{00000000-0005-0000-0000-000084320000}"/>
    <cellStyle name="20 % - Markeringsfarve4 5 5 4 4" xfId="22668" xr:uid="{00000000-0005-0000-0000-000085320000}"/>
    <cellStyle name="20 % - Markeringsfarve4 5 5 4 5" xfId="37634" xr:uid="{00000000-0005-0000-0000-000086320000}"/>
    <cellStyle name="20 % - Markeringsfarve4 5 5 5" xfId="7839" xr:uid="{00000000-0005-0000-0000-000087320000}"/>
    <cellStyle name="20 % - Markeringsfarve4 5 5 5 2" xfId="15704" xr:uid="{00000000-0005-0000-0000-000088320000}"/>
    <cellStyle name="20 % - Markeringsfarve4 5 5 5 2 2" xfId="31980" xr:uid="{00000000-0005-0000-0000-000089320000}"/>
    <cellStyle name="20 % - Markeringsfarve4 5 5 5 2 3" xfId="46939" xr:uid="{00000000-0005-0000-0000-00008A320000}"/>
    <cellStyle name="20 % - Markeringsfarve4 5 5 5 3" xfId="24978" xr:uid="{00000000-0005-0000-0000-00008B320000}"/>
    <cellStyle name="20 % - Markeringsfarve4 5 5 5 4" xfId="39942" xr:uid="{00000000-0005-0000-0000-00008C320000}"/>
    <cellStyle name="20 % - Markeringsfarve4 5 5 6" xfId="13387" xr:uid="{00000000-0005-0000-0000-00008D320000}"/>
    <cellStyle name="20 % - Markeringsfarve4 5 5 6 2" xfId="29666" xr:uid="{00000000-0005-0000-0000-00008E320000}"/>
    <cellStyle name="20 % - Markeringsfarve4 5 5 6 3" xfId="44627" xr:uid="{00000000-0005-0000-0000-00008F320000}"/>
    <cellStyle name="20 % - Markeringsfarve4 5 5 7" xfId="22664" xr:uid="{00000000-0005-0000-0000-000090320000}"/>
    <cellStyle name="20 % - Markeringsfarve4 5 5 8" xfId="37630" xr:uid="{00000000-0005-0000-0000-000091320000}"/>
    <cellStyle name="20 % - Markeringsfarve4 5 6" xfId="4907" xr:uid="{00000000-0005-0000-0000-000092320000}"/>
    <cellStyle name="20 % - Markeringsfarve4 5 6 2" xfId="4908" xr:uid="{00000000-0005-0000-0000-000093320000}"/>
    <cellStyle name="20 % - Markeringsfarve4 5 6 2 2" xfId="4909" xr:uid="{00000000-0005-0000-0000-000094320000}"/>
    <cellStyle name="20 % - Markeringsfarve4 5 6 2 2 2" xfId="10320" xr:uid="{00000000-0005-0000-0000-000095320000}"/>
    <cellStyle name="20 % - Markeringsfarve4 5 6 2 2 2 2" xfId="18175" xr:uid="{00000000-0005-0000-0000-000096320000}"/>
    <cellStyle name="20 % - Markeringsfarve4 5 6 2 2 2 2 2" xfId="34451" xr:uid="{00000000-0005-0000-0000-000097320000}"/>
    <cellStyle name="20 % - Markeringsfarve4 5 6 2 2 2 2 3" xfId="49410" xr:uid="{00000000-0005-0000-0000-000098320000}"/>
    <cellStyle name="20 % - Markeringsfarve4 5 6 2 2 2 3" xfId="27449" xr:uid="{00000000-0005-0000-0000-000099320000}"/>
    <cellStyle name="20 % - Markeringsfarve4 5 6 2 2 2 4" xfId="42413" xr:uid="{00000000-0005-0000-0000-00009A320000}"/>
    <cellStyle name="20 % - Markeringsfarve4 5 6 2 2 3" xfId="13394" xr:uid="{00000000-0005-0000-0000-00009B320000}"/>
    <cellStyle name="20 % - Markeringsfarve4 5 6 2 2 3 2" xfId="29673" xr:uid="{00000000-0005-0000-0000-00009C320000}"/>
    <cellStyle name="20 % - Markeringsfarve4 5 6 2 2 3 3" xfId="44634" xr:uid="{00000000-0005-0000-0000-00009D320000}"/>
    <cellStyle name="20 % - Markeringsfarve4 5 6 2 2 4" xfId="22671" xr:uid="{00000000-0005-0000-0000-00009E320000}"/>
    <cellStyle name="20 % - Markeringsfarve4 5 6 2 2 5" xfId="37637" xr:uid="{00000000-0005-0000-0000-00009F320000}"/>
    <cellStyle name="20 % - Markeringsfarve4 5 6 2 3" xfId="8832" xr:uid="{00000000-0005-0000-0000-0000A0320000}"/>
    <cellStyle name="20 % - Markeringsfarve4 5 6 2 3 2" xfId="16699" xr:uid="{00000000-0005-0000-0000-0000A1320000}"/>
    <cellStyle name="20 % - Markeringsfarve4 5 6 2 3 2 2" xfId="32975" xr:uid="{00000000-0005-0000-0000-0000A2320000}"/>
    <cellStyle name="20 % - Markeringsfarve4 5 6 2 3 2 3" xfId="47934" xr:uid="{00000000-0005-0000-0000-0000A3320000}"/>
    <cellStyle name="20 % - Markeringsfarve4 5 6 2 3 3" xfId="25973" xr:uid="{00000000-0005-0000-0000-0000A4320000}"/>
    <cellStyle name="20 % - Markeringsfarve4 5 6 2 3 4" xfId="40937" xr:uid="{00000000-0005-0000-0000-0000A5320000}"/>
    <cellStyle name="20 % - Markeringsfarve4 5 6 2 4" xfId="13393" xr:uid="{00000000-0005-0000-0000-0000A6320000}"/>
    <cellStyle name="20 % - Markeringsfarve4 5 6 2 4 2" xfId="29672" xr:uid="{00000000-0005-0000-0000-0000A7320000}"/>
    <cellStyle name="20 % - Markeringsfarve4 5 6 2 4 3" xfId="44633" xr:uid="{00000000-0005-0000-0000-0000A8320000}"/>
    <cellStyle name="20 % - Markeringsfarve4 5 6 2 5" xfId="22670" xr:uid="{00000000-0005-0000-0000-0000A9320000}"/>
    <cellStyle name="20 % - Markeringsfarve4 5 6 2 6" xfId="37636" xr:uid="{00000000-0005-0000-0000-0000AA320000}"/>
    <cellStyle name="20 % - Markeringsfarve4 5 6 3" xfId="4910" xr:uid="{00000000-0005-0000-0000-0000AB320000}"/>
    <cellStyle name="20 % - Markeringsfarve4 5 6 3 2" xfId="9598" xr:uid="{00000000-0005-0000-0000-0000AC320000}"/>
    <cellStyle name="20 % - Markeringsfarve4 5 6 3 2 2" xfId="17461" xr:uid="{00000000-0005-0000-0000-0000AD320000}"/>
    <cellStyle name="20 % - Markeringsfarve4 5 6 3 2 2 2" xfId="33737" xr:uid="{00000000-0005-0000-0000-0000AE320000}"/>
    <cellStyle name="20 % - Markeringsfarve4 5 6 3 2 2 3" xfId="48696" xr:uid="{00000000-0005-0000-0000-0000AF320000}"/>
    <cellStyle name="20 % - Markeringsfarve4 5 6 3 2 3" xfId="26735" xr:uid="{00000000-0005-0000-0000-0000B0320000}"/>
    <cellStyle name="20 % - Markeringsfarve4 5 6 3 2 4" xfId="41699" xr:uid="{00000000-0005-0000-0000-0000B1320000}"/>
    <cellStyle name="20 % - Markeringsfarve4 5 6 3 3" xfId="13395" xr:uid="{00000000-0005-0000-0000-0000B2320000}"/>
    <cellStyle name="20 % - Markeringsfarve4 5 6 3 3 2" xfId="29674" xr:uid="{00000000-0005-0000-0000-0000B3320000}"/>
    <cellStyle name="20 % - Markeringsfarve4 5 6 3 3 3" xfId="44635" xr:uid="{00000000-0005-0000-0000-0000B4320000}"/>
    <cellStyle name="20 % - Markeringsfarve4 5 6 3 4" xfId="22672" xr:uid="{00000000-0005-0000-0000-0000B5320000}"/>
    <cellStyle name="20 % - Markeringsfarve4 5 6 3 5" xfId="37638" xr:uid="{00000000-0005-0000-0000-0000B6320000}"/>
    <cellStyle name="20 % - Markeringsfarve4 5 6 4" xfId="4911" xr:uid="{00000000-0005-0000-0000-0000B7320000}"/>
    <cellStyle name="20 % - Markeringsfarve4 5 6 4 2" xfId="10808" xr:uid="{00000000-0005-0000-0000-0000B8320000}"/>
    <cellStyle name="20 % - Markeringsfarve4 5 6 4 2 2" xfId="18649" xr:uid="{00000000-0005-0000-0000-0000B9320000}"/>
    <cellStyle name="20 % - Markeringsfarve4 5 6 4 2 2 2" xfId="34925" xr:uid="{00000000-0005-0000-0000-0000BA320000}"/>
    <cellStyle name="20 % - Markeringsfarve4 5 6 4 2 2 3" xfId="49884" xr:uid="{00000000-0005-0000-0000-0000BB320000}"/>
    <cellStyle name="20 % - Markeringsfarve4 5 6 4 2 3" xfId="27923" xr:uid="{00000000-0005-0000-0000-0000BC320000}"/>
    <cellStyle name="20 % - Markeringsfarve4 5 6 4 2 4" xfId="42887" xr:uid="{00000000-0005-0000-0000-0000BD320000}"/>
    <cellStyle name="20 % - Markeringsfarve4 5 6 4 3" xfId="13396" xr:uid="{00000000-0005-0000-0000-0000BE320000}"/>
    <cellStyle name="20 % - Markeringsfarve4 5 6 4 3 2" xfId="29675" xr:uid="{00000000-0005-0000-0000-0000BF320000}"/>
    <cellStyle name="20 % - Markeringsfarve4 5 6 4 3 3" xfId="44636" xr:uid="{00000000-0005-0000-0000-0000C0320000}"/>
    <cellStyle name="20 % - Markeringsfarve4 5 6 4 4" xfId="22673" xr:uid="{00000000-0005-0000-0000-0000C1320000}"/>
    <cellStyle name="20 % - Markeringsfarve4 5 6 4 5" xfId="37639" xr:uid="{00000000-0005-0000-0000-0000C2320000}"/>
    <cellStyle name="20 % - Markeringsfarve4 5 6 5" xfId="7840" xr:uid="{00000000-0005-0000-0000-0000C3320000}"/>
    <cellStyle name="20 % - Markeringsfarve4 5 6 5 2" xfId="15705" xr:uid="{00000000-0005-0000-0000-0000C4320000}"/>
    <cellStyle name="20 % - Markeringsfarve4 5 6 5 2 2" xfId="31981" xr:uid="{00000000-0005-0000-0000-0000C5320000}"/>
    <cellStyle name="20 % - Markeringsfarve4 5 6 5 2 3" xfId="46940" xr:uid="{00000000-0005-0000-0000-0000C6320000}"/>
    <cellStyle name="20 % - Markeringsfarve4 5 6 5 3" xfId="24979" xr:uid="{00000000-0005-0000-0000-0000C7320000}"/>
    <cellStyle name="20 % - Markeringsfarve4 5 6 5 4" xfId="39943" xr:uid="{00000000-0005-0000-0000-0000C8320000}"/>
    <cellStyle name="20 % - Markeringsfarve4 5 6 6" xfId="13392" xr:uid="{00000000-0005-0000-0000-0000C9320000}"/>
    <cellStyle name="20 % - Markeringsfarve4 5 6 6 2" xfId="29671" xr:uid="{00000000-0005-0000-0000-0000CA320000}"/>
    <cellStyle name="20 % - Markeringsfarve4 5 6 6 3" xfId="44632" xr:uid="{00000000-0005-0000-0000-0000CB320000}"/>
    <cellStyle name="20 % - Markeringsfarve4 5 6 7" xfId="22669" xr:uid="{00000000-0005-0000-0000-0000CC320000}"/>
    <cellStyle name="20 % - Markeringsfarve4 5 6 8" xfId="37635" xr:uid="{00000000-0005-0000-0000-0000CD320000}"/>
    <cellStyle name="20 % - Markeringsfarve4 5 7" xfId="4912" xr:uid="{00000000-0005-0000-0000-0000CE320000}"/>
    <cellStyle name="20 % - Markeringsfarve4 5 7 2" xfId="4913" xr:uid="{00000000-0005-0000-0000-0000CF320000}"/>
    <cellStyle name="20 % - Markeringsfarve4 5 7 2 2" xfId="9779" xr:uid="{00000000-0005-0000-0000-0000D0320000}"/>
    <cellStyle name="20 % - Markeringsfarve4 5 7 2 2 2" xfId="17633" xr:uid="{00000000-0005-0000-0000-0000D1320000}"/>
    <cellStyle name="20 % - Markeringsfarve4 5 7 2 2 2 2" xfId="33909" xr:uid="{00000000-0005-0000-0000-0000D2320000}"/>
    <cellStyle name="20 % - Markeringsfarve4 5 7 2 2 2 3" xfId="48868" xr:uid="{00000000-0005-0000-0000-0000D3320000}"/>
    <cellStyle name="20 % - Markeringsfarve4 5 7 2 2 3" xfId="26907" xr:uid="{00000000-0005-0000-0000-0000D4320000}"/>
    <cellStyle name="20 % - Markeringsfarve4 5 7 2 2 4" xfId="41871" xr:uid="{00000000-0005-0000-0000-0000D5320000}"/>
    <cellStyle name="20 % - Markeringsfarve4 5 7 2 3" xfId="13398" xr:uid="{00000000-0005-0000-0000-0000D6320000}"/>
    <cellStyle name="20 % - Markeringsfarve4 5 7 2 3 2" xfId="29677" xr:uid="{00000000-0005-0000-0000-0000D7320000}"/>
    <cellStyle name="20 % - Markeringsfarve4 5 7 2 3 3" xfId="44638" xr:uid="{00000000-0005-0000-0000-0000D8320000}"/>
    <cellStyle name="20 % - Markeringsfarve4 5 7 2 4" xfId="22675" xr:uid="{00000000-0005-0000-0000-0000D9320000}"/>
    <cellStyle name="20 % - Markeringsfarve4 5 7 2 5" xfId="37641" xr:uid="{00000000-0005-0000-0000-0000DA320000}"/>
    <cellStyle name="20 % - Markeringsfarve4 5 7 3" xfId="8369" xr:uid="{00000000-0005-0000-0000-0000DB320000}"/>
    <cellStyle name="20 % - Markeringsfarve4 5 7 3 2" xfId="16239" xr:uid="{00000000-0005-0000-0000-0000DC320000}"/>
    <cellStyle name="20 % - Markeringsfarve4 5 7 3 2 2" xfId="32515" xr:uid="{00000000-0005-0000-0000-0000DD320000}"/>
    <cellStyle name="20 % - Markeringsfarve4 5 7 3 2 3" xfId="47474" xr:uid="{00000000-0005-0000-0000-0000DE320000}"/>
    <cellStyle name="20 % - Markeringsfarve4 5 7 3 3" xfId="25513" xr:uid="{00000000-0005-0000-0000-0000DF320000}"/>
    <cellStyle name="20 % - Markeringsfarve4 5 7 3 4" xfId="40477" xr:uid="{00000000-0005-0000-0000-0000E0320000}"/>
    <cellStyle name="20 % - Markeringsfarve4 5 7 4" xfId="13397" xr:uid="{00000000-0005-0000-0000-0000E1320000}"/>
    <cellStyle name="20 % - Markeringsfarve4 5 7 4 2" xfId="29676" xr:uid="{00000000-0005-0000-0000-0000E2320000}"/>
    <cellStyle name="20 % - Markeringsfarve4 5 7 4 3" xfId="44637" xr:uid="{00000000-0005-0000-0000-0000E3320000}"/>
    <cellStyle name="20 % - Markeringsfarve4 5 7 5" xfId="22674" xr:uid="{00000000-0005-0000-0000-0000E4320000}"/>
    <cellStyle name="20 % - Markeringsfarve4 5 7 6" xfId="37640" xr:uid="{00000000-0005-0000-0000-0000E5320000}"/>
    <cellStyle name="20 % - Markeringsfarve4 5 8" xfId="4914" xr:uid="{00000000-0005-0000-0000-0000E6320000}"/>
    <cellStyle name="20 % - Markeringsfarve4 5 8 2" xfId="9007" xr:uid="{00000000-0005-0000-0000-0000E7320000}"/>
    <cellStyle name="20 % - Markeringsfarve4 5 8 2 2" xfId="16871" xr:uid="{00000000-0005-0000-0000-0000E8320000}"/>
    <cellStyle name="20 % - Markeringsfarve4 5 8 2 2 2" xfId="33147" xr:uid="{00000000-0005-0000-0000-0000E9320000}"/>
    <cellStyle name="20 % - Markeringsfarve4 5 8 2 2 3" xfId="48106" xr:uid="{00000000-0005-0000-0000-0000EA320000}"/>
    <cellStyle name="20 % - Markeringsfarve4 5 8 2 3" xfId="26145" xr:uid="{00000000-0005-0000-0000-0000EB320000}"/>
    <cellStyle name="20 % - Markeringsfarve4 5 8 2 4" xfId="41109" xr:uid="{00000000-0005-0000-0000-0000EC320000}"/>
    <cellStyle name="20 % - Markeringsfarve4 5 8 3" xfId="13399" xr:uid="{00000000-0005-0000-0000-0000ED320000}"/>
    <cellStyle name="20 % - Markeringsfarve4 5 8 3 2" xfId="29678" xr:uid="{00000000-0005-0000-0000-0000EE320000}"/>
    <cellStyle name="20 % - Markeringsfarve4 5 8 3 3" xfId="44639" xr:uid="{00000000-0005-0000-0000-0000EF320000}"/>
    <cellStyle name="20 % - Markeringsfarve4 5 8 4" xfId="22676" xr:uid="{00000000-0005-0000-0000-0000F0320000}"/>
    <cellStyle name="20 % - Markeringsfarve4 5 8 5" xfId="37642" xr:uid="{00000000-0005-0000-0000-0000F1320000}"/>
    <cellStyle name="20 % - Markeringsfarve4 5 9" xfId="4915" xr:uid="{00000000-0005-0000-0000-0000F2320000}"/>
    <cellStyle name="20 % - Markeringsfarve4 5 9 2" xfId="10663" xr:uid="{00000000-0005-0000-0000-0000F3320000}"/>
    <cellStyle name="20 % - Markeringsfarve4 5 9 2 2" xfId="18509" xr:uid="{00000000-0005-0000-0000-0000F4320000}"/>
    <cellStyle name="20 % - Markeringsfarve4 5 9 2 2 2" xfId="34785" xr:uid="{00000000-0005-0000-0000-0000F5320000}"/>
    <cellStyle name="20 % - Markeringsfarve4 5 9 2 2 3" xfId="49744" xr:uid="{00000000-0005-0000-0000-0000F6320000}"/>
    <cellStyle name="20 % - Markeringsfarve4 5 9 2 3" xfId="27783" xr:uid="{00000000-0005-0000-0000-0000F7320000}"/>
    <cellStyle name="20 % - Markeringsfarve4 5 9 2 4" xfId="42747" xr:uid="{00000000-0005-0000-0000-0000F8320000}"/>
    <cellStyle name="20 % - Markeringsfarve4 5 9 3" xfId="13400" xr:uid="{00000000-0005-0000-0000-0000F9320000}"/>
    <cellStyle name="20 % - Markeringsfarve4 5 9 3 2" xfId="29679" xr:uid="{00000000-0005-0000-0000-0000FA320000}"/>
    <cellStyle name="20 % - Markeringsfarve4 5 9 3 3" xfId="44640" xr:uid="{00000000-0005-0000-0000-0000FB320000}"/>
    <cellStyle name="20 % - Markeringsfarve4 5 9 4" xfId="22677" xr:uid="{00000000-0005-0000-0000-0000FC320000}"/>
    <cellStyle name="20 % - Markeringsfarve4 5 9 5" xfId="37643" xr:uid="{00000000-0005-0000-0000-0000FD320000}"/>
    <cellStyle name="20 % - Markeringsfarve4 6" xfId="4916" xr:uid="{00000000-0005-0000-0000-0000FE320000}"/>
    <cellStyle name="20 % - Markeringsfarve4 6 2" xfId="4917" xr:uid="{00000000-0005-0000-0000-0000FF320000}"/>
    <cellStyle name="20 % - Markeringsfarve4 6 2 2" xfId="4918" xr:uid="{00000000-0005-0000-0000-000000330000}"/>
    <cellStyle name="20 % - Markeringsfarve4 6 2 2 2" xfId="4919" xr:uid="{00000000-0005-0000-0000-000001330000}"/>
    <cellStyle name="20 % - Markeringsfarve4 6 2 2 2 2" xfId="9966" xr:uid="{00000000-0005-0000-0000-000002330000}"/>
    <cellStyle name="20 % - Markeringsfarve4 6 2 2 2 2 2" xfId="17821" xr:uid="{00000000-0005-0000-0000-000003330000}"/>
    <cellStyle name="20 % - Markeringsfarve4 6 2 2 2 2 2 2" xfId="34097" xr:uid="{00000000-0005-0000-0000-000004330000}"/>
    <cellStyle name="20 % - Markeringsfarve4 6 2 2 2 2 2 3" xfId="49056" xr:uid="{00000000-0005-0000-0000-000005330000}"/>
    <cellStyle name="20 % - Markeringsfarve4 6 2 2 2 2 3" xfId="27095" xr:uid="{00000000-0005-0000-0000-000006330000}"/>
    <cellStyle name="20 % - Markeringsfarve4 6 2 2 2 2 4" xfId="42059" xr:uid="{00000000-0005-0000-0000-000007330000}"/>
    <cellStyle name="20 % - Markeringsfarve4 6 2 2 2 3" xfId="13404" xr:uid="{00000000-0005-0000-0000-000008330000}"/>
    <cellStyle name="20 % - Markeringsfarve4 6 2 2 2 3 2" xfId="29683" xr:uid="{00000000-0005-0000-0000-000009330000}"/>
    <cellStyle name="20 % - Markeringsfarve4 6 2 2 2 3 3" xfId="44644" xr:uid="{00000000-0005-0000-0000-00000A330000}"/>
    <cellStyle name="20 % - Markeringsfarve4 6 2 2 2 4" xfId="22681" xr:uid="{00000000-0005-0000-0000-00000B330000}"/>
    <cellStyle name="20 % - Markeringsfarve4 6 2 2 2 5" xfId="37647" xr:uid="{00000000-0005-0000-0000-00000C330000}"/>
    <cellStyle name="20 % - Markeringsfarve4 6 2 2 3" xfId="8531" xr:uid="{00000000-0005-0000-0000-00000D330000}"/>
    <cellStyle name="20 % - Markeringsfarve4 6 2 2 3 2" xfId="16401" xr:uid="{00000000-0005-0000-0000-00000E330000}"/>
    <cellStyle name="20 % - Markeringsfarve4 6 2 2 3 2 2" xfId="32677" xr:uid="{00000000-0005-0000-0000-00000F330000}"/>
    <cellStyle name="20 % - Markeringsfarve4 6 2 2 3 2 3" xfId="47636" xr:uid="{00000000-0005-0000-0000-000010330000}"/>
    <cellStyle name="20 % - Markeringsfarve4 6 2 2 3 3" xfId="25675" xr:uid="{00000000-0005-0000-0000-000011330000}"/>
    <cellStyle name="20 % - Markeringsfarve4 6 2 2 3 4" xfId="40639" xr:uid="{00000000-0005-0000-0000-000012330000}"/>
    <cellStyle name="20 % - Markeringsfarve4 6 2 2 4" xfId="13403" xr:uid="{00000000-0005-0000-0000-000013330000}"/>
    <cellStyle name="20 % - Markeringsfarve4 6 2 2 4 2" xfId="29682" xr:uid="{00000000-0005-0000-0000-000014330000}"/>
    <cellStyle name="20 % - Markeringsfarve4 6 2 2 4 3" xfId="44643" xr:uid="{00000000-0005-0000-0000-000015330000}"/>
    <cellStyle name="20 % - Markeringsfarve4 6 2 2 5" xfId="22680" xr:uid="{00000000-0005-0000-0000-000016330000}"/>
    <cellStyle name="20 % - Markeringsfarve4 6 2 2 6" xfId="37646" xr:uid="{00000000-0005-0000-0000-000017330000}"/>
    <cellStyle name="20 % - Markeringsfarve4 6 2 3" xfId="4920" xr:uid="{00000000-0005-0000-0000-000018330000}"/>
    <cellStyle name="20 % - Markeringsfarve4 6 2 3 2" xfId="9197" xr:uid="{00000000-0005-0000-0000-000019330000}"/>
    <cellStyle name="20 % - Markeringsfarve4 6 2 3 2 2" xfId="17061" xr:uid="{00000000-0005-0000-0000-00001A330000}"/>
    <cellStyle name="20 % - Markeringsfarve4 6 2 3 2 2 2" xfId="33337" xr:uid="{00000000-0005-0000-0000-00001B330000}"/>
    <cellStyle name="20 % - Markeringsfarve4 6 2 3 2 2 3" xfId="48296" xr:uid="{00000000-0005-0000-0000-00001C330000}"/>
    <cellStyle name="20 % - Markeringsfarve4 6 2 3 2 3" xfId="26335" xr:uid="{00000000-0005-0000-0000-00001D330000}"/>
    <cellStyle name="20 % - Markeringsfarve4 6 2 3 2 4" xfId="41299" xr:uid="{00000000-0005-0000-0000-00001E330000}"/>
    <cellStyle name="20 % - Markeringsfarve4 6 2 3 3" xfId="13405" xr:uid="{00000000-0005-0000-0000-00001F330000}"/>
    <cellStyle name="20 % - Markeringsfarve4 6 2 3 3 2" xfId="29684" xr:uid="{00000000-0005-0000-0000-000020330000}"/>
    <cellStyle name="20 % - Markeringsfarve4 6 2 3 3 3" xfId="44645" xr:uid="{00000000-0005-0000-0000-000021330000}"/>
    <cellStyle name="20 % - Markeringsfarve4 6 2 3 4" xfId="22682" xr:uid="{00000000-0005-0000-0000-000022330000}"/>
    <cellStyle name="20 % - Markeringsfarve4 6 2 3 5" xfId="37648" xr:uid="{00000000-0005-0000-0000-000023330000}"/>
    <cellStyle name="20 % - Markeringsfarve4 6 2 4" xfId="4921" xr:uid="{00000000-0005-0000-0000-000024330000}"/>
    <cellStyle name="20 % - Markeringsfarve4 6 2 4 2" xfId="10412" xr:uid="{00000000-0005-0000-0000-000025330000}"/>
    <cellStyle name="20 % - Markeringsfarve4 6 2 4 2 2" xfId="18264" xr:uid="{00000000-0005-0000-0000-000026330000}"/>
    <cellStyle name="20 % - Markeringsfarve4 6 2 4 2 2 2" xfId="34540" xr:uid="{00000000-0005-0000-0000-000027330000}"/>
    <cellStyle name="20 % - Markeringsfarve4 6 2 4 2 2 3" xfId="49499" xr:uid="{00000000-0005-0000-0000-000028330000}"/>
    <cellStyle name="20 % - Markeringsfarve4 6 2 4 2 3" xfId="27538" xr:uid="{00000000-0005-0000-0000-000029330000}"/>
    <cellStyle name="20 % - Markeringsfarve4 6 2 4 2 4" xfId="42502" xr:uid="{00000000-0005-0000-0000-00002A330000}"/>
    <cellStyle name="20 % - Markeringsfarve4 6 2 4 3" xfId="13406" xr:uid="{00000000-0005-0000-0000-00002B330000}"/>
    <cellStyle name="20 % - Markeringsfarve4 6 2 4 3 2" xfId="29685" xr:uid="{00000000-0005-0000-0000-00002C330000}"/>
    <cellStyle name="20 % - Markeringsfarve4 6 2 4 3 3" xfId="44646" xr:uid="{00000000-0005-0000-0000-00002D330000}"/>
    <cellStyle name="20 % - Markeringsfarve4 6 2 4 4" xfId="22683" xr:uid="{00000000-0005-0000-0000-00002E330000}"/>
    <cellStyle name="20 % - Markeringsfarve4 6 2 4 5" xfId="37649" xr:uid="{00000000-0005-0000-0000-00002F330000}"/>
    <cellStyle name="20 % - Markeringsfarve4 6 2 5" xfId="7842" xr:uid="{00000000-0005-0000-0000-000030330000}"/>
    <cellStyle name="20 % - Markeringsfarve4 6 2 5 2" xfId="15707" xr:uid="{00000000-0005-0000-0000-000031330000}"/>
    <cellStyle name="20 % - Markeringsfarve4 6 2 5 2 2" xfId="31983" xr:uid="{00000000-0005-0000-0000-000032330000}"/>
    <cellStyle name="20 % - Markeringsfarve4 6 2 5 2 3" xfId="46942" xr:uid="{00000000-0005-0000-0000-000033330000}"/>
    <cellStyle name="20 % - Markeringsfarve4 6 2 5 3" xfId="24981" xr:uid="{00000000-0005-0000-0000-000034330000}"/>
    <cellStyle name="20 % - Markeringsfarve4 6 2 5 4" xfId="39945" xr:uid="{00000000-0005-0000-0000-000035330000}"/>
    <cellStyle name="20 % - Markeringsfarve4 6 2 6" xfId="13402" xr:uid="{00000000-0005-0000-0000-000036330000}"/>
    <cellStyle name="20 % - Markeringsfarve4 6 2 6 2" xfId="29681" xr:uid="{00000000-0005-0000-0000-000037330000}"/>
    <cellStyle name="20 % - Markeringsfarve4 6 2 6 3" xfId="44642" xr:uid="{00000000-0005-0000-0000-000038330000}"/>
    <cellStyle name="20 % - Markeringsfarve4 6 2 7" xfId="22679" xr:uid="{00000000-0005-0000-0000-000039330000}"/>
    <cellStyle name="20 % - Markeringsfarve4 6 2 8" xfId="37645" xr:uid="{00000000-0005-0000-0000-00003A330000}"/>
    <cellStyle name="20 % - Markeringsfarve4 6 3" xfId="4922" xr:uid="{00000000-0005-0000-0000-00003B330000}"/>
    <cellStyle name="20 % - Markeringsfarve4 6 3 2" xfId="4923" xr:uid="{00000000-0005-0000-0000-00003C330000}"/>
    <cellStyle name="20 % - Markeringsfarve4 6 3 2 2" xfId="9819" xr:uid="{00000000-0005-0000-0000-00003D330000}"/>
    <cellStyle name="20 % - Markeringsfarve4 6 3 2 2 2" xfId="17674" xr:uid="{00000000-0005-0000-0000-00003E330000}"/>
    <cellStyle name="20 % - Markeringsfarve4 6 3 2 2 2 2" xfId="33950" xr:uid="{00000000-0005-0000-0000-00003F330000}"/>
    <cellStyle name="20 % - Markeringsfarve4 6 3 2 2 2 3" xfId="48909" xr:uid="{00000000-0005-0000-0000-000040330000}"/>
    <cellStyle name="20 % - Markeringsfarve4 6 3 2 2 3" xfId="26948" xr:uid="{00000000-0005-0000-0000-000041330000}"/>
    <cellStyle name="20 % - Markeringsfarve4 6 3 2 2 4" xfId="41912" xr:uid="{00000000-0005-0000-0000-000042330000}"/>
    <cellStyle name="20 % - Markeringsfarve4 6 3 2 3" xfId="13408" xr:uid="{00000000-0005-0000-0000-000043330000}"/>
    <cellStyle name="20 % - Markeringsfarve4 6 3 2 3 2" xfId="29687" xr:uid="{00000000-0005-0000-0000-000044330000}"/>
    <cellStyle name="20 % - Markeringsfarve4 6 3 2 3 3" xfId="44648" xr:uid="{00000000-0005-0000-0000-000045330000}"/>
    <cellStyle name="20 % - Markeringsfarve4 6 3 2 4" xfId="22685" xr:uid="{00000000-0005-0000-0000-000046330000}"/>
    <cellStyle name="20 % - Markeringsfarve4 6 3 2 5" xfId="37651" xr:uid="{00000000-0005-0000-0000-000047330000}"/>
    <cellStyle name="20 % - Markeringsfarve4 6 3 3" xfId="8402" xr:uid="{00000000-0005-0000-0000-000048330000}"/>
    <cellStyle name="20 % - Markeringsfarve4 6 3 3 2" xfId="16272" xr:uid="{00000000-0005-0000-0000-000049330000}"/>
    <cellStyle name="20 % - Markeringsfarve4 6 3 3 2 2" xfId="32548" xr:uid="{00000000-0005-0000-0000-00004A330000}"/>
    <cellStyle name="20 % - Markeringsfarve4 6 3 3 2 3" xfId="47507" xr:uid="{00000000-0005-0000-0000-00004B330000}"/>
    <cellStyle name="20 % - Markeringsfarve4 6 3 3 3" xfId="25546" xr:uid="{00000000-0005-0000-0000-00004C330000}"/>
    <cellStyle name="20 % - Markeringsfarve4 6 3 3 4" xfId="40510" xr:uid="{00000000-0005-0000-0000-00004D330000}"/>
    <cellStyle name="20 % - Markeringsfarve4 6 3 4" xfId="13407" xr:uid="{00000000-0005-0000-0000-00004E330000}"/>
    <cellStyle name="20 % - Markeringsfarve4 6 3 4 2" xfId="29686" xr:uid="{00000000-0005-0000-0000-00004F330000}"/>
    <cellStyle name="20 % - Markeringsfarve4 6 3 4 3" xfId="44647" xr:uid="{00000000-0005-0000-0000-000050330000}"/>
    <cellStyle name="20 % - Markeringsfarve4 6 3 5" xfId="22684" xr:uid="{00000000-0005-0000-0000-000051330000}"/>
    <cellStyle name="20 % - Markeringsfarve4 6 3 6" xfId="37650" xr:uid="{00000000-0005-0000-0000-000052330000}"/>
    <cellStyle name="20 % - Markeringsfarve4 6 4" xfId="4924" xr:uid="{00000000-0005-0000-0000-000053330000}"/>
    <cellStyle name="20 % - Markeringsfarve4 6 4 2" xfId="9050" xr:uid="{00000000-0005-0000-0000-000054330000}"/>
    <cellStyle name="20 % - Markeringsfarve4 6 4 2 2" xfId="16914" xr:uid="{00000000-0005-0000-0000-000055330000}"/>
    <cellStyle name="20 % - Markeringsfarve4 6 4 2 2 2" xfId="33190" xr:uid="{00000000-0005-0000-0000-000056330000}"/>
    <cellStyle name="20 % - Markeringsfarve4 6 4 2 2 3" xfId="48149" xr:uid="{00000000-0005-0000-0000-000057330000}"/>
    <cellStyle name="20 % - Markeringsfarve4 6 4 2 3" xfId="26188" xr:uid="{00000000-0005-0000-0000-000058330000}"/>
    <cellStyle name="20 % - Markeringsfarve4 6 4 2 4" xfId="41152" xr:uid="{00000000-0005-0000-0000-000059330000}"/>
    <cellStyle name="20 % - Markeringsfarve4 6 4 3" xfId="13409" xr:uid="{00000000-0005-0000-0000-00005A330000}"/>
    <cellStyle name="20 % - Markeringsfarve4 6 4 3 2" xfId="29688" xr:uid="{00000000-0005-0000-0000-00005B330000}"/>
    <cellStyle name="20 % - Markeringsfarve4 6 4 3 3" xfId="44649" xr:uid="{00000000-0005-0000-0000-00005C330000}"/>
    <cellStyle name="20 % - Markeringsfarve4 6 4 4" xfId="22686" xr:uid="{00000000-0005-0000-0000-00005D330000}"/>
    <cellStyle name="20 % - Markeringsfarve4 6 4 5" xfId="37652" xr:uid="{00000000-0005-0000-0000-00005E330000}"/>
    <cellStyle name="20 % - Markeringsfarve4 6 5" xfId="4925" xr:uid="{00000000-0005-0000-0000-00005F330000}"/>
    <cellStyle name="20 % - Markeringsfarve4 6 5 2" xfId="10459" xr:uid="{00000000-0005-0000-0000-000060330000}"/>
    <cellStyle name="20 % - Markeringsfarve4 6 5 2 2" xfId="18310" xr:uid="{00000000-0005-0000-0000-000061330000}"/>
    <cellStyle name="20 % - Markeringsfarve4 6 5 2 2 2" xfId="34586" xr:uid="{00000000-0005-0000-0000-000062330000}"/>
    <cellStyle name="20 % - Markeringsfarve4 6 5 2 2 3" xfId="49545" xr:uid="{00000000-0005-0000-0000-000063330000}"/>
    <cellStyle name="20 % - Markeringsfarve4 6 5 2 3" xfId="27584" xr:uid="{00000000-0005-0000-0000-000064330000}"/>
    <cellStyle name="20 % - Markeringsfarve4 6 5 2 4" xfId="42548" xr:uid="{00000000-0005-0000-0000-000065330000}"/>
    <cellStyle name="20 % - Markeringsfarve4 6 5 3" xfId="13410" xr:uid="{00000000-0005-0000-0000-000066330000}"/>
    <cellStyle name="20 % - Markeringsfarve4 6 5 3 2" xfId="29689" xr:uid="{00000000-0005-0000-0000-000067330000}"/>
    <cellStyle name="20 % - Markeringsfarve4 6 5 3 3" xfId="44650" xr:uid="{00000000-0005-0000-0000-000068330000}"/>
    <cellStyle name="20 % - Markeringsfarve4 6 5 4" xfId="22687" xr:uid="{00000000-0005-0000-0000-000069330000}"/>
    <cellStyle name="20 % - Markeringsfarve4 6 5 5" xfId="37653" xr:uid="{00000000-0005-0000-0000-00006A330000}"/>
    <cellStyle name="20 % - Markeringsfarve4 6 6" xfId="7841" xr:uid="{00000000-0005-0000-0000-00006B330000}"/>
    <cellStyle name="20 % - Markeringsfarve4 6 6 2" xfId="15706" xr:uid="{00000000-0005-0000-0000-00006C330000}"/>
    <cellStyle name="20 % - Markeringsfarve4 6 6 2 2" xfId="31982" xr:uid="{00000000-0005-0000-0000-00006D330000}"/>
    <cellStyle name="20 % - Markeringsfarve4 6 6 2 3" xfId="46941" xr:uid="{00000000-0005-0000-0000-00006E330000}"/>
    <cellStyle name="20 % - Markeringsfarve4 6 6 3" xfId="24980" xr:uid="{00000000-0005-0000-0000-00006F330000}"/>
    <cellStyle name="20 % - Markeringsfarve4 6 6 4" xfId="39944" xr:uid="{00000000-0005-0000-0000-000070330000}"/>
    <cellStyle name="20 % - Markeringsfarve4 6 7" xfId="13401" xr:uid="{00000000-0005-0000-0000-000071330000}"/>
    <cellStyle name="20 % - Markeringsfarve4 6 7 2" xfId="29680" xr:uid="{00000000-0005-0000-0000-000072330000}"/>
    <cellStyle name="20 % - Markeringsfarve4 6 7 3" xfId="44641" xr:uid="{00000000-0005-0000-0000-000073330000}"/>
    <cellStyle name="20 % - Markeringsfarve4 6 8" xfId="22678" xr:uid="{00000000-0005-0000-0000-000074330000}"/>
    <cellStyle name="20 % - Markeringsfarve4 6 9" xfId="37644" xr:uid="{00000000-0005-0000-0000-000075330000}"/>
    <cellStyle name="20 % - Markeringsfarve4 7" xfId="4926" xr:uid="{00000000-0005-0000-0000-000076330000}"/>
    <cellStyle name="20 % - Markeringsfarve4 7 2" xfId="4927" xr:uid="{00000000-0005-0000-0000-000077330000}"/>
    <cellStyle name="20 % - Markeringsfarve4 7 2 2" xfId="4928" xr:uid="{00000000-0005-0000-0000-000078330000}"/>
    <cellStyle name="20 % - Markeringsfarve4 7 2 2 2" xfId="10057" xr:uid="{00000000-0005-0000-0000-000079330000}"/>
    <cellStyle name="20 % - Markeringsfarve4 7 2 2 2 2" xfId="17912" xr:uid="{00000000-0005-0000-0000-00007A330000}"/>
    <cellStyle name="20 % - Markeringsfarve4 7 2 2 2 2 2" xfId="34188" xr:uid="{00000000-0005-0000-0000-00007B330000}"/>
    <cellStyle name="20 % - Markeringsfarve4 7 2 2 2 2 3" xfId="49147" xr:uid="{00000000-0005-0000-0000-00007C330000}"/>
    <cellStyle name="20 % - Markeringsfarve4 7 2 2 2 3" xfId="27186" xr:uid="{00000000-0005-0000-0000-00007D330000}"/>
    <cellStyle name="20 % - Markeringsfarve4 7 2 2 2 4" xfId="42150" xr:uid="{00000000-0005-0000-0000-00007E330000}"/>
    <cellStyle name="20 % - Markeringsfarve4 7 2 2 3" xfId="13413" xr:uid="{00000000-0005-0000-0000-00007F330000}"/>
    <cellStyle name="20 % - Markeringsfarve4 7 2 2 3 2" xfId="29692" xr:uid="{00000000-0005-0000-0000-000080330000}"/>
    <cellStyle name="20 % - Markeringsfarve4 7 2 2 3 3" xfId="44653" xr:uid="{00000000-0005-0000-0000-000081330000}"/>
    <cellStyle name="20 % - Markeringsfarve4 7 2 2 4" xfId="22690" xr:uid="{00000000-0005-0000-0000-000082330000}"/>
    <cellStyle name="20 % - Markeringsfarve4 7 2 2 5" xfId="37656" xr:uid="{00000000-0005-0000-0000-000083330000}"/>
    <cellStyle name="20 % - Markeringsfarve4 7 2 3" xfId="8604" xr:uid="{00000000-0005-0000-0000-000084330000}"/>
    <cellStyle name="20 % - Markeringsfarve4 7 2 3 2" xfId="16471" xr:uid="{00000000-0005-0000-0000-000085330000}"/>
    <cellStyle name="20 % - Markeringsfarve4 7 2 3 2 2" xfId="32747" xr:uid="{00000000-0005-0000-0000-000086330000}"/>
    <cellStyle name="20 % - Markeringsfarve4 7 2 3 2 3" xfId="47706" xr:uid="{00000000-0005-0000-0000-000087330000}"/>
    <cellStyle name="20 % - Markeringsfarve4 7 2 3 3" xfId="25745" xr:uid="{00000000-0005-0000-0000-000088330000}"/>
    <cellStyle name="20 % - Markeringsfarve4 7 2 3 4" xfId="40709" xr:uid="{00000000-0005-0000-0000-000089330000}"/>
    <cellStyle name="20 % - Markeringsfarve4 7 2 4" xfId="13412" xr:uid="{00000000-0005-0000-0000-00008A330000}"/>
    <cellStyle name="20 % - Markeringsfarve4 7 2 4 2" xfId="29691" xr:uid="{00000000-0005-0000-0000-00008B330000}"/>
    <cellStyle name="20 % - Markeringsfarve4 7 2 4 3" xfId="44652" xr:uid="{00000000-0005-0000-0000-00008C330000}"/>
    <cellStyle name="20 % - Markeringsfarve4 7 2 5" xfId="22689" xr:uid="{00000000-0005-0000-0000-00008D330000}"/>
    <cellStyle name="20 % - Markeringsfarve4 7 2 6" xfId="37655" xr:uid="{00000000-0005-0000-0000-00008E330000}"/>
    <cellStyle name="20 % - Markeringsfarve4 7 3" xfId="4929" xr:uid="{00000000-0005-0000-0000-00008F330000}"/>
    <cellStyle name="20 % - Markeringsfarve4 7 3 2" xfId="9334" xr:uid="{00000000-0005-0000-0000-000090330000}"/>
    <cellStyle name="20 % - Markeringsfarve4 7 3 2 2" xfId="17197" xr:uid="{00000000-0005-0000-0000-000091330000}"/>
    <cellStyle name="20 % - Markeringsfarve4 7 3 2 2 2" xfId="33473" xr:uid="{00000000-0005-0000-0000-000092330000}"/>
    <cellStyle name="20 % - Markeringsfarve4 7 3 2 2 3" xfId="48432" xr:uid="{00000000-0005-0000-0000-000093330000}"/>
    <cellStyle name="20 % - Markeringsfarve4 7 3 2 3" xfId="26471" xr:uid="{00000000-0005-0000-0000-000094330000}"/>
    <cellStyle name="20 % - Markeringsfarve4 7 3 2 4" xfId="41435" xr:uid="{00000000-0005-0000-0000-000095330000}"/>
    <cellStyle name="20 % - Markeringsfarve4 7 3 3" xfId="13414" xr:uid="{00000000-0005-0000-0000-000096330000}"/>
    <cellStyle name="20 % - Markeringsfarve4 7 3 3 2" xfId="29693" xr:uid="{00000000-0005-0000-0000-000097330000}"/>
    <cellStyle name="20 % - Markeringsfarve4 7 3 3 3" xfId="44654" xr:uid="{00000000-0005-0000-0000-000098330000}"/>
    <cellStyle name="20 % - Markeringsfarve4 7 3 4" xfId="22691" xr:uid="{00000000-0005-0000-0000-000099330000}"/>
    <cellStyle name="20 % - Markeringsfarve4 7 3 5" xfId="37657" xr:uid="{00000000-0005-0000-0000-00009A330000}"/>
    <cellStyle name="20 % - Markeringsfarve4 7 4" xfId="4930" xr:uid="{00000000-0005-0000-0000-00009B330000}"/>
    <cellStyle name="20 % - Markeringsfarve4 7 4 2" xfId="10753" xr:uid="{00000000-0005-0000-0000-00009C330000}"/>
    <cellStyle name="20 % - Markeringsfarve4 7 4 2 2" xfId="18596" xr:uid="{00000000-0005-0000-0000-00009D330000}"/>
    <cellStyle name="20 % - Markeringsfarve4 7 4 2 2 2" xfId="34872" xr:uid="{00000000-0005-0000-0000-00009E330000}"/>
    <cellStyle name="20 % - Markeringsfarve4 7 4 2 2 3" xfId="49831" xr:uid="{00000000-0005-0000-0000-00009F330000}"/>
    <cellStyle name="20 % - Markeringsfarve4 7 4 2 3" xfId="27870" xr:uid="{00000000-0005-0000-0000-0000A0330000}"/>
    <cellStyle name="20 % - Markeringsfarve4 7 4 2 4" xfId="42834" xr:uid="{00000000-0005-0000-0000-0000A1330000}"/>
    <cellStyle name="20 % - Markeringsfarve4 7 4 3" xfId="13415" xr:uid="{00000000-0005-0000-0000-0000A2330000}"/>
    <cellStyle name="20 % - Markeringsfarve4 7 4 3 2" xfId="29694" xr:uid="{00000000-0005-0000-0000-0000A3330000}"/>
    <cellStyle name="20 % - Markeringsfarve4 7 4 3 3" xfId="44655" xr:uid="{00000000-0005-0000-0000-0000A4330000}"/>
    <cellStyle name="20 % - Markeringsfarve4 7 4 4" xfId="22692" xr:uid="{00000000-0005-0000-0000-0000A5330000}"/>
    <cellStyle name="20 % - Markeringsfarve4 7 4 5" xfId="37658" xr:uid="{00000000-0005-0000-0000-0000A6330000}"/>
    <cellStyle name="20 % - Markeringsfarve4 7 5" xfId="7843" xr:uid="{00000000-0005-0000-0000-0000A7330000}"/>
    <cellStyle name="20 % - Markeringsfarve4 7 5 2" xfId="15708" xr:uid="{00000000-0005-0000-0000-0000A8330000}"/>
    <cellStyle name="20 % - Markeringsfarve4 7 5 2 2" xfId="31984" xr:uid="{00000000-0005-0000-0000-0000A9330000}"/>
    <cellStyle name="20 % - Markeringsfarve4 7 5 2 3" xfId="46943" xr:uid="{00000000-0005-0000-0000-0000AA330000}"/>
    <cellStyle name="20 % - Markeringsfarve4 7 5 3" xfId="24982" xr:uid="{00000000-0005-0000-0000-0000AB330000}"/>
    <cellStyle name="20 % - Markeringsfarve4 7 5 4" xfId="39946" xr:uid="{00000000-0005-0000-0000-0000AC330000}"/>
    <cellStyle name="20 % - Markeringsfarve4 7 6" xfId="13411" xr:uid="{00000000-0005-0000-0000-0000AD330000}"/>
    <cellStyle name="20 % - Markeringsfarve4 7 6 2" xfId="29690" xr:uid="{00000000-0005-0000-0000-0000AE330000}"/>
    <cellStyle name="20 % - Markeringsfarve4 7 6 3" xfId="44651" xr:uid="{00000000-0005-0000-0000-0000AF330000}"/>
    <cellStyle name="20 % - Markeringsfarve4 7 7" xfId="22688" xr:uid="{00000000-0005-0000-0000-0000B0330000}"/>
    <cellStyle name="20 % - Markeringsfarve4 7 8" xfId="37654" xr:uid="{00000000-0005-0000-0000-0000B1330000}"/>
    <cellStyle name="20 % - Markeringsfarve4 8" xfId="4931" xr:uid="{00000000-0005-0000-0000-0000B2330000}"/>
    <cellStyle name="20 % - Markeringsfarve4 8 2" xfId="4932" xr:uid="{00000000-0005-0000-0000-0000B3330000}"/>
    <cellStyle name="20 % - Markeringsfarve4 8 2 2" xfId="4933" xr:uid="{00000000-0005-0000-0000-0000B4330000}"/>
    <cellStyle name="20 % - Markeringsfarve4 8 2 2 2" xfId="10174" xr:uid="{00000000-0005-0000-0000-0000B5330000}"/>
    <cellStyle name="20 % - Markeringsfarve4 8 2 2 2 2" xfId="18029" xr:uid="{00000000-0005-0000-0000-0000B6330000}"/>
    <cellStyle name="20 % - Markeringsfarve4 8 2 2 2 2 2" xfId="34305" xr:uid="{00000000-0005-0000-0000-0000B7330000}"/>
    <cellStyle name="20 % - Markeringsfarve4 8 2 2 2 2 3" xfId="49264" xr:uid="{00000000-0005-0000-0000-0000B8330000}"/>
    <cellStyle name="20 % - Markeringsfarve4 8 2 2 2 3" xfId="27303" xr:uid="{00000000-0005-0000-0000-0000B9330000}"/>
    <cellStyle name="20 % - Markeringsfarve4 8 2 2 2 4" xfId="42267" xr:uid="{00000000-0005-0000-0000-0000BA330000}"/>
    <cellStyle name="20 % - Markeringsfarve4 8 2 2 3" xfId="13418" xr:uid="{00000000-0005-0000-0000-0000BB330000}"/>
    <cellStyle name="20 % - Markeringsfarve4 8 2 2 3 2" xfId="29697" xr:uid="{00000000-0005-0000-0000-0000BC330000}"/>
    <cellStyle name="20 % - Markeringsfarve4 8 2 2 3 3" xfId="44658" xr:uid="{00000000-0005-0000-0000-0000BD330000}"/>
    <cellStyle name="20 % - Markeringsfarve4 8 2 2 4" xfId="22695" xr:uid="{00000000-0005-0000-0000-0000BE330000}"/>
    <cellStyle name="20 % - Markeringsfarve4 8 2 2 5" xfId="37661" xr:uid="{00000000-0005-0000-0000-0000BF330000}"/>
    <cellStyle name="20 % - Markeringsfarve4 8 2 3" xfId="8703" xr:uid="{00000000-0005-0000-0000-0000C0330000}"/>
    <cellStyle name="20 % - Markeringsfarve4 8 2 3 2" xfId="16570" xr:uid="{00000000-0005-0000-0000-0000C1330000}"/>
    <cellStyle name="20 % - Markeringsfarve4 8 2 3 2 2" xfId="32846" xr:uid="{00000000-0005-0000-0000-0000C2330000}"/>
    <cellStyle name="20 % - Markeringsfarve4 8 2 3 2 3" xfId="47805" xr:uid="{00000000-0005-0000-0000-0000C3330000}"/>
    <cellStyle name="20 % - Markeringsfarve4 8 2 3 3" xfId="25844" xr:uid="{00000000-0005-0000-0000-0000C4330000}"/>
    <cellStyle name="20 % - Markeringsfarve4 8 2 3 4" xfId="40808" xr:uid="{00000000-0005-0000-0000-0000C5330000}"/>
    <cellStyle name="20 % - Markeringsfarve4 8 2 4" xfId="13417" xr:uid="{00000000-0005-0000-0000-0000C6330000}"/>
    <cellStyle name="20 % - Markeringsfarve4 8 2 4 2" xfId="29696" xr:uid="{00000000-0005-0000-0000-0000C7330000}"/>
    <cellStyle name="20 % - Markeringsfarve4 8 2 4 3" xfId="44657" xr:uid="{00000000-0005-0000-0000-0000C8330000}"/>
    <cellStyle name="20 % - Markeringsfarve4 8 2 5" xfId="22694" xr:uid="{00000000-0005-0000-0000-0000C9330000}"/>
    <cellStyle name="20 % - Markeringsfarve4 8 2 6" xfId="37660" xr:uid="{00000000-0005-0000-0000-0000CA330000}"/>
    <cellStyle name="20 % - Markeringsfarve4 8 3" xfId="4934" xr:uid="{00000000-0005-0000-0000-0000CB330000}"/>
    <cellStyle name="20 % - Markeringsfarve4 8 3 2" xfId="9451" xr:uid="{00000000-0005-0000-0000-0000CC330000}"/>
    <cellStyle name="20 % - Markeringsfarve4 8 3 2 2" xfId="17314" xr:uid="{00000000-0005-0000-0000-0000CD330000}"/>
    <cellStyle name="20 % - Markeringsfarve4 8 3 2 2 2" xfId="33590" xr:uid="{00000000-0005-0000-0000-0000CE330000}"/>
    <cellStyle name="20 % - Markeringsfarve4 8 3 2 2 3" xfId="48549" xr:uid="{00000000-0005-0000-0000-0000CF330000}"/>
    <cellStyle name="20 % - Markeringsfarve4 8 3 2 3" xfId="26588" xr:uid="{00000000-0005-0000-0000-0000D0330000}"/>
    <cellStyle name="20 % - Markeringsfarve4 8 3 2 4" xfId="41552" xr:uid="{00000000-0005-0000-0000-0000D1330000}"/>
    <cellStyle name="20 % - Markeringsfarve4 8 3 3" xfId="13419" xr:uid="{00000000-0005-0000-0000-0000D2330000}"/>
    <cellStyle name="20 % - Markeringsfarve4 8 3 3 2" xfId="29698" xr:uid="{00000000-0005-0000-0000-0000D3330000}"/>
    <cellStyle name="20 % - Markeringsfarve4 8 3 3 3" xfId="44659" xr:uid="{00000000-0005-0000-0000-0000D4330000}"/>
    <cellStyle name="20 % - Markeringsfarve4 8 3 4" xfId="22696" xr:uid="{00000000-0005-0000-0000-0000D5330000}"/>
    <cellStyle name="20 % - Markeringsfarve4 8 3 5" xfId="37662" xr:uid="{00000000-0005-0000-0000-0000D6330000}"/>
    <cellStyle name="20 % - Markeringsfarve4 8 4" xfId="4935" xr:uid="{00000000-0005-0000-0000-0000D7330000}"/>
    <cellStyle name="20 % - Markeringsfarve4 8 4 2" xfId="10989" xr:uid="{00000000-0005-0000-0000-0000D8330000}"/>
    <cellStyle name="20 % - Markeringsfarve4 8 4 2 2" xfId="18820" xr:uid="{00000000-0005-0000-0000-0000D9330000}"/>
    <cellStyle name="20 % - Markeringsfarve4 8 4 2 2 2" xfId="35096" xr:uid="{00000000-0005-0000-0000-0000DA330000}"/>
    <cellStyle name="20 % - Markeringsfarve4 8 4 2 2 3" xfId="50055" xr:uid="{00000000-0005-0000-0000-0000DB330000}"/>
    <cellStyle name="20 % - Markeringsfarve4 8 4 2 3" xfId="28094" xr:uid="{00000000-0005-0000-0000-0000DC330000}"/>
    <cellStyle name="20 % - Markeringsfarve4 8 4 2 4" xfId="43058" xr:uid="{00000000-0005-0000-0000-0000DD330000}"/>
    <cellStyle name="20 % - Markeringsfarve4 8 4 3" xfId="13420" xr:uid="{00000000-0005-0000-0000-0000DE330000}"/>
    <cellStyle name="20 % - Markeringsfarve4 8 4 3 2" xfId="29699" xr:uid="{00000000-0005-0000-0000-0000DF330000}"/>
    <cellStyle name="20 % - Markeringsfarve4 8 4 3 3" xfId="44660" xr:uid="{00000000-0005-0000-0000-0000E0330000}"/>
    <cellStyle name="20 % - Markeringsfarve4 8 4 4" xfId="22697" xr:uid="{00000000-0005-0000-0000-0000E1330000}"/>
    <cellStyle name="20 % - Markeringsfarve4 8 4 5" xfId="37663" xr:uid="{00000000-0005-0000-0000-0000E2330000}"/>
    <cellStyle name="20 % - Markeringsfarve4 8 5" xfId="7844" xr:uid="{00000000-0005-0000-0000-0000E3330000}"/>
    <cellStyle name="20 % - Markeringsfarve4 8 5 2" xfId="15709" xr:uid="{00000000-0005-0000-0000-0000E4330000}"/>
    <cellStyle name="20 % - Markeringsfarve4 8 5 2 2" xfId="31985" xr:uid="{00000000-0005-0000-0000-0000E5330000}"/>
    <cellStyle name="20 % - Markeringsfarve4 8 5 2 3" xfId="46944" xr:uid="{00000000-0005-0000-0000-0000E6330000}"/>
    <cellStyle name="20 % - Markeringsfarve4 8 5 3" xfId="24983" xr:uid="{00000000-0005-0000-0000-0000E7330000}"/>
    <cellStyle name="20 % - Markeringsfarve4 8 5 4" xfId="39947" xr:uid="{00000000-0005-0000-0000-0000E8330000}"/>
    <cellStyle name="20 % - Markeringsfarve4 8 6" xfId="13416" xr:uid="{00000000-0005-0000-0000-0000E9330000}"/>
    <cellStyle name="20 % - Markeringsfarve4 8 6 2" xfId="29695" xr:uid="{00000000-0005-0000-0000-0000EA330000}"/>
    <cellStyle name="20 % - Markeringsfarve4 8 6 3" xfId="44656" xr:uid="{00000000-0005-0000-0000-0000EB330000}"/>
    <cellStyle name="20 % - Markeringsfarve4 8 7" xfId="22693" xr:uid="{00000000-0005-0000-0000-0000EC330000}"/>
    <cellStyle name="20 % - Markeringsfarve4 8 8" xfId="37659" xr:uid="{00000000-0005-0000-0000-0000ED330000}"/>
    <cellStyle name="20 % - Markeringsfarve4 9" xfId="4936" xr:uid="{00000000-0005-0000-0000-0000EE330000}"/>
    <cellStyle name="20 % - Markeringsfarve4 9 2" xfId="4937" xr:uid="{00000000-0005-0000-0000-0000EF330000}"/>
    <cellStyle name="20 % - Markeringsfarve4 9 2 2" xfId="4938" xr:uid="{00000000-0005-0000-0000-0000F0330000}"/>
    <cellStyle name="20 % - Markeringsfarve4 9 2 2 2" xfId="10312" xr:uid="{00000000-0005-0000-0000-0000F1330000}"/>
    <cellStyle name="20 % - Markeringsfarve4 9 2 2 2 2" xfId="18167" xr:uid="{00000000-0005-0000-0000-0000F2330000}"/>
    <cellStyle name="20 % - Markeringsfarve4 9 2 2 2 2 2" xfId="34443" xr:uid="{00000000-0005-0000-0000-0000F3330000}"/>
    <cellStyle name="20 % - Markeringsfarve4 9 2 2 2 2 3" xfId="49402" xr:uid="{00000000-0005-0000-0000-0000F4330000}"/>
    <cellStyle name="20 % - Markeringsfarve4 9 2 2 2 3" xfId="27441" xr:uid="{00000000-0005-0000-0000-0000F5330000}"/>
    <cellStyle name="20 % - Markeringsfarve4 9 2 2 2 4" xfId="42405" xr:uid="{00000000-0005-0000-0000-0000F6330000}"/>
    <cellStyle name="20 % - Markeringsfarve4 9 2 2 3" xfId="13423" xr:uid="{00000000-0005-0000-0000-0000F7330000}"/>
    <cellStyle name="20 % - Markeringsfarve4 9 2 2 3 2" xfId="29702" xr:uid="{00000000-0005-0000-0000-0000F8330000}"/>
    <cellStyle name="20 % - Markeringsfarve4 9 2 2 3 3" xfId="44663" xr:uid="{00000000-0005-0000-0000-0000F9330000}"/>
    <cellStyle name="20 % - Markeringsfarve4 9 2 2 4" xfId="22700" xr:uid="{00000000-0005-0000-0000-0000FA330000}"/>
    <cellStyle name="20 % - Markeringsfarve4 9 2 2 5" xfId="37666" xr:uid="{00000000-0005-0000-0000-0000FB330000}"/>
    <cellStyle name="20 % - Markeringsfarve4 9 2 3" xfId="8824" xr:uid="{00000000-0005-0000-0000-0000FC330000}"/>
    <cellStyle name="20 % - Markeringsfarve4 9 2 3 2" xfId="16691" xr:uid="{00000000-0005-0000-0000-0000FD330000}"/>
    <cellStyle name="20 % - Markeringsfarve4 9 2 3 2 2" xfId="32967" xr:uid="{00000000-0005-0000-0000-0000FE330000}"/>
    <cellStyle name="20 % - Markeringsfarve4 9 2 3 2 3" xfId="47926" xr:uid="{00000000-0005-0000-0000-0000FF330000}"/>
    <cellStyle name="20 % - Markeringsfarve4 9 2 3 3" xfId="25965" xr:uid="{00000000-0005-0000-0000-000000340000}"/>
    <cellStyle name="20 % - Markeringsfarve4 9 2 3 4" xfId="40929" xr:uid="{00000000-0005-0000-0000-000001340000}"/>
    <cellStyle name="20 % - Markeringsfarve4 9 2 4" xfId="13422" xr:uid="{00000000-0005-0000-0000-000002340000}"/>
    <cellStyle name="20 % - Markeringsfarve4 9 2 4 2" xfId="29701" xr:uid="{00000000-0005-0000-0000-000003340000}"/>
    <cellStyle name="20 % - Markeringsfarve4 9 2 4 3" xfId="44662" xr:uid="{00000000-0005-0000-0000-000004340000}"/>
    <cellStyle name="20 % - Markeringsfarve4 9 2 5" xfId="22699" xr:uid="{00000000-0005-0000-0000-000005340000}"/>
    <cellStyle name="20 % - Markeringsfarve4 9 2 6" xfId="37665" xr:uid="{00000000-0005-0000-0000-000006340000}"/>
    <cellStyle name="20 % - Markeringsfarve4 9 3" xfId="4939" xr:uid="{00000000-0005-0000-0000-000007340000}"/>
    <cellStyle name="20 % - Markeringsfarve4 9 3 2" xfId="9590" xr:uid="{00000000-0005-0000-0000-000008340000}"/>
    <cellStyle name="20 % - Markeringsfarve4 9 3 2 2" xfId="17453" xr:uid="{00000000-0005-0000-0000-000009340000}"/>
    <cellStyle name="20 % - Markeringsfarve4 9 3 2 2 2" xfId="33729" xr:uid="{00000000-0005-0000-0000-00000A340000}"/>
    <cellStyle name="20 % - Markeringsfarve4 9 3 2 2 3" xfId="48688" xr:uid="{00000000-0005-0000-0000-00000B340000}"/>
    <cellStyle name="20 % - Markeringsfarve4 9 3 2 3" xfId="26727" xr:uid="{00000000-0005-0000-0000-00000C340000}"/>
    <cellStyle name="20 % - Markeringsfarve4 9 3 2 4" xfId="41691" xr:uid="{00000000-0005-0000-0000-00000D340000}"/>
    <cellStyle name="20 % - Markeringsfarve4 9 3 3" xfId="13424" xr:uid="{00000000-0005-0000-0000-00000E340000}"/>
    <cellStyle name="20 % - Markeringsfarve4 9 3 3 2" xfId="29703" xr:uid="{00000000-0005-0000-0000-00000F340000}"/>
    <cellStyle name="20 % - Markeringsfarve4 9 3 3 3" xfId="44664" xr:uid="{00000000-0005-0000-0000-000010340000}"/>
    <cellStyle name="20 % - Markeringsfarve4 9 3 4" xfId="22701" xr:uid="{00000000-0005-0000-0000-000011340000}"/>
    <cellStyle name="20 % - Markeringsfarve4 9 3 5" xfId="37667" xr:uid="{00000000-0005-0000-0000-000012340000}"/>
    <cellStyle name="20 % - Markeringsfarve4 9 4" xfId="4940" xr:uid="{00000000-0005-0000-0000-000013340000}"/>
    <cellStyle name="20 % - Markeringsfarve4 9 4 2" xfId="10709" xr:uid="{00000000-0005-0000-0000-000014340000}"/>
    <cellStyle name="20 % - Markeringsfarve4 9 4 2 2" xfId="18553" xr:uid="{00000000-0005-0000-0000-000015340000}"/>
    <cellStyle name="20 % - Markeringsfarve4 9 4 2 2 2" xfId="34829" xr:uid="{00000000-0005-0000-0000-000016340000}"/>
    <cellStyle name="20 % - Markeringsfarve4 9 4 2 2 3" xfId="49788" xr:uid="{00000000-0005-0000-0000-000017340000}"/>
    <cellStyle name="20 % - Markeringsfarve4 9 4 2 3" xfId="27827" xr:uid="{00000000-0005-0000-0000-000018340000}"/>
    <cellStyle name="20 % - Markeringsfarve4 9 4 2 4" xfId="42791" xr:uid="{00000000-0005-0000-0000-000019340000}"/>
    <cellStyle name="20 % - Markeringsfarve4 9 4 3" xfId="13425" xr:uid="{00000000-0005-0000-0000-00001A340000}"/>
    <cellStyle name="20 % - Markeringsfarve4 9 4 3 2" xfId="29704" xr:uid="{00000000-0005-0000-0000-00001B340000}"/>
    <cellStyle name="20 % - Markeringsfarve4 9 4 3 3" xfId="44665" xr:uid="{00000000-0005-0000-0000-00001C340000}"/>
    <cellStyle name="20 % - Markeringsfarve4 9 4 4" xfId="22702" xr:uid="{00000000-0005-0000-0000-00001D340000}"/>
    <cellStyle name="20 % - Markeringsfarve4 9 4 5" xfId="37668" xr:uid="{00000000-0005-0000-0000-00001E340000}"/>
    <cellStyle name="20 % - Markeringsfarve4 9 5" xfId="7845" xr:uid="{00000000-0005-0000-0000-00001F340000}"/>
    <cellStyle name="20 % - Markeringsfarve4 9 5 2" xfId="15710" xr:uid="{00000000-0005-0000-0000-000020340000}"/>
    <cellStyle name="20 % - Markeringsfarve4 9 5 2 2" xfId="31986" xr:uid="{00000000-0005-0000-0000-000021340000}"/>
    <cellStyle name="20 % - Markeringsfarve4 9 5 2 3" xfId="46945" xr:uid="{00000000-0005-0000-0000-000022340000}"/>
    <cellStyle name="20 % - Markeringsfarve4 9 5 3" xfId="24984" xr:uid="{00000000-0005-0000-0000-000023340000}"/>
    <cellStyle name="20 % - Markeringsfarve4 9 5 4" xfId="39948" xr:uid="{00000000-0005-0000-0000-000024340000}"/>
    <cellStyle name="20 % - Markeringsfarve4 9 6" xfId="13421" xr:uid="{00000000-0005-0000-0000-000025340000}"/>
    <cellStyle name="20 % - Markeringsfarve4 9 6 2" xfId="29700" xr:uid="{00000000-0005-0000-0000-000026340000}"/>
    <cellStyle name="20 % - Markeringsfarve4 9 6 3" xfId="44661" xr:uid="{00000000-0005-0000-0000-000027340000}"/>
    <cellStyle name="20 % - Markeringsfarve4 9 7" xfId="22698" xr:uid="{00000000-0005-0000-0000-000028340000}"/>
    <cellStyle name="20 % - Markeringsfarve4 9 8" xfId="37664" xr:uid="{00000000-0005-0000-0000-000029340000}"/>
    <cellStyle name="20 % - Markeringsfarve5 10" xfId="4941" xr:uid="{00000000-0005-0000-0000-00002A340000}"/>
    <cellStyle name="20 % - Markeringsfarve5 10 2" xfId="4942" xr:uid="{00000000-0005-0000-0000-00002B340000}"/>
    <cellStyle name="20 % - Markeringsfarve5 10 2 2" xfId="10321" xr:uid="{00000000-0005-0000-0000-00002C340000}"/>
    <cellStyle name="20 % - Markeringsfarve5 10 2 2 2" xfId="18176" xr:uid="{00000000-0005-0000-0000-00002D340000}"/>
    <cellStyle name="20 % - Markeringsfarve5 10 2 2 2 2" xfId="34452" xr:uid="{00000000-0005-0000-0000-00002E340000}"/>
    <cellStyle name="20 % - Markeringsfarve5 10 2 2 2 3" xfId="49411" xr:uid="{00000000-0005-0000-0000-00002F340000}"/>
    <cellStyle name="20 % - Markeringsfarve5 10 2 2 3" xfId="27450" xr:uid="{00000000-0005-0000-0000-000030340000}"/>
    <cellStyle name="20 % - Markeringsfarve5 10 2 2 4" xfId="42414" xr:uid="{00000000-0005-0000-0000-000031340000}"/>
    <cellStyle name="20 % - Markeringsfarve5 10 2 3" xfId="13427" xr:uid="{00000000-0005-0000-0000-000032340000}"/>
    <cellStyle name="20 % - Markeringsfarve5 10 2 3 2" xfId="29706" xr:uid="{00000000-0005-0000-0000-000033340000}"/>
    <cellStyle name="20 % - Markeringsfarve5 10 2 3 3" xfId="44667" xr:uid="{00000000-0005-0000-0000-000034340000}"/>
    <cellStyle name="20 % - Markeringsfarve5 10 2 4" xfId="22704" xr:uid="{00000000-0005-0000-0000-000035340000}"/>
    <cellStyle name="20 % - Markeringsfarve5 10 2 5" xfId="37670" xr:uid="{00000000-0005-0000-0000-000036340000}"/>
    <cellStyle name="20 % - Markeringsfarve5 10 3" xfId="4943" xr:uid="{00000000-0005-0000-0000-000037340000}"/>
    <cellStyle name="20 % - Markeringsfarve5 10 3 2" xfId="9599" xr:uid="{00000000-0005-0000-0000-000038340000}"/>
    <cellStyle name="20 % - Markeringsfarve5 10 3 2 2" xfId="17462" xr:uid="{00000000-0005-0000-0000-000039340000}"/>
    <cellStyle name="20 % - Markeringsfarve5 10 3 2 2 2" xfId="33738" xr:uid="{00000000-0005-0000-0000-00003A340000}"/>
    <cellStyle name="20 % - Markeringsfarve5 10 3 2 2 3" xfId="48697" xr:uid="{00000000-0005-0000-0000-00003B340000}"/>
    <cellStyle name="20 % - Markeringsfarve5 10 3 2 3" xfId="26736" xr:uid="{00000000-0005-0000-0000-00003C340000}"/>
    <cellStyle name="20 % - Markeringsfarve5 10 3 2 4" xfId="41700" xr:uid="{00000000-0005-0000-0000-00003D340000}"/>
    <cellStyle name="20 % - Markeringsfarve5 10 3 3" xfId="13428" xr:uid="{00000000-0005-0000-0000-00003E340000}"/>
    <cellStyle name="20 % - Markeringsfarve5 10 3 3 2" xfId="29707" xr:uid="{00000000-0005-0000-0000-00003F340000}"/>
    <cellStyle name="20 % - Markeringsfarve5 10 3 3 3" xfId="44668" xr:uid="{00000000-0005-0000-0000-000040340000}"/>
    <cellStyle name="20 % - Markeringsfarve5 10 3 4" xfId="22705" xr:uid="{00000000-0005-0000-0000-000041340000}"/>
    <cellStyle name="20 % - Markeringsfarve5 10 3 5" xfId="37671" xr:uid="{00000000-0005-0000-0000-000042340000}"/>
    <cellStyle name="20 % - Markeringsfarve5 10 4" xfId="7846" xr:uid="{00000000-0005-0000-0000-000043340000}"/>
    <cellStyle name="20 % - Markeringsfarve5 10 4 2" xfId="15711" xr:uid="{00000000-0005-0000-0000-000044340000}"/>
    <cellStyle name="20 % - Markeringsfarve5 10 4 2 2" xfId="31987" xr:uid="{00000000-0005-0000-0000-000045340000}"/>
    <cellStyle name="20 % - Markeringsfarve5 10 4 2 3" xfId="46946" xr:uid="{00000000-0005-0000-0000-000046340000}"/>
    <cellStyle name="20 % - Markeringsfarve5 10 4 3" xfId="24985" xr:uid="{00000000-0005-0000-0000-000047340000}"/>
    <cellStyle name="20 % - Markeringsfarve5 10 4 4" xfId="39949" xr:uid="{00000000-0005-0000-0000-000048340000}"/>
    <cellStyle name="20 % - Markeringsfarve5 10 5" xfId="13426" xr:uid="{00000000-0005-0000-0000-000049340000}"/>
    <cellStyle name="20 % - Markeringsfarve5 10 5 2" xfId="29705" xr:uid="{00000000-0005-0000-0000-00004A340000}"/>
    <cellStyle name="20 % - Markeringsfarve5 10 5 3" xfId="44666" xr:uid="{00000000-0005-0000-0000-00004B340000}"/>
    <cellStyle name="20 % - Markeringsfarve5 10 6" xfId="22703" xr:uid="{00000000-0005-0000-0000-00004C340000}"/>
    <cellStyle name="20 % - Markeringsfarve5 10 7" xfId="37669" xr:uid="{00000000-0005-0000-0000-00004D340000}"/>
    <cellStyle name="20 % - Markeringsfarve5 11" xfId="4944" xr:uid="{00000000-0005-0000-0000-00004E340000}"/>
    <cellStyle name="20 % - Markeringsfarve5 11 2" xfId="4945" xr:uid="{00000000-0005-0000-0000-00004F340000}"/>
    <cellStyle name="20 % - Markeringsfarve5 11 2 2" xfId="9702" xr:uid="{00000000-0005-0000-0000-000050340000}"/>
    <cellStyle name="20 % - Markeringsfarve5 11 2 2 2" xfId="17556" xr:uid="{00000000-0005-0000-0000-000051340000}"/>
    <cellStyle name="20 % - Markeringsfarve5 11 2 2 2 2" xfId="33832" xr:uid="{00000000-0005-0000-0000-000052340000}"/>
    <cellStyle name="20 % - Markeringsfarve5 11 2 2 2 3" xfId="48791" xr:uid="{00000000-0005-0000-0000-000053340000}"/>
    <cellStyle name="20 % - Markeringsfarve5 11 2 2 3" xfId="26830" xr:uid="{00000000-0005-0000-0000-000054340000}"/>
    <cellStyle name="20 % - Markeringsfarve5 11 2 2 4" xfId="41794" xr:uid="{00000000-0005-0000-0000-000055340000}"/>
    <cellStyle name="20 % - Markeringsfarve5 11 2 3" xfId="13430" xr:uid="{00000000-0005-0000-0000-000056340000}"/>
    <cellStyle name="20 % - Markeringsfarve5 11 2 3 2" xfId="29709" xr:uid="{00000000-0005-0000-0000-000057340000}"/>
    <cellStyle name="20 % - Markeringsfarve5 11 2 3 3" xfId="44670" xr:uid="{00000000-0005-0000-0000-000058340000}"/>
    <cellStyle name="20 % - Markeringsfarve5 11 2 4" xfId="22707" xr:uid="{00000000-0005-0000-0000-000059340000}"/>
    <cellStyle name="20 % - Markeringsfarve5 11 2 5" xfId="37673" xr:uid="{00000000-0005-0000-0000-00005A340000}"/>
    <cellStyle name="20 % - Markeringsfarve5 11 3" xfId="7847" xr:uid="{00000000-0005-0000-0000-00005B340000}"/>
    <cellStyle name="20 % - Markeringsfarve5 11 3 2" xfId="15712" xr:uid="{00000000-0005-0000-0000-00005C340000}"/>
    <cellStyle name="20 % - Markeringsfarve5 11 3 2 2" xfId="31988" xr:uid="{00000000-0005-0000-0000-00005D340000}"/>
    <cellStyle name="20 % - Markeringsfarve5 11 3 2 3" xfId="46947" xr:uid="{00000000-0005-0000-0000-00005E340000}"/>
    <cellStyle name="20 % - Markeringsfarve5 11 3 3" xfId="24986" xr:uid="{00000000-0005-0000-0000-00005F340000}"/>
    <cellStyle name="20 % - Markeringsfarve5 11 3 4" xfId="39950" xr:uid="{00000000-0005-0000-0000-000060340000}"/>
    <cellStyle name="20 % - Markeringsfarve5 11 4" xfId="13429" xr:uid="{00000000-0005-0000-0000-000061340000}"/>
    <cellStyle name="20 % - Markeringsfarve5 11 4 2" xfId="29708" xr:uid="{00000000-0005-0000-0000-000062340000}"/>
    <cellStyle name="20 % - Markeringsfarve5 11 4 3" xfId="44669" xr:uid="{00000000-0005-0000-0000-000063340000}"/>
    <cellStyle name="20 % - Markeringsfarve5 11 5" xfId="22706" xr:uid="{00000000-0005-0000-0000-000064340000}"/>
    <cellStyle name="20 % - Markeringsfarve5 11 6" xfId="37672" xr:uid="{00000000-0005-0000-0000-000065340000}"/>
    <cellStyle name="20 % - Markeringsfarve5 12" xfId="4946" xr:uid="{00000000-0005-0000-0000-000066340000}"/>
    <cellStyle name="20 % - Markeringsfarve5 12 2" xfId="8926" xr:uid="{00000000-0005-0000-0000-000067340000}"/>
    <cellStyle name="20 % - Markeringsfarve5 12 2 2" xfId="16792" xr:uid="{00000000-0005-0000-0000-000068340000}"/>
    <cellStyle name="20 % - Markeringsfarve5 12 2 2 2" xfId="33068" xr:uid="{00000000-0005-0000-0000-000069340000}"/>
    <cellStyle name="20 % - Markeringsfarve5 12 2 2 3" xfId="48027" xr:uid="{00000000-0005-0000-0000-00006A340000}"/>
    <cellStyle name="20 % - Markeringsfarve5 12 2 3" xfId="26066" xr:uid="{00000000-0005-0000-0000-00006B340000}"/>
    <cellStyle name="20 % - Markeringsfarve5 12 2 4" xfId="41030" xr:uid="{00000000-0005-0000-0000-00006C340000}"/>
    <cellStyle name="20 % - Markeringsfarve5 12 3" xfId="13431" xr:uid="{00000000-0005-0000-0000-00006D340000}"/>
    <cellStyle name="20 % - Markeringsfarve5 12 3 2" xfId="29710" xr:uid="{00000000-0005-0000-0000-00006E340000}"/>
    <cellStyle name="20 % - Markeringsfarve5 12 3 3" xfId="44671" xr:uid="{00000000-0005-0000-0000-00006F340000}"/>
    <cellStyle name="20 % - Markeringsfarve5 12 4" xfId="22708" xr:uid="{00000000-0005-0000-0000-000070340000}"/>
    <cellStyle name="20 % - Markeringsfarve5 12 5" xfId="37674" xr:uid="{00000000-0005-0000-0000-000071340000}"/>
    <cellStyle name="20 % - Markeringsfarve5 13" xfId="7611" xr:uid="{00000000-0005-0000-0000-000072340000}"/>
    <cellStyle name="20 % - Markeringsfarve5 13 2" xfId="15479" xr:uid="{00000000-0005-0000-0000-000073340000}"/>
    <cellStyle name="20 % - Markeringsfarve5 13 2 2" xfId="31755" xr:uid="{00000000-0005-0000-0000-000074340000}"/>
    <cellStyle name="20 % - Markeringsfarve5 13 2 3" xfId="46714" xr:uid="{00000000-0005-0000-0000-000075340000}"/>
    <cellStyle name="20 % - Markeringsfarve5 13 3" xfId="24753" xr:uid="{00000000-0005-0000-0000-000076340000}"/>
    <cellStyle name="20 % - Markeringsfarve5 13 4" xfId="39717" xr:uid="{00000000-0005-0000-0000-000077340000}"/>
    <cellStyle name="20 % - Markeringsfarve5 2" xfId="4947" xr:uid="{00000000-0005-0000-0000-000078340000}"/>
    <cellStyle name="20 % - Markeringsfarve5 2 10" xfId="4948" xr:uid="{00000000-0005-0000-0000-000079340000}"/>
    <cellStyle name="20 % - Markeringsfarve5 2 10 2" xfId="8956" xr:uid="{00000000-0005-0000-0000-00007A340000}"/>
    <cellStyle name="20 % - Markeringsfarve5 2 10 2 2" xfId="16820" xr:uid="{00000000-0005-0000-0000-00007B340000}"/>
    <cellStyle name="20 % - Markeringsfarve5 2 10 2 2 2" xfId="33096" xr:uid="{00000000-0005-0000-0000-00007C340000}"/>
    <cellStyle name="20 % - Markeringsfarve5 2 10 2 2 3" xfId="48055" xr:uid="{00000000-0005-0000-0000-00007D340000}"/>
    <cellStyle name="20 % - Markeringsfarve5 2 10 2 3" xfId="26094" xr:uid="{00000000-0005-0000-0000-00007E340000}"/>
    <cellStyle name="20 % - Markeringsfarve5 2 10 2 4" xfId="41058" xr:uid="{00000000-0005-0000-0000-00007F340000}"/>
    <cellStyle name="20 % - Markeringsfarve5 2 10 3" xfId="13433" xr:uid="{00000000-0005-0000-0000-000080340000}"/>
    <cellStyle name="20 % - Markeringsfarve5 2 10 3 2" xfId="29712" xr:uid="{00000000-0005-0000-0000-000081340000}"/>
    <cellStyle name="20 % - Markeringsfarve5 2 10 3 3" xfId="44673" xr:uid="{00000000-0005-0000-0000-000082340000}"/>
    <cellStyle name="20 % - Markeringsfarve5 2 10 4" xfId="22710" xr:uid="{00000000-0005-0000-0000-000083340000}"/>
    <cellStyle name="20 % - Markeringsfarve5 2 10 5" xfId="37676" xr:uid="{00000000-0005-0000-0000-000084340000}"/>
    <cellStyle name="20 % - Markeringsfarve5 2 11" xfId="7848" xr:uid="{00000000-0005-0000-0000-000085340000}"/>
    <cellStyle name="20 % - Markeringsfarve5 2 11 2" xfId="15713" xr:uid="{00000000-0005-0000-0000-000086340000}"/>
    <cellStyle name="20 % - Markeringsfarve5 2 11 2 2" xfId="31989" xr:uid="{00000000-0005-0000-0000-000087340000}"/>
    <cellStyle name="20 % - Markeringsfarve5 2 11 2 3" xfId="46948" xr:uid="{00000000-0005-0000-0000-000088340000}"/>
    <cellStyle name="20 % - Markeringsfarve5 2 11 3" xfId="24987" xr:uid="{00000000-0005-0000-0000-000089340000}"/>
    <cellStyle name="20 % - Markeringsfarve5 2 11 4" xfId="39951" xr:uid="{00000000-0005-0000-0000-00008A340000}"/>
    <cellStyle name="20 % - Markeringsfarve5 2 12" xfId="13432" xr:uid="{00000000-0005-0000-0000-00008B340000}"/>
    <cellStyle name="20 % - Markeringsfarve5 2 12 2" xfId="29711" xr:uid="{00000000-0005-0000-0000-00008C340000}"/>
    <cellStyle name="20 % - Markeringsfarve5 2 12 3" xfId="44672" xr:uid="{00000000-0005-0000-0000-00008D340000}"/>
    <cellStyle name="20 % - Markeringsfarve5 2 13" xfId="22709" xr:uid="{00000000-0005-0000-0000-00008E340000}"/>
    <cellStyle name="20 % - Markeringsfarve5 2 14" xfId="37675" xr:uid="{00000000-0005-0000-0000-00008F340000}"/>
    <cellStyle name="20 % - Markeringsfarve5 2 2" xfId="4949" xr:uid="{00000000-0005-0000-0000-000090340000}"/>
    <cellStyle name="20 % - Markeringsfarve5 2 2 10" xfId="13434" xr:uid="{00000000-0005-0000-0000-000091340000}"/>
    <cellStyle name="20 % - Markeringsfarve5 2 2 10 2" xfId="29713" xr:uid="{00000000-0005-0000-0000-000092340000}"/>
    <cellStyle name="20 % - Markeringsfarve5 2 2 10 3" xfId="44674" xr:uid="{00000000-0005-0000-0000-000093340000}"/>
    <cellStyle name="20 % - Markeringsfarve5 2 2 11" xfId="22711" xr:uid="{00000000-0005-0000-0000-000094340000}"/>
    <cellStyle name="20 % - Markeringsfarve5 2 2 12" xfId="37677" xr:uid="{00000000-0005-0000-0000-000095340000}"/>
    <cellStyle name="20 % - Markeringsfarve5 2 2 2" xfId="4950" xr:uid="{00000000-0005-0000-0000-000096340000}"/>
    <cellStyle name="20 % - Markeringsfarve5 2 2 2 2" xfId="4951" xr:uid="{00000000-0005-0000-0000-000097340000}"/>
    <cellStyle name="20 % - Markeringsfarve5 2 2 2 2 2" xfId="9886" xr:uid="{00000000-0005-0000-0000-000098340000}"/>
    <cellStyle name="20 % - Markeringsfarve5 2 2 2 2 2 2" xfId="17741" xr:uid="{00000000-0005-0000-0000-000099340000}"/>
    <cellStyle name="20 % - Markeringsfarve5 2 2 2 2 2 2 2" xfId="34017" xr:uid="{00000000-0005-0000-0000-00009A340000}"/>
    <cellStyle name="20 % - Markeringsfarve5 2 2 2 2 2 2 3" xfId="48976" xr:uid="{00000000-0005-0000-0000-00009B340000}"/>
    <cellStyle name="20 % - Markeringsfarve5 2 2 2 2 2 3" xfId="27015" xr:uid="{00000000-0005-0000-0000-00009C340000}"/>
    <cellStyle name="20 % - Markeringsfarve5 2 2 2 2 2 4" xfId="41979" xr:uid="{00000000-0005-0000-0000-00009D340000}"/>
    <cellStyle name="20 % - Markeringsfarve5 2 2 2 2 3" xfId="13436" xr:uid="{00000000-0005-0000-0000-00009E340000}"/>
    <cellStyle name="20 % - Markeringsfarve5 2 2 2 2 3 2" xfId="29715" xr:uid="{00000000-0005-0000-0000-00009F340000}"/>
    <cellStyle name="20 % - Markeringsfarve5 2 2 2 2 3 3" xfId="44676" xr:uid="{00000000-0005-0000-0000-0000A0340000}"/>
    <cellStyle name="20 % - Markeringsfarve5 2 2 2 2 4" xfId="22713" xr:uid="{00000000-0005-0000-0000-0000A1340000}"/>
    <cellStyle name="20 % - Markeringsfarve5 2 2 2 2 5" xfId="37679" xr:uid="{00000000-0005-0000-0000-0000A2340000}"/>
    <cellStyle name="20 % - Markeringsfarve5 2 2 2 3" xfId="4952" xr:uid="{00000000-0005-0000-0000-0000A3340000}"/>
    <cellStyle name="20 % - Markeringsfarve5 2 2 2 3 2" xfId="9117" xr:uid="{00000000-0005-0000-0000-0000A4340000}"/>
    <cellStyle name="20 % - Markeringsfarve5 2 2 2 3 2 2" xfId="16981" xr:uid="{00000000-0005-0000-0000-0000A5340000}"/>
    <cellStyle name="20 % - Markeringsfarve5 2 2 2 3 2 2 2" xfId="33257" xr:uid="{00000000-0005-0000-0000-0000A6340000}"/>
    <cellStyle name="20 % - Markeringsfarve5 2 2 2 3 2 2 3" xfId="48216" xr:uid="{00000000-0005-0000-0000-0000A7340000}"/>
    <cellStyle name="20 % - Markeringsfarve5 2 2 2 3 2 3" xfId="26255" xr:uid="{00000000-0005-0000-0000-0000A8340000}"/>
    <cellStyle name="20 % - Markeringsfarve5 2 2 2 3 2 4" xfId="41219" xr:uid="{00000000-0005-0000-0000-0000A9340000}"/>
    <cellStyle name="20 % - Markeringsfarve5 2 2 2 3 3" xfId="13437" xr:uid="{00000000-0005-0000-0000-0000AA340000}"/>
    <cellStyle name="20 % - Markeringsfarve5 2 2 2 3 3 2" xfId="29716" xr:uid="{00000000-0005-0000-0000-0000AB340000}"/>
    <cellStyle name="20 % - Markeringsfarve5 2 2 2 3 3 3" xfId="44677" xr:uid="{00000000-0005-0000-0000-0000AC340000}"/>
    <cellStyle name="20 % - Markeringsfarve5 2 2 2 3 4" xfId="22714" xr:uid="{00000000-0005-0000-0000-0000AD340000}"/>
    <cellStyle name="20 % - Markeringsfarve5 2 2 2 3 5" xfId="37680" xr:uid="{00000000-0005-0000-0000-0000AE340000}"/>
    <cellStyle name="20 % - Markeringsfarve5 2 2 2 4" xfId="7850" xr:uid="{00000000-0005-0000-0000-0000AF340000}"/>
    <cellStyle name="20 % - Markeringsfarve5 2 2 2 4 2" xfId="15715" xr:uid="{00000000-0005-0000-0000-0000B0340000}"/>
    <cellStyle name="20 % - Markeringsfarve5 2 2 2 4 2 2" xfId="31991" xr:uid="{00000000-0005-0000-0000-0000B1340000}"/>
    <cellStyle name="20 % - Markeringsfarve5 2 2 2 4 2 3" xfId="46950" xr:uid="{00000000-0005-0000-0000-0000B2340000}"/>
    <cellStyle name="20 % - Markeringsfarve5 2 2 2 4 3" xfId="24989" xr:uid="{00000000-0005-0000-0000-0000B3340000}"/>
    <cellStyle name="20 % - Markeringsfarve5 2 2 2 4 4" xfId="39953" xr:uid="{00000000-0005-0000-0000-0000B4340000}"/>
    <cellStyle name="20 % - Markeringsfarve5 2 2 2 5" xfId="13435" xr:uid="{00000000-0005-0000-0000-0000B5340000}"/>
    <cellStyle name="20 % - Markeringsfarve5 2 2 2 5 2" xfId="29714" xr:uid="{00000000-0005-0000-0000-0000B6340000}"/>
    <cellStyle name="20 % - Markeringsfarve5 2 2 2 5 3" xfId="44675" xr:uid="{00000000-0005-0000-0000-0000B7340000}"/>
    <cellStyle name="20 % - Markeringsfarve5 2 2 2 6" xfId="22712" xr:uid="{00000000-0005-0000-0000-0000B8340000}"/>
    <cellStyle name="20 % - Markeringsfarve5 2 2 2 7" xfId="37678" xr:uid="{00000000-0005-0000-0000-0000B9340000}"/>
    <cellStyle name="20 % - Markeringsfarve5 2 2 3" xfId="4953" xr:uid="{00000000-0005-0000-0000-0000BA340000}"/>
    <cellStyle name="20 % - Markeringsfarve5 2 2 3 2" xfId="4954" xr:uid="{00000000-0005-0000-0000-0000BB340000}"/>
    <cellStyle name="20 % - Markeringsfarve5 2 2 3 2 2" xfId="9969" xr:uid="{00000000-0005-0000-0000-0000BC340000}"/>
    <cellStyle name="20 % - Markeringsfarve5 2 2 3 2 2 2" xfId="17824" xr:uid="{00000000-0005-0000-0000-0000BD340000}"/>
    <cellStyle name="20 % - Markeringsfarve5 2 2 3 2 2 2 2" xfId="34100" xr:uid="{00000000-0005-0000-0000-0000BE340000}"/>
    <cellStyle name="20 % - Markeringsfarve5 2 2 3 2 2 2 3" xfId="49059" xr:uid="{00000000-0005-0000-0000-0000BF340000}"/>
    <cellStyle name="20 % - Markeringsfarve5 2 2 3 2 2 3" xfId="27098" xr:uid="{00000000-0005-0000-0000-0000C0340000}"/>
    <cellStyle name="20 % - Markeringsfarve5 2 2 3 2 2 4" xfId="42062" xr:uid="{00000000-0005-0000-0000-0000C1340000}"/>
    <cellStyle name="20 % - Markeringsfarve5 2 2 3 2 3" xfId="13439" xr:uid="{00000000-0005-0000-0000-0000C2340000}"/>
    <cellStyle name="20 % - Markeringsfarve5 2 2 3 2 3 2" xfId="29718" xr:uid="{00000000-0005-0000-0000-0000C3340000}"/>
    <cellStyle name="20 % - Markeringsfarve5 2 2 3 2 3 3" xfId="44679" xr:uid="{00000000-0005-0000-0000-0000C4340000}"/>
    <cellStyle name="20 % - Markeringsfarve5 2 2 3 2 4" xfId="22716" xr:uid="{00000000-0005-0000-0000-0000C5340000}"/>
    <cellStyle name="20 % - Markeringsfarve5 2 2 3 2 5" xfId="37682" xr:uid="{00000000-0005-0000-0000-0000C6340000}"/>
    <cellStyle name="20 % - Markeringsfarve5 2 2 3 3" xfId="4955" xr:uid="{00000000-0005-0000-0000-0000C7340000}"/>
    <cellStyle name="20 % - Markeringsfarve5 2 2 3 3 2" xfId="9200" xr:uid="{00000000-0005-0000-0000-0000C8340000}"/>
    <cellStyle name="20 % - Markeringsfarve5 2 2 3 3 2 2" xfId="17064" xr:uid="{00000000-0005-0000-0000-0000C9340000}"/>
    <cellStyle name="20 % - Markeringsfarve5 2 2 3 3 2 2 2" xfId="33340" xr:uid="{00000000-0005-0000-0000-0000CA340000}"/>
    <cellStyle name="20 % - Markeringsfarve5 2 2 3 3 2 2 3" xfId="48299" xr:uid="{00000000-0005-0000-0000-0000CB340000}"/>
    <cellStyle name="20 % - Markeringsfarve5 2 2 3 3 2 3" xfId="26338" xr:uid="{00000000-0005-0000-0000-0000CC340000}"/>
    <cellStyle name="20 % - Markeringsfarve5 2 2 3 3 2 4" xfId="41302" xr:uid="{00000000-0005-0000-0000-0000CD340000}"/>
    <cellStyle name="20 % - Markeringsfarve5 2 2 3 3 3" xfId="13440" xr:uid="{00000000-0005-0000-0000-0000CE340000}"/>
    <cellStyle name="20 % - Markeringsfarve5 2 2 3 3 3 2" xfId="29719" xr:uid="{00000000-0005-0000-0000-0000CF340000}"/>
    <cellStyle name="20 % - Markeringsfarve5 2 2 3 3 3 3" xfId="44680" xr:uid="{00000000-0005-0000-0000-0000D0340000}"/>
    <cellStyle name="20 % - Markeringsfarve5 2 2 3 3 4" xfId="22717" xr:uid="{00000000-0005-0000-0000-0000D1340000}"/>
    <cellStyle name="20 % - Markeringsfarve5 2 2 3 3 5" xfId="37683" xr:uid="{00000000-0005-0000-0000-0000D2340000}"/>
    <cellStyle name="20 % - Markeringsfarve5 2 2 3 4" xfId="7851" xr:uid="{00000000-0005-0000-0000-0000D3340000}"/>
    <cellStyle name="20 % - Markeringsfarve5 2 2 3 4 2" xfId="15716" xr:uid="{00000000-0005-0000-0000-0000D4340000}"/>
    <cellStyle name="20 % - Markeringsfarve5 2 2 3 4 2 2" xfId="31992" xr:uid="{00000000-0005-0000-0000-0000D5340000}"/>
    <cellStyle name="20 % - Markeringsfarve5 2 2 3 4 2 3" xfId="46951" xr:uid="{00000000-0005-0000-0000-0000D6340000}"/>
    <cellStyle name="20 % - Markeringsfarve5 2 2 3 4 3" xfId="24990" xr:uid="{00000000-0005-0000-0000-0000D7340000}"/>
    <cellStyle name="20 % - Markeringsfarve5 2 2 3 4 4" xfId="39954" xr:uid="{00000000-0005-0000-0000-0000D8340000}"/>
    <cellStyle name="20 % - Markeringsfarve5 2 2 3 5" xfId="13438" xr:uid="{00000000-0005-0000-0000-0000D9340000}"/>
    <cellStyle name="20 % - Markeringsfarve5 2 2 3 5 2" xfId="29717" xr:uid="{00000000-0005-0000-0000-0000DA340000}"/>
    <cellStyle name="20 % - Markeringsfarve5 2 2 3 5 3" xfId="44678" xr:uid="{00000000-0005-0000-0000-0000DB340000}"/>
    <cellStyle name="20 % - Markeringsfarve5 2 2 3 6" xfId="22715" xr:uid="{00000000-0005-0000-0000-0000DC340000}"/>
    <cellStyle name="20 % - Markeringsfarve5 2 2 3 7" xfId="37681" xr:uid="{00000000-0005-0000-0000-0000DD340000}"/>
    <cellStyle name="20 % - Markeringsfarve5 2 2 4" xfId="4956" xr:uid="{00000000-0005-0000-0000-0000DE340000}"/>
    <cellStyle name="20 % - Markeringsfarve5 2 2 4 2" xfId="4957" xr:uid="{00000000-0005-0000-0000-0000DF340000}"/>
    <cellStyle name="20 % - Markeringsfarve5 2 2 4 2 2" xfId="10124" xr:uid="{00000000-0005-0000-0000-0000E0340000}"/>
    <cellStyle name="20 % - Markeringsfarve5 2 2 4 2 2 2" xfId="17979" xr:uid="{00000000-0005-0000-0000-0000E1340000}"/>
    <cellStyle name="20 % - Markeringsfarve5 2 2 4 2 2 2 2" xfId="34255" xr:uid="{00000000-0005-0000-0000-0000E2340000}"/>
    <cellStyle name="20 % - Markeringsfarve5 2 2 4 2 2 2 3" xfId="49214" xr:uid="{00000000-0005-0000-0000-0000E3340000}"/>
    <cellStyle name="20 % - Markeringsfarve5 2 2 4 2 2 3" xfId="27253" xr:uid="{00000000-0005-0000-0000-0000E4340000}"/>
    <cellStyle name="20 % - Markeringsfarve5 2 2 4 2 2 4" xfId="42217" xr:uid="{00000000-0005-0000-0000-0000E5340000}"/>
    <cellStyle name="20 % - Markeringsfarve5 2 2 4 2 3" xfId="13442" xr:uid="{00000000-0005-0000-0000-0000E6340000}"/>
    <cellStyle name="20 % - Markeringsfarve5 2 2 4 2 3 2" xfId="29721" xr:uid="{00000000-0005-0000-0000-0000E7340000}"/>
    <cellStyle name="20 % - Markeringsfarve5 2 2 4 2 3 3" xfId="44682" xr:uid="{00000000-0005-0000-0000-0000E8340000}"/>
    <cellStyle name="20 % - Markeringsfarve5 2 2 4 2 4" xfId="22719" xr:uid="{00000000-0005-0000-0000-0000E9340000}"/>
    <cellStyle name="20 % - Markeringsfarve5 2 2 4 2 5" xfId="37685" xr:uid="{00000000-0005-0000-0000-0000EA340000}"/>
    <cellStyle name="20 % - Markeringsfarve5 2 2 4 3" xfId="4958" xr:uid="{00000000-0005-0000-0000-0000EB340000}"/>
    <cellStyle name="20 % - Markeringsfarve5 2 2 4 3 2" xfId="9401" xr:uid="{00000000-0005-0000-0000-0000EC340000}"/>
    <cellStyle name="20 % - Markeringsfarve5 2 2 4 3 2 2" xfId="17264" xr:uid="{00000000-0005-0000-0000-0000ED340000}"/>
    <cellStyle name="20 % - Markeringsfarve5 2 2 4 3 2 2 2" xfId="33540" xr:uid="{00000000-0005-0000-0000-0000EE340000}"/>
    <cellStyle name="20 % - Markeringsfarve5 2 2 4 3 2 2 3" xfId="48499" xr:uid="{00000000-0005-0000-0000-0000EF340000}"/>
    <cellStyle name="20 % - Markeringsfarve5 2 2 4 3 2 3" xfId="26538" xr:uid="{00000000-0005-0000-0000-0000F0340000}"/>
    <cellStyle name="20 % - Markeringsfarve5 2 2 4 3 2 4" xfId="41502" xr:uid="{00000000-0005-0000-0000-0000F1340000}"/>
    <cellStyle name="20 % - Markeringsfarve5 2 2 4 3 3" xfId="13443" xr:uid="{00000000-0005-0000-0000-0000F2340000}"/>
    <cellStyle name="20 % - Markeringsfarve5 2 2 4 3 3 2" xfId="29722" xr:uid="{00000000-0005-0000-0000-0000F3340000}"/>
    <cellStyle name="20 % - Markeringsfarve5 2 2 4 3 3 3" xfId="44683" xr:uid="{00000000-0005-0000-0000-0000F4340000}"/>
    <cellStyle name="20 % - Markeringsfarve5 2 2 4 3 4" xfId="22720" xr:uid="{00000000-0005-0000-0000-0000F5340000}"/>
    <cellStyle name="20 % - Markeringsfarve5 2 2 4 3 5" xfId="37686" xr:uid="{00000000-0005-0000-0000-0000F6340000}"/>
    <cellStyle name="20 % - Markeringsfarve5 2 2 4 4" xfId="7852" xr:uid="{00000000-0005-0000-0000-0000F7340000}"/>
    <cellStyle name="20 % - Markeringsfarve5 2 2 4 4 2" xfId="15717" xr:uid="{00000000-0005-0000-0000-0000F8340000}"/>
    <cellStyle name="20 % - Markeringsfarve5 2 2 4 4 2 2" xfId="31993" xr:uid="{00000000-0005-0000-0000-0000F9340000}"/>
    <cellStyle name="20 % - Markeringsfarve5 2 2 4 4 2 3" xfId="46952" xr:uid="{00000000-0005-0000-0000-0000FA340000}"/>
    <cellStyle name="20 % - Markeringsfarve5 2 2 4 4 3" xfId="24991" xr:uid="{00000000-0005-0000-0000-0000FB340000}"/>
    <cellStyle name="20 % - Markeringsfarve5 2 2 4 4 4" xfId="39955" xr:uid="{00000000-0005-0000-0000-0000FC340000}"/>
    <cellStyle name="20 % - Markeringsfarve5 2 2 4 5" xfId="13441" xr:uid="{00000000-0005-0000-0000-0000FD340000}"/>
    <cellStyle name="20 % - Markeringsfarve5 2 2 4 5 2" xfId="29720" xr:uid="{00000000-0005-0000-0000-0000FE340000}"/>
    <cellStyle name="20 % - Markeringsfarve5 2 2 4 5 3" xfId="44681" xr:uid="{00000000-0005-0000-0000-0000FF340000}"/>
    <cellStyle name="20 % - Markeringsfarve5 2 2 4 6" xfId="22718" xr:uid="{00000000-0005-0000-0000-000000350000}"/>
    <cellStyle name="20 % - Markeringsfarve5 2 2 4 7" xfId="37684" xr:uid="{00000000-0005-0000-0000-000001350000}"/>
    <cellStyle name="20 % - Markeringsfarve5 2 2 5" xfId="4959" xr:uid="{00000000-0005-0000-0000-000002350000}"/>
    <cellStyle name="20 % - Markeringsfarve5 2 2 5 2" xfId="4960" xr:uid="{00000000-0005-0000-0000-000003350000}"/>
    <cellStyle name="20 % - Markeringsfarve5 2 2 5 2 2" xfId="10241" xr:uid="{00000000-0005-0000-0000-000004350000}"/>
    <cellStyle name="20 % - Markeringsfarve5 2 2 5 2 2 2" xfId="18096" xr:uid="{00000000-0005-0000-0000-000005350000}"/>
    <cellStyle name="20 % - Markeringsfarve5 2 2 5 2 2 2 2" xfId="34372" xr:uid="{00000000-0005-0000-0000-000006350000}"/>
    <cellStyle name="20 % - Markeringsfarve5 2 2 5 2 2 2 3" xfId="49331" xr:uid="{00000000-0005-0000-0000-000007350000}"/>
    <cellStyle name="20 % - Markeringsfarve5 2 2 5 2 2 3" xfId="27370" xr:uid="{00000000-0005-0000-0000-000008350000}"/>
    <cellStyle name="20 % - Markeringsfarve5 2 2 5 2 2 4" xfId="42334" xr:uid="{00000000-0005-0000-0000-000009350000}"/>
    <cellStyle name="20 % - Markeringsfarve5 2 2 5 2 3" xfId="13445" xr:uid="{00000000-0005-0000-0000-00000A350000}"/>
    <cellStyle name="20 % - Markeringsfarve5 2 2 5 2 3 2" xfId="29724" xr:uid="{00000000-0005-0000-0000-00000B350000}"/>
    <cellStyle name="20 % - Markeringsfarve5 2 2 5 2 3 3" xfId="44685" xr:uid="{00000000-0005-0000-0000-00000C350000}"/>
    <cellStyle name="20 % - Markeringsfarve5 2 2 5 2 4" xfId="22722" xr:uid="{00000000-0005-0000-0000-00000D350000}"/>
    <cellStyle name="20 % - Markeringsfarve5 2 2 5 2 5" xfId="37688" xr:uid="{00000000-0005-0000-0000-00000E350000}"/>
    <cellStyle name="20 % - Markeringsfarve5 2 2 5 3" xfId="4961" xr:uid="{00000000-0005-0000-0000-00000F350000}"/>
    <cellStyle name="20 % - Markeringsfarve5 2 2 5 3 2" xfId="9518" xr:uid="{00000000-0005-0000-0000-000010350000}"/>
    <cellStyle name="20 % - Markeringsfarve5 2 2 5 3 2 2" xfId="17381" xr:uid="{00000000-0005-0000-0000-000011350000}"/>
    <cellStyle name="20 % - Markeringsfarve5 2 2 5 3 2 2 2" xfId="33657" xr:uid="{00000000-0005-0000-0000-000012350000}"/>
    <cellStyle name="20 % - Markeringsfarve5 2 2 5 3 2 2 3" xfId="48616" xr:uid="{00000000-0005-0000-0000-000013350000}"/>
    <cellStyle name="20 % - Markeringsfarve5 2 2 5 3 2 3" xfId="26655" xr:uid="{00000000-0005-0000-0000-000014350000}"/>
    <cellStyle name="20 % - Markeringsfarve5 2 2 5 3 2 4" xfId="41619" xr:uid="{00000000-0005-0000-0000-000015350000}"/>
    <cellStyle name="20 % - Markeringsfarve5 2 2 5 3 3" xfId="13446" xr:uid="{00000000-0005-0000-0000-000016350000}"/>
    <cellStyle name="20 % - Markeringsfarve5 2 2 5 3 3 2" xfId="29725" xr:uid="{00000000-0005-0000-0000-000017350000}"/>
    <cellStyle name="20 % - Markeringsfarve5 2 2 5 3 3 3" xfId="44686" xr:uid="{00000000-0005-0000-0000-000018350000}"/>
    <cellStyle name="20 % - Markeringsfarve5 2 2 5 3 4" xfId="22723" xr:uid="{00000000-0005-0000-0000-000019350000}"/>
    <cellStyle name="20 % - Markeringsfarve5 2 2 5 3 5" xfId="37689" xr:uid="{00000000-0005-0000-0000-00001A350000}"/>
    <cellStyle name="20 % - Markeringsfarve5 2 2 5 4" xfId="7853" xr:uid="{00000000-0005-0000-0000-00001B350000}"/>
    <cellStyle name="20 % - Markeringsfarve5 2 2 5 4 2" xfId="15718" xr:uid="{00000000-0005-0000-0000-00001C350000}"/>
    <cellStyle name="20 % - Markeringsfarve5 2 2 5 4 2 2" xfId="31994" xr:uid="{00000000-0005-0000-0000-00001D350000}"/>
    <cellStyle name="20 % - Markeringsfarve5 2 2 5 4 2 3" xfId="46953" xr:uid="{00000000-0005-0000-0000-00001E350000}"/>
    <cellStyle name="20 % - Markeringsfarve5 2 2 5 4 3" xfId="24992" xr:uid="{00000000-0005-0000-0000-00001F350000}"/>
    <cellStyle name="20 % - Markeringsfarve5 2 2 5 4 4" xfId="39956" xr:uid="{00000000-0005-0000-0000-000020350000}"/>
    <cellStyle name="20 % - Markeringsfarve5 2 2 5 5" xfId="13444" xr:uid="{00000000-0005-0000-0000-000021350000}"/>
    <cellStyle name="20 % - Markeringsfarve5 2 2 5 5 2" xfId="29723" xr:uid="{00000000-0005-0000-0000-000022350000}"/>
    <cellStyle name="20 % - Markeringsfarve5 2 2 5 5 3" xfId="44684" xr:uid="{00000000-0005-0000-0000-000023350000}"/>
    <cellStyle name="20 % - Markeringsfarve5 2 2 5 6" xfId="22721" xr:uid="{00000000-0005-0000-0000-000024350000}"/>
    <cellStyle name="20 % - Markeringsfarve5 2 2 5 7" xfId="37687" xr:uid="{00000000-0005-0000-0000-000025350000}"/>
    <cellStyle name="20 % - Markeringsfarve5 2 2 6" xfId="4962" xr:uid="{00000000-0005-0000-0000-000026350000}"/>
    <cellStyle name="20 % - Markeringsfarve5 2 2 6 2" xfId="4963" xr:uid="{00000000-0005-0000-0000-000027350000}"/>
    <cellStyle name="20 % - Markeringsfarve5 2 2 6 2 2" xfId="10323" xr:uid="{00000000-0005-0000-0000-000028350000}"/>
    <cellStyle name="20 % - Markeringsfarve5 2 2 6 2 2 2" xfId="18178" xr:uid="{00000000-0005-0000-0000-000029350000}"/>
    <cellStyle name="20 % - Markeringsfarve5 2 2 6 2 2 2 2" xfId="34454" xr:uid="{00000000-0005-0000-0000-00002A350000}"/>
    <cellStyle name="20 % - Markeringsfarve5 2 2 6 2 2 2 3" xfId="49413" xr:uid="{00000000-0005-0000-0000-00002B350000}"/>
    <cellStyle name="20 % - Markeringsfarve5 2 2 6 2 2 3" xfId="27452" xr:uid="{00000000-0005-0000-0000-00002C350000}"/>
    <cellStyle name="20 % - Markeringsfarve5 2 2 6 2 2 4" xfId="42416" xr:uid="{00000000-0005-0000-0000-00002D350000}"/>
    <cellStyle name="20 % - Markeringsfarve5 2 2 6 2 3" xfId="13448" xr:uid="{00000000-0005-0000-0000-00002E350000}"/>
    <cellStyle name="20 % - Markeringsfarve5 2 2 6 2 3 2" xfId="29727" xr:uid="{00000000-0005-0000-0000-00002F350000}"/>
    <cellStyle name="20 % - Markeringsfarve5 2 2 6 2 3 3" xfId="44688" xr:uid="{00000000-0005-0000-0000-000030350000}"/>
    <cellStyle name="20 % - Markeringsfarve5 2 2 6 2 4" xfId="22725" xr:uid="{00000000-0005-0000-0000-000031350000}"/>
    <cellStyle name="20 % - Markeringsfarve5 2 2 6 2 5" xfId="37691" xr:uid="{00000000-0005-0000-0000-000032350000}"/>
    <cellStyle name="20 % - Markeringsfarve5 2 2 6 3" xfId="4964" xr:uid="{00000000-0005-0000-0000-000033350000}"/>
    <cellStyle name="20 % - Markeringsfarve5 2 2 6 3 2" xfId="9601" xr:uid="{00000000-0005-0000-0000-000034350000}"/>
    <cellStyle name="20 % - Markeringsfarve5 2 2 6 3 2 2" xfId="17464" xr:uid="{00000000-0005-0000-0000-000035350000}"/>
    <cellStyle name="20 % - Markeringsfarve5 2 2 6 3 2 2 2" xfId="33740" xr:uid="{00000000-0005-0000-0000-000036350000}"/>
    <cellStyle name="20 % - Markeringsfarve5 2 2 6 3 2 2 3" xfId="48699" xr:uid="{00000000-0005-0000-0000-000037350000}"/>
    <cellStyle name="20 % - Markeringsfarve5 2 2 6 3 2 3" xfId="26738" xr:uid="{00000000-0005-0000-0000-000038350000}"/>
    <cellStyle name="20 % - Markeringsfarve5 2 2 6 3 2 4" xfId="41702" xr:uid="{00000000-0005-0000-0000-000039350000}"/>
    <cellStyle name="20 % - Markeringsfarve5 2 2 6 3 3" xfId="13449" xr:uid="{00000000-0005-0000-0000-00003A350000}"/>
    <cellStyle name="20 % - Markeringsfarve5 2 2 6 3 3 2" xfId="29728" xr:uid="{00000000-0005-0000-0000-00003B350000}"/>
    <cellStyle name="20 % - Markeringsfarve5 2 2 6 3 3 3" xfId="44689" xr:uid="{00000000-0005-0000-0000-00003C350000}"/>
    <cellStyle name="20 % - Markeringsfarve5 2 2 6 3 4" xfId="22726" xr:uid="{00000000-0005-0000-0000-00003D350000}"/>
    <cellStyle name="20 % - Markeringsfarve5 2 2 6 3 5" xfId="37692" xr:uid="{00000000-0005-0000-0000-00003E350000}"/>
    <cellStyle name="20 % - Markeringsfarve5 2 2 6 4" xfId="7854" xr:uid="{00000000-0005-0000-0000-00003F350000}"/>
    <cellStyle name="20 % - Markeringsfarve5 2 2 6 4 2" xfId="15719" xr:uid="{00000000-0005-0000-0000-000040350000}"/>
    <cellStyle name="20 % - Markeringsfarve5 2 2 6 4 2 2" xfId="31995" xr:uid="{00000000-0005-0000-0000-000041350000}"/>
    <cellStyle name="20 % - Markeringsfarve5 2 2 6 4 2 3" xfId="46954" xr:uid="{00000000-0005-0000-0000-000042350000}"/>
    <cellStyle name="20 % - Markeringsfarve5 2 2 6 4 3" xfId="24993" xr:uid="{00000000-0005-0000-0000-000043350000}"/>
    <cellStyle name="20 % - Markeringsfarve5 2 2 6 4 4" xfId="39957" xr:uid="{00000000-0005-0000-0000-000044350000}"/>
    <cellStyle name="20 % - Markeringsfarve5 2 2 6 5" xfId="13447" xr:uid="{00000000-0005-0000-0000-000045350000}"/>
    <cellStyle name="20 % - Markeringsfarve5 2 2 6 5 2" xfId="29726" xr:uid="{00000000-0005-0000-0000-000046350000}"/>
    <cellStyle name="20 % - Markeringsfarve5 2 2 6 5 3" xfId="44687" xr:uid="{00000000-0005-0000-0000-000047350000}"/>
    <cellStyle name="20 % - Markeringsfarve5 2 2 6 6" xfId="22724" xr:uid="{00000000-0005-0000-0000-000048350000}"/>
    <cellStyle name="20 % - Markeringsfarve5 2 2 6 7" xfId="37690" xr:uid="{00000000-0005-0000-0000-000049350000}"/>
    <cellStyle name="20 % - Markeringsfarve5 2 2 7" xfId="4965" xr:uid="{00000000-0005-0000-0000-00004A350000}"/>
    <cellStyle name="20 % - Markeringsfarve5 2 2 7 2" xfId="9768" xr:uid="{00000000-0005-0000-0000-00004B350000}"/>
    <cellStyle name="20 % - Markeringsfarve5 2 2 7 2 2" xfId="17622" xr:uid="{00000000-0005-0000-0000-00004C350000}"/>
    <cellStyle name="20 % - Markeringsfarve5 2 2 7 2 2 2" xfId="33898" xr:uid="{00000000-0005-0000-0000-00004D350000}"/>
    <cellStyle name="20 % - Markeringsfarve5 2 2 7 2 2 3" xfId="48857" xr:uid="{00000000-0005-0000-0000-00004E350000}"/>
    <cellStyle name="20 % - Markeringsfarve5 2 2 7 2 3" xfId="26896" xr:uid="{00000000-0005-0000-0000-00004F350000}"/>
    <cellStyle name="20 % - Markeringsfarve5 2 2 7 2 4" xfId="41860" xr:uid="{00000000-0005-0000-0000-000050350000}"/>
    <cellStyle name="20 % - Markeringsfarve5 2 2 7 3" xfId="13450" xr:uid="{00000000-0005-0000-0000-000051350000}"/>
    <cellStyle name="20 % - Markeringsfarve5 2 2 7 3 2" xfId="29729" xr:uid="{00000000-0005-0000-0000-000052350000}"/>
    <cellStyle name="20 % - Markeringsfarve5 2 2 7 3 3" xfId="44690" xr:uid="{00000000-0005-0000-0000-000053350000}"/>
    <cellStyle name="20 % - Markeringsfarve5 2 2 7 4" xfId="22727" xr:uid="{00000000-0005-0000-0000-000054350000}"/>
    <cellStyle name="20 % - Markeringsfarve5 2 2 7 5" xfId="37693" xr:uid="{00000000-0005-0000-0000-000055350000}"/>
    <cellStyle name="20 % - Markeringsfarve5 2 2 8" xfId="4966" xr:uid="{00000000-0005-0000-0000-000056350000}"/>
    <cellStyle name="20 % - Markeringsfarve5 2 2 8 2" xfId="8996" xr:uid="{00000000-0005-0000-0000-000057350000}"/>
    <cellStyle name="20 % - Markeringsfarve5 2 2 8 2 2" xfId="16860" xr:uid="{00000000-0005-0000-0000-000058350000}"/>
    <cellStyle name="20 % - Markeringsfarve5 2 2 8 2 2 2" xfId="33136" xr:uid="{00000000-0005-0000-0000-000059350000}"/>
    <cellStyle name="20 % - Markeringsfarve5 2 2 8 2 2 3" xfId="48095" xr:uid="{00000000-0005-0000-0000-00005A350000}"/>
    <cellStyle name="20 % - Markeringsfarve5 2 2 8 2 3" xfId="26134" xr:uid="{00000000-0005-0000-0000-00005B350000}"/>
    <cellStyle name="20 % - Markeringsfarve5 2 2 8 2 4" xfId="41098" xr:uid="{00000000-0005-0000-0000-00005C350000}"/>
    <cellStyle name="20 % - Markeringsfarve5 2 2 8 3" xfId="13451" xr:uid="{00000000-0005-0000-0000-00005D350000}"/>
    <cellStyle name="20 % - Markeringsfarve5 2 2 8 3 2" xfId="29730" xr:uid="{00000000-0005-0000-0000-00005E350000}"/>
    <cellStyle name="20 % - Markeringsfarve5 2 2 8 3 3" xfId="44691" xr:uid="{00000000-0005-0000-0000-00005F350000}"/>
    <cellStyle name="20 % - Markeringsfarve5 2 2 8 4" xfId="22728" xr:uid="{00000000-0005-0000-0000-000060350000}"/>
    <cellStyle name="20 % - Markeringsfarve5 2 2 8 5" xfId="37694" xr:uid="{00000000-0005-0000-0000-000061350000}"/>
    <cellStyle name="20 % - Markeringsfarve5 2 2 9" xfId="7849" xr:uid="{00000000-0005-0000-0000-000062350000}"/>
    <cellStyle name="20 % - Markeringsfarve5 2 2 9 2" xfId="15714" xr:uid="{00000000-0005-0000-0000-000063350000}"/>
    <cellStyle name="20 % - Markeringsfarve5 2 2 9 2 2" xfId="31990" xr:uid="{00000000-0005-0000-0000-000064350000}"/>
    <cellStyle name="20 % - Markeringsfarve5 2 2 9 2 3" xfId="46949" xr:uid="{00000000-0005-0000-0000-000065350000}"/>
    <cellStyle name="20 % - Markeringsfarve5 2 2 9 3" xfId="24988" xr:uid="{00000000-0005-0000-0000-000066350000}"/>
    <cellStyle name="20 % - Markeringsfarve5 2 2 9 4" xfId="39952" xr:uid="{00000000-0005-0000-0000-000067350000}"/>
    <cellStyle name="20 % - Markeringsfarve5 2 3" xfId="4967" xr:uid="{00000000-0005-0000-0000-000068350000}"/>
    <cellStyle name="20 % - Markeringsfarve5 2 3 10" xfId="13452" xr:uid="{00000000-0005-0000-0000-000069350000}"/>
    <cellStyle name="20 % - Markeringsfarve5 2 3 10 2" xfId="29731" xr:uid="{00000000-0005-0000-0000-00006A350000}"/>
    <cellStyle name="20 % - Markeringsfarve5 2 3 10 3" xfId="44692" xr:uid="{00000000-0005-0000-0000-00006B350000}"/>
    <cellStyle name="20 % - Markeringsfarve5 2 3 11" xfId="22729" xr:uid="{00000000-0005-0000-0000-00006C350000}"/>
    <cellStyle name="20 % - Markeringsfarve5 2 3 12" xfId="37695" xr:uid="{00000000-0005-0000-0000-00006D350000}"/>
    <cellStyle name="20 % - Markeringsfarve5 2 3 2" xfId="4968" xr:uid="{00000000-0005-0000-0000-00006E350000}"/>
    <cellStyle name="20 % - Markeringsfarve5 2 3 2 2" xfId="4969" xr:uid="{00000000-0005-0000-0000-00006F350000}"/>
    <cellStyle name="20 % - Markeringsfarve5 2 3 2 2 2" xfId="9925" xr:uid="{00000000-0005-0000-0000-000070350000}"/>
    <cellStyle name="20 % - Markeringsfarve5 2 3 2 2 2 2" xfId="17780" xr:uid="{00000000-0005-0000-0000-000071350000}"/>
    <cellStyle name="20 % - Markeringsfarve5 2 3 2 2 2 2 2" xfId="34056" xr:uid="{00000000-0005-0000-0000-000072350000}"/>
    <cellStyle name="20 % - Markeringsfarve5 2 3 2 2 2 2 3" xfId="49015" xr:uid="{00000000-0005-0000-0000-000073350000}"/>
    <cellStyle name="20 % - Markeringsfarve5 2 3 2 2 2 3" xfId="27054" xr:uid="{00000000-0005-0000-0000-000074350000}"/>
    <cellStyle name="20 % - Markeringsfarve5 2 3 2 2 2 4" xfId="42018" xr:uid="{00000000-0005-0000-0000-000075350000}"/>
    <cellStyle name="20 % - Markeringsfarve5 2 3 2 2 3" xfId="13454" xr:uid="{00000000-0005-0000-0000-000076350000}"/>
    <cellStyle name="20 % - Markeringsfarve5 2 3 2 2 3 2" xfId="29733" xr:uid="{00000000-0005-0000-0000-000077350000}"/>
    <cellStyle name="20 % - Markeringsfarve5 2 3 2 2 3 3" xfId="44694" xr:uid="{00000000-0005-0000-0000-000078350000}"/>
    <cellStyle name="20 % - Markeringsfarve5 2 3 2 2 4" xfId="22731" xr:uid="{00000000-0005-0000-0000-000079350000}"/>
    <cellStyle name="20 % - Markeringsfarve5 2 3 2 2 5" xfId="37697" xr:uid="{00000000-0005-0000-0000-00007A350000}"/>
    <cellStyle name="20 % - Markeringsfarve5 2 3 2 3" xfId="4970" xr:uid="{00000000-0005-0000-0000-00007B350000}"/>
    <cellStyle name="20 % - Markeringsfarve5 2 3 2 3 2" xfId="9156" xr:uid="{00000000-0005-0000-0000-00007C350000}"/>
    <cellStyle name="20 % - Markeringsfarve5 2 3 2 3 2 2" xfId="17020" xr:uid="{00000000-0005-0000-0000-00007D350000}"/>
    <cellStyle name="20 % - Markeringsfarve5 2 3 2 3 2 2 2" xfId="33296" xr:uid="{00000000-0005-0000-0000-00007E350000}"/>
    <cellStyle name="20 % - Markeringsfarve5 2 3 2 3 2 2 3" xfId="48255" xr:uid="{00000000-0005-0000-0000-00007F350000}"/>
    <cellStyle name="20 % - Markeringsfarve5 2 3 2 3 2 3" xfId="26294" xr:uid="{00000000-0005-0000-0000-000080350000}"/>
    <cellStyle name="20 % - Markeringsfarve5 2 3 2 3 2 4" xfId="41258" xr:uid="{00000000-0005-0000-0000-000081350000}"/>
    <cellStyle name="20 % - Markeringsfarve5 2 3 2 3 3" xfId="13455" xr:uid="{00000000-0005-0000-0000-000082350000}"/>
    <cellStyle name="20 % - Markeringsfarve5 2 3 2 3 3 2" xfId="29734" xr:uid="{00000000-0005-0000-0000-000083350000}"/>
    <cellStyle name="20 % - Markeringsfarve5 2 3 2 3 3 3" xfId="44695" xr:uid="{00000000-0005-0000-0000-000084350000}"/>
    <cellStyle name="20 % - Markeringsfarve5 2 3 2 3 4" xfId="22732" xr:uid="{00000000-0005-0000-0000-000085350000}"/>
    <cellStyle name="20 % - Markeringsfarve5 2 3 2 3 5" xfId="37698" xr:uid="{00000000-0005-0000-0000-000086350000}"/>
    <cellStyle name="20 % - Markeringsfarve5 2 3 2 4" xfId="7856" xr:uid="{00000000-0005-0000-0000-000087350000}"/>
    <cellStyle name="20 % - Markeringsfarve5 2 3 2 4 2" xfId="15721" xr:uid="{00000000-0005-0000-0000-000088350000}"/>
    <cellStyle name="20 % - Markeringsfarve5 2 3 2 4 2 2" xfId="31997" xr:uid="{00000000-0005-0000-0000-000089350000}"/>
    <cellStyle name="20 % - Markeringsfarve5 2 3 2 4 2 3" xfId="46956" xr:uid="{00000000-0005-0000-0000-00008A350000}"/>
    <cellStyle name="20 % - Markeringsfarve5 2 3 2 4 3" xfId="24995" xr:uid="{00000000-0005-0000-0000-00008B350000}"/>
    <cellStyle name="20 % - Markeringsfarve5 2 3 2 4 4" xfId="39959" xr:uid="{00000000-0005-0000-0000-00008C350000}"/>
    <cellStyle name="20 % - Markeringsfarve5 2 3 2 5" xfId="13453" xr:uid="{00000000-0005-0000-0000-00008D350000}"/>
    <cellStyle name="20 % - Markeringsfarve5 2 3 2 5 2" xfId="29732" xr:uid="{00000000-0005-0000-0000-00008E350000}"/>
    <cellStyle name="20 % - Markeringsfarve5 2 3 2 5 3" xfId="44693" xr:uid="{00000000-0005-0000-0000-00008F350000}"/>
    <cellStyle name="20 % - Markeringsfarve5 2 3 2 6" xfId="22730" xr:uid="{00000000-0005-0000-0000-000090350000}"/>
    <cellStyle name="20 % - Markeringsfarve5 2 3 2 7" xfId="37696" xr:uid="{00000000-0005-0000-0000-000091350000}"/>
    <cellStyle name="20 % - Markeringsfarve5 2 3 3" xfId="4971" xr:uid="{00000000-0005-0000-0000-000092350000}"/>
    <cellStyle name="20 % - Markeringsfarve5 2 3 3 2" xfId="4972" xr:uid="{00000000-0005-0000-0000-000093350000}"/>
    <cellStyle name="20 % - Markeringsfarve5 2 3 3 2 2" xfId="9970" xr:uid="{00000000-0005-0000-0000-000094350000}"/>
    <cellStyle name="20 % - Markeringsfarve5 2 3 3 2 2 2" xfId="17825" xr:uid="{00000000-0005-0000-0000-000095350000}"/>
    <cellStyle name="20 % - Markeringsfarve5 2 3 3 2 2 2 2" xfId="34101" xr:uid="{00000000-0005-0000-0000-000096350000}"/>
    <cellStyle name="20 % - Markeringsfarve5 2 3 3 2 2 2 3" xfId="49060" xr:uid="{00000000-0005-0000-0000-000097350000}"/>
    <cellStyle name="20 % - Markeringsfarve5 2 3 3 2 2 3" xfId="27099" xr:uid="{00000000-0005-0000-0000-000098350000}"/>
    <cellStyle name="20 % - Markeringsfarve5 2 3 3 2 2 4" xfId="42063" xr:uid="{00000000-0005-0000-0000-000099350000}"/>
    <cellStyle name="20 % - Markeringsfarve5 2 3 3 2 3" xfId="13457" xr:uid="{00000000-0005-0000-0000-00009A350000}"/>
    <cellStyle name="20 % - Markeringsfarve5 2 3 3 2 3 2" xfId="29736" xr:uid="{00000000-0005-0000-0000-00009B350000}"/>
    <cellStyle name="20 % - Markeringsfarve5 2 3 3 2 3 3" xfId="44697" xr:uid="{00000000-0005-0000-0000-00009C350000}"/>
    <cellStyle name="20 % - Markeringsfarve5 2 3 3 2 4" xfId="22734" xr:uid="{00000000-0005-0000-0000-00009D350000}"/>
    <cellStyle name="20 % - Markeringsfarve5 2 3 3 2 5" xfId="37700" xr:uid="{00000000-0005-0000-0000-00009E350000}"/>
    <cellStyle name="20 % - Markeringsfarve5 2 3 3 3" xfId="4973" xr:uid="{00000000-0005-0000-0000-00009F350000}"/>
    <cellStyle name="20 % - Markeringsfarve5 2 3 3 3 2" xfId="9201" xr:uid="{00000000-0005-0000-0000-0000A0350000}"/>
    <cellStyle name="20 % - Markeringsfarve5 2 3 3 3 2 2" xfId="17065" xr:uid="{00000000-0005-0000-0000-0000A1350000}"/>
    <cellStyle name="20 % - Markeringsfarve5 2 3 3 3 2 2 2" xfId="33341" xr:uid="{00000000-0005-0000-0000-0000A2350000}"/>
    <cellStyle name="20 % - Markeringsfarve5 2 3 3 3 2 2 3" xfId="48300" xr:uid="{00000000-0005-0000-0000-0000A3350000}"/>
    <cellStyle name="20 % - Markeringsfarve5 2 3 3 3 2 3" xfId="26339" xr:uid="{00000000-0005-0000-0000-0000A4350000}"/>
    <cellStyle name="20 % - Markeringsfarve5 2 3 3 3 2 4" xfId="41303" xr:uid="{00000000-0005-0000-0000-0000A5350000}"/>
    <cellStyle name="20 % - Markeringsfarve5 2 3 3 3 3" xfId="13458" xr:uid="{00000000-0005-0000-0000-0000A6350000}"/>
    <cellStyle name="20 % - Markeringsfarve5 2 3 3 3 3 2" xfId="29737" xr:uid="{00000000-0005-0000-0000-0000A7350000}"/>
    <cellStyle name="20 % - Markeringsfarve5 2 3 3 3 3 3" xfId="44698" xr:uid="{00000000-0005-0000-0000-0000A8350000}"/>
    <cellStyle name="20 % - Markeringsfarve5 2 3 3 3 4" xfId="22735" xr:uid="{00000000-0005-0000-0000-0000A9350000}"/>
    <cellStyle name="20 % - Markeringsfarve5 2 3 3 3 5" xfId="37701" xr:uid="{00000000-0005-0000-0000-0000AA350000}"/>
    <cellStyle name="20 % - Markeringsfarve5 2 3 3 4" xfId="7857" xr:uid="{00000000-0005-0000-0000-0000AB350000}"/>
    <cellStyle name="20 % - Markeringsfarve5 2 3 3 4 2" xfId="15722" xr:uid="{00000000-0005-0000-0000-0000AC350000}"/>
    <cellStyle name="20 % - Markeringsfarve5 2 3 3 4 2 2" xfId="31998" xr:uid="{00000000-0005-0000-0000-0000AD350000}"/>
    <cellStyle name="20 % - Markeringsfarve5 2 3 3 4 2 3" xfId="46957" xr:uid="{00000000-0005-0000-0000-0000AE350000}"/>
    <cellStyle name="20 % - Markeringsfarve5 2 3 3 4 3" xfId="24996" xr:uid="{00000000-0005-0000-0000-0000AF350000}"/>
    <cellStyle name="20 % - Markeringsfarve5 2 3 3 4 4" xfId="39960" xr:uid="{00000000-0005-0000-0000-0000B0350000}"/>
    <cellStyle name="20 % - Markeringsfarve5 2 3 3 5" xfId="13456" xr:uid="{00000000-0005-0000-0000-0000B1350000}"/>
    <cellStyle name="20 % - Markeringsfarve5 2 3 3 5 2" xfId="29735" xr:uid="{00000000-0005-0000-0000-0000B2350000}"/>
    <cellStyle name="20 % - Markeringsfarve5 2 3 3 5 3" xfId="44696" xr:uid="{00000000-0005-0000-0000-0000B3350000}"/>
    <cellStyle name="20 % - Markeringsfarve5 2 3 3 6" xfId="22733" xr:uid="{00000000-0005-0000-0000-0000B4350000}"/>
    <cellStyle name="20 % - Markeringsfarve5 2 3 3 7" xfId="37699" xr:uid="{00000000-0005-0000-0000-0000B5350000}"/>
    <cellStyle name="20 % - Markeringsfarve5 2 3 4" xfId="4974" xr:uid="{00000000-0005-0000-0000-0000B6350000}"/>
    <cellStyle name="20 % - Markeringsfarve5 2 3 4 2" xfId="4975" xr:uid="{00000000-0005-0000-0000-0000B7350000}"/>
    <cellStyle name="20 % - Markeringsfarve5 2 3 4 2 2" xfId="10163" xr:uid="{00000000-0005-0000-0000-0000B8350000}"/>
    <cellStyle name="20 % - Markeringsfarve5 2 3 4 2 2 2" xfId="18018" xr:uid="{00000000-0005-0000-0000-0000B9350000}"/>
    <cellStyle name="20 % - Markeringsfarve5 2 3 4 2 2 2 2" xfId="34294" xr:uid="{00000000-0005-0000-0000-0000BA350000}"/>
    <cellStyle name="20 % - Markeringsfarve5 2 3 4 2 2 2 3" xfId="49253" xr:uid="{00000000-0005-0000-0000-0000BB350000}"/>
    <cellStyle name="20 % - Markeringsfarve5 2 3 4 2 2 3" xfId="27292" xr:uid="{00000000-0005-0000-0000-0000BC350000}"/>
    <cellStyle name="20 % - Markeringsfarve5 2 3 4 2 2 4" xfId="42256" xr:uid="{00000000-0005-0000-0000-0000BD350000}"/>
    <cellStyle name="20 % - Markeringsfarve5 2 3 4 2 3" xfId="13460" xr:uid="{00000000-0005-0000-0000-0000BE350000}"/>
    <cellStyle name="20 % - Markeringsfarve5 2 3 4 2 3 2" xfId="29739" xr:uid="{00000000-0005-0000-0000-0000BF350000}"/>
    <cellStyle name="20 % - Markeringsfarve5 2 3 4 2 3 3" xfId="44700" xr:uid="{00000000-0005-0000-0000-0000C0350000}"/>
    <cellStyle name="20 % - Markeringsfarve5 2 3 4 2 4" xfId="22737" xr:uid="{00000000-0005-0000-0000-0000C1350000}"/>
    <cellStyle name="20 % - Markeringsfarve5 2 3 4 2 5" xfId="37703" xr:uid="{00000000-0005-0000-0000-0000C2350000}"/>
    <cellStyle name="20 % - Markeringsfarve5 2 3 4 3" xfId="4976" xr:uid="{00000000-0005-0000-0000-0000C3350000}"/>
    <cellStyle name="20 % - Markeringsfarve5 2 3 4 3 2" xfId="9440" xr:uid="{00000000-0005-0000-0000-0000C4350000}"/>
    <cellStyle name="20 % - Markeringsfarve5 2 3 4 3 2 2" xfId="17303" xr:uid="{00000000-0005-0000-0000-0000C5350000}"/>
    <cellStyle name="20 % - Markeringsfarve5 2 3 4 3 2 2 2" xfId="33579" xr:uid="{00000000-0005-0000-0000-0000C6350000}"/>
    <cellStyle name="20 % - Markeringsfarve5 2 3 4 3 2 2 3" xfId="48538" xr:uid="{00000000-0005-0000-0000-0000C7350000}"/>
    <cellStyle name="20 % - Markeringsfarve5 2 3 4 3 2 3" xfId="26577" xr:uid="{00000000-0005-0000-0000-0000C8350000}"/>
    <cellStyle name="20 % - Markeringsfarve5 2 3 4 3 2 4" xfId="41541" xr:uid="{00000000-0005-0000-0000-0000C9350000}"/>
    <cellStyle name="20 % - Markeringsfarve5 2 3 4 3 3" xfId="13461" xr:uid="{00000000-0005-0000-0000-0000CA350000}"/>
    <cellStyle name="20 % - Markeringsfarve5 2 3 4 3 3 2" xfId="29740" xr:uid="{00000000-0005-0000-0000-0000CB350000}"/>
    <cellStyle name="20 % - Markeringsfarve5 2 3 4 3 3 3" xfId="44701" xr:uid="{00000000-0005-0000-0000-0000CC350000}"/>
    <cellStyle name="20 % - Markeringsfarve5 2 3 4 3 4" xfId="22738" xr:uid="{00000000-0005-0000-0000-0000CD350000}"/>
    <cellStyle name="20 % - Markeringsfarve5 2 3 4 3 5" xfId="37704" xr:uid="{00000000-0005-0000-0000-0000CE350000}"/>
    <cellStyle name="20 % - Markeringsfarve5 2 3 4 4" xfId="7858" xr:uid="{00000000-0005-0000-0000-0000CF350000}"/>
    <cellStyle name="20 % - Markeringsfarve5 2 3 4 4 2" xfId="15723" xr:uid="{00000000-0005-0000-0000-0000D0350000}"/>
    <cellStyle name="20 % - Markeringsfarve5 2 3 4 4 2 2" xfId="31999" xr:uid="{00000000-0005-0000-0000-0000D1350000}"/>
    <cellStyle name="20 % - Markeringsfarve5 2 3 4 4 2 3" xfId="46958" xr:uid="{00000000-0005-0000-0000-0000D2350000}"/>
    <cellStyle name="20 % - Markeringsfarve5 2 3 4 4 3" xfId="24997" xr:uid="{00000000-0005-0000-0000-0000D3350000}"/>
    <cellStyle name="20 % - Markeringsfarve5 2 3 4 4 4" xfId="39961" xr:uid="{00000000-0005-0000-0000-0000D4350000}"/>
    <cellStyle name="20 % - Markeringsfarve5 2 3 4 5" xfId="13459" xr:uid="{00000000-0005-0000-0000-0000D5350000}"/>
    <cellStyle name="20 % - Markeringsfarve5 2 3 4 5 2" xfId="29738" xr:uid="{00000000-0005-0000-0000-0000D6350000}"/>
    <cellStyle name="20 % - Markeringsfarve5 2 3 4 5 3" xfId="44699" xr:uid="{00000000-0005-0000-0000-0000D7350000}"/>
    <cellStyle name="20 % - Markeringsfarve5 2 3 4 6" xfId="22736" xr:uid="{00000000-0005-0000-0000-0000D8350000}"/>
    <cellStyle name="20 % - Markeringsfarve5 2 3 4 7" xfId="37702" xr:uid="{00000000-0005-0000-0000-0000D9350000}"/>
    <cellStyle name="20 % - Markeringsfarve5 2 3 5" xfId="4977" xr:uid="{00000000-0005-0000-0000-0000DA350000}"/>
    <cellStyle name="20 % - Markeringsfarve5 2 3 5 2" xfId="4978" xr:uid="{00000000-0005-0000-0000-0000DB350000}"/>
    <cellStyle name="20 % - Markeringsfarve5 2 3 5 2 2" xfId="10280" xr:uid="{00000000-0005-0000-0000-0000DC350000}"/>
    <cellStyle name="20 % - Markeringsfarve5 2 3 5 2 2 2" xfId="18135" xr:uid="{00000000-0005-0000-0000-0000DD350000}"/>
    <cellStyle name="20 % - Markeringsfarve5 2 3 5 2 2 2 2" xfId="34411" xr:uid="{00000000-0005-0000-0000-0000DE350000}"/>
    <cellStyle name="20 % - Markeringsfarve5 2 3 5 2 2 2 3" xfId="49370" xr:uid="{00000000-0005-0000-0000-0000DF350000}"/>
    <cellStyle name="20 % - Markeringsfarve5 2 3 5 2 2 3" xfId="27409" xr:uid="{00000000-0005-0000-0000-0000E0350000}"/>
    <cellStyle name="20 % - Markeringsfarve5 2 3 5 2 2 4" xfId="42373" xr:uid="{00000000-0005-0000-0000-0000E1350000}"/>
    <cellStyle name="20 % - Markeringsfarve5 2 3 5 2 3" xfId="13463" xr:uid="{00000000-0005-0000-0000-0000E2350000}"/>
    <cellStyle name="20 % - Markeringsfarve5 2 3 5 2 3 2" xfId="29742" xr:uid="{00000000-0005-0000-0000-0000E3350000}"/>
    <cellStyle name="20 % - Markeringsfarve5 2 3 5 2 3 3" xfId="44703" xr:uid="{00000000-0005-0000-0000-0000E4350000}"/>
    <cellStyle name="20 % - Markeringsfarve5 2 3 5 2 4" xfId="22740" xr:uid="{00000000-0005-0000-0000-0000E5350000}"/>
    <cellStyle name="20 % - Markeringsfarve5 2 3 5 2 5" xfId="37706" xr:uid="{00000000-0005-0000-0000-0000E6350000}"/>
    <cellStyle name="20 % - Markeringsfarve5 2 3 5 3" xfId="4979" xr:uid="{00000000-0005-0000-0000-0000E7350000}"/>
    <cellStyle name="20 % - Markeringsfarve5 2 3 5 3 2" xfId="9557" xr:uid="{00000000-0005-0000-0000-0000E8350000}"/>
    <cellStyle name="20 % - Markeringsfarve5 2 3 5 3 2 2" xfId="17420" xr:uid="{00000000-0005-0000-0000-0000E9350000}"/>
    <cellStyle name="20 % - Markeringsfarve5 2 3 5 3 2 2 2" xfId="33696" xr:uid="{00000000-0005-0000-0000-0000EA350000}"/>
    <cellStyle name="20 % - Markeringsfarve5 2 3 5 3 2 2 3" xfId="48655" xr:uid="{00000000-0005-0000-0000-0000EB350000}"/>
    <cellStyle name="20 % - Markeringsfarve5 2 3 5 3 2 3" xfId="26694" xr:uid="{00000000-0005-0000-0000-0000EC350000}"/>
    <cellStyle name="20 % - Markeringsfarve5 2 3 5 3 2 4" xfId="41658" xr:uid="{00000000-0005-0000-0000-0000ED350000}"/>
    <cellStyle name="20 % - Markeringsfarve5 2 3 5 3 3" xfId="13464" xr:uid="{00000000-0005-0000-0000-0000EE350000}"/>
    <cellStyle name="20 % - Markeringsfarve5 2 3 5 3 3 2" xfId="29743" xr:uid="{00000000-0005-0000-0000-0000EF350000}"/>
    <cellStyle name="20 % - Markeringsfarve5 2 3 5 3 3 3" xfId="44704" xr:uid="{00000000-0005-0000-0000-0000F0350000}"/>
    <cellStyle name="20 % - Markeringsfarve5 2 3 5 3 4" xfId="22741" xr:uid="{00000000-0005-0000-0000-0000F1350000}"/>
    <cellStyle name="20 % - Markeringsfarve5 2 3 5 3 5" xfId="37707" xr:uid="{00000000-0005-0000-0000-0000F2350000}"/>
    <cellStyle name="20 % - Markeringsfarve5 2 3 5 4" xfId="7859" xr:uid="{00000000-0005-0000-0000-0000F3350000}"/>
    <cellStyle name="20 % - Markeringsfarve5 2 3 5 4 2" xfId="15724" xr:uid="{00000000-0005-0000-0000-0000F4350000}"/>
    <cellStyle name="20 % - Markeringsfarve5 2 3 5 4 2 2" xfId="32000" xr:uid="{00000000-0005-0000-0000-0000F5350000}"/>
    <cellStyle name="20 % - Markeringsfarve5 2 3 5 4 2 3" xfId="46959" xr:uid="{00000000-0005-0000-0000-0000F6350000}"/>
    <cellStyle name="20 % - Markeringsfarve5 2 3 5 4 3" xfId="24998" xr:uid="{00000000-0005-0000-0000-0000F7350000}"/>
    <cellStyle name="20 % - Markeringsfarve5 2 3 5 4 4" xfId="39962" xr:uid="{00000000-0005-0000-0000-0000F8350000}"/>
    <cellStyle name="20 % - Markeringsfarve5 2 3 5 5" xfId="13462" xr:uid="{00000000-0005-0000-0000-0000F9350000}"/>
    <cellStyle name="20 % - Markeringsfarve5 2 3 5 5 2" xfId="29741" xr:uid="{00000000-0005-0000-0000-0000FA350000}"/>
    <cellStyle name="20 % - Markeringsfarve5 2 3 5 5 3" xfId="44702" xr:uid="{00000000-0005-0000-0000-0000FB350000}"/>
    <cellStyle name="20 % - Markeringsfarve5 2 3 5 6" xfId="22739" xr:uid="{00000000-0005-0000-0000-0000FC350000}"/>
    <cellStyle name="20 % - Markeringsfarve5 2 3 5 7" xfId="37705" xr:uid="{00000000-0005-0000-0000-0000FD350000}"/>
    <cellStyle name="20 % - Markeringsfarve5 2 3 6" xfId="4980" xr:uid="{00000000-0005-0000-0000-0000FE350000}"/>
    <cellStyle name="20 % - Markeringsfarve5 2 3 6 2" xfId="4981" xr:uid="{00000000-0005-0000-0000-0000FF350000}"/>
    <cellStyle name="20 % - Markeringsfarve5 2 3 6 2 2" xfId="10324" xr:uid="{00000000-0005-0000-0000-000000360000}"/>
    <cellStyle name="20 % - Markeringsfarve5 2 3 6 2 2 2" xfId="18179" xr:uid="{00000000-0005-0000-0000-000001360000}"/>
    <cellStyle name="20 % - Markeringsfarve5 2 3 6 2 2 2 2" xfId="34455" xr:uid="{00000000-0005-0000-0000-000002360000}"/>
    <cellStyle name="20 % - Markeringsfarve5 2 3 6 2 2 2 3" xfId="49414" xr:uid="{00000000-0005-0000-0000-000003360000}"/>
    <cellStyle name="20 % - Markeringsfarve5 2 3 6 2 2 3" xfId="27453" xr:uid="{00000000-0005-0000-0000-000004360000}"/>
    <cellStyle name="20 % - Markeringsfarve5 2 3 6 2 2 4" xfId="42417" xr:uid="{00000000-0005-0000-0000-000005360000}"/>
    <cellStyle name="20 % - Markeringsfarve5 2 3 6 2 3" xfId="13466" xr:uid="{00000000-0005-0000-0000-000006360000}"/>
    <cellStyle name="20 % - Markeringsfarve5 2 3 6 2 3 2" xfId="29745" xr:uid="{00000000-0005-0000-0000-000007360000}"/>
    <cellStyle name="20 % - Markeringsfarve5 2 3 6 2 3 3" xfId="44706" xr:uid="{00000000-0005-0000-0000-000008360000}"/>
    <cellStyle name="20 % - Markeringsfarve5 2 3 6 2 4" xfId="22743" xr:uid="{00000000-0005-0000-0000-000009360000}"/>
    <cellStyle name="20 % - Markeringsfarve5 2 3 6 2 5" xfId="37709" xr:uid="{00000000-0005-0000-0000-00000A360000}"/>
    <cellStyle name="20 % - Markeringsfarve5 2 3 6 3" xfId="4982" xr:uid="{00000000-0005-0000-0000-00000B360000}"/>
    <cellStyle name="20 % - Markeringsfarve5 2 3 6 3 2" xfId="9602" xr:uid="{00000000-0005-0000-0000-00000C360000}"/>
    <cellStyle name="20 % - Markeringsfarve5 2 3 6 3 2 2" xfId="17465" xr:uid="{00000000-0005-0000-0000-00000D360000}"/>
    <cellStyle name="20 % - Markeringsfarve5 2 3 6 3 2 2 2" xfId="33741" xr:uid="{00000000-0005-0000-0000-00000E360000}"/>
    <cellStyle name="20 % - Markeringsfarve5 2 3 6 3 2 2 3" xfId="48700" xr:uid="{00000000-0005-0000-0000-00000F360000}"/>
    <cellStyle name="20 % - Markeringsfarve5 2 3 6 3 2 3" xfId="26739" xr:uid="{00000000-0005-0000-0000-000010360000}"/>
    <cellStyle name="20 % - Markeringsfarve5 2 3 6 3 2 4" xfId="41703" xr:uid="{00000000-0005-0000-0000-000011360000}"/>
    <cellStyle name="20 % - Markeringsfarve5 2 3 6 3 3" xfId="13467" xr:uid="{00000000-0005-0000-0000-000012360000}"/>
    <cellStyle name="20 % - Markeringsfarve5 2 3 6 3 3 2" xfId="29746" xr:uid="{00000000-0005-0000-0000-000013360000}"/>
    <cellStyle name="20 % - Markeringsfarve5 2 3 6 3 3 3" xfId="44707" xr:uid="{00000000-0005-0000-0000-000014360000}"/>
    <cellStyle name="20 % - Markeringsfarve5 2 3 6 3 4" xfId="22744" xr:uid="{00000000-0005-0000-0000-000015360000}"/>
    <cellStyle name="20 % - Markeringsfarve5 2 3 6 3 5" xfId="37710" xr:uid="{00000000-0005-0000-0000-000016360000}"/>
    <cellStyle name="20 % - Markeringsfarve5 2 3 6 4" xfId="7860" xr:uid="{00000000-0005-0000-0000-000017360000}"/>
    <cellStyle name="20 % - Markeringsfarve5 2 3 6 4 2" xfId="15725" xr:uid="{00000000-0005-0000-0000-000018360000}"/>
    <cellStyle name="20 % - Markeringsfarve5 2 3 6 4 2 2" xfId="32001" xr:uid="{00000000-0005-0000-0000-000019360000}"/>
    <cellStyle name="20 % - Markeringsfarve5 2 3 6 4 2 3" xfId="46960" xr:uid="{00000000-0005-0000-0000-00001A360000}"/>
    <cellStyle name="20 % - Markeringsfarve5 2 3 6 4 3" xfId="24999" xr:uid="{00000000-0005-0000-0000-00001B360000}"/>
    <cellStyle name="20 % - Markeringsfarve5 2 3 6 4 4" xfId="39963" xr:uid="{00000000-0005-0000-0000-00001C360000}"/>
    <cellStyle name="20 % - Markeringsfarve5 2 3 6 5" xfId="13465" xr:uid="{00000000-0005-0000-0000-00001D360000}"/>
    <cellStyle name="20 % - Markeringsfarve5 2 3 6 5 2" xfId="29744" xr:uid="{00000000-0005-0000-0000-00001E360000}"/>
    <cellStyle name="20 % - Markeringsfarve5 2 3 6 5 3" xfId="44705" xr:uid="{00000000-0005-0000-0000-00001F360000}"/>
    <cellStyle name="20 % - Markeringsfarve5 2 3 6 6" xfId="22742" xr:uid="{00000000-0005-0000-0000-000020360000}"/>
    <cellStyle name="20 % - Markeringsfarve5 2 3 6 7" xfId="37708" xr:uid="{00000000-0005-0000-0000-000021360000}"/>
    <cellStyle name="20 % - Markeringsfarve5 2 3 7" xfId="4983" xr:uid="{00000000-0005-0000-0000-000022360000}"/>
    <cellStyle name="20 % - Markeringsfarve5 2 3 7 2" xfId="9807" xr:uid="{00000000-0005-0000-0000-000023360000}"/>
    <cellStyle name="20 % - Markeringsfarve5 2 3 7 2 2" xfId="17661" xr:uid="{00000000-0005-0000-0000-000024360000}"/>
    <cellStyle name="20 % - Markeringsfarve5 2 3 7 2 2 2" xfId="33937" xr:uid="{00000000-0005-0000-0000-000025360000}"/>
    <cellStyle name="20 % - Markeringsfarve5 2 3 7 2 2 3" xfId="48896" xr:uid="{00000000-0005-0000-0000-000026360000}"/>
    <cellStyle name="20 % - Markeringsfarve5 2 3 7 2 3" xfId="26935" xr:uid="{00000000-0005-0000-0000-000027360000}"/>
    <cellStyle name="20 % - Markeringsfarve5 2 3 7 2 4" xfId="41899" xr:uid="{00000000-0005-0000-0000-000028360000}"/>
    <cellStyle name="20 % - Markeringsfarve5 2 3 7 3" xfId="13468" xr:uid="{00000000-0005-0000-0000-000029360000}"/>
    <cellStyle name="20 % - Markeringsfarve5 2 3 7 3 2" xfId="29747" xr:uid="{00000000-0005-0000-0000-00002A360000}"/>
    <cellStyle name="20 % - Markeringsfarve5 2 3 7 3 3" xfId="44708" xr:uid="{00000000-0005-0000-0000-00002B360000}"/>
    <cellStyle name="20 % - Markeringsfarve5 2 3 7 4" xfId="22745" xr:uid="{00000000-0005-0000-0000-00002C360000}"/>
    <cellStyle name="20 % - Markeringsfarve5 2 3 7 5" xfId="37711" xr:uid="{00000000-0005-0000-0000-00002D360000}"/>
    <cellStyle name="20 % - Markeringsfarve5 2 3 8" xfId="4984" xr:uid="{00000000-0005-0000-0000-00002E360000}"/>
    <cellStyle name="20 % - Markeringsfarve5 2 3 8 2" xfId="9035" xr:uid="{00000000-0005-0000-0000-00002F360000}"/>
    <cellStyle name="20 % - Markeringsfarve5 2 3 8 2 2" xfId="16899" xr:uid="{00000000-0005-0000-0000-000030360000}"/>
    <cellStyle name="20 % - Markeringsfarve5 2 3 8 2 2 2" xfId="33175" xr:uid="{00000000-0005-0000-0000-000031360000}"/>
    <cellStyle name="20 % - Markeringsfarve5 2 3 8 2 2 3" xfId="48134" xr:uid="{00000000-0005-0000-0000-000032360000}"/>
    <cellStyle name="20 % - Markeringsfarve5 2 3 8 2 3" xfId="26173" xr:uid="{00000000-0005-0000-0000-000033360000}"/>
    <cellStyle name="20 % - Markeringsfarve5 2 3 8 2 4" xfId="41137" xr:uid="{00000000-0005-0000-0000-000034360000}"/>
    <cellStyle name="20 % - Markeringsfarve5 2 3 8 3" xfId="13469" xr:uid="{00000000-0005-0000-0000-000035360000}"/>
    <cellStyle name="20 % - Markeringsfarve5 2 3 8 3 2" xfId="29748" xr:uid="{00000000-0005-0000-0000-000036360000}"/>
    <cellStyle name="20 % - Markeringsfarve5 2 3 8 3 3" xfId="44709" xr:uid="{00000000-0005-0000-0000-000037360000}"/>
    <cellStyle name="20 % - Markeringsfarve5 2 3 8 4" xfId="22746" xr:uid="{00000000-0005-0000-0000-000038360000}"/>
    <cellStyle name="20 % - Markeringsfarve5 2 3 8 5" xfId="37712" xr:uid="{00000000-0005-0000-0000-000039360000}"/>
    <cellStyle name="20 % - Markeringsfarve5 2 3 9" xfId="7855" xr:uid="{00000000-0005-0000-0000-00003A360000}"/>
    <cellStyle name="20 % - Markeringsfarve5 2 3 9 2" xfId="15720" xr:uid="{00000000-0005-0000-0000-00003B360000}"/>
    <cellStyle name="20 % - Markeringsfarve5 2 3 9 2 2" xfId="31996" xr:uid="{00000000-0005-0000-0000-00003C360000}"/>
    <cellStyle name="20 % - Markeringsfarve5 2 3 9 2 3" xfId="46955" xr:uid="{00000000-0005-0000-0000-00003D360000}"/>
    <cellStyle name="20 % - Markeringsfarve5 2 3 9 3" xfId="24994" xr:uid="{00000000-0005-0000-0000-00003E360000}"/>
    <cellStyle name="20 % - Markeringsfarve5 2 3 9 4" xfId="39958" xr:uid="{00000000-0005-0000-0000-00003F360000}"/>
    <cellStyle name="20 % - Markeringsfarve5 2 4" xfId="4985" xr:uid="{00000000-0005-0000-0000-000040360000}"/>
    <cellStyle name="20 % - Markeringsfarve5 2 4 2" xfId="4986" xr:uid="{00000000-0005-0000-0000-000041360000}"/>
    <cellStyle name="20 % - Markeringsfarve5 2 4 2 2" xfId="9847" xr:uid="{00000000-0005-0000-0000-000042360000}"/>
    <cellStyle name="20 % - Markeringsfarve5 2 4 2 2 2" xfId="17702" xr:uid="{00000000-0005-0000-0000-000043360000}"/>
    <cellStyle name="20 % - Markeringsfarve5 2 4 2 2 2 2" xfId="33978" xr:uid="{00000000-0005-0000-0000-000044360000}"/>
    <cellStyle name="20 % - Markeringsfarve5 2 4 2 2 2 3" xfId="48937" xr:uid="{00000000-0005-0000-0000-000045360000}"/>
    <cellStyle name="20 % - Markeringsfarve5 2 4 2 2 3" xfId="26976" xr:uid="{00000000-0005-0000-0000-000046360000}"/>
    <cellStyle name="20 % - Markeringsfarve5 2 4 2 2 4" xfId="41940" xr:uid="{00000000-0005-0000-0000-000047360000}"/>
    <cellStyle name="20 % - Markeringsfarve5 2 4 2 3" xfId="13471" xr:uid="{00000000-0005-0000-0000-000048360000}"/>
    <cellStyle name="20 % - Markeringsfarve5 2 4 2 3 2" xfId="29750" xr:uid="{00000000-0005-0000-0000-000049360000}"/>
    <cellStyle name="20 % - Markeringsfarve5 2 4 2 3 3" xfId="44711" xr:uid="{00000000-0005-0000-0000-00004A360000}"/>
    <cellStyle name="20 % - Markeringsfarve5 2 4 2 4" xfId="22748" xr:uid="{00000000-0005-0000-0000-00004B360000}"/>
    <cellStyle name="20 % - Markeringsfarve5 2 4 2 5" xfId="37714" xr:uid="{00000000-0005-0000-0000-00004C360000}"/>
    <cellStyle name="20 % - Markeringsfarve5 2 4 3" xfId="4987" xr:uid="{00000000-0005-0000-0000-00004D360000}"/>
    <cellStyle name="20 % - Markeringsfarve5 2 4 3 2" xfId="9078" xr:uid="{00000000-0005-0000-0000-00004E360000}"/>
    <cellStyle name="20 % - Markeringsfarve5 2 4 3 2 2" xfId="16942" xr:uid="{00000000-0005-0000-0000-00004F360000}"/>
    <cellStyle name="20 % - Markeringsfarve5 2 4 3 2 2 2" xfId="33218" xr:uid="{00000000-0005-0000-0000-000050360000}"/>
    <cellStyle name="20 % - Markeringsfarve5 2 4 3 2 2 3" xfId="48177" xr:uid="{00000000-0005-0000-0000-000051360000}"/>
    <cellStyle name="20 % - Markeringsfarve5 2 4 3 2 3" xfId="26216" xr:uid="{00000000-0005-0000-0000-000052360000}"/>
    <cellStyle name="20 % - Markeringsfarve5 2 4 3 2 4" xfId="41180" xr:uid="{00000000-0005-0000-0000-000053360000}"/>
    <cellStyle name="20 % - Markeringsfarve5 2 4 3 3" xfId="13472" xr:uid="{00000000-0005-0000-0000-000054360000}"/>
    <cellStyle name="20 % - Markeringsfarve5 2 4 3 3 2" xfId="29751" xr:uid="{00000000-0005-0000-0000-000055360000}"/>
    <cellStyle name="20 % - Markeringsfarve5 2 4 3 3 3" xfId="44712" xr:uid="{00000000-0005-0000-0000-000056360000}"/>
    <cellStyle name="20 % - Markeringsfarve5 2 4 3 4" xfId="22749" xr:uid="{00000000-0005-0000-0000-000057360000}"/>
    <cellStyle name="20 % - Markeringsfarve5 2 4 3 5" xfId="37715" xr:uid="{00000000-0005-0000-0000-000058360000}"/>
    <cellStyle name="20 % - Markeringsfarve5 2 4 4" xfId="7861" xr:uid="{00000000-0005-0000-0000-000059360000}"/>
    <cellStyle name="20 % - Markeringsfarve5 2 4 4 2" xfId="15726" xr:uid="{00000000-0005-0000-0000-00005A360000}"/>
    <cellStyle name="20 % - Markeringsfarve5 2 4 4 2 2" xfId="32002" xr:uid="{00000000-0005-0000-0000-00005B360000}"/>
    <cellStyle name="20 % - Markeringsfarve5 2 4 4 2 3" xfId="46961" xr:uid="{00000000-0005-0000-0000-00005C360000}"/>
    <cellStyle name="20 % - Markeringsfarve5 2 4 4 3" xfId="25000" xr:uid="{00000000-0005-0000-0000-00005D360000}"/>
    <cellStyle name="20 % - Markeringsfarve5 2 4 4 4" xfId="39964" xr:uid="{00000000-0005-0000-0000-00005E360000}"/>
    <cellStyle name="20 % - Markeringsfarve5 2 4 5" xfId="13470" xr:uid="{00000000-0005-0000-0000-00005F360000}"/>
    <cellStyle name="20 % - Markeringsfarve5 2 4 5 2" xfId="29749" xr:uid="{00000000-0005-0000-0000-000060360000}"/>
    <cellStyle name="20 % - Markeringsfarve5 2 4 5 3" xfId="44710" xr:uid="{00000000-0005-0000-0000-000061360000}"/>
    <cellStyle name="20 % - Markeringsfarve5 2 4 6" xfId="22747" xr:uid="{00000000-0005-0000-0000-000062360000}"/>
    <cellStyle name="20 % - Markeringsfarve5 2 4 7" xfId="37713" xr:uid="{00000000-0005-0000-0000-000063360000}"/>
    <cellStyle name="20 % - Markeringsfarve5 2 5" xfId="4988" xr:uid="{00000000-0005-0000-0000-000064360000}"/>
    <cellStyle name="20 % - Markeringsfarve5 2 5 2" xfId="4989" xr:uid="{00000000-0005-0000-0000-000065360000}"/>
    <cellStyle name="20 % - Markeringsfarve5 2 5 2 2" xfId="9968" xr:uid="{00000000-0005-0000-0000-000066360000}"/>
    <cellStyle name="20 % - Markeringsfarve5 2 5 2 2 2" xfId="17823" xr:uid="{00000000-0005-0000-0000-000067360000}"/>
    <cellStyle name="20 % - Markeringsfarve5 2 5 2 2 2 2" xfId="34099" xr:uid="{00000000-0005-0000-0000-000068360000}"/>
    <cellStyle name="20 % - Markeringsfarve5 2 5 2 2 2 3" xfId="49058" xr:uid="{00000000-0005-0000-0000-000069360000}"/>
    <cellStyle name="20 % - Markeringsfarve5 2 5 2 2 3" xfId="27097" xr:uid="{00000000-0005-0000-0000-00006A360000}"/>
    <cellStyle name="20 % - Markeringsfarve5 2 5 2 2 4" xfId="42061" xr:uid="{00000000-0005-0000-0000-00006B360000}"/>
    <cellStyle name="20 % - Markeringsfarve5 2 5 2 3" xfId="13474" xr:uid="{00000000-0005-0000-0000-00006C360000}"/>
    <cellStyle name="20 % - Markeringsfarve5 2 5 2 3 2" xfId="29753" xr:uid="{00000000-0005-0000-0000-00006D360000}"/>
    <cellStyle name="20 % - Markeringsfarve5 2 5 2 3 3" xfId="44714" xr:uid="{00000000-0005-0000-0000-00006E360000}"/>
    <cellStyle name="20 % - Markeringsfarve5 2 5 2 4" xfId="22751" xr:uid="{00000000-0005-0000-0000-00006F360000}"/>
    <cellStyle name="20 % - Markeringsfarve5 2 5 2 5" xfId="37717" xr:uid="{00000000-0005-0000-0000-000070360000}"/>
    <cellStyle name="20 % - Markeringsfarve5 2 5 3" xfId="4990" xr:uid="{00000000-0005-0000-0000-000071360000}"/>
    <cellStyle name="20 % - Markeringsfarve5 2 5 3 2" xfId="9199" xr:uid="{00000000-0005-0000-0000-000072360000}"/>
    <cellStyle name="20 % - Markeringsfarve5 2 5 3 2 2" xfId="17063" xr:uid="{00000000-0005-0000-0000-000073360000}"/>
    <cellStyle name="20 % - Markeringsfarve5 2 5 3 2 2 2" xfId="33339" xr:uid="{00000000-0005-0000-0000-000074360000}"/>
    <cellStyle name="20 % - Markeringsfarve5 2 5 3 2 2 3" xfId="48298" xr:uid="{00000000-0005-0000-0000-000075360000}"/>
    <cellStyle name="20 % - Markeringsfarve5 2 5 3 2 3" xfId="26337" xr:uid="{00000000-0005-0000-0000-000076360000}"/>
    <cellStyle name="20 % - Markeringsfarve5 2 5 3 2 4" xfId="41301" xr:uid="{00000000-0005-0000-0000-000077360000}"/>
    <cellStyle name="20 % - Markeringsfarve5 2 5 3 3" xfId="13475" xr:uid="{00000000-0005-0000-0000-000078360000}"/>
    <cellStyle name="20 % - Markeringsfarve5 2 5 3 3 2" xfId="29754" xr:uid="{00000000-0005-0000-0000-000079360000}"/>
    <cellStyle name="20 % - Markeringsfarve5 2 5 3 3 3" xfId="44715" xr:uid="{00000000-0005-0000-0000-00007A360000}"/>
    <cellStyle name="20 % - Markeringsfarve5 2 5 3 4" xfId="22752" xr:uid="{00000000-0005-0000-0000-00007B360000}"/>
    <cellStyle name="20 % - Markeringsfarve5 2 5 3 5" xfId="37718" xr:uid="{00000000-0005-0000-0000-00007C360000}"/>
    <cellStyle name="20 % - Markeringsfarve5 2 5 4" xfId="7862" xr:uid="{00000000-0005-0000-0000-00007D360000}"/>
    <cellStyle name="20 % - Markeringsfarve5 2 5 4 2" xfId="15727" xr:uid="{00000000-0005-0000-0000-00007E360000}"/>
    <cellStyle name="20 % - Markeringsfarve5 2 5 4 2 2" xfId="32003" xr:uid="{00000000-0005-0000-0000-00007F360000}"/>
    <cellStyle name="20 % - Markeringsfarve5 2 5 4 2 3" xfId="46962" xr:uid="{00000000-0005-0000-0000-000080360000}"/>
    <cellStyle name="20 % - Markeringsfarve5 2 5 4 3" xfId="25001" xr:uid="{00000000-0005-0000-0000-000081360000}"/>
    <cellStyle name="20 % - Markeringsfarve5 2 5 4 4" xfId="39965" xr:uid="{00000000-0005-0000-0000-000082360000}"/>
    <cellStyle name="20 % - Markeringsfarve5 2 5 5" xfId="13473" xr:uid="{00000000-0005-0000-0000-000083360000}"/>
    <cellStyle name="20 % - Markeringsfarve5 2 5 5 2" xfId="29752" xr:uid="{00000000-0005-0000-0000-000084360000}"/>
    <cellStyle name="20 % - Markeringsfarve5 2 5 5 3" xfId="44713" xr:uid="{00000000-0005-0000-0000-000085360000}"/>
    <cellStyle name="20 % - Markeringsfarve5 2 5 6" xfId="22750" xr:uid="{00000000-0005-0000-0000-000086360000}"/>
    <cellStyle name="20 % - Markeringsfarve5 2 5 7" xfId="37716" xr:uid="{00000000-0005-0000-0000-000087360000}"/>
    <cellStyle name="20 % - Markeringsfarve5 2 6" xfId="4991" xr:uid="{00000000-0005-0000-0000-000088360000}"/>
    <cellStyle name="20 % - Markeringsfarve5 2 6 2" xfId="4992" xr:uid="{00000000-0005-0000-0000-000089360000}"/>
    <cellStyle name="20 % - Markeringsfarve5 2 6 2 2" xfId="10085" xr:uid="{00000000-0005-0000-0000-00008A360000}"/>
    <cellStyle name="20 % - Markeringsfarve5 2 6 2 2 2" xfId="17940" xr:uid="{00000000-0005-0000-0000-00008B360000}"/>
    <cellStyle name="20 % - Markeringsfarve5 2 6 2 2 2 2" xfId="34216" xr:uid="{00000000-0005-0000-0000-00008C360000}"/>
    <cellStyle name="20 % - Markeringsfarve5 2 6 2 2 2 3" xfId="49175" xr:uid="{00000000-0005-0000-0000-00008D360000}"/>
    <cellStyle name="20 % - Markeringsfarve5 2 6 2 2 3" xfId="27214" xr:uid="{00000000-0005-0000-0000-00008E360000}"/>
    <cellStyle name="20 % - Markeringsfarve5 2 6 2 2 4" xfId="42178" xr:uid="{00000000-0005-0000-0000-00008F360000}"/>
    <cellStyle name="20 % - Markeringsfarve5 2 6 2 3" xfId="13477" xr:uid="{00000000-0005-0000-0000-000090360000}"/>
    <cellStyle name="20 % - Markeringsfarve5 2 6 2 3 2" xfId="29756" xr:uid="{00000000-0005-0000-0000-000091360000}"/>
    <cellStyle name="20 % - Markeringsfarve5 2 6 2 3 3" xfId="44717" xr:uid="{00000000-0005-0000-0000-000092360000}"/>
    <cellStyle name="20 % - Markeringsfarve5 2 6 2 4" xfId="22754" xr:uid="{00000000-0005-0000-0000-000093360000}"/>
    <cellStyle name="20 % - Markeringsfarve5 2 6 2 5" xfId="37720" xr:uid="{00000000-0005-0000-0000-000094360000}"/>
    <cellStyle name="20 % - Markeringsfarve5 2 6 3" xfId="4993" xr:uid="{00000000-0005-0000-0000-000095360000}"/>
    <cellStyle name="20 % - Markeringsfarve5 2 6 3 2" xfId="9362" xr:uid="{00000000-0005-0000-0000-000096360000}"/>
    <cellStyle name="20 % - Markeringsfarve5 2 6 3 2 2" xfId="17225" xr:uid="{00000000-0005-0000-0000-000097360000}"/>
    <cellStyle name="20 % - Markeringsfarve5 2 6 3 2 2 2" xfId="33501" xr:uid="{00000000-0005-0000-0000-000098360000}"/>
    <cellStyle name="20 % - Markeringsfarve5 2 6 3 2 2 3" xfId="48460" xr:uid="{00000000-0005-0000-0000-000099360000}"/>
    <cellStyle name="20 % - Markeringsfarve5 2 6 3 2 3" xfId="26499" xr:uid="{00000000-0005-0000-0000-00009A360000}"/>
    <cellStyle name="20 % - Markeringsfarve5 2 6 3 2 4" xfId="41463" xr:uid="{00000000-0005-0000-0000-00009B360000}"/>
    <cellStyle name="20 % - Markeringsfarve5 2 6 3 3" xfId="13478" xr:uid="{00000000-0005-0000-0000-00009C360000}"/>
    <cellStyle name="20 % - Markeringsfarve5 2 6 3 3 2" xfId="29757" xr:uid="{00000000-0005-0000-0000-00009D360000}"/>
    <cellStyle name="20 % - Markeringsfarve5 2 6 3 3 3" xfId="44718" xr:uid="{00000000-0005-0000-0000-00009E360000}"/>
    <cellStyle name="20 % - Markeringsfarve5 2 6 3 4" xfId="22755" xr:uid="{00000000-0005-0000-0000-00009F360000}"/>
    <cellStyle name="20 % - Markeringsfarve5 2 6 3 5" xfId="37721" xr:uid="{00000000-0005-0000-0000-0000A0360000}"/>
    <cellStyle name="20 % - Markeringsfarve5 2 6 4" xfId="7863" xr:uid="{00000000-0005-0000-0000-0000A1360000}"/>
    <cellStyle name="20 % - Markeringsfarve5 2 6 4 2" xfId="15728" xr:uid="{00000000-0005-0000-0000-0000A2360000}"/>
    <cellStyle name="20 % - Markeringsfarve5 2 6 4 2 2" xfId="32004" xr:uid="{00000000-0005-0000-0000-0000A3360000}"/>
    <cellStyle name="20 % - Markeringsfarve5 2 6 4 2 3" xfId="46963" xr:uid="{00000000-0005-0000-0000-0000A4360000}"/>
    <cellStyle name="20 % - Markeringsfarve5 2 6 4 3" xfId="25002" xr:uid="{00000000-0005-0000-0000-0000A5360000}"/>
    <cellStyle name="20 % - Markeringsfarve5 2 6 4 4" xfId="39966" xr:uid="{00000000-0005-0000-0000-0000A6360000}"/>
    <cellStyle name="20 % - Markeringsfarve5 2 6 5" xfId="13476" xr:uid="{00000000-0005-0000-0000-0000A7360000}"/>
    <cellStyle name="20 % - Markeringsfarve5 2 6 5 2" xfId="29755" xr:uid="{00000000-0005-0000-0000-0000A8360000}"/>
    <cellStyle name="20 % - Markeringsfarve5 2 6 5 3" xfId="44716" xr:uid="{00000000-0005-0000-0000-0000A9360000}"/>
    <cellStyle name="20 % - Markeringsfarve5 2 6 6" xfId="22753" xr:uid="{00000000-0005-0000-0000-0000AA360000}"/>
    <cellStyle name="20 % - Markeringsfarve5 2 6 7" xfId="37719" xr:uid="{00000000-0005-0000-0000-0000AB360000}"/>
    <cellStyle name="20 % - Markeringsfarve5 2 7" xfId="4994" xr:uid="{00000000-0005-0000-0000-0000AC360000}"/>
    <cellStyle name="20 % - Markeringsfarve5 2 7 2" xfId="4995" xr:uid="{00000000-0005-0000-0000-0000AD360000}"/>
    <cellStyle name="20 % - Markeringsfarve5 2 7 2 2" xfId="10202" xr:uid="{00000000-0005-0000-0000-0000AE360000}"/>
    <cellStyle name="20 % - Markeringsfarve5 2 7 2 2 2" xfId="18057" xr:uid="{00000000-0005-0000-0000-0000AF360000}"/>
    <cellStyle name="20 % - Markeringsfarve5 2 7 2 2 2 2" xfId="34333" xr:uid="{00000000-0005-0000-0000-0000B0360000}"/>
    <cellStyle name="20 % - Markeringsfarve5 2 7 2 2 2 3" xfId="49292" xr:uid="{00000000-0005-0000-0000-0000B1360000}"/>
    <cellStyle name="20 % - Markeringsfarve5 2 7 2 2 3" xfId="27331" xr:uid="{00000000-0005-0000-0000-0000B2360000}"/>
    <cellStyle name="20 % - Markeringsfarve5 2 7 2 2 4" xfId="42295" xr:uid="{00000000-0005-0000-0000-0000B3360000}"/>
    <cellStyle name="20 % - Markeringsfarve5 2 7 2 3" xfId="13480" xr:uid="{00000000-0005-0000-0000-0000B4360000}"/>
    <cellStyle name="20 % - Markeringsfarve5 2 7 2 3 2" xfId="29759" xr:uid="{00000000-0005-0000-0000-0000B5360000}"/>
    <cellStyle name="20 % - Markeringsfarve5 2 7 2 3 3" xfId="44720" xr:uid="{00000000-0005-0000-0000-0000B6360000}"/>
    <cellStyle name="20 % - Markeringsfarve5 2 7 2 4" xfId="22757" xr:uid="{00000000-0005-0000-0000-0000B7360000}"/>
    <cellStyle name="20 % - Markeringsfarve5 2 7 2 5" xfId="37723" xr:uid="{00000000-0005-0000-0000-0000B8360000}"/>
    <cellStyle name="20 % - Markeringsfarve5 2 7 3" xfId="4996" xr:uid="{00000000-0005-0000-0000-0000B9360000}"/>
    <cellStyle name="20 % - Markeringsfarve5 2 7 3 2" xfId="9479" xr:uid="{00000000-0005-0000-0000-0000BA360000}"/>
    <cellStyle name="20 % - Markeringsfarve5 2 7 3 2 2" xfId="17342" xr:uid="{00000000-0005-0000-0000-0000BB360000}"/>
    <cellStyle name="20 % - Markeringsfarve5 2 7 3 2 2 2" xfId="33618" xr:uid="{00000000-0005-0000-0000-0000BC360000}"/>
    <cellStyle name="20 % - Markeringsfarve5 2 7 3 2 2 3" xfId="48577" xr:uid="{00000000-0005-0000-0000-0000BD360000}"/>
    <cellStyle name="20 % - Markeringsfarve5 2 7 3 2 3" xfId="26616" xr:uid="{00000000-0005-0000-0000-0000BE360000}"/>
    <cellStyle name="20 % - Markeringsfarve5 2 7 3 2 4" xfId="41580" xr:uid="{00000000-0005-0000-0000-0000BF360000}"/>
    <cellStyle name="20 % - Markeringsfarve5 2 7 3 3" xfId="13481" xr:uid="{00000000-0005-0000-0000-0000C0360000}"/>
    <cellStyle name="20 % - Markeringsfarve5 2 7 3 3 2" xfId="29760" xr:uid="{00000000-0005-0000-0000-0000C1360000}"/>
    <cellStyle name="20 % - Markeringsfarve5 2 7 3 3 3" xfId="44721" xr:uid="{00000000-0005-0000-0000-0000C2360000}"/>
    <cellStyle name="20 % - Markeringsfarve5 2 7 3 4" xfId="22758" xr:uid="{00000000-0005-0000-0000-0000C3360000}"/>
    <cellStyle name="20 % - Markeringsfarve5 2 7 3 5" xfId="37724" xr:uid="{00000000-0005-0000-0000-0000C4360000}"/>
    <cellStyle name="20 % - Markeringsfarve5 2 7 4" xfId="7864" xr:uid="{00000000-0005-0000-0000-0000C5360000}"/>
    <cellStyle name="20 % - Markeringsfarve5 2 7 4 2" xfId="15729" xr:uid="{00000000-0005-0000-0000-0000C6360000}"/>
    <cellStyle name="20 % - Markeringsfarve5 2 7 4 2 2" xfId="32005" xr:uid="{00000000-0005-0000-0000-0000C7360000}"/>
    <cellStyle name="20 % - Markeringsfarve5 2 7 4 2 3" xfId="46964" xr:uid="{00000000-0005-0000-0000-0000C8360000}"/>
    <cellStyle name="20 % - Markeringsfarve5 2 7 4 3" xfId="25003" xr:uid="{00000000-0005-0000-0000-0000C9360000}"/>
    <cellStyle name="20 % - Markeringsfarve5 2 7 4 4" xfId="39967" xr:uid="{00000000-0005-0000-0000-0000CA360000}"/>
    <cellStyle name="20 % - Markeringsfarve5 2 7 5" xfId="13479" xr:uid="{00000000-0005-0000-0000-0000CB360000}"/>
    <cellStyle name="20 % - Markeringsfarve5 2 7 5 2" xfId="29758" xr:uid="{00000000-0005-0000-0000-0000CC360000}"/>
    <cellStyle name="20 % - Markeringsfarve5 2 7 5 3" xfId="44719" xr:uid="{00000000-0005-0000-0000-0000CD360000}"/>
    <cellStyle name="20 % - Markeringsfarve5 2 7 6" xfId="22756" xr:uid="{00000000-0005-0000-0000-0000CE360000}"/>
    <cellStyle name="20 % - Markeringsfarve5 2 7 7" xfId="37722" xr:uid="{00000000-0005-0000-0000-0000CF360000}"/>
    <cellStyle name="20 % - Markeringsfarve5 2 8" xfId="4997" xr:uid="{00000000-0005-0000-0000-0000D0360000}"/>
    <cellStyle name="20 % - Markeringsfarve5 2 8 2" xfId="4998" xr:uid="{00000000-0005-0000-0000-0000D1360000}"/>
    <cellStyle name="20 % - Markeringsfarve5 2 8 2 2" xfId="10322" xr:uid="{00000000-0005-0000-0000-0000D2360000}"/>
    <cellStyle name="20 % - Markeringsfarve5 2 8 2 2 2" xfId="18177" xr:uid="{00000000-0005-0000-0000-0000D3360000}"/>
    <cellStyle name="20 % - Markeringsfarve5 2 8 2 2 2 2" xfId="34453" xr:uid="{00000000-0005-0000-0000-0000D4360000}"/>
    <cellStyle name="20 % - Markeringsfarve5 2 8 2 2 2 3" xfId="49412" xr:uid="{00000000-0005-0000-0000-0000D5360000}"/>
    <cellStyle name="20 % - Markeringsfarve5 2 8 2 2 3" xfId="27451" xr:uid="{00000000-0005-0000-0000-0000D6360000}"/>
    <cellStyle name="20 % - Markeringsfarve5 2 8 2 2 4" xfId="42415" xr:uid="{00000000-0005-0000-0000-0000D7360000}"/>
    <cellStyle name="20 % - Markeringsfarve5 2 8 2 3" xfId="13483" xr:uid="{00000000-0005-0000-0000-0000D8360000}"/>
    <cellStyle name="20 % - Markeringsfarve5 2 8 2 3 2" xfId="29762" xr:uid="{00000000-0005-0000-0000-0000D9360000}"/>
    <cellStyle name="20 % - Markeringsfarve5 2 8 2 3 3" xfId="44723" xr:uid="{00000000-0005-0000-0000-0000DA360000}"/>
    <cellStyle name="20 % - Markeringsfarve5 2 8 2 4" xfId="22760" xr:uid="{00000000-0005-0000-0000-0000DB360000}"/>
    <cellStyle name="20 % - Markeringsfarve5 2 8 2 5" xfId="37726" xr:uid="{00000000-0005-0000-0000-0000DC360000}"/>
    <cellStyle name="20 % - Markeringsfarve5 2 8 3" xfId="4999" xr:uid="{00000000-0005-0000-0000-0000DD360000}"/>
    <cellStyle name="20 % - Markeringsfarve5 2 8 3 2" xfId="9600" xr:uid="{00000000-0005-0000-0000-0000DE360000}"/>
    <cellStyle name="20 % - Markeringsfarve5 2 8 3 2 2" xfId="17463" xr:uid="{00000000-0005-0000-0000-0000DF360000}"/>
    <cellStyle name="20 % - Markeringsfarve5 2 8 3 2 2 2" xfId="33739" xr:uid="{00000000-0005-0000-0000-0000E0360000}"/>
    <cellStyle name="20 % - Markeringsfarve5 2 8 3 2 2 3" xfId="48698" xr:uid="{00000000-0005-0000-0000-0000E1360000}"/>
    <cellStyle name="20 % - Markeringsfarve5 2 8 3 2 3" xfId="26737" xr:uid="{00000000-0005-0000-0000-0000E2360000}"/>
    <cellStyle name="20 % - Markeringsfarve5 2 8 3 2 4" xfId="41701" xr:uid="{00000000-0005-0000-0000-0000E3360000}"/>
    <cellStyle name="20 % - Markeringsfarve5 2 8 3 3" xfId="13484" xr:uid="{00000000-0005-0000-0000-0000E4360000}"/>
    <cellStyle name="20 % - Markeringsfarve5 2 8 3 3 2" xfId="29763" xr:uid="{00000000-0005-0000-0000-0000E5360000}"/>
    <cellStyle name="20 % - Markeringsfarve5 2 8 3 3 3" xfId="44724" xr:uid="{00000000-0005-0000-0000-0000E6360000}"/>
    <cellStyle name="20 % - Markeringsfarve5 2 8 3 4" xfId="22761" xr:uid="{00000000-0005-0000-0000-0000E7360000}"/>
    <cellStyle name="20 % - Markeringsfarve5 2 8 3 5" xfId="37727" xr:uid="{00000000-0005-0000-0000-0000E8360000}"/>
    <cellStyle name="20 % - Markeringsfarve5 2 8 4" xfId="7865" xr:uid="{00000000-0005-0000-0000-0000E9360000}"/>
    <cellStyle name="20 % - Markeringsfarve5 2 8 4 2" xfId="15730" xr:uid="{00000000-0005-0000-0000-0000EA360000}"/>
    <cellStyle name="20 % - Markeringsfarve5 2 8 4 2 2" xfId="32006" xr:uid="{00000000-0005-0000-0000-0000EB360000}"/>
    <cellStyle name="20 % - Markeringsfarve5 2 8 4 2 3" xfId="46965" xr:uid="{00000000-0005-0000-0000-0000EC360000}"/>
    <cellStyle name="20 % - Markeringsfarve5 2 8 4 3" xfId="25004" xr:uid="{00000000-0005-0000-0000-0000ED360000}"/>
    <cellStyle name="20 % - Markeringsfarve5 2 8 4 4" xfId="39968" xr:uid="{00000000-0005-0000-0000-0000EE360000}"/>
    <cellStyle name="20 % - Markeringsfarve5 2 8 5" xfId="13482" xr:uid="{00000000-0005-0000-0000-0000EF360000}"/>
    <cellStyle name="20 % - Markeringsfarve5 2 8 5 2" xfId="29761" xr:uid="{00000000-0005-0000-0000-0000F0360000}"/>
    <cellStyle name="20 % - Markeringsfarve5 2 8 5 3" xfId="44722" xr:uid="{00000000-0005-0000-0000-0000F1360000}"/>
    <cellStyle name="20 % - Markeringsfarve5 2 8 6" xfId="22759" xr:uid="{00000000-0005-0000-0000-0000F2360000}"/>
    <cellStyle name="20 % - Markeringsfarve5 2 8 7" xfId="37725" xr:uid="{00000000-0005-0000-0000-0000F3360000}"/>
    <cellStyle name="20 % - Markeringsfarve5 2 9" xfId="5000" xr:uid="{00000000-0005-0000-0000-0000F4360000}"/>
    <cellStyle name="20 % - Markeringsfarve5 2 9 2" xfId="9729" xr:uid="{00000000-0005-0000-0000-0000F5360000}"/>
    <cellStyle name="20 % - Markeringsfarve5 2 9 2 2" xfId="17583" xr:uid="{00000000-0005-0000-0000-0000F6360000}"/>
    <cellStyle name="20 % - Markeringsfarve5 2 9 2 2 2" xfId="33859" xr:uid="{00000000-0005-0000-0000-0000F7360000}"/>
    <cellStyle name="20 % - Markeringsfarve5 2 9 2 2 3" xfId="48818" xr:uid="{00000000-0005-0000-0000-0000F8360000}"/>
    <cellStyle name="20 % - Markeringsfarve5 2 9 2 3" xfId="26857" xr:uid="{00000000-0005-0000-0000-0000F9360000}"/>
    <cellStyle name="20 % - Markeringsfarve5 2 9 2 4" xfId="41821" xr:uid="{00000000-0005-0000-0000-0000FA360000}"/>
    <cellStyle name="20 % - Markeringsfarve5 2 9 3" xfId="13485" xr:uid="{00000000-0005-0000-0000-0000FB360000}"/>
    <cellStyle name="20 % - Markeringsfarve5 2 9 3 2" xfId="29764" xr:uid="{00000000-0005-0000-0000-0000FC360000}"/>
    <cellStyle name="20 % - Markeringsfarve5 2 9 3 3" xfId="44725" xr:uid="{00000000-0005-0000-0000-0000FD360000}"/>
    <cellStyle name="20 % - Markeringsfarve5 2 9 4" xfId="22762" xr:uid="{00000000-0005-0000-0000-0000FE360000}"/>
    <cellStyle name="20 % - Markeringsfarve5 2 9 5" xfId="37728" xr:uid="{00000000-0005-0000-0000-0000FF360000}"/>
    <cellStyle name="20 % - Markeringsfarve5 3" xfId="5001" xr:uid="{00000000-0005-0000-0000-000000370000}"/>
    <cellStyle name="20 % - Markeringsfarve5 3 10" xfId="5002" xr:uid="{00000000-0005-0000-0000-000001370000}"/>
    <cellStyle name="20 % - Markeringsfarve5 3 10 2" xfId="8942" xr:uid="{00000000-0005-0000-0000-000002370000}"/>
    <cellStyle name="20 % - Markeringsfarve5 3 10 2 2" xfId="16807" xr:uid="{00000000-0005-0000-0000-000003370000}"/>
    <cellStyle name="20 % - Markeringsfarve5 3 10 2 2 2" xfId="33083" xr:uid="{00000000-0005-0000-0000-000004370000}"/>
    <cellStyle name="20 % - Markeringsfarve5 3 10 2 2 3" xfId="48042" xr:uid="{00000000-0005-0000-0000-000005370000}"/>
    <cellStyle name="20 % - Markeringsfarve5 3 10 2 3" xfId="26081" xr:uid="{00000000-0005-0000-0000-000006370000}"/>
    <cellStyle name="20 % - Markeringsfarve5 3 10 2 4" xfId="41045" xr:uid="{00000000-0005-0000-0000-000007370000}"/>
    <cellStyle name="20 % - Markeringsfarve5 3 10 3" xfId="13487" xr:uid="{00000000-0005-0000-0000-000008370000}"/>
    <cellStyle name="20 % - Markeringsfarve5 3 10 3 2" xfId="29766" xr:uid="{00000000-0005-0000-0000-000009370000}"/>
    <cellStyle name="20 % - Markeringsfarve5 3 10 3 3" xfId="44727" xr:uid="{00000000-0005-0000-0000-00000A370000}"/>
    <cellStyle name="20 % - Markeringsfarve5 3 10 4" xfId="22764" xr:uid="{00000000-0005-0000-0000-00000B370000}"/>
    <cellStyle name="20 % - Markeringsfarve5 3 10 5" xfId="37730" xr:uid="{00000000-0005-0000-0000-00000C370000}"/>
    <cellStyle name="20 % - Markeringsfarve5 3 11" xfId="7866" xr:uid="{00000000-0005-0000-0000-00000D370000}"/>
    <cellStyle name="20 % - Markeringsfarve5 3 11 2" xfId="15731" xr:uid="{00000000-0005-0000-0000-00000E370000}"/>
    <cellStyle name="20 % - Markeringsfarve5 3 11 2 2" xfId="32007" xr:uid="{00000000-0005-0000-0000-00000F370000}"/>
    <cellStyle name="20 % - Markeringsfarve5 3 11 2 3" xfId="46966" xr:uid="{00000000-0005-0000-0000-000010370000}"/>
    <cellStyle name="20 % - Markeringsfarve5 3 11 3" xfId="25005" xr:uid="{00000000-0005-0000-0000-000011370000}"/>
    <cellStyle name="20 % - Markeringsfarve5 3 11 4" xfId="39969" xr:uid="{00000000-0005-0000-0000-000012370000}"/>
    <cellStyle name="20 % - Markeringsfarve5 3 12" xfId="13486" xr:uid="{00000000-0005-0000-0000-000013370000}"/>
    <cellStyle name="20 % - Markeringsfarve5 3 12 2" xfId="29765" xr:uid="{00000000-0005-0000-0000-000014370000}"/>
    <cellStyle name="20 % - Markeringsfarve5 3 12 3" xfId="44726" xr:uid="{00000000-0005-0000-0000-000015370000}"/>
    <cellStyle name="20 % - Markeringsfarve5 3 13" xfId="22763" xr:uid="{00000000-0005-0000-0000-000016370000}"/>
    <cellStyle name="20 % - Markeringsfarve5 3 14" xfId="37729" xr:uid="{00000000-0005-0000-0000-000017370000}"/>
    <cellStyle name="20 % - Markeringsfarve5 3 2" xfId="5003" xr:uid="{00000000-0005-0000-0000-000018370000}"/>
    <cellStyle name="20 % - Markeringsfarve5 3 2 10" xfId="13488" xr:uid="{00000000-0005-0000-0000-000019370000}"/>
    <cellStyle name="20 % - Markeringsfarve5 3 2 10 2" xfId="29767" xr:uid="{00000000-0005-0000-0000-00001A370000}"/>
    <cellStyle name="20 % - Markeringsfarve5 3 2 10 3" xfId="44728" xr:uid="{00000000-0005-0000-0000-00001B370000}"/>
    <cellStyle name="20 % - Markeringsfarve5 3 2 11" xfId="22765" xr:uid="{00000000-0005-0000-0000-00001C370000}"/>
    <cellStyle name="20 % - Markeringsfarve5 3 2 12" xfId="37731" xr:uid="{00000000-0005-0000-0000-00001D370000}"/>
    <cellStyle name="20 % - Markeringsfarve5 3 2 2" xfId="5004" xr:uid="{00000000-0005-0000-0000-00001E370000}"/>
    <cellStyle name="20 % - Markeringsfarve5 3 2 2 2" xfId="5005" xr:uid="{00000000-0005-0000-0000-00001F370000}"/>
    <cellStyle name="20 % - Markeringsfarve5 3 2 2 2 2" xfId="9874" xr:uid="{00000000-0005-0000-0000-000020370000}"/>
    <cellStyle name="20 % - Markeringsfarve5 3 2 2 2 2 2" xfId="17729" xr:uid="{00000000-0005-0000-0000-000021370000}"/>
    <cellStyle name="20 % - Markeringsfarve5 3 2 2 2 2 2 2" xfId="34005" xr:uid="{00000000-0005-0000-0000-000022370000}"/>
    <cellStyle name="20 % - Markeringsfarve5 3 2 2 2 2 2 3" xfId="48964" xr:uid="{00000000-0005-0000-0000-000023370000}"/>
    <cellStyle name="20 % - Markeringsfarve5 3 2 2 2 2 3" xfId="27003" xr:uid="{00000000-0005-0000-0000-000024370000}"/>
    <cellStyle name="20 % - Markeringsfarve5 3 2 2 2 2 4" xfId="41967" xr:uid="{00000000-0005-0000-0000-000025370000}"/>
    <cellStyle name="20 % - Markeringsfarve5 3 2 2 2 3" xfId="13490" xr:uid="{00000000-0005-0000-0000-000026370000}"/>
    <cellStyle name="20 % - Markeringsfarve5 3 2 2 2 3 2" xfId="29769" xr:uid="{00000000-0005-0000-0000-000027370000}"/>
    <cellStyle name="20 % - Markeringsfarve5 3 2 2 2 3 3" xfId="44730" xr:uid="{00000000-0005-0000-0000-000028370000}"/>
    <cellStyle name="20 % - Markeringsfarve5 3 2 2 2 4" xfId="22767" xr:uid="{00000000-0005-0000-0000-000029370000}"/>
    <cellStyle name="20 % - Markeringsfarve5 3 2 2 2 5" xfId="37733" xr:uid="{00000000-0005-0000-0000-00002A370000}"/>
    <cellStyle name="20 % - Markeringsfarve5 3 2 2 3" xfId="5006" xr:uid="{00000000-0005-0000-0000-00002B370000}"/>
    <cellStyle name="20 % - Markeringsfarve5 3 2 2 3 2" xfId="9105" xr:uid="{00000000-0005-0000-0000-00002C370000}"/>
    <cellStyle name="20 % - Markeringsfarve5 3 2 2 3 2 2" xfId="16969" xr:uid="{00000000-0005-0000-0000-00002D370000}"/>
    <cellStyle name="20 % - Markeringsfarve5 3 2 2 3 2 2 2" xfId="33245" xr:uid="{00000000-0005-0000-0000-00002E370000}"/>
    <cellStyle name="20 % - Markeringsfarve5 3 2 2 3 2 2 3" xfId="48204" xr:uid="{00000000-0005-0000-0000-00002F370000}"/>
    <cellStyle name="20 % - Markeringsfarve5 3 2 2 3 2 3" xfId="26243" xr:uid="{00000000-0005-0000-0000-000030370000}"/>
    <cellStyle name="20 % - Markeringsfarve5 3 2 2 3 2 4" xfId="41207" xr:uid="{00000000-0005-0000-0000-000031370000}"/>
    <cellStyle name="20 % - Markeringsfarve5 3 2 2 3 3" xfId="13491" xr:uid="{00000000-0005-0000-0000-000032370000}"/>
    <cellStyle name="20 % - Markeringsfarve5 3 2 2 3 3 2" xfId="29770" xr:uid="{00000000-0005-0000-0000-000033370000}"/>
    <cellStyle name="20 % - Markeringsfarve5 3 2 2 3 3 3" xfId="44731" xr:uid="{00000000-0005-0000-0000-000034370000}"/>
    <cellStyle name="20 % - Markeringsfarve5 3 2 2 3 4" xfId="22768" xr:uid="{00000000-0005-0000-0000-000035370000}"/>
    <cellStyle name="20 % - Markeringsfarve5 3 2 2 3 5" xfId="37734" xr:uid="{00000000-0005-0000-0000-000036370000}"/>
    <cellStyle name="20 % - Markeringsfarve5 3 2 2 4" xfId="7868" xr:uid="{00000000-0005-0000-0000-000037370000}"/>
    <cellStyle name="20 % - Markeringsfarve5 3 2 2 4 2" xfId="15733" xr:uid="{00000000-0005-0000-0000-000038370000}"/>
    <cellStyle name="20 % - Markeringsfarve5 3 2 2 4 2 2" xfId="32009" xr:uid="{00000000-0005-0000-0000-000039370000}"/>
    <cellStyle name="20 % - Markeringsfarve5 3 2 2 4 2 3" xfId="46968" xr:uid="{00000000-0005-0000-0000-00003A370000}"/>
    <cellStyle name="20 % - Markeringsfarve5 3 2 2 4 3" xfId="25007" xr:uid="{00000000-0005-0000-0000-00003B370000}"/>
    <cellStyle name="20 % - Markeringsfarve5 3 2 2 4 4" xfId="39971" xr:uid="{00000000-0005-0000-0000-00003C370000}"/>
    <cellStyle name="20 % - Markeringsfarve5 3 2 2 5" xfId="13489" xr:uid="{00000000-0005-0000-0000-00003D370000}"/>
    <cellStyle name="20 % - Markeringsfarve5 3 2 2 5 2" xfId="29768" xr:uid="{00000000-0005-0000-0000-00003E370000}"/>
    <cellStyle name="20 % - Markeringsfarve5 3 2 2 5 3" xfId="44729" xr:uid="{00000000-0005-0000-0000-00003F370000}"/>
    <cellStyle name="20 % - Markeringsfarve5 3 2 2 6" xfId="22766" xr:uid="{00000000-0005-0000-0000-000040370000}"/>
    <cellStyle name="20 % - Markeringsfarve5 3 2 2 7" xfId="37732" xr:uid="{00000000-0005-0000-0000-000041370000}"/>
    <cellStyle name="20 % - Markeringsfarve5 3 2 3" xfId="5007" xr:uid="{00000000-0005-0000-0000-000042370000}"/>
    <cellStyle name="20 % - Markeringsfarve5 3 2 3 2" xfId="5008" xr:uid="{00000000-0005-0000-0000-000043370000}"/>
    <cellStyle name="20 % - Markeringsfarve5 3 2 3 2 2" xfId="9972" xr:uid="{00000000-0005-0000-0000-000044370000}"/>
    <cellStyle name="20 % - Markeringsfarve5 3 2 3 2 2 2" xfId="17827" xr:uid="{00000000-0005-0000-0000-000045370000}"/>
    <cellStyle name="20 % - Markeringsfarve5 3 2 3 2 2 2 2" xfId="34103" xr:uid="{00000000-0005-0000-0000-000046370000}"/>
    <cellStyle name="20 % - Markeringsfarve5 3 2 3 2 2 2 3" xfId="49062" xr:uid="{00000000-0005-0000-0000-000047370000}"/>
    <cellStyle name="20 % - Markeringsfarve5 3 2 3 2 2 3" xfId="27101" xr:uid="{00000000-0005-0000-0000-000048370000}"/>
    <cellStyle name="20 % - Markeringsfarve5 3 2 3 2 2 4" xfId="42065" xr:uid="{00000000-0005-0000-0000-000049370000}"/>
    <cellStyle name="20 % - Markeringsfarve5 3 2 3 2 3" xfId="13493" xr:uid="{00000000-0005-0000-0000-00004A370000}"/>
    <cellStyle name="20 % - Markeringsfarve5 3 2 3 2 3 2" xfId="29772" xr:uid="{00000000-0005-0000-0000-00004B370000}"/>
    <cellStyle name="20 % - Markeringsfarve5 3 2 3 2 3 3" xfId="44733" xr:uid="{00000000-0005-0000-0000-00004C370000}"/>
    <cellStyle name="20 % - Markeringsfarve5 3 2 3 2 4" xfId="22770" xr:uid="{00000000-0005-0000-0000-00004D370000}"/>
    <cellStyle name="20 % - Markeringsfarve5 3 2 3 2 5" xfId="37736" xr:uid="{00000000-0005-0000-0000-00004E370000}"/>
    <cellStyle name="20 % - Markeringsfarve5 3 2 3 3" xfId="5009" xr:uid="{00000000-0005-0000-0000-00004F370000}"/>
    <cellStyle name="20 % - Markeringsfarve5 3 2 3 3 2" xfId="9203" xr:uid="{00000000-0005-0000-0000-000050370000}"/>
    <cellStyle name="20 % - Markeringsfarve5 3 2 3 3 2 2" xfId="17067" xr:uid="{00000000-0005-0000-0000-000051370000}"/>
    <cellStyle name="20 % - Markeringsfarve5 3 2 3 3 2 2 2" xfId="33343" xr:uid="{00000000-0005-0000-0000-000052370000}"/>
    <cellStyle name="20 % - Markeringsfarve5 3 2 3 3 2 2 3" xfId="48302" xr:uid="{00000000-0005-0000-0000-000053370000}"/>
    <cellStyle name="20 % - Markeringsfarve5 3 2 3 3 2 3" xfId="26341" xr:uid="{00000000-0005-0000-0000-000054370000}"/>
    <cellStyle name="20 % - Markeringsfarve5 3 2 3 3 2 4" xfId="41305" xr:uid="{00000000-0005-0000-0000-000055370000}"/>
    <cellStyle name="20 % - Markeringsfarve5 3 2 3 3 3" xfId="13494" xr:uid="{00000000-0005-0000-0000-000056370000}"/>
    <cellStyle name="20 % - Markeringsfarve5 3 2 3 3 3 2" xfId="29773" xr:uid="{00000000-0005-0000-0000-000057370000}"/>
    <cellStyle name="20 % - Markeringsfarve5 3 2 3 3 3 3" xfId="44734" xr:uid="{00000000-0005-0000-0000-000058370000}"/>
    <cellStyle name="20 % - Markeringsfarve5 3 2 3 3 4" xfId="22771" xr:uid="{00000000-0005-0000-0000-000059370000}"/>
    <cellStyle name="20 % - Markeringsfarve5 3 2 3 3 5" xfId="37737" xr:uid="{00000000-0005-0000-0000-00005A370000}"/>
    <cellStyle name="20 % - Markeringsfarve5 3 2 3 4" xfId="7869" xr:uid="{00000000-0005-0000-0000-00005B370000}"/>
    <cellStyle name="20 % - Markeringsfarve5 3 2 3 4 2" xfId="15734" xr:uid="{00000000-0005-0000-0000-00005C370000}"/>
    <cellStyle name="20 % - Markeringsfarve5 3 2 3 4 2 2" xfId="32010" xr:uid="{00000000-0005-0000-0000-00005D370000}"/>
    <cellStyle name="20 % - Markeringsfarve5 3 2 3 4 2 3" xfId="46969" xr:uid="{00000000-0005-0000-0000-00005E370000}"/>
    <cellStyle name="20 % - Markeringsfarve5 3 2 3 4 3" xfId="25008" xr:uid="{00000000-0005-0000-0000-00005F370000}"/>
    <cellStyle name="20 % - Markeringsfarve5 3 2 3 4 4" xfId="39972" xr:uid="{00000000-0005-0000-0000-000060370000}"/>
    <cellStyle name="20 % - Markeringsfarve5 3 2 3 5" xfId="13492" xr:uid="{00000000-0005-0000-0000-000061370000}"/>
    <cellStyle name="20 % - Markeringsfarve5 3 2 3 5 2" xfId="29771" xr:uid="{00000000-0005-0000-0000-000062370000}"/>
    <cellStyle name="20 % - Markeringsfarve5 3 2 3 5 3" xfId="44732" xr:uid="{00000000-0005-0000-0000-000063370000}"/>
    <cellStyle name="20 % - Markeringsfarve5 3 2 3 6" xfId="22769" xr:uid="{00000000-0005-0000-0000-000064370000}"/>
    <cellStyle name="20 % - Markeringsfarve5 3 2 3 7" xfId="37735" xr:uid="{00000000-0005-0000-0000-000065370000}"/>
    <cellStyle name="20 % - Markeringsfarve5 3 2 4" xfId="5010" xr:uid="{00000000-0005-0000-0000-000066370000}"/>
    <cellStyle name="20 % - Markeringsfarve5 3 2 4 2" xfId="5011" xr:uid="{00000000-0005-0000-0000-000067370000}"/>
    <cellStyle name="20 % - Markeringsfarve5 3 2 4 2 2" xfId="10112" xr:uid="{00000000-0005-0000-0000-000068370000}"/>
    <cellStyle name="20 % - Markeringsfarve5 3 2 4 2 2 2" xfId="17967" xr:uid="{00000000-0005-0000-0000-000069370000}"/>
    <cellStyle name="20 % - Markeringsfarve5 3 2 4 2 2 2 2" xfId="34243" xr:uid="{00000000-0005-0000-0000-00006A370000}"/>
    <cellStyle name="20 % - Markeringsfarve5 3 2 4 2 2 2 3" xfId="49202" xr:uid="{00000000-0005-0000-0000-00006B370000}"/>
    <cellStyle name="20 % - Markeringsfarve5 3 2 4 2 2 3" xfId="27241" xr:uid="{00000000-0005-0000-0000-00006C370000}"/>
    <cellStyle name="20 % - Markeringsfarve5 3 2 4 2 2 4" xfId="42205" xr:uid="{00000000-0005-0000-0000-00006D370000}"/>
    <cellStyle name="20 % - Markeringsfarve5 3 2 4 2 3" xfId="13496" xr:uid="{00000000-0005-0000-0000-00006E370000}"/>
    <cellStyle name="20 % - Markeringsfarve5 3 2 4 2 3 2" xfId="29775" xr:uid="{00000000-0005-0000-0000-00006F370000}"/>
    <cellStyle name="20 % - Markeringsfarve5 3 2 4 2 3 3" xfId="44736" xr:uid="{00000000-0005-0000-0000-000070370000}"/>
    <cellStyle name="20 % - Markeringsfarve5 3 2 4 2 4" xfId="22773" xr:uid="{00000000-0005-0000-0000-000071370000}"/>
    <cellStyle name="20 % - Markeringsfarve5 3 2 4 2 5" xfId="37739" xr:uid="{00000000-0005-0000-0000-000072370000}"/>
    <cellStyle name="20 % - Markeringsfarve5 3 2 4 3" xfId="5012" xr:uid="{00000000-0005-0000-0000-000073370000}"/>
    <cellStyle name="20 % - Markeringsfarve5 3 2 4 3 2" xfId="9389" xr:uid="{00000000-0005-0000-0000-000074370000}"/>
    <cellStyle name="20 % - Markeringsfarve5 3 2 4 3 2 2" xfId="17252" xr:uid="{00000000-0005-0000-0000-000075370000}"/>
    <cellStyle name="20 % - Markeringsfarve5 3 2 4 3 2 2 2" xfId="33528" xr:uid="{00000000-0005-0000-0000-000076370000}"/>
    <cellStyle name="20 % - Markeringsfarve5 3 2 4 3 2 2 3" xfId="48487" xr:uid="{00000000-0005-0000-0000-000077370000}"/>
    <cellStyle name="20 % - Markeringsfarve5 3 2 4 3 2 3" xfId="26526" xr:uid="{00000000-0005-0000-0000-000078370000}"/>
    <cellStyle name="20 % - Markeringsfarve5 3 2 4 3 2 4" xfId="41490" xr:uid="{00000000-0005-0000-0000-000079370000}"/>
    <cellStyle name="20 % - Markeringsfarve5 3 2 4 3 3" xfId="13497" xr:uid="{00000000-0005-0000-0000-00007A370000}"/>
    <cellStyle name="20 % - Markeringsfarve5 3 2 4 3 3 2" xfId="29776" xr:uid="{00000000-0005-0000-0000-00007B370000}"/>
    <cellStyle name="20 % - Markeringsfarve5 3 2 4 3 3 3" xfId="44737" xr:uid="{00000000-0005-0000-0000-00007C370000}"/>
    <cellStyle name="20 % - Markeringsfarve5 3 2 4 3 4" xfId="22774" xr:uid="{00000000-0005-0000-0000-00007D370000}"/>
    <cellStyle name="20 % - Markeringsfarve5 3 2 4 3 5" xfId="37740" xr:uid="{00000000-0005-0000-0000-00007E370000}"/>
    <cellStyle name="20 % - Markeringsfarve5 3 2 4 4" xfId="7870" xr:uid="{00000000-0005-0000-0000-00007F370000}"/>
    <cellStyle name="20 % - Markeringsfarve5 3 2 4 4 2" xfId="15735" xr:uid="{00000000-0005-0000-0000-000080370000}"/>
    <cellStyle name="20 % - Markeringsfarve5 3 2 4 4 2 2" xfId="32011" xr:uid="{00000000-0005-0000-0000-000081370000}"/>
    <cellStyle name="20 % - Markeringsfarve5 3 2 4 4 2 3" xfId="46970" xr:uid="{00000000-0005-0000-0000-000082370000}"/>
    <cellStyle name="20 % - Markeringsfarve5 3 2 4 4 3" xfId="25009" xr:uid="{00000000-0005-0000-0000-000083370000}"/>
    <cellStyle name="20 % - Markeringsfarve5 3 2 4 4 4" xfId="39973" xr:uid="{00000000-0005-0000-0000-000084370000}"/>
    <cellStyle name="20 % - Markeringsfarve5 3 2 4 5" xfId="13495" xr:uid="{00000000-0005-0000-0000-000085370000}"/>
    <cellStyle name="20 % - Markeringsfarve5 3 2 4 5 2" xfId="29774" xr:uid="{00000000-0005-0000-0000-000086370000}"/>
    <cellStyle name="20 % - Markeringsfarve5 3 2 4 5 3" xfId="44735" xr:uid="{00000000-0005-0000-0000-000087370000}"/>
    <cellStyle name="20 % - Markeringsfarve5 3 2 4 6" xfId="22772" xr:uid="{00000000-0005-0000-0000-000088370000}"/>
    <cellStyle name="20 % - Markeringsfarve5 3 2 4 7" xfId="37738" xr:uid="{00000000-0005-0000-0000-000089370000}"/>
    <cellStyle name="20 % - Markeringsfarve5 3 2 5" xfId="5013" xr:uid="{00000000-0005-0000-0000-00008A370000}"/>
    <cellStyle name="20 % - Markeringsfarve5 3 2 5 2" xfId="5014" xr:uid="{00000000-0005-0000-0000-00008B370000}"/>
    <cellStyle name="20 % - Markeringsfarve5 3 2 5 2 2" xfId="10229" xr:uid="{00000000-0005-0000-0000-00008C370000}"/>
    <cellStyle name="20 % - Markeringsfarve5 3 2 5 2 2 2" xfId="18084" xr:uid="{00000000-0005-0000-0000-00008D370000}"/>
    <cellStyle name="20 % - Markeringsfarve5 3 2 5 2 2 2 2" xfId="34360" xr:uid="{00000000-0005-0000-0000-00008E370000}"/>
    <cellStyle name="20 % - Markeringsfarve5 3 2 5 2 2 2 3" xfId="49319" xr:uid="{00000000-0005-0000-0000-00008F370000}"/>
    <cellStyle name="20 % - Markeringsfarve5 3 2 5 2 2 3" xfId="27358" xr:uid="{00000000-0005-0000-0000-000090370000}"/>
    <cellStyle name="20 % - Markeringsfarve5 3 2 5 2 2 4" xfId="42322" xr:uid="{00000000-0005-0000-0000-000091370000}"/>
    <cellStyle name="20 % - Markeringsfarve5 3 2 5 2 3" xfId="13499" xr:uid="{00000000-0005-0000-0000-000092370000}"/>
    <cellStyle name="20 % - Markeringsfarve5 3 2 5 2 3 2" xfId="29778" xr:uid="{00000000-0005-0000-0000-000093370000}"/>
    <cellStyle name="20 % - Markeringsfarve5 3 2 5 2 3 3" xfId="44739" xr:uid="{00000000-0005-0000-0000-000094370000}"/>
    <cellStyle name="20 % - Markeringsfarve5 3 2 5 2 4" xfId="22776" xr:uid="{00000000-0005-0000-0000-000095370000}"/>
    <cellStyle name="20 % - Markeringsfarve5 3 2 5 2 5" xfId="37742" xr:uid="{00000000-0005-0000-0000-000096370000}"/>
    <cellStyle name="20 % - Markeringsfarve5 3 2 5 3" xfId="5015" xr:uid="{00000000-0005-0000-0000-000097370000}"/>
    <cellStyle name="20 % - Markeringsfarve5 3 2 5 3 2" xfId="9506" xr:uid="{00000000-0005-0000-0000-000098370000}"/>
    <cellStyle name="20 % - Markeringsfarve5 3 2 5 3 2 2" xfId="17369" xr:uid="{00000000-0005-0000-0000-000099370000}"/>
    <cellStyle name="20 % - Markeringsfarve5 3 2 5 3 2 2 2" xfId="33645" xr:uid="{00000000-0005-0000-0000-00009A370000}"/>
    <cellStyle name="20 % - Markeringsfarve5 3 2 5 3 2 2 3" xfId="48604" xr:uid="{00000000-0005-0000-0000-00009B370000}"/>
    <cellStyle name="20 % - Markeringsfarve5 3 2 5 3 2 3" xfId="26643" xr:uid="{00000000-0005-0000-0000-00009C370000}"/>
    <cellStyle name="20 % - Markeringsfarve5 3 2 5 3 2 4" xfId="41607" xr:uid="{00000000-0005-0000-0000-00009D370000}"/>
    <cellStyle name="20 % - Markeringsfarve5 3 2 5 3 3" xfId="13500" xr:uid="{00000000-0005-0000-0000-00009E370000}"/>
    <cellStyle name="20 % - Markeringsfarve5 3 2 5 3 3 2" xfId="29779" xr:uid="{00000000-0005-0000-0000-00009F370000}"/>
    <cellStyle name="20 % - Markeringsfarve5 3 2 5 3 3 3" xfId="44740" xr:uid="{00000000-0005-0000-0000-0000A0370000}"/>
    <cellStyle name="20 % - Markeringsfarve5 3 2 5 3 4" xfId="22777" xr:uid="{00000000-0005-0000-0000-0000A1370000}"/>
    <cellStyle name="20 % - Markeringsfarve5 3 2 5 3 5" xfId="37743" xr:uid="{00000000-0005-0000-0000-0000A2370000}"/>
    <cellStyle name="20 % - Markeringsfarve5 3 2 5 4" xfId="7871" xr:uid="{00000000-0005-0000-0000-0000A3370000}"/>
    <cellStyle name="20 % - Markeringsfarve5 3 2 5 4 2" xfId="15736" xr:uid="{00000000-0005-0000-0000-0000A4370000}"/>
    <cellStyle name="20 % - Markeringsfarve5 3 2 5 4 2 2" xfId="32012" xr:uid="{00000000-0005-0000-0000-0000A5370000}"/>
    <cellStyle name="20 % - Markeringsfarve5 3 2 5 4 2 3" xfId="46971" xr:uid="{00000000-0005-0000-0000-0000A6370000}"/>
    <cellStyle name="20 % - Markeringsfarve5 3 2 5 4 3" xfId="25010" xr:uid="{00000000-0005-0000-0000-0000A7370000}"/>
    <cellStyle name="20 % - Markeringsfarve5 3 2 5 4 4" xfId="39974" xr:uid="{00000000-0005-0000-0000-0000A8370000}"/>
    <cellStyle name="20 % - Markeringsfarve5 3 2 5 5" xfId="13498" xr:uid="{00000000-0005-0000-0000-0000A9370000}"/>
    <cellStyle name="20 % - Markeringsfarve5 3 2 5 5 2" xfId="29777" xr:uid="{00000000-0005-0000-0000-0000AA370000}"/>
    <cellStyle name="20 % - Markeringsfarve5 3 2 5 5 3" xfId="44738" xr:uid="{00000000-0005-0000-0000-0000AB370000}"/>
    <cellStyle name="20 % - Markeringsfarve5 3 2 5 6" xfId="22775" xr:uid="{00000000-0005-0000-0000-0000AC370000}"/>
    <cellStyle name="20 % - Markeringsfarve5 3 2 5 7" xfId="37741" xr:uid="{00000000-0005-0000-0000-0000AD370000}"/>
    <cellStyle name="20 % - Markeringsfarve5 3 2 6" xfId="5016" xr:uid="{00000000-0005-0000-0000-0000AE370000}"/>
    <cellStyle name="20 % - Markeringsfarve5 3 2 6 2" xfId="5017" xr:uid="{00000000-0005-0000-0000-0000AF370000}"/>
    <cellStyle name="20 % - Markeringsfarve5 3 2 6 2 2" xfId="10326" xr:uid="{00000000-0005-0000-0000-0000B0370000}"/>
    <cellStyle name="20 % - Markeringsfarve5 3 2 6 2 2 2" xfId="18181" xr:uid="{00000000-0005-0000-0000-0000B1370000}"/>
    <cellStyle name="20 % - Markeringsfarve5 3 2 6 2 2 2 2" xfId="34457" xr:uid="{00000000-0005-0000-0000-0000B2370000}"/>
    <cellStyle name="20 % - Markeringsfarve5 3 2 6 2 2 2 3" xfId="49416" xr:uid="{00000000-0005-0000-0000-0000B3370000}"/>
    <cellStyle name="20 % - Markeringsfarve5 3 2 6 2 2 3" xfId="27455" xr:uid="{00000000-0005-0000-0000-0000B4370000}"/>
    <cellStyle name="20 % - Markeringsfarve5 3 2 6 2 2 4" xfId="42419" xr:uid="{00000000-0005-0000-0000-0000B5370000}"/>
    <cellStyle name="20 % - Markeringsfarve5 3 2 6 2 3" xfId="13502" xr:uid="{00000000-0005-0000-0000-0000B6370000}"/>
    <cellStyle name="20 % - Markeringsfarve5 3 2 6 2 3 2" xfId="29781" xr:uid="{00000000-0005-0000-0000-0000B7370000}"/>
    <cellStyle name="20 % - Markeringsfarve5 3 2 6 2 3 3" xfId="44742" xr:uid="{00000000-0005-0000-0000-0000B8370000}"/>
    <cellStyle name="20 % - Markeringsfarve5 3 2 6 2 4" xfId="22779" xr:uid="{00000000-0005-0000-0000-0000B9370000}"/>
    <cellStyle name="20 % - Markeringsfarve5 3 2 6 2 5" xfId="37745" xr:uid="{00000000-0005-0000-0000-0000BA370000}"/>
    <cellStyle name="20 % - Markeringsfarve5 3 2 6 3" xfId="5018" xr:uid="{00000000-0005-0000-0000-0000BB370000}"/>
    <cellStyle name="20 % - Markeringsfarve5 3 2 6 3 2" xfId="9604" xr:uid="{00000000-0005-0000-0000-0000BC370000}"/>
    <cellStyle name="20 % - Markeringsfarve5 3 2 6 3 2 2" xfId="17467" xr:uid="{00000000-0005-0000-0000-0000BD370000}"/>
    <cellStyle name="20 % - Markeringsfarve5 3 2 6 3 2 2 2" xfId="33743" xr:uid="{00000000-0005-0000-0000-0000BE370000}"/>
    <cellStyle name="20 % - Markeringsfarve5 3 2 6 3 2 2 3" xfId="48702" xr:uid="{00000000-0005-0000-0000-0000BF370000}"/>
    <cellStyle name="20 % - Markeringsfarve5 3 2 6 3 2 3" xfId="26741" xr:uid="{00000000-0005-0000-0000-0000C0370000}"/>
    <cellStyle name="20 % - Markeringsfarve5 3 2 6 3 2 4" xfId="41705" xr:uid="{00000000-0005-0000-0000-0000C1370000}"/>
    <cellStyle name="20 % - Markeringsfarve5 3 2 6 3 3" xfId="13503" xr:uid="{00000000-0005-0000-0000-0000C2370000}"/>
    <cellStyle name="20 % - Markeringsfarve5 3 2 6 3 3 2" xfId="29782" xr:uid="{00000000-0005-0000-0000-0000C3370000}"/>
    <cellStyle name="20 % - Markeringsfarve5 3 2 6 3 3 3" xfId="44743" xr:uid="{00000000-0005-0000-0000-0000C4370000}"/>
    <cellStyle name="20 % - Markeringsfarve5 3 2 6 3 4" xfId="22780" xr:uid="{00000000-0005-0000-0000-0000C5370000}"/>
    <cellStyle name="20 % - Markeringsfarve5 3 2 6 3 5" xfId="37746" xr:uid="{00000000-0005-0000-0000-0000C6370000}"/>
    <cellStyle name="20 % - Markeringsfarve5 3 2 6 4" xfId="7872" xr:uid="{00000000-0005-0000-0000-0000C7370000}"/>
    <cellStyle name="20 % - Markeringsfarve5 3 2 6 4 2" xfId="15737" xr:uid="{00000000-0005-0000-0000-0000C8370000}"/>
    <cellStyle name="20 % - Markeringsfarve5 3 2 6 4 2 2" xfId="32013" xr:uid="{00000000-0005-0000-0000-0000C9370000}"/>
    <cellStyle name="20 % - Markeringsfarve5 3 2 6 4 2 3" xfId="46972" xr:uid="{00000000-0005-0000-0000-0000CA370000}"/>
    <cellStyle name="20 % - Markeringsfarve5 3 2 6 4 3" xfId="25011" xr:uid="{00000000-0005-0000-0000-0000CB370000}"/>
    <cellStyle name="20 % - Markeringsfarve5 3 2 6 4 4" xfId="39975" xr:uid="{00000000-0005-0000-0000-0000CC370000}"/>
    <cellStyle name="20 % - Markeringsfarve5 3 2 6 5" xfId="13501" xr:uid="{00000000-0005-0000-0000-0000CD370000}"/>
    <cellStyle name="20 % - Markeringsfarve5 3 2 6 5 2" xfId="29780" xr:uid="{00000000-0005-0000-0000-0000CE370000}"/>
    <cellStyle name="20 % - Markeringsfarve5 3 2 6 5 3" xfId="44741" xr:uid="{00000000-0005-0000-0000-0000CF370000}"/>
    <cellStyle name="20 % - Markeringsfarve5 3 2 6 6" xfId="22778" xr:uid="{00000000-0005-0000-0000-0000D0370000}"/>
    <cellStyle name="20 % - Markeringsfarve5 3 2 6 7" xfId="37744" xr:uid="{00000000-0005-0000-0000-0000D1370000}"/>
    <cellStyle name="20 % - Markeringsfarve5 3 2 7" xfId="5019" xr:uid="{00000000-0005-0000-0000-0000D2370000}"/>
    <cellStyle name="20 % - Markeringsfarve5 3 2 7 2" xfId="9756" xr:uid="{00000000-0005-0000-0000-0000D3370000}"/>
    <cellStyle name="20 % - Markeringsfarve5 3 2 7 2 2" xfId="17610" xr:uid="{00000000-0005-0000-0000-0000D4370000}"/>
    <cellStyle name="20 % - Markeringsfarve5 3 2 7 2 2 2" xfId="33886" xr:uid="{00000000-0005-0000-0000-0000D5370000}"/>
    <cellStyle name="20 % - Markeringsfarve5 3 2 7 2 2 3" xfId="48845" xr:uid="{00000000-0005-0000-0000-0000D6370000}"/>
    <cellStyle name="20 % - Markeringsfarve5 3 2 7 2 3" xfId="26884" xr:uid="{00000000-0005-0000-0000-0000D7370000}"/>
    <cellStyle name="20 % - Markeringsfarve5 3 2 7 2 4" xfId="41848" xr:uid="{00000000-0005-0000-0000-0000D8370000}"/>
    <cellStyle name="20 % - Markeringsfarve5 3 2 7 3" xfId="13504" xr:uid="{00000000-0005-0000-0000-0000D9370000}"/>
    <cellStyle name="20 % - Markeringsfarve5 3 2 7 3 2" xfId="29783" xr:uid="{00000000-0005-0000-0000-0000DA370000}"/>
    <cellStyle name="20 % - Markeringsfarve5 3 2 7 3 3" xfId="44744" xr:uid="{00000000-0005-0000-0000-0000DB370000}"/>
    <cellStyle name="20 % - Markeringsfarve5 3 2 7 4" xfId="22781" xr:uid="{00000000-0005-0000-0000-0000DC370000}"/>
    <cellStyle name="20 % - Markeringsfarve5 3 2 7 5" xfId="37747" xr:uid="{00000000-0005-0000-0000-0000DD370000}"/>
    <cellStyle name="20 % - Markeringsfarve5 3 2 8" xfId="5020" xr:uid="{00000000-0005-0000-0000-0000DE370000}"/>
    <cellStyle name="20 % - Markeringsfarve5 3 2 8 2" xfId="8984" xr:uid="{00000000-0005-0000-0000-0000DF370000}"/>
    <cellStyle name="20 % - Markeringsfarve5 3 2 8 2 2" xfId="16848" xr:uid="{00000000-0005-0000-0000-0000E0370000}"/>
    <cellStyle name="20 % - Markeringsfarve5 3 2 8 2 2 2" xfId="33124" xr:uid="{00000000-0005-0000-0000-0000E1370000}"/>
    <cellStyle name="20 % - Markeringsfarve5 3 2 8 2 2 3" xfId="48083" xr:uid="{00000000-0005-0000-0000-0000E2370000}"/>
    <cellStyle name="20 % - Markeringsfarve5 3 2 8 2 3" xfId="26122" xr:uid="{00000000-0005-0000-0000-0000E3370000}"/>
    <cellStyle name="20 % - Markeringsfarve5 3 2 8 2 4" xfId="41086" xr:uid="{00000000-0005-0000-0000-0000E4370000}"/>
    <cellStyle name="20 % - Markeringsfarve5 3 2 8 3" xfId="13505" xr:uid="{00000000-0005-0000-0000-0000E5370000}"/>
    <cellStyle name="20 % - Markeringsfarve5 3 2 8 3 2" xfId="29784" xr:uid="{00000000-0005-0000-0000-0000E6370000}"/>
    <cellStyle name="20 % - Markeringsfarve5 3 2 8 3 3" xfId="44745" xr:uid="{00000000-0005-0000-0000-0000E7370000}"/>
    <cellStyle name="20 % - Markeringsfarve5 3 2 8 4" xfId="22782" xr:uid="{00000000-0005-0000-0000-0000E8370000}"/>
    <cellStyle name="20 % - Markeringsfarve5 3 2 8 5" xfId="37748" xr:uid="{00000000-0005-0000-0000-0000E9370000}"/>
    <cellStyle name="20 % - Markeringsfarve5 3 2 9" xfId="7867" xr:uid="{00000000-0005-0000-0000-0000EA370000}"/>
    <cellStyle name="20 % - Markeringsfarve5 3 2 9 2" xfId="15732" xr:uid="{00000000-0005-0000-0000-0000EB370000}"/>
    <cellStyle name="20 % - Markeringsfarve5 3 2 9 2 2" xfId="32008" xr:uid="{00000000-0005-0000-0000-0000EC370000}"/>
    <cellStyle name="20 % - Markeringsfarve5 3 2 9 2 3" xfId="46967" xr:uid="{00000000-0005-0000-0000-0000ED370000}"/>
    <cellStyle name="20 % - Markeringsfarve5 3 2 9 3" xfId="25006" xr:uid="{00000000-0005-0000-0000-0000EE370000}"/>
    <cellStyle name="20 % - Markeringsfarve5 3 2 9 4" xfId="39970" xr:uid="{00000000-0005-0000-0000-0000EF370000}"/>
    <cellStyle name="20 % - Markeringsfarve5 3 3" xfId="5021" xr:uid="{00000000-0005-0000-0000-0000F0370000}"/>
    <cellStyle name="20 % - Markeringsfarve5 3 3 10" xfId="13506" xr:uid="{00000000-0005-0000-0000-0000F1370000}"/>
    <cellStyle name="20 % - Markeringsfarve5 3 3 10 2" xfId="29785" xr:uid="{00000000-0005-0000-0000-0000F2370000}"/>
    <cellStyle name="20 % - Markeringsfarve5 3 3 10 3" xfId="44746" xr:uid="{00000000-0005-0000-0000-0000F3370000}"/>
    <cellStyle name="20 % - Markeringsfarve5 3 3 11" xfId="22783" xr:uid="{00000000-0005-0000-0000-0000F4370000}"/>
    <cellStyle name="20 % - Markeringsfarve5 3 3 12" xfId="37749" xr:uid="{00000000-0005-0000-0000-0000F5370000}"/>
    <cellStyle name="20 % - Markeringsfarve5 3 3 2" xfId="5022" xr:uid="{00000000-0005-0000-0000-0000F6370000}"/>
    <cellStyle name="20 % - Markeringsfarve5 3 3 2 2" xfId="5023" xr:uid="{00000000-0005-0000-0000-0000F7370000}"/>
    <cellStyle name="20 % - Markeringsfarve5 3 3 2 2 2" xfId="9913" xr:uid="{00000000-0005-0000-0000-0000F8370000}"/>
    <cellStyle name="20 % - Markeringsfarve5 3 3 2 2 2 2" xfId="17768" xr:uid="{00000000-0005-0000-0000-0000F9370000}"/>
    <cellStyle name="20 % - Markeringsfarve5 3 3 2 2 2 2 2" xfId="34044" xr:uid="{00000000-0005-0000-0000-0000FA370000}"/>
    <cellStyle name="20 % - Markeringsfarve5 3 3 2 2 2 2 3" xfId="49003" xr:uid="{00000000-0005-0000-0000-0000FB370000}"/>
    <cellStyle name="20 % - Markeringsfarve5 3 3 2 2 2 3" xfId="27042" xr:uid="{00000000-0005-0000-0000-0000FC370000}"/>
    <cellStyle name="20 % - Markeringsfarve5 3 3 2 2 2 4" xfId="42006" xr:uid="{00000000-0005-0000-0000-0000FD370000}"/>
    <cellStyle name="20 % - Markeringsfarve5 3 3 2 2 3" xfId="13508" xr:uid="{00000000-0005-0000-0000-0000FE370000}"/>
    <cellStyle name="20 % - Markeringsfarve5 3 3 2 2 3 2" xfId="29787" xr:uid="{00000000-0005-0000-0000-0000FF370000}"/>
    <cellStyle name="20 % - Markeringsfarve5 3 3 2 2 3 3" xfId="44748" xr:uid="{00000000-0005-0000-0000-000000380000}"/>
    <cellStyle name="20 % - Markeringsfarve5 3 3 2 2 4" xfId="22785" xr:uid="{00000000-0005-0000-0000-000001380000}"/>
    <cellStyle name="20 % - Markeringsfarve5 3 3 2 2 5" xfId="37751" xr:uid="{00000000-0005-0000-0000-000002380000}"/>
    <cellStyle name="20 % - Markeringsfarve5 3 3 2 3" xfId="5024" xr:uid="{00000000-0005-0000-0000-000003380000}"/>
    <cellStyle name="20 % - Markeringsfarve5 3 3 2 3 2" xfId="9144" xr:uid="{00000000-0005-0000-0000-000004380000}"/>
    <cellStyle name="20 % - Markeringsfarve5 3 3 2 3 2 2" xfId="17008" xr:uid="{00000000-0005-0000-0000-000005380000}"/>
    <cellStyle name="20 % - Markeringsfarve5 3 3 2 3 2 2 2" xfId="33284" xr:uid="{00000000-0005-0000-0000-000006380000}"/>
    <cellStyle name="20 % - Markeringsfarve5 3 3 2 3 2 2 3" xfId="48243" xr:uid="{00000000-0005-0000-0000-000007380000}"/>
    <cellStyle name="20 % - Markeringsfarve5 3 3 2 3 2 3" xfId="26282" xr:uid="{00000000-0005-0000-0000-000008380000}"/>
    <cellStyle name="20 % - Markeringsfarve5 3 3 2 3 2 4" xfId="41246" xr:uid="{00000000-0005-0000-0000-000009380000}"/>
    <cellStyle name="20 % - Markeringsfarve5 3 3 2 3 3" xfId="13509" xr:uid="{00000000-0005-0000-0000-00000A380000}"/>
    <cellStyle name="20 % - Markeringsfarve5 3 3 2 3 3 2" xfId="29788" xr:uid="{00000000-0005-0000-0000-00000B380000}"/>
    <cellStyle name="20 % - Markeringsfarve5 3 3 2 3 3 3" xfId="44749" xr:uid="{00000000-0005-0000-0000-00000C380000}"/>
    <cellStyle name="20 % - Markeringsfarve5 3 3 2 3 4" xfId="22786" xr:uid="{00000000-0005-0000-0000-00000D380000}"/>
    <cellStyle name="20 % - Markeringsfarve5 3 3 2 3 5" xfId="37752" xr:uid="{00000000-0005-0000-0000-00000E380000}"/>
    <cellStyle name="20 % - Markeringsfarve5 3 3 2 4" xfId="7874" xr:uid="{00000000-0005-0000-0000-00000F380000}"/>
    <cellStyle name="20 % - Markeringsfarve5 3 3 2 4 2" xfId="15739" xr:uid="{00000000-0005-0000-0000-000010380000}"/>
    <cellStyle name="20 % - Markeringsfarve5 3 3 2 4 2 2" xfId="32015" xr:uid="{00000000-0005-0000-0000-000011380000}"/>
    <cellStyle name="20 % - Markeringsfarve5 3 3 2 4 2 3" xfId="46974" xr:uid="{00000000-0005-0000-0000-000012380000}"/>
    <cellStyle name="20 % - Markeringsfarve5 3 3 2 4 3" xfId="25013" xr:uid="{00000000-0005-0000-0000-000013380000}"/>
    <cellStyle name="20 % - Markeringsfarve5 3 3 2 4 4" xfId="39977" xr:uid="{00000000-0005-0000-0000-000014380000}"/>
    <cellStyle name="20 % - Markeringsfarve5 3 3 2 5" xfId="13507" xr:uid="{00000000-0005-0000-0000-000015380000}"/>
    <cellStyle name="20 % - Markeringsfarve5 3 3 2 5 2" xfId="29786" xr:uid="{00000000-0005-0000-0000-000016380000}"/>
    <cellStyle name="20 % - Markeringsfarve5 3 3 2 5 3" xfId="44747" xr:uid="{00000000-0005-0000-0000-000017380000}"/>
    <cellStyle name="20 % - Markeringsfarve5 3 3 2 6" xfId="22784" xr:uid="{00000000-0005-0000-0000-000018380000}"/>
    <cellStyle name="20 % - Markeringsfarve5 3 3 2 7" xfId="37750" xr:uid="{00000000-0005-0000-0000-000019380000}"/>
    <cellStyle name="20 % - Markeringsfarve5 3 3 3" xfId="5025" xr:uid="{00000000-0005-0000-0000-00001A380000}"/>
    <cellStyle name="20 % - Markeringsfarve5 3 3 3 2" xfId="5026" xr:uid="{00000000-0005-0000-0000-00001B380000}"/>
    <cellStyle name="20 % - Markeringsfarve5 3 3 3 2 2" xfId="9973" xr:uid="{00000000-0005-0000-0000-00001C380000}"/>
    <cellStyle name="20 % - Markeringsfarve5 3 3 3 2 2 2" xfId="17828" xr:uid="{00000000-0005-0000-0000-00001D380000}"/>
    <cellStyle name="20 % - Markeringsfarve5 3 3 3 2 2 2 2" xfId="34104" xr:uid="{00000000-0005-0000-0000-00001E380000}"/>
    <cellStyle name="20 % - Markeringsfarve5 3 3 3 2 2 2 3" xfId="49063" xr:uid="{00000000-0005-0000-0000-00001F380000}"/>
    <cellStyle name="20 % - Markeringsfarve5 3 3 3 2 2 3" xfId="27102" xr:uid="{00000000-0005-0000-0000-000020380000}"/>
    <cellStyle name="20 % - Markeringsfarve5 3 3 3 2 2 4" xfId="42066" xr:uid="{00000000-0005-0000-0000-000021380000}"/>
    <cellStyle name="20 % - Markeringsfarve5 3 3 3 2 3" xfId="13511" xr:uid="{00000000-0005-0000-0000-000022380000}"/>
    <cellStyle name="20 % - Markeringsfarve5 3 3 3 2 3 2" xfId="29790" xr:uid="{00000000-0005-0000-0000-000023380000}"/>
    <cellStyle name="20 % - Markeringsfarve5 3 3 3 2 3 3" xfId="44751" xr:uid="{00000000-0005-0000-0000-000024380000}"/>
    <cellStyle name="20 % - Markeringsfarve5 3 3 3 2 4" xfId="22788" xr:uid="{00000000-0005-0000-0000-000025380000}"/>
    <cellStyle name="20 % - Markeringsfarve5 3 3 3 2 5" xfId="37754" xr:uid="{00000000-0005-0000-0000-000026380000}"/>
    <cellStyle name="20 % - Markeringsfarve5 3 3 3 3" xfId="5027" xr:uid="{00000000-0005-0000-0000-000027380000}"/>
    <cellStyle name="20 % - Markeringsfarve5 3 3 3 3 2" xfId="9204" xr:uid="{00000000-0005-0000-0000-000028380000}"/>
    <cellStyle name="20 % - Markeringsfarve5 3 3 3 3 2 2" xfId="17068" xr:uid="{00000000-0005-0000-0000-000029380000}"/>
    <cellStyle name="20 % - Markeringsfarve5 3 3 3 3 2 2 2" xfId="33344" xr:uid="{00000000-0005-0000-0000-00002A380000}"/>
    <cellStyle name="20 % - Markeringsfarve5 3 3 3 3 2 2 3" xfId="48303" xr:uid="{00000000-0005-0000-0000-00002B380000}"/>
    <cellStyle name="20 % - Markeringsfarve5 3 3 3 3 2 3" xfId="26342" xr:uid="{00000000-0005-0000-0000-00002C380000}"/>
    <cellStyle name="20 % - Markeringsfarve5 3 3 3 3 2 4" xfId="41306" xr:uid="{00000000-0005-0000-0000-00002D380000}"/>
    <cellStyle name="20 % - Markeringsfarve5 3 3 3 3 3" xfId="13512" xr:uid="{00000000-0005-0000-0000-00002E380000}"/>
    <cellStyle name="20 % - Markeringsfarve5 3 3 3 3 3 2" xfId="29791" xr:uid="{00000000-0005-0000-0000-00002F380000}"/>
    <cellStyle name="20 % - Markeringsfarve5 3 3 3 3 3 3" xfId="44752" xr:uid="{00000000-0005-0000-0000-000030380000}"/>
    <cellStyle name="20 % - Markeringsfarve5 3 3 3 3 4" xfId="22789" xr:uid="{00000000-0005-0000-0000-000031380000}"/>
    <cellStyle name="20 % - Markeringsfarve5 3 3 3 3 5" xfId="37755" xr:uid="{00000000-0005-0000-0000-000032380000}"/>
    <cellStyle name="20 % - Markeringsfarve5 3 3 3 4" xfId="7875" xr:uid="{00000000-0005-0000-0000-000033380000}"/>
    <cellStyle name="20 % - Markeringsfarve5 3 3 3 4 2" xfId="15740" xr:uid="{00000000-0005-0000-0000-000034380000}"/>
    <cellStyle name="20 % - Markeringsfarve5 3 3 3 4 2 2" xfId="32016" xr:uid="{00000000-0005-0000-0000-000035380000}"/>
    <cellStyle name="20 % - Markeringsfarve5 3 3 3 4 2 3" xfId="46975" xr:uid="{00000000-0005-0000-0000-000036380000}"/>
    <cellStyle name="20 % - Markeringsfarve5 3 3 3 4 3" xfId="25014" xr:uid="{00000000-0005-0000-0000-000037380000}"/>
    <cellStyle name="20 % - Markeringsfarve5 3 3 3 4 4" xfId="39978" xr:uid="{00000000-0005-0000-0000-000038380000}"/>
    <cellStyle name="20 % - Markeringsfarve5 3 3 3 5" xfId="13510" xr:uid="{00000000-0005-0000-0000-000039380000}"/>
    <cellStyle name="20 % - Markeringsfarve5 3 3 3 5 2" xfId="29789" xr:uid="{00000000-0005-0000-0000-00003A380000}"/>
    <cellStyle name="20 % - Markeringsfarve5 3 3 3 5 3" xfId="44750" xr:uid="{00000000-0005-0000-0000-00003B380000}"/>
    <cellStyle name="20 % - Markeringsfarve5 3 3 3 6" xfId="22787" xr:uid="{00000000-0005-0000-0000-00003C380000}"/>
    <cellStyle name="20 % - Markeringsfarve5 3 3 3 7" xfId="37753" xr:uid="{00000000-0005-0000-0000-00003D380000}"/>
    <cellStyle name="20 % - Markeringsfarve5 3 3 4" xfId="5028" xr:uid="{00000000-0005-0000-0000-00003E380000}"/>
    <cellStyle name="20 % - Markeringsfarve5 3 3 4 2" xfId="5029" xr:uid="{00000000-0005-0000-0000-00003F380000}"/>
    <cellStyle name="20 % - Markeringsfarve5 3 3 4 2 2" xfId="10151" xr:uid="{00000000-0005-0000-0000-000040380000}"/>
    <cellStyle name="20 % - Markeringsfarve5 3 3 4 2 2 2" xfId="18006" xr:uid="{00000000-0005-0000-0000-000041380000}"/>
    <cellStyle name="20 % - Markeringsfarve5 3 3 4 2 2 2 2" xfId="34282" xr:uid="{00000000-0005-0000-0000-000042380000}"/>
    <cellStyle name="20 % - Markeringsfarve5 3 3 4 2 2 2 3" xfId="49241" xr:uid="{00000000-0005-0000-0000-000043380000}"/>
    <cellStyle name="20 % - Markeringsfarve5 3 3 4 2 2 3" xfId="27280" xr:uid="{00000000-0005-0000-0000-000044380000}"/>
    <cellStyle name="20 % - Markeringsfarve5 3 3 4 2 2 4" xfId="42244" xr:uid="{00000000-0005-0000-0000-000045380000}"/>
    <cellStyle name="20 % - Markeringsfarve5 3 3 4 2 3" xfId="13514" xr:uid="{00000000-0005-0000-0000-000046380000}"/>
    <cellStyle name="20 % - Markeringsfarve5 3 3 4 2 3 2" xfId="29793" xr:uid="{00000000-0005-0000-0000-000047380000}"/>
    <cellStyle name="20 % - Markeringsfarve5 3 3 4 2 3 3" xfId="44754" xr:uid="{00000000-0005-0000-0000-000048380000}"/>
    <cellStyle name="20 % - Markeringsfarve5 3 3 4 2 4" xfId="22791" xr:uid="{00000000-0005-0000-0000-000049380000}"/>
    <cellStyle name="20 % - Markeringsfarve5 3 3 4 2 5" xfId="37757" xr:uid="{00000000-0005-0000-0000-00004A380000}"/>
    <cellStyle name="20 % - Markeringsfarve5 3 3 4 3" xfId="5030" xr:uid="{00000000-0005-0000-0000-00004B380000}"/>
    <cellStyle name="20 % - Markeringsfarve5 3 3 4 3 2" xfId="9428" xr:uid="{00000000-0005-0000-0000-00004C380000}"/>
    <cellStyle name="20 % - Markeringsfarve5 3 3 4 3 2 2" xfId="17291" xr:uid="{00000000-0005-0000-0000-00004D380000}"/>
    <cellStyle name="20 % - Markeringsfarve5 3 3 4 3 2 2 2" xfId="33567" xr:uid="{00000000-0005-0000-0000-00004E380000}"/>
    <cellStyle name="20 % - Markeringsfarve5 3 3 4 3 2 2 3" xfId="48526" xr:uid="{00000000-0005-0000-0000-00004F380000}"/>
    <cellStyle name="20 % - Markeringsfarve5 3 3 4 3 2 3" xfId="26565" xr:uid="{00000000-0005-0000-0000-000050380000}"/>
    <cellStyle name="20 % - Markeringsfarve5 3 3 4 3 2 4" xfId="41529" xr:uid="{00000000-0005-0000-0000-000051380000}"/>
    <cellStyle name="20 % - Markeringsfarve5 3 3 4 3 3" xfId="13515" xr:uid="{00000000-0005-0000-0000-000052380000}"/>
    <cellStyle name="20 % - Markeringsfarve5 3 3 4 3 3 2" xfId="29794" xr:uid="{00000000-0005-0000-0000-000053380000}"/>
    <cellStyle name="20 % - Markeringsfarve5 3 3 4 3 3 3" xfId="44755" xr:uid="{00000000-0005-0000-0000-000054380000}"/>
    <cellStyle name="20 % - Markeringsfarve5 3 3 4 3 4" xfId="22792" xr:uid="{00000000-0005-0000-0000-000055380000}"/>
    <cellStyle name="20 % - Markeringsfarve5 3 3 4 3 5" xfId="37758" xr:uid="{00000000-0005-0000-0000-000056380000}"/>
    <cellStyle name="20 % - Markeringsfarve5 3 3 4 4" xfId="7876" xr:uid="{00000000-0005-0000-0000-000057380000}"/>
    <cellStyle name="20 % - Markeringsfarve5 3 3 4 4 2" xfId="15741" xr:uid="{00000000-0005-0000-0000-000058380000}"/>
    <cellStyle name="20 % - Markeringsfarve5 3 3 4 4 2 2" xfId="32017" xr:uid="{00000000-0005-0000-0000-000059380000}"/>
    <cellStyle name="20 % - Markeringsfarve5 3 3 4 4 2 3" xfId="46976" xr:uid="{00000000-0005-0000-0000-00005A380000}"/>
    <cellStyle name="20 % - Markeringsfarve5 3 3 4 4 3" xfId="25015" xr:uid="{00000000-0005-0000-0000-00005B380000}"/>
    <cellStyle name="20 % - Markeringsfarve5 3 3 4 4 4" xfId="39979" xr:uid="{00000000-0005-0000-0000-00005C380000}"/>
    <cellStyle name="20 % - Markeringsfarve5 3 3 4 5" xfId="13513" xr:uid="{00000000-0005-0000-0000-00005D380000}"/>
    <cellStyle name="20 % - Markeringsfarve5 3 3 4 5 2" xfId="29792" xr:uid="{00000000-0005-0000-0000-00005E380000}"/>
    <cellStyle name="20 % - Markeringsfarve5 3 3 4 5 3" xfId="44753" xr:uid="{00000000-0005-0000-0000-00005F380000}"/>
    <cellStyle name="20 % - Markeringsfarve5 3 3 4 6" xfId="22790" xr:uid="{00000000-0005-0000-0000-000060380000}"/>
    <cellStyle name="20 % - Markeringsfarve5 3 3 4 7" xfId="37756" xr:uid="{00000000-0005-0000-0000-000061380000}"/>
    <cellStyle name="20 % - Markeringsfarve5 3 3 5" xfId="5031" xr:uid="{00000000-0005-0000-0000-000062380000}"/>
    <cellStyle name="20 % - Markeringsfarve5 3 3 5 2" xfId="5032" xr:uid="{00000000-0005-0000-0000-000063380000}"/>
    <cellStyle name="20 % - Markeringsfarve5 3 3 5 2 2" xfId="10268" xr:uid="{00000000-0005-0000-0000-000064380000}"/>
    <cellStyle name="20 % - Markeringsfarve5 3 3 5 2 2 2" xfId="18123" xr:uid="{00000000-0005-0000-0000-000065380000}"/>
    <cellStyle name="20 % - Markeringsfarve5 3 3 5 2 2 2 2" xfId="34399" xr:uid="{00000000-0005-0000-0000-000066380000}"/>
    <cellStyle name="20 % - Markeringsfarve5 3 3 5 2 2 2 3" xfId="49358" xr:uid="{00000000-0005-0000-0000-000067380000}"/>
    <cellStyle name="20 % - Markeringsfarve5 3 3 5 2 2 3" xfId="27397" xr:uid="{00000000-0005-0000-0000-000068380000}"/>
    <cellStyle name="20 % - Markeringsfarve5 3 3 5 2 2 4" xfId="42361" xr:uid="{00000000-0005-0000-0000-000069380000}"/>
    <cellStyle name="20 % - Markeringsfarve5 3 3 5 2 3" xfId="13517" xr:uid="{00000000-0005-0000-0000-00006A380000}"/>
    <cellStyle name="20 % - Markeringsfarve5 3 3 5 2 3 2" xfId="29796" xr:uid="{00000000-0005-0000-0000-00006B380000}"/>
    <cellStyle name="20 % - Markeringsfarve5 3 3 5 2 3 3" xfId="44757" xr:uid="{00000000-0005-0000-0000-00006C380000}"/>
    <cellStyle name="20 % - Markeringsfarve5 3 3 5 2 4" xfId="22794" xr:uid="{00000000-0005-0000-0000-00006D380000}"/>
    <cellStyle name="20 % - Markeringsfarve5 3 3 5 2 5" xfId="37760" xr:uid="{00000000-0005-0000-0000-00006E380000}"/>
    <cellStyle name="20 % - Markeringsfarve5 3 3 5 3" xfId="5033" xr:uid="{00000000-0005-0000-0000-00006F380000}"/>
    <cellStyle name="20 % - Markeringsfarve5 3 3 5 3 2" xfId="9545" xr:uid="{00000000-0005-0000-0000-000070380000}"/>
    <cellStyle name="20 % - Markeringsfarve5 3 3 5 3 2 2" xfId="17408" xr:uid="{00000000-0005-0000-0000-000071380000}"/>
    <cellStyle name="20 % - Markeringsfarve5 3 3 5 3 2 2 2" xfId="33684" xr:uid="{00000000-0005-0000-0000-000072380000}"/>
    <cellStyle name="20 % - Markeringsfarve5 3 3 5 3 2 2 3" xfId="48643" xr:uid="{00000000-0005-0000-0000-000073380000}"/>
    <cellStyle name="20 % - Markeringsfarve5 3 3 5 3 2 3" xfId="26682" xr:uid="{00000000-0005-0000-0000-000074380000}"/>
    <cellStyle name="20 % - Markeringsfarve5 3 3 5 3 2 4" xfId="41646" xr:uid="{00000000-0005-0000-0000-000075380000}"/>
    <cellStyle name="20 % - Markeringsfarve5 3 3 5 3 3" xfId="13518" xr:uid="{00000000-0005-0000-0000-000076380000}"/>
    <cellStyle name="20 % - Markeringsfarve5 3 3 5 3 3 2" xfId="29797" xr:uid="{00000000-0005-0000-0000-000077380000}"/>
    <cellStyle name="20 % - Markeringsfarve5 3 3 5 3 3 3" xfId="44758" xr:uid="{00000000-0005-0000-0000-000078380000}"/>
    <cellStyle name="20 % - Markeringsfarve5 3 3 5 3 4" xfId="22795" xr:uid="{00000000-0005-0000-0000-000079380000}"/>
    <cellStyle name="20 % - Markeringsfarve5 3 3 5 3 5" xfId="37761" xr:uid="{00000000-0005-0000-0000-00007A380000}"/>
    <cellStyle name="20 % - Markeringsfarve5 3 3 5 4" xfId="7877" xr:uid="{00000000-0005-0000-0000-00007B380000}"/>
    <cellStyle name="20 % - Markeringsfarve5 3 3 5 4 2" xfId="15742" xr:uid="{00000000-0005-0000-0000-00007C380000}"/>
    <cellStyle name="20 % - Markeringsfarve5 3 3 5 4 2 2" xfId="32018" xr:uid="{00000000-0005-0000-0000-00007D380000}"/>
    <cellStyle name="20 % - Markeringsfarve5 3 3 5 4 2 3" xfId="46977" xr:uid="{00000000-0005-0000-0000-00007E380000}"/>
    <cellStyle name="20 % - Markeringsfarve5 3 3 5 4 3" xfId="25016" xr:uid="{00000000-0005-0000-0000-00007F380000}"/>
    <cellStyle name="20 % - Markeringsfarve5 3 3 5 4 4" xfId="39980" xr:uid="{00000000-0005-0000-0000-000080380000}"/>
    <cellStyle name="20 % - Markeringsfarve5 3 3 5 5" xfId="13516" xr:uid="{00000000-0005-0000-0000-000081380000}"/>
    <cellStyle name="20 % - Markeringsfarve5 3 3 5 5 2" xfId="29795" xr:uid="{00000000-0005-0000-0000-000082380000}"/>
    <cellStyle name="20 % - Markeringsfarve5 3 3 5 5 3" xfId="44756" xr:uid="{00000000-0005-0000-0000-000083380000}"/>
    <cellStyle name="20 % - Markeringsfarve5 3 3 5 6" xfId="22793" xr:uid="{00000000-0005-0000-0000-000084380000}"/>
    <cellStyle name="20 % - Markeringsfarve5 3 3 5 7" xfId="37759" xr:uid="{00000000-0005-0000-0000-000085380000}"/>
    <cellStyle name="20 % - Markeringsfarve5 3 3 6" xfId="5034" xr:uid="{00000000-0005-0000-0000-000086380000}"/>
    <cellStyle name="20 % - Markeringsfarve5 3 3 6 2" xfId="5035" xr:uid="{00000000-0005-0000-0000-000087380000}"/>
    <cellStyle name="20 % - Markeringsfarve5 3 3 6 2 2" xfId="10327" xr:uid="{00000000-0005-0000-0000-000088380000}"/>
    <cellStyle name="20 % - Markeringsfarve5 3 3 6 2 2 2" xfId="18182" xr:uid="{00000000-0005-0000-0000-000089380000}"/>
    <cellStyle name="20 % - Markeringsfarve5 3 3 6 2 2 2 2" xfId="34458" xr:uid="{00000000-0005-0000-0000-00008A380000}"/>
    <cellStyle name="20 % - Markeringsfarve5 3 3 6 2 2 2 3" xfId="49417" xr:uid="{00000000-0005-0000-0000-00008B380000}"/>
    <cellStyle name="20 % - Markeringsfarve5 3 3 6 2 2 3" xfId="27456" xr:uid="{00000000-0005-0000-0000-00008C380000}"/>
    <cellStyle name="20 % - Markeringsfarve5 3 3 6 2 2 4" xfId="42420" xr:uid="{00000000-0005-0000-0000-00008D380000}"/>
    <cellStyle name="20 % - Markeringsfarve5 3 3 6 2 3" xfId="13520" xr:uid="{00000000-0005-0000-0000-00008E380000}"/>
    <cellStyle name="20 % - Markeringsfarve5 3 3 6 2 3 2" xfId="29799" xr:uid="{00000000-0005-0000-0000-00008F380000}"/>
    <cellStyle name="20 % - Markeringsfarve5 3 3 6 2 3 3" xfId="44760" xr:uid="{00000000-0005-0000-0000-000090380000}"/>
    <cellStyle name="20 % - Markeringsfarve5 3 3 6 2 4" xfId="22797" xr:uid="{00000000-0005-0000-0000-000091380000}"/>
    <cellStyle name="20 % - Markeringsfarve5 3 3 6 2 5" xfId="37763" xr:uid="{00000000-0005-0000-0000-000092380000}"/>
    <cellStyle name="20 % - Markeringsfarve5 3 3 6 3" xfId="5036" xr:uid="{00000000-0005-0000-0000-000093380000}"/>
    <cellStyle name="20 % - Markeringsfarve5 3 3 6 3 2" xfId="9605" xr:uid="{00000000-0005-0000-0000-000094380000}"/>
    <cellStyle name="20 % - Markeringsfarve5 3 3 6 3 2 2" xfId="17468" xr:uid="{00000000-0005-0000-0000-000095380000}"/>
    <cellStyle name="20 % - Markeringsfarve5 3 3 6 3 2 2 2" xfId="33744" xr:uid="{00000000-0005-0000-0000-000096380000}"/>
    <cellStyle name="20 % - Markeringsfarve5 3 3 6 3 2 2 3" xfId="48703" xr:uid="{00000000-0005-0000-0000-000097380000}"/>
    <cellStyle name="20 % - Markeringsfarve5 3 3 6 3 2 3" xfId="26742" xr:uid="{00000000-0005-0000-0000-000098380000}"/>
    <cellStyle name="20 % - Markeringsfarve5 3 3 6 3 2 4" xfId="41706" xr:uid="{00000000-0005-0000-0000-000099380000}"/>
    <cellStyle name="20 % - Markeringsfarve5 3 3 6 3 3" xfId="13521" xr:uid="{00000000-0005-0000-0000-00009A380000}"/>
    <cellStyle name="20 % - Markeringsfarve5 3 3 6 3 3 2" xfId="29800" xr:uid="{00000000-0005-0000-0000-00009B380000}"/>
    <cellStyle name="20 % - Markeringsfarve5 3 3 6 3 3 3" xfId="44761" xr:uid="{00000000-0005-0000-0000-00009C380000}"/>
    <cellStyle name="20 % - Markeringsfarve5 3 3 6 3 4" xfId="22798" xr:uid="{00000000-0005-0000-0000-00009D380000}"/>
    <cellStyle name="20 % - Markeringsfarve5 3 3 6 3 5" xfId="37764" xr:uid="{00000000-0005-0000-0000-00009E380000}"/>
    <cellStyle name="20 % - Markeringsfarve5 3 3 6 4" xfId="7878" xr:uid="{00000000-0005-0000-0000-00009F380000}"/>
    <cellStyle name="20 % - Markeringsfarve5 3 3 6 4 2" xfId="15743" xr:uid="{00000000-0005-0000-0000-0000A0380000}"/>
    <cellStyle name="20 % - Markeringsfarve5 3 3 6 4 2 2" xfId="32019" xr:uid="{00000000-0005-0000-0000-0000A1380000}"/>
    <cellStyle name="20 % - Markeringsfarve5 3 3 6 4 2 3" xfId="46978" xr:uid="{00000000-0005-0000-0000-0000A2380000}"/>
    <cellStyle name="20 % - Markeringsfarve5 3 3 6 4 3" xfId="25017" xr:uid="{00000000-0005-0000-0000-0000A3380000}"/>
    <cellStyle name="20 % - Markeringsfarve5 3 3 6 4 4" xfId="39981" xr:uid="{00000000-0005-0000-0000-0000A4380000}"/>
    <cellStyle name="20 % - Markeringsfarve5 3 3 6 5" xfId="13519" xr:uid="{00000000-0005-0000-0000-0000A5380000}"/>
    <cellStyle name="20 % - Markeringsfarve5 3 3 6 5 2" xfId="29798" xr:uid="{00000000-0005-0000-0000-0000A6380000}"/>
    <cellStyle name="20 % - Markeringsfarve5 3 3 6 5 3" xfId="44759" xr:uid="{00000000-0005-0000-0000-0000A7380000}"/>
    <cellStyle name="20 % - Markeringsfarve5 3 3 6 6" xfId="22796" xr:uid="{00000000-0005-0000-0000-0000A8380000}"/>
    <cellStyle name="20 % - Markeringsfarve5 3 3 6 7" xfId="37762" xr:uid="{00000000-0005-0000-0000-0000A9380000}"/>
    <cellStyle name="20 % - Markeringsfarve5 3 3 7" xfId="5037" xr:uid="{00000000-0005-0000-0000-0000AA380000}"/>
    <cellStyle name="20 % - Markeringsfarve5 3 3 7 2" xfId="9795" xr:uid="{00000000-0005-0000-0000-0000AB380000}"/>
    <cellStyle name="20 % - Markeringsfarve5 3 3 7 2 2" xfId="17649" xr:uid="{00000000-0005-0000-0000-0000AC380000}"/>
    <cellStyle name="20 % - Markeringsfarve5 3 3 7 2 2 2" xfId="33925" xr:uid="{00000000-0005-0000-0000-0000AD380000}"/>
    <cellStyle name="20 % - Markeringsfarve5 3 3 7 2 2 3" xfId="48884" xr:uid="{00000000-0005-0000-0000-0000AE380000}"/>
    <cellStyle name="20 % - Markeringsfarve5 3 3 7 2 3" xfId="26923" xr:uid="{00000000-0005-0000-0000-0000AF380000}"/>
    <cellStyle name="20 % - Markeringsfarve5 3 3 7 2 4" xfId="41887" xr:uid="{00000000-0005-0000-0000-0000B0380000}"/>
    <cellStyle name="20 % - Markeringsfarve5 3 3 7 3" xfId="13522" xr:uid="{00000000-0005-0000-0000-0000B1380000}"/>
    <cellStyle name="20 % - Markeringsfarve5 3 3 7 3 2" xfId="29801" xr:uid="{00000000-0005-0000-0000-0000B2380000}"/>
    <cellStyle name="20 % - Markeringsfarve5 3 3 7 3 3" xfId="44762" xr:uid="{00000000-0005-0000-0000-0000B3380000}"/>
    <cellStyle name="20 % - Markeringsfarve5 3 3 7 4" xfId="22799" xr:uid="{00000000-0005-0000-0000-0000B4380000}"/>
    <cellStyle name="20 % - Markeringsfarve5 3 3 7 5" xfId="37765" xr:uid="{00000000-0005-0000-0000-0000B5380000}"/>
    <cellStyle name="20 % - Markeringsfarve5 3 3 8" xfId="5038" xr:uid="{00000000-0005-0000-0000-0000B6380000}"/>
    <cellStyle name="20 % - Markeringsfarve5 3 3 8 2" xfId="9023" xr:uid="{00000000-0005-0000-0000-0000B7380000}"/>
    <cellStyle name="20 % - Markeringsfarve5 3 3 8 2 2" xfId="16887" xr:uid="{00000000-0005-0000-0000-0000B8380000}"/>
    <cellStyle name="20 % - Markeringsfarve5 3 3 8 2 2 2" xfId="33163" xr:uid="{00000000-0005-0000-0000-0000B9380000}"/>
    <cellStyle name="20 % - Markeringsfarve5 3 3 8 2 2 3" xfId="48122" xr:uid="{00000000-0005-0000-0000-0000BA380000}"/>
    <cellStyle name="20 % - Markeringsfarve5 3 3 8 2 3" xfId="26161" xr:uid="{00000000-0005-0000-0000-0000BB380000}"/>
    <cellStyle name="20 % - Markeringsfarve5 3 3 8 2 4" xfId="41125" xr:uid="{00000000-0005-0000-0000-0000BC380000}"/>
    <cellStyle name="20 % - Markeringsfarve5 3 3 8 3" xfId="13523" xr:uid="{00000000-0005-0000-0000-0000BD380000}"/>
    <cellStyle name="20 % - Markeringsfarve5 3 3 8 3 2" xfId="29802" xr:uid="{00000000-0005-0000-0000-0000BE380000}"/>
    <cellStyle name="20 % - Markeringsfarve5 3 3 8 3 3" xfId="44763" xr:uid="{00000000-0005-0000-0000-0000BF380000}"/>
    <cellStyle name="20 % - Markeringsfarve5 3 3 8 4" xfId="22800" xr:uid="{00000000-0005-0000-0000-0000C0380000}"/>
    <cellStyle name="20 % - Markeringsfarve5 3 3 8 5" xfId="37766" xr:uid="{00000000-0005-0000-0000-0000C1380000}"/>
    <cellStyle name="20 % - Markeringsfarve5 3 3 9" xfId="7873" xr:uid="{00000000-0005-0000-0000-0000C2380000}"/>
    <cellStyle name="20 % - Markeringsfarve5 3 3 9 2" xfId="15738" xr:uid="{00000000-0005-0000-0000-0000C3380000}"/>
    <cellStyle name="20 % - Markeringsfarve5 3 3 9 2 2" xfId="32014" xr:uid="{00000000-0005-0000-0000-0000C4380000}"/>
    <cellStyle name="20 % - Markeringsfarve5 3 3 9 2 3" xfId="46973" xr:uid="{00000000-0005-0000-0000-0000C5380000}"/>
    <cellStyle name="20 % - Markeringsfarve5 3 3 9 3" xfId="25012" xr:uid="{00000000-0005-0000-0000-0000C6380000}"/>
    <cellStyle name="20 % - Markeringsfarve5 3 3 9 4" xfId="39976" xr:uid="{00000000-0005-0000-0000-0000C7380000}"/>
    <cellStyle name="20 % - Markeringsfarve5 3 4" xfId="5039" xr:uid="{00000000-0005-0000-0000-0000C8380000}"/>
    <cellStyle name="20 % - Markeringsfarve5 3 4 2" xfId="5040" xr:uid="{00000000-0005-0000-0000-0000C9380000}"/>
    <cellStyle name="20 % - Markeringsfarve5 3 4 2 2" xfId="9835" xr:uid="{00000000-0005-0000-0000-0000CA380000}"/>
    <cellStyle name="20 % - Markeringsfarve5 3 4 2 2 2" xfId="17690" xr:uid="{00000000-0005-0000-0000-0000CB380000}"/>
    <cellStyle name="20 % - Markeringsfarve5 3 4 2 2 2 2" xfId="33966" xr:uid="{00000000-0005-0000-0000-0000CC380000}"/>
    <cellStyle name="20 % - Markeringsfarve5 3 4 2 2 2 3" xfId="48925" xr:uid="{00000000-0005-0000-0000-0000CD380000}"/>
    <cellStyle name="20 % - Markeringsfarve5 3 4 2 2 3" xfId="26964" xr:uid="{00000000-0005-0000-0000-0000CE380000}"/>
    <cellStyle name="20 % - Markeringsfarve5 3 4 2 2 4" xfId="41928" xr:uid="{00000000-0005-0000-0000-0000CF380000}"/>
    <cellStyle name="20 % - Markeringsfarve5 3 4 2 3" xfId="13525" xr:uid="{00000000-0005-0000-0000-0000D0380000}"/>
    <cellStyle name="20 % - Markeringsfarve5 3 4 2 3 2" xfId="29804" xr:uid="{00000000-0005-0000-0000-0000D1380000}"/>
    <cellStyle name="20 % - Markeringsfarve5 3 4 2 3 3" xfId="44765" xr:uid="{00000000-0005-0000-0000-0000D2380000}"/>
    <cellStyle name="20 % - Markeringsfarve5 3 4 2 4" xfId="22802" xr:uid="{00000000-0005-0000-0000-0000D3380000}"/>
    <cellStyle name="20 % - Markeringsfarve5 3 4 2 5" xfId="37768" xr:uid="{00000000-0005-0000-0000-0000D4380000}"/>
    <cellStyle name="20 % - Markeringsfarve5 3 4 3" xfId="5041" xr:uid="{00000000-0005-0000-0000-0000D5380000}"/>
    <cellStyle name="20 % - Markeringsfarve5 3 4 3 2" xfId="9066" xr:uid="{00000000-0005-0000-0000-0000D6380000}"/>
    <cellStyle name="20 % - Markeringsfarve5 3 4 3 2 2" xfId="16930" xr:uid="{00000000-0005-0000-0000-0000D7380000}"/>
    <cellStyle name="20 % - Markeringsfarve5 3 4 3 2 2 2" xfId="33206" xr:uid="{00000000-0005-0000-0000-0000D8380000}"/>
    <cellStyle name="20 % - Markeringsfarve5 3 4 3 2 2 3" xfId="48165" xr:uid="{00000000-0005-0000-0000-0000D9380000}"/>
    <cellStyle name="20 % - Markeringsfarve5 3 4 3 2 3" xfId="26204" xr:uid="{00000000-0005-0000-0000-0000DA380000}"/>
    <cellStyle name="20 % - Markeringsfarve5 3 4 3 2 4" xfId="41168" xr:uid="{00000000-0005-0000-0000-0000DB380000}"/>
    <cellStyle name="20 % - Markeringsfarve5 3 4 3 3" xfId="13526" xr:uid="{00000000-0005-0000-0000-0000DC380000}"/>
    <cellStyle name="20 % - Markeringsfarve5 3 4 3 3 2" xfId="29805" xr:uid="{00000000-0005-0000-0000-0000DD380000}"/>
    <cellStyle name="20 % - Markeringsfarve5 3 4 3 3 3" xfId="44766" xr:uid="{00000000-0005-0000-0000-0000DE380000}"/>
    <cellStyle name="20 % - Markeringsfarve5 3 4 3 4" xfId="22803" xr:uid="{00000000-0005-0000-0000-0000DF380000}"/>
    <cellStyle name="20 % - Markeringsfarve5 3 4 3 5" xfId="37769" xr:uid="{00000000-0005-0000-0000-0000E0380000}"/>
    <cellStyle name="20 % - Markeringsfarve5 3 4 4" xfId="7879" xr:uid="{00000000-0005-0000-0000-0000E1380000}"/>
    <cellStyle name="20 % - Markeringsfarve5 3 4 4 2" xfId="15744" xr:uid="{00000000-0005-0000-0000-0000E2380000}"/>
    <cellStyle name="20 % - Markeringsfarve5 3 4 4 2 2" xfId="32020" xr:uid="{00000000-0005-0000-0000-0000E3380000}"/>
    <cellStyle name="20 % - Markeringsfarve5 3 4 4 2 3" xfId="46979" xr:uid="{00000000-0005-0000-0000-0000E4380000}"/>
    <cellStyle name="20 % - Markeringsfarve5 3 4 4 3" xfId="25018" xr:uid="{00000000-0005-0000-0000-0000E5380000}"/>
    <cellStyle name="20 % - Markeringsfarve5 3 4 4 4" xfId="39982" xr:uid="{00000000-0005-0000-0000-0000E6380000}"/>
    <cellStyle name="20 % - Markeringsfarve5 3 4 5" xfId="13524" xr:uid="{00000000-0005-0000-0000-0000E7380000}"/>
    <cellStyle name="20 % - Markeringsfarve5 3 4 5 2" xfId="29803" xr:uid="{00000000-0005-0000-0000-0000E8380000}"/>
    <cellStyle name="20 % - Markeringsfarve5 3 4 5 3" xfId="44764" xr:uid="{00000000-0005-0000-0000-0000E9380000}"/>
    <cellStyle name="20 % - Markeringsfarve5 3 4 6" xfId="22801" xr:uid="{00000000-0005-0000-0000-0000EA380000}"/>
    <cellStyle name="20 % - Markeringsfarve5 3 4 7" xfId="37767" xr:uid="{00000000-0005-0000-0000-0000EB380000}"/>
    <cellStyle name="20 % - Markeringsfarve5 3 5" xfId="5042" xr:uid="{00000000-0005-0000-0000-0000EC380000}"/>
    <cellStyle name="20 % - Markeringsfarve5 3 5 2" xfId="5043" xr:uid="{00000000-0005-0000-0000-0000ED380000}"/>
    <cellStyle name="20 % - Markeringsfarve5 3 5 2 2" xfId="9971" xr:uid="{00000000-0005-0000-0000-0000EE380000}"/>
    <cellStyle name="20 % - Markeringsfarve5 3 5 2 2 2" xfId="17826" xr:uid="{00000000-0005-0000-0000-0000EF380000}"/>
    <cellStyle name="20 % - Markeringsfarve5 3 5 2 2 2 2" xfId="34102" xr:uid="{00000000-0005-0000-0000-0000F0380000}"/>
    <cellStyle name="20 % - Markeringsfarve5 3 5 2 2 2 3" xfId="49061" xr:uid="{00000000-0005-0000-0000-0000F1380000}"/>
    <cellStyle name="20 % - Markeringsfarve5 3 5 2 2 3" xfId="27100" xr:uid="{00000000-0005-0000-0000-0000F2380000}"/>
    <cellStyle name="20 % - Markeringsfarve5 3 5 2 2 4" xfId="42064" xr:uid="{00000000-0005-0000-0000-0000F3380000}"/>
    <cellStyle name="20 % - Markeringsfarve5 3 5 2 3" xfId="13528" xr:uid="{00000000-0005-0000-0000-0000F4380000}"/>
    <cellStyle name="20 % - Markeringsfarve5 3 5 2 3 2" xfId="29807" xr:uid="{00000000-0005-0000-0000-0000F5380000}"/>
    <cellStyle name="20 % - Markeringsfarve5 3 5 2 3 3" xfId="44768" xr:uid="{00000000-0005-0000-0000-0000F6380000}"/>
    <cellStyle name="20 % - Markeringsfarve5 3 5 2 4" xfId="22805" xr:uid="{00000000-0005-0000-0000-0000F7380000}"/>
    <cellStyle name="20 % - Markeringsfarve5 3 5 2 5" xfId="37771" xr:uid="{00000000-0005-0000-0000-0000F8380000}"/>
    <cellStyle name="20 % - Markeringsfarve5 3 5 3" xfId="5044" xr:uid="{00000000-0005-0000-0000-0000F9380000}"/>
    <cellStyle name="20 % - Markeringsfarve5 3 5 3 2" xfId="9202" xr:uid="{00000000-0005-0000-0000-0000FA380000}"/>
    <cellStyle name="20 % - Markeringsfarve5 3 5 3 2 2" xfId="17066" xr:uid="{00000000-0005-0000-0000-0000FB380000}"/>
    <cellStyle name="20 % - Markeringsfarve5 3 5 3 2 2 2" xfId="33342" xr:uid="{00000000-0005-0000-0000-0000FC380000}"/>
    <cellStyle name="20 % - Markeringsfarve5 3 5 3 2 2 3" xfId="48301" xr:uid="{00000000-0005-0000-0000-0000FD380000}"/>
    <cellStyle name="20 % - Markeringsfarve5 3 5 3 2 3" xfId="26340" xr:uid="{00000000-0005-0000-0000-0000FE380000}"/>
    <cellStyle name="20 % - Markeringsfarve5 3 5 3 2 4" xfId="41304" xr:uid="{00000000-0005-0000-0000-0000FF380000}"/>
    <cellStyle name="20 % - Markeringsfarve5 3 5 3 3" xfId="13529" xr:uid="{00000000-0005-0000-0000-000000390000}"/>
    <cellStyle name="20 % - Markeringsfarve5 3 5 3 3 2" xfId="29808" xr:uid="{00000000-0005-0000-0000-000001390000}"/>
    <cellStyle name="20 % - Markeringsfarve5 3 5 3 3 3" xfId="44769" xr:uid="{00000000-0005-0000-0000-000002390000}"/>
    <cellStyle name="20 % - Markeringsfarve5 3 5 3 4" xfId="22806" xr:uid="{00000000-0005-0000-0000-000003390000}"/>
    <cellStyle name="20 % - Markeringsfarve5 3 5 3 5" xfId="37772" xr:uid="{00000000-0005-0000-0000-000004390000}"/>
    <cellStyle name="20 % - Markeringsfarve5 3 5 4" xfId="7880" xr:uid="{00000000-0005-0000-0000-000005390000}"/>
    <cellStyle name="20 % - Markeringsfarve5 3 5 4 2" xfId="15745" xr:uid="{00000000-0005-0000-0000-000006390000}"/>
    <cellStyle name="20 % - Markeringsfarve5 3 5 4 2 2" xfId="32021" xr:uid="{00000000-0005-0000-0000-000007390000}"/>
    <cellStyle name="20 % - Markeringsfarve5 3 5 4 2 3" xfId="46980" xr:uid="{00000000-0005-0000-0000-000008390000}"/>
    <cellStyle name="20 % - Markeringsfarve5 3 5 4 3" xfId="25019" xr:uid="{00000000-0005-0000-0000-000009390000}"/>
    <cellStyle name="20 % - Markeringsfarve5 3 5 4 4" xfId="39983" xr:uid="{00000000-0005-0000-0000-00000A390000}"/>
    <cellStyle name="20 % - Markeringsfarve5 3 5 5" xfId="13527" xr:uid="{00000000-0005-0000-0000-00000B390000}"/>
    <cellStyle name="20 % - Markeringsfarve5 3 5 5 2" xfId="29806" xr:uid="{00000000-0005-0000-0000-00000C390000}"/>
    <cellStyle name="20 % - Markeringsfarve5 3 5 5 3" xfId="44767" xr:uid="{00000000-0005-0000-0000-00000D390000}"/>
    <cellStyle name="20 % - Markeringsfarve5 3 5 6" xfId="22804" xr:uid="{00000000-0005-0000-0000-00000E390000}"/>
    <cellStyle name="20 % - Markeringsfarve5 3 5 7" xfId="37770" xr:uid="{00000000-0005-0000-0000-00000F390000}"/>
    <cellStyle name="20 % - Markeringsfarve5 3 6" xfId="5045" xr:uid="{00000000-0005-0000-0000-000010390000}"/>
    <cellStyle name="20 % - Markeringsfarve5 3 6 2" xfId="5046" xr:uid="{00000000-0005-0000-0000-000011390000}"/>
    <cellStyle name="20 % - Markeringsfarve5 3 6 2 2" xfId="10073" xr:uid="{00000000-0005-0000-0000-000012390000}"/>
    <cellStyle name="20 % - Markeringsfarve5 3 6 2 2 2" xfId="17928" xr:uid="{00000000-0005-0000-0000-000013390000}"/>
    <cellStyle name="20 % - Markeringsfarve5 3 6 2 2 2 2" xfId="34204" xr:uid="{00000000-0005-0000-0000-000014390000}"/>
    <cellStyle name="20 % - Markeringsfarve5 3 6 2 2 2 3" xfId="49163" xr:uid="{00000000-0005-0000-0000-000015390000}"/>
    <cellStyle name="20 % - Markeringsfarve5 3 6 2 2 3" xfId="27202" xr:uid="{00000000-0005-0000-0000-000016390000}"/>
    <cellStyle name="20 % - Markeringsfarve5 3 6 2 2 4" xfId="42166" xr:uid="{00000000-0005-0000-0000-000017390000}"/>
    <cellStyle name="20 % - Markeringsfarve5 3 6 2 3" xfId="13531" xr:uid="{00000000-0005-0000-0000-000018390000}"/>
    <cellStyle name="20 % - Markeringsfarve5 3 6 2 3 2" xfId="29810" xr:uid="{00000000-0005-0000-0000-000019390000}"/>
    <cellStyle name="20 % - Markeringsfarve5 3 6 2 3 3" xfId="44771" xr:uid="{00000000-0005-0000-0000-00001A390000}"/>
    <cellStyle name="20 % - Markeringsfarve5 3 6 2 4" xfId="22808" xr:uid="{00000000-0005-0000-0000-00001B390000}"/>
    <cellStyle name="20 % - Markeringsfarve5 3 6 2 5" xfId="37774" xr:uid="{00000000-0005-0000-0000-00001C390000}"/>
    <cellStyle name="20 % - Markeringsfarve5 3 6 3" xfId="5047" xr:uid="{00000000-0005-0000-0000-00001D390000}"/>
    <cellStyle name="20 % - Markeringsfarve5 3 6 3 2" xfId="9350" xr:uid="{00000000-0005-0000-0000-00001E390000}"/>
    <cellStyle name="20 % - Markeringsfarve5 3 6 3 2 2" xfId="17213" xr:uid="{00000000-0005-0000-0000-00001F390000}"/>
    <cellStyle name="20 % - Markeringsfarve5 3 6 3 2 2 2" xfId="33489" xr:uid="{00000000-0005-0000-0000-000020390000}"/>
    <cellStyle name="20 % - Markeringsfarve5 3 6 3 2 2 3" xfId="48448" xr:uid="{00000000-0005-0000-0000-000021390000}"/>
    <cellStyle name="20 % - Markeringsfarve5 3 6 3 2 3" xfId="26487" xr:uid="{00000000-0005-0000-0000-000022390000}"/>
    <cellStyle name="20 % - Markeringsfarve5 3 6 3 2 4" xfId="41451" xr:uid="{00000000-0005-0000-0000-000023390000}"/>
    <cellStyle name="20 % - Markeringsfarve5 3 6 3 3" xfId="13532" xr:uid="{00000000-0005-0000-0000-000024390000}"/>
    <cellStyle name="20 % - Markeringsfarve5 3 6 3 3 2" xfId="29811" xr:uid="{00000000-0005-0000-0000-000025390000}"/>
    <cellStyle name="20 % - Markeringsfarve5 3 6 3 3 3" xfId="44772" xr:uid="{00000000-0005-0000-0000-000026390000}"/>
    <cellStyle name="20 % - Markeringsfarve5 3 6 3 4" xfId="22809" xr:uid="{00000000-0005-0000-0000-000027390000}"/>
    <cellStyle name="20 % - Markeringsfarve5 3 6 3 5" xfId="37775" xr:uid="{00000000-0005-0000-0000-000028390000}"/>
    <cellStyle name="20 % - Markeringsfarve5 3 6 4" xfId="7881" xr:uid="{00000000-0005-0000-0000-000029390000}"/>
    <cellStyle name="20 % - Markeringsfarve5 3 6 4 2" xfId="15746" xr:uid="{00000000-0005-0000-0000-00002A390000}"/>
    <cellStyle name="20 % - Markeringsfarve5 3 6 4 2 2" xfId="32022" xr:uid="{00000000-0005-0000-0000-00002B390000}"/>
    <cellStyle name="20 % - Markeringsfarve5 3 6 4 2 3" xfId="46981" xr:uid="{00000000-0005-0000-0000-00002C390000}"/>
    <cellStyle name="20 % - Markeringsfarve5 3 6 4 3" xfId="25020" xr:uid="{00000000-0005-0000-0000-00002D390000}"/>
    <cellStyle name="20 % - Markeringsfarve5 3 6 4 4" xfId="39984" xr:uid="{00000000-0005-0000-0000-00002E390000}"/>
    <cellStyle name="20 % - Markeringsfarve5 3 6 5" xfId="13530" xr:uid="{00000000-0005-0000-0000-00002F390000}"/>
    <cellStyle name="20 % - Markeringsfarve5 3 6 5 2" xfId="29809" xr:uid="{00000000-0005-0000-0000-000030390000}"/>
    <cellStyle name="20 % - Markeringsfarve5 3 6 5 3" xfId="44770" xr:uid="{00000000-0005-0000-0000-000031390000}"/>
    <cellStyle name="20 % - Markeringsfarve5 3 6 6" xfId="22807" xr:uid="{00000000-0005-0000-0000-000032390000}"/>
    <cellStyle name="20 % - Markeringsfarve5 3 6 7" xfId="37773" xr:uid="{00000000-0005-0000-0000-000033390000}"/>
    <cellStyle name="20 % - Markeringsfarve5 3 7" xfId="5048" xr:uid="{00000000-0005-0000-0000-000034390000}"/>
    <cellStyle name="20 % - Markeringsfarve5 3 7 2" xfId="5049" xr:uid="{00000000-0005-0000-0000-000035390000}"/>
    <cellStyle name="20 % - Markeringsfarve5 3 7 2 2" xfId="10190" xr:uid="{00000000-0005-0000-0000-000036390000}"/>
    <cellStyle name="20 % - Markeringsfarve5 3 7 2 2 2" xfId="18045" xr:uid="{00000000-0005-0000-0000-000037390000}"/>
    <cellStyle name="20 % - Markeringsfarve5 3 7 2 2 2 2" xfId="34321" xr:uid="{00000000-0005-0000-0000-000038390000}"/>
    <cellStyle name="20 % - Markeringsfarve5 3 7 2 2 2 3" xfId="49280" xr:uid="{00000000-0005-0000-0000-000039390000}"/>
    <cellStyle name="20 % - Markeringsfarve5 3 7 2 2 3" xfId="27319" xr:uid="{00000000-0005-0000-0000-00003A390000}"/>
    <cellStyle name="20 % - Markeringsfarve5 3 7 2 2 4" xfId="42283" xr:uid="{00000000-0005-0000-0000-00003B390000}"/>
    <cellStyle name="20 % - Markeringsfarve5 3 7 2 3" xfId="13534" xr:uid="{00000000-0005-0000-0000-00003C390000}"/>
    <cellStyle name="20 % - Markeringsfarve5 3 7 2 3 2" xfId="29813" xr:uid="{00000000-0005-0000-0000-00003D390000}"/>
    <cellStyle name="20 % - Markeringsfarve5 3 7 2 3 3" xfId="44774" xr:uid="{00000000-0005-0000-0000-00003E390000}"/>
    <cellStyle name="20 % - Markeringsfarve5 3 7 2 4" xfId="22811" xr:uid="{00000000-0005-0000-0000-00003F390000}"/>
    <cellStyle name="20 % - Markeringsfarve5 3 7 2 5" xfId="37777" xr:uid="{00000000-0005-0000-0000-000040390000}"/>
    <cellStyle name="20 % - Markeringsfarve5 3 7 3" xfId="5050" xr:uid="{00000000-0005-0000-0000-000041390000}"/>
    <cellStyle name="20 % - Markeringsfarve5 3 7 3 2" xfId="9467" xr:uid="{00000000-0005-0000-0000-000042390000}"/>
    <cellStyle name="20 % - Markeringsfarve5 3 7 3 2 2" xfId="17330" xr:uid="{00000000-0005-0000-0000-000043390000}"/>
    <cellStyle name="20 % - Markeringsfarve5 3 7 3 2 2 2" xfId="33606" xr:uid="{00000000-0005-0000-0000-000044390000}"/>
    <cellStyle name="20 % - Markeringsfarve5 3 7 3 2 2 3" xfId="48565" xr:uid="{00000000-0005-0000-0000-000045390000}"/>
    <cellStyle name="20 % - Markeringsfarve5 3 7 3 2 3" xfId="26604" xr:uid="{00000000-0005-0000-0000-000046390000}"/>
    <cellStyle name="20 % - Markeringsfarve5 3 7 3 2 4" xfId="41568" xr:uid="{00000000-0005-0000-0000-000047390000}"/>
    <cellStyle name="20 % - Markeringsfarve5 3 7 3 3" xfId="13535" xr:uid="{00000000-0005-0000-0000-000048390000}"/>
    <cellStyle name="20 % - Markeringsfarve5 3 7 3 3 2" xfId="29814" xr:uid="{00000000-0005-0000-0000-000049390000}"/>
    <cellStyle name="20 % - Markeringsfarve5 3 7 3 3 3" xfId="44775" xr:uid="{00000000-0005-0000-0000-00004A390000}"/>
    <cellStyle name="20 % - Markeringsfarve5 3 7 3 4" xfId="22812" xr:uid="{00000000-0005-0000-0000-00004B390000}"/>
    <cellStyle name="20 % - Markeringsfarve5 3 7 3 5" xfId="37778" xr:uid="{00000000-0005-0000-0000-00004C390000}"/>
    <cellStyle name="20 % - Markeringsfarve5 3 7 4" xfId="7882" xr:uid="{00000000-0005-0000-0000-00004D390000}"/>
    <cellStyle name="20 % - Markeringsfarve5 3 7 4 2" xfId="15747" xr:uid="{00000000-0005-0000-0000-00004E390000}"/>
    <cellStyle name="20 % - Markeringsfarve5 3 7 4 2 2" xfId="32023" xr:uid="{00000000-0005-0000-0000-00004F390000}"/>
    <cellStyle name="20 % - Markeringsfarve5 3 7 4 2 3" xfId="46982" xr:uid="{00000000-0005-0000-0000-000050390000}"/>
    <cellStyle name="20 % - Markeringsfarve5 3 7 4 3" xfId="25021" xr:uid="{00000000-0005-0000-0000-000051390000}"/>
    <cellStyle name="20 % - Markeringsfarve5 3 7 4 4" xfId="39985" xr:uid="{00000000-0005-0000-0000-000052390000}"/>
    <cellStyle name="20 % - Markeringsfarve5 3 7 5" xfId="13533" xr:uid="{00000000-0005-0000-0000-000053390000}"/>
    <cellStyle name="20 % - Markeringsfarve5 3 7 5 2" xfId="29812" xr:uid="{00000000-0005-0000-0000-000054390000}"/>
    <cellStyle name="20 % - Markeringsfarve5 3 7 5 3" xfId="44773" xr:uid="{00000000-0005-0000-0000-000055390000}"/>
    <cellStyle name="20 % - Markeringsfarve5 3 7 6" xfId="22810" xr:uid="{00000000-0005-0000-0000-000056390000}"/>
    <cellStyle name="20 % - Markeringsfarve5 3 7 7" xfId="37776" xr:uid="{00000000-0005-0000-0000-000057390000}"/>
    <cellStyle name="20 % - Markeringsfarve5 3 8" xfId="5051" xr:uid="{00000000-0005-0000-0000-000058390000}"/>
    <cellStyle name="20 % - Markeringsfarve5 3 8 2" xfId="5052" xr:uid="{00000000-0005-0000-0000-000059390000}"/>
    <cellStyle name="20 % - Markeringsfarve5 3 8 2 2" xfId="10325" xr:uid="{00000000-0005-0000-0000-00005A390000}"/>
    <cellStyle name="20 % - Markeringsfarve5 3 8 2 2 2" xfId="18180" xr:uid="{00000000-0005-0000-0000-00005B390000}"/>
    <cellStyle name="20 % - Markeringsfarve5 3 8 2 2 2 2" xfId="34456" xr:uid="{00000000-0005-0000-0000-00005C390000}"/>
    <cellStyle name="20 % - Markeringsfarve5 3 8 2 2 2 3" xfId="49415" xr:uid="{00000000-0005-0000-0000-00005D390000}"/>
    <cellStyle name="20 % - Markeringsfarve5 3 8 2 2 3" xfId="27454" xr:uid="{00000000-0005-0000-0000-00005E390000}"/>
    <cellStyle name="20 % - Markeringsfarve5 3 8 2 2 4" xfId="42418" xr:uid="{00000000-0005-0000-0000-00005F390000}"/>
    <cellStyle name="20 % - Markeringsfarve5 3 8 2 3" xfId="13537" xr:uid="{00000000-0005-0000-0000-000060390000}"/>
    <cellStyle name="20 % - Markeringsfarve5 3 8 2 3 2" xfId="29816" xr:uid="{00000000-0005-0000-0000-000061390000}"/>
    <cellStyle name="20 % - Markeringsfarve5 3 8 2 3 3" xfId="44777" xr:uid="{00000000-0005-0000-0000-000062390000}"/>
    <cellStyle name="20 % - Markeringsfarve5 3 8 2 4" xfId="22814" xr:uid="{00000000-0005-0000-0000-000063390000}"/>
    <cellStyle name="20 % - Markeringsfarve5 3 8 2 5" xfId="37780" xr:uid="{00000000-0005-0000-0000-000064390000}"/>
    <cellStyle name="20 % - Markeringsfarve5 3 8 3" xfId="5053" xr:uid="{00000000-0005-0000-0000-000065390000}"/>
    <cellStyle name="20 % - Markeringsfarve5 3 8 3 2" xfId="9603" xr:uid="{00000000-0005-0000-0000-000066390000}"/>
    <cellStyle name="20 % - Markeringsfarve5 3 8 3 2 2" xfId="17466" xr:uid="{00000000-0005-0000-0000-000067390000}"/>
    <cellStyle name="20 % - Markeringsfarve5 3 8 3 2 2 2" xfId="33742" xr:uid="{00000000-0005-0000-0000-000068390000}"/>
    <cellStyle name="20 % - Markeringsfarve5 3 8 3 2 2 3" xfId="48701" xr:uid="{00000000-0005-0000-0000-000069390000}"/>
    <cellStyle name="20 % - Markeringsfarve5 3 8 3 2 3" xfId="26740" xr:uid="{00000000-0005-0000-0000-00006A390000}"/>
    <cellStyle name="20 % - Markeringsfarve5 3 8 3 2 4" xfId="41704" xr:uid="{00000000-0005-0000-0000-00006B390000}"/>
    <cellStyle name="20 % - Markeringsfarve5 3 8 3 3" xfId="13538" xr:uid="{00000000-0005-0000-0000-00006C390000}"/>
    <cellStyle name="20 % - Markeringsfarve5 3 8 3 3 2" xfId="29817" xr:uid="{00000000-0005-0000-0000-00006D390000}"/>
    <cellStyle name="20 % - Markeringsfarve5 3 8 3 3 3" xfId="44778" xr:uid="{00000000-0005-0000-0000-00006E390000}"/>
    <cellStyle name="20 % - Markeringsfarve5 3 8 3 4" xfId="22815" xr:uid="{00000000-0005-0000-0000-00006F390000}"/>
    <cellStyle name="20 % - Markeringsfarve5 3 8 3 5" xfId="37781" xr:uid="{00000000-0005-0000-0000-000070390000}"/>
    <cellStyle name="20 % - Markeringsfarve5 3 8 4" xfId="7883" xr:uid="{00000000-0005-0000-0000-000071390000}"/>
    <cellStyle name="20 % - Markeringsfarve5 3 8 4 2" xfId="15748" xr:uid="{00000000-0005-0000-0000-000072390000}"/>
    <cellStyle name="20 % - Markeringsfarve5 3 8 4 2 2" xfId="32024" xr:uid="{00000000-0005-0000-0000-000073390000}"/>
    <cellStyle name="20 % - Markeringsfarve5 3 8 4 2 3" xfId="46983" xr:uid="{00000000-0005-0000-0000-000074390000}"/>
    <cellStyle name="20 % - Markeringsfarve5 3 8 4 3" xfId="25022" xr:uid="{00000000-0005-0000-0000-000075390000}"/>
    <cellStyle name="20 % - Markeringsfarve5 3 8 4 4" xfId="39986" xr:uid="{00000000-0005-0000-0000-000076390000}"/>
    <cellStyle name="20 % - Markeringsfarve5 3 8 5" xfId="13536" xr:uid="{00000000-0005-0000-0000-000077390000}"/>
    <cellStyle name="20 % - Markeringsfarve5 3 8 5 2" xfId="29815" xr:uid="{00000000-0005-0000-0000-000078390000}"/>
    <cellStyle name="20 % - Markeringsfarve5 3 8 5 3" xfId="44776" xr:uid="{00000000-0005-0000-0000-000079390000}"/>
    <cellStyle name="20 % - Markeringsfarve5 3 8 6" xfId="22813" xr:uid="{00000000-0005-0000-0000-00007A390000}"/>
    <cellStyle name="20 % - Markeringsfarve5 3 8 7" xfId="37779" xr:uid="{00000000-0005-0000-0000-00007B390000}"/>
    <cellStyle name="20 % - Markeringsfarve5 3 9" xfId="5054" xr:uid="{00000000-0005-0000-0000-00007C390000}"/>
    <cellStyle name="20 % - Markeringsfarve5 3 9 2" xfId="9717" xr:uid="{00000000-0005-0000-0000-00007D390000}"/>
    <cellStyle name="20 % - Markeringsfarve5 3 9 2 2" xfId="17571" xr:uid="{00000000-0005-0000-0000-00007E390000}"/>
    <cellStyle name="20 % - Markeringsfarve5 3 9 2 2 2" xfId="33847" xr:uid="{00000000-0005-0000-0000-00007F390000}"/>
    <cellStyle name="20 % - Markeringsfarve5 3 9 2 2 3" xfId="48806" xr:uid="{00000000-0005-0000-0000-000080390000}"/>
    <cellStyle name="20 % - Markeringsfarve5 3 9 2 3" xfId="26845" xr:uid="{00000000-0005-0000-0000-000081390000}"/>
    <cellStyle name="20 % - Markeringsfarve5 3 9 2 4" xfId="41809" xr:uid="{00000000-0005-0000-0000-000082390000}"/>
    <cellStyle name="20 % - Markeringsfarve5 3 9 3" xfId="13539" xr:uid="{00000000-0005-0000-0000-000083390000}"/>
    <cellStyle name="20 % - Markeringsfarve5 3 9 3 2" xfId="29818" xr:uid="{00000000-0005-0000-0000-000084390000}"/>
    <cellStyle name="20 % - Markeringsfarve5 3 9 3 3" xfId="44779" xr:uid="{00000000-0005-0000-0000-000085390000}"/>
    <cellStyle name="20 % - Markeringsfarve5 3 9 4" xfId="22816" xr:uid="{00000000-0005-0000-0000-000086390000}"/>
    <cellStyle name="20 % - Markeringsfarve5 3 9 5" xfId="37782" xr:uid="{00000000-0005-0000-0000-000087390000}"/>
    <cellStyle name="20 % - Markeringsfarve5 4" xfId="5055" xr:uid="{00000000-0005-0000-0000-000088390000}"/>
    <cellStyle name="20 % - Markeringsfarve5 4 10" xfId="13540" xr:uid="{00000000-0005-0000-0000-000089390000}"/>
    <cellStyle name="20 % - Markeringsfarve5 4 10 2" xfId="29819" xr:uid="{00000000-0005-0000-0000-00008A390000}"/>
    <cellStyle name="20 % - Markeringsfarve5 4 10 3" xfId="44780" xr:uid="{00000000-0005-0000-0000-00008B390000}"/>
    <cellStyle name="20 % - Markeringsfarve5 4 11" xfId="22817" xr:uid="{00000000-0005-0000-0000-00008C390000}"/>
    <cellStyle name="20 % - Markeringsfarve5 4 12" xfId="37783" xr:uid="{00000000-0005-0000-0000-00008D390000}"/>
    <cellStyle name="20 % - Markeringsfarve5 4 2" xfId="5056" xr:uid="{00000000-0005-0000-0000-00008E390000}"/>
    <cellStyle name="20 % - Markeringsfarve5 4 2 2" xfId="5057" xr:uid="{00000000-0005-0000-0000-00008F390000}"/>
    <cellStyle name="20 % - Markeringsfarve5 4 2 2 2" xfId="9860" xr:uid="{00000000-0005-0000-0000-000090390000}"/>
    <cellStyle name="20 % - Markeringsfarve5 4 2 2 2 2" xfId="17715" xr:uid="{00000000-0005-0000-0000-000091390000}"/>
    <cellStyle name="20 % - Markeringsfarve5 4 2 2 2 2 2" xfId="33991" xr:uid="{00000000-0005-0000-0000-000092390000}"/>
    <cellStyle name="20 % - Markeringsfarve5 4 2 2 2 2 3" xfId="48950" xr:uid="{00000000-0005-0000-0000-000093390000}"/>
    <cellStyle name="20 % - Markeringsfarve5 4 2 2 2 3" xfId="26989" xr:uid="{00000000-0005-0000-0000-000094390000}"/>
    <cellStyle name="20 % - Markeringsfarve5 4 2 2 2 4" xfId="41953" xr:uid="{00000000-0005-0000-0000-000095390000}"/>
    <cellStyle name="20 % - Markeringsfarve5 4 2 2 3" xfId="13542" xr:uid="{00000000-0005-0000-0000-000096390000}"/>
    <cellStyle name="20 % - Markeringsfarve5 4 2 2 3 2" xfId="29821" xr:uid="{00000000-0005-0000-0000-000097390000}"/>
    <cellStyle name="20 % - Markeringsfarve5 4 2 2 3 3" xfId="44782" xr:uid="{00000000-0005-0000-0000-000098390000}"/>
    <cellStyle name="20 % - Markeringsfarve5 4 2 2 4" xfId="22819" xr:uid="{00000000-0005-0000-0000-000099390000}"/>
    <cellStyle name="20 % - Markeringsfarve5 4 2 2 5" xfId="37785" xr:uid="{00000000-0005-0000-0000-00009A390000}"/>
    <cellStyle name="20 % - Markeringsfarve5 4 2 3" xfId="5058" xr:uid="{00000000-0005-0000-0000-00009B390000}"/>
    <cellStyle name="20 % - Markeringsfarve5 4 2 3 2" xfId="9091" xr:uid="{00000000-0005-0000-0000-00009C390000}"/>
    <cellStyle name="20 % - Markeringsfarve5 4 2 3 2 2" xfId="16955" xr:uid="{00000000-0005-0000-0000-00009D390000}"/>
    <cellStyle name="20 % - Markeringsfarve5 4 2 3 2 2 2" xfId="33231" xr:uid="{00000000-0005-0000-0000-00009E390000}"/>
    <cellStyle name="20 % - Markeringsfarve5 4 2 3 2 2 3" xfId="48190" xr:uid="{00000000-0005-0000-0000-00009F390000}"/>
    <cellStyle name="20 % - Markeringsfarve5 4 2 3 2 3" xfId="26229" xr:uid="{00000000-0005-0000-0000-0000A0390000}"/>
    <cellStyle name="20 % - Markeringsfarve5 4 2 3 2 4" xfId="41193" xr:uid="{00000000-0005-0000-0000-0000A1390000}"/>
    <cellStyle name="20 % - Markeringsfarve5 4 2 3 3" xfId="13543" xr:uid="{00000000-0005-0000-0000-0000A2390000}"/>
    <cellStyle name="20 % - Markeringsfarve5 4 2 3 3 2" xfId="29822" xr:uid="{00000000-0005-0000-0000-0000A3390000}"/>
    <cellStyle name="20 % - Markeringsfarve5 4 2 3 3 3" xfId="44783" xr:uid="{00000000-0005-0000-0000-0000A4390000}"/>
    <cellStyle name="20 % - Markeringsfarve5 4 2 3 4" xfId="22820" xr:uid="{00000000-0005-0000-0000-0000A5390000}"/>
    <cellStyle name="20 % - Markeringsfarve5 4 2 3 5" xfId="37786" xr:uid="{00000000-0005-0000-0000-0000A6390000}"/>
    <cellStyle name="20 % - Markeringsfarve5 4 2 4" xfId="7885" xr:uid="{00000000-0005-0000-0000-0000A7390000}"/>
    <cellStyle name="20 % - Markeringsfarve5 4 2 4 2" xfId="15750" xr:uid="{00000000-0005-0000-0000-0000A8390000}"/>
    <cellStyle name="20 % - Markeringsfarve5 4 2 4 2 2" xfId="32026" xr:uid="{00000000-0005-0000-0000-0000A9390000}"/>
    <cellStyle name="20 % - Markeringsfarve5 4 2 4 2 3" xfId="46985" xr:uid="{00000000-0005-0000-0000-0000AA390000}"/>
    <cellStyle name="20 % - Markeringsfarve5 4 2 4 3" xfId="25024" xr:uid="{00000000-0005-0000-0000-0000AB390000}"/>
    <cellStyle name="20 % - Markeringsfarve5 4 2 4 4" xfId="39988" xr:uid="{00000000-0005-0000-0000-0000AC390000}"/>
    <cellStyle name="20 % - Markeringsfarve5 4 2 5" xfId="13541" xr:uid="{00000000-0005-0000-0000-0000AD390000}"/>
    <cellStyle name="20 % - Markeringsfarve5 4 2 5 2" xfId="29820" xr:uid="{00000000-0005-0000-0000-0000AE390000}"/>
    <cellStyle name="20 % - Markeringsfarve5 4 2 5 3" xfId="44781" xr:uid="{00000000-0005-0000-0000-0000AF390000}"/>
    <cellStyle name="20 % - Markeringsfarve5 4 2 6" xfId="22818" xr:uid="{00000000-0005-0000-0000-0000B0390000}"/>
    <cellStyle name="20 % - Markeringsfarve5 4 2 7" xfId="37784" xr:uid="{00000000-0005-0000-0000-0000B1390000}"/>
    <cellStyle name="20 % - Markeringsfarve5 4 3" xfId="5059" xr:uid="{00000000-0005-0000-0000-0000B2390000}"/>
    <cellStyle name="20 % - Markeringsfarve5 4 3 2" xfId="5060" xr:uid="{00000000-0005-0000-0000-0000B3390000}"/>
    <cellStyle name="20 % - Markeringsfarve5 4 3 2 2" xfId="9974" xr:uid="{00000000-0005-0000-0000-0000B4390000}"/>
    <cellStyle name="20 % - Markeringsfarve5 4 3 2 2 2" xfId="17829" xr:uid="{00000000-0005-0000-0000-0000B5390000}"/>
    <cellStyle name="20 % - Markeringsfarve5 4 3 2 2 2 2" xfId="34105" xr:uid="{00000000-0005-0000-0000-0000B6390000}"/>
    <cellStyle name="20 % - Markeringsfarve5 4 3 2 2 2 3" xfId="49064" xr:uid="{00000000-0005-0000-0000-0000B7390000}"/>
    <cellStyle name="20 % - Markeringsfarve5 4 3 2 2 3" xfId="27103" xr:uid="{00000000-0005-0000-0000-0000B8390000}"/>
    <cellStyle name="20 % - Markeringsfarve5 4 3 2 2 4" xfId="42067" xr:uid="{00000000-0005-0000-0000-0000B9390000}"/>
    <cellStyle name="20 % - Markeringsfarve5 4 3 2 3" xfId="13545" xr:uid="{00000000-0005-0000-0000-0000BA390000}"/>
    <cellStyle name="20 % - Markeringsfarve5 4 3 2 3 2" xfId="29824" xr:uid="{00000000-0005-0000-0000-0000BB390000}"/>
    <cellStyle name="20 % - Markeringsfarve5 4 3 2 3 3" xfId="44785" xr:uid="{00000000-0005-0000-0000-0000BC390000}"/>
    <cellStyle name="20 % - Markeringsfarve5 4 3 2 4" xfId="22822" xr:uid="{00000000-0005-0000-0000-0000BD390000}"/>
    <cellStyle name="20 % - Markeringsfarve5 4 3 2 5" xfId="37788" xr:uid="{00000000-0005-0000-0000-0000BE390000}"/>
    <cellStyle name="20 % - Markeringsfarve5 4 3 3" xfId="5061" xr:uid="{00000000-0005-0000-0000-0000BF390000}"/>
    <cellStyle name="20 % - Markeringsfarve5 4 3 3 2" xfId="9205" xr:uid="{00000000-0005-0000-0000-0000C0390000}"/>
    <cellStyle name="20 % - Markeringsfarve5 4 3 3 2 2" xfId="17069" xr:uid="{00000000-0005-0000-0000-0000C1390000}"/>
    <cellStyle name="20 % - Markeringsfarve5 4 3 3 2 2 2" xfId="33345" xr:uid="{00000000-0005-0000-0000-0000C2390000}"/>
    <cellStyle name="20 % - Markeringsfarve5 4 3 3 2 2 3" xfId="48304" xr:uid="{00000000-0005-0000-0000-0000C3390000}"/>
    <cellStyle name="20 % - Markeringsfarve5 4 3 3 2 3" xfId="26343" xr:uid="{00000000-0005-0000-0000-0000C4390000}"/>
    <cellStyle name="20 % - Markeringsfarve5 4 3 3 2 4" xfId="41307" xr:uid="{00000000-0005-0000-0000-0000C5390000}"/>
    <cellStyle name="20 % - Markeringsfarve5 4 3 3 3" xfId="13546" xr:uid="{00000000-0005-0000-0000-0000C6390000}"/>
    <cellStyle name="20 % - Markeringsfarve5 4 3 3 3 2" xfId="29825" xr:uid="{00000000-0005-0000-0000-0000C7390000}"/>
    <cellStyle name="20 % - Markeringsfarve5 4 3 3 3 3" xfId="44786" xr:uid="{00000000-0005-0000-0000-0000C8390000}"/>
    <cellStyle name="20 % - Markeringsfarve5 4 3 3 4" xfId="22823" xr:uid="{00000000-0005-0000-0000-0000C9390000}"/>
    <cellStyle name="20 % - Markeringsfarve5 4 3 3 5" xfId="37789" xr:uid="{00000000-0005-0000-0000-0000CA390000}"/>
    <cellStyle name="20 % - Markeringsfarve5 4 3 4" xfId="7886" xr:uid="{00000000-0005-0000-0000-0000CB390000}"/>
    <cellStyle name="20 % - Markeringsfarve5 4 3 4 2" xfId="15751" xr:uid="{00000000-0005-0000-0000-0000CC390000}"/>
    <cellStyle name="20 % - Markeringsfarve5 4 3 4 2 2" xfId="32027" xr:uid="{00000000-0005-0000-0000-0000CD390000}"/>
    <cellStyle name="20 % - Markeringsfarve5 4 3 4 2 3" xfId="46986" xr:uid="{00000000-0005-0000-0000-0000CE390000}"/>
    <cellStyle name="20 % - Markeringsfarve5 4 3 4 3" xfId="25025" xr:uid="{00000000-0005-0000-0000-0000CF390000}"/>
    <cellStyle name="20 % - Markeringsfarve5 4 3 4 4" xfId="39989" xr:uid="{00000000-0005-0000-0000-0000D0390000}"/>
    <cellStyle name="20 % - Markeringsfarve5 4 3 5" xfId="13544" xr:uid="{00000000-0005-0000-0000-0000D1390000}"/>
    <cellStyle name="20 % - Markeringsfarve5 4 3 5 2" xfId="29823" xr:uid="{00000000-0005-0000-0000-0000D2390000}"/>
    <cellStyle name="20 % - Markeringsfarve5 4 3 5 3" xfId="44784" xr:uid="{00000000-0005-0000-0000-0000D3390000}"/>
    <cellStyle name="20 % - Markeringsfarve5 4 3 6" xfId="22821" xr:uid="{00000000-0005-0000-0000-0000D4390000}"/>
    <cellStyle name="20 % - Markeringsfarve5 4 3 7" xfId="37787" xr:uid="{00000000-0005-0000-0000-0000D5390000}"/>
    <cellStyle name="20 % - Markeringsfarve5 4 4" xfId="5062" xr:uid="{00000000-0005-0000-0000-0000D6390000}"/>
    <cellStyle name="20 % - Markeringsfarve5 4 4 2" xfId="5063" xr:uid="{00000000-0005-0000-0000-0000D7390000}"/>
    <cellStyle name="20 % - Markeringsfarve5 4 4 2 2" xfId="10098" xr:uid="{00000000-0005-0000-0000-0000D8390000}"/>
    <cellStyle name="20 % - Markeringsfarve5 4 4 2 2 2" xfId="17953" xr:uid="{00000000-0005-0000-0000-0000D9390000}"/>
    <cellStyle name="20 % - Markeringsfarve5 4 4 2 2 2 2" xfId="34229" xr:uid="{00000000-0005-0000-0000-0000DA390000}"/>
    <cellStyle name="20 % - Markeringsfarve5 4 4 2 2 2 3" xfId="49188" xr:uid="{00000000-0005-0000-0000-0000DB390000}"/>
    <cellStyle name="20 % - Markeringsfarve5 4 4 2 2 3" xfId="27227" xr:uid="{00000000-0005-0000-0000-0000DC390000}"/>
    <cellStyle name="20 % - Markeringsfarve5 4 4 2 2 4" xfId="42191" xr:uid="{00000000-0005-0000-0000-0000DD390000}"/>
    <cellStyle name="20 % - Markeringsfarve5 4 4 2 3" xfId="13548" xr:uid="{00000000-0005-0000-0000-0000DE390000}"/>
    <cellStyle name="20 % - Markeringsfarve5 4 4 2 3 2" xfId="29827" xr:uid="{00000000-0005-0000-0000-0000DF390000}"/>
    <cellStyle name="20 % - Markeringsfarve5 4 4 2 3 3" xfId="44788" xr:uid="{00000000-0005-0000-0000-0000E0390000}"/>
    <cellStyle name="20 % - Markeringsfarve5 4 4 2 4" xfId="22825" xr:uid="{00000000-0005-0000-0000-0000E1390000}"/>
    <cellStyle name="20 % - Markeringsfarve5 4 4 2 5" xfId="37791" xr:uid="{00000000-0005-0000-0000-0000E2390000}"/>
    <cellStyle name="20 % - Markeringsfarve5 4 4 3" xfId="5064" xr:uid="{00000000-0005-0000-0000-0000E3390000}"/>
    <cellStyle name="20 % - Markeringsfarve5 4 4 3 2" xfId="9375" xr:uid="{00000000-0005-0000-0000-0000E4390000}"/>
    <cellStyle name="20 % - Markeringsfarve5 4 4 3 2 2" xfId="17238" xr:uid="{00000000-0005-0000-0000-0000E5390000}"/>
    <cellStyle name="20 % - Markeringsfarve5 4 4 3 2 2 2" xfId="33514" xr:uid="{00000000-0005-0000-0000-0000E6390000}"/>
    <cellStyle name="20 % - Markeringsfarve5 4 4 3 2 2 3" xfId="48473" xr:uid="{00000000-0005-0000-0000-0000E7390000}"/>
    <cellStyle name="20 % - Markeringsfarve5 4 4 3 2 3" xfId="26512" xr:uid="{00000000-0005-0000-0000-0000E8390000}"/>
    <cellStyle name="20 % - Markeringsfarve5 4 4 3 2 4" xfId="41476" xr:uid="{00000000-0005-0000-0000-0000E9390000}"/>
    <cellStyle name="20 % - Markeringsfarve5 4 4 3 3" xfId="13549" xr:uid="{00000000-0005-0000-0000-0000EA390000}"/>
    <cellStyle name="20 % - Markeringsfarve5 4 4 3 3 2" xfId="29828" xr:uid="{00000000-0005-0000-0000-0000EB390000}"/>
    <cellStyle name="20 % - Markeringsfarve5 4 4 3 3 3" xfId="44789" xr:uid="{00000000-0005-0000-0000-0000EC390000}"/>
    <cellStyle name="20 % - Markeringsfarve5 4 4 3 4" xfId="22826" xr:uid="{00000000-0005-0000-0000-0000ED390000}"/>
    <cellStyle name="20 % - Markeringsfarve5 4 4 3 5" xfId="37792" xr:uid="{00000000-0005-0000-0000-0000EE390000}"/>
    <cellStyle name="20 % - Markeringsfarve5 4 4 4" xfId="7887" xr:uid="{00000000-0005-0000-0000-0000EF390000}"/>
    <cellStyle name="20 % - Markeringsfarve5 4 4 4 2" xfId="15752" xr:uid="{00000000-0005-0000-0000-0000F0390000}"/>
    <cellStyle name="20 % - Markeringsfarve5 4 4 4 2 2" xfId="32028" xr:uid="{00000000-0005-0000-0000-0000F1390000}"/>
    <cellStyle name="20 % - Markeringsfarve5 4 4 4 2 3" xfId="46987" xr:uid="{00000000-0005-0000-0000-0000F2390000}"/>
    <cellStyle name="20 % - Markeringsfarve5 4 4 4 3" xfId="25026" xr:uid="{00000000-0005-0000-0000-0000F3390000}"/>
    <cellStyle name="20 % - Markeringsfarve5 4 4 4 4" xfId="39990" xr:uid="{00000000-0005-0000-0000-0000F4390000}"/>
    <cellStyle name="20 % - Markeringsfarve5 4 4 5" xfId="13547" xr:uid="{00000000-0005-0000-0000-0000F5390000}"/>
    <cellStyle name="20 % - Markeringsfarve5 4 4 5 2" xfId="29826" xr:uid="{00000000-0005-0000-0000-0000F6390000}"/>
    <cellStyle name="20 % - Markeringsfarve5 4 4 5 3" xfId="44787" xr:uid="{00000000-0005-0000-0000-0000F7390000}"/>
    <cellStyle name="20 % - Markeringsfarve5 4 4 6" xfId="22824" xr:uid="{00000000-0005-0000-0000-0000F8390000}"/>
    <cellStyle name="20 % - Markeringsfarve5 4 4 7" xfId="37790" xr:uid="{00000000-0005-0000-0000-0000F9390000}"/>
    <cellStyle name="20 % - Markeringsfarve5 4 5" xfId="5065" xr:uid="{00000000-0005-0000-0000-0000FA390000}"/>
    <cellStyle name="20 % - Markeringsfarve5 4 5 2" xfId="5066" xr:uid="{00000000-0005-0000-0000-0000FB390000}"/>
    <cellStyle name="20 % - Markeringsfarve5 4 5 2 2" xfId="10215" xr:uid="{00000000-0005-0000-0000-0000FC390000}"/>
    <cellStyle name="20 % - Markeringsfarve5 4 5 2 2 2" xfId="18070" xr:uid="{00000000-0005-0000-0000-0000FD390000}"/>
    <cellStyle name="20 % - Markeringsfarve5 4 5 2 2 2 2" xfId="34346" xr:uid="{00000000-0005-0000-0000-0000FE390000}"/>
    <cellStyle name="20 % - Markeringsfarve5 4 5 2 2 2 3" xfId="49305" xr:uid="{00000000-0005-0000-0000-0000FF390000}"/>
    <cellStyle name="20 % - Markeringsfarve5 4 5 2 2 3" xfId="27344" xr:uid="{00000000-0005-0000-0000-0000003A0000}"/>
    <cellStyle name="20 % - Markeringsfarve5 4 5 2 2 4" xfId="42308" xr:uid="{00000000-0005-0000-0000-0000013A0000}"/>
    <cellStyle name="20 % - Markeringsfarve5 4 5 2 3" xfId="13551" xr:uid="{00000000-0005-0000-0000-0000023A0000}"/>
    <cellStyle name="20 % - Markeringsfarve5 4 5 2 3 2" xfId="29830" xr:uid="{00000000-0005-0000-0000-0000033A0000}"/>
    <cellStyle name="20 % - Markeringsfarve5 4 5 2 3 3" xfId="44791" xr:uid="{00000000-0005-0000-0000-0000043A0000}"/>
    <cellStyle name="20 % - Markeringsfarve5 4 5 2 4" xfId="22828" xr:uid="{00000000-0005-0000-0000-0000053A0000}"/>
    <cellStyle name="20 % - Markeringsfarve5 4 5 2 5" xfId="37794" xr:uid="{00000000-0005-0000-0000-0000063A0000}"/>
    <cellStyle name="20 % - Markeringsfarve5 4 5 3" xfId="5067" xr:uid="{00000000-0005-0000-0000-0000073A0000}"/>
    <cellStyle name="20 % - Markeringsfarve5 4 5 3 2" xfId="9492" xr:uid="{00000000-0005-0000-0000-0000083A0000}"/>
    <cellStyle name="20 % - Markeringsfarve5 4 5 3 2 2" xfId="17355" xr:uid="{00000000-0005-0000-0000-0000093A0000}"/>
    <cellStyle name="20 % - Markeringsfarve5 4 5 3 2 2 2" xfId="33631" xr:uid="{00000000-0005-0000-0000-00000A3A0000}"/>
    <cellStyle name="20 % - Markeringsfarve5 4 5 3 2 2 3" xfId="48590" xr:uid="{00000000-0005-0000-0000-00000B3A0000}"/>
    <cellStyle name="20 % - Markeringsfarve5 4 5 3 2 3" xfId="26629" xr:uid="{00000000-0005-0000-0000-00000C3A0000}"/>
    <cellStyle name="20 % - Markeringsfarve5 4 5 3 2 4" xfId="41593" xr:uid="{00000000-0005-0000-0000-00000D3A0000}"/>
    <cellStyle name="20 % - Markeringsfarve5 4 5 3 3" xfId="13552" xr:uid="{00000000-0005-0000-0000-00000E3A0000}"/>
    <cellStyle name="20 % - Markeringsfarve5 4 5 3 3 2" xfId="29831" xr:uid="{00000000-0005-0000-0000-00000F3A0000}"/>
    <cellStyle name="20 % - Markeringsfarve5 4 5 3 3 3" xfId="44792" xr:uid="{00000000-0005-0000-0000-0000103A0000}"/>
    <cellStyle name="20 % - Markeringsfarve5 4 5 3 4" xfId="22829" xr:uid="{00000000-0005-0000-0000-0000113A0000}"/>
    <cellStyle name="20 % - Markeringsfarve5 4 5 3 5" xfId="37795" xr:uid="{00000000-0005-0000-0000-0000123A0000}"/>
    <cellStyle name="20 % - Markeringsfarve5 4 5 4" xfId="7888" xr:uid="{00000000-0005-0000-0000-0000133A0000}"/>
    <cellStyle name="20 % - Markeringsfarve5 4 5 4 2" xfId="15753" xr:uid="{00000000-0005-0000-0000-0000143A0000}"/>
    <cellStyle name="20 % - Markeringsfarve5 4 5 4 2 2" xfId="32029" xr:uid="{00000000-0005-0000-0000-0000153A0000}"/>
    <cellStyle name="20 % - Markeringsfarve5 4 5 4 2 3" xfId="46988" xr:uid="{00000000-0005-0000-0000-0000163A0000}"/>
    <cellStyle name="20 % - Markeringsfarve5 4 5 4 3" xfId="25027" xr:uid="{00000000-0005-0000-0000-0000173A0000}"/>
    <cellStyle name="20 % - Markeringsfarve5 4 5 4 4" xfId="39991" xr:uid="{00000000-0005-0000-0000-0000183A0000}"/>
    <cellStyle name="20 % - Markeringsfarve5 4 5 5" xfId="13550" xr:uid="{00000000-0005-0000-0000-0000193A0000}"/>
    <cellStyle name="20 % - Markeringsfarve5 4 5 5 2" xfId="29829" xr:uid="{00000000-0005-0000-0000-00001A3A0000}"/>
    <cellStyle name="20 % - Markeringsfarve5 4 5 5 3" xfId="44790" xr:uid="{00000000-0005-0000-0000-00001B3A0000}"/>
    <cellStyle name="20 % - Markeringsfarve5 4 5 6" xfId="22827" xr:uid="{00000000-0005-0000-0000-00001C3A0000}"/>
    <cellStyle name="20 % - Markeringsfarve5 4 5 7" xfId="37793" xr:uid="{00000000-0005-0000-0000-00001D3A0000}"/>
    <cellStyle name="20 % - Markeringsfarve5 4 6" xfId="5068" xr:uid="{00000000-0005-0000-0000-00001E3A0000}"/>
    <cellStyle name="20 % - Markeringsfarve5 4 6 2" xfId="5069" xr:uid="{00000000-0005-0000-0000-00001F3A0000}"/>
    <cellStyle name="20 % - Markeringsfarve5 4 6 2 2" xfId="10328" xr:uid="{00000000-0005-0000-0000-0000203A0000}"/>
    <cellStyle name="20 % - Markeringsfarve5 4 6 2 2 2" xfId="18183" xr:uid="{00000000-0005-0000-0000-0000213A0000}"/>
    <cellStyle name="20 % - Markeringsfarve5 4 6 2 2 2 2" xfId="34459" xr:uid="{00000000-0005-0000-0000-0000223A0000}"/>
    <cellStyle name="20 % - Markeringsfarve5 4 6 2 2 2 3" xfId="49418" xr:uid="{00000000-0005-0000-0000-0000233A0000}"/>
    <cellStyle name="20 % - Markeringsfarve5 4 6 2 2 3" xfId="27457" xr:uid="{00000000-0005-0000-0000-0000243A0000}"/>
    <cellStyle name="20 % - Markeringsfarve5 4 6 2 2 4" xfId="42421" xr:uid="{00000000-0005-0000-0000-0000253A0000}"/>
    <cellStyle name="20 % - Markeringsfarve5 4 6 2 3" xfId="13554" xr:uid="{00000000-0005-0000-0000-0000263A0000}"/>
    <cellStyle name="20 % - Markeringsfarve5 4 6 2 3 2" xfId="29833" xr:uid="{00000000-0005-0000-0000-0000273A0000}"/>
    <cellStyle name="20 % - Markeringsfarve5 4 6 2 3 3" xfId="44794" xr:uid="{00000000-0005-0000-0000-0000283A0000}"/>
    <cellStyle name="20 % - Markeringsfarve5 4 6 2 4" xfId="22831" xr:uid="{00000000-0005-0000-0000-0000293A0000}"/>
    <cellStyle name="20 % - Markeringsfarve5 4 6 2 5" xfId="37797" xr:uid="{00000000-0005-0000-0000-00002A3A0000}"/>
    <cellStyle name="20 % - Markeringsfarve5 4 6 3" xfId="5070" xr:uid="{00000000-0005-0000-0000-00002B3A0000}"/>
    <cellStyle name="20 % - Markeringsfarve5 4 6 3 2" xfId="9606" xr:uid="{00000000-0005-0000-0000-00002C3A0000}"/>
    <cellStyle name="20 % - Markeringsfarve5 4 6 3 2 2" xfId="17469" xr:uid="{00000000-0005-0000-0000-00002D3A0000}"/>
    <cellStyle name="20 % - Markeringsfarve5 4 6 3 2 2 2" xfId="33745" xr:uid="{00000000-0005-0000-0000-00002E3A0000}"/>
    <cellStyle name="20 % - Markeringsfarve5 4 6 3 2 2 3" xfId="48704" xr:uid="{00000000-0005-0000-0000-00002F3A0000}"/>
    <cellStyle name="20 % - Markeringsfarve5 4 6 3 2 3" xfId="26743" xr:uid="{00000000-0005-0000-0000-0000303A0000}"/>
    <cellStyle name="20 % - Markeringsfarve5 4 6 3 2 4" xfId="41707" xr:uid="{00000000-0005-0000-0000-0000313A0000}"/>
    <cellStyle name="20 % - Markeringsfarve5 4 6 3 3" xfId="13555" xr:uid="{00000000-0005-0000-0000-0000323A0000}"/>
    <cellStyle name="20 % - Markeringsfarve5 4 6 3 3 2" xfId="29834" xr:uid="{00000000-0005-0000-0000-0000333A0000}"/>
    <cellStyle name="20 % - Markeringsfarve5 4 6 3 3 3" xfId="44795" xr:uid="{00000000-0005-0000-0000-0000343A0000}"/>
    <cellStyle name="20 % - Markeringsfarve5 4 6 3 4" xfId="22832" xr:uid="{00000000-0005-0000-0000-0000353A0000}"/>
    <cellStyle name="20 % - Markeringsfarve5 4 6 3 5" xfId="37798" xr:uid="{00000000-0005-0000-0000-0000363A0000}"/>
    <cellStyle name="20 % - Markeringsfarve5 4 6 4" xfId="7889" xr:uid="{00000000-0005-0000-0000-0000373A0000}"/>
    <cellStyle name="20 % - Markeringsfarve5 4 6 4 2" xfId="15754" xr:uid="{00000000-0005-0000-0000-0000383A0000}"/>
    <cellStyle name="20 % - Markeringsfarve5 4 6 4 2 2" xfId="32030" xr:uid="{00000000-0005-0000-0000-0000393A0000}"/>
    <cellStyle name="20 % - Markeringsfarve5 4 6 4 2 3" xfId="46989" xr:uid="{00000000-0005-0000-0000-00003A3A0000}"/>
    <cellStyle name="20 % - Markeringsfarve5 4 6 4 3" xfId="25028" xr:uid="{00000000-0005-0000-0000-00003B3A0000}"/>
    <cellStyle name="20 % - Markeringsfarve5 4 6 4 4" xfId="39992" xr:uid="{00000000-0005-0000-0000-00003C3A0000}"/>
    <cellStyle name="20 % - Markeringsfarve5 4 6 5" xfId="13553" xr:uid="{00000000-0005-0000-0000-00003D3A0000}"/>
    <cellStyle name="20 % - Markeringsfarve5 4 6 5 2" xfId="29832" xr:uid="{00000000-0005-0000-0000-00003E3A0000}"/>
    <cellStyle name="20 % - Markeringsfarve5 4 6 5 3" xfId="44793" xr:uid="{00000000-0005-0000-0000-00003F3A0000}"/>
    <cellStyle name="20 % - Markeringsfarve5 4 6 6" xfId="22830" xr:uid="{00000000-0005-0000-0000-0000403A0000}"/>
    <cellStyle name="20 % - Markeringsfarve5 4 6 7" xfId="37796" xr:uid="{00000000-0005-0000-0000-0000413A0000}"/>
    <cellStyle name="20 % - Markeringsfarve5 4 7" xfId="5071" xr:uid="{00000000-0005-0000-0000-0000423A0000}"/>
    <cellStyle name="20 % - Markeringsfarve5 4 7 2" xfId="9742" xr:uid="{00000000-0005-0000-0000-0000433A0000}"/>
    <cellStyle name="20 % - Markeringsfarve5 4 7 2 2" xfId="17596" xr:uid="{00000000-0005-0000-0000-0000443A0000}"/>
    <cellStyle name="20 % - Markeringsfarve5 4 7 2 2 2" xfId="33872" xr:uid="{00000000-0005-0000-0000-0000453A0000}"/>
    <cellStyle name="20 % - Markeringsfarve5 4 7 2 2 3" xfId="48831" xr:uid="{00000000-0005-0000-0000-0000463A0000}"/>
    <cellStyle name="20 % - Markeringsfarve5 4 7 2 3" xfId="26870" xr:uid="{00000000-0005-0000-0000-0000473A0000}"/>
    <cellStyle name="20 % - Markeringsfarve5 4 7 2 4" xfId="41834" xr:uid="{00000000-0005-0000-0000-0000483A0000}"/>
    <cellStyle name="20 % - Markeringsfarve5 4 7 3" xfId="13556" xr:uid="{00000000-0005-0000-0000-0000493A0000}"/>
    <cellStyle name="20 % - Markeringsfarve5 4 7 3 2" xfId="29835" xr:uid="{00000000-0005-0000-0000-00004A3A0000}"/>
    <cellStyle name="20 % - Markeringsfarve5 4 7 3 3" xfId="44796" xr:uid="{00000000-0005-0000-0000-00004B3A0000}"/>
    <cellStyle name="20 % - Markeringsfarve5 4 7 4" xfId="22833" xr:uid="{00000000-0005-0000-0000-00004C3A0000}"/>
    <cellStyle name="20 % - Markeringsfarve5 4 7 5" xfId="37799" xr:uid="{00000000-0005-0000-0000-00004D3A0000}"/>
    <cellStyle name="20 % - Markeringsfarve5 4 8" xfId="5072" xr:uid="{00000000-0005-0000-0000-00004E3A0000}"/>
    <cellStyle name="20 % - Markeringsfarve5 4 8 2" xfId="8970" xr:uid="{00000000-0005-0000-0000-00004F3A0000}"/>
    <cellStyle name="20 % - Markeringsfarve5 4 8 2 2" xfId="16834" xr:uid="{00000000-0005-0000-0000-0000503A0000}"/>
    <cellStyle name="20 % - Markeringsfarve5 4 8 2 2 2" xfId="33110" xr:uid="{00000000-0005-0000-0000-0000513A0000}"/>
    <cellStyle name="20 % - Markeringsfarve5 4 8 2 2 3" xfId="48069" xr:uid="{00000000-0005-0000-0000-0000523A0000}"/>
    <cellStyle name="20 % - Markeringsfarve5 4 8 2 3" xfId="26108" xr:uid="{00000000-0005-0000-0000-0000533A0000}"/>
    <cellStyle name="20 % - Markeringsfarve5 4 8 2 4" xfId="41072" xr:uid="{00000000-0005-0000-0000-0000543A0000}"/>
    <cellStyle name="20 % - Markeringsfarve5 4 8 3" xfId="13557" xr:uid="{00000000-0005-0000-0000-0000553A0000}"/>
    <cellStyle name="20 % - Markeringsfarve5 4 8 3 2" xfId="29836" xr:uid="{00000000-0005-0000-0000-0000563A0000}"/>
    <cellStyle name="20 % - Markeringsfarve5 4 8 3 3" xfId="44797" xr:uid="{00000000-0005-0000-0000-0000573A0000}"/>
    <cellStyle name="20 % - Markeringsfarve5 4 8 4" xfId="22834" xr:uid="{00000000-0005-0000-0000-0000583A0000}"/>
    <cellStyle name="20 % - Markeringsfarve5 4 8 5" xfId="37800" xr:uid="{00000000-0005-0000-0000-0000593A0000}"/>
    <cellStyle name="20 % - Markeringsfarve5 4 9" xfId="7884" xr:uid="{00000000-0005-0000-0000-00005A3A0000}"/>
    <cellStyle name="20 % - Markeringsfarve5 4 9 2" xfId="15749" xr:uid="{00000000-0005-0000-0000-00005B3A0000}"/>
    <cellStyle name="20 % - Markeringsfarve5 4 9 2 2" xfId="32025" xr:uid="{00000000-0005-0000-0000-00005C3A0000}"/>
    <cellStyle name="20 % - Markeringsfarve5 4 9 2 3" xfId="46984" xr:uid="{00000000-0005-0000-0000-00005D3A0000}"/>
    <cellStyle name="20 % - Markeringsfarve5 4 9 3" xfId="25023" xr:uid="{00000000-0005-0000-0000-00005E3A0000}"/>
    <cellStyle name="20 % - Markeringsfarve5 4 9 4" xfId="39987" xr:uid="{00000000-0005-0000-0000-00005F3A0000}"/>
    <cellStyle name="20 % - Markeringsfarve5 5" xfId="5073" xr:uid="{00000000-0005-0000-0000-0000603A0000}"/>
    <cellStyle name="20 % - Markeringsfarve5 5 10" xfId="13558" xr:uid="{00000000-0005-0000-0000-0000613A0000}"/>
    <cellStyle name="20 % - Markeringsfarve5 5 10 2" xfId="29837" xr:uid="{00000000-0005-0000-0000-0000623A0000}"/>
    <cellStyle name="20 % - Markeringsfarve5 5 10 3" xfId="44798" xr:uid="{00000000-0005-0000-0000-0000633A0000}"/>
    <cellStyle name="20 % - Markeringsfarve5 5 11" xfId="22835" xr:uid="{00000000-0005-0000-0000-0000643A0000}"/>
    <cellStyle name="20 % - Markeringsfarve5 5 12" xfId="37801" xr:uid="{00000000-0005-0000-0000-0000653A0000}"/>
    <cellStyle name="20 % - Markeringsfarve5 5 2" xfId="5074" xr:uid="{00000000-0005-0000-0000-0000663A0000}"/>
    <cellStyle name="20 % - Markeringsfarve5 5 2 2" xfId="5075" xr:uid="{00000000-0005-0000-0000-0000673A0000}"/>
    <cellStyle name="20 % - Markeringsfarve5 5 2 2 2" xfId="9899" xr:uid="{00000000-0005-0000-0000-0000683A0000}"/>
    <cellStyle name="20 % - Markeringsfarve5 5 2 2 2 2" xfId="17754" xr:uid="{00000000-0005-0000-0000-0000693A0000}"/>
    <cellStyle name="20 % - Markeringsfarve5 5 2 2 2 2 2" xfId="34030" xr:uid="{00000000-0005-0000-0000-00006A3A0000}"/>
    <cellStyle name="20 % - Markeringsfarve5 5 2 2 2 2 3" xfId="48989" xr:uid="{00000000-0005-0000-0000-00006B3A0000}"/>
    <cellStyle name="20 % - Markeringsfarve5 5 2 2 2 3" xfId="27028" xr:uid="{00000000-0005-0000-0000-00006C3A0000}"/>
    <cellStyle name="20 % - Markeringsfarve5 5 2 2 2 4" xfId="41992" xr:uid="{00000000-0005-0000-0000-00006D3A0000}"/>
    <cellStyle name="20 % - Markeringsfarve5 5 2 2 3" xfId="13560" xr:uid="{00000000-0005-0000-0000-00006E3A0000}"/>
    <cellStyle name="20 % - Markeringsfarve5 5 2 2 3 2" xfId="29839" xr:uid="{00000000-0005-0000-0000-00006F3A0000}"/>
    <cellStyle name="20 % - Markeringsfarve5 5 2 2 3 3" xfId="44800" xr:uid="{00000000-0005-0000-0000-0000703A0000}"/>
    <cellStyle name="20 % - Markeringsfarve5 5 2 2 4" xfId="22837" xr:uid="{00000000-0005-0000-0000-0000713A0000}"/>
    <cellStyle name="20 % - Markeringsfarve5 5 2 2 5" xfId="37803" xr:uid="{00000000-0005-0000-0000-0000723A0000}"/>
    <cellStyle name="20 % - Markeringsfarve5 5 2 3" xfId="5076" xr:uid="{00000000-0005-0000-0000-0000733A0000}"/>
    <cellStyle name="20 % - Markeringsfarve5 5 2 3 2" xfId="9130" xr:uid="{00000000-0005-0000-0000-0000743A0000}"/>
    <cellStyle name="20 % - Markeringsfarve5 5 2 3 2 2" xfId="16994" xr:uid="{00000000-0005-0000-0000-0000753A0000}"/>
    <cellStyle name="20 % - Markeringsfarve5 5 2 3 2 2 2" xfId="33270" xr:uid="{00000000-0005-0000-0000-0000763A0000}"/>
    <cellStyle name="20 % - Markeringsfarve5 5 2 3 2 2 3" xfId="48229" xr:uid="{00000000-0005-0000-0000-0000773A0000}"/>
    <cellStyle name="20 % - Markeringsfarve5 5 2 3 2 3" xfId="26268" xr:uid="{00000000-0005-0000-0000-0000783A0000}"/>
    <cellStyle name="20 % - Markeringsfarve5 5 2 3 2 4" xfId="41232" xr:uid="{00000000-0005-0000-0000-0000793A0000}"/>
    <cellStyle name="20 % - Markeringsfarve5 5 2 3 3" xfId="13561" xr:uid="{00000000-0005-0000-0000-00007A3A0000}"/>
    <cellStyle name="20 % - Markeringsfarve5 5 2 3 3 2" xfId="29840" xr:uid="{00000000-0005-0000-0000-00007B3A0000}"/>
    <cellStyle name="20 % - Markeringsfarve5 5 2 3 3 3" xfId="44801" xr:uid="{00000000-0005-0000-0000-00007C3A0000}"/>
    <cellStyle name="20 % - Markeringsfarve5 5 2 3 4" xfId="22838" xr:uid="{00000000-0005-0000-0000-00007D3A0000}"/>
    <cellStyle name="20 % - Markeringsfarve5 5 2 3 5" xfId="37804" xr:uid="{00000000-0005-0000-0000-00007E3A0000}"/>
    <cellStyle name="20 % - Markeringsfarve5 5 2 4" xfId="7891" xr:uid="{00000000-0005-0000-0000-00007F3A0000}"/>
    <cellStyle name="20 % - Markeringsfarve5 5 2 4 2" xfId="15756" xr:uid="{00000000-0005-0000-0000-0000803A0000}"/>
    <cellStyle name="20 % - Markeringsfarve5 5 2 4 2 2" xfId="32032" xr:uid="{00000000-0005-0000-0000-0000813A0000}"/>
    <cellStyle name="20 % - Markeringsfarve5 5 2 4 2 3" xfId="46991" xr:uid="{00000000-0005-0000-0000-0000823A0000}"/>
    <cellStyle name="20 % - Markeringsfarve5 5 2 4 3" xfId="25030" xr:uid="{00000000-0005-0000-0000-0000833A0000}"/>
    <cellStyle name="20 % - Markeringsfarve5 5 2 4 4" xfId="39994" xr:uid="{00000000-0005-0000-0000-0000843A0000}"/>
    <cellStyle name="20 % - Markeringsfarve5 5 2 5" xfId="13559" xr:uid="{00000000-0005-0000-0000-0000853A0000}"/>
    <cellStyle name="20 % - Markeringsfarve5 5 2 5 2" xfId="29838" xr:uid="{00000000-0005-0000-0000-0000863A0000}"/>
    <cellStyle name="20 % - Markeringsfarve5 5 2 5 3" xfId="44799" xr:uid="{00000000-0005-0000-0000-0000873A0000}"/>
    <cellStyle name="20 % - Markeringsfarve5 5 2 6" xfId="22836" xr:uid="{00000000-0005-0000-0000-0000883A0000}"/>
    <cellStyle name="20 % - Markeringsfarve5 5 2 7" xfId="37802" xr:uid="{00000000-0005-0000-0000-0000893A0000}"/>
    <cellStyle name="20 % - Markeringsfarve5 5 3" xfId="5077" xr:uid="{00000000-0005-0000-0000-00008A3A0000}"/>
    <cellStyle name="20 % - Markeringsfarve5 5 3 2" xfId="5078" xr:uid="{00000000-0005-0000-0000-00008B3A0000}"/>
    <cellStyle name="20 % - Markeringsfarve5 5 3 2 2" xfId="9975" xr:uid="{00000000-0005-0000-0000-00008C3A0000}"/>
    <cellStyle name="20 % - Markeringsfarve5 5 3 2 2 2" xfId="17830" xr:uid="{00000000-0005-0000-0000-00008D3A0000}"/>
    <cellStyle name="20 % - Markeringsfarve5 5 3 2 2 2 2" xfId="34106" xr:uid="{00000000-0005-0000-0000-00008E3A0000}"/>
    <cellStyle name="20 % - Markeringsfarve5 5 3 2 2 2 3" xfId="49065" xr:uid="{00000000-0005-0000-0000-00008F3A0000}"/>
    <cellStyle name="20 % - Markeringsfarve5 5 3 2 2 3" xfId="27104" xr:uid="{00000000-0005-0000-0000-0000903A0000}"/>
    <cellStyle name="20 % - Markeringsfarve5 5 3 2 2 4" xfId="42068" xr:uid="{00000000-0005-0000-0000-0000913A0000}"/>
    <cellStyle name="20 % - Markeringsfarve5 5 3 2 3" xfId="13563" xr:uid="{00000000-0005-0000-0000-0000923A0000}"/>
    <cellStyle name="20 % - Markeringsfarve5 5 3 2 3 2" xfId="29842" xr:uid="{00000000-0005-0000-0000-0000933A0000}"/>
    <cellStyle name="20 % - Markeringsfarve5 5 3 2 3 3" xfId="44803" xr:uid="{00000000-0005-0000-0000-0000943A0000}"/>
    <cellStyle name="20 % - Markeringsfarve5 5 3 2 4" xfId="22840" xr:uid="{00000000-0005-0000-0000-0000953A0000}"/>
    <cellStyle name="20 % - Markeringsfarve5 5 3 2 5" xfId="37806" xr:uid="{00000000-0005-0000-0000-0000963A0000}"/>
    <cellStyle name="20 % - Markeringsfarve5 5 3 3" xfId="5079" xr:uid="{00000000-0005-0000-0000-0000973A0000}"/>
    <cellStyle name="20 % - Markeringsfarve5 5 3 3 2" xfId="9206" xr:uid="{00000000-0005-0000-0000-0000983A0000}"/>
    <cellStyle name="20 % - Markeringsfarve5 5 3 3 2 2" xfId="17070" xr:uid="{00000000-0005-0000-0000-0000993A0000}"/>
    <cellStyle name="20 % - Markeringsfarve5 5 3 3 2 2 2" xfId="33346" xr:uid="{00000000-0005-0000-0000-00009A3A0000}"/>
    <cellStyle name="20 % - Markeringsfarve5 5 3 3 2 2 3" xfId="48305" xr:uid="{00000000-0005-0000-0000-00009B3A0000}"/>
    <cellStyle name="20 % - Markeringsfarve5 5 3 3 2 3" xfId="26344" xr:uid="{00000000-0005-0000-0000-00009C3A0000}"/>
    <cellStyle name="20 % - Markeringsfarve5 5 3 3 2 4" xfId="41308" xr:uid="{00000000-0005-0000-0000-00009D3A0000}"/>
    <cellStyle name="20 % - Markeringsfarve5 5 3 3 3" xfId="13564" xr:uid="{00000000-0005-0000-0000-00009E3A0000}"/>
    <cellStyle name="20 % - Markeringsfarve5 5 3 3 3 2" xfId="29843" xr:uid="{00000000-0005-0000-0000-00009F3A0000}"/>
    <cellStyle name="20 % - Markeringsfarve5 5 3 3 3 3" xfId="44804" xr:uid="{00000000-0005-0000-0000-0000A03A0000}"/>
    <cellStyle name="20 % - Markeringsfarve5 5 3 3 4" xfId="22841" xr:uid="{00000000-0005-0000-0000-0000A13A0000}"/>
    <cellStyle name="20 % - Markeringsfarve5 5 3 3 5" xfId="37807" xr:uid="{00000000-0005-0000-0000-0000A23A0000}"/>
    <cellStyle name="20 % - Markeringsfarve5 5 3 4" xfId="7892" xr:uid="{00000000-0005-0000-0000-0000A33A0000}"/>
    <cellStyle name="20 % - Markeringsfarve5 5 3 4 2" xfId="15757" xr:uid="{00000000-0005-0000-0000-0000A43A0000}"/>
    <cellStyle name="20 % - Markeringsfarve5 5 3 4 2 2" xfId="32033" xr:uid="{00000000-0005-0000-0000-0000A53A0000}"/>
    <cellStyle name="20 % - Markeringsfarve5 5 3 4 2 3" xfId="46992" xr:uid="{00000000-0005-0000-0000-0000A63A0000}"/>
    <cellStyle name="20 % - Markeringsfarve5 5 3 4 3" xfId="25031" xr:uid="{00000000-0005-0000-0000-0000A73A0000}"/>
    <cellStyle name="20 % - Markeringsfarve5 5 3 4 4" xfId="39995" xr:uid="{00000000-0005-0000-0000-0000A83A0000}"/>
    <cellStyle name="20 % - Markeringsfarve5 5 3 5" xfId="13562" xr:uid="{00000000-0005-0000-0000-0000A93A0000}"/>
    <cellStyle name="20 % - Markeringsfarve5 5 3 5 2" xfId="29841" xr:uid="{00000000-0005-0000-0000-0000AA3A0000}"/>
    <cellStyle name="20 % - Markeringsfarve5 5 3 5 3" xfId="44802" xr:uid="{00000000-0005-0000-0000-0000AB3A0000}"/>
    <cellStyle name="20 % - Markeringsfarve5 5 3 6" xfId="22839" xr:uid="{00000000-0005-0000-0000-0000AC3A0000}"/>
    <cellStyle name="20 % - Markeringsfarve5 5 3 7" xfId="37805" xr:uid="{00000000-0005-0000-0000-0000AD3A0000}"/>
    <cellStyle name="20 % - Markeringsfarve5 5 4" xfId="5080" xr:uid="{00000000-0005-0000-0000-0000AE3A0000}"/>
    <cellStyle name="20 % - Markeringsfarve5 5 4 2" xfId="5081" xr:uid="{00000000-0005-0000-0000-0000AF3A0000}"/>
    <cellStyle name="20 % - Markeringsfarve5 5 4 2 2" xfId="10137" xr:uid="{00000000-0005-0000-0000-0000B03A0000}"/>
    <cellStyle name="20 % - Markeringsfarve5 5 4 2 2 2" xfId="17992" xr:uid="{00000000-0005-0000-0000-0000B13A0000}"/>
    <cellStyle name="20 % - Markeringsfarve5 5 4 2 2 2 2" xfId="34268" xr:uid="{00000000-0005-0000-0000-0000B23A0000}"/>
    <cellStyle name="20 % - Markeringsfarve5 5 4 2 2 2 3" xfId="49227" xr:uid="{00000000-0005-0000-0000-0000B33A0000}"/>
    <cellStyle name="20 % - Markeringsfarve5 5 4 2 2 3" xfId="27266" xr:uid="{00000000-0005-0000-0000-0000B43A0000}"/>
    <cellStyle name="20 % - Markeringsfarve5 5 4 2 2 4" xfId="42230" xr:uid="{00000000-0005-0000-0000-0000B53A0000}"/>
    <cellStyle name="20 % - Markeringsfarve5 5 4 2 3" xfId="13566" xr:uid="{00000000-0005-0000-0000-0000B63A0000}"/>
    <cellStyle name="20 % - Markeringsfarve5 5 4 2 3 2" xfId="29845" xr:uid="{00000000-0005-0000-0000-0000B73A0000}"/>
    <cellStyle name="20 % - Markeringsfarve5 5 4 2 3 3" xfId="44806" xr:uid="{00000000-0005-0000-0000-0000B83A0000}"/>
    <cellStyle name="20 % - Markeringsfarve5 5 4 2 4" xfId="22843" xr:uid="{00000000-0005-0000-0000-0000B93A0000}"/>
    <cellStyle name="20 % - Markeringsfarve5 5 4 2 5" xfId="37809" xr:uid="{00000000-0005-0000-0000-0000BA3A0000}"/>
    <cellStyle name="20 % - Markeringsfarve5 5 4 3" xfId="5082" xr:uid="{00000000-0005-0000-0000-0000BB3A0000}"/>
    <cellStyle name="20 % - Markeringsfarve5 5 4 3 2" xfId="9414" xr:uid="{00000000-0005-0000-0000-0000BC3A0000}"/>
    <cellStyle name="20 % - Markeringsfarve5 5 4 3 2 2" xfId="17277" xr:uid="{00000000-0005-0000-0000-0000BD3A0000}"/>
    <cellStyle name="20 % - Markeringsfarve5 5 4 3 2 2 2" xfId="33553" xr:uid="{00000000-0005-0000-0000-0000BE3A0000}"/>
    <cellStyle name="20 % - Markeringsfarve5 5 4 3 2 2 3" xfId="48512" xr:uid="{00000000-0005-0000-0000-0000BF3A0000}"/>
    <cellStyle name="20 % - Markeringsfarve5 5 4 3 2 3" xfId="26551" xr:uid="{00000000-0005-0000-0000-0000C03A0000}"/>
    <cellStyle name="20 % - Markeringsfarve5 5 4 3 2 4" xfId="41515" xr:uid="{00000000-0005-0000-0000-0000C13A0000}"/>
    <cellStyle name="20 % - Markeringsfarve5 5 4 3 3" xfId="13567" xr:uid="{00000000-0005-0000-0000-0000C23A0000}"/>
    <cellStyle name="20 % - Markeringsfarve5 5 4 3 3 2" xfId="29846" xr:uid="{00000000-0005-0000-0000-0000C33A0000}"/>
    <cellStyle name="20 % - Markeringsfarve5 5 4 3 3 3" xfId="44807" xr:uid="{00000000-0005-0000-0000-0000C43A0000}"/>
    <cellStyle name="20 % - Markeringsfarve5 5 4 3 4" xfId="22844" xr:uid="{00000000-0005-0000-0000-0000C53A0000}"/>
    <cellStyle name="20 % - Markeringsfarve5 5 4 3 5" xfId="37810" xr:uid="{00000000-0005-0000-0000-0000C63A0000}"/>
    <cellStyle name="20 % - Markeringsfarve5 5 4 4" xfId="7893" xr:uid="{00000000-0005-0000-0000-0000C73A0000}"/>
    <cellStyle name="20 % - Markeringsfarve5 5 4 4 2" xfId="15758" xr:uid="{00000000-0005-0000-0000-0000C83A0000}"/>
    <cellStyle name="20 % - Markeringsfarve5 5 4 4 2 2" xfId="32034" xr:uid="{00000000-0005-0000-0000-0000C93A0000}"/>
    <cellStyle name="20 % - Markeringsfarve5 5 4 4 2 3" xfId="46993" xr:uid="{00000000-0005-0000-0000-0000CA3A0000}"/>
    <cellStyle name="20 % - Markeringsfarve5 5 4 4 3" xfId="25032" xr:uid="{00000000-0005-0000-0000-0000CB3A0000}"/>
    <cellStyle name="20 % - Markeringsfarve5 5 4 4 4" xfId="39996" xr:uid="{00000000-0005-0000-0000-0000CC3A0000}"/>
    <cellStyle name="20 % - Markeringsfarve5 5 4 5" xfId="13565" xr:uid="{00000000-0005-0000-0000-0000CD3A0000}"/>
    <cellStyle name="20 % - Markeringsfarve5 5 4 5 2" xfId="29844" xr:uid="{00000000-0005-0000-0000-0000CE3A0000}"/>
    <cellStyle name="20 % - Markeringsfarve5 5 4 5 3" xfId="44805" xr:uid="{00000000-0005-0000-0000-0000CF3A0000}"/>
    <cellStyle name="20 % - Markeringsfarve5 5 4 6" xfId="22842" xr:uid="{00000000-0005-0000-0000-0000D03A0000}"/>
    <cellStyle name="20 % - Markeringsfarve5 5 4 7" xfId="37808" xr:uid="{00000000-0005-0000-0000-0000D13A0000}"/>
    <cellStyle name="20 % - Markeringsfarve5 5 5" xfId="5083" xr:uid="{00000000-0005-0000-0000-0000D23A0000}"/>
    <cellStyle name="20 % - Markeringsfarve5 5 5 2" xfId="5084" xr:uid="{00000000-0005-0000-0000-0000D33A0000}"/>
    <cellStyle name="20 % - Markeringsfarve5 5 5 2 2" xfId="10254" xr:uid="{00000000-0005-0000-0000-0000D43A0000}"/>
    <cellStyle name="20 % - Markeringsfarve5 5 5 2 2 2" xfId="18109" xr:uid="{00000000-0005-0000-0000-0000D53A0000}"/>
    <cellStyle name="20 % - Markeringsfarve5 5 5 2 2 2 2" xfId="34385" xr:uid="{00000000-0005-0000-0000-0000D63A0000}"/>
    <cellStyle name="20 % - Markeringsfarve5 5 5 2 2 2 3" xfId="49344" xr:uid="{00000000-0005-0000-0000-0000D73A0000}"/>
    <cellStyle name="20 % - Markeringsfarve5 5 5 2 2 3" xfId="27383" xr:uid="{00000000-0005-0000-0000-0000D83A0000}"/>
    <cellStyle name="20 % - Markeringsfarve5 5 5 2 2 4" xfId="42347" xr:uid="{00000000-0005-0000-0000-0000D93A0000}"/>
    <cellStyle name="20 % - Markeringsfarve5 5 5 2 3" xfId="13569" xr:uid="{00000000-0005-0000-0000-0000DA3A0000}"/>
    <cellStyle name="20 % - Markeringsfarve5 5 5 2 3 2" xfId="29848" xr:uid="{00000000-0005-0000-0000-0000DB3A0000}"/>
    <cellStyle name="20 % - Markeringsfarve5 5 5 2 3 3" xfId="44809" xr:uid="{00000000-0005-0000-0000-0000DC3A0000}"/>
    <cellStyle name="20 % - Markeringsfarve5 5 5 2 4" xfId="22846" xr:uid="{00000000-0005-0000-0000-0000DD3A0000}"/>
    <cellStyle name="20 % - Markeringsfarve5 5 5 2 5" xfId="37812" xr:uid="{00000000-0005-0000-0000-0000DE3A0000}"/>
    <cellStyle name="20 % - Markeringsfarve5 5 5 3" xfId="5085" xr:uid="{00000000-0005-0000-0000-0000DF3A0000}"/>
    <cellStyle name="20 % - Markeringsfarve5 5 5 3 2" xfId="9531" xr:uid="{00000000-0005-0000-0000-0000E03A0000}"/>
    <cellStyle name="20 % - Markeringsfarve5 5 5 3 2 2" xfId="17394" xr:uid="{00000000-0005-0000-0000-0000E13A0000}"/>
    <cellStyle name="20 % - Markeringsfarve5 5 5 3 2 2 2" xfId="33670" xr:uid="{00000000-0005-0000-0000-0000E23A0000}"/>
    <cellStyle name="20 % - Markeringsfarve5 5 5 3 2 2 3" xfId="48629" xr:uid="{00000000-0005-0000-0000-0000E33A0000}"/>
    <cellStyle name="20 % - Markeringsfarve5 5 5 3 2 3" xfId="26668" xr:uid="{00000000-0005-0000-0000-0000E43A0000}"/>
    <cellStyle name="20 % - Markeringsfarve5 5 5 3 2 4" xfId="41632" xr:uid="{00000000-0005-0000-0000-0000E53A0000}"/>
    <cellStyle name="20 % - Markeringsfarve5 5 5 3 3" xfId="13570" xr:uid="{00000000-0005-0000-0000-0000E63A0000}"/>
    <cellStyle name="20 % - Markeringsfarve5 5 5 3 3 2" xfId="29849" xr:uid="{00000000-0005-0000-0000-0000E73A0000}"/>
    <cellStyle name="20 % - Markeringsfarve5 5 5 3 3 3" xfId="44810" xr:uid="{00000000-0005-0000-0000-0000E83A0000}"/>
    <cellStyle name="20 % - Markeringsfarve5 5 5 3 4" xfId="22847" xr:uid="{00000000-0005-0000-0000-0000E93A0000}"/>
    <cellStyle name="20 % - Markeringsfarve5 5 5 3 5" xfId="37813" xr:uid="{00000000-0005-0000-0000-0000EA3A0000}"/>
    <cellStyle name="20 % - Markeringsfarve5 5 5 4" xfId="7894" xr:uid="{00000000-0005-0000-0000-0000EB3A0000}"/>
    <cellStyle name="20 % - Markeringsfarve5 5 5 4 2" xfId="15759" xr:uid="{00000000-0005-0000-0000-0000EC3A0000}"/>
    <cellStyle name="20 % - Markeringsfarve5 5 5 4 2 2" xfId="32035" xr:uid="{00000000-0005-0000-0000-0000ED3A0000}"/>
    <cellStyle name="20 % - Markeringsfarve5 5 5 4 2 3" xfId="46994" xr:uid="{00000000-0005-0000-0000-0000EE3A0000}"/>
    <cellStyle name="20 % - Markeringsfarve5 5 5 4 3" xfId="25033" xr:uid="{00000000-0005-0000-0000-0000EF3A0000}"/>
    <cellStyle name="20 % - Markeringsfarve5 5 5 4 4" xfId="39997" xr:uid="{00000000-0005-0000-0000-0000F03A0000}"/>
    <cellStyle name="20 % - Markeringsfarve5 5 5 5" xfId="13568" xr:uid="{00000000-0005-0000-0000-0000F13A0000}"/>
    <cellStyle name="20 % - Markeringsfarve5 5 5 5 2" xfId="29847" xr:uid="{00000000-0005-0000-0000-0000F23A0000}"/>
    <cellStyle name="20 % - Markeringsfarve5 5 5 5 3" xfId="44808" xr:uid="{00000000-0005-0000-0000-0000F33A0000}"/>
    <cellStyle name="20 % - Markeringsfarve5 5 5 6" xfId="22845" xr:uid="{00000000-0005-0000-0000-0000F43A0000}"/>
    <cellStyle name="20 % - Markeringsfarve5 5 5 7" xfId="37811" xr:uid="{00000000-0005-0000-0000-0000F53A0000}"/>
    <cellStyle name="20 % - Markeringsfarve5 5 6" xfId="5086" xr:uid="{00000000-0005-0000-0000-0000F63A0000}"/>
    <cellStyle name="20 % - Markeringsfarve5 5 6 2" xfId="5087" xr:uid="{00000000-0005-0000-0000-0000F73A0000}"/>
    <cellStyle name="20 % - Markeringsfarve5 5 6 2 2" xfId="10329" xr:uid="{00000000-0005-0000-0000-0000F83A0000}"/>
    <cellStyle name="20 % - Markeringsfarve5 5 6 2 2 2" xfId="18184" xr:uid="{00000000-0005-0000-0000-0000F93A0000}"/>
    <cellStyle name="20 % - Markeringsfarve5 5 6 2 2 2 2" xfId="34460" xr:uid="{00000000-0005-0000-0000-0000FA3A0000}"/>
    <cellStyle name="20 % - Markeringsfarve5 5 6 2 2 2 3" xfId="49419" xr:uid="{00000000-0005-0000-0000-0000FB3A0000}"/>
    <cellStyle name="20 % - Markeringsfarve5 5 6 2 2 3" xfId="27458" xr:uid="{00000000-0005-0000-0000-0000FC3A0000}"/>
    <cellStyle name="20 % - Markeringsfarve5 5 6 2 2 4" xfId="42422" xr:uid="{00000000-0005-0000-0000-0000FD3A0000}"/>
    <cellStyle name="20 % - Markeringsfarve5 5 6 2 3" xfId="13572" xr:uid="{00000000-0005-0000-0000-0000FE3A0000}"/>
    <cellStyle name="20 % - Markeringsfarve5 5 6 2 3 2" xfId="29851" xr:uid="{00000000-0005-0000-0000-0000FF3A0000}"/>
    <cellStyle name="20 % - Markeringsfarve5 5 6 2 3 3" xfId="44812" xr:uid="{00000000-0005-0000-0000-0000003B0000}"/>
    <cellStyle name="20 % - Markeringsfarve5 5 6 2 4" xfId="22849" xr:uid="{00000000-0005-0000-0000-0000013B0000}"/>
    <cellStyle name="20 % - Markeringsfarve5 5 6 2 5" xfId="37815" xr:uid="{00000000-0005-0000-0000-0000023B0000}"/>
    <cellStyle name="20 % - Markeringsfarve5 5 6 3" xfId="5088" xr:uid="{00000000-0005-0000-0000-0000033B0000}"/>
    <cellStyle name="20 % - Markeringsfarve5 5 6 3 2" xfId="9607" xr:uid="{00000000-0005-0000-0000-0000043B0000}"/>
    <cellStyle name="20 % - Markeringsfarve5 5 6 3 2 2" xfId="17470" xr:uid="{00000000-0005-0000-0000-0000053B0000}"/>
    <cellStyle name="20 % - Markeringsfarve5 5 6 3 2 2 2" xfId="33746" xr:uid="{00000000-0005-0000-0000-0000063B0000}"/>
    <cellStyle name="20 % - Markeringsfarve5 5 6 3 2 2 3" xfId="48705" xr:uid="{00000000-0005-0000-0000-0000073B0000}"/>
    <cellStyle name="20 % - Markeringsfarve5 5 6 3 2 3" xfId="26744" xr:uid="{00000000-0005-0000-0000-0000083B0000}"/>
    <cellStyle name="20 % - Markeringsfarve5 5 6 3 2 4" xfId="41708" xr:uid="{00000000-0005-0000-0000-0000093B0000}"/>
    <cellStyle name="20 % - Markeringsfarve5 5 6 3 3" xfId="13573" xr:uid="{00000000-0005-0000-0000-00000A3B0000}"/>
    <cellStyle name="20 % - Markeringsfarve5 5 6 3 3 2" xfId="29852" xr:uid="{00000000-0005-0000-0000-00000B3B0000}"/>
    <cellStyle name="20 % - Markeringsfarve5 5 6 3 3 3" xfId="44813" xr:uid="{00000000-0005-0000-0000-00000C3B0000}"/>
    <cellStyle name="20 % - Markeringsfarve5 5 6 3 4" xfId="22850" xr:uid="{00000000-0005-0000-0000-00000D3B0000}"/>
    <cellStyle name="20 % - Markeringsfarve5 5 6 3 5" xfId="37816" xr:uid="{00000000-0005-0000-0000-00000E3B0000}"/>
    <cellStyle name="20 % - Markeringsfarve5 5 6 4" xfId="7895" xr:uid="{00000000-0005-0000-0000-00000F3B0000}"/>
    <cellStyle name="20 % - Markeringsfarve5 5 6 4 2" xfId="15760" xr:uid="{00000000-0005-0000-0000-0000103B0000}"/>
    <cellStyle name="20 % - Markeringsfarve5 5 6 4 2 2" xfId="32036" xr:uid="{00000000-0005-0000-0000-0000113B0000}"/>
    <cellStyle name="20 % - Markeringsfarve5 5 6 4 2 3" xfId="46995" xr:uid="{00000000-0005-0000-0000-0000123B0000}"/>
    <cellStyle name="20 % - Markeringsfarve5 5 6 4 3" xfId="25034" xr:uid="{00000000-0005-0000-0000-0000133B0000}"/>
    <cellStyle name="20 % - Markeringsfarve5 5 6 4 4" xfId="39998" xr:uid="{00000000-0005-0000-0000-0000143B0000}"/>
    <cellStyle name="20 % - Markeringsfarve5 5 6 5" xfId="13571" xr:uid="{00000000-0005-0000-0000-0000153B0000}"/>
    <cellStyle name="20 % - Markeringsfarve5 5 6 5 2" xfId="29850" xr:uid="{00000000-0005-0000-0000-0000163B0000}"/>
    <cellStyle name="20 % - Markeringsfarve5 5 6 5 3" xfId="44811" xr:uid="{00000000-0005-0000-0000-0000173B0000}"/>
    <cellStyle name="20 % - Markeringsfarve5 5 6 6" xfId="22848" xr:uid="{00000000-0005-0000-0000-0000183B0000}"/>
    <cellStyle name="20 % - Markeringsfarve5 5 6 7" xfId="37814" xr:uid="{00000000-0005-0000-0000-0000193B0000}"/>
    <cellStyle name="20 % - Markeringsfarve5 5 7" xfId="5089" xr:uid="{00000000-0005-0000-0000-00001A3B0000}"/>
    <cellStyle name="20 % - Markeringsfarve5 5 7 2" xfId="9781" xr:uid="{00000000-0005-0000-0000-00001B3B0000}"/>
    <cellStyle name="20 % - Markeringsfarve5 5 7 2 2" xfId="17635" xr:uid="{00000000-0005-0000-0000-00001C3B0000}"/>
    <cellStyle name="20 % - Markeringsfarve5 5 7 2 2 2" xfId="33911" xr:uid="{00000000-0005-0000-0000-00001D3B0000}"/>
    <cellStyle name="20 % - Markeringsfarve5 5 7 2 2 3" xfId="48870" xr:uid="{00000000-0005-0000-0000-00001E3B0000}"/>
    <cellStyle name="20 % - Markeringsfarve5 5 7 2 3" xfId="26909" xr:uid="{00000000-0005-0000-0000-00001F3B0000}"/>
    <cellStyle name="20 % - Markeringsfarve5 5 7 2 4" xfId="41873" xr:uid="{00000000-0005-0000-0000-0000203B0000}"/>
    <cellStyle name="20 % - Markeringsfarve5 5 7 3" xfId="13574" xr:uid="{00000000-0005-0000-0000-0000213B0000}"/>
    <cellStyle name="20 % - Markeringsfarve5 5 7 3 2" xfId="29853" xr:uid="{00000000-0005-0000-0000-0000223B0000}"/>
    <cellStyle name="20 % - Markeringsfarve5 5 7 3 3" xfId="44814" xr:uid="{00000000-0005-0000-0000-0000233B0000}"/>
    <cellStyle name="20 % - Markeringsfarve5 5 7 4" xfId="22851" xr:uid="{00000000-0005-0000-0000-0000243B0000}"/>
    <cellStyle name="20 % - Markeringsfarve5 5 7 5" xfId="37817" xr:uid="{00000000-0005-0000-0000-0000253B0000}"/>
    <cellStyle name="20 % - Markeringsfarve5 5 8" xfId="5090" xr:uid="{00000000-0005-0000-0000-0000263B0000}"/>
    <cellStyle name="20 % - Markeringsfarve5 5 8 2" xfId="9009" xr:uid="{00000000-0005-0000-0000-0000273B0000}"/>
    <cellStyle name="20 % - Markeringsfarve5 5 8 2 2" xfId="16873" xr:uid="{00000000-0005-0000-0000-0000283B0000}"/>
    <cellStyle name="20 % - Markeringsfarve5 5 8 2 2 2" xfId="33149" xr:uid="{00000000-0005-0000-0000-0000293B0000}"/>
    <cellStyle name="20 % - Markeringsfarve5 5 8 2 2 3" xfId="48108" xr:uid="{00000000-0005-0000-0000-00002A3B0000}"/>
    <cellStyle name="20 % - Markeringsfarve5 5 8 2 3" xfId="26147" xr:uid="{00000000-0005-0000-0000-00002B3B0000}"/>
    <cellStyle name="20 % - Markeringsfarve5 5 8 2 4" xfId="41111" xr:uid="{00000000-0005-0000-0000-00002C3B0000}"/>
    <cellStyle name="20 % - Markeringsfarve5 5 8 3" xfId="13575" xr:uid="{00000000-0005-0000-0000-00002D3B0000}"/>
    <cellStyle name="20 % - Markeringsfarve5 5 8 3 2" xfId="29854" xr:uid="{00000000-0005-0000-0000-00002E3B0000}"/>
    <cellStyle name="20 % - Markeringsfarve5 5 8 3 3" xfId="44815" xr:uid="{00000000-0005-0000-0000-00002F3B0000}"/>
    <cellStyle name="20 % - Markeringsfarve5 5 8 4" xfId="22852" xr:uid="{00000000-0005-0000-0000-0000303B0000}"/>
    <cellStyle name="20 % - Markeringsfarve5 5 8 5" xfId="37818" xr:uid="{00000000-0005-0000-0000-0000313B0000}"/>
    <cellStyle name="20 % - Markeringsfarve5 5 9" xfId="7890" xr:uid="{00000000-0005-0000-0000-0000323B0000}"/>
    <cellStyle name="20 % - Markeringsfarve5 5 9 2" xfId="15755" xr:uid="{00000000-0005-0000-0000-0000333B0000}"/>
    <cellStyle name="20 % - Markeringsfarve5 5 9 2 2" xfId="32031" xr:uid="{00000000-0005-0000-0000-0000343B0000}"/>
    <cellStyle name="20 % - Markeringsfarve5 5 9 2 3" xfId="46990" xr:uid="{00000000-0005-0000-0000-0000353B0000}"/>
    <cellStyle name="20 % - Markeringsfarve5 5 9 3" xfId="25029" xr:uid="{00000000-0005-0000-0000-0000363B0000}"/>
    <cellStyle name="20 % - Markeringsfarve5 5 9 4" xfId="39993" xr:uid="{00000000-0005-0000-0000-0000373B0000}"/>
    <cellStyle name="20 % - Markeringsfarve5 6" xfId="5091" xr:uid="{00000000-0005-0000-0000-0000383B0000}"/>
    <cellStyle name="20 % - Markeringsfarve5 6 2" xfId="5092" xr:uid="{00000000-0005-0000-0000-0000393B0000}"/>
    <cellStyle name="20 % - Markeringsfarve5 6 2 2" xfId="9821" xr:uid="{00000000-0005-0000-0000-00003A3B0000}"/>
    <cellStyle name="20 % - Markeringsfarve5 6 2 2 2" xfId="17676" xr:uid="{00000000-0005-0000-0000-00003B3B0000}"/>
    <cellStyle name="20 % - Markeringsfarve5 6 2 2 2 2" xfId="33952" xr:uid="{00000000-0005-0000-0000-00003C3B0000}"/>
    <cellStyle name="20 % - Markeringsfarve5 6 2 2 2 3" xfId="48911" xr:uid="{00000000-0005-0000-0000-00003D3B0000}"/>
    <cellStyle name="20 % - Markeringsfarve5 6 2 2 3" xfId="26950" xr:uid="{00000000-0005-0000-0000-00003E3B0000}"/>
    <cellStyle name="20 % - Markeringsfarve5 6 2 2 4" xfId="41914" xr:uid="{00000000-0005-0000-0000-00003F3B0000}"/>
    <cellStyle name="20 % - Markeringsfarve5 6 2 3" xfId="13577" xr:uid="{00000000-0005-0000-0000-0000403B0000}"/>
    <cellStyle name="20 % - Markeringsfarve5 6 2 3 2" xfId="29856" xr:uid="{00000000-0005-0000-0000-0000413B0000}"/>
    <cellStyle name="20 % - Markeringsfarve5 6 2 3 3" xfId="44817" xr:uid="{00000000-0005-0000-0000-0000423B0000}"/>
    <cellStyle name="20 % - Markeringsfarve5 6 2 4" xfId="22854" xr:uid="{00000000-0005-0000-0000-0000433B0000}"/>
    <cellStyle name="20 % - Markeringsfarve5 6 2 5" xfId="37820" xr:uid="{00000000-0005-0000-0000-0000443B0000}"/>
    <cellStyle name="20 % - Markeringsfarve5 6 3" xfId="5093" xr:uid="{00000000-0005-0000-0000-0000453B0000}"/>
    <cellStyle name="20 % - Markeringsfarve5 6 3 2" xfId="9052" xr:uid="{00000000-0005-0000-0000-0000463B0000}"/>
    <cellStyle name="20 % - Markeringsfarve5 6 3 2 2" xfId="16916" xr:uid="{00000000-0005-0000-0000-0000473B0000}"/>
    <cellStyle name="20 % - Markeringsfarve5 6 3 2 2 2" xfId="33192" xr:uid="{00000000-0005-0000-0000-0000483B0000}"/>
    <cellStyle name="20 % - Markeringsfarve5 6 3 2 2 3" xfId="48151" xr:uid="{00000000-0005-0000-0000-0000493B0000}"/>
    <cellStyle name="20 % - Markeringsfarve5 6 3 2 3" xfId="26190" xr:uid="{00000000-0005-0000-0000-00004A3B0000}"/>
    <cellStyle name="20 % - Markeringsfarve5 6 3 2 4" xfId="41154" xr:uid="{00000000-0005-0000-0000-00004B3B0000}"/>
    <cellStyle name="20 % - Markeringsfarve5 6 3 3" xfId="13578" xr:uid="{00000000-0005-0000-0000-00004C3B0000}"/>
    <cellStyle name="20 % - Markeringsfarve5 6 3 3 2" xfId="29857" xr:uid="{00000000-0005-0000-0000-00004D3B0000}"/>
    <cellStyle name="20 % - Markeringsfarve5 6 3 3 3" xfId="44818" xr:uid="{00000000-0005-0000-0000-00004E3B0000}"/>
    <cellStyle name="20 % - Markeringsfarve5 6 3 4" xfId="22855" xr:uid="{00000000-0005-0000-0000-00004F3B0000}"/>
    <cellStyle name="20 % - Markeringsfarve5 6 3 5" xfId="37821" xr:uid="{00000000-0005-0000-0000-0000503B0000}"/>
    <cellStyle name="20 % - Markeringsfarve5 6 4" xfId="7896" xr:uid="{00000000-0005-0000-0000-0000513B0000}"/>
    <cellStyle name="20 % - Markeringsfarve5 6 4 2" xfId="15761" xr:uid="{00000000-0005-0000-0000-0000523B0000}"/>
    <cellStyle name="20 % - Markeringsfarve5 6 4 2 2" xfId="32037" xr:uid="{00000000-0005-0000-0000-0000533B0000}"/>
    <cellStyle name="20 % - Markeringsfarve5 6 4 2 3" xfId="46996" xr:uid="{00000000-0005-0000-0000-0000543B0000}"/>
    <cellStyle name="20 % - Markeringsfarve5 6 4 3" xfId="25035" xr:uid="{00000000-0005-0000-0000-0000553B0000}"/>
    <cellStyle name="20 % - Markeringsfarve5 6 4 4" xfId="39999" xr:uid="{00000000-0005-0000-0000-0000563B0000}"/>
    <cellStyle name="20 % - Markeringsfarve5 6 5" xfId="13576" xr:uid="{00000000-0005-0000-0000-0000573B0000}"/>
    <cellStyle name="20 % - Markeringsfarve5 6 5 2" xfId="29855" xr:uid="{00000000-0005-0000-0000-0000583B0000}"/>
    <cellStyle name="20 % - Markeringsfarve5 6 5 3" xfId="44816" xr:uid="{00000000-0005-0000-0000-0000593B0000}"/>
    <cellStyle name="20 % - Markeringsfarve5 6 6" xfId="22853" xr:uid="{00000000-0005-0000-0000-00005A3B0000}"/>
    <cellStyle name="20 % - Markeringsfarve5 6 7" xfId="37819" xr:uid="{00000000-0005-0000-0000-00005B3B0000}"/>
    <cellStyle name="20 % - Markeringsfarve5 7" xfId="5094" xr:uid="{00000000-0005-0000-0000-00005C3B0000}"/>
    <cellStyle name="20 % - Markeringsfarve5 7 2" xfId="5095" xr:uid="{00000000-0005-0000-0000-00005D3B0000}"/>
    <cellStyle name="20 % - Markeringsfarve5 7 2 2" xfId="9967" xr:uid="{00000000-0005-0000-0000-00005E3B0000}"/>
    <cellStyle name="20 % - Markeringsfarve5 7 2 2 2" xfId="17822" xr:uid="{00000000-0005-0000-0000-00005F3B0000}"/>
    <cellStyle name="20 % - Markeringsfarve5 7 2 2 2 2" xfId="34098" xr:uid="{00000000-0005-0000-0000-0000603B0000}"/>
    <cellStyle name="20 % - Markeringsfarve5 7 2 2 2 3" xfId="49057" xr:uid="{00000000-0005-0000-0000-0000613B0000}"/>
    <cellStyle name="20 % - Markeringsfarve5 7 2 2 3" xfId="27096" xr:uid="{00000000-0005-0000-0000-0000623B0000}"/>
    <cellStyle name="20 % - Markeringsfarve5 7 2 2 4" xfId="42060" xr:uid="{00000000-0005-0000-0000-0000633B0000}"/>
    <cellStyle name="20 % - Markeringsfarve5 7 2 3" xfId="13580" xr:uid="{00000000-0005-0000-0000-0000643B0000}"/>
    <cellStyle name="20 % - Markeringsfarve5 7 2 3 2" xfId="29859" xr:uid="{00000000-0005-0000-0000-0000653B0000}"/>
    <cellStyle name="20 % - Markeringsfarve5 7 2 3 3" xfId="44820" xr:uid="{00000000-0005-0000-0000-0000663B0000}"/>
    <cellStyle name="20 % - Markeringsfarve5 7 2 4" xfId="22857" xr:uid="{00000000-0005-0000-0000-0000673B0000}"/>
    <cellStyle name="20 % - Markeringsfarve5 7 2 5" xfId="37823" xr:uid="{00000000-0005-0000-0000-0000683B0000}"/>
    <cellStyle name="20 % - Markeringsfarve5 7 3" xfId="5096" xr:uid="{00000000-0005-0000-0000-0000693B0000}"/>
    <cellStyle name="20 % - Markeringsfarve5 7 3 2" xfId="9198" xr:uid="{00000000-0005-0000-0000-00006A3B0000}"/>
    <cellStyle name="20 % - Markeringsfarve5 7 3 2 2" xfId="17062" xr:uid="{00000000-0005-0000-0000-00006B3B0000}"/>
    <cellStyle name="20 % - Markeringsfarve5 7 3 2 2 2" xfId="33338" xr:uid="{00000000-0005-0000-0000-00006C3B0000}"/>
    <cellStyle name="20 % - Markeringsfarve5 7 3 2 2 3" xfId="48297" xr:uid="{00000000-0005-0000-0000-00006D3B0000}"/>
    <cellStyle name="20 % - Markeringsfarve5 7 3 2 3" xfId="26336" xr:uid="{00000000-0005-0000-0000-00006E3B0000}"/>
    <cellStyle name="20 % - Markeringsfarve5 7 3 2 4" xfId="41300" xr:uid="{00000000-0005-0000-0000-00006F3B0000}"/>
    <cellStyle name="20 % - Markeringsfarve5 7 3 3" xfId="13581" xr:uid="{00000000-0005-0000-0000-0000703B0000}"/>
    <cellStyle name="20 % - Markeringsfarve5 7 3 3 2" xfId="29860" xr:uid="{00000000-0005-0000-0000-0000713B0000}"/>
    <cellStyle name="20 % - Markeringsfarve5 7 3 3 3" xfId="44821" xr:uid="{00000000-0005-0000-0000-0000723B0000}"/>
    <cellStyle name="20 % - Markeringsfarve5 7 3 4" xfId="22858" xr:uid="{00000000-0005-0000-0000-0000733B0000}"/>
    <cellStyle name="20 % - Markeringsfarve5 7 3 5" xfId="37824" xr:uid="{00000000-0005-0000-0000-0000743B0000}"/>
    <cellStyle name="20 % - Markeringsfarve5 7 4" xfId="7897" xr:uid="{00000000-0005-0000-0000-0000753B0000}"/>
    <cellStyle name="20 % - Markeringsfarve5 7 4 2" xfId="15762" xr:uid="{00000000-0005-0000-0000-0000763B0000}"/>
    <cellStyle name="20 % - Markeringsfarve5 7 4 2 2" xfId="32038" xr:uid="{00000000-0005-0000-0000-0000773B0000}"/>
    <cellStyle name="20 % - Markeringsfarve5 7 4 2 3" xfId="46997" xr:uid="{00000000-0005-0000-0000-0000783B0000}"/>
    <cellStyle name="20 % - Markeringsfarve5 7 4 3" xfId="25036" xr:uid="{00000000-0005-0000-0000-0000793B0000}"/>
    <cellStyle name="20 % - Markeringsfarve5 7 4 4" xfId="40000" xr:uid="{00000000-0005-0000-0000-00007A3B0000}"/>
    <cellStyle name="20 % - Markeringsfarve5 7 5" xfId="13579" xr:uid="{00000000-0005-0000-0000-00007B3B0000}"/>
    <cellStyle name="20 % - Markeringsfarve5 7 5 2" xfId="29858" xr:uid="{00000000-0005-0000-0000-00007C3B0000}"/>
    <cellStyle name="20 % - Markeringsfarve5 7 5 3" xfId="44819" xr:uid="{00000000-0005-0000-0000-00007D3B0000}"/>
    <cellStyle name="20 % - Markeringsfarve5 7 6" xfId="22856" xr:uid="{00000000-0005-0000-0000-00007E3B0000}"/>
    <cellStyle name="20 % - Markeringsfarve5 7 7" xfId="37822" xr:uid="{00000000-0005-0000-0000-00007F3B0000}"/>
    <cellStyle name="20 % - Markeringsfarve5 8" xfId="5097" xr:uid="{00000000-0005-0000-0000-0000803B0000}"/>
    <cellStyle name="20 % - Markeringsfarve5 8 2" xfId="5098" xr:uid="{00000000-0005-0000-0000-0000813B0000}"/>
    <cellStyle name="20 % - Markeringsfarve5 8 2 2" xfId="10059" xr:uid="{00000000-0005-0000-0000-0000823B0000}"/>
    <cellStyle name="20 % - Markeringsfarve5 8 2 2 2" xfId="17914" xr:uid="{00000000-0005-0000-0000-0000833B0000}"/>
    <cellStyle name="20 % - Markeringsfarve5 8 2 2 2 2" xfId="34190" xr:uid="{00000000-0005-0000-0000-0000843B0000}"/>
    <cellStyle name="20 % - Markeringsfarve5 8 2 2 2 3" xfId="49149" xr:uid="{00000000-0005-0000-0000-0000853B0000}"/>
    <cellStyle name="20 % - Markeringsfarve5 8 2 2 3" xfId="27188" xr:uid="{00000000-0005-0000-0000-0000863B0000}"/>
    <cellStyle name="20 % - Markeringsfarve5 8 2 2 4" xfId="42152" xr:uid="{00000000-0005-0000-0000-0000873B0000}"/>
    <cellStyle name="20 % - Markeringsfarve5 8 2 3" xfId="13583" xr:uid="{00000000-0005-0000-0000-0000883B0000}"/>
    <cellStyle name="20 % - Markeringsfarve5 8 2 3 2" xfId="29862" xr:uid="{00000000-0005-0000-0000-0000893B0000}"/>
    <cellStyle name="20 % - Markeringsfarve5 8 2 3 3" xfId="44823" xr:uid="{00000000-0005-0000-0000-00008A3B0000}"/>
    <cellStyle name="20 % - Markeringsfarve5 8 2 4" xfId="22860" xr:uid="{00000000-0005-0000-0000-00008B3B0000}"/>
    <cellStyle name="20 % - Markeringsfarve5 8 2 5" xfId="37826" xr:uid="{00000000-0005-0000-0000-00008C3B0000}"/>
    <cellStyle name="20 % - Markeringsfarve5 8 3" xfId="5099" xr:uid="{00000000-0005-0000-0000-00008D3B0000}"/>
    <cellStyle name="20 % - Markeringsfarve5 8 3 2" xfId="9336" xr:uid="{00000000-0005-0000-0000-00008E3B0000}"/>
    <cellStyle name="20 % - Markeringsfarve5 8 3 2 2" xfId="17199" xr:uid="{00000000-0005-0000-0000-00008F3B0000}"/>
    <cellStyle name="20 % - Markeringsfarve5 8 3 2 2 2" xfId="33475" xr:uid="{00000000-0005-0000-0000-0000903B0000}"/>
    <cellStyle name="20 % - Markeringsfarve5 8 3 2 2 3" xfId="48434" xr:uid="{00000000-0005-0000-0000-0000913B0000}"/>
    <cellStyle name="20 % - Markeringsfarve5 8 3 2 3" xfId="26473" xr:uid="{00000000-0005-0000-0000-0000923B0000}"/>
    <cellStyle name="20 % - Markeringsfarve5 8 3 2 4" xfId="41437" xr:uid="{00000000-0005-0000-0000-0000933B0000}"/>
    <cellStyle name="20 % - Markeringsfarve5 8 3 3" xfId="13584" xr:uid="{00000000-0005-0000-0000-0000943B0000}"/>
    <cellStyle name="20 % - Markeringsfarve5 8 3 3 2" xfId="29863" xr:uid="{00000000-0005-0000-0000-0000953B0000}"/>
    <cellStyle name="20 % - Markeringsfarve5 8 3 3 3" xfId="44824" xr:uid="{00000000-0005-0000-0000-0000963B0000}"/>
    <cellStyle name="20 % - Markeringsfarve5 8 3 4" xfId="22861" xr:uid="{00000000-0005-0000-0000-0000973B0000}"/>
    <cellStyle name="20 % - Markeringsfarve5 8 3 5" xfId="37827" xr:uid="{00000000-0005-0000-0000-0000983B0000}"/>
    <cellStyle name="20 % - Markeringsfarve5 8 4" xfId="7898" xr:uid="{00000000-0005-0000-0000-0000993B0000}"/>
    <cellStyle name="20 % - Markeringsfarve5 8 4 2" xfId="15763" xr:uid="{00000000-0005-0000-0000-00009A3B0000}"/>
    <cellStyle name="20 % - Markeringsfarve5 8 4 2 2" xfId="32039" xr:uid="{00000000-0005-0000-0000-00009B3B0000}"/>
    <cellStyle name="20 % - Markeringsfarve5 8 4 2 3" xfId="46998" xr:uid="{00000000-0005-0000-0000-00009C3B0000}"/>
    <cellStyle name="20 % - Markeringsfarve5 8 4 3" xfId="25037" xr:uid="{00000000-0005-0000-0000-00009D3B0000}"/>
    <cellStyle name="20 % - Markeringsfarve5 8 4 4" xfId="40001" xr:uid="{00000000-0005-0000-0000-00009E3B0000}"/>
    <cellStyle name="20 % - Markeringsfarve5 8 5" xfId="13582" xr:uid="{00000000-0005-0000-0000-00009F3B0000}"/>
    <cellStyle name="20 % - Markeringsfarve5 8 5 2" xfId="29861" xr:uid="{00000000-0005-0000-0000-0000A03B0000}"/>
    <cellStyle name="20 % - Markeringsfarve5 8 5 3" xfId="44822" xr:uid="{00000000-0005-0000-0000-0000A13B0000}"/>
    <cellStyle name="20 % - Markeringsfarve5 8 6" xfId="22859" xr:uid="{00000000-0005-0000-0000-0000A23B0000}"/>
    <cellStyle name="20 % - Markeringsfarve5 8 7" xfId="37825" xr:uid="{00000000-0005-0000-0000-0000A33B0000}"/>
    <cellStyle name="20 % - Markeringsfarve5 9" xfId="5100" xr:uid="{00000000-0005-0000-0000-0000A43B0000}"/>
    <cellStyle name="20 % - Markeringsfarve5 9 2" xfId="5101" xr:uid="{00000000-0005-0000-0000-0000A53B0000}"/>
    <cellStyle name="20 % - Markeringsfarve5 9 2 2" xfId="10176" xr:uid="{00000000-0005-0000-0000-0000A63B0000}"/>
    <cellStyle name="20 % - Markeringsfarve5 9 2 2 2" xfId="18031" xr:uid="{00000000-0005-0000-0000-0000A73B0000}"/>
    <cellStyle name="20 % - Markeringsfarve5 9 2 2 2 2" xfId="34307" xr:uid="{00000000-0005-0000-0000-0000A83B0000}"/>
    <cellStyle name="20 % - Markeringsfarve5 9 2 2 2 3" xfId="49266" xr:uid="{00000000-0005-0000-0000-0000A93B0000}"/>
    <cellStyle name="20 % - Markeringsfarve5 9 2 2 3" xfId="27305" xr:uid="{00000000-0005-0000-0000-0000AA3B0000}"/>
    <cellStyle name="20 % - Markeringsfarve5 9 2 2 4" xfId="42269" xr:uid="{00000000-0005-0000-0000-0000AB3B0000}"/>
    <cellStyle name="20 % - Markeringsfarve5 9 2 3" xfId="13586" xr:uid="{00000000-0005-0000-0000-0000AC3B0000}"/>
    <cellStyle name="20 % - Markeringsfarve5 9 2 3 2" xfId="29865" xr:uid="{00000000-0005-0000-0000-0000AD3B0000}"/>
    <cellStyle name="20 % - Markeringsfarve5 9 2 3 3" xfId="44826" xr:uid="{00000000-0005-0000-0000-0000AE3B0000}"/>
    <cellStyle name="20 % - Markeringsfarve5 9 2 4" xfId="22863" xr:uid="{00000000-0005-0000-0000-0000AF3B0000}"/>
    <cellStyle name="20 % - Markeringsfarve5 9 2 5" xfId="37829" xr:uid="{00000000-0005-0000-0000-0000B03B0000}"/>
    <cellStyle name="20 % - Markeringsfarve5 9 3" xfId="5102" xr:uid="{00000000-0005-0000-0000-0000B13B0000}"/>
    <cellStyle name="20 % - Markeringsfarve5 9 3 2" xfId="9453" xr:uid="{00000000-0005-0000-0000-0000B23B0000}"/>
    <cellStyle name="20 % - Markeringsfarve5 9 3 2 2" xfId="17316" xr:uid="{00000000-0005-0000-0000-0000B33B0000}"/>
    <cellStyle name="20 % - Markeringsfarve5 9 3 2 2 2" xfId="33592" xr:uid="{00000000-0005-0000-0000-0000B43B0000}"/>
    <cellStyle name="20 % - Markeringsfarve5 9 3 2 2 3" xfId="48551" xr:uid="{00000000-0005-0000-0000-0000B53B0000}"/>
    <cellStyle name="20 % - Markeringsfarve5 9 3 2 3" xfId="26590" xr:uid="{00000000-0005-0000-0000-0000B63B0000}"/>
    <cellStyle name="20 % - Markeringsfarve5 9 3 2 4" xfId="41554" xr:uid="{00000000-0005-0000-0000-0000B73B0000}"/>
    <cellStyle name="20 % - Markeringsfarve5 9 3 3" xfId="13587" xr:uid="{00000000-0005-0000-0000-0000B83B0000}"/>
    <cellStyle name="20 % - Markeringsfarve5 9 3 3 2" xfId="29866" xr:uid="{00000000-0005-0000-0000-0000B93B0000}"/>
    <cellStyle name="20 % - Markeringsfarve5 9 3 3 3" xfId="44827" xr:uid="{00000000-0005-0000-0000-0000BA3B0000}"/>
    <cellStyle name="20 % - Markeringsfarve5 9 3 4" xfId="22864" xr:uid="{00000000-0005-0000-0000-0000BB3B0000}"/>
    <cellStyle name="20 % - Markeringsfarve5 9 3 5" xfId="37830" xr:uid="{00000000-0005-0000-0000-0000BC3B0000}"/>
    <cellStyle name="20 % - Markeringsfarve5 9 4" xfId="7899" xr:uid="{00000000-0005-0000-0000-0000BD3B0000}"/>
    <cellStyle name="20 % - Markeringsfarve5 9 4 2" xfId="15764" xr:uid="{00000000-0005-0000-0000-0000BE3B0000}"/>
    <cellStyle name="20 % - Markeringsfarve5 9 4 2 2" xfId="32040" xr:uid="{00000000-0005-0000-0000-0000BF3B0000}"/>
    <cellStyle name="20 % - Markeringsfarve5 9 4 2 3" xfId="46999" xr:uid="{00000000-0005-0000-0000-0000C03B0000}"/>
    <cellStyle name="20 % - Markeringsfarve5 9 4 3" xfId="25038" xr:uid="{00000000-0005-0000-0000-0000C13B0000}"/>
    <cellStyle name="20 % - Markeringsfarve5 9 4 4" xfId="40002" xr:uid="{00000000-0005-0000-0000-0000C23B0000}"/>
    <cellStyle name="20 % - Markeringsfarve5 9 5" xfId="13585" xr:uid="{00000000-0005-0000-0000-0000C33B0000}"/>
    <cellStyle name="20 % - Markeringsfarve5 9 5 2" xfId="29864" xr:uid="{00000000-0005-0000-0000-0000C43B0000}"/>
    <cellStyle name="20 % - Markeringsfarve5 9 5 3" xfId="44825" xr:uid="{00000000-0005-0000-0000-0000C53B0000}"/>
    <cellStyle name="20 % - Markeringsfarve5 9 6" xfId="22862" xr:uid="{00000000-0005-0000-0000-0000C63B0000}"/>
    <cellStyle name="20 % - Markeringsfarve5 9 7" xfId="37828" xr:uid="{00000000-0005-0000-0000-0000C73B0000}"/>
    <cellStyle name="20 % - Markeringsfarve6 10" xfId="5104" xr:uid="{00000000-0005-0000-0000-0000C83B0000}"/>
    <cellStyle name="20 % - Markeringsfarve6 10 2" xfId="5105" xr:uid="{00000000-0005-0000-0000-0000C93B0000}"/>
    <cellStyle name="20 % - Markeringsfarve6 10 2 2" xfId="5106" xr:uid="{00000000-0005-0000-0000-0000CA3B0000}"/>
    <cellStyle name="20 % - Markeringsfarve6 10 2 2 2" xfId="10330" xr:uid="{00000000-0005-0000-0000-0000CB3B0000}"/>
    <cellStyle name="20 % - Markeringsfarve6 10 2 2 2 2" xfId="18185" xr:uid="{00000000-0005-0000-0000-0000CC3B0000}"/>
    <cellStyle name="20 % - Markeringsfarve6 10 2 2 2 2 2" xfId="34461" xr:uid="{00000000-0005-0000-0000-0000CD3B0000}"/>
    <cellStyle name="20 % - Markeringsfarve6 10 2 2 2 2 3" xfId="49420" xr:uid="{00000000-0005-0000-0000-0000CE3B0000}"/>
    <cellStyle name="20 % - Markeringsfarve6 10 2 2 2 3" xfId="27459" xr:uid="{00000000-0005-0000-0000-0000CF3B0000}"/>
    <cellStyle name="20 % - Markeringsfarve6 10 2 2 2 4" xfId="42423" xr:uid="{00000000-0005-0000-0000-0000D03B0000}"/>
    <cellStyle name="20 % - Markeringsfarve6 10 2 2 3" xfId="13591" xr:uid="{00000000-0005-0000-0000-0000D13B0000}"/>
    <cellStyle name="20 % - Markeringsfarve6 10 2 2 3 2" xfId="29870" xr:uid="{00000000-0005-0000-0000-0000D23B0000}"/>
    <cellStyle name="20 % - Markeringsfarve6 10 2 2 3 3" xfId="44831" xr:uid="{00000000-0005-0000-0000-0000D33B0000}"/>
    <cellStyle name="20 % - Markeringsfarve6 10 2 2 4" xfId="22868" xr:uid="{00000000-0005-0000-0000-0000D43B0000}"/>
    <cellStyle name="20 % - Markeringsfarve6 10 2 2 5" xfId="37834" xr:uid="{00000000-0005-0000-0000-0000D53B0000}"/>
    <cellStyle name="20 % - Markeringsfarve6 10 2 3" xfId="8833" xr:uid="{00000000-0005-0000-0000-0000D63B0000}"/>
    <cellStyle name="20 % - Markeringsfarve6 10 2 3 2" xfId="16700" xr:uid="{00000000-0005-0000-0000-0000D73B0000}"/>
    <cellStyle name="20 % - Markeringsfarve6 10 2 3 2 2" xfId="32976" xr:uid="{00000000-0005-0000-0000-0000D83B0000}"/>
    <cellStyle name="20 % - Markeringsfarve6 10 2 3 2 3" xfId="47935" xr:uid="{00000000-0005-0000-0000-0000D93B0000}"/>
    <cellStyle name="20 % - Markeringsfarve6 10 2 3 3" xfId="25974" xr:uid="{00000000-0005-0000-0000-0000DA3B0000}"/>
    <cellStyle name="20 % - Markeringsfarve6 10 2 3 4" xfId="40938" xr:uid="{00000000-0005-0000-0000-0000DB3B0000}"/>
    <cellStyle name="20 % - Markeringsfarve6 10 2 4" xfId="13590" xr:uid="{00000000-0005-0000-0000-0000DC3B0000}"/>
    <cellStyle name="20 % - Markeringsfarve6 10 2 4 2" xfId="29869" xr:uid="{00000000-0005-0000-0000-0000DD3B0000}"/>
    <cellStyle name="20 % - Markeringsfarve6 10 2 4 3" xfId="44830" xr:uid="{00000000-0005-0000-0000-0000DE3B0000}"/>
    <cellStyle name="20 % - Markeringsfarve6 10 2 5" xfId="22867" xr:uid="{00000000-0005-0000-0000-0000DF3B0000}"/>
    <cellStyle name="20 % - Markeringsfarve6 10 2 6" xfId="37833" xr:uid="{00000000-0005-0000-0000-0000E03B0000}"/>
    <cellStyle name="20 % - Markeringsfarve6 10 3" xfId="5107" xr:uid="{00000000-0005-0000-0000-0000E13B0000}"/>
    <cellStyle name="20 % - Markeringsfarve6 10 3 2" xfId="9608" xr:uid="{00000000-0005-0000-0000-0000E23B0000}"/>
    <cellStyle name="20 % - Markeringsfarve6 10 3 2 2" xfId="17471" xr:uid="{00000000-0005-0000-0000-0000E33B0000}"/>
    <cellStyle name="20 % - Markeringsfarve6 10 3 2 2 2" xfId="33747" xr:uid="{00000000-0005-0000-0000-0000E43B0000}"/>
    <cellStyle name="20 % - Markeringsfarve6 10 3 2 2 3" xfId="48706" xr:uid="{00000000-0005-0000-0000-0000E53B0000}"/>
    <cellStyle name="20 % - Markeringsfarve6 10 3 2 3" xfId="26745" xr:uid="{00000000-0005-0000-0000-0000E63B0000}"/>
    <cellStyle name="20 % - Markeringsfarve6 10 3 2 4" xfId="41709" xr:uid="{00000000-0005-0000-0000-0000E73B0000}"/>
    <cellStyle name="20 % - Markeringsfarve6 10 3 3" xfId="13592" xr:uid="{00000000-0005-0000-0000-0000E83B0000}"/>
    <cellStyle name="20 % - Markeringsfarve6 10 3 3 2" xfId="29871" xr:uid="{00000000-0005-0000-0000-0000E93B0000}"/>
    <cellStyle name="20 % - Markeringsfarve6 10 3 3 3" xfId="44832" xr:uid="{00000000-0005-0000-0000-0000EA3B0000}"/>
    <cellStyle name="20 % - Markeringsfarve6 10 3 4" xfId="22869" xr:uid="{00000000-0005-0000-0000-0000EB3B0000}"/>
    <cellStyle name="20 % - Markeringsfarve6 10 3 5" xfId="37835" xr:uid="{00000000-0005-0000-0000-0000EC3B0000}"/>
    <cellStyle name="20 % - Markeringsfarve6 10 4" xfId="5108" xr:uid="{00000000-0005-0000-0000-0000ED3B0000}"/>
    <cellStyle name="20 % - Markeringsfarve6 10 4 2" xfId="9303" xr:uid="{00000000-0005-0000-0000-0000EE3B0000}"/>
    <cellStyle name="20 % - Markeringsfarve6 10 4 2 2" xfId="17166" xr:uid="{00000000-0005-0000-0000-0000EF3B0000}"/>
    <cellStyle name="20 % - Markeringsfarve6 10 4 2 2 2" xfId="33442" xr:uid="{00000000-0005-0000-0000-0000F03B0000}"/>
    <cellStyle name="20 % - Markeringsfarve6 10 4 2 2 3" xfId="48401" xr:uid="{00000000-0005-0000-0000-0000F13B0000}"/>
    <cellStyle name="20 % - Markeringsfarve6 10 4 2 3" xfId="26440" xr:uid="{00000000-0005-0000-0000-0000F23B0000}"/>
    <cellStyle name="20 % - Markeringsfarve6 10 4 2 4" xfId="41404" xr:uid="{00000000-0005-0000-0000-0000F33B0000}"/>
    <cellStyle name="20 % - Markeringsfarve6 10 4 3" xfId="13593" xr:uid="{00000000-0005-0000-0000-0000F43B0000}"/>
    <cellStyle name="20 % - Markeringsfarve6 10 4 3 2" xfId="29872" xr:uid="{00000000-0005-0000-0000-0000F53B0000}"/>
    <cellStyle name="20 % - Markeringsfarve6 10 4 3 3" xfId="44833" xr:uid="{00000000-0005-0000-0000-0000F63B0000}"/>
    <cellStyle name="20 % - Markeringsfarve6 10 4 4" xfId="22870" xr:uid="{00000000-0005-0000-0000-0000F73B0000}"/>
    <cellStyle name="20 % - Markeringsfarve6 10 4 5" xfId="37836" xr:uid="{00000000-0005-0000-0000-0000F83B0000}"/>
    <cellStyle name="20 % - Markeringsfarve6 10 5" xfId="7901" xr:uid="{00000000-0005-0000-0000-0000F93B0000}"/>
    <cellStyle name="20 % - Markeringsfarve6 10 5 2" xfId="15766" xr:uid="{00000000-0005-0000-0000-0000FA3B0000}"/>
    <cellStyle name="20 % - Markeringsfarve6 10 5 2 2" xfId="32042" xr:uid="{00000000-0005-0000-0000-0000FB3B0000}"/>
    <cellStyle name="20 % - Markeringsfarve6 10 5 2 3" xfId="47001" xr:uid="{00000000-0005-0000-0000-0000FC3B0000}"/>
    <cellStyle name="20 % - Markeringsfarve6 10 5 3" xfId="25040" xr:uid="{00000000-0005-0000-0000-0000FD3B0000}"/>
    <cellStyle name="20 % - Markeringsfarve6 10 5 4" xfId="40004" xr:uid="{00000000-0005-0000-0000-0000FE3B0000}"/>
    <cellStyle name="20 % - Markeringsfarve6 10 6" xfId="13589" xr:uid="{00000000-0005-0000-0000-0000FF3B0000}"/>
    <cellStyle name="20 % - Markeringsfarve6 10 6 2" xfId="29868" xr:uid="{00000000-0005-0000-0000-0000003C0000}"/>
    <cellStyle name="20 % - Markeringsfarve6 10 6 3" xfId="44829" xr:uid="{00000000-0005-0000-0000-0000013C0000}"/>
    <cellStyle name="20 % - Markeringsfarve6 10 7" xfId="22866" xr:uid="{00000000-0005-0000-0000-0000023C0000}"/>
    <cellStyle name="20 % - Markeringsfarve6 10 8" xfId="37832" xr:uid="{00000000-0005-0000-0000-0000033C0000}"/>
    <cellStyle name="20 % - Markeringsfarve6 11" xfId="5109" xr:uid="{00000000-0005-0000-0000-0000043C0000}"/>
    <cellStyle name="20 % - Markeringsfarve6 11 2" xfId="5110" xr:uid="{00000000-0005-0000-0000-0000053C0000}"/>
    <cellStyle name="20 % - Markeringsfarve6 11 2 2" xfId="9704" xr:uid="{00000000-0005-0000-0000-0000063C0000}"/>
    <cellStyle name="20 % - Markeringsfarve6 11 2 2 2" xfId="17558" xr:uid="{00000000-0005-0000-0000-0000073C0000}"/>
    <cellStyle name="20 % - Markeringsfarve6 11 2 2 2 2" xfId="33834" xr:uid="{00000000-0005-0000-0000-0000083C0000}"/>
    <cellStyle name="20 % - Markeringsfarve6 11 2 2 2 3" xfId="48793" xr:uid="{00000000-0005-0000-0000-0000093C0000}"/>
    <cellStyle name="20 % - Markeringsfarve6 11 2 2 3" xfId="26832" xr:uid="{00000000-0005-0000-0000-00000A3C0000}"/>
    <cellStyle name="20 % - Markeringsfarve6 11 2 2 4" xfId="41796" xr:uid="{00000000-0005-0000-0000-00000B3C0000}"/>
    <cellStyle name="20 % - Markeringsfarve6 11 2 3" xfId="13595" xr:uid="{00000000-0005-0000-0000-00000C3C0000}"/>
    <cellStyle name="20 % - Markeringsfarve6 11 2 3 2" xfId="29874" xr:uid="{00000000-0005-0000-0000-00000D3C0000}"/>
    <cellStyle name="20 % - Markeringsfarve6 11 2 3 3" xfId="44835" xr:uid="{00000000-0005-0000-0000-00000E3C0000}"/>
    <cellStyle name="20 % - Markeringsfarve6 11 2 4" xfId="22872" xr:uid="{00000000-0005-0000-0000-00000F3C0000}"/>
    <cellStyle name="20 % - Markeringsfarve6 11 2 5" xfId="37838" xr:uid="{00000000-0005-0000-0000-0000103C0000}"/>
    <cellStyle name="20 % - Markeringsfarve6 11 3" xfId="5111" xr:uid="{00000000-0005-0000-0000-0000113C0000}"/>
    <cellStyle name="20 % - Markeringsfarve6 11 3 2" xfId="10910" xr:uid="{00000000-0005-0000-0000-0000123C0000}"/>
    <cellStyle name="20 % - Markeringsfarve6 11 3 2 2" xfId="18745" xr:uid="{00000000-0005-0000-0000-0000133C0000}"/>
    <cellStyle name="20 % - Markeringsfarve6 11 3 2 2 2" xfId="35021" xr:uid="{00000000-0005-0000-0000-0000143C0000}"/>
    <cellStyle name="20 % - Markeringsfarve6 11 3 2 2 3" xfId="49980" xr:uid="{00000000-0005-0000-0000-0000153C0000}"/>
    <cellStyle name="20 % - Markeringsfarve6 11 3 2 3" xfId="28019" xr:uid="{00000000-0005-0000-0000-0000163C0000}"/>
    <cellStyle name="20 % - Markeringsfarve6 11 3 2 4" xfId="42983" xr:uid="{00000000-0005-0000-0000-0000173C0000}"/>
    <cellStyle name="20 % - Markeringsfarve6 11 3 3" xfId="13596" xr:uid="{00000000-0005-0000-0000-0000183C0000}"/>
    <cellStyle name="20 % - Markeringsfarve6 11 3 3 2" xfId="29875" xr:uid="{00000000-0005-0000-0000-0000193C0000}"/>
    <cellStyle name="20 % - Markeringsfarve6 11 3 3 3" xfId="44836" xr:uid="{00000000-0005-0000-0000-00001A3C0000}"/>
    <cellStyle name="20 % - Markeringsfarve6 11 3 4" xfId="22873" xr:uid="{00000000-0005-0000-0000-00001B3C0000}"/>
    <cellStyle name="20 % - Markeringsfarve6 11 3 5" xfId="37839" xr:uid="{00000000-0005-0000-0000-00001C3C0000}"/>
    <cellStyle name="20 % - Markeringsfarve6 11 4" xfId="7902" xr:uid="{00000000-0005-0000-0000-00001D3C0000}"/>
    <cellStyle name="20 % - Markeringsfarve6 11 4 2" xfId="15767" xr:uid="{00000000-0005-0000-0000-00001E3C0000}"/>
    <cellStyle name="20 % - Markeringsfarve6 11 4 2 2" xfId="32043" xr:uid="{00000000-0005-0000-0000-00001F3C0000}"/>
    <cellStyle name="20 % - Markeringsfarve6 11 4 2 3" xfId="47002" xr:uid="{00000000-0005-0000-0000-0000203C0000}"/>
    <cellStyle name="20 % - Markeringsfarve6 11 4 3" xfId="25041" xr:uid="{00000000-0005-0000-0000-0000213C0000}"/>
    <cellStyle name="20 % - Markeringsfarve6 11 4 4" xfId="40005" xr:uid="{00000000-0005-0000-0000-0000223C0000}"/>
    <cellStyle name="20 % - Markeringsfarve6 11 5" xfId="13594" xr:uid="{00000000-0005-0000-0000-0000233C0000}"/>
    <cellStyle name="20 % - Markeringsfarve6 11 5 2" xfId="29873" xr:uid="{00000000-0005-0000-0000-0000243C0000}"/>
    <cellStyle name="20 % - Markeringsfarve6 11 5 3" xfId="44834" xr:uid="{00000000-0005-0000-0000-0000253C0000}"/>
    <cellStyle name="20 % - Markeringsfarve6 11 6" xfId="22871" xr:uid="{00000000-0005-0000-0000-0000263C0000}"/>
    <cellStyle name="20 % - Markeringsfarve6 11 7" xfId="37837" xr:uid="{00000000-0005-0000-0000-0000273C0000}"/>
    <cellStyle name="20 % - Markeringsfarve6 12" xfId="5112" xr:uid="{00000000-0005-0000-0000-0000283C0000}"/>
    <cellStyle name="20 % - Markeringsfarve6 12 2" xfId="5113" xr:uid="{00000000-0005-0000-0000-0000293C0000}"/>
    <cellStyle name="20 % - Markeringsfarve6 12 2 2" xfId="10635" xr:uid="{00000000-0005-0000-0000-00002A3C0000}"/>
    <cellStyle name="20 % - Markeringsfarve6 12 2 2 2" xfId="18482" xr:uid="{00000000-0005-0000-0000-00002B3C0000}"/>
    <cellStyle name="20 % - Markeringsfarve6 12 2 2 2 2" xfId="34758" xr:uid="{00000000-0005-0000-0000-00002C3C0000}"/>
    <cellStyle name="20 % - Markeringsfarve6 12 2 2 2 3" xfId="49717" xr:uid="{00000000-0005-0000-0000-00002D3C0000}"/>
    <cellStyle name="20 % - Markeringsfarve6 12 2 2 3" xfId="27756" xr:uid="{00000000-0005-0000-0000-00002E3C0000}"/>
    <cellStyle name="20 % - Markeringsfarve6 12 2 2 4" xfId="42720" xr:uid="{00000000-0005-0000-0000-00002F3C0000}"/>
    <cellStyle name="20 % - Markeringsfarve6 12 2 3" xfId="13598" xr:uid="{00000000-0005-0000-0000-0000303C0000}"/>
    <cellStyle name="20 % - Markeringsfarve6 12 2 3 2" xfId="29877" xr:uid="{00000000-0005-0000-0000-0000313C0000}"/>
    <cellStyle name="20 % - Markeringsfarve6 12 2 3 3" xfId="44838" xr:uid="{00000000-0005-0000-0000-0000323C0000}"/>
    <cellStyle name="20 % - Markeringsfarve6 12 2 4" xfId="22875" xr:uid="{00000000-0005-0000-0000-0000333C0000}"/>
    <cellStyle name="20 % - Markeringsfarve6 12 2 5" xfId="37841" xr:uid="{00000000-0005-0000-0000-0000343C0000}"/>
    <cellStyle name="20 % - Markeringsfarve6 12 3" xfId="7903" xr:uid="{00000000-0005-0000-0000-0000353C0000}"/>
    <cellStyle name="20 % - Markeringsfarve6 12 3 2" xfId="15768" xr:uid="{00000000-0005-0000-0000-0000363C0000}"/>
    <cellStyle name="20 % - Markeringsfarve6 12 3 2 2" xfId="32044" xr:uid="{00000000-0005-0000-0000-0000373C0000}"/>
    <cellStyle name="20 % - Markeringsfarve6 12 3 2 3" xfId="47003" xr:uid="{00000000-0005-0000-0000-0000383C0000}"/>
    <cellStyle name="20 % - Markeringsfarve6 12 3 3" xfId="25042" xr:uid="{00000000-0005-0000-0000-0000393C0000}"/>
    <cellStyle name="20 % - Markeringsfarve6 12 3 4" xfId="40006" xr:uid="{00000000-0005-0000-0000-00003A3C0000}"/>
    <cellStyle name="20 % - Markeringsfarve6 12 4" xfId="13597" xr:uid="{00000000-0005-0000-0000-00003B3C0000}"/>
    <cellStyle name="20 % - Markeringsfarve6 12 4 2" xfId="29876" xr:uid="{00000000-0005-0000-0000-00003C3C0000}"/>
    <cellStyle name="20 % - Markeringsfarve6 12 4 3" xfId="44837" xr:uid="{00000000-0005-0000-0000-00003D3C0000}"/>
    <cellStyle name="20 % - Markeringsfarve6 12 5" xfId="22874" xr:uid="{00000000-0005-0000-0000-00003E3C0000}"/>
    <cellStyle name="20 % - Markeringsfarve6 12 6" xfId="37840" xr:uid="{00000000-0005-0000-0000-00003F3C0000}"/>
    <cellStyle name="20 % - Markeringsfarve6 13" xfId="5114" xr:uid="{00000000-0005-0000-0000-0000403C0000}"/>
    <cellStyle name="20 % - Markeringsfarve6 13 2" xfId="5115" xr:uid="{00000000-0005-0000-0000-0000413C0000}"/>
    <cellStyle name="20 % - Markeringsfarve6 13 2 2" xfId="10871" xr:uid="{00000000-0005-0000-0000-0000423C0000}"/>
    <cellStyle name="20 % - Markeringsfarve6 13 2 2 2" xfId="18708" xr:uid="{00000000-0005-0000-0000-0000433C0000}"/>
    <cellStyle name="20 % - Markeringsfarve6 13 2 2 2 2" xfId="34984" xr:uid="{00000000-0005-0000-0000-0000443C0000}"/>
    <cellStyle name="20 % - Markeringsfarve6 13 2 2 2 3" xfId="49943" xr:uid="{00000000-0005-0000-0000-0000453C0000}"/>
    <cellStyle name="20 % - Markeringsfarve6 13 2 2 3" xfId="27982" xr:uid="{00000000-0005-0000-0000-0000463C0000}"/>
    <cellStyle name="20 % - Markeringsfarve6 13 2 2 4" xfId="42946" xr:uid="{00000000-0005-0000-0000-0000473C0000}"/>
    <cellStyle name="20 % - Markeringsfarve6 13 2 3" xfId="13600" xr:uid="{00000000-0005-0000-0000-0000483C0000}"/>
    <cellStyle name="20 % - Markeringsfarve6 13 2 3 2" xfId="29879" xr:uid="{00000000-0005-0000-0000-0000493C0000}"/>
    <cellStyle name="20 % - Markeringsfarve6 13 2 3 3" xfId="44840" xr:uid="{00000000-0005-0000-0000-00004A3C0000}"/>
    <cellStyle name="20 % - Markeringsfarve6 13 2 4" xfId="22877" xr:uid="{00000000-0005-0000-0000-00004B3C0000}"/>
    <cellStyle name="20 % - Markeringsfarve6 13 2 5" xfId="37843" xr:uid="{00000000-0005-0000-0000-00004C3C0000}"/>
    <cellStyle name="20 % - Markeringsfarve6 13 3" xfId="7904" xr:uid="{00000000-0005-0000-0000-00004D3C0000}"/>
    <cellStyle name="20 % - Markeringsfarve6 13 3 2" xfId="15769" xr:uid="{00000000-0005-0000-0000-00004E3C0000}"/>
    <cellStyle name="20 % - Markeringsfarve6 13 3 2 2" xfId="32045" xr:uid="{00000000-0005-0000-0000-00004F3C0000}"/>
    <cellStyle name="20 % - Markeringsfarve6 13 3 2 3" xfId="47004" xr:uid="{00000000-0005-0000-0000-0000503C0000}"/>
    <cellStyle name="20 % - Markeringsfarve6 13 3 3" xfId="25043" xr:uid="{00000000-0005-0000-0000-0000513C0000}"/>
    <cellStyle name="20 % - Markeringsfarve6 13 3 4" xfId="40007" xr:uid="{00000000-0005-0000-0000-0000523C0000}"/>
    <cellStyle name="20 % - Markeringsfarve6 13 4" xfId="13599" xr:uid="{00000000-0005-0000-0000-0000533C0000}"/>
    <cellStyle name="20 % - Markeringsfarve6 13 4 2" xfId="29878" xr:uid="{00000000-0005-0000-0000-0000543C0000}"/>
    <cellStyle name="20 % - Markeringsfarve6 13 4 3" xfId="44839" xr:uid="{00000000-0005-0000-0000-0000553C0000}"/>
    <cellStyle name="20 % - Markeringsfarve6 13 5" xfId="22876" xr:uid="{00000000-0005-0000-0000-0000563C0000}"/>
    <cellStyle name="20 % - Markeringsfarve6 13 6" xfId="37842" xr:uid="{00000000-0005-0000-0000-0000573C0000}"/>
    <cellStyle name="20 % - Markeringsfarve6 14" xfId="5116" xr:uid="{00000000-0005-0000-0000-0000583C0000}"/>
    <cellStyle name="20 % - Markeringsfarve6 14 2" xfId="5117" xr:uid="{00000000-0005-0000-0000-0000593C0000}"/>
    <cellStyle name="20 % - Markeringsfarve6 14 2 2" xfId="10442" xr:uid="{00000000-0005-0000-0000-00005A3C0000}"/>
    <cellStyle name="20 % - Markeringsfarve6 14 2 2 2" xfId="18294" xr:uid="{00000000-0005-0000-0000-00005B3C0000}"/>
    <cellStyle name="20 % - Markeringsfarve6 14 2 2 2 2" xfId="34570" xr:uid="{00000000-0005-0000-0000-00005C3C0000}"/>
    <cellStyle name="20 % - Markeringsfarve6 14 2 2 2 3" xfId="49529" xr:uid="{00000000-0005-0000-0000-00005D3C0000}"/>
    <cellStyle name="20 % - Markeringsfarve6 14 2 2 3" xfId="27568" xr:uid="{00000000-0005-0000-0000-00005E3C0000}"/>
    <cellStyle name="20 % - Markeringsfarve6 14 2 2 4" xfId="42532" xr:uid="{00000000-0005-0000-0000-00005F3C0000}"/>
    <cellStyle name="20 % - Markeringsfarve6 14 2 3" xfId="13602" xr:uid="{00000000-0005-0000-0000-0000603C0000}"/>
    <cellStyle name="20 % - Markeringsfarve6 14 2 3 2" xfId="29881" xr:uid="{00000000-0005-0000-0000-0000613C0000}"/>
    <cellStyle name="20 % - Markeringsfarve6 14 2 3 3" xfId="44842" xr:uid="{00000000-0005-0000-0000-0000623C0000}"/>
    <cellStyle name="20 % - Markeringsfarve6 14 2 4" xfId="22879" xr:uid="{00000000-0005-0000-0000-0000633C0000}"/>
    <cellStyle name="20 % - Markeringsfarve6 14 2 5" xfId="37845" xr:uid="{00000000-0005-0000-0000-0000643C0000}"/>
    <cellStyle name="20 % - Markeringsfarve6 14 3" xfId="7900" xr:uid="{00000000-0005-0000-0000-0000653C0000}"/>
    <cellStyle name="20 % - Markeringsfarve6 14 3 2" xfId="15765" xr:uid="{00000000-0005-0000-0000-0000663C0000}"/>
    <cellStyle name="20 % - Markeringsfarve6 14 3 2 2" xfId="32041" xr:uid="{00000000-0005-0000-0000-0000673C0000}"/>
    <cellStyle name="20 % - Markeringsfarve6 14 3 2 3" xfId="47000" xr:uid="{00000000-0005-0000-0000-0000683C0000}"/>
    <cellStyle name="20 % - Markeringsfarve6 14 3 3" xfId="25039" xr:uid="{00000000-0005-0000-0000-0000693C0000}"/>
    <cellStyle name="20 % - Markeringsfarve6 14 3 4" xfId="40003" xr:uid="{00000000-0005-0000-0000-00006A3C0000}"/>
    <cellStyle name="20 % - Markeringsfarve6 14 4" xfId="13601" xr:uid="{00000000-0005-0000-0000-00006B3C0000}"/>
    <cellStyle name="20 % - Markeringsfarve6 14 4 2" xfId="29880" xr:uid="{00000000-0005-0000-0000-00006C3C0000}"/>
    <cellStyle name="20 % - Markeringsfarve6 14 4 3" xfId="44841" xr:uid="{00000000-0005-0000-0000-00006D3C0000}"/>
    <cellStyle name="20 % - Markeringsfarve6 14 5" xfId="22878" xr:uid="{00000000-0005-0000-0000-00006E3C0000}"/>
    <cellStyle name="20 % - Markeringsfarve6 14 6" xfId="37844" xr:uid="{00000000-0005-0000-0000-00006F3C0000}"/>
    <cellStyle name="20 % - Markeringsfarve6 15" xfId="5118" xr:uid="{00000000-0005-0000-0000-0000703C0000}"/>
    <cellStyle name="20 % - Markeringsfarve6 15 2" xfId="8929" xr:uid="{00000000-0005-0000-0000-0000713C0000}"/>
    <cellStyle name="20 % - Markeringsfarve6 15 2 2" xfId="16795" xr:uid="{00000000-0005-0000-0000-0000723C0000}"/>
    <cellStyle name="20 % - Markeringsfarve6 15 2 2 2" xfId="33071" xr:uid="{00000000-0005-0000-0000-0000733C0000}"/>
    <cellStyle name="20 % - Markeringsfarve6 15 2 2 3" xfId="48030" xr:uid="{00000000-0005-0000-0000-0000743C0000}"/>
    <cellStyle name="20 % - Markeringsfarve6 15 2 3" xfId="26069" xr:uid="{00000000-0005-0000-0000-0000753C0000}"/>
    <cellStyle name="20 % - Markeringsfarve6 15 2 4" xfId="41033" xr:uid="{00000000-0005-0000-0000-0000763C0000}"/>
    <cellStyle name="20 % - Markeringsfarve6 15 3" xfId="13603" xr:uid="{00000000-0005-0000-0000-0000773C0000}"/>
    <cellStyle name="20 % - Markeringsfarve6 15 3 2" xfId="29882" xr:uid="{00000000-0005-0000-0000-0000783C0000}"/>
    <cellStyle name="20 % - Markeringsfarve6 15 3 3" xfId="44843" xr:uid="{00000000-0005-0000-0000-0000793C0000}"/>
    <cellStyle name="20 % - Markeringsfarve6 15 4" xfId="22880" xr:uid="{00000000-0005-0000-0000-00007A3C0000}"/>
    <cellStyle name="20 % - Markeringsfarve6 15 5" xfId="37846" xr:uid="{00000000-0005-0000-0000-00007B3C0000}"/>
    <cellStyle name="20 % - Markeringsfarve6 16" xfId="5119" xr:uid="{00000000-0005-0000-0000-00007C3C0000}"/>
    <cellStyle name="20 % - Markeringsfarve6 16 2" xfId="10924" xr:uid="{00000000-0005-0000-0000-00007D3C0000}"/>
    <cellStyle name="20 % - Markeringsfarve6 16 2 2" xfId="18759" xr:uid="{00000000-0005-0000-0000-00007E3C0000}"/>
    <cellStyle name="20 % - Markeringsfarve6 16 2 2 2" xfId="35035" xr:uid="{00000000-0005-0000-0000-00007F3C0000}"/>
    <cellStyle name="20 % - Markeringsfarve6 16 2 2 3" xfId="49994" xr:uid="{00000000-0005-0000-0000-0000803C0000}"/>
    <cellStyle name="20 % - Markeringsfarve6 16 2 3" xfId="28033" xr:uid="{00000000-0005-0000-0000-0000813C0000}"/>
    <cellStyle name="20 % - Markeringsfarve6 16 2 4" xfId="42997" xr:uid="{00000000-0005-0000-0000-0000823C0000}"/>
    <cellStyle name="20 % - Markeringsfarve6 16 3" xfId="13604" xr:uid="{00000000-0005-0000-0000-0000833C0000}"/>
    <cellStyle name="20 % - Markeringsfarve6 16 3 2" xfId="29883" xr:uid="{00000000-0005-0000-0000-0000843C0000}"/>
    <cellStyle name="20 % - Markeringsfarve6 16 3 3" xfId="44844" xr:uid="{00000000-0005-0000-0000-0000853C0000}"/>
    <cellStyle name="20 % - Markeringsfarve6 16 4" xfId="22881" xr:uid="{00000000-0005-0000-0000-0000863C0000}"/>
    <cellStyle name="20 % - Markeringsfarve6 16 5" xfId="37847" xr:uid="{00000000-0005-0000-0000-0000873C0000}"/>
    <cellStyle name="20 % - Markeringsfarve6 17" xfId="5120" xr:uid="{00000000-0005-0000-0000-0000883C0000}"/>
    <cellStyle name="20 % - Markeringsfarve6 17 2" xfId="9301" xr:uid="{00000000-0005-0000-0000-0000893C0000}"/>
    <cellStyle name="20 % - Markeringsfarve6 17 2 2" xfId="17164" xr:uid="{00000000-0005-0000-0000-00008A3C0000}"/>
    <cellStyle name="20 % - Markeringsfarve6 17 2 2 2" xfId="33440" xr:uid="{00000000-0005-0000-0000-00008B3C0000}"/>
    <cellStyle name="20 % - Markeringsfarve6 17 2 2 3" xfId="48399" xr:uid="{00000000-0005-0000-0000-00008C3C0000}"/>
    <cellStyle name="20 % - Markeringsfarve6 17 2 3" xfId="26438" xr:uid="{00000000-0005-0000-0000-00008D3C0000}"/>
    <cellStyle name="20 % - Markeringsfarve6 17 2 4" xfId="41402" xr:uid="{00000000-0005-0000-0000-00008E3C0000}"/>
    <cellStyle name="20 % - Markeringsfarve6 17 3" xfId="13605" xr:uid="{00000000-0005-0000-0000-00008F3C0000}"/>
    <cellStyle name="20 % - Markeringsfarve6 17 3 2" xfId="29884" xr:uid="{00000000-0005-0000-0000-0000903C0000}"/>
    <cellStyle name="20 % - Markeringsfarve6 17 3 3" xfId="44845" xr:uid="{00000000-0005-0000-0000-0000913C0000}"/>
    <cellStyle name="20 % - Markeringsfarve6 17 4" xfId="22882" xr:uid="{00000000-0005-0000-0000-0000923C0000}"/>
    <cellStyle name="20 % - Markeringsfarve6 17 5" xfId="37848" xr:uid="{00000000-0005-0000-0000-0000933C0000}"/>
    <cellStyle name="20 % - Markeringsfarve6 18" xfId="7615" xr:uid="{00000000-0005-0000-0000-0000943C0000}"/>
    <cellStyle name="20 % - Markeringsfarve6 18 2" xfId="15481" xr:uid="{00000000-0005-0000-0000-0000953C0000}"/>
    <cellStyle name="20 % - Markeringsfarve6 18 2 2" xfId="31757" xr:uid="{00000000-0005-0000-0000-0000963C0000}"/>
    <cellStyle name="20 % - Markeringsfarve6 18 2 3" xfId="46716" xr:uid="{00000000-0005-0000-0000-0000973C0000}"/>
    <cellStyle name="20 % - Markeringsfarve6 18 3" xfId="24755" xr:uid="{00000000-0005-0000-0000-0000983C0000}"/>
    <cellStyle name="20 % - Markeringsfarve6 18 4" xfId="39719" xr:uid="{00000000-0005-0000-0000-0000993C0000}"/>
    <cellStyle name="20 % - Markeringsfarve6 19" xfId="5103" xr:uid="{00000000-0005-0000-0000-00009A3C0000}"/>
    <cellStyle name="20 % - Markeringsfarve6 19 2" xfId="13588" xr:uid="{00000000-0005-0000-0000-00009B3C0000}"/>
    <cellStyle name="20 % - Markeringsfarve6 19 2 2" xfId="29867" xr:uid="{00000000-0005-0000-0000-00009C3C0000}"/>
    <cellStyle name="20 % - Markeringsfarve6 19 2 3" xfId="44828" xr:uid="{00000000-0005-0000-0000-00009D3C0000}"/>
    <cellStyle name="20 % - Markeringsfarve6 19 3" xfId="22865" xr:uid="{00000000-0005-0000-0000-00009E3C0000}"/>
    <cellStyle name="20 % - Markeringsfarve6 19 4" xfId="37831" xr:uid="{00000000-0005-0000-0000-00009F3C0000}"/>
    <cellStyle name="20 % - Markeringsfarve6 2" xfId="5121" xr:uid="{00000000-0005-0000-0000-0000A03C0000}"/>
    <cellStyle name="20 % - Markeringsfarve6 2 10" xfId="5122" xr:uid="{00000000-0005-0000-0000-0000A13C0000}"/>
    <cellStyle name="20 % - Markeringsfarve6 2 10 2" xfId="8958" xr:uid="{00000000-0005-0000-0000-0000A23C0000}"/>
    <cellStyle name="20 % - Markeringsfarve6 2 10 2 2" xfId="16822" xr:uid="{00000000-0005-0000-0000-0000A33C0000}"/>
    <cellStyle name="20 % - Markeringsfarve6 2 10 2 2 2" xfId="33098" xr:uid="{00000000-0005-0000-0000-0000A43C0000}"/>
    <cellStyle name="20 % - Markeringsfarve6 2 10 2 2 3" xfId="48057" xr:uid="{00000000-0005-0000-0000-0000A53C0000}"/>
    <cellStyle name="20 % - Markeringsfarve6 2 10 2 3" xfId="26096" xr:uid="{00000000-0005-0000-0000-0000A63C0000}"/>
    <cellStyle name="20 % - Markeringsfarve6 2 10 2 4" xfId="41060" xr:uid="{00000000-0005-0000-0000-0000A73C0000}"/>
    <cellStyle name="20 % - Markeringsfarve6 2 10 3" xfId="13607" xr:uid="{00000000-0005-0000-0000-0000A83C0000}"/>
    <cellStyle name="20 % - Markeringsfarve6 2 10 3 2" xfId="29886" xr:uid="{00000000-0005-0000-0000-0000A93C0000}"/>
    <cellStyle name="20 % - Markeringsfarve6 2 10 3 3" xfId="44847" xr:uid="{00000000-0005-0000-0000-0000AA3C0000}"/>
    <cellStyle name="20 % - Markeringsfarve6 2 10 4" xfId="22884" xr:uid="{00000000-0005-0000-0000-0000AB3C0000}"/>
    <cellStyle name="20 % - Markeringsfarve6 2 10 5" xfId="37850" xr:uid="{00000000-0005-0000-0000-0000AC3C0000}"/>
    <cellStyle name="20 % - Markeringsfarve6 2 11" xfId="5123" xr:uid="{00000000-0005-0000-0000-0000AD3C0000}"/>
    <cellStyle name="20 % - Markeringsfarve6 2 11 2" xfId="10593" xr:uid="{00000000-0005-0000-0000-0000AE3C0000}"/>
    <cellStyle name="20 % - Markeringsfarve6 2 11 2 2" xfId="18441" xr:uid="{00000000-0005-0000-0000-0000AF3C0000}"/>
    <cellStyle name="20 % - Markeringsfarve6 2 11 2 2 2" xfId="34717" xr:uid="{00000000-0005-0000-0000-0000B03C0000}"/>
    <cellStyle name="20 % - Markeringsfarve6 2 11 2 2 3" xfId="49676" xr:uid="{00000000-0005-0000-0000-0000B13C0000}"/>
    <cellStyle name="20 % - Markeringsfarve6 2 11 2 3" xfId="27715" xr:uid="{00000000-0005-0000-0000-0000B23C0000}"/>
    <cellStyle name="20 % - Markeringsfarve6 2 11 2 4" xfId="42679" xr:uid="{00000000-0005-0000-0000-0000B33C0000}"/>
    <cellStyle name="20 % - Markeringsfarve6 2 11 3" xfId="13608" xr:uid="{00000000-0005-0000-0000-0000B43C0000}"/>
    <cellStyle name="20 % - Markeringsfarve6 2 11 3 2" xfId="29887" xr:uid="{00000000-0005-0000-0000-0000B53C0000}"/>
    <cellStyle name="20 % - Markeringsfarve6 2 11 3 3" xfId="44848" xr:uid="{00000000-0005-0000-0000-0000B63C0000}"/>
    <cellStyle name="20 % - Markeringsfarve6 2 11 4" xfId="22885" xr:uid="{00000000-0005-0000-0000-0000B73C0000}"/>
    <cellStyle name="20 % - Markeringsfarve6 2 11 5" xfId="37851" xr:uid="{00000000-0005-0000-0000-0000B83C0000}"/>
    <cellStyle name="20 % - Markeringsfarve6 2 12" xfId="7905" xr:uid="{00000000-0005-0000-0000-0000B93C0000}"/>
    <cellStyle name="20 % - Markeringsfarve6 2 12 2" xfId="15770" xr:uid="{00000000-0005-0000-0000-0000BA3C0000}"/>
    <cellStyle name="20 % - Markeringsfarve6 2 12 2 2" xfId="32046" xr:uid="{00000000-0005-0000-0000-0000BB3C0000}"/>
    <cellStyle name="20 % - Markeringsfarve6 2 12 2 3" xfId="47005" xr:uid="{00000000-0005-0000-0000-0000BC3C0000}"/>
    <cellStyle name="20 % - Markeringsfarve6 2 12 3" xfId="25044" xr:uid="{00000000-0005-0000-0000-0000BD3C0000}"/>
    <cellStyle name="20 % - Markeringsfarve6 2 12 4" xfId="40008" xr:uid="{00000000-0005-0000-0000-0000BE3C0000}"/>
    <cellStyle name="20 % - Markeringsfarve6 2 13" xfId="13606" xr:uid="{00000000-0005-0000-0000-0000BF3C0000}"/>
    <cellStyle name="20 % - Markeringsfarve6 2 13 2" xfId="29885" xr:uid="{00000000-0005-0000-0000-0000C03C0000}"/>
    <cellStyle name="20 % - Markeringsfarve6 2 13 3" xfId="44846" xr:uid="{00000000-0005-0000-0000-0000C13C0000}"/>
    <cellStyle name="20 % - Markeringsfarve6 2 14" xfId="22883" xr:uid="{00000000-0005-0000-0000-0000C23C0000}"/>
    <cellStyle name="20 % - Markeringsfarve6 2 15" xfId="37849" xr:uid="{00000000-0005-0000-0000-0000C33C0000}"/>
    <cellStyle name="20 % - Markeringsfarve6 2 2" xfId="5124" xr:uid="{00000000-0005-0000-0000-0000C43C0000}"/>
    <cellStyle name="20 % - Markeringsfarve6 2 2 10" xfId="7906" xr:uid="{00000000-0005-0000-0000-0000C53C0000}"/>
    <cellStyle name="20 % - Markeringsfarve6 2 2 10 2" xfId="15771" xr:uid="{00000000-0005-0000-0000-0000C63C0000}"/>
    <cellStyle name="20 % - Markeringsfarve6 2 2 10 2 2" xfId="32047" xr:uid="{00000000-0005-0000-0000-0000C73C0000}"/>
    <cellStyle name="20 % - Markeringsfarve6 2 2 10 2 3" xfId="47006" xr:uid="{00000000-0005-0000-0000-0000C83C0000}"/>
    <cellStyle name="20 % - Markeringsfarve6 2 2 10 3" xfId="25045" xr:uid="{00000000-0005-0000-0000-0000C93C0000}"/>
    <cellStyle name="20 % - Markeringsfarve6 2 2 10 4" xfId="40009" xr:uid="{00000000-0005-0000-0000-0000CA3C0000}"/>
    <cellStyle name="20 % - Markeringsfarve6 2 2 11" xfId="13609" xr:uid="{00000000-0005-0000-0000-0000CB3C0000}"/>
    <cellStyle name="20 % - Markeringsfarve6 2 2 11 2" xfId="29888" xr:uid="{00000000-0005-0000-0000-0000CC3C0000}"/>
    <cellStyle name="20 % - Markeringsfarve6 2 2 11 3" xfId="44849" xr:uid="{00000000-0005-0000-0000-0000CD3C0000}"/>
    <cellStyle name="20 % - Markeringsfarve6 2 2 12" xfId="22886" xr:uid="{00000000-0005-0000-0000-0000CE3C0000}"/>
    <cellStyle name="20 % - Markeringsfarve6 2 2 13" xfId="37852" xr:uid="{00000000-0005-0000-0000-0000CF3C0000}"/>
    <cellStyle name="20 % - Markeringsfarve6 2 2 2" xfId="5125" xr:uid="{00000000-0005-0000-0000-0000D03C0000}"/>
    <cellStyle name="20 % - Markeringsfarve6 2 2 2 2" xfId="5126" xr:uid="{00000000-0005-0000-0000-0000D13C0000}"/>
    <cellStyle name="20 % - Markeringsfarve6 2 2 2 2 2" xfId="5127" xr:uid="{00000000-0005-0000-0000-0000D23C0000}"/>
    <cellStyle name="20 % - Markeringsfarve6 2 2 2 2 2 2" xfId="9888" xr:uid="{00000000-0005-0000-0000-0000D33C0000}"/>
    <cellStyle name="20 % - Markeringsfarve6 2 2 2 2 2 2 2" xfId="17743" xr:uid="{00000000-0005-0000-0000-0000D43C0000}"/>
    <cellStyle name="20 % - Markeringsfarve6 2 2 2 2 2 2 2 2" xfId="34019" xr:uid="{00000000-0005-0000-0000-0000D53C0000}"/>
    <cellStyle name="20 % - Markeringsfarve6 2 2 2 2 2 2 2 3" xfId="48978" xr:uid="{00000000-0005-0000-0000-0000D63C0000}"/>
    <cellStyle name="20 % - Markeringsfarve6 2 2 2 2 2 2 3" xfId="27017" xr:uid="{00000000-0005-0000-0000-0000D73C0000}"/>
    <cellStyle name="20 % - Markeringsfarve6 2 2 2 2 2 2 4" xfId="41981" xr:uid="{00000000-0005-0000-0000-0000D83C0000}"/>
    <cellStyle name="20 % - Markeringsfarve6 2 2 2 2 2 3" xfId="13612" xr:uid="{00000000-0005-0000-0000-0000D93C0000}"/>
    <cellStyle name="20 % - Markeringsfarve6 2 2 2 2 2 3 2" xfId="29891" xr:uid="{00000000-0005-0000-0000-0000DA3C0000}"/>
    <cellStyle name="20 % - Markeringsfarve6 2 2 2 2 2 3 3" xfId="44852" xr:uid="{00000000-0005-0000-0000-0000DB3C0000}"/>
    <cellStyle name="20 % - Markeringsfarve6 2 2 2 2 2 4" xfId="22889" xr:uid="{00000000-0005-0000-0000-0000DC3C0000}"/>
    <cellStyle name="20 % - Markeringsfarve6 2 2 2 2 2 5" xfId="37855" xr:uid="{00000000-0005-0000-0000-0000DD3C0000}"/>
    <cellStyle name="20 % - Markeringsfarve6 2 2 2 2 3" xfId="8460" xr:uid="{00000000-0005-0000-0000-0000DE3C0000}"/>
    <cellStyle name="20 % - Markeringsfarve6 2 2 2 2 3 2" xfId="16330" xr:uid="{00000000-0005-0000-0000-0000DF3C0000}"/>
    <cellStyle name="20 % - Markeringsfarve6 2 2 2 2 3 2 2" xfId="32606" xr:uid="{00000000-0005-0000-0000-0000E03C0000}"/>
    <cellStyle name="20 % - Markeringsfarve6 2 2 2 2 3 2 3" xfId="47565" xr:uid="{00000000-0005-0000-0000-0000E13C0000}"/>
    <cellStyle name="20 % - Markeringsfarve6 2 2 2 2 3 3" xfId="25604" xr:uid="{00000000-0005-0000-0000-0000E23C0000}"/>
    <cellStyle name="20 % - Markeringsfarve6 2 2 2 2 3 4" xfId="40568" xr:uid="{00000000-0005-0000-0000-0000E33C0000}"/>
    <cellStyle name="20 % - Markeringsfarve6 2 2 2 2 4" xfId="13611" xr:uid="{00000000-0005-0000-0000-0000E43C0000}"/>
    <cellStyle name="20 % - Markeringsfarve6 2 2 2 2 4 2" xfId="29890" xr:uid="{00000000-0005-0000-0000-0000E53C0000}"/>
    <cellStyle name="20 % - Markeringsfarve6 2 2 2 2 4 3" xfId="44851" xr:uid="{00000000-0005-0000-0000-0000E63C0000}"/>
    <cellStyle name="20 % - Markeringsfarve6 2 2 2 2 5" xfId="22888" xr:uid="{00000000-0005-0000-0000-0000E73C0000}"/>
    <cellStyle name="20 % - Markeringsfarve6 2 2 2 2 6" xfId="37854" xr:uid="{00000000-0005-0000-0000-0000E83C0000}"/>
    <cellStyle name="20 % - Markeringsfarve6 2 2 2 3" xfId="5128" xr:uid="{00000000-0005-0000-0000-0000E93C0000}"/>
    <cellStyle name="20 % - Markeringsfarve6 2 2 2 3 2" xfId="9119" xr:uid="{00000000-0005-0000-0000-0000EA3C0000}"/>
    <cellStyle name="20 % - Markeringsfarve6 2 2 2 3 2 2" xfId="16983" xr:uid="{00000000-0005-0000-0000-0000EB3C0000}"/>
    <cellStyle name="20 % - Markeringsfarve6 2 2 2 3 2 2 2" xfId="33259" xr:uid="{00000000-0005-0000-0000-0000EC3C0000}"/>
    <cellStyle name="20 % - Markeringsfarve6 2 2 2 3 2 2 3" xfId="48218" xr:uid="{00000000-0005-0000-0000-0000ED3C0000}"/>
    <cellStyle name="20 % - Markeringsfarve6 2 2 2 3 2 3" xfId="26257" xr:uid="{00000000-0005-0000-0000-0000EE3C0000}"/>
    <cellStyle name="20 % - Markeringsfarve6 2 2 2 3 2 4" xfId="41221" xr:uid="{00000000-0005-0000-0000-0000EF3C0000}"/>
    <cellStyle name="20 % - Markeringsfarve6 2 2 2 3 3" xfId="13613" xr:uid="{00000000-0005-0000-0000-0000F03C0000}"/>
    <cellStyle name="20 % - Markeringsfarve6 2 2 2 3 3 2" xfId="29892" xr:uid="{00000000-0005-0000-0000-0000F13C0000}"/>
    <cellStyle name="20 % - Markeringsfarve6 2 2 2 3 3 3" xfId="44853" xr:uid="{00000000-0005-0000-0000-0000F23C0000}"/>
    <cellStyle name="20 % - Markeringsfarve6 2 2 2 3 4" xfId="22890" xr:uid="{00000000-0005-0000-0000-0000F33C0000}"/>
    <cellStyle name="20 % - Markeringsfarve6 2 2 2 3 5" xfId="37856" xr:uid="{00000000-0005-0000-0000-0000F43C0000}"/>
    <cellStyle name="20 % - Markeringsfarve6 2 2 2 4" xfId="5129" xr:uid="{00000000-0005-0000-0000-0000F53C0000}"/>
    <cellStyle name="20 % - Markeringsfarve6 2 2 2 4 2" xfId="10495" xr:uid="{00000000-0005-0000-0000-0000F63C0000}"/>
    <cellStyle name="20 % - Markeringsfarve6 2 2 2 4 2 2" xfId="18344" xr:uid="{00000000-0005-0000-0000-0000F73C0000}"/>
    <cellStyle name="20 % - Markeringsfarve6 2 2 2 4 2 2 2" xfId="34620" xr:uid="{00000000-0005-0000-0000-0000F83C0000}"/>
    <cellStyle name="20 % - Markeringsfarve6 2 2 2 4 2 2 3" xfId="49579" xr:uid="{00000000-0005-0000-0000-0000F93C0000}"/>
    <cellStyle name="20 % - Markeringsfarve6 2 2 2 4 2 3" xfId="27618" xr:uid="{00000000-0005-0000-0000-0000FA3C0000}"/>
    <cellStyle name="20 % - Markeringsfarve6 2 2 2 4 2 4" xfId="42582" xr:uid="{00000000-0005-0000-0000-0000FB3C0000}"/>
    <cellStyle name="20 % - Markeringsfarve6 2 2 2 4 3" xfId="13614" xr:uid="{00000000-0005-0000-0000-0000FC3C0000}"/>
    <cellStyle name="20 % - Markeringsfarve6 2 2 2 4 3 2" xfId="29893" xr:uid="{00000000-0005-0000-0000-0000FD3C0000}"/>
    <cellStyle name="20 % - Markeringsfarve6 2 2 2 4 3 3" xfId="44854" xr:uid="{00000000-0005-0000-0000-0000FE3C0000}"/>
    <cellStyle name="20 % - Markeringsfarve6 2 2 2 4 4" xfId="22891" xr:uid="{00000000-0005-0000-0000-0000FF3C0000}"/>
    <cellStyle name="20 % - Markeringsfarve6 2 2 2 4 5" xfId="37857" xr:uid="{00000000-0005-0000-0000-0000003D0000}"/>
    <cellStyle name="20 % - Markeringsfarve6 2 2 2 5" xfId="7907" xr:uid="{00000000-0005-0000-0000-0000013D0000}"/>
    <cellStyle name="20 % - Markeringsfarve6 2 2 2 5 2" xfId="15772" xr:uid="{00000000-0005-0000-0000-0000023D0000}"/>
    <cellStyle name="20 % - Markeringsfarve6 2 2 2 5 2 2" xfId="32048" xr:uid="{00000000-0005-0000-0000-0000033D0000}"/>
    <cellStyle name="20 % - Markeringsfarve6 2 2 2 5 2 3" xfId="47007" xr:uid="{00000000-0005-0000-0000-0000043D0000}"/>
    <cellStyle name="20 % - Markeringsfarve6 2 2 2 5 3" xfId="25046" xr:uid="{00000000-0005-0000-0000-0000053D0000}"/>
    <cellStyle name="20 % - Markeringsfarve6 2 2 2 5 4" xfId="40010" xr:uid="{00000000-0005-0000-0000-0000063D0000}"/>
    <cellStyle name="20 % - Markeringsfarve6 2 2 2 6" xfId="13610" xr:uid="{00000000-0005-0000-0000-0000073D0000}"/>
    <cellStyle name="20 % - Markeringsfarve6 2 2 2 6 2" xfId="29889" xr:uid="{00000000-0005-0000-0000-0000083D0000}"/>
    <cellStyle name="20 % - Markeringsfarve6 2 2 2 6 3" xfId="44850" xr:uid="{00000000-0005-0000-0000-0000093D0000}"/>
    <cellStyle name="20 % - Markeringsfarve6 2 2 2 7" xfId="22887" xr:uid="{00000000-0005-0000-0000-00000A3D0000}"/>
    <cellStyle name="20 % - Markeringsfarve6 2 2 2 8" xfId="37853" xr:uid="{00000000-0005-0000-0000-00000B3D0000}"/>
    <cellStyle name="20 % - Markeringsfarve6 2 2 3" xfId="5130" xr:uid="{00000000-0005-0000-0000-00000C3D0000}"/>
    <cellStyle name="20 % - Markeringsfarve6 2 2 3 2" xfId="5131" xr:uid="{00000000-0005-0000-0000-00000D3D0000}"/>
    <cellStyle name="20 % - Markeringsfarve6 2 2 3 2 2" xfId="5132" xr:uid="{00000000-0005-0000-0000-00000E3D0000}"/>
    <cellStyle name="20 % - Markeringsfarve6 2 2 3 2 2 2" xfId="9978" xr:uid="{00000000-0005-0000-0000-00000F3D0000}"/>
    <cellStyle name="20 % - Markeringsfarve6 2 2 3 2 2 2 2" xfId="17833" xr:uid="{00000000-0005-0000-0000-0000103D0000}"/>
    <cellStyle name="20 % - Markeringsfarve6 2 2 3 2 2 2 2 2" xfId="34109" xr:uid="{00000000-0005-0000-0000-0000113D0000}"/>
    <cellStyle name="20 % - Markeringsfarve6 2 2 3 2 2 2 2 3" xfId="49068" xr:uid="{00000000-0005-0000-0000-0000123D0000}"/>
    <cellStyle name="20 % - Markeringsfarve6 2 2 3 2 2 2 3" xfId="27107" xr:uid="{00000000-0005-0000-0000-0000133D0000}"/>
    <cellStyle name="20 % - Markeringsfarve6 2 2 3 2 2 2 4" xfId="42071" xr:uid="{00000000-0005-0000-0000-0000143D0000}"/>
    <cellStyle name="20 % - Markeringsfarve6 2 2 3 2 2 3" xfId="13617" xr:uid="{00000000-0005-0000-0000-0000153D0000}"/>
    <cellStyle name="20 % - Markeringsfarve6 2 2 3 2 2 3 2" xfId="29896" xr:uid="{00000000-0005-0000-0000-0000163D0000}"/>
    <cellStyle name="20 % - Markeringsfarve6 2 2 3 2 2 3 3" xfId="44857" xr:uid="{00000000-0005-0000-0000-0000173D0000}"/>
    <cellStyle name="20 % - Markeringsfarve6 2 2 3 2 2 4" xfId="22894" xr:uid="{00000000-0005-0000-0000-0000183D0000}"/>
    <cellStyle name="20 % - Markeringsfarve6 2 2 3 2 2 5" xfId="37860" xr:uid="{00000000-0005-0000-0000-0000193D0000}"/>
    <cellStyle name="20 % - Markeringsfarve6 2 2 3 2 3" xfId="8534" xr:uid="{00000000-0005-0000-0000-00001A3D0000}"/>
    <cellStyle name="20 % - Markeringsfarve6 2 2 3 2 3 2" xfId="16404" xr:uid="{00000000-0005-0000-0000-00001B3D0000}"/>
    <cellStyle name="20 % - Markeringsfarve6 2 2 3 2 3 2 2" xfId="32680" xr:uid="{00000000-0005-0000-0000-00001C3D0000}"/>
    <cellStyle name="20 % - Markeringsfarve6 2 2 3 2 3 2 3" xfId="47639" xr:uid="{00000000-0005-0000-0000-00001D3D0000}"/>
    <cellStyle name="20 % - Markeringsfarve6 2 2 3 2 3 3" xfId="25678" xr:uid="{00000000-0005-0000-0000-00001E3D0000}"/>
    <cellStyle name="20 % - Markeringsfarve6 2 2 3 2 3 4" xfId="40642" xr:uid="{00000000-0005-0000-0000-00001F3D0000}"/>
    <cellStyle name="20 % - Markeringsfarve6 2 2 3 2 4" xfId="13616" xr:uid="{00000000-0005-0000-0000-0000203D0000}"/>
    <cellStyle name="20 % - Markeringsfarve6 2 2 3 2 4 2" xfId="29895" xr:uid="{00000000-0005-0000-0000-0000213D0000}"/>
    <cellStyle name="20 % - Markeringsfarve6 2 2 3 2 4 3" xfId="44856" xr:uid="{00000000-0005-0000-0000-0000223D0000}"/>
    <cellStyle name="20 % - Markeringsfarve6 2 2 3 2 5" xfId="22893" xr:uid="{00000000-0005-0000-0000-0000233D0000}"/>
    <cellStyle name="20 % - Markeringsfarve6 2 2 3 2 6" xfId="37859" xr:uid="{00000000-0005-0000-0000-0000243D0000}"/>
    <cellStyle name="20 % - Markeringsfarve6 2 2 3 3" xfId="5133" xr:uid="{00000000-0005-0000-0000-0000253D0000}"/>
    <cellStyle name="20 % - Markeringsfarve6 2 2 3 3 2" xfId="9209" xr:uid="{00000000-0005-0000-0000-0000263D0000}"/>
    <cellStyle name="20 % - Markeringsfarve6 2 2 3 3 2 2" xfId="17073" xr:uid="{00000000-0005-0000-0000-0000273D0000}"/>
    <cellStyle name="20 % - Markeringsfarve6 2 2 3 3 2 2 2" xfId="33349" xr:uid="{00000000-0005-0000-0000-0000283D0000}"/>
    <cellStyle name="20 % - Markeringsfarve6 2 2 3 3 2 2 3" xfId="48308" xr:uid="{00000000-0005-0000-0000-0000293D0000}"/>
    <cellStyle name="20 % - Markeringsfarve6 2 2 3 3 2 3" xfId="26347" xr:uid="{00000000-0005-0000-0000-00002A3D0000}"/>
    <cellStyle name="20 % - Markeringsfarve6 2 2 3 3 2 4" xfId="41311" xr:uid="{00000000-0005-0000-0000-00002B3D0000}"/>
    <cellStyle name="20 % - Markeringsfarve6 2 2 3 3 3" xfId="13618" xr:uid="{00000000-0005-0000-0000-00002C3D0000}"/>
    <cellStyle name="20 % - Markeringsfarve6 2 2 3 3 3 2" xfId="29897" xr:uid="{00000000-0005-0000-0000-00002D3D0000}"/>
    <cellStyle name="20 % - Markeringsfarve6 2 2 3 3 3 3" xfId="44858" xr:uid="{00000000-0005-0000-0000-00002E3D0000}"/>
    <cellStyle name="20 % - Markeringsfarve6 2 2 3 3 4" xfId="22895" xr:uid="{00000000-0005-0000-0000-00002F3D0000}"/>
    <cellStyle name="20 % - Markeringsfarve6 2 2 3 3 5" xfId="37861" xr:uid="{00000000-0005-0000-0000-0000303D0000}"/>
    <cellStyle name="20 % - Markeringsfarve6 2 2 3 4" xfId="5134" xr:uid="{00000000-0005-0000-0000-0000313D0000}"/>
    <cellStyle name="20 % - Markeringsfarve6 2 2 3 4 2" xfId="10779" xr:uid="{00000000-0005-0000-0000-0000323D0000}"/>
    <cellStyle name="20 % - Markeringsfarve6 2 2 3 4 2 2" xfId="18621" xr:uid="{00000000-0005-0000-0000-0000333D0000}"/>
    <cellStyle name="20 % - Markeringsfarve6 2 2 3 4 2 2 2" xfId="34897" xr:uid="{00000000-0005-0000-0000-0000343D0000}"/>
    <cellStyle name="20 % - Markeringsfarve6 2 2 3 4 2 2 3" xfId="49856" xr:uid="{00000000-0005-0000-0000-0000353D0000}"/>
    <cellStyle name="20 % - Markeringsfarve6 2 2 3 4 2 3" xfId="27895" xr:uid="{00000000-0005-0000-0000-0000363D0000}"/>
    <cellStyle name="20 % - Markeringsfarve6 2 2 3 4 2 4" xfId="42859" xr:uid="{00000000-0005-0000-0000-0000373D0000}"/>
    <cellStyle name="20 % - Markeringsfarve6 2 2 3 4 3" xfId="13619" xr:uid="{00000000-0005-0000-0000-0000383D0000}"/>
    <cellStyle name="20 % - Markeringsfarve6 2 2 3 4 3 2" xfId="29898" xr:uid="{00000000-0005-0000-0000-0000393D0000}"/>
    <cellStyle name="20 % - Markeringsfarve6 2 2 3 4 3 3" xfId="44859" xr:uid="{00000000-0005-0000-0000-00003A3D0000}"/>
    <cellStyle name="20 % - Markeringsfarve6 2 2 3 4 4" xfId="22896" xr:uid="{00000000-0005-0000-0000-00003B3D0000}"/>
    <cellStyle name="20 % - Markeringsfarve6 2 2 3 4 5" xfId="37862" xr:uid="{00000000-0005-0000-0000-00003C3D0000}"/>
    <cellStyle name="20 % - Markeringsfarve6 2 2 3 5" xfId="7908" xr:uid="{00000000-0005-0000-0000-00003D3D0000}"/>
    <cellStyle name="20 % - Markeringsfarve6 2 2 3 5 2" xfId="15773" xr:uid="{00000000-0005-0000-0000-00003E3D0000}"/>
    <cellStyle name="20 % - Markeringsfarve6 2 2 3 5 2 2" xfId="32049" xr:uid="{00000000-0005-0000-0000-00003F3D0000}"/>
    <cellStyle name="20 % - Markeringsfarve6 2 2 3 5 2 3" xfId="47008" xr:uid="{00000000-0005-0000-0000-0000403D0000}"/>
    <cellStyle name="20 % - Markeringsfarve6 2 2 3 5 3" xfId="25047" xr:uid="{00000000-0005-0000-0000-0000413D0000}"/>
    <cellStyle name="20 % - Markeringsfarve6 2 2 3 5 4" xfId="40011" xr:uid="{00000000-0005-0000-0000-0000423D0000}"/>
    <cellStyle name="20 % - Markeringsfarve6 2 2 3 6" xfId="13615" xr:uid="{00000000-0005-0000-0000-0000433D0000}"/>
    <cellStyle name="20 % - Markeringsfarve6 2 2 3 6 2" xfId="29894" xr:uid="{00000000-0005-0000-0000-0000443D0000}"/>
    <cellStyle name="20 % - Markeringsfarve6 2 2 3 6 3" xfId="44855" xr:uid="{00000000-0005-0000-0000-0000453D0000}"/>
    <cellStyle name="20 % - Markeringsfarve6 2 2 3 7" xfId="22892" xr:uid="{00000000-0005-0000-0000-0000463D0000}"/>
    <cellStyle name="20 % - Markeringsfarve6 2 2 3 8" xfId="37858" xr:uid="{00000000-0005-0000-0000-0000473D0000}"/>
    <cellStyle name="20 % - Markeringsfarve6 2 2 4" xfId="5135" xr:uid="{00000000-0005-0000-0000-0000483D0000}"/>
    <cellStyle name="20 % - Markeringsfarve6 2 2 4 2" xfId="5136" xr:uid="{00000000-0005-0000-0000-0000493D0000}"/>
    <cellStyle name="20 % - Markeringsfarve6 2 2 4 2 2" xfId="5137" xr:uid="{00000000-0005-0000-0000-00004A3D0000}"/>
    <cellStyle name="20 % - Markeringsfarve6 2 2 4 2 2 2" xfId="10126" xr:uid="{00000000-0005-0000-0000-00004B3D0000}"/>
    <cellStyle name="20 % - Markeringsfarve6 2 2 4 2 2 2 2" xfId="17981" xr:uid="{00000000-0005-0000-0000-00004C3D0000}"/>
    <cellStyle name="20 % - Markeringsfarve6 2 2 4 2 2 2 2 2" xfId="34257" xr:uid="{00000000-0005-0000-0000-00004D3D0000}"/>
    <cellStyle name="20 % - Markeringsfarve6 2 2 4 2 2 2 2 3" xfId="49216" xr:uid="{00000000-0005-0000-0000-00004E3D0000}"/>
    <cellStyle name="20 % - Markeringsfarve6 2 2 4 2 2 2 3" xfId="27255" xr:uid="{00000000-0005-0000-0000-00004F3D0000}"/>
    <cellStyle name="20 % - Markeringsfarve6 2 2 4 2 2 2 4" xfId="42219" xr:uid="{00000000-0005-0000-0000-0000503D0000}"/>
    <cellStyle name="20 % - Markeringsfarve6 2 2 4 2 2 3" xfId="13622" xr:uid="{00000000-0005-0000-0000-0000513D0000}"/>
    <cellStyle name="20 % - Markeringsfarve6 2 2 4 2 2 3 2" xfId="29901" xr:uid="{00000000-0005-0000-0000-0000523D0000}"/>
    <cellStyle name="20 % - Markeringsfarve6 2 2 4 2 2 3 3" xfId="44862" xr:uid="{00000000-0005-0000-0000-0000533D0000}"/>
    <cellStyle name="20 % - Markeringsfarve6 2 2 4 2 2 4" xfId="22899" xr:uid="{00000000-0005-0000-0000-0000543D0000}"/>
    <cellStyle name="20 % - Markeringsfarve6 2 2 4 2 2 5" xfId="37865" xr:uid="{00000000-0005-0000-0000-0000553D0000}"/>
    <cellStyle name="20 % - Markeringsfarve6 2 2 4 2 3" xfId="8662" xr:uid="{00000000-0005-0000-0000-0000563D0000}"/>
    <cellStyle name="20 % - Markeringsfarve6 2 2 4 2 3 2" xfId="16529" xr:uid="{00000000-0005-0000-0000-0000573D0000}"/>
    <cellStyle name="20 % - Markeringsfarve6 2 2 4 2 3 2 2" xfId="32805" xr:uid="{00000000-0005-0000-0000-0000583D0000}"/>
    <cellStyle name="20 % - Markeringsfarve6 2 2 4 2 3 2 3" xfId="47764" xr:uid="{00000000-0005-0000-0000-0000593D0000}"/>
    <cellStyle name="20 % - Markeringsfarve6 2 2 4 2 3 3" xfId="25803" xr:uid="{00000000-0005-0000-0000-00005A3D0000}"/>
    <cellStyle name="20 % - Markeringsfarve6 2 2 4 2 3 4" xfId="40767" xr:uid="{00000000-0005-0000-0000-00005B3D0000}"/>
    <cellStyle name="20 % - Markeringsfarve6 2 2 4 2 4" xfId="13621" xr:uid="{00000000-0005-0000-0000-00005C3D0000}"/>
    <cellStyle name="20 % - Markeringsfarve6 2 2 4 2 4 2" xfId="29900" xr:uid="{00000000-0005-0000-0000-00005D3D0000}"/>
    <cellStyle name="20 % - Markeringsfarve6 2 2 4 2 4 3" xfId="44861" xr:uid="{00000000-0005-0000-0000-00005E3D0000}"/>
    <cellStyle name="20 % - Markeringsfarve6 2 2 4 2 5" xfId="22898" xr:uid="{00000000-0005-0000-0000-00005F3D0000}"/>
    <cellStyle name="20 % - Markeringsfarve6 2 2 4 2 6" xfId="37864" xr:uid="{00000000-0005-0000-0000-0000603D0000}"/>
    <cellStyle name="20 % - Markeringsfarve6 2 2 4 3" xfId="5138" xr:uid="{00000000-0005-0000-0000-0000613D0000}"/>
    <cellStyle name="20 % - Markeringsfarve6 2 2 4 3 2" xfId="9403" xr:uid="{00000000-0005-0000-0000-0000623D0000}"/>
    <cellStyle name="20 % - Markeringsfarve6 2 2 4 3 2 2" xfId="17266" xr:uid="{00000000-0005-0000-0000-0000633D0000}"/>
    <cellStyle name="20 % - Markeringsfarve6 2 2 4 3 2 2 2" xfId="33542" xr:uid="{00000000-0005-0000-0000-0000643D0000}"/>
    <cellStyle name="20 % - Markeringsfarve6 2 2 4 3 2 2 3" xfId="48501" xr:uid="{00000000-0005-0000-0000-0000653D0000}"/>
    <cellStyle name="20 % - Markeringsfarve6 2 2 4 3 2 3" xfId="26540" xr:uid="{00000000-0005-0000-0000-0000663D0000}"/>
    <cellStyle name="20 % - Markeringsfarve6 2 2 4 3 2 4" xfId="41504" xr:uid="{00000000-0005-0000-0000-0000673D0000}"/>
    <cellStyle name="20 % - Markeringsfarve6 2 2 4 3 3" xfId="13623" xr:uid="{00000000-0005-0000-0000-0000683D0000}"/>
    <cellStyle name="20 % - Markeringsfarve6 2 2 4 3 3 2" xfId="29902" xr:uid="{00000000-0005-0000-0000-0000693D0000}"/>
    <cellStyle name="20 % - Markeringsfarve6 2 2 4 3 3 3" xfId="44863" xr:uid="{00000000-0005-0000-0000-00006A3D0000}"/>
    <cellStyle name="20 % - Markeringsfarve6 2 2 4 3 4" xfId="22900" xr:uid="{00000000-0005-0000-0000-00006B3D0000}"/>
    <cellStyle name="20 % - Markeringsfarve6 2 2 4 3 5" xfId="37866" xr:uid="{00000000-0005-0000-0000-00006C3D0000}"/>
    <cellStyle name="20 % - Markeringsfarve6 2 2 4 4" xfId="5139" xr:uid="{00000000-0005-0000-0000-00006D3D0000}"/>
    <cellStyle name="20 % - Markeringsfarve6 2 2 4 4 2" xfId="10428" xr:uid="{00000000-0005-0000-0000-00006E3D0000}"/>
    <cellStyle name="20 % - Markeringsfarve6 2 2 4 4 2 2" xfId="18280" xr:uid="{00000000-0005-0000-0000-00006F3D0000}"/>
    <cellStyle name="20 % - Markeringsfarve6 2 2 4 4 2 2 2" xfId="34556" xr:uid="{00000000-0005-0000-0000-0000703D0000}"/>
    <cellStyle name="20 % - Markeringsfarve6 2 2 4 4 2 2 3" xfId="49515" xr:uid="{00000000-0005-0000-0000-0000713D0000}"/>
    <cellStyle name="20 % - Markeringsfarve6 2 2 4 4 2 3" xfId="27554" xr:uid="{00000000-0005-0000-0000-0000723D0000}"/>
    <cellStyle name="20 % - Markeringsfarve6 2 2 4 4 2 4" xfId="42518" xr:uid="{00000000-0005-0000-0000-0000733D0000}"/>
    <cellStyle name="20 % - Markeringsfarve6 2 2 4 4 3" xfId="13624" xr:uid="{00000000-0005-0000-0000-0000743D0000}"/>
    <cellStyle name="20 % - Markeringsfarve6 2 2 4 4 3 2" xfId="29903" xr:uid="{00000000-0005-0000-0000-0000753D0000}"/>
    <cellStyle name="20 % - Markeringsfarve6 2 2 4 4 3 3" xfId="44864" xr:uid="{00000000-0005-0000-0000-0000763D0000}"/>
    <cellStyle name="20 % - Markeringsfarve6 2 2 4 4 4" xfId="22901" xr:uid="{00000000-0005-0000-0000-0000773D0000}"/>
    <cellStyle name="20 % - Markeringsfarve6 2 2 4 4 5" xfId="37867" xr:uid="{00000000-0005-0000-0000-0000783D0000}"/>
    <cellStyle name="20 % - Markeringsfarve6 2 2 4 5" xfId="7909" xr:uid="{00000000-0005-0000-0000-0000793D0000}"/>
    <cellStyle name="20 % - Markeringsfarve6 2 2 4 5 2" xfId="15774" xr:uid="{00000000-0005-0000-0000-00007A3D0000}"/>
    <cellStyle name="20 % - Markeringsfarve6 2 2 4 5 2 2" xfId="32050" xr:uid="{00000000-0005-0000-0000-00007B3D0000}"/>
    <cellStyle name="20 % - Markeringsfarve6 2 2 4 5 2 3" xfId="47009" xr:uid="{00000000-0005-0000-0000-00007C3D0000}"/>
    <cellStyle name="20 % - Markeringsfarve6 2 2 4 5 3" xfId="25048" xr:uid="{00000000-0005-0000-0000-00007D3D0000}"/>
    <cellStyle name="20 % - Markeringsfarve6 2 2 4 5 4" xfId="40012" xr:uid="{00000000-0005-0000-0000-00007E3D0000}"/>
    <cellStyle name="20 % - Markeringsfarve6 2 2 4 6" xfId="13620" xr:uid="{00000000-0005-0000-0000-00007F3D0000}"/>
    <cellStyle name="20 % - Markeringsfarve6 2 2 4 6 2" xfId="29899" xr:uid="{00000000-0005-0000-0000-0000803D0000}"/>
    <cellStyle name="20 % - Markeringsfarve6 2 2 4 6 3" xfId="44860" xr:uid="{00000000-0005-0000-0000-0000813D0000}"/>
    <cellStyle name="20 % - Markeringsfarve6 2 2 4 7" xfId="22897" xr:uid="{00000000-0005-0000-0000-0000823D0000}"/>
    <cellStyle name="20 % - Markeringsfarve6 2 2 4 8" xfId="37863" xr:uid="{00000000-0005-0000-0000-0000833D0000}"/>
    <cellStyle name="20 % - Markeringsfarve6 2 2 5" xfId="5140" xr:uid="{00000000-0005-0000-0000-0000843D0000}"/>
    <cellStyle name="20 % - Markeringsfarve6 2 2 5 2" xfId="5141" xr:uid="{00000000-0005-0000-0000-0000853D0000}"/>
    <cellStyle name="20 % - Markeringsfarve6 2 2 5 2 2" xfId="5142" xr:uid="{00000000-0005-0000-0000-0000863D0000}"/>
    <cellStyle name="20 % - Markeringsfarve6 2 2 5 2 2 2" xfId="10243" xr:uid="{00000000-0005-0000-0000-0000873D0000}"/>
    <cellStyle name="20 % - Markeringsfarve6 2 2 5 2 2 2 2" xfId="18098" xr:uid="{00000000-0005-0000-0000-0000883D0000}"/>
    <cellStyle name="20 % - Markeringsfarve6 2 2 5 2 2 2 2 2" xfId="34374" xr:uid="{00000000-0005-0000-0000-0000893D0000}"/>
    <cellStyle name="20 % - Markeringsfarve6 2 2 5 2 2 2 2 3" xfId="49333" xr:uid="{00000000-0005-0000-0000-00008A3D0000}"/>
    <cellStyle name="20 % - Markeringsfarve6 2 2 5 2 2 2 3" xfId="27372" xr:uid="{00000000-0005-0000-0000-00008B3D0000}"/>
    <cellStyle name="20 % - Markeringsfarve6 2 2 5 2 2 2 4" xfId="42336" xr:uid="{00000000-0005-0000-0000-00008C3D0000}"/>
    <cellStyle name="20 % - Markeringsfarve6 2 2 5 2 2 3" xfId="13627" xr:uid="{00000000-0005-0000-0000-00008D3D0000}"/>
    <cellStyle name="20 % - Markeringsfarve6 2 2 5 2 2 3 2" xfId="29906" xr:uid="{00000000-0005-0000-0000-00008E3D0000}"/>
    <cellStyle name="20 % - Markeringsfarve6 2 2 5 2 2 3 3" xfId="44867" xr:uid="{00000000-0005-0000-0000-00008F3D0000}"/>
    <cellStyle name="20 % - Markeringsfarve6 2 2 5 2 2 4" xfId="22904" xr:uid="{00000000-0005-0000-0000-0000903D0000}"/>
    <cellStyle name="20 % - Markeringsfarve6 2 2 5 2 2 5" xfId="37870" xr:uid="{00000000-0005-0000-0000-0000913D0000}"/>
    <cellStyle name="20 % - Markeringsfarve6 2 2 5 2 3" xfId="8761" xr:uid="{00000000-0005-0000-0000-0000923D0000}"/>
    <cellStyle name="20 % - Markeringsfarve6 2 2 5 2 3 2" xfId="16628" xr:uid="{00000000-0005-0000-0000-0000933D0000}"/>
    <cellStyle name="20 % - Markeringsfarve6 2 2 5 2 3 2 2" xfId="32904" xr:uid="{00000000-0005-0000-0000-0000943D0000}"/>
    <cellStyle name="20 % - Markeringsfarve6 2 2 5 2 3 2 3" xfId="47863" xr:uid="{00000000-0005-0000-0000-0000953D0000}"/>
    <cellStyle name="20 % - Markeringsfarve6 2 2 5 2 3 3" xfId="25902" xr:uid="{00000000-0005-0000-0000-0000963D0000}"/>
    <cellStyle name="20 % - Markeringsfarve6 2 2 5 2 3 4" xfId="40866" xr:uid="{00000000-0005-0000-0000-0000973D0000}"/>
    <cellStyle name="20 % - Markeringsfarve6 2 2 5 2 4" xfId="13626" xr:uid="{00000000-0005-0000-0000-0000983D0000}"/>
    <cellStyle name="20 % - Markeringsfarve6 2 2 5 2 4 2" xfId="29905" xr:uid="{00000000-0005-0000-0000-0000993D0000}"/>
    <cellStyle name="20 % - Markeringsfarve6 2 2 5 2 4 3" xfId="44866" xr:uid="{00000000-0005-0000-0000-00009A3D0000}"/>
    <cellStyle name="20 % - Markeringsfarve6 2 2 5 2 5" xfId="22903" xr:uid="{00000000-0005-0000-0000-00009B3D0000}"/>
    <cellStyle name="20 % - Markeringsfarve6 2 2 5 2 6" xfId="37869" xr:uid="{00000000-0005-0000-0000-00009C3D0000}"/>
    <cellStyle name="20 % - Markeringsfarve6 2 2 5 3" xfId="5143" xr:uid="{00000000-0005-0000-0000-00009D3D0000}"/>
    <cellStyle name="20 % - Markeringsfarve6 2 2 5 3 2" xfId="9520" xr:uid="{00000000-0005-0000-0000-00009E3D0000}"/>
    <cellStyle name="20 % - Markeringsfarve6 2 2 5 3 2 2" xfId="17383" xr:uid="{00000000-0005-0000-0000-00009F3D0000}"/>
    <cellStyle name="20 % - Markeringsfarve6 2 2 5 3 2 2 2" xfId="33659" xr:uid="{00000000-0005-0000-0000-0000A03D0000}"/>
    <cellStyle name="20 % - Markeringsfarve6 2 2 5 3 2 2 3" xfId="48618" xr:uid="{00000000-0005-0000-0000-0000A13D0000}"/>
    <cellStyle name="20 % - Markeringsfarve6 2 2 5 3 2 3" xfId="26657" xr:uid="{00000000-0005-0000-0000-0000A23D0000}"/>
    <cellStyle name="20 % - Markeringsfarve6 2 2 5 3 2 4" xfId="41621" xr:uid="{00000000-0005-0000-0000-0000A33D0000}"/>
    <cellStyle name="20 % - Markeringsfarve6 2 2 5 3 3" xfId="13628" xr:uid="{00000000-0005-0000-0000-0000A43D0000}"/>
    <cellStyle name="20 % - Markeringsfarve6 2 2 5 3 3 2" xfId="29907" xr:uid="{00000000-0005-0000-0000-0000A53D0000}"/>
    <cellStyle name="20 % - Markeringsfarve6 2 2 5 3 3 3" xfId="44868" xr:uid="{00000000-0005-0000-0000-0000A63D0000}"/>
    <cellStyle name="20 % - Markeringsfarve6 2 2 5 3 4" xfId="22905" xr:uid="{00000000-0005-0000-0000-0000A73D0000}"/>
    <cellStyle name="20 % - Markeringsfarve6 2 2 5 3 5" xfId="37871" xr:uid="{00000000-0005-0000-0000-0000A83D0000}"/>
    <cellStyle name="20 % - Markeringsfarve6 2 2 5 4" xfId="5144" xr:uid="{00000000-0005-0000-0000-0000A93D0000}"/>
    <cellStyle name="20 % - Markeringsfarve6 2 2 5 4 2" xfId="10765" xr:uid="{00000000-0005-0000-0000-0000AA3D0000}"/>
    <cellStyle name="20 % - Markeringsfarve6 2 2 5 4 2 2" xfId="18607" xr:uid="{00000000-0005-0000-0000-0000AB3D0000}"/>
    <cellStyle name="20 % - Markeringsfarve6 2 2 5 4 2 2 2" xfId="34883" xr:uid="{00000000-0005-0000-0000-0000AC3D0000}"/>
    <cellStyle name="20 % - Markeringsfarve6 2 2 5 4 2 2 3" xfId="49842" xr:uid="{00000000-0005-0000-0000-0000AD3D0000}"/>
    <cellStyle name="20 % - Markeringsfarve6 2 2 5 4 2 3" xfId="27881" xr:uid="{00000000-0005-0000-0000-0000AE3D0000}"/>
    <cellStyle name="20 % - Markeringsfarve6 2 2 5 4 2 4" xfId="42845" xr:uid="{00000000-0005-0000-0000-0000AF3D0000}"/>
    <cellStyle name="20 % - Markeringsfarve6 2 2 5 4 3" xfId="13629" xr:uid="{00000000-0005-0000-0000-0000B03D0000}"/>
    <cellStyle name="20 % - Markeringsfarve6 2 2 5 4 3 2" xfId="29908" xr:uid="{00000000-0005-0000-0000-0000B13D0000}"/>
    <cellStyle name="20 % - Markeringsfarve6 2 2 5 4 3 3" xfId="44869" xr:uid="{00000000-0005-0000-0000-0000B23D0000}"/>
    <cellStyle name="20 % - Markeringsfarve6 2 2 5 4 4" xfId="22906" xr:uid="{00000000-0005-0000-0000-0000B33D0000}"/>
    <cellStyle name="20 % - Markeringsfarve6 2 2 5 4 5" xfId="37872" xr:uid="{00000000-0005-0000-0000-0000B43D0000}"/>
    <cellStyle name="20 % - Markeringsfarve6 2 2 5 5" xfId="7910" xr:uid="{00000000-0005-0000-0000-0000B53D0000}"/>
    <cellStyle name="20 % - Markeringsfarve6 2 2 5 5 2" xfId="15775" xr:uid="{00000000-0005-0000-0000-0000B63D0000}"/>
    <cellStyle name="20 % - Markeringsfarve6 2 2 5 5 2 2" xfId="32051" xr:uid="{00000000-0005-0000-0000-0000B73D0000}"/>
    <cellStyle name="20 % - Markeringsfarve6 2 2 5 5 2 3" xfId="47010" xr:uid="{00000000-0005-0000-0000-0000B83D0000}"/>
    <cellStyle name="20 % - Markeringsfarve6 2 2 5 5 3" xfId="25049" xr:uid="{00000000-0005-0000-0000-0000B93D0000}"/>
    <cellStyle name="20 % - Markeringsfarve6 2 2 5 5 4" xfId="40013" xr:uid="{00000000-0005-0000-0000-0000BA3D0000}"/>
    <cellStyle name="20 % - Markeringsfarve6 2 2 5 6" xfId="13625" xr:uid="{00000000-0005-0000-0000-0000BB3D0000}"/>
    <cellStyle name="20 % - Markeringsfarve6 2 2 5 6 2" xfId="29904" xr:uid="{00000000-0005-0000-0000-0000BC3D0000}"/>
    <cellStyle name="20 % - Markeringsfarve6 2 2 5 6 3" xfId="44865" xr:uid="{00000000-0005-0000-0000-0000BD3D0000}"/>
    <cellStyle name="20 % - Markeringsfarve6 2 2 5 7" xfId="22902" xr:uid="{00000000-0005-0000-0000-0000BE3D0000}"/>
    <cellStyle name="20 % - Markeringsfarve6 2 2 5 8" xfId="37868" xr:uid="{00000000-0005-0000-0000-0000BF3D0000}"/>
    <cellStyle name="20 % - Markeringsfarve6 2 2 6" xfId="5145" xr:uid="{00000000-0005-0000-0000-0000C03D0000}"/>
    <cellStyle name="20 % - Markeringsfarve6 2 2 6 2" xfId="5146" xr:uid="{00000000-0005-0000-0000-0000C13D0000}"/>
    <cellStyle name="20 % - Markeringsfarve6 2 2 6 2 2" xfId="5147" xr:uid="{00000000-0005-0000-0000-0000C23D0000}"/>
    <cellStyle name="20 % - Markeringsfarve6 2 2 6 2 2 2" xfId="10332" xr:uid="{00000000-0005-0000-0000-0000C33D0000}"/>
    <cellStyle name="20 % - Markeringsfarve6 2 2 6 2 2 2 2" xfId="18187" xr:uid="{00000000-0005-0000-0000-0000C43D0000}"/>
    <cellStyle name="20 % - Markeringsfarve6 2 2 6 2 2 2 2 2" xfId="34463" xr:uid="{00000000-0005-0000-0000-0000C53D0000}"/>
    <cellStyle name="20 % - Markeringsfarve6 2 2 6 2 2 2 2 3" xfId="49422" xr:uid="{00000000-0005-0000-0000-0000C63D0000}"/>
    <cellStyle name="20 % - Markeringsfarve6 2 2 6 2 2 2 3" xfId="27461" xr:uid="{00000000-0005-0000-0000-0000C73D0000}"/>
    <cellStyle name="20 % - Markeringsfarve6 2 2 6 2 2 2 4" xfId="42425" xr:uid="{00000000-0005-0000-0000-0000C83D0000}"/>
    <cellStyle name="20 % - Markeringsfarve6 2 2 6 2 2 3" xfId="13632" xr:uid="{00000000-0005-0000-0000-0000C93D0000}"/>
    <cellStyle name="20 % - Markeringsfarve6 2 2 6 2 2 3 2" xfId="29911" xr:uid="{00000000-0005-0000-0000-0000CA3D0000}"/>
    <cellStyle name="20 % - Markeringsfarve6 2 2 6 2 2 3 3" xfId="44872" xr:uid="{00000000-0005-0000-0000-0000CB3D0000}"/>
    <cellStyle name="20 % - Markeringsfarve6 2 2 6 2 2 4" xfId="22909" xr:uid="{00000000-0005-0000-0000-0000CC3D0000}"/>
    <cellStyle name="20 % - Markeringsfarve6 2 2 6 2 2 5" xfId="37875" xr:uid="{00000000-0005-0000-0000-0000CD3D0000}"/>
    <cellStyle name="20 % - Markeringsfarve6 2 2 6 2 3" xfId="8835" xr:uid="{00000000-0005-0000-0000-0000CE3D0000}"/>
    <cellStyle name="20 % - Markeringsfarve6 2 2 6 2 3 2" xfId="16702" xr:uid="{00000000-0005-0000-0000-0000CF3D0000}"/>
    <cellStyle name="20 % - Markeringsfarve6 2 2 6 2 3 2 2" xfId="32978" xr:uid="{00000000-0005-0000-0000-0000D03D0000}"/>
    <cellStyle name="20 % - Markeringsfarve6 2 2 6 2 3 2 3" xfId="47937" xr:uid="{00000000-0005-0000-0000-0000D13D0000}"/>
    <cellStyle name="20 % - Markeringsfarve6 2 2 6 2 3 3" xfId="25976" xr:uid="{00000000-0005-0000-0000-0000D23D0000}"/>
    <cellStyle name="20 % - Markeringsfarve6 2 2 6 2 3 4" xfId="40940" xr:uid="{00000000-0005-0000-0000-0000D33D0000}"/>
    <cellStyle name="20 % - Markeringsfarve6 2 2 6 2 4" xfId="13631" xr:uid="{00000000-0005-0000-0000-0000D43D0000}"/>
    <cellStyle name="20 % - Markeringsfarve6 2 2 6 2 4 2" xfId="29910" xr:uid="{00000000-0005-0000-0000-0000D53D0000}"/>
    <cellStyle name="20 % - Markeringsfarve6 2 2 6 2 4 3" xfId="44871" xr:uid="{00000000-0005-0000-0000-0000D63D0000}"/>
    <cellStyle name="20 % - Markeringsfarve6 2 2 6 2 5" xfId="22908" xr:uid="{00000000-0005-0000-0000-0000D73D0000}"/>
    <cellStyle name="20 % - Markeringsfarve6 2 2 6 2 6" xfId="37874" xr:uid="{00000000-0005-0000-0000-0000D83D0000}"/>
    <cellStyle name="20 % - Markeringsfarve6 2 2 6 3" xfId="5148" xr:uid="{00000000-0005-0000-0000-0000D93D0000}"/>
    <cellStyle name="20 % - Markeringsfarve6 2 2 6 3 2" xfId="9610" xr:uid="{00000000-0005-0000-0000-0000DA3D0000}"/>
    <cellStyle name="20 % - Markeringsfarve6 2 2 6 3 2 2" xfId="17473" xr:uid="{00000000-0005-0000-0000-0000DB3D0000}"/>
    <cellStyle name="20 % - Markeringsfarve6 2 2 6 3 2 2 2" xfId="33749" xr:uid="{00000000-0005-0000-0000-0000DC3D0000}"/>
    <cellStyle name="20 % - Markeringsfarve6 2 2 6 3 2 2 3" xfId="48708" xr:uid="{00000000-0005-0000-0000-0000DD3D0000}"/>
    <cellStyle name="20 % - Markeringsfarve6 2 2 6 3 2 3" xfId="26747" xr:uid="{00000000-0005-0000-0000-0000DE3D0000}"/>
    <cellStyle name="20 % - Markeringsfarve6 2 2 6 3 2 4" xfId="41711" xr:uid="{00000000-0005-0000-0000-0000DF3D0000}"/>
    <cellStyle name="20 % - Markeringsfarve6 2 2 6 3 3" xfId="13633" xr:uid="{00000000-0005-0000-0000-0000E03D0000}"/>
    <cellStyle name="20 % - Markeringsfarve6 2 2 6 3 3 2" xfId="29912" xr:uid="{00000000-0005-0000-0000-0000E13D0000}"/>
    <cellStyle name="20 % - Markeringsfarve6 2 2 6 3 3 3" xfId="44873" xr:uid="{00000000-0005-0000-0000-0000E23D0000}"/>
    <cellStyle name="20 % - Markeringsfarve6 2 2 6 3 4" xfId="22910" xr:uid="{00000000-0005-0000-0000-0000E33D0000}"/>
    <cellStyle name="20 % - Markeringsfarve6 2 2 6 3 5" xfId="37876" xr:uid="{00000000-0005-0000-0000-0000E43D0000}"/>
    <cellStyle name="20 % - Markeringsfarve6 2 2 6 4" xfId="5149" xr:uid="{00000000-0005-0000-0000-0000E53D0000}"/>
    <cellStyle name="20 % - Markeringsfarve6 2 2 6 4 2" xfId="10987" xr:uid="{00000000-0005-0000-0000-0000E63D0000}"/>
    <cellStyle name="20 % - Markeringsfarve6 2 2 6 4 2 2" xfId="18818" xr:uid="{00000000-0005-0000-0000-0000E73D0000}"/>
    <cellStyle name="20 % - Markeringsfarve6 2 2 6 4 2 2 2" xfId="35094" xr:uid="{00000000-0005-0000-0000-0000E83D0000}"/>
    <cellStyle name="20 % - Markeringsfarve6 2 2 6 4 2 2 3" xfId="50053" xr:uid="{00000000-0005-0000-0000-0000E93D0000}"/>
    <cellStyle name="20 % - Markeringsfarve6 2 2 6 4 2 3" xfId="28092" xr:uid="{00000000-0005-0000-0000-0000EA3D0000}"/>
    <cellStyle name="20 % - Markeringsfarve6 2 2 6 4 2 4" xfId="43056" xr:uid="{00000000-0005-0000-0000-0000EB3D0000}"/>
    <cellStyle name="20 % - Markeringsfarve6 2 2 6 4 3" xfId="13634" xr:uid="{00000000-0005-0000-0000-0000EC3D0000}"/>
    <cellStyle name="20 % - Markeringsfarve6 2 2 6 4 3 2" xfId="29913" xr:uid="{00000000-0005-0000-0000-0000ED3D0000}"/>
    <cellStyle name="20 % - Markeringsfarve6 2 2 6 4 3 3" xfId="44874" xr:uid="{00000000-0005-0000-0000-0000EE3D0000}"/>
    <cellStyle name="20 % - Markeringsfarve6 2 2 6 4 4" xfId="22911" xr:uid="{00000000-0005-0000-0000-0000EF3D0000}"/>
    <cellStyle name="20 % - Markeringsfarve6 2 2 6 4 5" xfId="37877" xr:uid="{00000000-0005-0000-0000-0000F03D0000}"/>
    <cellStyle name="20 % - Markeringsfarve6 2 2 6 5" xfId="7911" xr:uid="{00000000-0005-0000-0000-0000F13D0000}"/>
    <cellStyle name="20 % - Markeringsfarve6 2 2 6 5 2" xfId="15776" xr:uid="{00000000-0005-0000-0000-0000F23D0000}"/>
    <cellStyle name="20 % - Markeringsfarve6 2 2 6 5 2 2" xfId="32052" xr:uid="{00000000-0005-0000-0000-0000F33D0000}"/>
    <cellStyle name="20 % - Markeringsfarve6 2 2 6 5 2 3" xfId="47011" xr:uid="{00000000-0005-0000-0000-0000F43D0000}"/>
    <cellStyle name="20 % - Markeringsfarve6 2 2 6 5 3" xfId="25050" xr:uid="{00000000-0005-0000-0000-0000F53D0000}"/>
    <cellStyle name="20 % - Markeringsfarve6 2 2 6 5 4" xfId="40014" xr:uid="{00000000-0005-0000-0000-0000F63D0000}"/>
    <cellStyle name="20 % - Markeringsfarve6 2 2 6 6" xfId="13630" xr:uid="{00000000-0005-0000-0000-0000F73D0000}"/>
    <cellStyle name="20 % - Markeringsfarve6 2 2 6 6 2" xfId="29909" xr:uid="{00000000-0005-0000-0000-0000F83D0000}"/>
    <cellStyle name="20 % - Markeringsfarve6 2 2 6 6 3" xfId="44870" xr:uid="{00000000-0005-0000-0000-0000F93D0000}"/>
    <cellStyle name="20 % - Markeringsfarve6 2 2 6 7" xfId="22907" xr:uid="{00000000-0005-0000-0000-0000FA3D0000}"/>
    <cellStyle name="20 % - Markeringsfarve6 2 2 6 8" xfId="37873" xr:uid="{00000000-0005-0000-0000-0000FB3D0000}"/>
    <cellStyle name="20 % - Markeringsfarve6 2 2 7" xfId="5150" xr:uid="{00000000-0005-0000-0000-0000FC3D0000}"/>
    <cellStyle name="20 % - Markeringsfarve6 2 2 7 2" xfId="5151" xr:uid="{00000000-0005-0000-0000-0000FD3D0000}"/>
    <cellStyle name="20 % - Markeringsfarve6 2 2 7 2 2" xfId="9770" xr:uid="{00000000-0005-0000-0000-0000FE3D0000}"/>
    <cellStyle name="20 % - Markeringsfarve6 2 2 7 2 2 2" xfId="17624" xr:uid="{00000000-0005-0000-0000-0000FF3D0000}"/>
    <cellStyle name="20 % - Markeringsfarve6 2 2 7 2 2 2 2" xfId="33900" xr:uid="{00000000-0005-0000-0000-0000003E0000}"/>
    <cellStyle name="20 % - Markeringsfarve6 2 2 7 2 2 2 3" xfId="48859" xr:uid="{00000000-0005-0000-0000-0000013E0000}"/>
    <cellStyle name="20 % - Markeringsfarve6 2 2 7 2 2 3" xfId="26898" xr:uid="{00000000-0005-0000-0000-0000023E0000}"/>
    <cellStyle name="20 % - Markeringsfarve6 2 2 7 2 2 4" xfId="41862" xr:uid="{00000000-0005-0000-0000-0000033E0000}"/>
    <cellStyle name="20 % - Markeringsfarve6 2 2 7 2 3" xfId="13636" xr:uid="{00000000-0005-0000-0000-0000043E0000}"/>
    <cellStyle name="20 % - Markeringsfarve6 2 2 7 2 3 2" xfId="29915" xr:uid="{00000000-0005-0000-0000-0000053E0000}"/>
    <cellStyle name="20 % - Markeringsfarve6 2 2 7 2 3 3" xfId="44876" xr:uid="{00000000-0005-0000-0000-0000063E0000}"/>
    <cellStyle name="20 % - Markeringsfarve6 2 2 7 2 4" xfId="22913" xr:uid="{00000000-0005-0000-0000-0000073E0000}"/>
    <cellStyle name="20 % - Markeringsfarve6 2 2 7 2 5" xfId="37879" xr:uid="{00000000-0005-0000-0000-0000083E0000}"/>
    <cellStyle name="20 % - Markeringsfarve6 2 2 7 3" xfId="8361" xr:uid="{00000000-0005-0000-0000-0000093E0000}"/>
    <cellStyle name="20 % - Markeringsfarve6 2 2 7 3 2" xfId="16231" xr:uid="{00000000-0005-0000-0000-00000A3E0000}"/>
    <cellStyle name="20 % - Markeringsfarve6 2 2 7 3 2 2" xfId="32507" xr:uid="{00000000-0005-0000-0000-00000B3E0000}"/>
    <cellStyle name="20 % - Markeringsfarve6 2 2 7 3 2 3" xfId="47466" xr:uid="{00000000-0005-0000-0000-00000C3E0000}"/>
    <cellStyle name="20 % - Markeringsfarve6 2 2 7 3 3" xfId="25505" xr:uid="{00000000-0005-0000-0000-00000D3E0000}"/>
    <cellStyle name="20 % - Markeringsfarve6 2 2 7 3 4" xfId="40469" xr:uid="{00000000-0005-0000-0000-00000E3E0000}"/>
    <cellStyle name="20 % - Markeringsfarve6 2 2 7 4" xfId="13635" xr:uid="{00000000-0005-0000-0000-00000F3E0000}"/>
    <cellStyle name="20 % - Markeringsfarve6 2 2 7 4 2" xfId="29914" xr:uid="{00000000-0005-0000-0000-0000103E0000}"/>
    <cellStyle name="20 % - Markeringsfarve6 2 2 7 4 3" xfId="44875" xr:uid="{00000000-0005-0000-0000-0000113E0000}"/>
    <cellStyle name="20 % - Markeringsfarve6 2 2 7 5" xfId="22912" xr:uid="{00000000-0005-0000-0000-0000123E0000}"/>
    <cellStyle name="20 % - Markeringsfarve6 2 2 7 6" xfId="37878" xr:uid="{00000000-0005-0000-0000-0000133E0000}"/>
    <cellStyle name="20 % - Markeringsfarve6 2 2 8" xfId="5152" xr:uid="{00000000-0005-0000-0000-0000143E0000}"/>
    <cellStyle name="20 % - Markeringsfarve6 2 2 8 2" xfId="8998" xr:uid="{00000000-0005-0000-0000-0000153E0000}"/>
    <cellStyle name="20 % - Markeringsfarve6 2 2 8 2 2" xfId="16862" xr:uid="{00000000-0005-0000-0000-0000163E0000}"/>
    <cellStyle name="20 % - Markeringsfarve6 2 2 8 2 2 2" xfId="33138" xr:uid="{00000000-0005-0000-0000-0000173E0000}"/>
    <cellStyle name="20 % - Markeringsfarve6 2 2 8 2 2 3" xfId="48097" xr:uid="{00000000-0005-0000-0000-0000183E0000}"/>
    <cellStyle name="20 % - Markeringsfarve6 2 2 8 2 3" xfId="26136" xr:uid="{00000000-0005-0000-0000-0000193E0000}"/>
    <cellStyle name="20 % - Markeringsfarve6 2 2 8 2 4" xfId="41100" xr:uid="{00000000-0005-0000-0000-00001A3E0000}"/>
    <cellStyle name="20 % - Markeringsfarve6 2 2 8 3" xfId="13637" xr:uid="{00000000-0005-0000-0000-00001B3E0000}"/>
    <cellStyle name="20 % - Markeringsfarve6 2 2 8 3 2" xfId="29916" xr:uid="{00000000-0005-0000-0000-00001C3E0000}"/>
    <cellStyle name="20 % - Markeringsfarve6 2 2 8 3 3" xfId="44877" xr:uid="{00000000-0005-0000-0000-00001D3E0000}"/>
    <cellStyle name="20 % - Markeringsfarve6 2 2 8 4" xfId="22914" xr:uid="{00000000-0005-0000-0000-00001E3E0000}"/>
    <cellStyle name="20 % - Markeringsfarve6 2 2 8 5" xfId="37880" xr:uid="{00000000-0005-0000-0000-00001F3E0000}"/>
    <cellStyle name="20 % - Markeringsfarve6 2 2 9" xfId="5153" xr:uid="{00000000-0005-0000-0000-0000203E0000}"/>
    <cellStyle name="20 % - Markeringsfarve6 2 2 9 2" xfId="10846" xr:uid="{00000000-0005-0000-0000-0000213E0000}"/>
    <cellStyle name="20 % - Markeringsfarve6 2 2 9 2 2" xfId="18684" xr:uid="{00000000-0005-0000-0000-0000223E0000}"/>
    <cellStyle name="20 % - Markeringsfarve6 2 2 9 2 2 2" xfId="34960" xr:uid="{00000000-0005-0000-0000-0000233E0000}"/>
    <cellStyle name="20 % - Markeringsfarve6 2 2 9 2 2 3" xfId="49919" xr:uid="{00000000-0005-0000-0000-0000243E0000}"/>
    <cellStyle name="20 % - Markeringsfarve6 2 2 9 2 3" xfId="27958" xr:uid="{00000000-0005-0000-0000-0000253E0000}"/>
    <cellStyle name="20 % - Markeringsfarve6 2 2 9 2 4" xfId="42922" xr:uid="{00000000-0005-0000-0000-0000263E0000}"/>
    <cellStyle name="20 % - Markeringsfarve6 2 2 9 3" xfId="13638" xr:uid="{00000000-0005-0000-0000-0000273E0000}"/>
    <cellStyle name="20 % - Markeringsfarve6 2 2 9 3 2" xfId="29917" xr:uid="{00000000-0005-0000-0000-0000283E0000}"/>
    <cellStyle name="20 % - Markeringsfarve6 2 2 9 3 3" xfId="44878" xr:uid="{00000000-0005-0000-0000-0000293E0000}"/>
    <cellStyle name="20 % - Markeringsfarve6 2 2 9 4" xfId="22915" xr:uid="{00000000-0005-0000-0000-00002A3E0000}"/>
    <cellStyle name="20 % - Markeringsfarve6 2 2 9 5" xfId="37881" xr:uid="{00000000-0005-0000-0000-00002B3E0000}"/>
    <cellStyle name="20 % - Markeringsfarve6 2 3" xfId="5154" xr:uid="{00000000-0005-0000-0000-00002C3E0000}"/>
    <cellStyle name="20 % - Markeringsfarve6 2 3 10" xfId="7912" xr:uid="{00000000-0005-0000-0000-00002D3E0000}"/>
    <cellStyle name="20 % - Markeringsfarve6 2 3 10 2" xfId="15777" xr:uid="{00000000-0005-0000-0000-00002E3E0000}"/>
    <cellStyle name="20 % - Markeringsfarve6 2 3 10 2 2" xfId="32053" xr:uid="{00000000-0005-0000-0000-00002F3E0000}"/>
    <cellStyle name="20 % - Markeringsfarve6 2 3 10 2 3" xfId="47012" xr:uid="{00000000-0005-0000-0000-0000303E0000}"/>
    <cellStyle name="20 % - Markeringsfarve6 2 3 10 3" xfId="25051" xr:uid="{00000000-0005-0000-0000-0000313E0000}"/>
    <cellStyle name="20 % - Markeringsfarve6 2 3 10 4" xfId="40015" xr:uid="{00000000-0005-0000-0000-0000323E0000}"/>
    <cellStyle name="20 % - Markeringsfarve6 2 3 11" xfId="13639" xr:uid="{00000000-0005-0000-0000-0000333E0000}"/>
    <cellStyle name="20 % - Markeringsfarve6 2 3 11 2" xfId="29918" xr:uid="{00000000-0005-0000-0000-0000343E0000}"/>
    <cellStyle name="20 % - Markeringsfarve6 2 3 11 3" xfId="44879" xr:uid="{00000000-0005-0000-0000-0000353E0000}"/>
    <cellStyle name="20 % - Markeringsfarve6 2 3 12" xfId="22916" xr:uid="{00000000-0005-0000-0000-0000363E0000}"/>
    <cellStyle name="20 % - Markeringsfarve6 2 3 13" xfId="37882" xr:uid="{00000000-0005-0000-0000-0000373E0000}"/>
    <cellStyle name="20 % - Markeringsfarve6 2 3 2" xfId="5155" xr:uid="{00000000-0005-0000-0000-0000383E0000}"/>
    <cellStyle name="20 % - Markeringsfarve6 2 3 2 2" xfId="5156" xr:uid="{00000000-0005-0000-0000-0000393E0000}"/>
    <cellStyle name="20 % - Markeringsfarve6 2 3 2 2 2" xfId="5157" xr:uid="{00000000-0005-0000-0000-00003A3E0000}"/>
    <cellStyle name="20 % - Markeringsfarve6 2 3 2 2 2 2" xfId="9927" xr:uid="{00000000-0005-0000-0000-00003B3E0000}"/>
    <cellStyle name="20 % - Markeringsfarve6 2 3 2 2 2 2 2" xfId="17782" xr:uid="{00000000-0005-0000-0000-00003C3E0000}"/>
    <cellStyle name="20 % - Markeringsfarve6 2 3 2 2 2 2 2 2" xfId="34058" xr:uid="{00000000-0005-0000-0000-00003D3E0000}"/>
    <cellStyle name="20 % - Markeringsfarve6 2 3 2 2 2 2 2 3" xfId="49017" xr:uid="{00000000-0005-0000-0000-00003E3E0000}"/>
    <cellStyle name="20 % - Markeringsfarve6 2 3 2 2 2 2 3" xfId="27056" xr:uid="{00000000-0005-0000-0000-00003F3E0000}"/>
    <cellStyle name="20 % - Markeringsfarve6 2 3 2 2 2 2 4" xfId="42020" xr:uid="{00000000-0005-0000-0000-0000403E0000}"/>
    <cellStyle name="20 % - Markeringsfarve6 2 3 2 2 2 3" xfId="13642" xr:uid="{00000000-0005-0000-0000-0000413E0000}"/>
    <cellStyle name="20 % - Markeringsfarve6 2 3 2 2 2 3 2" xfId="29921" xr:uid="{00000000-0005-0000-0000-0000423E0000}"/>
    <cellStyle name="20 % - Markeringsfarve6 2 3 2 2 2 3 3" xfId="44882" xr:uid="{00000000-0005-0000-0000-0000433E0000}"/>
    <cellStyle name="20 % - Markeringsfarve6 2 3 2 2 2 4" xfId="22919" xr:uid="{00000000-0005-0000-0000-0000443E0000}"/>
    <cellStyle name="20 % - Markeringsfarve6 2 3 2 2 2 5" xfId="37885" xr:uid="{00000000-0005-0000-0000-0000453E0000}"/>
    <cellStyle name="20 % - Markeringsfarve6 2 3 2 2 3" xfId="8493" xr:uid="{00000000-0005-0000-0000-0000463E0000}"/>
    <cellStyle name="20 % - Markeringsfarve6 2 3 2 2 3 2" xfId="16363" xr:uid="{00000000-0005-0000-0000-0000473E0000}"/>
    <cellStyle name="20 % - Markeringsfarve6 2 3 2 2 3 2 2" xfId="32639" xr:uid="{00000000-0005-0000-0000-0000483E0000}"/>
    <cellStyle name="20 % - Markeringsfarve6 2 3 2 2 3 2 3" xfId="47598" xr:uid="{00000000-0005-0000-0000-0000493E0000}"/>
    <cellStyle name="20 % - Markeringsfarve6 2 3 2 2 3 3" xfId="25637" xr:uid="{00000000-0005-0000-0000-00004A3E0000}"/>
    <cellStyle name="20 % - Markeringsfarve6 2 3 2 2 3 4" xfId="40601" xr:uid="{00000000-0005-0000-0000-00004B3E0000}"/>
    <cellStyle name="20 % - Markeringsfarve6 2 3 2 2 4" xfId="13641" xr:uid="{00000000-0005-0000-0000-00004C3E0000}"/>
    <cellStyle name="20 % - Markeringsfarve6 2 3 2 2 4 2" xfId="29920" xr:uid="{00000000-0005-0000-0000-00004D3E0000}"/>
    <cellStyle name="20 % - Markeringsfarve6 2 3 2 2 4 3" xfId="44881" xr:uid="{00000000-0005-0000-0000-00004E3E0000}"/>
    <cellStyle name="20 % - Markeringsfarve6 2 3 2 2 5" xfId="22918" xr:uid="{00000000-0005-0000-0000-00004F3E0000}"/>
    <cellStyle name="20 % - Markeringsfarve6 2 3 2 2 6" xfId="37884" xr:uid="{00000000-0005-0000-0000-0000503E0000}"/>
    <cellStyle name="20 % - Markeringsfarve6 2 3 2 3" xfId="5158" xr:uid="{00000000-0005-0000-0000-0000513E0000}"/>
    <cellStyle name="20 % - Markeringsfarve6 2 3 2 3 2" xfId="9158" xr:uid="{00000000-0005-0000-0000-0000523E0000}"/>
    <cellStyle name="20 % - Markeringsfarve6 2 3 2 3 2 2" xfId="17022" xr:uid="{00000000-0005-0000-0000-0000533E0000}"/>
    <cellStyle name="20 % - Markeringsfarve6 2 3 2 3 2 2 2" xfId="33298" xr:uid="{00000000-0005-0000-0000-0000543E0000}"/>
    <cellStyle name="20 % - Markeringsfarve6 2 3 2 3 2 2 3" xfId="48257" xr:uid="{00000000-0005-0000-0000-0000553E0000}"/>
    <cellStyle name="20 % - Markeringsfarve6 2 3 2 3 2 3" xfId="26296" xr:uid="{00000000-0005-0000-0000-0000563E0000}"/>
    <cellStyle name="20 % - Markeringsfarve6 2 3 2 3 2 4" xfId="41260" xr:uid="{00000000-0005-0000-0000-0000573E0000}"/>
    <cellStyle name="20 % - Markeringsfarve6 2 3 2 3 3" xfId="13643" xr:uid="{00000000-0005-0000-0000-0000583E0000}"/>
    <cellStyle name="20 % - Markeringsfarve6 2 3 2 3 3 2" xfId="29922" xr:uid="{00000000-0005-0000-0000-0000593E0000}"/>
    <cellStyle name="20 % - Markeringsfarve6 2 3 2 3 3 3" xfId="44883" xr:uid="{00000000-0005-0000-0000-00005A3E0000}"/>
    <cellStyle name="20 % - Markeringsfarve6 2 3 2 3 4" xfId="22920" xr:uid="{00000000-0005-0000-0000-00005B3E0000}"/>
    <cellStyle name="20 % - Markeringsfarve6 2 3 2 3 5" xfId="37886" xr:uid="{00000000-0005-0000-0000-00005C3E0000}"/>
    <cellStyle name="20 % - Markeringsfarve6 2 3 2 4" xfId="5159" xr:uid="{00000000-0005-0000-0000-00005D3E0000}"/>
    <cellStyle name="20 % - Markeringsfarve6 2 3 2 4 2" xfId="10938" xr:uid="{00000000-0005-0000-0000-00005E3E0000}"/>
    <cellStyle name="20 % - Markeringsfarve6 2 3 2 4 2 2" xfId="18772" xr:uid="{00000000-0005-0000-0000-00005F3E0000}"/>
    <cellStyle name="20 % - Markeringsfarve6 2 3 2 4 2 2 2" xfId="35048" xr:uid="{00000000-0005-0000-0000-0000603E0000}"/>
    <cellStyle name="20 % - Markeringsfarve6 2 3 2 4 2 2 3" xfId="50007" xr:uid="{00000000-0005-0000-0000-0000613E0000}"/>
    <cellStyle name="20 % - Markeringsfarve6 2 3 2 4 2 3" xfId="28046" xr:uid="{00000000-0005-0000-0000-0000623E0000}"/>
    <cellStyle name="20 % - Markeringsfarve6 2 3 2 4 2 4" xfId="43010" xr:uid="{00000000-0005-0000-0000-0000633E0000}"/>
    <cellStyle name="20 % - Markeringsfarve6 2 3 2 4 3" xfId="13644" xr:uid="{00000000-0005-0000-0000-0000643E0000}"/>
    <cellStyle name="20 % - Markeringsfarve6 2 3 2 4 3 2" xfId="29923" xr:uid="{00000000-0005-0000-0000-0000653E0000}"/>
    <cellStyle name="20 % - Markeringsfarve6 2 3 2 4 3 3" xfId="44884" xr:uid="{00000000-0005-0000-0000-0000663E0000}"/>
    <cellStyle name="20 % - Markeringsfarve6 2 3 2 4 4" xfId="22921" xr:uid="{00000000-0005-0000-0000-0000673E0000}"/>
    <cellStyle name="20 % - Markeringsfarve6 2 3 2 4 5" xfId="37887" xr:uid="{00000000-0005-0000-0000-0000683E0000}"/>
    <cellStyle name="20 % - Markeringsfarve6 2 3 2 5" xfId="7913" xr:uid="{00000000-0005-0000-0000-0000693E0000}"/>
    <cellStyle name="20 % - Markeringsfarve6 2 3 2 5 2" xfId="15778" xr:uid="{00000000-0005-0000-0000-00006A3E0000}"/>
    <cellStyle name="20 % - Markeringsfarve6 2 3 2 5 2 2" xfId="32054" xr:uid="{00000000-0005-0000-0000-00006B3E0000}"/>
    <cellStyle name="20 % - Markeringsfarve6 2 3 2 5 2 3" xfId="47013" xr:uid="{00000000-0005-0000-0000-00006C3E0000}"/>
    <cellStyle name="20 % - Markeringsfarve6 2 3 2 5 3" xfId="25052" xr:uid="{00000000-0005-0000-0000-00006D3E0000}"/>
    <cellStyle name="20 % - Markeringsfarve6 2 3 2 5 4" xfId="40016" xr:uid="{00000000-0005-0000-0000-00006E3E0000}"/>
    <cellStyle name="20 % - Markeringsfarve6 2 3 2 6" xfId="13640" xr:uid="{00000000-0005-0000-0000-00006F3E0000}"/>
    <cellStyle name="20 % - Markeringsfarve6 2 3 2 6 2" xfId="29919" xr:uid="{00000000-0005-0000-0000-0000703E0000}"/>
    <cellStyle name="20 % - Markeringsfarve6 2 3 2 6 3" xfId="44880" xr:uid="{00000000-0005-0000-0000-0000713E0000}"/>
    <cellStyle name="20 % - Markeringsfarve6 2 3 2 7" xfId="22917" xr:uid="{00000000-0005-0000-0000-0000723E0000}"/>
    <cellStyle name="20 % - Markeringsfarve6 2 3 2 8" xfId="37883" xr:uid="{00000000-0005-0000-0000-0000733E0000}"/>
    <cellStyle name="20 % - Markeringsfarve6 2 3 3" xfId="5160" xr:uid="{00000000-0005-0000-0000-0000743E0000}"/>
    <cellStyle name="20 % - Markeringsfarve6 2 3 3 2" xfId="5161" xr:uid="{00000000-0005-0000-0000-0000753E0000}"/>
    <cellStyle name="20 % - Markeringsfarve6 2 3 3 2 2" xfId="5162" xr:uid="{00000000-0005-0000-0000-0000763E0000}"/>
    <cellStyle name="20 % - Markeringsfarve6 2 3 3 2 2 2" xfId="9979" xr:uid="{00000000-0005-0000-0000-0000773E0000}"/>
    <cellStyle name="20 % - Markeringsfarve6 2 3 3 2 2 2 2" xfId="17834" xr:uid="{00000000-0005-0000-0000-0000783E0000}"/>
    <cellStyle name="20 % - Markeringsfarve6 2 3 3 2 2 2 2 2" xfId="34110" xr:uid="{00000000-0005-0000-0000-0000793E0000}"/>
    <cellStyle name="20 % - Markeringsfarve6 2 3 3 2 2 2 2 3" xfId="49069" xr:uid="{00000000-0005-0000-0000-00007A3E0000}"/>
    <cellStyle name="20 % - Markeringsfarve6 2 3 3 2 2 2 3" xfId="27108" xr:uid="{00000000-0005-0000-0000-00007B3E0000}"/>
    <cellStyle name="20 % - Markeringsfarve6 2 3 3 2 2 2 4" xfId="42072" xr:uid="{00000000-0005-0000-0000-00007C3E0000}"/>
    <cellStyle name="20 % - Markeringsfarve6 2 3 3 2 2 3" xfId="13647" xr:uid="{00000000-0005-0000-0000-00007D3E0000}"/>
    <cellStyle name="20 % - Markeringsfarve6 2 3 3 2 2 3 2" xfId="29926" xr:uid="{00000000-0005-0000-0000-00007E3E0000}"/>
    <cellStyle name="20 % - Markeringsfarve6 2 3 3 2 2 3 3" xfId="44887" xr:uid="{00000000-0005-0000-0000-00007F3E0000}"/>
    <cellStyle name="20 % - Markeringsfarve6 2 3 3 2 2 4" xfId="22924" xr:uid="{00000000-0005-0000-0000-0000803E0000}"/>
    <cellStyle name="20 % - Markeringsfarve6 2 3 3 2 2 5" xfId="37890" xr:uid="{00000000-0005-0000-0000-0000813E0000}"/>
    <cellStyle name="20 % - Markeringsfarve6 2 3 3 2 3" xfId="8535" xr:uid="{00000000-0005-0000-0000-0000823E0000}"/>
    <cellStyle name="20 % - Markeringsfarve6 2 3 3 2 3 2" xfId="16405" xr:uid="{00000000-0005-0000-0000-0000833E0000}"/>
    <cellStyle name="20 % - Markeringsfarve6 2 3 3 2 3 2 2" xfId="32681" xr:uid="{00000000-0005-0000-0000-0000843E0000}"/>
    <cellStyle name="20 % - Markeringsfarve6 2 3 3 2 3 2 3" xfId="47640" xr:uid="{00000000-0005-0000-0000-0000853E0000}"/>
    <cellStyle name="20 % - Markeringsfarve6 2 3 3 2 3 3" xfId="25679" xr:uid="{00000000-0005-0000-0000-0000863E0000}"/>
    <cellStyle name="20 % - Markeringsfarve6 2 3 3 2 3 4" xfId="40643" xr:uid="{00000000-0005-0000-0000-0000873E0000}"/>
    <cellStyle name="20 % - Markeringsfarve6 2 3 3 2 4" xfId="13646" xr:uid="{00000000-0005-0000-0000-0000883E0000}"/>
    <cellStyle name="20 % - Markeringsfarve6 2 3 3 2 4 2" xfId="29925" xr:uid="{00000000-0005-0000-0000-0000893E0000}"/>
    <cellStyle name="20 % - Markeringsfarve6 2 3 3 2 4 3" xfId="44886" xr:uid="{00000000-0005-0000-0000-00008A3E0000}"/>
    <cellStyle name="20 % - Markeringsfarve6 2 3 3 2 5" xfId="22923" xr:uid="{00000000-0005-0000-0000-00008B3E0000}"/>
    <cellStyle name="20 % - Markeringsfarve6 2 3 3 2 6" xfId="37889" xr:uid="{00000000-0005-0000-0000-00008C3E0000}"/>
    <cellStyle name="20 % - Markeringsfarve6 2 3 3 3" xfId="5163" xr:uid="{00000000-0005-0000-0000-00008D3E0000}"/>
    <cellStyle name="20 % - Markeringsfarve6 2 3 3 3 2" xfId="9210" xr:uid="{00000000-0005-0000-0000-00008E3E0000}"/>
    <cellStyle name="20 % - Markeringsfarve6 2 3 3 3 2 2" xfId="17074" xr:uid="{00000000-0005-0000-0000-00008F3E0000}"/>
    <cellStyle name="20 % - Markeringsfarve6 2 3 3 3 2 2 2" xfId="33350" xr:uid="{00000000-0005-0000-0000-0000903E0000}"/>
    <cellStyle name="20 % - Markeringsfarve6 2 3 3 3 2 2 3" xfId="48309" xr:uid="{00000000-0005-0000-0000-0000913E0000}"/>
    <cellStyle name="20 % - Markeringsfarve6 2 3 3 3 2 3" xfId="26348" xr:uid="{00000000-0005-0000-0000-0000923E0000}"/>
    <cellStyle name="20 % - Markeringsfarve6 2 3 3 3 2 4" xfId="41312" xr:uid="{00000000-0005-0000-0000-0000933E0000}"/>
    <cellStyle name="20 % - Markeringsfarve6 2 3 3 3 3" xfId="13648" xr:uid="{00000000-0005-0000-0000-0000943E0000}"/>
    <cellStyle name="20 % - Markeringsfarve6 2 3 3 3 3 2" xfId="29927" xr:uid="{00000000-0005-0000-0000-0000953E0000}"/>
    <cellStyle name="20 % - Markeringsfarve6 2 3 3 3 3 3" xfId="44888" xr:uid="{00000000-0005-0000-0000-0000963E0000}"/>
    <cellStyle name="20 % - Markeringsfarve6 2 3 3 3 4" xfId="22925" xr:uid="{00000000-0005-0000-0000-0000973E0000}"/>
    <cellStyle name="20 % - Markeringsfarve6 2 3 3 3 5" xfId="37891" xr:uid="{00000000-0005-0000-0000-0000983E0000}"/>
    <cellStyle name="20 % - Markeringsfarve6 2 3 3 4" xfId="5164" xr:uid="{00000000-0005-0000-0000-0000993E0000}"/>
    <cellStyle name="20 % - Markeringsfarve6 2 3 3 4 2" xfId="10662" xr:uid="{00000000-0005-0000-0000-00009A3E0000}"/>
    <cellStyle name="20 % - Markeringsfarve6 2 3 3 4 2 2" xfId="18508" xr:uid="{00000000-0005-0000-0000-00009B3E0000}"/>
    <cellStyle name="20 % - Markeringsfarve6 2 3 3 4 2 2 2" xfId="34784" xr:uid="{00000000-0005-0000-0000-00009C3E0000}"/>
    <cellStyle name="20 % - Markeringsfarve6 2 3 3 4 2 2 3" xfId="49743" xr:uid="{00000000-0005-0000-0000-00009D3E0000}"/>
    <cellStyle name="20 % - Markeringsfarve6 2 3 3 4 2 3" xfId="27782" xr:uid="{00000000-0005-0000-0000-00009E3E0000}"/>
    <cellStyle name="20 % - Markeringsfarve6 2 3 3 4 2 4" xfId="42746" xr:uid="{00000000-0005-0000-0000-00009F3E0000}"/>
    <cellStyle name="20 % - Markeringsfarve6 2 3 3 4 3" xfId="13649" xr:uid="{00000000-0005-0000-0000-0000A03E0000}"/>
    <cellStyle name="20 % - Markeringsfarve6 2 3 3 4 3 2" xfId="29928" xr:uid="{00000000-0005-0000-0000-0000A13E0000}"/>
    <cellStyle name="20 % - Markeringsfarve6 2 3 3 4 3 3" xfId="44889" xr:uid="{00000000-0005-0000-0000-0000A23E0000}"/>
    <cellStyle name="20 % - Markeringsfarve6 2 3 3 4 4" xfId="22926" xr:uid="{00000000-0005-0000-0000-0000A33E0000}"/>
    <cellStyle name="20 % - Markeringsfarve6 2 3 3 4 5" xfId="37892" xr:uid="{00000000-0005-0000-0000-0000A43E0000}"/>
    <cellStyle name="20 % - Markeringsfarve6 2 3 3 5" xfId="7914" xr:uid="{00000000-0005-0000-0000-0000A53E0000}"/>
    <cellStyle name="20 % - Markeringsfarve6 2 3 3 5 2" xfId="15779" xr:uid="{00000000-0005-0000-0000-0000A63E0000}"/>
    <cellStyle name="20 % - Markeringsfarve6 2 3 3 5 2 2" xfId="32055" xr:uid="{00000000-0005-0000-0000-0000A73E0000}"/>
    <cellStyle name="20 % - Markeringsfarve6 2 3 3 5 2 3" xfId="47014" xr:uid="{00000000-0005-0000-0000-0000A83E0000}"/>
    <cellStyle name="20 % - Markeringsfarve6 2 3 3 5 3" xfId="25053" xr:uid="{00000000-0005-0000-0000-0000A93E0000}"/>
    <cellStyle name="20 % - Markeringsfarve6 2 3 3 5 4" xfId="40017" xr:uid="{00000000-0005-0000-0000-0000AA3E0000}"/>
    <cellStyle name="20 % - Markeringsfarve6 2 3 3 6" xfId="13645" xr:uid="{00000000-0005-0000-0000-0000AB3E0000}"/>
    <cellStyle name="20 % - Markeringsfarve6 2 3 3 6 2" xfId="29924" xr:uid="{00000000-0005-0000-0000-0000AC3E0000}"/>
    <cellStyle name="20 % - Markeringsfarve6 2 3 3 6 3" xfId="44885" xr:uid="{00000000-0005-0000-0000-0000AD3E0000}"/>
    <cellStyle name="20 % - Markeringsfarve6 2 3 3 7" xfId="22922" xr:uid="{00000000-0005-0000-0000-0000AE3E0000}"/>
    <cellStyle name="20 % - Markeringsfarve6 2 3 3 8" xfId="37888" xr:uid="{00000000-0005-0000-0000-0000AF3E0000}"/>
    <cellStyle name="20 % - Markeringsfarve6 2 3 4" xfId="5165" xr:uid="{00000000-0005-0000-0000-0000B03E0000}"/>
    <cellStyle name="20 % - Markeringsfarve6 2 3 4 2" xfId="5166" xr:uid="{00000000-0005-0000-0000-0000B13E0000}"/>
    <cellStyle name="20 % - Markeringsfarve6 2 3 4 2 2" xfId="5167" xr:uid="{00000000-0005-0000-0000-0000B23E0000}"/>
    <cellStyle name="20 % - Markeringsfarve6 2 3 4 2 2 2" xfId="10165" xr:uid="{00000000-0005-0000-0000-0000B33E0000}"/>
    <cellStyle name="20 % - Markeringsfarve6 2 3 4 2 2 2 2" xfId="18020" xr:uid="{00000000-0005-0000-0000-0000B43E0000}"/>
    <cellStyle name="20 % - Markeringsfarve6 2 3 4 2 2 2 2 2" xfId="34296" xr:uid="{00000000-0005-0000-0000-0000B53E0000}"/>
    <cellStyle name="20 % - Markeringsfarve6 2 3 4 2 2 2 2 3" xfId="49255" xr:uid="{00000000-0005-0000-0000-0000B63E0000}"/>
    <cellStyle name="20 % - Markeringsfarve6 2 3 4 2 2 2 3" xfId="27294" xr:uid="{00000000-0005-0000-0000-0000B73E0000}"/>
    <cellStyle name="20 % - Markeringsfarve6 2 3 4 2 2 2 4" xfId="42258" xr:uid="{00000000-0005-0000-0000-0000B83E0000}"/>
    <cellStyle name="20 % - Markeringsfarve6 2 3 4 2 2 3" xfId="13652" xr:uid="{00000000-0005-0000-0000-0000B93E0000}"/>
    <cellStyle name="20 % - Markeringsfarve6 2 3 4 2 2 3 2" xfId="29931" xr:uid="{00000000-0005-0000-0000-0000BA3E0000}"/>
    <cellStyle name="20 % - Markeringsfarve6 2 3 4 2 2 3 3" xfId="44892" xr:uid="{00000000-0005-0000-0000-0000BB3E0000}"/>
    <cellStyle name="20 % - Markeringsfarve6 2 3 4 2 2 4" xfId="22929" xr:uid="{00000000-0005-0000-0000-0000BC3E0000}"/>
    <cellStyle name="20 % - Markeringsfarve6 2 3 4 2 2 5" xfId="37895" xr:uid="{00000000-0005-0000-0000-0000BD3E0000}"/>
    <cellStyle name="20 % - Markeringsfarve6 2 3 4 2 3" xfId="8695" xr:uid="{00000000-0005-0000-0000-0000BE3E0000}"/>
    <cellStyle name="20 % - Markeringsfarve6 2 3 4 2 3 2" xfId="16562" xr:uid="{00000000-0005-0000-0000-0000BF3E0000}"/>
    <cellStyle name="20 % - Markeringsfarve6 2 3 4 2 3 2 2" xfId="32838" xr:uid="{00000000-0005-0000-0000-0000C03E0000}"/>
    <cellStyle name="20 % - Markeringsfarve6 2 3 4 2 3 2 3" xfId="47797" xr:uid="{00000000-0005-0000-0000-0000C13E0000}"/>
    <cellStyle name="20 % - Markeringsfarve6 2 3 4 2 3 3" xfId="25836" xr:uid="{00000000-0005-0000-0000-0000C23E0000}"/>
    <cellStyle name="20 % - Markeringsfarve6 2 3 4 2 3 4" xfId="40800" xr:uid="{00000000-0005-0000-0000-0000C33E0000}"/>
    <cellStyle name="20 % - Markeringsfarve6 2 3 4 2 4" xfId="13651" xr:uid="{00000000-0005-0000-0000-0000C43E0000}"/>
    <cellStyle name="20 % - Markeringsfarve6 2 3 4 2 4 2" xfId="29930" xr:uid="{00000000-0005-0000-0000-0000C53E0000}"/>
    <cellStyle name="20 % - Markeringsfarve6 2 3 4 2 4 3" xfId="44891" xr:uid="{00000000-0005-0000-0000-0000C63E0000}"/>
    <cellStyle name="20 % - Markeringsfarve6 2 3 4 2 5" xfId="22928" xr:uid="{00000000-0005-0000-0000-0000C73E0000}"/>
    <cellStyle name="20 % - Markeringsfarve6 2 3 4 2 6" xfId="37894" xr:uid="{00000000-0005-0000-0000-0000C83E0000}"/>
    <cellStyle name="20 % - Markeringsfarve6 2 3 4 3" xfId="5168" xr:uid="{00000000-0005-0000-0000-0000C93E0000}"/>
    <cellStyle name="20 % - Markeringsfarve6 2 3 4 3 2" xfId="9442" xr:uid="{00000000-0005-0000-0000-0000CA3E0000}"/>
    <cellStyle name="20 % - Markeringsfarve6 2 3 4 3 2 2" xfId="17305" xr:uid="{00000000-0005-0000-0000-0000CB3E0000}"/>
    <cellStyle name="20 % - Markeringsfarve6 2 3 4 3 2 2 2" xfId="33581" xr:uid="{00000000-0005-0000-0000-0000CC3E0000}"/>
    <cellStyle name="20 % - Markeringsfarve6 2 3 4 3 2 2 3" xfId="48540" xr:uid="{00000000-0005-0000-0000-0000CD3E0000}"/>
    <cellStyle name="20 % - Markeringsfarve6 2 3 4 3 2 3" xfId="26579" xr:uid="{00000000-0005-0000-0000-0000CE3E0000}"/>
    <cellStyle name="20 % - Markeringsfarve6 2 3 4 3 2 4" xfId="41543" xr:uid="{00000000-0005-0000-0000-0000CF3E0000}"/>
    <cellStyle name="20 % - Markeringsfarve6 2 3 4 3 3" xfId="13653" xr:uid="{00000000-0005-0000-0000-0000D03E0000}"/>
    <cellStyle name="20 % - Markeringsfarve6 2 3 4 3 3 2" xfId="29932" xr:uid="{00000000-0005-0000-0000-0000D13E0000}"/>
    <cellStyle name="20 % - Markeringsfarve6 2 3 4 3 3 3" xfId="44893" xr:uid="{00000000-0005-0000-0000-0000D23E0000}"/>
    <cellStyle name="20 % - Markeringsfarve6 2 3 4 3 4" xfId="22930" xr:uid="{00000000-0005-0000-0000-0000D33E0000}"/>
    <cellStyle name="20 % - Markeringsfarve6 2 3 4 3 5" xfId="37896" xr:uid="{00000000-0005-0000-0000-0000D43E0000}"/>
    <cellStyle name="20 % - Markeringsfarve6 2 3 4 4" xfId="5169" xr:uid="{00000000-0005-0000-0000-0000D53E0000}"/>
    <cellStyle name="20 % - Markeringsfarve6 2 3 4 4 2" xfId="10897" xr:uid="{00000000-0005-0000-0000-0000D63E0000}"/>
    <cellStyle name="20 % - Markeringsfarve6 2 3 4 4 2 2" xfId="18733" xr:uid="{00000000-0005-0000-0000-0000D73E0000}"/>
    <cellStyle name="20 % - Markeringsfarve6 2 3 4 4 2 2 2" xfId="35009" xr:uid="{00000000-0005-0000-0000-0000D83E0000}"/>
    <cellStyle name="20 % - Markeringsfarve6 2 3 4 4 2 2 3" xfId="49968" xr:uid="{00000000-0005-0000-0000-0000D93E0000}"/>
    <cellStyle name="20 % - Markeringsfarve6 2 3 4 4 2 3" xfId="28007" xr:uid="{00000000-0005-0000-0000-0000DA3E0000}"/>
    <cellStyle name="20 % - Markeringsfarve6 2 3 4 4 2 4" xfId="42971" xr:uid="{00000000-0005-0000-0000-0000DB3E0000}"/>
    <cellStyle name="20 % - Markeringsfarve6 2 3 4 4 3" xfId="13654" xr:uid="{00000000-0005-0000-0000-0000DC3E0000}"/>
    <cellStyle name="20 % - Markeringsfarve6 2 3 4 4 3 2" xfId="29933" xr:uid="{00000000-0005-0000-0000-0000DD3E0000}"/>
    <cellStyle name="20 % - Markeringsfarve6 2 3 4 4 3 3" xfId="44894" xr:uid="{00000000-0005-0000-0000-0000DE3E0000}"/>
    <cellStyle name="20 % - Markeringsfarve6 2 3 4 4 4" xfId="22931" xr:uid="{00000000-0005-0000-0000-0000DF3E0000}"/>
    <cellStyle name="20 % - Markeringsfarve6 2 3 4 4 5" xfId="37897" xr:uid="{00000000-0005-0000-0000-0000E03E0000}"/>
    <cellStyle name="20 % - Markeringsfarve6 2 3 4 5" xfId="7915" xr:uid="{00000000-0005-0000-0000-0000E13E0000}"/>
    <cellStyle name="20 % - Markeringsfarve6 2 3 4 5 2" xfId="15780" xr:uid="{00000000-0005-0000-0000-0000E23E0000}"/>
    <cellStyle name="20 % - Markeringsfarve6 2 3 4 5 2 2" xfId="32056" xr:uid="{00000000-0005-0000-0000-0000E33E0000}"/>
    <cellStyle name="20 % - Markeringsfarve6 2 3 4 5 2 3" xfId="47015" xr:uid="{00000000-0005-0000-0000-0000E43E0000}"/>
    <cellStyle name="20 % - Markeringsfarve6 2 3 4 5 3" xfId="25054" xr:uid="{00000000-0005-0000-0000-0000E53E0000}"/>
    <cellStyle name="20 % - Markeringsfarve6 2 3 4 5 4" xfId="40018" xr:uid="{00000000-0005-0000-0000-0000E63E0000}"/>
    <cellStyle name="20 % - Markeringsfarve6 2 3 4 6" xfId="13650" xr:uid="{00000000-0005-0000-0000-0000E73E0000}"/>
    <cellStyle name="20 % - Markeringsfarve6 2 3 4 6 2" xfId="29929" xr:uid="{00000000-0005-0000-0000-0000E83E0000}"/>
    <cellStyle name="20 % - Markeringsfarve6 2 3 4 6 3" xfId="44890" xr:uid="{00000000-0005-0000-0000-0000E93E0000}"/>
    <cellStyle name="20 % - Markeringsfarve6 2 3 4 7" xfId="22927" xr:uid="{00000000-0005-0000-0000-0000EA3E0000}"/>
    <cellStyle name="20 % - Markeringsfarve6 2 3 4 8" xfId="37893" xr:uid="{00000000-0005-0000-0000-0000EB3E0000}"/>
    <cellStyle name="20 % - Markeringsfarve6 2 3 5" xfId="5170" xr:uid="{00000000-0005-0000-0000-0000EC3E0000}"/>
    <cellStyle name="20 % - Markeringsfarve6 2 3 5 2" xfId="5171" xr:uid="{00000000-0005-0000-0000-0000ED3E0000}"/>
    <cellStyle name="20 % - Markeringsfarve6 2 3 5 2 2" xfId="5172" xr:uid="{00000000-0005-0000-0000-0000EE3E0000}"/>
    <cellStyle name="20 % - Markeringsfarve6 2 3 5 2 2 2" xfId="10282" xr:uid="{00000000-0005-0000-0000-0000EF3E0000}"/>
    <cellStyle name="20 % - Markeringsfarve6 2 3 5 2 2 2 2" xfId="18137" xr:uid="{00000000-0005-0000-0000-0000F03E0000}"/>
    <cellStyle name="20 % - Markeringsfarve6 2 3 5 2 2 2 2 2" xfId="34413" xr:uid="{00000000-0005-0000-0000-0000F13E0000}"/>
    <cellStyle name="20 % - Markeringsfarve6 2 3 5 2 2 2 2 3" xfId="49372" xr:uid="{00000000-0005-0000-0000-0000F23E0000}"/>
    <cellStyle name="20 % - Markeringsfarve6 2 3 5 2 2 2 3" xfId="27411" xr:uid="{00000000-0005-0000-0000-0000F33E0000}"/>
    <cellStyle name="20 % - Markeringsfarve6 2 3 5 2 2 2 4" xfId="42375" xr:uid="{00000000-0005-0000-0000-0000F43E0000}"/>
    <cellStyle name="20 % - Markeringsfarve6 2 3 5 2 2 3" xfId="13657" xr:uid="{00000000-0005-0000-0000-0000F53E0000}"/>
    <cellStyle name="20 % - Markeringsfarve6 2 3 5 2 2 3 2" xfId="29936" xr:uid="{00000000-0005-0000-0000-0000F63E0000}"/>
    <cellStyle name="20 % - Markeringsfarve6 2 3 5 2 2 3 3" xfId="44897" xr:uid="{00000000-0005-0000-0000-0000F73E0000}"/>
    <cellStyle name="20 % - Markeringsfarve6 2 3 5 2 2 4" xfId="22934" xr:uid="{00000000-0005-0000-0000-0000F83E0000}"/>
    <cellStyle name="20 % - Markeringsfarve6 2 3 5 2 2 5" xfId="37900" xr:uid="{00000000-0005-0000-0000-0000F93E0000}"/>
    <cellStyle name="20 % - Markeringsfarve6 2 3 5 2 3" xfId="8794" xr:uid="{00000000-0005-0000-0000-0000FA3E0000}"/>
    <cellStyle name="20 % - Markeringsfarve6 2 3 5 2 3 2" xfId="16661" xr:uid="{00000000-0005-0000-0000-0000FB3E0000}"/>
    <cellStyle name="20 % - Markeringsfarve6 2 3 5 2 3 2 2" xfId="32937" xr:uid="{00000000-0005-0000-0000-0000FC3E0000}"/>
    <cellStyle name="20 % - Markeringsfarve6 2 3 5 2 3 2 3" xfId="47896" xr:uid="{00000000-0005-0000-0000-0000FD3E0000}"/>
    <cellStyle name="20 % - Markeringsfarve6 2 3 5 2 3 3" xfId="25935" xr:uid="{00000000-0005-0000-0000-0000FE3E0000}"/>
    <cellStyle name="20 % - Markeringsfarve6 2 3 5 2 3 4" xfId="40899" xr:uid="{00000000-0005-0000-0000-0000FF3E0000}"/>
    <cellStyle name="20 % - Markeringsfarve6 2 3 5 2 4" xfId="13656" xr:uid="{00000000-0005-0000-0000-0000003F0000}"/>
    <cellStyle name="20 % - Markeringsfarve6 2 3 5 2 4 2" xfId="29935" xr:uid="{00000000-0005-0000-0000-0000013F0000}"/>
    <cellStyle name="20 % - Markeringsfarve6 2 3 5 2 4 3" xfId="44896" xr:uid="{00000000-0005-0000-0000-0000023F0000}"/>
    <cellStyle name="20 % - Markeringsfarve6 2 3 5 2 5" xfId="22933" xr:uid="{00000000-0005-0000-0000-0000033F0000}"/>
    <cellStyle name="20 % - Markeringsfarve6 2 3 5 2 6" xfId="37899" xr:uid="{00000000-0005-0000-0000-0000043F0000}"/>
    <cellStyle name="20 % - Markeringsfarve6 2 3 5 3" xfId="5173" xr:uid="{00000000-0005-0000-0000-0000053F0000}"/>
    <cellStyle name="20 % - Markeringsfarve6 2 3 5 3 2" xfId="9559" xr:uid="{00000000-0005-0000-0000-0000063F0000}"/>
    <cellStyle name="20 % - Markeringsfarve6 2 3 5 3 2 2" xfId="17422" xr:uid="{00000000-0005-0000-0000-0000073F0000}"/>
    <cellStyle name="20 % - Markeringsfarve6 2 3 5 3 2 2 2" xfId="33698" xr:uid="{00000000-0005-0000-0000-0000083F0000}"/>
    <cellStyle name="20 % - Markeringsfarve6 2 3 5 3 2 2 3" xfId="48657" xr:uid="{00000000-0005-0000-0000-0000093F0000}"/>
    <cellStyle name="20 % - Markeringsfarve6 2 3 5 3 2 3" xfId="26696" xr:uid="{00000000-0005-0000-0000-00000A3F0000}"/>
    <cellStyle name="20 % - Markeringsfarve6 2 3 5 3 2 4" xfId="41660" xr:uid="{00000000-0005-0000-0000-00000B3F0000}"/>
    <cellStyle name="20 % - Markeringsfarve6 2 3 5 3 3" xfId="13658" xr:uid="{00000000-0005-0000-0000-00000C3F0000}"/>
    <cellStyle name="20 % - Markeringsfarve6 2 3 5 3 3 2" xfId="29937" xr:uid="{00000000-0005-0000-0000-00000D3F0000}"/>
    <cellStyle name="20 % - Markeringsfarve6 2 3 5 3 3 3" xfId="44898" xr:uid="{00000000-0005-0000-0000-00000E3F0000}"/>
    <cellStyle name="20 % - Markeringsfarve6 2 3 5 3 4" xfId="22935" xr:uid="{00000000-0005-0000-0000-00000F3F0000}"/>
    <cellStyle name="20 % - Markeringsfarve6 2 3 5 3 5" xfId="37901" xr:uid="{00000000-0005-0000-0000-0000103F0000}"/>
    <cellStyle name="20 % - Markeringsfarve6 2 3 5 4" xfId="5174" xr:uid="{00000000-0005-0000-0000-0000113F0000}"/>
    <cellStyle name="20 % - Markeringsfarve6 2 3 5 4 2" xfId="10622" xr:uid="{00000000-0005-0000-0000-0000123F0000}"/>
    <cellStyle name="20 % - Markeringsfarve6 2 3 5 4 2 2" xfId="18470" xr:uid="{00000000-0005-0000-0000-0000133F0000}"/>
    <cellStyle name="20 % - Markeringsfarve6 2 3 5 4 2 2 2" xfId="34746" xr:uid="{00000000-0005-0000-0000-0000143F0000}"/>
    <cellStyle name="20 % - Markeringsfarve6 2 3 5 4 2 2 3" xfId="49705" xr:uid="{00000000-0005-0000-0000-0000153F0000}"/>
    <cellStyle name="20 % - Markeringsfarve6 2 3 5 4 2 3" xfId="27744" xr:uid="{00000000-0005-0000-0000-0000163F0000}"/>
    <cellStyle name="20 % - Markeringsfarve6 2 3 5 4 2 4" xfId="42708" xr:uid="{00000000-0005-0000-0000-0000173F0000}"/>
    <cellStyle name="20 % - Markeringsfarve6 2 3 5 4 3" xfId="13659" xr:uid="{00000000-0005-0000-0000-0000183F0000}"/>
    <cellStyle name="20 % - Markeringsfarve6 2 3 5 4 3 2" xfId="29938" xr:uid="{00000000-0005-0000-0000-0000193F0000}"/>
    <cellStyle name="20 % - Markeringsfarve6 2 3 5 4 3 3" xfId="44899" xr:uid="{00000000-0005-0000-0000-00001A3F0000}"/>
    <cellStyle name="20 % - Markeringsfarve6 2 3 5 4 4" xfId="22936" xr:uid="{00000000-0005-0000-0000-00001B3F0000}"/>
    <cellStyle name="20 % - Markeringsfarve6 2 3 5 4 5" xfId="37902" xr:uid="{00000000-0005-0000-0000-00001C3F0000}"/>
    <cellStyle name="20 % - Markeringsfarve6 2 3 5 5" xfId="7916" xr:uid="{00000000-0005-0000-0000-00001D3F0000}"/>
    <cellStyle name="20 % - Markeringsfarve6 2 3 5 5 2" xfId="15781" xr:uid="{00000000-0005-0000-0000-00001E3F0000}"/>
    <cellStyle name="20 % - Markeringsfarve6 2 3 5 5 2 2" xfId="32057" xr:uid="{00000000-0005-0000-0000-00001F3F0000}"/>
    <cellStyle name="20 % - Markeringsfarve6 2 3 5 5 2 3" xfId="47016" xr:uid="{00000000-0005-0000-0000-0000203F0000}"/>
    <cellStyle name="20 % - Markeringsfarve6 2 3 5 5 3" xfId="25055" xr:uid="{00000000-0005-0000-0000-0000213F0000}"/>
    <cellStyle name="20 % - Markeringsfarve6 2 3 5 5 4" xfId="40019" xr:uid="{00000000-0005-0000-0000-0000223F0000}"/>
    <cellStyle name="20 % - Markeringsfarve6 2 3 5 6" xfId="13655" xr:uid="{00000000-0005-0000-0000-0000233F0000}"/>
    <cellStyle name="20 % - Markeringsfarve6 2 3 5 6 2" xfId="29934" xr:uid="{00000000-0005-0000-0000-0000243F0000}"/>
    <cellStyle name="20 % - Markeringsfarve6 2 3 5 6 3" xfId="44895" xr:uid="{00000000-0005-0000-0000-0000253F0000}"/>
    <cellStyle name="20 % - Markeringsfarve6 2 3 5 7" xfId="22932" xr:uid="{00000000-0005-0000-0000-0000263F0000}"/>
    <cellStyle name="20 % - Markeringsfarve6 2 3 5 8" xfId="37898" xr:uid="{00000000-0005-0000-0000-0000273F0000}"/>
    <cellStyle name="20 % - Markeringsfarve6 2 3 6" xfId="5175" xr:uid="{00000000-0005-0000-0000-0000283F0000}"/>
    <cellStyle name="20 % - Markeringsfarve6 2 3 6 2" xfId="5176" xr:uid="{00000000-0005-0000-0000-0000293F0000}"/>
    <cellStyle name="20 % - Markeringsfarve6 2 3 6 2 2" xfId="5177" xr:uid="{00000000-0005-0000-0000-00002A3F0000}"/>
    <cellStyle name="20 % - Markeringsfarve6 2 3 6 2 2 2" xfId="10333" xr:uid="{00000000-0005-0000-0000-00002B3F0000}"/>
    <cellStyle name="20 % - Markeringsfarve6 2 3 6 2 2 2 2" xfId="18188" xr:uid="{00000000-0005-0000-0000-00002C3F0000}"/>
    <cellStyle name="20 % - Markeringsfarve6 2 3 6 2 2 2 2 2" xfId="34464" xr:uid="{00000000-0005-0000-0000-00002D3F0000}"/>
    <cellStyle name="20 % - Markeringsfarve6 2 3 6 2 2 2 2 3" xfId="49423" xr:uid="{00000000-0005-0000-0000-00002E3F0000}"/>
    <cellStyle name="20 % - Markeringsfarve6 2 3 6 2 2 2 3" xfId="27462" xr:uid="{00000000-0005-0000-0000-00002F3F0000}"/>
    <cellStyle name="20 % - Markeringsfarve6 2 3 6 2 2 2 4" xfId="42426" xr:uid="{00000000-0005-0000-0000-0000303F0000}"/>
    <cellStyle name="20 % - Markeringsfarve6 2 3 6 2 2 3" xfId="13662" xr:uid="{00000000-0005-0000-0000-0000313F0000}"/>
    <cellStyle name="20 % - Markeringsfarve6 2 3 6 2 2 3 2" xfId="29941" xr:uid="{00000000-0005-0000-0000-0000323F0000}"/>
    <cellStyle name="20 % - Markeringsfarve6 2 3 6 2 2 3 3" xfId="44902" xr:uid="{00000000-0005-0000-0000-0000333F0000}"/>
    <cellStyle name="20 % - Markeringsfarve6 2 3 6 2 2 4" xfId="22939" xr:uid="{00000000-0005-0000-0000-0000343F0000}"/>
    <cellStyle name="20 % - Markeringsfarve6 2 3 6 2 2 5" xfId="37905" xr:uid="{00000000-0005-0000-0000-0000353F0000}"/>
    <cellStyle name="20 % - Markeringsfarve6 2 3 6 2 3" xfId="8836" xr:uid="{00000000-0005-0000-0000-0000363F0000}"/>
    <cellStyle name="20 % - Markeringsfarve6 2 3 6 2 3 2" xfId="16703" xr:uid="{00000000-0005-0000-0000-0000373F0000}"/>
    <cellStyle name="20 % - Markeringsfarve6 2 3 6 2 3 2 2" xfId="32979" xr:uid="{00000000-0005-0000-0000-0000383F0000}"/>
    <cellStyle name="20 % - Markeringsfarve6 2 3 6 2 3 2 3" xfId="47938" xr:uid="{00000000-0005-0000-0000-0000393F0000}"/>
    <cellStyle name="20 % - Markeringsfarve6 2 3 6 2 3 3" xfId="25977" xr:uid="{00000000-0005-0000-0000-00003A3F0000}"/>
    <cellStyle name="20 % - Markeringsfarve6 2 3 6 2 3 4" xfId="40941" xr:uid="{00000000-0005-0000-0000-00003B3F0000}"/>
    <cellStyle name="20 % - Markeringsfarve6 2 3 6 2 4" xfId="13661" xr:uid="{00000000-0005-0000-0000-00003C3F0000}"/>
    <cellStyle name="20 % - Markeringsfarve6 2 3 6 2 4 2" xfId="29940" xr:uid="{00000000-0005-0000-0000-00003D3F0000}"/>
    <cellStyle name="20 % - Markeringsfarve6 2 3 6 2 4 3" xfId="44901" xr:uid="{00000000-0005-0000-0000-00003E3F0000}"/>
    <cellStyle name="20 % - Markeringsfarve6 2 3 6 2 5" xfId="22938" xr:uid="{00000000-0005-0000-0000-00003F3F0000}"/>
    <cellStyle name="20 % - Markeringsfarve6 2 3 6 2 6" xfId="37904" xr:uid="{00000000-0005-0000-0000-0000403F0000}"/>
    <cellStyle name="20 % - Markeringsfarve6 2 3 6 3" xfId="5178" xr:uid="{00000000-0005-0000-0000-0000413F0000}"/>
    <cellStyle name="20 % - Markeringsfarve6 2 3 6 3 2" xfId="9611" xr:uid="{00000000-0005-0000-0000-0000423F0000}"/>
    <cellStyle name="20 % - Markeringsfarve6 2 3 6 3 2 2" xfId="17474" xr:uid="{00000000-0005-0000-0000-0000433F0000}"/>
    <cellStyle name="20 % - Markeringsfarve6 2 3 6 3 2 2 2" xfId="33750" xr:uid="{00000000-0005-0000-0000-0000443F0000}"/>
    <cellStyle name="20 % - Markeringsfarve6 2 3 6 3 2 2 3" xfId="48709" xr:uid="{00000000-0005-0000-0000-0000453F0000}"/>
    <cellStyle name="20 % - Markeringsfarve6 2 3 6 3 2 3" xfId="26748" xr:uid="{00000000-0005-0000-0000-0000463F0000}"/>
    <cellStyle name="20 % - Markeringsfarve6 2 3 6 3 2 4" xfId="41712" xr:uid="{00000000-0005-0000-0000-0000473F0000}"/>
    <cellStyle name="20 % - Markeringsfarve6 2 3 6 3 3" xfId="13663" xr:uid="{00000000-0005-0000-0000-0000483F0000}"/>
    <cellStyle name="20 % - Markeringsfarve6 2 3 6 3 3 2" xfId="29942" xr:uid="{00000000-0005-0000-0000-0000493F0000}"/>
    <cellStyle name="20 % - Markeringsfarve6 2 3 6 3 3 3" xfId="44903" xr:uid="{00000000-0005-0000-0000-00004A3F0000}"/>
    <cellStyle name="20 % - Markeringsfarve6 2 3 6 3 4" xfId="22940" xr:uid="{00000000-0005-0000-0000-00004B3F0000}"/>
    <cellStyle name="20 % - Markeringsfarve6 2 3 6 3 5" xfId="37906" xr:uid="{00000000-0005-0000-0000-00004C3F0000}"/>
    <cellStyle name="20 % - Markeringsfarve6 2 3 6 4" xfId="5179" xr:uid="{00000000-0005-0000-0000-00004D3F0000}"/>
    <cellStyle name="20 % - Markeringsfarve6 2 3 6 4 2" xfId="10854" xr:uid="{00000000-0005-0000-0000-00004E3F0000}"/>
    <cellStyle name="20 % - Markeringsfarve6 2 3 6 4 2 2" xfId="18692" xr:uid="{00000000-0005-0000-0000-00004F3F0000}"/>
    <cellStyle name="20 % - Markeringsfarve6 2 3 6 4 2 2 2" xfId="34968" xr:uid="{00000000-0005-0000-0000-0000503F0000}"/>
    <cellStyle name="20 % - Markeringsfarve6 2 3 6 4 2 2 3" xfId="49927" xr:uid="{00000000-0005-0000-0000-0000513F0000}"/>
    <cellStyle name="20 % - Markeringsfarve6 2 3 6 4 2 3" xfId="27966" xr:uid="{00000000-0005-0000-0000-0000523F0000}"/>
    <cellStyle name="20 % - Markeringsfarve6 2 3 6 4 2 4" xfId="42930" xr:uid="{00000000-0005-0000-0000-0000533F0000}"/>
    <cellStyle name="20 % - Markeringsfarve6 2 3 6 4 3" xfId="13664" xr:uid="{00000000-0005-0000-0000-0000543F0000}"/>
    <cellStyle name="20 % - Markeringsfarve6 2 3 6 4 3 2" xfId="29943" xr:uid="{00000000-0005-0000-0000-0000553F0000}"/>
    <cellStyle name="20 % - Markeringsfarve6 2 3 6 4 3 3" xfId="44904" xr:uid="{00000000-0005-0000-0000-0000563F0000}"/>
    <cellStyle name="20 % - Markeringsfarve6 2 3 6 4 4" xfId="22941" xr:uid="{00000000-0005-0000-0000-0000573F0000}"/>
    <cellStyle name="20 % - Markeringsfarve6 2 3 6 4 5" xfId="37907" xr:uid="{00000000-0005-0000-0000-0000583F0000}"/>
    <cellStyle name="20 % - Markeringsfarve6 2 3 6 5" xfId="7917" xr:uid="{00000000-0005-0000-0000-0000593F0000}"/>
    <cellStyle name="20 % - Markeringsfarve6 2 3 6 5 2" xfId="15782" xr:uid="{00000000-0005-0000-0000-00005A3F0000}"/>
    <cellStyle name="20 % - Markeringsfarve6 2 3 6 5 2 2" xfId="32058" xr:uid="{00000000-0005-0000-0000-00005B3F0000}"/>
    <cellStyle name="20 % - Markeringsfarve6 2 3 6 5 2 3" xfId="47017" xr:uid="{00000000-0005-0000-0000-00005C3F0000}"/>
    <cellStyle name="20 % - Markeringsfarve6 2 3 6 5 3" xfId="25056" xr:uid="{00000000-0005-0000-0000-00005D3F0000}"/>
    <cellStyle name="20 % - Markeringsfarve6 2 3 6 5 4" xfId="40020" xr:uid="{00000000-0005-0000-0000-00005E3F0000}"/>
    <cellStyle name="20 % - Markeringsfarve6 2 3 6 6" xfId="13660" xr:uid="{00000000-0005-0000-0000-00005F3F0000}"/>
    <cellStyle name="20 % - Markeringsfarve6 2 3 6 6 2" xfId="29939" xr:uid="{00000000-0005-0000-0000-0000603F0000}"/>
    <cellStyle name="20 % - Markeringsfarve6 2 3 6 6 3" xfId="44900" xr:uid="{00000000-0005-0000-0000-0000613F0000}"/>
    <cellStyle name="20 % - Markeringsfarve6 2 3 6 7" xfId="22937" xr:uid="{00000000-0005-0000-0000-0000623F0000}"/>
    <cellStyle name="20 % - Markeringsfarve6 2 3 6 8" xfId="37903" xr:uid="{00000000-0005-0000-0000-0000633F0000}"/>
    <cellStyle name="20 % - Markeringsfarve6 2 3 7" xfId="5180" xr:uid="{00000000-0005-0000-0000-0000643F0000}"/>
    <cellStyle name="20 % - Markeringsfarve6 2 3 7 2" xfId="5181" xr:uid="{00000000-0005-0000-0000-0000653F0000}"/>
    <cellStyle name="20 % - Markeringsfarve6 2 3 7 2 2" xfId="9809" xr:uid="{00000000-0005-0000-0000-0000663F0000}"/>
    <cellStyle name="20 % - Markeringsfarve6 2 3 7 2 2 2" xfId="17663" xr:uid="{00000000-0005-0000-0000-0000673F0000}"/>
    <cellStyle name="20 % - Markeringsfarve6 2 3 7 2 2 2 2" xfId="33939" xr:uid="{00000000-0005-0000-0000-0000683F0000}"/>
    <cellStyle name="20 % - Markeringsfarve6 2 3 7 2 2 2 3" xfId="48898" xr:uid="{00000000-0005-0000-0000-0000693F0000}"/>
    <cellStyle name="20 % - Markeringsfarve6 2 3 7 2 2 3" xfId="26937" xr:uid="{00000000-0005-0000-0000-00006A3F0000}"/>
    <cellStyle name="20 % - Markeringsfarve6 2 3 7 2 2 4" xfId="41901" xr:uid="{00000000-0005-0000-0000-00006B3F0000}"/>
    <cellStyle name="20 % - Markeringsfarve6 2 3 7 2 3" xfId="13666" xr:uid="{00000000-0005-0000-0000-00006C3F0000}"/>
    <cellStyle name="20 % - Markeringsfarve6 2 3 7 2 3 2" xfId="29945" xr:uid="{00000000-0005-0000-0000-00006D3F0000}"/>
    <cellStyle name="20 % - Markeringsfarve6 2 3 7 2 3 3" xfId="44906" xr:uid="{00000000-0005-0000-0000-00006E3F0000}"/>
    <cellStyle name="20 % - Markeringsfarve6 2 3 7 2 4" xfId="22943" xr:uid="{00000000-0005-0000-0000-00006F3F0000}"/>
    <cellStyle name="20 % - Markeringsfarve6 2 3 7 2 5" xfId="37909" xr:uid="{00000000-0005-0000-0000-0000703F0000}"/>
    <cellStyle name="20 % - Markeringsfarve6 2 3 7 3" xfId="8394" xr:uid="{00000000-0005-0000-0000-0000713F0000}"/>
    <cellStyle name="20 % - Markeringsfarve6 2 3 7 3 2" xfId="16264" xr:uid="{00000000-0005-0000-0000-0000723F0000}"/>
    <cellStyle name="20 % - Markeringsfarve6 2 3 7 3 2 2" xfId="32540" xr:uid="{00000000-0005-0000-0000-0000733F0000}"/>
    <cellStyle name="20 % - Markeringsfarve6 2 3 7 3 2 3" xfId="47499" xr:uid="{00000000-0005-0000-0000-0000743F0000}"/>
    <cellStyle name="20 % - Markeringsfarve6 2 3 7 3 3" xfId="25538" xr:uid="{00000000-0005-0000-0000-0000753F0000}"/>
    <cellStyle name="20 % - Markeringsfarve6 2 3 7 3 4" xfId="40502" xr:uid="{00000000-0005-0000-0000-0000763F0000}"/>
    <cellStyle name="20 % - Markeringsfarve6 2 3 7 4" xfId="13665" xr:uid="{00000000-0005-0000-0000-0000773F0000}"/>
    <cellStyle name="20 % - Markeringsfarve6 2 3 7 4 2" xfId="29944" xr:uid="{00000000-0005-0000-0000-0000783F0000}"/>
    <cellStyle name="20 % - Markeringsfarve6 2 3 7 4 3" xfId="44905" xr:uid="{00000000-0005-0000-0000-0000793F0000}"/>
    <cellStyle name="20 % - Markeringsfarve6 2 3 7 5" xfId="22942" xr:uid="{00000000-0005-0000-0000-00007A3F0000}"/>
    <cellStyle name="20 % - Markeringsfarve6 2 3 7 6" xfId="37908" xr:uid="{00000000-0005-0000-0000-00007B3F0000}"/>
    <cellStyle name="20 % - Markeringsfarve6 2 3 8" xfId="5182" xr:uid="{00000000-0005-0000-0000-00007C3F0000}"/>
    <cellStyle name="20 % - Markeringsfarve6 2 3 8 2" xfId="9037" xr:uid="{00000000-0005-0000-0000-00007D3F0000}"/>
    <cellStyle name="20 % - Markeringsfarve6 2 3 8 2 2" xfId="16901" xr:uid="{00000000-0005-0000-0000-00007E3F0000}"/>
    <cellStyle name="20 % - Markeringsfarve6 2 3 8 2 2 2" xfId="33177" xr:uid="{00000000-0005-0000-0000-00007F3F0000}"/>
    <cellStyle name="20 % - Markeringsfarve6 2 3 8 2 2 3" xfId="48136" xr:uid="{00000000-0005-0000-0000-0000803F0000}"/>
    <cellStyle name="20 % - Markeringsfarve6 2 3 8 2 3" xfId="26175" xr:uid="{00000000-0005-0000-0000-0000813F0000}"/>
    <cellStyle name="20 % - Markeringsfarve6 2 3 8 2 4" xfId="41139" xr:uid="{00000000-0005-0000-0000-0000823F0000}"/>
    <cellStyle name="20 % - Markeringsfarve6 2 3 8 3" xfId="13667" xr:uid="{00000000-0005-0000-0000-0000833F0000}"/>
    <cellStyle name="20 % - Markeringsfarve6 2 3 8 3 2" xfId="29946" xr:uid="{00000000-0005-0000-0000-0000843F0000}"/>
    <cellStyle name="20 % - Markeringsfarve6 2 3 8 3 3" xfId="44907" xr:uid="{00000000-0005-0000-0000-0000853F0000}"/>
    <cellStyle name="20 % - Markeringsfarve6 2 3 8 4" xfId="22944" xr:uid="{00000000-0005-0000-0000-0000863F0000}"/>
    <cellStyle name="20 % - Markeringsfarve6 2 3 8 5" xfId="37910" xr:uid="{00000000-0005-0000-0000-0000873F0000}"/>
    <cellStyle name="20 % - Markeringsfarve6 2 3 9" xfId="5183" xr:uid="{00000000-0005-0000-0000-0000883F0000}"/>
    <cellStyle name="20 % - Markeringsfarve6 2 3 9 2" xfId="10707" xr:uid="{00000000-0005-0000-0000-0000893F0000}"/>
    <cellStyle name="20 % - Markeringsfarve6 2 3 9 2 2" xfId="18551" xr:uid="{00000000-0005-0000-0000-00008A3F0000}"/>
    <cellStyle name="20 % - Markeringsfarve6 2 3 9 2 2 2" xfId="34827" xr:uid="{00000000-0005-0000-0000-00008B3F0000}"/>
    <cellStyle name="20 % - Markeringsfarve6 2 3 9 2 2 3" xfId="49786" xr:uid="{00000000-0005-0000-0000-00008C3F0000}"/>
    <cellStyle name="20 % - Markeringsfarve6 2 3 9 2 3" xfId="27825" xr:uid="{00000000-0005-0000-0000-00008D3F0000}"/>
    <cellStyle name="20 % - Markeringsfarve6 2 3 9 2 4" xfId="42789" xr:uid="{00000000-0005-0000-0000-00008E3F0000}"/>
    <cellStyle name="20 % - Markeringsfarve6 2 3 9 3" xfId="13668" xr:uid="{00000000-0005-0000-0000-00008F3F0000}"/>
    <cellStyle name="20 % - Markeringsfarve6 2 3 9 3 2" xfId="29947" xr:uid="{00000000-0005-0000-0000-0000903F0000}"/>
    <cellStyle name="20 % - Markeringsfarve6 2 3 9 3 3" xfId="44908" xr:uid="{00000000-0005-0000-0000-0000913F0000}"/>
    <cellStyle name="20 % - Markeringsfarve6 2 3 9 4" xfId="22945" xr:uid="{00000000-0005-0000-0000-0000923F0000}"/>
    <cellStyle name="20 % - Markeringsfarve6 2 3 9 5" xfId="37911" xr:uid="{00000000-0005-0000-0000-0000933F0000}"/>
    <cellStyle name="20 % - Markeringsfarve6 2 4" xfId="5184" xr:uid="{00000000-0005-0000-0000-0000943F0000}"/>
    <cellStyle name="20 % - Markeringsfarve6 2 4 2" xfId="5185" xr:uid="{00000000-0005-0000-0000-0000953F0000}"/>
    <cellStyle name="20 % - Markeringsfarve6 2 4 2 2" xfId="5186" xr:uid="{00000000-0005-0000-0000-0000963F0000}"/>
    <cellStyle name="20 % - Markeringsfarve6 2 4 2 2 2" xfId="9849" xr:uid="{00000000-0005-0000-0000-0000973F0000}"/>
    <cellStyle name="20 % - Markeringsfarve6 2 4 2 2 2 2" xfId="17704" xr:uid="{00000000-0005-0000-0000-0000983F0000}"/>
    <cellStyle name="20 % - Markeringsfarve6 2 4 2 2 2 2 2" xfId="33980" xr:uid="{00000000-0005-0000-0000-0000993F0000}"/>
    <cellStyle name="20 % - Markeringsfarve6 2 4 2 2 2 2 3" xfId="48939" xr:uid="{00000000-0005-0000-0000-00009A3F0000}"/>
    <cellStyle name="20 % - Markeringsfarve6 2 4 2 2 2 3" xfId="26978" xr:uid="{00000000-0005-0000-0000-00009B3F0000}"/>
    <cellStyle name="20 % - Markeringsfarve6 2 4 2 2 2 4" xfId="41942" xr:uid="{00000000-0005-0000-0000-00009C3F0000}"/>
    <cellStyle name="20 % - Markeringsfarve6 2 4 2 2 3" xfId="13671" xr:uid="{00000000-0005-0000-0000-00009D3F0000}"/>
    <cellStyle name="20 % - Markeringsfarve6 2 4 2 2 3 2" xfId="29950" xr:uid="{00000000-0005-0000-0000-00009E3F0000}"/>
    <cellStyle name="20 % - Markeringsfarve6 2 4 2 2 3 3" xfId="44911" xr:uid="{00000000-0005-0000-0000-00009F3F0000}"/>
    <cellStyle name="20 % - Markeringsfarve6 2 4 2 2 4" xfId="22948" xr:uid="{00000000-0005-0000-0000-0000A03F0000}"/>
    <cellStyle name="20 % - Markeringsfarve6 2 4 2 2 5" xfId="37914" xr:uid="{00000000-0005-0000-0000-0000A13F0000}"/>
    <cellStyle name="20 % - Markeringsfarve6 2 4 2 3" xfId="8427" xr:uid="{00000000-0005-0000-0000-0000A23F0000}"/>
    <cellStyle name="20 % - Markeringsfarve6 2 4 2 3 2" xfId="16297" xr:uid="{00000000-0005-0000-0000-0000A33F0000}"/>
    <cellStyle name="20 % - Markeringsfarve6 2 4 2 3 2 2" xfId="32573" xr:uid="{00000000-0005-0000-0000-0000A43F0000}"/>
    <cellStyle name="20 % - Markeringsfarve6 2 4 2 3 2 3" xfId="47532" xr:uid="{00000000-0005-0000-0000-0000A53F0000}"/>
    <cellStyle name="20 % - Markeringsfarve6 2 4 2 3 3" xfId="25571" xr:uid="{00000000-0005-0000-0000-0000A63F0000}"/>
    <cellStyle name="20 % - Markeringsfarve6 2 4 2 3 4" xfId="40535" xr:uid="{00000000-0005-0000-0000-0000A73F0000}"/>
    <cellStyle name="20 % - Markeringsfarve6 2 4 2 4" xfId="13670" xr:uid="{00000000-0005-0000-0000-0000A83F0000}"/>
    <cellStyle name="20 % - Markeringsfarve6 2 4 2 4 2" xfId="29949" xr:uid="{00000000-0005-0000-0000-0000A93F0000}"/>
    <cellStyle name="20 % - Markeringsfarve6 2 4 2 4 3" xfId="44910" xr:uid="{00000000-0005-0000-0000-0000AA3F0000}"/>
    <cellStyle name="20 % - Markeringsfarve6 2 4 2 5" xfId="22947" xr:uid="{00000000-0005-0000-0000-0000AB3F0000}"/>
    <cellStyle name="20 % - Markeringsfarve6 2 4 2 6" xfId="37913" xr:uid="{00000000-0005-0000-0000-0000AC3F0000}"/>
    <cellStyle name="20 % - Markeringsfarve6 2 4 3" xfId="5187" xr:uid="{00000000-0005-0000-0000-0000AD3F0000}"/>
    <cellStyle name="20 % - Markeringsfarve6 2 4 3 2" xfId="9080" xr:uid="{00000000-0005-0000-0000-0000AE3F0000}"/>
    <cellStyle name="20 % - Markeringsfarve6 2 4 3 2 2" xfId="16944" xr:uid="{00000000-0005-0000-0000-0000AF3F0000}"/>
    <cellStyle name="20 % - Markeringsfarve6 2 4 3 2 2 2" xfId="33220" xr:uid="{00000000-0005-0000-0000-0000B03F0000}"/>
    <cellStyle name="20 % - Markeringsfarve6 2 4 3 2 2 3" xfId="48179" xr:uid="{00000000-0005-0000-0000-0000B13F0000}"/>
    <cellStyle name="20 % - Markeringsfarve6 2 4 3 2 3" xfId="26218" xr:uid="{00000000-0005-0000-0000-0000B23F0000}"/>
    <cellStyle name="20 % - Markeringsfarve6 2 4 3 2 4" xfId="41182" xr:uid="{00000000-0005-0000-0000-0000B33F0000}"/>
    <cellStyle name="20 % - Markeringsfarve6 2 4 3 3" xfId="13672" xr:uid="{00000000-0005-0000-0000-0000B43F0000}"/>
    <cellStyle name="20 % - Markeringsfarve6 2 4 3 3 2" xfId="29951" xr:uid="{00000000-0005-0000-0000-0000B53F0000}"/>
    <cellStyle name="20 % - Markeringsfarve6 2 4 3 3 3" xfId="44912" xr:uid="{00000000-0005-0000-0000-0000B63F0000}"/>
    <cellStyle name="20 % - Markeringsfarve6 2 4 3 4" xfId="22949" xr:uid="{00000000-0005-0000-0000-0000B73F0000}"/>
    <cellStyle name="20 % - Markeringsfarve6 2 4 3 5" xfId="37915" xr:uid="{00000000-0005-0000-0000-0000B83F0000}"/>
    <cellStyle name="20 % - Markeringsfarve6 2 4 4" xfId="5188" xr:uid="{00000000-0005-0000-0000-0000B93F0000}"/>
    <cellStyle name="20 % - Markeringsfarve6 2 4 4 2" xfId="10503" xr:uid="{00000000-0005-0000-0000-0000BA3F0000}"/>
    <cellStyle name="20 % - Markeringsfarve6 2 4 4 2 2" xfId="18352" xr:uid="{00000000-0005-0000-0000-0000BB3F0000}"/>
    <cellStyle name="20 % - Markeringsfarve6 2 4 4 2 2 2" xfId="34628" xr:uid="{00000000-0005-0000-0000-0000BC3F0000}"/>
    <cellStyle name="20 % - Markeringsfarve6 2 4 4 2 2 3" xfId="49587" xr:uid="{00000000-0005-0000-0000-0000BD3F0000}"/>
    <cellStyle name="20 % - Markeringsfarve6 2 4 4 2 3" xfId="27626" xr:uid="{00000000-0005-0000-0000-0000BE3F0000}"/>
    <cellStyle name="20 % - Markeringsfarve6 2 4 4 2 4" xfId="42590" xr:uid="{00000000-0005-0000-0000-0000BF3F0000}"/>
    <cellStyle name="20 % - Markeringsfarve6 2 4 4 3" xfId="13673" xr:uid="{00000000-0005-0000-0000-0000C03F0000}"/>
    <cellStyle name="20 % - Markeringsfarve6 2 4 4 3 2" xfId="29952" xr:uid="{00000000-0005-0000-0000-0000C13F0000}"/>
    <cellStyle name="20 % - Markeringsfarve6 2 4 4 3 3" xfId="44913" xr:uid="{00000000-0005-0000-0000-0000C23F0000}"/>
    <cellStyle name="20 % - Markeringsfarve6 2 4 4 4" xfId="22950" xr:uid="{00000000-0005-0000-0000-0000C33F0000}"/>
    <cellStyle name="20 % - Markeringsfarve6 2 4 4 5" xfId="37916" xr:uid="{00000000-0005-0000-0000-0000C43F0000}"/>
    <cellStyle name="20 % - Markeringsfarve6 2 4 5" xfId="7918" xr:uid="{00000000-0005-0000-0000-0000C53F0000}"/>
    <cellStyle name="20 % - Markeringsfarve6 2 4 5 2" xfId="15783" xr:uid="{00000000-0005-0000-0000-0000C63F0000}"/>
    <cellStyle name="20 % - Markeringsfarve6 2 4 5 2 2" xfId="32059" xr:uid="{00000000-0005-0000-0000-0000C73F0000}"/>
    <cellStyle name="20 % - Markeringsfarve6 2 4 5 2 3" xfId="47018" xr:uid="{00000000-0005-0000-0000-0000C83F0000}"/>
    <cellStyle name="20 % - Markeringsfarve6 2 4 5 3" xfId="25057" xr:uid="{00000000-0005-0000-0000-0000C93F0000}"/>
    <cellStyle name="20 % - Markeringsfarve6 2 4 5 4" xfId="40021" xr:uid="{00000000-0005-0000-0000-0000CA3F0000}"/>
    <cellStyle name="20 % - Markeringsfarve6 2 4 6" xfId="13669" xr:uid="{00000000-0005-0000-0000-0000CB3F0000}"/>
    <cellStyle name="20 % - Markeringsfarve6 2 4 6 2" xfId="29948" xr:uid="{00000000-0005-0000-0000-0000CC3F0000}"/>
    <cellStyle name="20 % - Markeringsfarve6 2 4 6 3" xfId="44909" xr:uid="{00000000-0005-0000-0000-0000CD3F0000}"/>
    <cellStyle name="20 % - Markeringsfarve6 2 4 7" xfId="22946" xr:uid="{00000000-0005-0000-0000-0000CE3F0000}"/>
    <cellStyle name="20 % - Markeringsfarve6 2 4 8" xfId="37912" xr:uid="{00000000-0005-0000-0000-0000CF3F0000}"/>
    <cellStyle name="20 % - Markeringsfarve6 2 5" xfId="5189" xr:uid="{00000000-0005-0000-0000-0000D03F0000}"/>
    <cellStyle name="20 % - Markeringsfarve6 2 5 2" xfId="5190" xr:uid="{00000000-0005-0000-0000-0000D13F0000}"/>
    <cellStyle name="20 % - Markeringsfarve6 2 5 2 2" xfId="5191" xr:uid="{00000000-0005-0000-0000-0000D23F0000}"/>
    <cellStyle name="20 % - Markeringsfarve6 2 5 2 2 2" xfId="9977" xr:uid="{00000000-0005-0000-0000-0000D33F0000}"/>
    <cellStyle name="20 % - Markeringsfarve6 2 5 2 2 2 2" xfId="17832" xr:uid="{00000000-0005-0000-0000-0000D43F0000}"/>
    <cellStyle name="20 % - Markeringsfarve6 2 5 2 2 2 2 2" xfId="34108" xr:uid="{00000000-0005-0000-0000-0000D53F0000}"/>
    <cellStyle name="20 % - Markeringsfarve6 2 5 2 2 2 2 3" xfId="49067" xr:uid="{00000000-0005-0000-0000-0000D63F0000}"/>
    <cellStyle name="20 % - Markeringsfarve6 2 5 2 2 2 3" xfId="27106" xr:uid="{00000000-0005-0000-0000-0000D73F0000}"/>
    <cellStyle name="20 % - Markeringsfarve6 2 5 2 2 2 4" xfId="42070" xr:uid="{00000000-0005-0000-0000-0000D83F0000}"/>
    <cellStyle name="20 % - Markeringsfarve6 2 5 2 2 3" xfId="13676" xr:uid="{00000000-0005-0000-0000-0000D93F0000}"/>
    <cellStyle name="20 % - Markeringsfarve6 2 5 2 2 3 2" xfId="29955" xr:uid="{00000000-0005-0000-0000-0000DA3F0000}"/>
    <cellStyle name="20 % - Markeringsfarve6 2 5 2 2 3 3" xfId="44916" xr:uid="{00000000-0005-0000-0000-0000DB3F0000}"/>
    <cellStyle name="20 % - Markeringsfarve6 2 5 2 2 4" xfId="22953" xr:uid="{00000000-0005-0000-0000-0000DC3F0000}"/>
    <cellStyle name="20 % - Markeringsfarve6 2 5 2 2 5" xfId="37919" xr:uid="{00000000-0005-0000-0000-0000DD3F0000}"/>
    <cellStyle name="20 % - Markeringsfarve6 2 5 2 3" xfId="8533" xr:uid="{00000000-0005-0000-0000-0000DE3F0000}"/>
    <cellStyle name="20 % - Markeringsfarve6 2 5 2 3 2" xfId="16403" xr:uid="{00000000-0005-0000-0000-0000DF3F0000}"/>
    <cellStyle name="20 % - Markeringsfarve6 2 5 2 3 2 2" xfId="32679" xr:uid="{00000000-0005-0000-0000-0000E03F0000}"/>
    <cellStyle name="20 % - Markeringsfarve6 2 5 2 3 2 3" xfId="47638" xr:uid="{00000000-0005-0000-0000-0000E13F0000}"/>
    <cellStyle name="20 % - Markeringsfarve6 2 5 2 3 3" xfId="25677" xr:uid="{00000000-0005-0000-0000-0000E23F0000}"/>
    <cellStyle name="20 % - Markeringsfarve6 2 5 2 3 4" xfId="40641" xr:uid="{00000000-0005-0000-0000-0000E33F0000}"/>
    <cellStyle name="20 % - Markeringsfarve6 2 5 2 4" xfId="13675" xr:uid="{00000000-0005-0000-0000-0000E43F0000}"/>
    <cellStyle name="20 % - Markeringsfarve6 2 5 2 4 2" xfId="29954" xr:uid="{00000000-0005-0000-0000-0000E53F0000}"/>
    <cellStyle name="20 % - Markeringsfarve6 2 5 2 4 3" xfId="44915" xr:uid="{00000000-0005-0000-0000-0000E63F0000}"/>
    <cellStyle name="20 % - Markeringsfarve6 2 5 2 5" xfId="22952" xr:uid="{00000000-0005-0000-0000-0000E73F0000}"/>
    <cellStyle name="20 % - Markeringsfarve6 2 5 2 6" xfId="37918" xr:uid="{00000000-0005-0000-0000-0000E83F0000}"/>
    <cellStyle name="20 % - Markeringsfarve6 2 5 3" xfId="5192" xr:uid="{00000000-0005-0000-0000-0000E93F0000}"/>
    <cellStyle name="20 % - Markeringsfarve6 2 5 3 2" xfId="9208" xr:uid="{00000000-0005-0000-0000-0000EA3F0000}"/>
    <cellStyle name="20 % - Markeringsfarve6 2 5 3 2 2" xfId="17072" xr:uid="{00000000-0005-0000-0000-0000EB3F0000}"/>
    <cellStyle name="20 % - Markeringsfarve6 2 5 3 2 2 2" xfId="33348" xr:uid="{00000000-0005-0000-0000-0000EC3F0000}"/>
    <cellStyle name="20 % - Markeringsfarve6 2 5 3 2 2 3" xfId="48307" xr:uid="{00000000-0005-0000-0000-0000ED3F0000}"/>
    <cellStyle name="20 % - Markeringsfarve6 2 5 3 2 3" xfId="26346" xr:uid="{00000000-0005-0000-0000-0000EE3F0000}"/>
    <cellStyle name="20 % - Markeringsfarve6 2 5 3 2 4" xfId="41310" xr:uid="{00000000-0005-0000-0000-0000EF3F0000}"/>
    <cellStyle name="20 % - Markeringsfarve6 2 5 3 3" xfId="13677" xr:uid="{00000000-0005-0000-0000-0000F03F0000}"/>
    <cellStyle name="20 % - Markeringsfarve6 2 5 3 3 2" xfId="29956" xr:uid="{00000000-0005-0000-0000-0000F13F0000}"/>
    <cellStyle name="20 % - Markeringsfarve6 2 5 3 3 3" xfId="44917" xr:uid="{00000000-0005-0000-0000-0000F23F0000}"/>
    <cellStyle name="20 % - Markeringsfarve6 2 5 3 4" xfId="22954" xr:uid="{00000000-0005-0000-0000-0000F33F0000}"/>
    <cellStyle name="20 % - Markeringsfarve6 2 5 3 5" xfId="37920" xr:uid="{00000000-0005-0000-0000-0000F43F0000}"/>
    <cellStyle name="20 % - Markeringsfarve6 2 5 4" xfId="5193" xr:uid="{00000000-0005-0000-0000-0000F53F0000}"/>
    <cellStyle name="20 % - Markeringsfarve6 2 5 4 2" xfId="10807" xr:uid="{00000000-0005-0000-0000-0000F63F0000}"/>
    <cellStyle name="20 % - Markeringsfarve6 2 5 4 2 2" xfId="18648" xr:uid="{00000000-0005-0000-0000-0000F73F0000}"/>
    <cellStyle name="20 % - Markeringsfarve6 2 5 4 2 2 2" xfId="34924" xr:uid="{00000000-0005-0000-0000-0000F83F0000}"/>
    <cellStyle name="20 % - Markeringsfarve6 2 5 4 2 2 3" xfId="49883" xr:uid="{00000000-0005-0000-0000-0000F93F0000}"/>
    <cellStyle name="20 % - Markeringsfarve6 2 5 4 2 3" xfId="27922" xr:uid="{00000000-0005-0000-0000-0000FA3F0000}"/>
    <cellStyle name="20 % - Markeringsfarve6 2 5 4 2 4" xfId="42886" xr:uid="{00000000-0005-0000-0000-0000FB3F0000}"/>
    <cellStyle name="20 % - Markeringsfarve6 2 5 4 3" xfId="13678" xr:uid="{00000000-0005-0000-0000-0000FC3F0000}"/>
    <cellStyle name="20 % - Markeringsfarve6 2 5 4 3 2" xfId="29957" xr:uid="{00000000-0005-0000-0000-0000FD3F0000}"/>
    <cellStyle name="20 % - Markeringsfarve6 2 5 4 3 3" xfId="44918" xr:uid="{00000000-0005-0000-0000-0000FE3F0000}"/>
    <cellStyle name="20 % - Markeringsfarve6 2 5 4 4" xfId="22955" xr:uid="{00000000-0005-0000-0000-0000FF3F0000}"/>
    <cellStyle name="20 % - Markeringsfarve6 2 5 4 5" xfId="37921" xr:uid="{00000000-0005-0000-0000-000000400000}"/>
    <cellStyle name="20 % - Markeringsfarve6 2 5 5" xfId="7919" xr:uid="{00000000-0005-0000-0000-000001400000}"/>
    <cellStyle name="20 % - Markeringsfarve6 2 5 5 2" xfId="15784" xr:uid="{00000000-0005-0000-0000-000002400000}"/>
    <cellStyle name="20 % - Markeringsfarve6 2 5 5 2 2" xfId="32060" xr:uid="{00000000-0005-0000-0000-000003400000}"/>
    <cellStyle name="20 % - Markeringsfarve6 2 5 5 2 3" xfId="47019" xr:uid="{00000000-0005-0000-0000-000004400000}"/>
    <cellStyle name="20 % - Markeringsfarve6 2 5 5 3" xfId="25058" xr:uid="{00000000-0005-0000-0000-000005400000}"/>
    <cellStyle name="20 % - Markeringsfarve6 2 5 5 4" xfId="40022" xr:uid="{00000000-0005-0000-0000-000006400000}"/>
    <cellStyle name="20 % - Markeringsfarve6 2 5 6" xfId="13674" xr:uid="{00000000-0005-0000-0000-000007400000}"/>
    <cellStyle name="20 % - Markeringsfarve6 2 5 6 2" xfId="29953" xr:uid="{00000000-0005-0000-0000-000008400000}"/>
    <cellStyle name="20 % - Markeringsfarve6 2 5 6 3" xfId="44914" xr:uid="{00000000-0005-0000-0000-000009400000}"/>
    <cellStyle name="20 % - Markeringsfarve6 2 5 7" xfId="22951" xr:uid="{00000000-0005-0000-0000-00000A400000}"/>
    <cellStyle name="20 % - Markeringsfarve6 2 5 8" xfId="37917" xr:uid="{00000000-0005-0000-0000-00000B400000}"/>
    <cellStyle name="20 % - Markeringsfarve6 2 6" xfId="5194" xr:uid="{00000000-0005-0000-0000-00000C400000}"/>
    <cellStyle name="20 % - Markeringsfarve6 2 6 2" xfId="5195" xr:uid="{00000000-0005-0000-0000-00000D400000}"/>
    <cellStyle name="20 % - Markeringsfarve6 2 6 2 2" xfId="5196" xr:uid="{00000000-0005-0000-0000-00000E400000}"/>
    <cellStyle name="20 % - Markeringsfarve6 2 6 2 2 2" xfId="10087" xr:uid="{00000000-0005-0000-0000-00000F400000}"/>
    <cellStyle name="20 % - Markeringsfarve6 2 6 2 2 2 2" xfId="17942" xr:uid="{00000000-0005-0000-0000-000010400000}"/>
    <cellStyle name="20 % - Markeringsfarve6 2 6 2 2 2 2 2" xfId="34218" xr:uid="{00000000-0005-0000-0000-000011400000}"/>
    <cellStyle name="20 % - Markeringsfarve6 2 6 2 2 2 2 3" xfId="49177" xr:uid="{00000000-0005-0000-0000-000012400000}"/>
    <cellStyle name="20 % - Markeringsfarve6 2 6 2 2 2 3" xfId="27216" xr:uid="{00000000-0005-0000-0000-000013400000}"/>
    <cellStyle name="20 % - Markeringsfarve6 2 6 2 2 2 4" xfId="42180" xr:uid="{00000000-0005-0000-0000-000014400000}"/>
    <cellStyle name="20 % - Markeringsfarve6 2 6 2 2 3" xfId="13681" xr:uid="{00000000-0005-0000-0000-000015400000}"/>
    <cellStyle name="20 % - Markeringsfarve6 2 6 2 2 3 2" xfId="29960" xr:uid="{00000000-0005-0000-0000-000016400000}"/>
    <cellStyle name="20 % - Markeringsfarve6 2 6 2 2 3 3" xfId="44921" xr:uid="{00000000-0005-0000-0000-000017400000}"/>
    <cellStyle name="20 % - Markeringsfarve6 2 6 2 2 4" xfId="22958" xr:uid="{00000000-0005-0000-0000-000018400000}"/>
    <cellStyle name="20 % - Markeringsfarve6 2 6 2 2 5" xfId="37924" xr:uid="{00000000-0005-0000-0000-000019400000}"/>
    <cellStyle name="20 % - Markeringsfarve6 2 6 2 3" xfId="8629" xr:uid="{00000000-0005-0000-0000-00001A400000}"/>
    <cellStyle name="20 % - Markeringsfarve6 2 6 2 3 2" xfId="16496" xr:uid="{00000000-0005-0000-0000-00001B400000}"/>
    <cellStyle name="20 % - Markeringsfarve6 2 6 2 3 2 2" xfId="32772" xr:uid="{00000000-0005-0000-0000-00001C400000}"/>
    <cellStyle name="20 % - Markeringsfarve6 2 6 2 3 2 3" xfId="47731" xr:uid="{00000000-0005-0000-0000-00001D400000}"/>
    <cellStyle name="20 % - Markeringsfarve6 2 6 2 3 3" xfId="25770" xr:uid="{00000000-0005-0000-0000-00001E400000}"/>
    <cellStyle name="20 % - Markeringsfarve6 2 6 2 3 4" xfId="40734" xr:uid="{00000000-0005-0000-0000-00001F400000}"/>
    <cellStyle name="20 % - Markeringsfarve6 2 6 2 4" xfId="13680" xr:uid="{00000000-0005-0000-0000-000020400000}"/>
    <cellStyle name="20 % - Markeringsfarve6 2 6 2 4 2" xfId="29959" xr:uid="{00000000-0005-0000-0000-000021400000}"/>
    <cellStyle name="20 % - Markeringsfarve6 2 6 2 4 3" xfId="44920" xr:uid="{00000000-0005-0000-0000-000022400000}"/>
    <cellStyle name="20 % - Markeringsfarve6 2 6 2 5" xfId="22957" xr:uid="{00000000-0005-0000-0000-000023400000}"/>
    <cellStyle name="20 % - Markeringsfarve6 2 6 2 6" xfId="37923" xr:uid="{00000000-0005-0000-0000-000024400000}"/>
    <cellStyle name="20 % - Markeringsfarve6 2 6 3" xfId="5197" xr:uid="{00000000-0005-0000-0000-000025400000}"/>
    <cellStyle name="20 % - Markeringsfarve6 2 6 3 2" xfId="9364" xr:uid="{00000000-0005-0000-0000-000026400000}"/>
    <cellStyle name="20 % - Markeringsfarve6 2 6 3 2 2" xfId="17227" xr:uid="{00000000-0005-0000-0000-000027400000}"/>
    <cellStyle name="20 % - Markeringsfarve6 2 6 3 2 2 2" xfId="33503" xr:uid="{00000000-0005-0000-0000-000028400000}"/>
    <cellStyle name="20 % - Markeringsfarve6 2 6 3 2 2 3" xfId="48462" xr:uid="{00000000-0005-0000-0000-000029400000}"/>
    <cellStyle name="20 % - Markeringsfarve6 2 6 3 2 3" xfId="26501" xr:uid="{00000000-0005-0000-0000-00002A400000}"/>
    <cellStyle name="20 % - Markeringsfarve6 2 6 3 2 4" xfId="41465" xr:uid="{00000000-0005-0000-0000-00002B400000}"/>
    <cellStyle name="20 % - Markeringsfarve6 2 6 3 3" xfId="13682" xr:uid="{00000000-0005-0000-0000-00002C400000}"/>
    <cellStyle name="20 % - Markeringsfarve6 2 6 3 3 2" xfId="29961" xr:uid="{00000000-0005-0000-0000-00002D400000}"/>
    <cellStyle name="20 % - Markeringsfarve6 2 6 3 3 3" xfId="44922" xr:uid="{00000000-0005-0000-0000-00002E400000}"/>
    <cellStyle name="20 % - Markeringsfarve6 2 6 3 4" xfId="22959" xr:uid="{00000000-0005-0000-0000-00002F400000}"/>
    <cellStyle name="20 % - Markeringsfarve6 2 6 3 5" xfId="37925" xr:uid="{00000000-0005-0000-0000-000030400000}"/>
    <cellStyle name="20 % - Markeringsfarve6 2 6 4" xfId="5198" xr:uid="{00000000-0005-0000-0000-000031400000}"/>
    <cellStyle name="20 % - Markeringsfarve6 2 6 4 2" xfId="10458" xr:uid="{00000000-0005-0000-0000-000032400000}"/>
    <cellStyle name="20 % - Markeringsfarve6 2 6 4 2 2" xfId="18309" xr:uid="{00000000-0005-0000-0000-000033400000}"/>
    <cellStyle name="20 % - Markeringsfarve6 2 6 4 2 2 2" xfId="34585" xr:uid="{00000000-0005-0000-0000-000034400000}"/>
    <cellStyle name="20 % - Markeringsfarve6 2 6 4 2 2 3" xfId="49544" xr:uid="{00000000-0005-0000-0000-000035400000}"/>
    <cellStyle name="20 % - Markeringsfarve6 2 6 4 2 3" xfId="27583" xr:uid="{00000000-0005-0000-0000-000036400000}"/>
    <cellStyle name="20 % - Markeringsfarve6 2 6 4 2 4" xfId="42547" xr:uid="{00000000-0005-0000-0000-000037400000}"/>
    <cellStyle name="20 % - Markeringsfarve6 2 6 4 3" xfId="13683" xr:uid="{00000000-0005-0000-0000-000038400000}"/>
    <cellStyle name="20 % - Markeringsfarve6 2 6 4 3 2" xfId="29962" xr:uid="{00000000-0005-0000-0000-000039400000}"/>
    <cellStyle name="20 % - Markeringsfarve6 2 6 4 3 3" xfId="44923" xr:uid="{00000000-0005-0000-0000-00003A400000}"/>
    <cellStyle name="20 % - Markeringsfarve6 2 6 4 4" xfId="22960" xr:uid="{00000000-0005-0000-0000-00003B400000}"/>
    <cellStyle name="20 % - Markeringsfarve6 2 6 4 5" xfId="37926" xr:uid="{00000000-0005-0000-0000-00003C400000}"/>
    <cellStyle name="20 % - Markeringsfarve6 2 6 5" xfId="7920" xr:uid="{00000000-0005-0000-0000-00003D400000}"/>
    <cellStyle name="20 % - Markeringsfarve6 2 6 5 2" xfId="15785" xr:uid="{00000000-0005-0000-0000-00003E400000}"/>
    <cellStyle name="20 % - Markeringsfarve6 2 6 5 2 2" xfId="32061" xr:uid="{00000000-0005-0000-0000-00003F400000}"/>
    <cellStyle name="20 % - Markeringsfarve6 2 6 5 2 3" xfId="47020" xr:uid="{00000000-0005-0000-0000-000040400000}"/>
    <cellStyle name="20 % - Markeringsfarve6 2 6 5 3" xfId="25059" xr:uid="{00000000-0005-0000-0000-000041400000}"/>
    <cellStyle name="20 % - Markeringsfarve6 2 6 5 4" xfId="40023" xr:uid="{00000000-0005-0000-0000-000042400000}"/>
    <cellStyle name="20 % - Markeringsfarve6 2 6 6" xfId="13679" xr:uid="{00000000-0005-0000-0000-000043400000}"/>
    <cellStyle name="20 % - Markeringsfarve6 2 6 6 2" xfId="29958" xr:uid="{00000000-0005-0000-0000-000044400000}"/>
    <cellStyle name="20 % - Markeringsfarve6 2 6 6 3" xfId="44919" xr:uid="{00000000-0005-0000-0000-000045400000}"/>
    <cellStyle name="20 % - Markeringsfarve6 2 6 7" xfId="22956" xr:uid="{00000000-0005-0000-0000-000046400000}"/>
    <cellStyle name="20 % - Markeringsfarve6 2 6 8" xfId="37922" xr:uid="{00000000-0005-0000-0000-000047400000}"/>
    <cellStyle name="20 % - Markeringsfarve6 2 7" xfId="5199" xr:uid="{00000000-0005-0000-0000-000048400000}"/>
    <cellStyle name="20 % - Markeringsfarve6 2 7 2" xfId="5200" xr:uid="{00000000-0005-0000-0000-000049400000}"/>
    <cellStyle name="20 % - Markeringsfarve6 2 7 2 2" xfId="5201" xr:uid="{00000000-0005-0000-0000-00004A400000}"/>
    <cellStyle name="20 % - Markeringsfarve6 2 7 2 2 2" xfId="10204" xr:uid="{00000000-0005-0000-0000-00004B400000}"/>
    <cellStyle name="20 % - Markeringsfarve6 2 7 2 2 2 2" xfId="18059" xr:uid="{00000000-0005-0000-0000-00004C400000}"/>
    <cellStyle name="20 % - Markeringsfarve6 2 7 2 2 2 2 2" xfId="34335" xr:uid="{00000000-0005-0000-0000-00004D400000}"/>
    <cellStyle name="20 % - Markeringsfarve6 2 7 2 2 2 2 3" xfId="49294" xr:uid="{00000000-0005-0000-0000-00004E400000}"/>
    <cellStyle name="20 % - Markeringsfarve6 2 7 2 2 2 3" xfId="27333" xr:uid="{00000000-0005-0000-0000-00004F400000}"/>
    <cellStyle name="20 % - Markeringsfarve6 2 7 2 2 2 4" xfId="42297" xr:uid="{00000000-0005-0000-0000-000050400000}"/>
    <cellStyle name="20 % - Markeringsfarve6 2 7 2 2 3" xfId="13686" xr:uid="{00000000-0005-0000-0000-000051400000}"/>
    <cellStyle name="20 % - Markeringsfarve6 2 7 2 2 3 2" xfId="29965" xr:uid="{00000000-0005-0000-0000-000052400000}"/>
    <cellStyle name="20 % - Markeringsfarve6 2 7 2 2 3 3" xfId="44926" xr:uid="{00000000-0005-0000-0000-000053400000}"/>
    <cellStyle name="20 % - Markeringsfarve6 2 7 2 2 4" xfId="22963" xr:uid="{00000000-0005-0000-0000-000054400000}"/>
    <cellStyle name="20 % - Markeringsfarve6 2 7 2 2 5" xfId="37929" xr:uid="{00000000-0005-0000-0000-000055400000}"/>
    <cellStyle name="20 % - Markeringsfarve6 2 7 2 3" xfId="8728" xr:uid="{00000000-0005-0000-0000-000056400000}"/>
    <cellStyle name="20 % - Markeringsfarve6 2 7 2 3 2" xfId="16595" xr:uid="{00000000-0005-0000-0000-000057400000}"/>
    <cellStyle name="20 % - Markeringsfarve6 2 7 2 3 2 2" xfId="32871" xr:uid="{00000000-0005-0000-0000-000058400000}"/>
    <cellStyle name="20 % - Markeringsfarve6 2 7 2 3 2 3" xfId="47830" xr:uid="{00000000-0005-0000-0000-000059400000}"/>
    <cellStyle name="20 % - Markeringsfarve6 2 7 2 3 3" xfId="25869" xr:uid="{00000000-0005-0000-0000-00005A400000}"/>
    <cellStyle name="20 % - Markeringsfarve6 2 7 2 3 4" xfId="40833" xr:uid="{00000000-0005-0000-0000-00005B400000}"/>
    <cellStyle name="20 % - Markeringsfarve6 2 7 2 4" xfId="13685" xr:uid="{00000000-0005-0000-0000-00005C400000}"/>
    <cellStyle name="20 % - Markeringsfarve6 2 7 2 4 2" xfId="29964" xr:uid="{00000000-0005-0000-0000-00005D400000}"/>
    <cellStyle name="20 % - Markeringsfarve6 2 7 2 4 3" xfId="44925" xr:uid="{00000000-0005-0000-0000-00005E400000}"/>
    <cellStyle name="20 % - Markeringsfarve6 2 7 2 5" xfId="22962" xr:uid="{00000000-0005-0000-0000-00005F400000}"/>
    <cellStyle name="20 % - Markeringsfarve6 2 7 2 6" xfId="37928" xr:uid="{00000000-0005-0000-0000-000060400000}"/>
    <cellStyle name="20 % - Markeringsfarve6 2 7 3" xfId="5202" xr:uid="{00000000-0005-0000-0000-000061400000}"/>
    <cellStyle name="20 % - Markeringsfarve6 2 7 3 2" xfId="9481" xr:uid="{00000000-0005-0000-0000-000062400000}"/>
    <cellStyle name="20 % - Markeringsfarve6 2 7 3 2 2" xfId="17344" xr:uid="{00000000-0005-0000-0000-000063400000}"/>
    <cellStyle name="20 % - Markeringsfarve6 2 7 3 2 2 2" xfId="33620" xr:uid="{00000000-0005-0000-0000-000064400000}"/>
    <cellStyle name="20 % - Markeringsfarve6 2 7 3 2 2 3" xfId="48579" xr:uid="{00000000-0005-0000-0000-000065400000}"/>
    <cellStyle name="20 % - Markeringsfarve6 2 7 3 2 3" xfId="26618" xr:uid="{00000000-0005-0000-0000-000066400000}"/>
    <cellStyle name="20 % - Markeringsfarve6 2 7 3 2 4" xfId="41582" xr:uid="{00000000-0005-0000-0000-000067400000}"/>
    <cellStyle name="20 % - Markeringsfarve6 2 7 3 3" xfId="13687" xr:uid="{00000000-0005-0000-0000-000068400000}"/>
    <cellStyle name="20 % - Markeringsfarve6 2 7 3 3 2" xfId="29966" xr:uid="{00000000-0005-0000-0000-000069400000}"/>
    <cellStyle name="20 % - Markeringsfarve6 2 7 3 3 3" xfId="44927" xr:uid="{00000000-0005-0000-0000-00006A400000}"/>
    <cellStyle name="20 % - Markeringsfarve6 2 7 3 4" xfId="22964" xr:uid="{00000000-0005-0000-0000-00006B400000}"/>
    <cellStyle name="20 % - Markeringsfarve6 2 7 3 5" xfId="37930" xr:uid="{00000000-0005-0000-0000-00006C400000}"/>
    <cellStyle name="20 % - Markeringsfarve6 2 7 4" xfId="5203" xr:uid="{00000000-0005-0000-0000-00006D400000}"/>
    <cellStyle name="20 % - Markeringsfarve6 2 7 4 2" xfId="10411" xr:uid="{00000000-0005-0000-0000-00006E400000}"/>
    <cellStyle name="20 % - Markeringsfarve6 2 7 4 2 2" xfId="18263" xr:uid="{00000000-0005-0000-0000-00006F400000}"/>
    <cellStyle name="20 % - Markeringsfarve6 2 7 4 2 2 2" xfId="34539" xr:uid="{00000000-0005-0000-0000-000070400000}"/>
    <cellStyle name="20 % - Markeringsfarve6 2 7 4 2 2 3" xfId="49498" xr:uid="{00000000-0005-0000-0000-000071400000}"/>
    <cellStyle name="20 % - Markeringsfarve6 2 7 4 2 3" xfId="27537" xr:uid="{00000000-0005-0000-0000-000072400000}"/>
    <cellStyle name="20 % - Markeringsfarve6 2 7 4 2 4" xfId="42501" xr:uid="{00000000-0005-0000-0000-000073400000}"/>
    <cellStyle name="20 % - Markeringsfarve6 2 7 4 3" xfId="13688" xr:uid="{00000000-0005-0000-0000-000074400000}"/>
    <cellStyle name="20 % - Markeringsfarve6 2 7 4 3 2" xfId="29967" xr:uid="{00000000-0005-0000-0000-000075400000}"/>
    <cellStyle name="20 % - Markeringsfarve6 2 7 4 3 3" xfId="44928" xr:uid="{00000000-0005-0000-0000-000076400000}"/>
    <cellStyle name="20 % - Markeringsfarve6 2 7 4 4" xfId="22965" xr:uid="{00000000-0005-0000-0000-000077400000}"/>
    <cellStyle name="20 % - Markeringsfarve6 2 7 4 5" xfId="37931" xr:uid="{00000000-0005-0000-0000-000078400000}"/>
    <cellStyle name="20 % - Markeringsfarve6 2 7 5" xfId="7921" xr:uid="{00000000-0005-0000-0000-000079400000}"/>
    <cellStyle name="20 % - Markeringsfarve6 2 7 5 2" xfId="15786" xr:uid="{00000000-0005-0000-0000-00007A400000}"/>
    <cellStyle name="20 % - Markeringsfarve6 2 7 5 2 2" xfId="32062" xr:uid="{00000000-0005-0000-0000-00007B400000}"/>
    <cellStyle name="20 % - Markeringsfarve6 2 7 5 2 3" xfId="47021" xr:uid="{00000000-0005-0000-0000-00007C400000}"/>
    <cellStyle name="20 % - Markeringsfarve6 2 7 5 3" xfId="25060" xr:uid="{00000000-0005-0000-0000-00007D400000}"/>
    <cellStyle name="20 % - Markeringsfarve6 2 7 5 4" xfId="40024" xr:uid="{00000000-0005-0000-0000-00007E400000}"/>
    <cellStyle name="20 % - Markeringsfarve6 2 7 6" xfId="13684" xr:uid="{00000000-0005-0000-0000-00007F400000}"/>
    <cellStyle name="20 % - Markeringsfarve6 2 7 6 2" xfId="29963" xr:uid="{00000000-0005-0000-0000-000080400000}"/>
    <cellStyle name="20 % - Markeringsfarve6 2 7 6 3" xfId="44924" xr:uid="{00000000-0005-0000-0000-000081400000}"/>
    <cellStyle name="20 % - Markeringsfarve6 2 7 7" xfId="22961" xr:uid="{00000000-0005-0000-0000-000082400000}"/>
    <cellStyle name="20 % - Markeringsfarve6 2 7 8" xfId="37927" xr:uid="{00000000-0005-0000-0000-000083400000}"/>
    <cellStyle name="20 % - Markeringsfarve6 2 8" xfId="5204" xr:uid="{00000000-0005-0000-0000-000084400000}"/>
    <cellStyle name="20 % - Markeringsfarve6 2 8 2" xfId="5205" xr:uid="{00000000-0005-0000-0000-000085400000}"/>
    <cellStyle name="20 % - Markeringsfarve6 2 8 2 2" xfId="5206" xr:uid="{00000000-0005-0000-0000-000086400000}"/>
    <cellStyle name="20 % - Markeringsfarve6 2 8 2 2 2" xfId="10331" xr:uid="{00000000-0005-0000-0000-000087400000}"/>
    <cellStyle name="20 % - Markeringsfarve6 2 8 2 2 2 2" xfId="18186" xr:uid="{00000000-0005-0000-0000-000088400000}"/>
    <cellStyle name="20 % - Markeringsfarve6 2 8 2 2 2 2 2" xfId="34462" xr:uid="{00000000-0005-0000-0000-000089400000}"/>
    <cellStyle name="20 % - Markeringsfarve6 2 8 2 2 2 2 3" xfId="49421" xr:uid="{00000000-0005-0000-0000-00008A400000}"/>
    <cellStyle name="20 % - Markeringsfarve6 2 8 2 2 2 3" xfId="27460" xr:uid="{00000000-0005-0000-0000-00008B400000}"/>
    <cellStyle name="20 % - Markeringsfarve6 2 8 2 2 2 4" xfId="42424" xr:uid="{00000000-0005-0000-0000-00008C400000}"/>
    <cellStyle name="20 % - Markeringsfarve6 2 8 2 2 3" xfId="13691" xr:uid="{00000000-0005-0000-0000-00008D400000}"/>
    <cellStyle name="20 % - Markeringsfarve6 2 8 2 2 3 2" xfId="29970" xr:uid="{00000000-0005-0000-0000-00008E400000}"/>
    <cellStyle name="20 % - Markeringsfarve6 2 8 2 2 3 3" xfId="44931" xr:uid="{00000000-0005-0000-0000-00008F400000}"/>
    <cellStyle name="20 % - Markeringsfarve6 2 8 2 2 4" xfId="22968" xr:uid="{00000000-0005-0000-0000-000090400000}"/>
    <cellStyle name="20 % - Markeringsfarve6 2 8 2 2 5" xfId="37934" xr:uid="{00000000-0005-0000-0000-000091400000}"/>
    <cellStyle name="20 % - Markeringsfarve6 2 8 2 3" xfId="8834" xr:uid="{00000000-0005-0000-0000-000092400000}"/>
    <cellStyle name="20 % - Markeringsfarve6 2 8 2 3 2" xfId="16701" xr:uid="{00000000-0005-0000-0000-000093400000}"/>
    <cellStyle name="20 % - Markeringsfarve6 2 8 2 3 2 2" xfId="32977" xr:uid="{00000000-0005-0000-0000-000094400000}"/>
    <cellStyle name="20 % - Markeringsfarve6 2 8 2 3 2 3" xfId="47936" xr:uid="{00000000-0005-0000-0000-000095400000}"/>
    <cellStyle name="20 % - Markeringsfarve6 2 8 2 3 3" xfId="25975" xr:uid="{00000000-0005-0000-0000-000096400000}"/>
    <cellStyle name="20 % - Markeringsfarve6 2 8 2 3 4" xfId="40939" xr:uid="{00000000-0005-0000-0000-000097400000}"/>
    <cellStyle name="20 % - Markeringsfarve6 2 8 2 4" xfId="13690" xr:uid="{00000000-0005-0000-0000-000098400000}"/>
    <cellStyle name="20 % - Markeringsfarve6 2 8 2 4 2" xfId="29969" xr:uid="{00000000-0005-0000-0000-000099400000}"/>
    <cellStyle name="20 % - Markeringsfarve6 2 8 2 4 3" xfId="44930" xr:uid="{00000000-0005-0000-0000-00009A400000}"/>
    <cellStyle name="20 % - Markeringsfarve6 2 8 2 5" xfId="22967" xr:uid="{00000000-0005-0000-0000-00009B400000}"/>
    <cellStyle name="20 % - Markeringsfarve6 2 8 2 6" xfId="37933" xr:uid="{00000000-0005-0000-0000-00009C400000}"/>
    <cellStyle name="20 % - Markeringsfarve6 2 8 3" xfId="5207" xr:uid="{00000000-0005-0000-0000-00009D400000}"/>
    <cellStyle name="20 % - Markeringsfarve6 2 8 3 2" xfId="9609" xr:uid="{00000000-0005-0000-0000-00009E400000}"/>
    <cellStyle name="20 % - Markeringsfarve6 2 8 3 2 2" xfId="17472" xr:uid="{00000000-0005-0000-0000-00009F400000}"/>
    <cellStyle name="20 % - Markeringsfarve6 2 8 3 2 2 2" xfId="33748" xr:uid="{00000000-0005-0000-0000-0000A0400000}"/>
    <cellStyle name="20 % - Markeringsfarve6 2 8 3 2 2 3" xfId="48707" xr:uid="{00000000-0005-0000-0000-0000A1400000}"/>
    <cellStyle name="20 % - Markeringsfarve6 2 8 3 2 3" xfId="26746" xr:uid="{00000000-0005-0000-0000-0000A2400000}"/>
    <cellStyle name="20 % - Markeringsfarve6 2 8 3 2 4" xfId="41710" xr:uid="{00000000-0005-0000-0000-0000A3400000}"/>
    <cellStyle name="20 % - Markeringsfarve6 2 8 3 3" xfId="13692" xr:uid="{00000000-0005-0000-0000-0000A4400000}"/>
    <cellStyle name="20 % - Markeringsfarve6 2 8 3 3 2" xfId="29971" xr:uid="{00000000-0005-0000-0000-0000A5400000}"/>
    <cellStyle name="20 % - Markeringsfarve6 2 8 3 3 3" xfId="44932" xr:uid="{00000000-0005-0000-0000-0000A6400000}"/>
    <cellStyle name="20 % - Markeringsfarve6 2 8 3 4" xfId="22969" xr:uid="{00000000-0005-0000-0000-0000A7400000}"/>
    <cellStyle name="20 % - Markeringsfarve6 2 8 3 5" xfId="37935" xr:uid="{00000000-0005-0000-0000-0000A8400000}"/>
    <cellStyle name="20 % - Markeringsfarve6 2 8 4" xfId="5208" xr:uid="{00000000-0005-0000-0000-0000A9400000}"/>
    <cellStyle name="20 % - Markeringsfarve6 2 8 4 2" xfId="10752" xr:uid="{00000000-0005-0000-0000-0000AA400000}"/>
    <cellStyle name="20 % - Markeringsfarve6 2 8 4 2 2" xfId="18595" xr:uid="{00000000-0005-0000-0000-0000AB400000}"/>
    <cellStyle name="20 % - Markeringsfarve6 2 8 4 2 2 2" xfId="34871" xr:uid="{00000000-0005-0000-0000-0000AC400000}"/>
    <cellStyle name="20 % - Markeringsfarve6 2 8 4 2 2 3" xfId="49830" xr:uid="{00000000-0005-0000-0000-0000AD400000}"/>
    <cellStyle name="20 % - Markeringsfarve6 2 8 4 2 3" xfId="27869" xr:uid="{00000000-0005-0000-0000-0000AE400000}"/>
    <cellStyle name="20 % - Markeringsfarve6 2 8 4 2 4" xfId="42833" xr:uid="{00000000-0005-0000-0000-0000AF400000}"/>
    <cellStyle name="20 % - Markeringsfarve6 2 8 4 3" xfId="13693" xr:uid="{00000000-0005-0000-0000-0000B0400000}"/>
    <cellStyle name="20 % - Markeringsfarve6 2 8 4 3 2" xfId="29972" xr:uid="{00000000-0005-0000-0000-0000B1400000}"/>
    <cellStyle name="20 % - Markeringsfarve6 2 8 4 3 3" xfId="44933" xr:uid="{00000000-0005-0000-0000-0000B2400000}"/>
    <cellStyle name="20 % - Markeringsfarve6 2 8 4 4" xfId="22970" xr:uid="{00000000-0005-0000-0000-0000B3400000}"/>
    <cellStyle name="20 % - Markeringsfarve6 2 8 4 5" xfId="37936" xr:uid="{00000000-0005-0000-0000-0000B4400000}"/>
    <cellStyle name="20 % - Markeringsfarve6 2 8 5" xfId="7922" xr:uid="{00000000-0005-0000-0000-0000B5400000}"/>
    <cellStyle name="20 % - Markeringsfarve6 2 8 5 2" xfId="15787" xr:uid="{00000000-0005-0000-0000-0000B6400000}"/>
    <cellStyle name="20 % - Markeringsfarve6 2 8 5 2 2" xfId="32063" xr:uid="{00000000-0005-0000-0000-0000B7400000}"/>
    <cellStyle name="20 % - Markeringsfarve6 2 8 5 2 3" xfId="47022" xr:uid="{00000000-0005-0000-0000-0000B8400000}"/>
    <cellStyle name="20 % - Markeringsfarve6 2 8 5 3" xfId="25061" xr:uid="{00000000-0005-0000-0000-0000B9400000}"/>
    <cellStyle name="20 % - Markeringsfarve6 2 8 5 4" xfId="40025" xr:uid="{00000000-0005-0000-0000-0000BA400000}"/>
    <cellStyle name="20 % - Markeringsfarve6 2 8 6" xfId="13689" xr:uid="{00000000-0005-0000-0000-0000BB400000}"/>
    <cellStyle name="20 % - Markeringsfarve6 2 8 6 2" xfId="29968" xr:uid="{00000000-0005-0000-0000-0000BC400000}"/>
    <cellStyle name="20 % - Markeringsfarve6 2 8 6 3" xfId="44929" xr:uid="{00000000-0005-0000-0000-0000BD400000}"/>
    <cellStyle name="20 % - Markeringsfarve6 2 8 7" xfId="22966" xr:uid="{00000000-0005-0000-0000-0000BE400000}"/>
    <cellStyle name="20 % - Markeringsfarve6 2 8 8" xfId="37932" xr:uid="{00000000-0005-0000-0000-0000BF400000}"/>
    <cellStyle name="20 % - Markeringsfarve6 2 9" xfId="5209" xr:uid="{00000000-0005-0000-0000-0000C0400000}"/>
    <cellStyle name="20 % - Markeringsfarve6 2 9 2" xfId="5210" xr:uid="{00000000-0005-0000-0000-0000C1400000}"/>
    <cellStyle name="20 % - Markeringsfarve6 2 9 2 2" xfId="9731" xr:uid="{00000000-0005-0000-0000-0000C2400000}"/>
    <cellStyle name="20 % - Markeringsfarve6 2 9 2 2 2" xfId="17585" xr:uid="{00000000-0005-0000-0000-0000C3400000}"/>
    <cellStyle name="20 % - Markeringsfarve6 2 9 2 2 2 2" xfId="33861" xr:uid="{00000000-0005-0000-0000-0000C4400000}"/>
    <cellStyle name="20 % - Markeringsfarve6 2 9 2 2 2 3" xfId="48820" xr:uid="{00000000-0005-0000-0000-0000C5400000}"/>
    <cellStyle name="20 % - Markeringsfarve6 2 9 2 2 3" xfId="26859" xr:uid="{00000000-0005-0000-0000-0000C6400000}"/>
    <cellStyle name="20 % - Markeringsfarve6 2 9 2 2 4" xfId="41823" xr:uid="{00000000-0005-0000-0000-0000C7400000}"/>
    <cellStyle name="20 % - Markeringsfarve6 2 9 2 3" xfId="13695" xr:uid="{00000000-0005-0000-0000-0000C8400000}"/>
    <cellStyle name="20 % - Markeringsfarve6 2 9 2 3 2" xfId="29974" xr:uid="{00000000-0005-0000-0000-0000C9400000}"/>
    <cellStyle name="20 % - Markeringsfarve6 2 9 2 3 3" xfId="44935" xr:uid="{00000000-0005-0000-0000-0000CA400000}"/>
    <cellStyle name="20 % - Markeringsfarve6 2 9 2 4" xfId="22972" xr:uid="{00000000-0005-0000-0000-0000CB400000}"/>
    <cellStyle name="20 % - Markeringsfarve6 2 9 2 5" xfId="37938" xr:uid="{00000000-0005-0000-0000-0000CC400000}"/>
    <cellStyle name="20 % - Markeringsfarve6 2 9 3" xfId="8328" xr:uid="{00000000-0005-0000-0000-0000CD400000}"/>
    <cellStyle name="20 % - Markeringsfarve6 2 9 3 2" xfId="16198" xr:uid="{00000000-0005-0000-0000-0000CE400000}"/>
    <cellStyle name="20 % - Markeringsfarve6 2 9 3 2 2" xfId="32474" xr:uid="{00000000-0005-0000-0000-0000CF400000}"/>
    <cellStyle name="20 % - Markeringsfarve6 2 9 3 2 3" xfId="47433" xr:uid="{00000000-0005-0000-0000-0000D0400000}"/>
    <cellStyle name="20 % - Markeringsfarve6 2 9 3 3" xfId="25472" xr:uid="{00000000-0005-0000-0000-0000D1400000}"/>
    <cellStyle name="20 % - Markeringsfarve6 2 9 3 4" xfId="40436" xr:uid="{00000000-0005-0000-0000-0000D2400000}"/>
    <cellStyle name="20 % - Markeringsfarve6 2 9 4" xfId="13694" xr:uid="{00000000-0005-0000-0000-0000D3400000}"/>
    <cellStyle name="20 % - Markeringsfarve6 2 9 4 2" xfId="29973" xr:uid="{00000000-0005-0000-0000-0000D4400000}"/>
    <cellStyle name="20 % - Markeringsfarve6 2 9 4 3" xfId="44934" xr:uid="{00000000-0005-0000-0000-0000D5400000}"/>
    <cellStyle name="20 % - Markeringsfarve6 2 9 5" xfId="22971" xr:uid="{00000000-0005-0000-0000-0000D6400000}"/>
    <cellStyle name="20 % - Markeringsfarve6 2 9 6" xfId="37937" xr:uid="{00000000-0005-0000-0000-0000D7400000}"/>
    <cellStyle name="20 % - Markeringsfarve6 3" xfId="5211" xr:uid="{00000000-0005-0000-0000-0000D8400000}"/>
    <cellStyle name="20 % - Markeringsfarve6 3 10" xfId="5212" xr:uid="{00000000-0005-0000-0000-0000D9400000}"/>
    <cellStyle name="20 % - Markeringsfarve6 3 10 2" xfId="8944" xr:uid="{00000000-0005-0000-0000-0000DA400000}"/>
    <cellStyle name="20 % - Markeringsfarve6 3 10 2 2" xfId="16809" xr:uid="{00000000-0005-0000-0000-0000DB400000}"/>
    <cellStyle name="20 % - Markeringsfarve6 3 10 2 2 2" xfId="33085" xr:uid="{00000000-0005-0000-0000-0000DC400000}"/>
    <cellStyle name="20 % - Markeringsfarve6 3 10 2 2 3" xfId="48044" xr:uid="{00000000-0005-0000-0000-0000DD400000}"/>
    <cellStyle name="20 % - Markeringsfarve6 3 10 2 3" xfId="26083" xr:uid="{00000000-0005-0000-0000-0000DE400000}"/>
    <cellStyle name="20 % - Markeringsfarve6 3 10 2 4" xfId="41047" xr:uid="{00000000-0005-0000-0000-0000DF400000}"/>
    <cellStyle name="20 % - Markeringsfarve6 3 10 3" xfId="13697" xr:uid="{00000000-0005-0000-0000-0000E0400000}"/>
    <cellStyle name="20 % - Markeringsfarve6 3 10 3 2" xfId="29976" xr:uid="{00000000-0005-0000-0000-0000E1400000}"/>
    <cellStyle name="20 % - Markeringsfarve6 3 10 3 3" xfId="44937" xr:uid="{00000000-0005-0000-0000-0000E2400000}"/>
    <cellStyle name="20 % - Markeringsfarve6 3 10 4" xfId="22974" xr:uid="{00000000-0005-0000-0000-0000E3400000}"/>
    <cellStyle name="20 % - Markeringsfarve6 3 10 5" xfId="37940" xr:uid="{00000000-0005-0000-0000-0000E4400000}"/>
    <cellStyle name="20 % - Markeringsfarve6 3 11" xfId="5213" xr:uid="{00000000-0005-0000-0000-0000E5400000}"/>
    <cellStyle name="20 % - Markeringsfarve6 3 11 2" xfId="10986" xr:uid="{00000000-0005-0000-0000-0000E6400000}"/>
    <cellStyle name="20 % - Markeringsfarve6 3 11 2 2" xfId="18817" xr:uid="{00000000-0005-0000-0000-0000E7400000}"/>
    <cellStyle name="20 % - Markeringsfarve6 3 11 2 2 2" xfId="35093" xr:uid="{00000000-0005-0000-0000-0000E8400000}"/>
    <cellStyle name="20 % - Markeringsfarve6 3 11 2 2 3" xfId="50052" xr:uid="{00000000-0005-0000-0000-0000E9400000}"/>
    <cellStyle name="20 % - Markeringsfarve6 3 11 2 3" xfId="28091" xr:uid="{00000000-0005-0000-0000-0000EA400000}"/>
    <cellStyle name="20 % - Markeringsfarve6 3 11 2 4" xfId="43055" xr:uid="{00000000-0005-0000-0000-0000EB400000}"/>
    <cellStyle name="20 % - Markeringsfarve6 3 11 3" xfId="13698" xr:uid="{00000000-0005-0000-0000-0000EC400000}"/>
    <cellStyle name="20 % - Markeringsfarve6 3 11 3 2" xfId="29977" xr:uid="{00000000-0005-0000-0000-0000ED400000}"/>
    <cellStyle name="20 % - Markeringsfarve6 3 11 3 3" xfId="44938" xr:uid="{00000000-0005-0000-0000-0000EE400000}"/>
    <cellStyle name="20 % - Markeringsfarve6 3 11 4" xfId="22975" xr:uid="{00000000-0005-0000-0000-0000EF400000}"/>
    <cellStyle name="20 % - Markeringsfarve6 3 11 5" xfId="37941" xr:uid="{00000000-0005-0000-0000-0000F0400000}"/>
    <cellStyle name="20 % - Markeringsfarve6 3 12" xfId="7923" xr:uid="{00000000-0005-0000-0000-0000F1400000}"/>
    <cellStyle name="20 % - Markeringsfarve6 3 12 2" xfId="15788" xr:uid="{00000000-0005-0000-0000-0000F2400000}"/>
    <cellStyle name="20 % - Markeringsfarve6 3 12 2 2" xfId="32064" xr:uid="{00000000-0005-0000-0000-0000F3400000}"/>
    <cellStyle name="20 % - Markeringsfarve6 3 12 2 3" xfId="47023" xr:uid="{00000000-0005-0000-0000-0000F4400000}"/>
    <cellStyle name="20 % - Markeringsfarve6 3 12 3" xfId="25062" xr:uid="{00000000-0005-0000-0000-0000F5400000}"/>
    <cellStyle name="20 % - Markeringsfarve6 3 12 4" xfId="40026" xr:uid="{00000000-0005-0000-0000-0000F6400000}"/>
    <cellStyle name="20 % - Markeringsfarve6 3 13" xfId="13696" xr:uid="{00000000-0005-0000-0000-0000F7400000}"/>
    <cellStyle name="20 % - Markeringsfarve6 3 13 2" xfId="29975" xr:uid="{00000000-0005-0000-0000-0000F8400000}"/>
    <cellStyle name="20 % - Markeringsfarve6 3 13 3" xfId="44936" xr:uid="{00000000-0005-0000-0000-0000F9400000}"/>
    <cellStyle name="20 % - Markeringsfarve6 3 14" xfId="22973" xr:uid="{00000000-0005-0000-0000-0000FA400000}"/>
    <cellStyle name="20 % - Markeringsfarve6 3 15" xfId="37939" xr:uid="{00000000-0005-0000-0000-0000FB400000}"/>
    <cellStyle name="20 % - Markeringsfarve6 3 2" xfId="5214" xr:uid="{00000000-0005-0000-0000-0000FC400000}"/>
    <cellStyle name="20 % - Markeringsfarve6 3 2 10" xfId="7924" xr:uid="{00000000-0005-0000-0000-0000FD400000}"/>
    <cellStyle name="20 % - Markeringsfarve6 3 2 10 2" xfId="15789" xr:uid="{00000000-0005-0000-0000-0000FE400000}"/>
    <cellStyle name="20 % - Markeringsfarve6 3 2 10 2 2" xfId="32065" xr:uid="{00000000-0005-0000-0000-0000FF400000}"/>
    <cellStyle name="20 % - Markeringsfarve6 3 2 10 2 3" xfId="47024" xr:uid="{00000000-0005-0000-0000-000000410000}"/>
    <cellStyle name="20 % - Markeringsfarve6 3 2 10 3" xfId="25063" xr:uid="{00000000-0005-0000-0000-000001410000}"/>
    <cellStyle name="20 % - Markeringsfarve6 3 2 10 4" xfId="40027" xr:uid="{00000000-0005-0000-0000-000002410000}"/>
    <cellStyle name="20 % - Markeringsfarve6 3 2 11" xfId="13699" xr:uid="{00000000-0005-0000-0000-000003410000}"/>
    <cellStyle name="20 % - Markeringsfarve6 3 2 11 2" xfId="29978" xr:uid="{00000000-0005-0000-0000-000004410000}"/>
    <cellStyle name="20 % - Markeringsfarve6 3 2 11 3" xfId="44939" xr:uid="{00000000-0005-0000-0000-000005410000}"/>
    <cellStyle name="20 % - Markeringsfarve6 3 2 12" xfId="22976" xr:uid="{00000000-0005-0000-0000-000006410000}"/>
    <cellStyle name="20 % - Markeringsfarve6 3 2 13" xfId="37942" xr:uid="{00000000-0005-0000-0000-000007410000}"/>
    <cellStyle name="20 % - Markeringsfarve6 3 2 2" xfId="5215" xr:uid="{00000000-0005-0000-0000-000008410000}"/>
    <cellStyle name="20 % - Markeringsfarve6 3 2 2 2" xfId="5216" xr:uid="{00000000-0005-0000-0000-000009410000}"/>
    <cellStyle name="20 % - Markeringsfarve6 3 2 2 2 2" xfId="5217" xr:uid="{00000000-0005-0000-0000-00000A410000}"/>
    <cellStyle name="20 % - Markeringsfarve6 3 2 2 2 2 2" xfId="9876" xr:uid="{00000000-0005-0000-0000-00000B410000}"/>
    <cellStyle name="20 % - Markeringsfarve6 3 2 2 2 2 2 2" xfId="17731" xr:uid="{00000000-0005-0000-0000-00000C410000}"/>
    <cellStyle name="20 % - Markeringsfarve6 3 2 2 2 2 2 2 2" xfId="34007" xr:uid="{00000000-0005-0000-0000-00000D410000}"/>
    <cellStyle name="20 % - Markeringsfarve6 3 2 2 2 2 2 2 3" xfId="48966" xr:uid="{00000000-0005-0000-0000-00000E410000}"/>
    <cellStyle name="20 % - Markeringsfarve6 3 2 2 2 2 2 3" xfId="27005" xr:uid="{00000000-0005-0000-0000-00000F410000}"/>
    <cellStyle name="20 % - Markeringsfarve6 3 2 2 2 2 2 4" xfId="41969" xr:uid="{00000000-0005-0000-0000-000010410000}"/>
    <cellStyle name="20 % - Markeringsfarve6 3 2 2 2 2 3" xfId="13702" xr:uid="{00000000-0005-0000-0000-000011410000}"/>
    <cellStyle name="20 % - Markeringsfarve6 3 2 2 2 2 3 2" xfId="29981" xr:uid="{00000000-0005-0000-0000-000012410000}"/>
    <cellStyle name="20 % - Markeringsfarve6 3 2 2 2 2 3 3" xfId="44942" xr:uid="{00000000-0005-0000-0000-000013410000}"/>
    <cellStyle name="20 % - Markeringsfarve6 3 2 2 2 2 4" xfId="22979" xr:uid="{00000000-0005-0000-0000-000014410000}"/>
    <cellStyle name="20 % - Markeringsfarve6 3 2 2 2 2 5" xfId="37945" xr:uid="{00000000-0005-0000-0000-000015410000}"/>
    <cellStyle name="20 % - Markeringsfarve6 3 2 2 2 3" xfId="8450" xr:uid="{00000000-0005-0000-0000-000016410000}"/>
    <cellStyle name="20 % - Markeringsfarve6 3 2 2 2 3 2" xfId="16320" xr:uid="{00000000-0005-0000-0000-000017410000}"/>
    <cellStyle name="20 % - Markeringsfarve6 3 2 2 2 3 2 2" xfId="32596" xr:uid="{00000000-0005-0000-0000-000018410000}"/>
    <cellStyle name="20 % - Markeringsfarve6 3 2 2 2 3 2 3" xfId="47555" xr:uid="{00000000-0005-0000-0000-000019410000}"/>
    <cellStyle name="20 % - Markeringsfarve6 3 2 2 2 3 3" xfId="25594" xr:uid="{00000000-0005-0000-0000-00001A410000}"/>
    <cellStyle name="20 % - Markeringsfarve6 3 2 2 2 3 4" xfId="40558" xr:uid="{00000000-0005-0000-0000-00001B410000}"/>
    <cellStyle name="20 % - Markeringsfarve6 3 2 2 2 4" xfId="13701" xr:uid="{00000000-0005-0000-0000-00001C410000}"/>
    <cellStyle name="20 % - Markeringsfarve6 3 2 2 2 4 2" xfId="29980" xr:uid="{00000000-0005-0000-0000-00001D410000}"/>
    <cellStyle name="20 % - Markeringsfarve6 3 2 2 2 4 3" xfId="44941" xr:uid="{00000000-0005-0000-0000-00001E410000}"/>
    <cellStyle name="20 % - Markeringsfarve6 3 2 2 2 5" xfId="22978" xr:uid="{00000000-0005-0000-0000-00001F410000}"/>
    <cellStyle name="20 % - Markeringsfarve6 3 2 2 2 6" xfId="37944" xr:uid="{00000000-0005-0000-0000-000020410000}"/>
    <cellStyle name="20 % - Markeringsfarve6 3 2 2 3" xfId="5218" xr:uid="{00000000-0005-0000-0000-000021410000}"/>
    <cellStyle name="20 % - Markeringsfarve6 3 2 2 3 2" xfId="9107" xr:uid="{00000000-0005-0000-0000-000022410000}"/>
    <cellStyle name="20 % - Markeringsfarve6 3 2 2 3 2 2" xfId="16971" xr:uid="{00000000-0005-0000-0000-000023410000}"/>
    <cellStyle name="20 % - Markeringsfarve6 3 2 2 3 2 2 2" xfId="33247" xr:uid="{00000000-0005-0000-0000-000024410000}"/>
    <cellStyle name="20 % - Markeringsfarve6 3 2 2 3 2 2 3" xfId="48206" xr:uid="{00000000-0005-0000-0000-000025410000}"/>
    <cellStyle name="20 % - Markeringsfarve6 3 2 2 3 2 3" xfId="26245" xr:uid="{00000000-0005-0000-0000-000026410000}"/>
    <cellStyle name="20 % - Markeringsfarve6 3 2 2 3 2 4" xfId="41209" xr:uid="{00000000-0005-0000-0000-000027410000}"/>
    <cellStyle name="20 % - Markeringsfarve6 3 2 2 3 3" xfId="13703" xr:uid="{00000000-0005-0000-0000-000028410000}"/>
    <cellStyle name="20 % - Markeringsfarve6 3 2 2 3 3 2" xfId="29982" xr:uid="{00000000-0005-0000-0000-000029410000}"/>
    <cellStyle name="20 % - Markeringsfarve6 3 2 2 3 3 3" xfId="44943" xr:uid="{00000000-0005-0000-0000-00002A410000}"/>
    <cellStyle name="20 % - Markeringsfarve6 3 2 2 3 4" xfId="22980" xr:uid="{00000000-0005-0000-0000-00002B410000}"/>
    <cellStyle name="20 % - Markeringsfarve6 3 2 2 3 5" xfId="37946" xr:uid="{00000000-0005-0000-0000-00002C410000}"/>
    <cellStyle name="20 % - Markeringsfarve6 3 2 2 4" xfId="5219" xr:uid="{00000000-0005-0000-0000-00002D410000}"/>
    <cellStyle name="20 % - Markeringsfarve6 3 2 2 4 2" xfId="10925" xr:uid="{00000000-0005-0000-0000-00002E410000}"/>
    <cellStyle name="20 % - Markeringsfarve6 3 2 2 4 2 2" xfId="18760" xr:uid="{00000000-0005-0000-0000-00002F410000}"/>
    <cellStyle name="20 % - Markeringsfarve6 3 2 2 4 2 2 2" xfId="35036" xr:uid="{00000000-0005-0000-0000-000030410000}"/>
    <cellStyle name="20 % - Markeringsfarve6 3 2 2 4 2 2 3" xfId="49995" xr:uid="{00000000-0005-0000-0000-000031410000}"/>
    <cellStyle name="20 % - Markeringsfarve6 3 2 2 4 2 3" xfId="28034" xr:uid="{00000000-0005-0000-0000-000032410000}"/>
    <cellStyle name="20 % - Markeringsfarve6 3 2 2 4 2 4" xfId="42998" xr:uid="{00000000-0005-0000-0000-000033410000}"/>
    <cellStyle name="20 % - Markeringsfarve6 3 2 2 4 3" xfId="13704" xr:uid="{00000000-0005-0000-0000-000034410000}"/>
    <cellStyle name="20 % - Markeringsfarve6 3 2 2 4 3 2" xfId="29983" xr:uid="{00000000-0005-0000-0000-000035410000}"/>
    <cellStyle name="20 % - Markeringsfarve6 3 2 2 4 3 3" xfId="44944" xr:uid="{00000000-0005-0000-0000-000036410000}"/>
    <cellStyle name="20 % - Markeringsfarve6 3 2 2 4 4" xfId="22981" xr:uid="{00000000-0005-0000-0000-000037410000}"/>
    <cellStyle name="20 % - Markeringsfarve6 3 2 2 4 5" xfId="37947" xr:uid="{00000000-0005-0000-0000-000038410000}"/>
    <cellStyle name="20 % - Markeringsfarve6 3 2 2 5" xfId="7925" xr:uid="{00000000-0005-0000-0000-000039410000}"/>
    <cellStyle name="20 % - Markeringsfarve6 3 2 2 5 2" xfId="15790" xr:uid="{00000000-0005-0000-0000-00003A410000}"/>
    <cellStyle name="20 % - Markeringsfarve6 3 2 2 5 2 2" xfId="32066" xr:uid="{00000000-0005-0000-0000-00003B410000}"/>
    <cellStyle name="20 % - Markeringsfarve6 3 2 2 5 2 3" xfId="47025" xr:uid="{00000000-0005-0000-0000-00003C410000}"/>
    <cellStyle name="20 % - Markeringsfarve6 3 2 2 5 3" xfId="25064" xr:uid="{00000000-0005-0000-0000-00003D410000}"/>
    <cellStyle name="20 % - Markeringsfarve6 3 2 2 5 4" xfId="40028" xr:uid="{00000000-0005-0000-0000-00003E410000}"/>
    <cellStyle name="20 % - Markeringsfarve6 3 2 2 6" xfId="13700" xr:uid="{00000000-0005-0000-0000-00003F410000}"/>
    <cellStyle name="20 % - Markeringsfarve6 3 2 2 6 2" xfId="29979" xr:uid="{00000000-0005-0000-0000-000040410000}"/>
    <cellStyle name="20 % - Markeringsfarve6 3 2 2 6 3" xfId="44940" xr:uid="{00000000-0005-0000-0000-000041410000}"/>
    <cellStyle name="20 % - Markeringsfarve6 3 2 2 7" xfId="22977" xr:uid="{00000000-0005-0000-0000-000042410000}"/>
    <cellStyle name="20 % - Markeringsfarve6 3 2 2 8" xfId="37943" xr:uid="{00000000-0005-0000-0000-000043410000}"/>
    <cellStyle name="20 % - Markeringsfarve6 3 2 3" xfId="5220" xr:uid="{00000000-0005-0000-0000-000044410000}"/>
    <cellStyle name="20 % - Markeringsfarve6 3 2 3 2" xfId="5221" xr:uid="{00000000-0005-0000-0000-000045410000}"/>
    <cellStyle name="20 % - Markeringsfarve6 3 2 3 2 2" xfId="5222" xr:uid="{00000000-0005-0000-0000-000046410000}"/>
    <cellStyle name="20 % - Markeringsfarve6 3 2 3 2 2 2" xfId="9981" xr:uid="{00000000-0005-0000-0000-000047410000}"/>
    <cellStyle name="20 % - Markeringsfarve6 3 2 3 2 2 2 2" xfId="17836" xr:uid="{00000000-0005-0000-0000-000048410000}"/>
    <cellStyle name="20 % - Markeringsfarve6 3 2 3 2 2 2 2 2" xfId="34112" xr:uid="{00000000-0005-0000-0000-000049410000}"/>
    <cellStyle name="20 % - Markeringsfarve6 3 2 3 2 2 2 2 3" xfId="49071" xr:uid="{00000000-0005-0000-0000-00004A410000}"/>
    <cellStyle name="20 % - Markeringsfarve6 3 2 3 2 2 2 3" xfId="27110" xr:uid="{00000000-0005-0000-0000-00004B410000}"/>
    <cellStyle name="20 % - Markeringsfarve6 3 2 3 2 2 2 4" xfId="42074" xr:uid="{00000000-0005-0000-0000-00004C410000}"/>
    <cellStyle name="20 % - Markeringsfarve6 3 2 3 2 2 3" xfId="13707" xr:uid="{00000000-0005-0000-0000-00004D410000}"/>
    <cellStyle name="20 % - Markeringsfarve6 3 2 3 2 2 3 2" xfId="29986" xr:uid="{00000000-0005-0000-0000-00004E410000}"/>
    <cellStyle name="20 % - Markeringsfarve6 3 2 3 2 2 3 3" xfId="44947" xr:uid="{00000000-0005-0000-0000-00004F410000}"/>
    <cellStyle name="20 % - Markeringsfarve6 3 2 3 2 2 4" xfId="22984" xr:uid="{00000000-0005-0000-0000-000050410000}"/>
    <cellStyle name="20 % - Markeringsfarve6 3 2 3 2 2 5" xfId="37950" xr:uid="{00000000-0005-0000-0000-000051410000}"/>
    <cellStyle name="20 % - Markeringsfarve6 3 2 3 2 3" xfId="8537" xr:uid="{00000000-0005-0000-0000-000052410000}"/>
    <cellStyle name="20 % - Markeringsfarve6 3 2 3 2 3 2" xfId="16407" xr:uid="{00000000-0005-0000-0000-000053410000}"/>
    <cellStyle name="20 % - Markeringsfarve6 3 2 3 2 3 2 2" xfId="32683" xr:uid="{00000000-0005-0000-0000-000054410000}"/>
    <cellStyle name="20 % - Markeringsfarve6 3 2 3 2 3 2 3" xfId="47642" xr:uid="{00000000-0005-0000-0000-000055410000}"/>
    <cellStyle name="20 % - Markeringsfarve6 3 2 3 2 3 3" xfId="25681" xr:uid="{00000000-0005-0000-0000-000056410000}"/>
    <cellStyle name="20 % - Markeringsfarve6 3 2 3 2 3 4" xfId="40645" xr:uid="{00000000-0005-0000-0000-000057410000}"/>
    <cellStyle name="20 % - Markeringsfarve6 3 2 3 2 4" xfId="13706" xr:uid="{00000000-0005-0000-0000-000058410000}"/>
    <cellStyle name="20 % - Markeringsfarve6 3 2 3 2 4 2" xfId="29985" xr:uid="{00000000-0005-0000-0000-000059410000}"/>
    <cellStyle name="20 % - Markeringsfarve6 3 2 3 2 4 3" xfId="44946" xr:uid="{00000000-0005-0000-0000-00005A410000}"/>
    <cellStyle name="20 % - Markeringsfarve6 3 2 3 2 5" xfId="22983" xr:uid="{00000000-0005-0000-0000-00005B410000}"/>
    <cellStyle name="20 % - Markeringsfarve6 3 2 3 2 6" xfId="37949" xr:uid="{00000000-0005-0000-0000-00005C410000}"/>
    <cellStyle name="20 % - Markeringsfarve6 3 2 3 3" xfId="5223" xr:uid="{00000000-0005-0000-0000-00005D410000}"/>
    <cellStyle name="20 % - Markeringsfarve6 3 2 3 3 2" xfId="9212" xr:uid="{00000000-0005-0000-0000-00005E410000}"/>
    <cellStyle name="20 % - Markeringsfarve6 3 2 3 3 2 2" xfId="17076" xr:uid="{00000000-0005-0000-0000-00005F410000}"/>
    <cellStyle name="20 % - Markeringsfarve6 3 2 3 3 2 2 2" xfId="33352" xr:uid="{00000000-0005-0000-0000-000060410000}"/>
    <cellStyle name="20 % - Markeringsfarve6 3 2 3 3 2 2 3" xfId="48311" xr:uid="{00000000-0005-0000-0000-000061410000}"/>
    <cellStyle name="20 % - Markeringsfarve6 3 2 3 3 2 3" xfId="26350" xr:uid="{00000000-0005-0000-0000-000062410000}"/>
    <cellStyle name="20 % - Markeringsfarve6 3 2 3 3 2 4" xfId="41314" xr:uid="{00000000-0005-0000-0000-000063410000}"/>
    <cellStyle name="20 % - Markeringsfarve6 3 2 3 3 3" xfId="13708" xr:uid="{00000000-0005-0000-0000-000064410000}"/>
    <cellStyle name="20 % - Markeringsfarve6 3 2 3 3 3 2" xfId="29987" xr:uid="{00000000-0005-0000-0000-000065410000}"/>
    <cellStyle name="20 % - Markeringsfarve6 3 2 3 3 3 3" xfId="44948" xr:uid="{00000000-0005-0000-0000-000066410000}"/>
    <cellStyle name="20 % - Markeringsfarve6 3 2 3 3 4" xfId="22985" xr:uid="{00000000-0005-0000-0000-000067410000}"/>
    <cellStyle name="20 % - Markeringsfarve6 3 2 3 3 5" xfId="37951" xr:uid="{00000000-0005-0000-0000-000068410000}"/>
    <cellStyle name="20 % - Markeringsfarve6 3 2 3 4" xfId="5224" xr:uid="{00000000-0005-0000-0000-000069410000}"/>
    <cellStyle name="20 % - Markeringsfarve6 3 2 3 4 2" xfId="10650" xr:uid="{00000000-0005-0000-0000-00006A410000}"/>
    <cellStyle name="20 % - Markeringsfarve6 3 2 3 4 2 2" xfId="18497" xr:uid="{00000000-0005-0000-0000-00006B410000}"/>
    <cellStyle name="20 % - Markeringsfarve6 3 2 3 4 2 2 2" xfId="34773" xr:uid="{00000000-0005-0000-0000-00006C410000}"/>
    <cellStyle name="20 % - Markeringsfarve6 3 2 3 4 2 2 3" xfId="49732" xr:uid="{00000000-0005-0000-0000-00006D410000}"/>
    <cellStyle name="20 % - Markeringsfarve6 3 2 3 4 2 3" xfId="27771" xr:uid="{00000000-0005-0000-0000-00006E410000}"/>
    <cellStyle name="20 % - Markeringsfarve6 3 2 3 4 2 4" xfId="42735" xr:uid="{00000000-0005-0000-0000-00006F410000}"/>
    <cellStyle name="20 % - Markeringsfarve6 3 2 3 4 3" xfId="13709" xr:uid="{00000000-0005-0000-0000-000070410000}"/>
    <cellStyle name="20 % - Markeringsfarve6 3 2 3 4 3 2" xfId="29988" xr:uid="{00000000-0005-0000-0000-000071410000}"/>
    <cellStyle name="20 % - Markeringsfarve6 3 2 3 4 3 3" xfId="44949" xr:uid="{00000000-0005-0000-0000-000072410000}"/>
    <cellStyle name="20 % - Markeringsfarve6 3 2 3 4 4" xfId="22986" xr:uid="{00000000-0005-0000-0000-000073410000}"/>
    <cellStyle name="20 % - Markeringsfarve6 3 2 3 4 5" xfId="37952" xr:uid="{00000000-0005-0000-0000-000074410000}"/>
    <cellStyle name="20 % - Markeringsfarve6 3 2 3 5" xfId="7926" xr:uid="{00000000-0005-0000-0000-000075410000}"/>
    <cellStyle name="20 % - Markeringsfarve6 3 2 3 5 2" xfId="15791" xr:uid="{00000000-0005-0000-0000-000076410000}"/>
    <cellStyle name="20 % - Markeringsfarve6 3 2 3 5 2 2" xfId="32067" xr:uid="{00000000-0005-0000-0000-000077410000}"/>
    <cellStyle name="20 % - Markeringsfarve6 3 2 3 5 2 3" xfId="47026" xr:uid="{00000000-0005-0000-0000-000078410000}"/>
    <cellStyle name="20 % - Markeringsfarve6 3 2 3 5 3" xfId="25065" xr:uid="{00000000-0005-0000-0000-000079410000}"/>
    <cellStyle name="20 % - Markeringsfarve6 3 2 3 5 4" xfId="40029" xr:uid="{00000000-0005-0000-0000-00007A410000}"/>
    <cellStyle name="20 % - Markeringsfarve6 3 2 3 6" xfId="13705" xr:uid="{00000000-0005-0000-0000-00007B410000}"/>
    <cellStyle name="20 % - Markeringsfarve6 3 2 3 6 2" xfId="29984" xr:uid="{00000000-0005-0000-0000-00007C410000}"/>
    <cellStyle name="20 % - Markeringsfarve6 3 2 3 6 3" xfId="44945" xr:uid="{00000000-0005-0000-0000-00007D410000}"/>
    <cellStyle name="20 % - Markeringsfarve6 3 2 3 7" xfId="22982" xr:uid="{00000000-0005-0000-0000-00007E410000}"/>
    <cellStyle name="20 % - Markeringsfarve6 3 2 3 8" xfId="37948" xr:uid="{00000000-0005-0000-0000-00007F410000}"/>
    <cellStyle name="20 % - Markeringsfarve6 3 2 4" xfId="5225" xr:uid="{00000000-0005-0000-0000-000080410000}"/>
    <cellStyle name="20 % - Markeringsfarve6 3 2 4 2" xfId="5226" xr:uid="{00000000-0005-0000-0000-000081410000}"/>
    <cellStyle name="20 % - Markeringsfarve6 3 2 4 2 2" xfId="5227" xr:uid="{00000000-0005-0000-0000-000082410000}"/>
    <cellStyle name="20 % - Markeringsfarve6 3 2 4 2 2 2" xfId="10114" xr:uid="{00000000-0005-0000-0000-000083410000}"/>
    <cellStyle name="20 % - Markeringsfarve6 3 2 4 2 2 2 2" xfId="17969" xr:uid="{00000000-0005-0000-0000-000084410000}"/>
    <cellStyle name="20 % - Markeringsfarve6 3 2 4 2 2 2 2 2" xfId="34245" xr:uid="{00000000-0005-0000-0000-000085410000}"/>
    <cellStyle name="20 % - Markeringsfarve6 3 2 4 2 2 2 2 3" xfId="49204" xr:uid="{00000000-0005-0000-0000-000086410000}"/>
    <cellStyle name="20 % - Markeringsfarve6 3 2 4 2 2 2 3" xfId="27243" xr:uid="{00000000-0005-0000-0000-000087410000}"/>
    <cellStyle name="20 % - Markeringsfarve6 3 2 4 2 2 2 4" xfId="42207" xr:uid="{00000000-0005-0000-0000-000088410000}"/>
    <cellStyle name="20 % - Markeringsfarve6 3 2 4 2 2 3" xfId="13712" xr:uid="{00000000-0005-0000-0000-000089410000}"/>
    <cellStyle name="20 % - Markeringsfarve6 3 2 4 2 2 3 2" xfId="29991" xr:uid="{00000000-0005-0000-0000-00008A410000}"/>
    <cellStyle name="20 % - Markeringsfarve6 3 2 4 2 2 3 3" xfId="44952" xr:uid="{00000000-0005-0000-0000-00008B410000}"/>
    <cellStyle name="20 % - Markeringsfarve6 3 2 4 2 2 4" xfId="22989" xr:uid="{00000000-0005-0000-0000-00008C410000}"/>
    <cellStyle name="20 % - Markeringsfarve6 3 2 4 2 2 5" xfId="37955" xr:uid="{00000000-0005-0000-0000-00008D410000}"/>
    <cellStyle name="20 % - Markeringsfarve6 3 2 4 2 3" xfId="8652" xr:uid="{00000000-0005-0000-0000-00008E410000}"/>
    <cellStyle name="20 % - Markeringsfarve6 3 2 4 2 3 2" xfId="16519" xr:uid="{00000000-0005-0000-0000-00008F410000}"/>
    <cellStyle name="20 % - Markeringsfarve6 3 2 4 2 3 2 2" xfId="32795" xr:uid="{00000000-0005-0000-0000-000090410000}"/>
    <cellStyle name="20 % - Markeringsfarve6 3 2 4 2 3 2 3" xfId="47754" xr:uid="{00000000-0005-0000-0000-000091410000}"/>
    <cellStyle name="20 % - Markeringsfarve6 3 2 4 2 3 3" xfId="25793" xr:uid="{00000000-0005-0000-0000-000092410000}"/>
    <cellStyle name="20 % - Markeringsfarve6 3 2 4 2 3 4" xfId="40757" xr:uid="{00000000-0005-0000-0000-000093410000}"/>
    <cellStyle name="20 % - Markeringsfarve6 3 2 4 2 4" xfId="13711" xr:uid="{00000000-0005-0000-0000-000094410000}"/>
    <cellStyle name="20 % - Markeringsfarve6 3 2 4 2 4 2" xfId="29990" xr:uid="{00000000-0005-0000-0000-000095410000}"/>
    <cellStyle name="20 % - Markeringsfarve6 3 2 4 2 4 3" xfId="44951" xr:uid="{00000000-0005-0000-0000-000096410000}"/>
    <cellStyle name="20 % - Markeringsfarve6 3 2 4 2 5" xfId="22988" xr:uid="{00000000-0005-0000-0000-000097410000}"/>
    <cellStyle name="20 % - Markeringsfarve6 3 2 4 2 6" xfId="37954" xr:uid="{00000000-0005-0000-0000-000098410000}"/>
    <cellStyle name="20 % - Markeringsfarve6 3 2 4 3" xfId="5228" xr:uid="{00000000-0005-0000-0000-000099410000}"/>
    <cellStyle name="20 % - Markeringsfarve6 3 2 4 3 2" xfId="9391" xr:uid="{00000000-0005-0000-0000-00009A410000}"/>
    <cellStyle name="20 % - Markeringsfarve6 3 2 4 3 2 2" xfId="17254" xr:uid="{00000000-0005-0000-0000-00009B410000}"/>
    <cellStyle name="20 % - Markeringsfarve6 3 2 4 3 2 2 2" xfId="33530" xr:uid="{00000000-0005-0000-0000-00009C410000}"/>
    <cellStyle name="20 % - Markeringsfarve6 3 2 4 3 2 2 3" xfId="48489" xr:uid="{00000000-0005-0000-0000-00009D410000}"/>
    <cellStyle name="20 % - Markeringsfarve6 3 2 4 3 2 3" xfId="26528" xr:uid="{00000000-0005-0000-0000-00009E410000}"/>
    <cellStyle name="20 % - Markeringsfarve6 3 2 4 3 2 4" xfId="41492" xr:uid="{00000000-0005-0000-0000-00009F410000}"/>
    <cellStyle name="20 % - Markeringsfarve6 3 2 4 3 3" xfId="13713" xr:uid="{00000000-0005-0000-0000-0000A0410000}"/>
    <cellStyle name="20 % - Markeringsfarve6 3 2 4 3 3 2" xfId="29992" xr:uid="{00000000-0005-0000-0000-0000A1410000}"/>
    <cellStyle name="20 % - Markeringsfarve6 3 2 4 3 3 3" xfId="44953" xr:uid="{00000000-0005-0000-0000-0000A2410000}"/>
    <cellStyle name="20 % - Markeringsfarve6 3 2 4 3 4" xfId="22990" xr:uid="{00000000-0005-0000-0000-0000A3410000}"/>
    <cellStyle name="20 % - Markeringsfarve6 3 2 4 3 5" xfId="37956" xr:uid="{00000000-0005-0000-0000-0000A4410000}"/>
    <cellStyle name="20 % - Markeringsfarve6 3 2 4 4" xfId="5229" xr:uid="{00000000-0005-0000-0000-0000A5410000}"/>
    <cellStyle name="20 % - Markeringsfarve6 3 2 4 4 2" xfId="10885" xr:uid="{00000000-0005-0000-0000-0000A6410000}"/>
    <cellStyle name="20 % - Markeringsfarve6 3 2 4 4 2 2" xfId="18721" xr:uid="{00000000-0005-0000-0000-0000A7410000}"/>
    <cellStyle name="20 % - Markeringsfarve6 3 2 4 4 2 2 2" xfId="34997" xr:uid="{00000000-0005-0000-0000-0000A8410000}"/>
    <cellStyle name="20 % - Markeringsfarve6 3 2 4 4 2 2 3" xfId="49956" xr:uid="{00000000-0005-0000-0000-0000A9410000}"/>
    <cellStyle name="20 % - Markeringsfarve6 3 2 4 4 2 3" xfId="27995" xr:uid="{00000000-0005-0000-0000-0000AA410000}"/>
    <cellStyle name="20 % - Markeringsfarve6 3 2 4 4 2 4" xfId="42959" xr:uid="{00000000-0005-0000-0000-0000AB410000}"/>
    <cellStyle name="20 % - Markeringsfarve6 3 2 4 4 3" xfId="13714" xr:uid="{00000000-0005-0000-0000-0000AC410000}"/>
    <cellStyle name="20 % - Markeringsfarve6 3 2 4 4 3 2" xfId="29993" xr:uid="{00000000-0005-0000-0000-0000AD410000}"/>
    <cellStyle name="20 % - Markeringsfarve6 3 2 4 4 3 3" xfId="44954" xr:uid="{00000000-0005-0000-0000-0000AE410000}"/>
    <cellStyle name="20 % - Markeringsfarve6 3 2 4 4 4" xfId="22991" xr:uid="{00000000-0005-0000-0000-0000AF410000}"/>
    <cellStyle name="20 % - Markeringsfarve6 3 2 4 4 5" xfId="37957" xr:uid="{00000000-0005-0000-0000-0000B0410000}"/>
    <cellStyle name="20 % - Markeringsfarve6 3 2 4 5" xfId="7927" xr:uid="{00000000-0005-0000-0000-0000B1410000}"/>
    <cellStyle name="20 % - Markeringsfarve6 3 2 4 5 2" xfId="15792" xr:uid="{00000000-0005-0000-0000-0000B2410000}"/>
    <cellStyle name="20 % - Markeringsfarve6 3 2 4 5 2 2" xfId="32068" xr:uid="{00000000-0005-0000-0000-0000B3410000}"/>
    <cellStyle name="20 % - Markeringsfarve6 3 2 4 5 2 3" xfId="47027" xr:uid="{00000000-0005-0000-0000-0000B4410000}"/>
    <cellStyle name="20 % - Markeringsfarve6 3 2 4 5 3" xfId="25066" xr:uid="{00000000-0005-0000-0000-0000B5410000}"/>
    <cellStyle name="20 % - Markeringsfarve6 3 2 4 5 4" xfId="40030" xr:uid="{00000000-0005-0000-0000-0000B6410000}"/>
    <cellStyle name="20 % - Markeringsfarve6 3 2 4 6" xfId="13710" xr:uid="{00000000-0005-0000-0000-0000B7410000}"/>
    <cellStyle name="20 % - Markeringsfarve6 3 2 4 6 2" xfId="29989" xr:uid="{00000000-0005-0000-0000-0000B8410000}"/>
    <cellStyle name="20 % - Markeringsfarve6 3 2 4 6 3" xfId="44950" xr:uid="{00000000-0005-0000-0000-0000B9410000}"/>
    <cellStyle name="20 % - Markeringsfarve6 3 2 4 7" xfId="22987" xr:uid="{00000000-0005-0000-0000-0000BA410000}"/>
    <cellStyle name="20 % - Markeringsfarve6 3 2 4 8" xfId="37953" xr:uid="{00000000-0005-0000-0000-0000BB410000}"/>
    <cellStyle name="20 % - Markeringsfarve6 3 2 5" xfId="5230" xr:uid="{00000000-0005-0000-0000-0000BC410000}"/>
    <cellStyle name="20 % - Markeringsfarve6 3 2 5 2" xfId="5231" xr:uid="{00000000-0005-0000-0000-0000BD410000}"/>
    <cellStyle name="20 % - Markeringsfarve6 3 2 5 2 2" xfId="5232" xr:uid="{00000000-0005-0000-0000-0000BE410000}"/>
    <cellStyle name="20 % - Markeringsfarve6 3 2 5 2 2 2" xfId="10231" xr:uid="{00000000-0005-0000-0000-0000BF410000}"/>
    <cellStyle name="20 % - Markeringsfarve6 3 2 5 2 2 2 2" xfId="18086" xr:uid="{00000000-0005-0000-0000-0000C0410000}"/>
    <cellStyle name="20 % - Markeringsfarve6 3 2 5 2 2 2 2 2" xfId="34362" xr:uid="{00000000-0005-0000-0000-0000C1410000}"/>
    <cellStyle name="20 % - Markeringsfarve6 3 2 5 2 2 2 2 3" xfId="49321" xr:uid="{00000000-0005-0000-0000-0000C2410000}"/>
    <cellStyle name="20 % - Markeringsfarve6 3 2 5 2 2 2 3" xfId="27360" xr:uid="{00000000-0005-0000-0000-0000C3410000}"/>
    <cellStyle name="20 % - Markeringsfarve6 3 2 5 2 2 2 4" xfId="42324" xr:uid="{00000000-0005-0000-0000-0000C4410000}"/>
    <cellStyle name="20 % - Markeringsfarve6 3 2 5 2 2 3" xfId="13717" xr:uid="{00000000-0005-0000-0000-0000C5410000}"/>
    <cellStyle name="20 % - Markeringsfarve6 3 2 5 2 2 3 2" xfId="29996" xr:uid="{00000000-0005-0000-0000-0000C6410000}"/>
    <cellStyle name="20 % - Markeringsfarve6 3 2 5 2 2 3 3" xfId="44957" xr:uid="{00000000-0005-0000-0000-0000C7410000}"/>
    <cellStyle name="20 % - Markeringsfarve6 3 2 5 2 2 4" xfId="22994" xr:uid="{00000000-0005-0000-0000-0000C8410000}"/>
    <cellStyle name="20 % - Markeringsfarve6 3 2 5 2 2 5" xfId="37960" xr:uid="{00000000-0005-0000-0000-0000C9410000}"/>
    <cellStyle name="20 % - Markeringsfarve6 3 2 5 2 3" xfId="8751" xr:uid="{00000000-0005-0000-0000-0000CA410000}"/>
    <cellStyle name="20 % - Markeringsfarve6 3 2 5 2 3 2" xfId="16618" xr:uid="{00000000-0005-0000-0000-0000CB410000}"/>
    <cellStyle name="20 % - Markeringsfarve6 3 2 5 2 3 2 2" xfId="32894" xr:uid="{00000000-0005-0000-0000-0000CC410000}"/>
    <cellStyle name="20 % - Markeringsfarve6 3 2 5 2 3 2 3" xfId="47853" xr:uid="{00000000-0005-0000-0000-0000CD410000}"/>
    <cellStyle name="20 % - Markeringsfarve6 3 2 5 2 3 3" xfId="25892" xr:uid="{00000000-0005-0000-0000-0000CE410000}"/>
    <cellStyle name="20 % - Markeringsfarve6 3 2 5 2 3 4" xfId="40856" xr:uid="{00000000-0005-0000-0000-0000CF410000}"/>
    <cellStyle name="20 % - Markeringsfarve6 3 2 5 2 4" xfId="13716" xr:uid="{00000000-0005-0000-0000-0000D0410000}"/>
    <cellStyle name="20 % - Markeringsfarve6 3 2 5 2 4 2" xfId="29995" xr:uid="{00000000-0005-0000-0000-0000D1410000}"/>
    <cellStyle name="20 % - Markeringsfarve6 3 2 5 2 4 3" xfId="44956" xr:uid="{00000000-0005-0000-0000-0000D2410000}"/>
    <cellStyle name="20 % - Markeringsfarve6 3 2 5 2 5" xfId="22993" xr:uid="{00000000-0005-0000-0000-0000D3410000}"/>
    <cellStyle name="20 % - Markeringsfarve6 3 2 5 2 6" xfId="37959" xr:uid="{00000000-0005-0000-0000-0000D4410000}"/>
    <cellStyle name="20 % - Markeringsfarve6 3 2 5 3" xfId="5233" xr:uid="{00000000-0005-0000-0000-0000D5410000}"/>
    <cellStyle name="20 % - Markeringsfarve6 3 2 5 3 2" xfId="9508" xr:uid="{00000000-0005-0000-0000-0000D6410000}"/>
    <cellStyle name="20 % - Markeringsfarve6 3 2 5 3 2 2" xfId="17371" xr:uid="{00000000-0005-0000-0000-0000D7410000}"/>
    <cellStyle name="20 % - Markeringsfarve6 3 2 5 3 2 2 2" xfId="33647" xr:uid="{00000000-0005-0000-0000-0000D8410000}"/>
    <cellStyle name="20 % - Markeringsfarve6 3 2 5 3 2 2 3" xfId="48606" xr:uid="{00000000-0005-0000-0000-0000D9410000}"/>
    <cellStyle name="20 % - Markeringsfarve6 3 2 5 3 2 3" xfId="26645" xr:uid="{00000000-0005-0000-0000-0000DA410000}"/>
    <cellStyle name="20 % - Markeringsfarve6 3 2 5 3 2 4" xfId="41609" xr:uid="{00000000-0005-0000-0000-0000DB410000}"/>
    <cellStyle name="20 % - Markeringsfarve6 3 2 5 3 3" xfId="13718" xr:uid="{00000000-0005-0000-0000-0000DC410000}"/>
    <cellStyle name="20 % - Markeringsfarve6 3 2 5 3 3 2" xfId="29997" xr:uid="{00000000-0005-0000-0000-0000DD410000}"/>
    <cellStyle name="20 % - Markeringsfarve6 3 2 5 3 3 3" xfId="44958" xr:uid="{00000000-0005-0000-0000-0000DE410000}"/>
    <cellStyle name="20 % - Markeringsfarve6 3 2 5 3 4" xfId="22995" xr:uid="{00000000-0005-0000-0000-0000DF410000}"/>
    <cellStyle name="20 % - Markeringsfarve6 3 2 5 3 5" xfId="37961" xr:uid="{00000000-0005-0000-0000-0000E0410000}"/>
    <cellStyle name="20 % - Markeringsfarve6 3 2 5 4" xfId="5234" xr:uid="{00000000-0005-0000-0000-0000E1410000}"/>
    <cellStyle name="20 % - Markeringsfarve6 3 2 5 4 2" xfId="10609" xr:uid="{00000000-0005-0000-0000-0000E2410000}"/>
    <cellStyle name="20 % - Markeringsfarve6 3 2 5 4 2 2" xfId="18457" xr:uid="{00000000-0005-0000-0000-0000E3410000}"/>
    <cellStyle name="20 % - Markeringsfarve6 3 2 5 4 2 2 2" xfId="34733" xr:uid="{00000000-0005-0000-0000-0000E4410000}"/>
    <cellStyle name="20 % - Markeringsfarve6 3 2 5 4 2 2 3" xfId="49692" xr:uid="{00000000-0005-0000-0000-0000E5410000}"/>
    <cellStyle name="20 % - Markeringsfarve6 3 2 5 4 2 3" xfId="27731" xr:uid="{00000000-0005-0000-0000-0000E6410000}"/>
    <cellStyle name="20 % - Markeringsfarve6 3 2 5 4 2 4" xfId="42695" xr:uid="{00000000-0005-0000-0000-0000E7410000}"/>
    <cellStyle name="20 % - Markeringsfarve6 3 2 5 4 3" xfId="13719" xr:uid="{00000000-0005-0000-0000-0000E8410000}"/>
    <cellStyle name="20 % - Markeringsfarve6 3 2 5 4 3 2" xfId="29998" xr:uid="{00000000-0005-0000-0000-0000E9410000}"/>
    <cellStyle name="20 % - Markeringsfarve6 3 2 5 4 3 3" xfId="44959" xr:uid="{00000000-0005-0000-0000-0000EA410000}"/>
    <cellStyle name="20 % - Markeringsfarve6 3 2 5 4 4" xfId="22996" xr:uid="{00000000-0005-0000-0000-0000EB410000}"/>
    <cellStyle name="20 % - Markeringsfarve6 3 2 5 4 5" xfId="37962" xr:uid="{00000000-0005-0000-0000-0000EC410000}"/>
    <cellStyle name="20 % - Markeringsfarve6 3 2 5 5" xfId="7928" xr:uid="{00000000-0005-0000-0000-0000ED410000}"/>
    <cellStyle name="20 % - Markeringsfarve6 3 2 5 5 2" xfId="15793" xr:uid="{00000000-0005-0000-0000-0000EE410000}"/>
    <cellStyle name="20 % - Markeringsfarve6 3 2 5 5 2 2" xfId="32069" xr:uid="{00000000-0005-0000-0000-0000EF410000}"/>
    <cellStyle name="20 % - Markeringsfarve6 3 2 5 5 2 3" xfId="47028" xr:uid="{00000000-0005-0000-0000-0000F0410000}"/>
    <cellStyle name="20 % - Markeringsfarve6 3 2 5 5 3" xfId="25067" xr:uid="{00000000-0005-0000-0000-0000F1410000}"/>
    <cellStyle name="20 % - Markeringsfarve6 3 2 5 5 4" xfId="40031" xr:uid="{00000000-0005-0000-0000-0000F2410000}"/>
    <cellStyle name="20 % - Markeringsfarve6 3 2 5 6" xfId="13715" xr:uid="{00000000-0005-0000-0000-0000F3410000}"/>
    <cellStyle name="20 % - Markeringsfarve6 3 2 5 6 2" xfId="29994" xr:uid="{00000000-0005-0000-0000-0000F4410000}"/>
    <cellStyle name="20 % - Markeringsfarve6 3 2 5 6 3" xfId="44955" xr:uid="{00000000-0005-0000-0000-0000F5410000}"/>
    <cellStyle name="20 % - Markeringsfarve6 3 2 5 7" xfId="22992" xr:uid="{00000000-0005-0000-0000-0000F6410000}"/>
    <cellStyle name="20 % - Markeringsfarve6 3 2 5 8" xfId="37958" xr:uid="{00000000-0005-0000-0000-0000F7410000}"/>
    <cellStyle name="20 % - Markeringsfarve6 3 2 6" xfId="5235" xr:uid="{00000000-0005-0000-0000-0000F8410000}"/>
    <cellStyle name="20 % - Markeringsfarve6 3 2 6 2" xfId="5236" xr:uid="{00000000-0005-0000-0000-0000F9410000}"/>
    <cellStyle name="20 % - Markeringsfarve6 3 2 6 2 2" xfId="5237" xr:uid="{00000000-0005-0000-0000-0000FA410000}"/>
    <cellStyle name="20 % - Markeringsfarve6 3 2 6 2 2 2" xfId="10335" xr:uid="{00000000-0005-0000-0000-0000FB410000}"/>
    <cellStyle name="20 % - Markeringsfarve6 3 2 6 2 2 2 2" xfId="18190" xr:uid="{00000000-0005-0000-0000-0000FC410000}"/>
    <cellStyle name="20 % - Markeringsfarve6 3 2 6 2 2 2 2 2" xfId="34466" xr:uid="{00000000-0005-0000-0000-0000FD410000}"/>
    <cellStyle name="20 % - Markeringsfarve6 3 2 6 2 2 2 2 3" xfId="49425" xr:uid="{00000000-0005-0000-0000-0000FE410000}"/>
    <cellStyle name="20 % - Markeringsfarve6 3 2 6 2 2 2 3" xfId="27464" xr:uid="{00000000-0005-0000-0000-0000FF410000}"/>
    <cellStyle name="20 % - Markeringsfarve6 3 2 6 2 2 2 4" xfId="42428" xr:uid="{00000000-0005-0000-0000-000000420000}"/>
    <cellStyle name="20 % - Markeringsfarve6 3 2 6 2 2 3" xfId="13722" xr:uid="{00000000-0005-0000-0000-000001420000}"/>
    <cellStyle name="20 % - Markeringsfarve6 3 2 6 2 2 3 2" xfId="30001" xr:uid="{00000000-0005-0000-0000-000002420000}"/>
    <cellStyle name="20 % - Markeringsfarve6 3 2 6 2 2 3 3" xfId="44962" xr:uid="{00000000-0005-0000-0000-000003420000}"/>
    <cellStyle name="20 % - Markeringsfarve6 3 2 6 2 2 4" xfId="22999" xr:uid="{00000000-0005-0000-0000-000004420000}"/>
    <cellStyle name="20 % - Markeringsfarve6 3 2 6 2 2 5" xfId="37965" xr:uid="{00000000-0005-0000-0000-000005420000}"/>
    <cellStyle name="20 % - Markeringsfarve6 3 2 6 2 3" xfId="8838" xr:uid="{00000000-0005-0000-0000-000006420000}"/>
    <cellStyle name="20 % - Markeringsfarve6 3 2 6 2 3 2" xfId="16705" xr:uid="{00000000-0005-0000-0000-000007420000}"/>
    <cellStyle name="20 % - Markeringsfarve6 3 2 6 2 3 2 2" xfId="32981" xr:uid="{00000000-0005-0000-0000-000008420000}"/>
    <cellStyle name="20 % - Markeringsfarve6 3 2 6 2 3 2 3" xfId="47940" xr:uid="{00000000-0005-0000-0000-000009420000}"/>
    <cellStyle name="20 % - Markeringsfarve6 3 2 6 2 3 3" xfId="25979" xr:uid="{00000000-0005-0000-0000-00000A420000}"/>
    <cellStyle name="20 % - Markeringsfarve6 3 2 6 2 3 4" xfId="40943" xr:uid="{00000000-0005-0000-0000-00000B420000}"/>
    <cellStyle name="20 % - Markeringsfarve6 3 2 6 2 4" xfId="13721" xr:uid="{00000000-0005-0000-0000-00000C420000}"/>
    <cellStyle name="20 % - Markeringsfarve6 3 2 6 2 4 2" xfId="30000" xr:uid="{00000000-0005-0000-0000-00000D420000}"/>
    <cellStyle name="20 % - Markeringsfarve6 3 2 6 2 4 3" xfId="44961" xr:uid="{00000000-0005-0000-0000-00000E420000}"/>
    <cellStyle name="20 % - Markeringsfarve6 3 2 6 2 5" xfId="22998" xr:uid="{00000000-0005-0000-0000-00000F420000}"/>
    <cellStyle name="20 % - Markeringsfarve6 3 2 6 2 6" xfId="37964" xr:uid="{00000000-0005-0000-0000-000010420000}"/>
    <cellStyle name="20 % - Markeringsfarve6 3 2 6 3" xfId="5238" xr:uid="{00000000-0005-0000-0000-000011420000}"/>
    <cellStyle name="20 % - Markeringsfarve6 3 2 6 3 2" xfId="9613" xr:uid="{00000000-0005-0000-0000-000012420000}"/>
    <cellStyle name="20 % - Markeringsfarve6 3 2 6 3 2 2" xfId="17476" xr:uid="{00000000-0005-0000-0000-000013420000}"/>
    <cellStyle name="20 % - Markeringsfarve6 3 2 6 3 2 2 2" xfId="33752" xr:uid="{00000000-0005-0000-0000-000014420000}"/>
    <cellStyle name="20 % - Markeringsfarve6 3 2 6 3 2 2 3" xfId="48711" xr:uid="{00000000-0005-0000-0000-000015420000}"/>
    <cellStyle name="20 % - Markeringsfarve6 3 2 6 3 2 3" xfId="26750" xr:uid="{00000000-0005-0000-0000-000016420000}"/>
    <cellStyle name="20 % - Markeringsfarve6 3 2 6 3 2 4" xfId="41714" xr:uid="{00000000-0005-0000-0000-000017420000}"/>
    <cellStyle name="20 % - Markeringsfarve6 3 2 6 3 3" xfId="13723" xr:uid="{00000000-0005-0000-0000-000018420000}"/>
    <cellStyle name="20 % - Markeringsfarve6 3 2 6 3 3 2" xfId="30002" xr:uid="{00000000-0005-0000-0000-000019420000}"/>
    <cellStyle name="20 % - Markeringsfarve6 3 2 6 3 3 3" xfId="44963" xr:uid="{00000000-0005-0000-0000-00001A420000}"/>
    <cellStyle name="20 % - Markeringsfarve6 3 2 6 3 4" xfId="23000" xr:uid="{00000000-0005-0000-0000-00001B420000}"/>
    <cellStyle name="20 % - Markeringsfarve6 3 2 6 3 5" xfId="37966" xr:uid="{00000000-0005-0000-0000-00001C420000}"/>
    <cellStyle name="20 % - Markeringsfarve6 3 2 6 4" xfId="5239" xr:uid="{00000000-0005-0000-0000-00001D420000}"/>
    <cellStyle name="20 % - Markeringsfarve6 3 2 6 4 2" xfId="10853" xr:uid="{00000000-0005-0000-0000-00001E420000}"/>
    <cellStyle name="20 % - Markeringsfarve6 3 2 6 4 2 2" xfId="18691" xr:uid="{00000000-0005-0000-0000-00001F420000}"/>
    <cellStyle name="20 % - Markeringsfarve6 3 2 6 4 2 2 2" xfId="34967" xr:uid="{00000000-0005-0000-0000-000020420000}"/>
    <cellStyle name="20 % - Markeringsfarve6 3 2 6 4 2 2 3" xfId="49926" xr:uid="{00000000-0005-0000-0000-000021420000}"/>
    <cellStyle name="20 % - Markeringsfarve6 3 2 6 4 2 3" xfId="27965" xr:uid="{00000000-0005-0000-0000-000022420000}"/>
    <cellStyle name="20 % - Markeringsfarve6 3 2 6 4 2 4" xfId="42929" xr:uid="{00000000-0005-0000-0000-000023420000}"/>
    <cellStyle name="20 % - Markeringsfarve6 3 2 6 4 3" xfId="13724" xr:uid="{00000000-0005-0000-0000-000024420000}"/>
    <cellStyle name="20 % - Markeringsfarve6 3 2 6 4 3 2" xfId="30003" xr:uid="{00000000-0005-0000-0000-000025420000}"/>
    <cellStyle name="20 % - Markeringsfarve6 3 2 6 4 3 3" xfId="44964" xr:uid="{00000000-0005-0000-0000-000026420000}"/>
    <cellStyle name="20 % - Markeringsfarve6 3 2 6 4 4" xfId="23001" xr:uid="{00000000-0005-0000-0000-000027420000}"/>
    <cellStyle name="20 % - Markeringsfarve6 3 2 6 4 5" xfId="37967" xr:uid="{00000000-0005-0000-0000-000028420000}"/>
    <cellStyle name="20 % - Markeringsfarve6 3 2 6 5" xfId="7929" xr:uid="{00000000-0005-0000-0000-000029420000}"/>
    <cellStyle name="20 % - Markeringsfarve6 3 2 6 5 2" xfId="15794" xr:uid="{00000000-0005-0000-0000-00002A420000}"/>
    <cellStyle name="20 % - Markeringsfarve6 3 2 6 5 2 2" xfId="32070" xr:uid="{00000000-0005-0000-0000-00002B420000}"/>
    <cellStyle name="20 % - Markeringsfarve6 3 2 6 5 2 3" xfId="47029" xr:uid="{00000000-0005-0000-0000-00002C420000}"/>
    <cellStyle name="20 % - Markeringsfarve6 3 2 6 5 3" xfId="25068" xr:uid="{00000000-0005-0000-0000-00002D420000}"/>
    <cellStyle name="20 % - Markeringsfarve6 3 2 6 5 4" xfId="40032" xr:uid="{00000000-0005-0000-0000-00002E420000}"/>
    <cellStyle name="20 % - Markeringsfarve6 3 2 6 6" xfId="13720" xr:uid="{00000000-0005-0000-0000-00002F420000}"/>
    <cellStyle name="20 % - Markeringsfarve6 3 2 6 6 2" xfId="29999" xr:uid="{00000000-0005-0000-0000-000030420000}"/>
    <cellStyle name="20 % - Markeringsfarve6 3 2 6 6 3" xfId="44960" xr:uid="{00000000-0005-0000-0000-000031420000}"/>
    <cellStyle name="20 % - Markeringsfarve6 3 2 6 7" xfId="22997" xr:uid="{00000000-0005-0000-0000-000032420000}"/>
    <cellStyle name="20 % - Markeringsfarve6 3 2 6 8" xfId="37963" xr:uid="{00000000-0005-0000-0000-000033420000}"/>
    <cellStyle name="20 % - Markeringsfarve6 3 2 7" xfId="5240" xr:uid="{00000000-0005-0000-0000-000034420000}"/>
    <cellStyle name="20 % - Markeringsfarve6 3 2 7 2" xfId="5241" xr:uid="{00000000-0005-0000-0000-000035420000}"/>
    <cellStyle name="20 % - Markeringsfarve6 3 2 7 2 2" xfId="9758" xr:uid="{00000000-0005-0000-0000-000036420000}"/>
    <cellStyle name="20 % - Markeringsfarve6 3 2 7 2 2 2" xfId="17612" xr:uid="{00000000-0005-0000-0000-000037420000}"/>
    <cellStyle name="20 % - Markeringsfarve6 3 2 7 2 2 2 2" xfId="33888" xr:uid="{00000000-0005-0000-0000-000038420000}"/>
    <cellStyle name="20 % - Markeringsfarve6 3 2 7 2 2 2 3" xfId="48847" xr:uid="{00000000-0005-0000-0000-000039420000}"/>
    <cellStyle name="20 % - Markeringsfarve6 3 2 7 2 2 3" xfId="26886" xr:uid="{00000000-0005-0000-0000-00003A420000}"/>
    <cellStyle name="20 % - Markeringsfarve6 3 2 7 2 2 4" xfId="41850" xr:uid="{00000000-0005-0000-0000-00003B420000}"/>
    <cellStyle name="20 % - Markeringsfarve6 3 2 7 2 3" xfId="13726" xr:uid="{00000000-0005-0000-0000-00003C420000}"/>
    <cellStyle name="20 % - Markeringsfarve6 3 2 7 2 3 2" xfId="30005" xr:uid="{00000000-0005-0000-0000-00003D420000}"/>
    <cellStyle name="20 % - Markeringsfarve6 3 2 7 2 3 3" xfId="44966" xr:uid="{00000000-0005-0000-0000-00003E420000}"/>
    <cellStyle name="20 % - Markeringsfarve6 3 2 7 2 4" xfId="23003" xr:uid="{00000000-0005-0000-0000-00003F420000}"/>
    <cellStyle name="20 % - Markeringsfarve6 3 2 7 2 5" xfId="37969" xr:uid="{00000000-0005-0000-0000-000040420000}"/>
    <cellStyle name="20 % - Markeringsfarve6 3 2 7 3" xfId="8351" xr:uid="{00000000-0005-0000-0000-000041420000}"/>
    <cellStyle name="20 % - Markeringsfarve6 3 2 7 3 2" xfId="16221" xr:uid="{00000000-0005-0000-0000-000042420000}"/>
    <cellStyle name="20 % - Markeringsfarve6 3 2 7 3 2 2" xfId="32497" xr:uid="{00000000-0005-0000-0000-000043420000}"/>
    <cellStyle name="20 % - Markeringsfarve6 3 2 7 3 2 3" xfId="47456" xr:uid="{00000000-0005-0000-0000-000044420000}"/>
    <cellStyle name="20 % - Markeringsfarve6 3 2 7 3 3" xfId="25495" xr:uid="{00000000-0005-0000-0000-000045420000}"/>
    <cellStyle name="20 % - Markeringsfarve6 3 2 7 3 4" xfId="40459" xr:uid="{00000000-0005-0000-0000-000046420000}"/>
    <cellStyle name="20 % - Markeringsfarve6 3 2 7 4" xfId="13725" xr:uid="{00000000-0005-0000-0000-000047420000}"/>
    <cellStyle name="20 % - Markeringsfarve6 3 2 7 4 2" xfId="30004" xr:uid="{00000000-0005-0000-0000-000048420000}"/>
    <cellStyle name="20 % - Markeringsfarve6 3 2 7 4 3" xfId="44965" xr:uid="{00000000-0005-0000-0000-000049420000}"/>
    <cellStyle name="20 % - Markeringsfarve6 3 2 7 5" xfId="23002" xr:uid="{00000000-0005-0000-0000-00004A420000}"/>
    <cellStyle name="20 % - Markeringsfarve6 3 2 7 6" xfId="37968" xr:uid="{00000000-0005-0000-0000-00004B420000}"/>
    <cellStyle name="20 % - Markeringsfarve6 3 2 8" xfId="5242" xr:uid="{00000000-0005-0000-0000-00004C420000}"/>
    <cellStyle name="20 % - Markeringsfarve6 3 2 8 2" xfId="8986" xr:uid="{00000000-0005-0000-0000-00004D420000}"/>
    <cellStyle name="20 % - Markeringsfarve6 3 2 8 2 2" xfId="16850" xr:uid="{00000000-0005-0000-0000-00004E420000}"/>
    <cellStyle name="20 % - Markeringsfarve6 3 2 8 2 2 2" xfId="33126" xr:uid="{00000000-0005-0000-0000-00004F420000}"/>
    <cellStyle name="20 % - Markeringsfarve6 3 2 8 2 2 3" xfId="48085" xr:uid="{00000000-0005-0000-0000-000050420000}"/>
    <cellStyle name="20 % - Markeringsfarve6 3 2 8 2 3" xfId="26124" xr:uid="{00000000-0005-0000-0000-000051420000}"/>
    <cellStyle name="20 % - Markeringsfarve6 3 2 8 2 4" xfId="41088" xr:uid="{00000000-0005-0000-0000-000052420000}"/>
    <cellStyle name="20 % - Markeringsfarve6 3 2 8 3" xfId="13727" xr:uid="{00000000-0005-0000-0000-000053420000}"/>
    <cellStyle name="20 % - Markeringsfarve6 3 2 8 3 2" xfId="30006" xr:uid="{00000000-0005-0000-0000-000054420000}"/>
    <cellStyle name="20 % - Markeringsfarve6 3 2 8 3 3" xfId="44967" xr:uid="{00000000-0005-0000-0000-000055420000}"/>
    <cellStyle name="20 % - Markeringsfarve6 3 2 8 4" xfId="23004" xr:uid="{00000000-0005-0000-0000-000056420000}"/>
    <cellStyle name="20 % - Markeringsfarve6 3 2 8 5" xfId="37970" xr:uid="{00000000-0005-0000-0000-000057420000}"/>
    <cellStyle name="20 % - Markeringsfarve6 3 2 9" xfId="5243" xr:uid="{00000000-0005-0000-0000-000058420000}"/>
    <cellStyle name="20 % - Markeringsfarve6 3 2 9 2" xfId="10706" xr:uid="{00000000-0005-0000-0000-000059420000}"/>
    <cellStyle name="20 % - Markeringsfarve6 3 2 9 2 2" xfId="18550" xr:uid="{00000000-0005-0000-0000-00005A420000}"/>
    <cellStyle name="20 % - Markeringsfarve6 3 2 9 2 2 2" xfId="34826" xr:uid="{00000000-0005-0000-0000-00005B420000}"/>
    <cellStyle name="20 % - Markeringsfarve6 3 2 9 2 2 3" xfId="49785" xr:uid="{00000000-0005-0000-0000-00005C420000}"/>
    <cellStyle name="20 % - Markeringsfarve6 3 2 9 2 3" xfId="27824" xr:uid="{00000000-0005-0000-0000-00005D420000}"/>
    <cellStyle name="20 % - Markeringsfarve6 3 2 9 2 4" xfId="42788" xr:uid="{00000000-0005-0000-0000-00005E420000}"/>
    <cellStyle name="20 % - Markeringsfarve6 3 2 9 3" xfId="13728" xr:uid="{00000000-0005-0000-0000-00005F420000}"/>
    <cellStyle name="20 % - Markeringsfarve6 3 2 9 3 2" xfId="30007" xr:uid="{00000000-0005-0000-0000-000060420000}"/>
    <cellStyle name="20 % - Markeringsfarve6 3 2 9 3 3" xfId="44968" xr:uid="{00000000-0005-0000-0000-000061420000}"/>
    <cellStyle name="20 % - Markeringsfarve6 3 2 9 4" xfId="23005" xr:uid="{00000000-0005-0000-0000-000062420000}"/>
    <cellStyle name="20 % - Markeringsfarve6 3 2 9 5" xfId="37971" xr:uid="{00000000-0005-0000-0000-000063420000}"/>
    <cellStyle name="20 % - Markeringsfarve6 3 3" xfId="5244" xr:uid="{00000000-0005-0000-0000-000064420000}"/>
    <cellStyle name="20 % - Markeringsfarve6 3 3 10" xfId="7930" xr:uid="{00000000-0005-0000-0000-000065420000}"/>
    <cellStyle name="20 % - Markeringsfarve6 3 3 10 2" xfId="15795" xr:uid="{00000000-0005-0000-0000-000066420000}"/>
    <cellStyle name="20 % - Markeringsfarve6 3 3 10 2 2" xfId="32071" xr:uid="{00000000-0005-0000-0000-000067420000}"/>
    <cellStyle name="20 % - Markeringsfarve6 3 3 10 2 3" xfId="47030" xr:uid="{00000000-0005-0000-0000-000068420000}"/>
    <cellStyle name="20 % - Markeringsfarve6 3 3 10 3" xfId="25069" xr:uid="{00000000-0005-0000-0000-000069420000}"/>
    <cellStyle name="20 % - Markeringsfarve6 3 3 10 4" xfId="40033" xr:uid="{00000000-0005-0000-0000-00006A420000}"/>
    <cellStyle name="20 % - Markeringsfarve6 3 3 11" xfId="13729" xr:uid="{00000000-0005-0000-0000-00006B420000}"/>
    <cellStyle name="20 % - Markeringsfarve6 3 3 11 2" xfId="30008" xr:uid="{00000000-0005-0000-0000-00006C420000}"/>
    <cellStyle name="20 % - Markeringsfarve6 3 3 11 3" xfId="44969" xr:uid="{00000000-0005-0000-0000-00006D420000}"/>
    <cellStyle name="20 % - Markeringsfarve6 3 3 12" xfId="23006" xr:uid="{00000000-0005-0000-0000-00006E420000}"/>
    <cellStyle name="20 % - Markeringsfarve6 3 3 13" xfId="37972" xr:uid="{00000000-0005-0000-0000-00006F420000}"/>
    <cellStyle name="20 % - Markeringsfarve6 3 3 2" xfId="5245" xr:uid="{00000000-0005-0000-0000-000070420000}"/>
    <cellStyle name="20 % - Markeringsfarve6 3 3 2 2" xfId="5246" xr:uid="{00000000-0005-0000-0000-000071420000}"/>
    <cellStyle name="20 % - Markeringsfarve6 3 3 2 2 2" xfId="5247" xr:uid="{00000000-0005-0000-0000-000072420000}"/>
    <cellStyle name="20 % - Markeringsfarve6 3 3 2 2 2 2" xfId="9915" xr:uid="{00000000-0005-0000-0000-000073420000}"/>
    <cellStyle name="20 % - Markeringsfarve6 3 3 2 2 2 2 2" xfId="17770" xr:uid="{00000000-0005-0000-0000-000074420000}"/>
    <cellStyle name="20 % - Markeringsfarve6 3 3 2 2 2 2 2 2" xfId="34046" xr:uid="{00000000-0005-0000-0000-000075420000}"/>
    <cellStyle name="20 % - Markeringsfarve6 3 3 2 2 2 2 2 3" xfId="49005" xr:uid="{00000000-0005-0000-0000-000076420000}"/>
    <cellStyle name="20 % - Markeringsfarve6 3 3 2 2 2 2 3" xfId="27044" xr:uid="{00000000-0005-0000-0000-000077420000}"/>
    <cellStyle name="20 % - Markeringsfarve6 3 3 2 2 2 2 4" xfId="42008" xr:uid="{00000000-0005-0000-0000-000078420000}"/>
    <cellStyle name="20 % - Markeringsfarve6 3 3 2 2 2 3" xfId="13732" xr:uid="{00000000-0005-0000-0000-000079420000}"/>
    <cellStyle name="20 % - Markeringsfarve6 3 3 2 2 2 3 2" xfId="30011" xr:uid="{00000000-0005-0000-0000-00007A420000}"/>
    <cellStyle name="20 % - Markeringsfarve6 3 3 2 2 2 3 3" xfId="44972" xr:uid="{00000000-0005-0000-0000-00007B420000}"/>
    <cellStyle name="20 % - Markeringsfarve6 3 3 2 2 2 4" xfId="23009" xr:uid="{00000000-0005-0000-0000-00007C420000}"/>
    <cellStyle name="20 % - Markeringsfarve6 3 3 2 2 2 5" xfId="37975" xr:uid="{00000000-0005-0000-0000-00007D420000}"/>
    <cellStyle name="20 % - Markeringsfarve6 3 3 2 2 3" xfId="8483" xr:uid="{00000000-0005-0000-0000-00007E420000}"/>
    <cellStyle name="20 % - Markeringsfarve6 3 3 2 2 3 2" xfId="16353" xr:uid="{00000000-0005-0000-0000-00007F420000}"/>
    <cellStyle name="20 % - Markeringsfarve6 3 3 2 2 3 2 2" xfId="32629" xr:uid="{00000000-0005-0000-0000-000080420000}"/>
    <cellStyle name="20 % - Markeringsfarve6 3 3 2 2 3 2 3" xfId="47588" xr:uid="{00000000-0005-0000-0000-000081420000}"/>
    <cellStyle name="20 % - Markeringsfarve6 3 3 2 2 3 3" xfId="25627" xr:uid="{00000000-0005-0000-0000-000082420000}"/>
    <cellStyle name="20 % - Markeringsfarve6 3 3 2 2 3 4" xfId="40591" xr:uid="{00000000-0005-0000-0000-000083420000}"/>
    <cellStyle name="20 % - Markeringsfarve6 3 3 2 2 4" xfId="13731" xr:uid="{00000000-0005-0000-0000-000084420000}"/>
    <cellStyle name="20 % - Markeringsfarve6 3 3 2 2 4 2" xfId="30010" xr:uid="{00000000-0005-0000-0000-000085420000}"/>
    <cellStyle name="20 % - Markeringsfarve6 3 3 2 2 4 3" xfId="44971" xr:uid="{00000000-0005-0000-0000-000086420000}"/>
    <cellStyle name="20 % - Markeringsfarve6 3 3 2 2 5" xfId="23008" xr:uid="{00000000-0005-0000-0000-000087420000}"/>
    <cellStyle name="20 % - Markeringsfarve6 3 3 2 2 6" xfId="37974" xr:uid="{00000000-0005-0000-0000-000088420000}"/>
    <cellStyle name="20 % - Markeringsfarve6 3 3 2 3" xfId="5248" xr:uid="{00000000-0005-0000-0000-000089420000}"/>
    <cellStyle name="20 % - Markeringsfarve6 3 3 2 3 2" xfId="9146" xr:uid="{00000000-0005-0000-0000-00008A420000}"/>
    <cellStyle name="20 % - Markeringsfarve6 3 3 2 3 2 2" xfId="17010" xr:uid="{00000000-0005-0000-0000-00008B420000}"/>
    <cellStyle name="20 % - Markeringsfarve6 3 3 2 3 2 2 2" xfId="33286" xr:uid="{00000000-0005-0000-0000-00008C420000}"/>
    <cellStyle name="20 % - Markeringsfarve6 3 3 2 3 2 2 3" xfId="48245" xr:uid="{00000000-0005-0000-0000-00008D420000}"/>
    <cellStyle name="20 % - Markeringsfarve6 3 3 2 3 2 3" xfId="26284" xr:uid="{00000000-0005-0000-0000-00008E420000}"/>
    <cellStyle name="20 % - Markeringsfarve6 3 3 2 3 2 4" xfId="41248" xr:uid="{00000000-0005-0000-0000-00008F420000}"/>
    <cellStyle name="20 % - Markeringsfarve6 3 3 2 3 3" xfId="13733" xr:uid="{00000000-0005-0000-0000-000090420000}"/>
    <cellStyle name="20 % - Markeringsfarve6 3 3 2 3 3 2" xfId="30012" xr:uid="{00000000-0005-0000-0000-000091420000}"/>
    <cellStyle name="20 % - Markeringsfarve6 3 3 2 3 3 3" xfId="44973" xr:uid="{00000000-0005-0000-0000-000092420000}"/>
    <cellStyle name="20 % - Markeringsfarve6 3 3 2 3 4" xfId="23010" xr:uid="{00000000-0005-0000-0000-000093420000}"/>
    <cellStyle name="20 % - Markeringsfarve6 3 3 2 3 5" xfId="37976" xr:uid="{00000000-0005-0000-0000-000094420000}"/>
    <cellStyle name="20 % - Markeringsfarve6 3 3 2 4" xfId="5249" xr:uid="{00000000-0005-0000-0000-000095420000}"/>
    <cellStyle name="20 % - Markeringsfarve6 3 3 2 4 2" xfId="10793" xr:uid="{00000000-0005-0000-0000-000096420000}"/>
    <cellStyle name="20 % - Markeringsfarve6 3 3 2 4 2 2" xfId="18635" xr:uid="{00000000-0005-0000-0000-000097420000}"/>
    <cellStyle name="20 % - Markeringsfarve6 3 3 2 4 2 2 2" xfId="34911" xr:uid="{00000000-0005-0000-0000-000098420000}"/>
    <cellStyle name="20 % - Markeringsfarve6 3 3 2 4 2 2 3" xfId="49870" xr:uid="{00000000-0005-0000-0000-000099420000}"/>
    <cellStyle name="20 % - Markeringsfarve6 3 3 2 4 2 3" xfId="27909" xr:uid="{00000000-0005-0000-0000-00009A420000}"/>
    <cellStyle name="20 % - Markeringsfarve6 3 3 2 4 2 4" xfId="42873" xr:uid="{00000000-0005-0000-0000-00009B420000}"/>
    <cellStyle name="20 % - Markeringsfarve6 3 3 2 4 3" xfId="13734" xr:uid="{00000000-0005-0000-0000-00009C420000}"/>
    <cellStyle name="20 % - Markeringsfarve6 3 3 2 4 3 2" xfId="30013" xr:uid="{00000000-0005-0000-0000-00009D420000}"/>
    <cellStyle name="20 % - Markeringsfarve6 3 3 2 4 3 3" xfId="44974" xr:uid="{00000000-0005-0000-0000-00009E420000}"/>
    <cellStyle name="20 % - Markeringsfarve6 3 3 2 4 4" xfId="23011" xr:uid="{00000000-0005-0000-0000-00009F420000}"/>
    <cellStyle name="20 % - Markeringsfarve6 3 3 2 4 5" xfId="37977" xr:uid="{00000000-0005-0000-0000-0000A0420000}"/>
    <cellStyle name="20 % - Markeringsfarve6 3 3 2 5" xfId="7931" xr:uid="{00000000-0005-0000-0000-0000A1420000}"/>
    <cellStyle name="20 % - Markeringsfarve6 3 3 2 5 2" xfId="15796" xr:uid="{00000000-0005-0000-0000-0000A2420000}"/>
    <cellStyle name="20 % - Markeringsfarve6 3 3 2 5 2 2" xfId="32072" xr:uid="{00000000-0005-0000-0000-0000A3420000}"/>
    <cellStyle name="20 % - Markeringsfarve6 3 3 2 5 2 3" xfId="47031" xr:uid="{00000000-0005-0000-0000-0000A4420000}"/>
    <cellStyle name="20 % - Markeringsfarve6 3 3 2 5 3" xfId="25070" xr:uid="{00000000-0005-0000-0000-0000A5420000}"/>
    <cellStyle name="20 % - Markeringsfarve6 3 3 2 5 4" xfId="40034" xr:uid="{00000000-0005-0000-0000-0000A6420000}"/>
    <cellStyle name="20 % - Markeringsfarve6 3 3 2 6" xfId="13730" xr:uid="{00000000-0005-0000-0000-0000A7420000}"/>
    <cellStyle name="20 % - Markeringsfarve6 3 3 2 6 2" xfId="30009" xr:uid="{00000000-0005-0000-0000-0000A8420000}"/>
    <cellStyle name="20 % - Markeringsfarve6 3 3 2 6 3" xfId="44970" xr:uid="{00000000-0005-0000-0000-0000A9420000}"/>
    <cellStyle name="20 % - Markeringsfarve6 3 3 2 7" xfId="23007" xr:uid="{00000000-0005-0000-0000-0000AA420000}"/>
    <cellStyle name="20 % - Markeringsfarve6 3 3 2 8" xfId="37973" xr:uid="{00000000-0005-0000-0000-0000AB420000}"/>
    <cellStyle name="20 % - Markeringsfarve6 3 3 3" xfId="5250" xr:uid="{00000000-0005-0000-0000-0000AC420000}"/>
    <cellStyle name="20 % - Markeringsfarve6 3 3 3 2" xfId="5251" xr:uid="{00000000-0005-0000-0000-0000AD420000}"/>
    <cellStyle name="20 % - Markeringsfarve6 3 3 3 2 2" xfId="5252" xr:uid="{00000000-0005-0000-0000-0000AE420000}"/>
    <cellStyle name="20 % - Markeringsfarve6 3 3 3 2 2 2" xfId="9982" xr:uid="{00000000-0005-0000-0000-0000AF420000}"/>
    <cellStyle name="20 % - Markeringsfarve6 3 3 3 2 2 2 2" xfId="17837" xr:uid="{00000000-0005-0000-0000-0000B0420000}"/>
    <cellStyle name="20 % - Markeringsfarve6 3 3 3 2 2 2 2 2" xfId="34113" xr:uid="{00000000-0005-0000-0000-0000B1420000}"/>
    <cellStyle name="20 % - Markeringsfarve6 3 3 3 2 2 2 2 3" xfId="49072" xr:uid="{00000000-0005-0000-0000-0000B2420000}"/>
    <cellStyle name="20 % - Markeringsfarve6 3 3 3 2 2 2 3" xfId="27111" xr:uid="{00000000-0005-0000-0000-0000B3420000}"/>
    <cellStyle name="20 % - Markeringsfarve6 3 3 3 2 2 2 4" xfId="42075" xr:uid="{00000000-0005-0000-0000-0000B4420000}"/>
    <cellStyle name="20 % - Markeringsfarve6 3 3 3 2 2 3" xfId="13737" xr:uid="{00000000-0005-0000-0000-0000B5420000}"/>
    <cellStyle name="20 % - Markeringsfarve6 3 3 3 2 2 3 2" xfId="30016" xr:uid="{00000000-0005-0000-0000-0000B6420000}"/>
    <cellStyle name="20 % - Markeringsfarve6 3 3 3 2 2 3 3" xfId="44977" xr:uid="{00000000-0005-0000-0000-0000B7420000}"/>
    <cellStyle name="20 % - Markeringsfarve6 3 3 3 2 2 4" xfId="23014" xr:uid="{00000000-0005-0000-0000-0000B8420000}"/>
    <cellStyle name="20 % - Markeringsfarve6 3 3 3 2 2 5" xfId="37980" xr:uid="{00000000-0005-0000-0000-0000B9420000}"/>
    <cellStyle name="20 % - Markeringsfarve6 3 3 3 2 3" xfId="8538" xr:uid="{00000000-0005-0000-0000-0000BA420000}"/>
    <cellStyle name="20 % - Markeringsfarve6 3 3 3 2 3 2" xfId="16408" xr:uid="{00000000-0005-0000-0000-0000BB420000}"/>
    <cellStyle name="20 % - Markeringsfarve6 3 3 3 2 3 2 2" xfId="32684" xr:uid="{00000000-0005-0000-0000-0000BC420000}"/>
    <cellStyle name="20 % - Markeringsfarve6 3 3 3 2 3 2 3" xfId="47643" xr:uid="{00000000-0005-0000-0000-0000BD420000}"/>
    <cellStyle name="20 % - Markeringsfarve6 3 3 3 2 3 3" xfId="25682" xr:uid="{00000000-0005-0000-0000-0000BE420000}"/>
    <cellStyle name="20 % - Markeringsfarve6 3 3 3 2 3 4" xfId="40646" xr:uid="{00000000-0005-0000-0000-0000BF420000}"/>
    <cellStyle name="20 % - Markeringsfarve6 3 3 3 2 4" xfId="13736" xr:uid="{00000000-0005-0000-0000-0000C0420000}"/>
    <cellStyle name="20 % - Markeringsfarve6 3 3 3 2 4 2" xfId="30015" xr:uid="{00000000-0005-0000-0000-0000C1420000}"/>
    <cellStyle name="20 % - Markeringsfarve6 3 3 3 2 4 3" xfId="44976" xr:uid="{00000000-0005-0000-0000-0000C2420000}"/>
    <cellStyle name="20 % - Markeringsfarve6 3 3 3 2 5" xfId="23013" xr:uid="{00000000-0005-0000-0000-0000C3420000}"/>
    <cellStyle name="20 % - Markeringsfarve6 3 3 3 2 6" xfId="37979" xr:uid="{00000000-0005-0000-0000-0000C4420000}"/>
    <cellStyle name="20 % - Markeringsfarve6 3 3 3 3" xfId="5253" xr:uid="{00000000-0005-0000-0000-0000C5420000}"/>
    <cellStyle name="20 % - Markeringsfarve6 3 3 3 3 2" xfId="9213" xr:uid="{00000000-0005-0000-0000-0000C6420000}"/>
    <cellStyle name="20 % - Markeringsfarve6 3 3 3 3 2 2" xfId="17077" xr:uid="{00000000-0005-0000-0000-0000C7420000}"/>
    <cellStyle name="20 % - Markeringsfarve6 3 3 3 3 2 2 2" xfId="33353" xr:uid="{00000000-0005-0000-0000-0000C8420000}"/>
    <cellStyle name="20 % - Markeringsfarve6 3 3 3 3 2 2 3" xfId="48312" xr:uid="{00000000-0005-0000-0000-0000C9420000}"/>
    <cellStyle name="20 % - Markeringsfarve6 3 3 3 3 2 3" xfId="26351" xr:uid="{00000000-0005-0000-0000-0000CA420000}"/>
    <cellStyle name="20 % - Markeringsfarve6 3 3 3 3 2 4" xfId="41315" xr:uid="{00000000-0005-0000-0000-0000CB420000}"/>
    <cellStyle name="20 % - Markeringsfarve6 3 3 3 3 3" xfId="13738" xr:uid="{00000000-0005-0000-0000-0000CC420000}"/>
    <cellStyle name="20 % - Markeringsfarve6 3 3 3 3 3 2" xfId="30017" xr:uid="{00000000-0005-0000-0000-0000CD420000}"/>
    <cellStyle name="20 % - Markeringsfarve6 3 3 3 3 3 3" xfId="44978" xr:uid="{00000000-0005-0000-0000-0000CE420000}"/>
    <cellStyle name="20 % - Markeringsfarve6 3 3 3 3 4" xfId="23015" xr:uid="{00000000-0005-0000-0000-0000CF420000}"/>
    <cellStyle name="20 % - Markeringsfarve6 3 3 3 3 5" xfId="37981" xr:uid="{00000000-0005-0000-0000-0000D0420000}"/>
    <cellStyle name="20 % - Markeringsfarve6 3 3 3 4" xfId="5254" xr:uid="{00000000-0005-0000-0000-0000D1420000}"/>
    <cellStyle name="20 % - Markeringsfarve6 3 3 3 4 2" xfId="10443" xr:uid="{00000000-0005-0000-0000-0000D2420000}"/>
    <cellStyle name="20 % - Markeringsfarve6 3 3 3 4 2 2" xfId="18295" xr:uid="{00000000-0005-0000-0000-0000D3420000}"/>
    <cellStyle name="20 % - Markeringsfarve6 3 3 3 4 2 2 2" xfId="34571" xr:uid="{00000000-0005-0000-0000-0000D4420000}"/>
    <cellStyle name="20 % - Markeringsfarve6 3 3 3 4 2 2 3" xfId="49530" xr:uid="{00000000-0005-0000-0000-0000D5420000}"/>
    <cellStyle name="20 % - Markeringsfarve6 3 3 3 4 2 3" xfId="27569" xr:uid="{00000000-0005-0000-0000-0000D6420000}"/>
    <cellStyle name="20 % - Markeringsfarve6 3 3 3 4 2 4" xfId="42533" xr:uid="{00000000-0005-0000-0000-0000D7420000}"/>
    <cellStyle name="20 % - Markeringsfarve6 3 3 3 4 3" xfId="13739" xr:uid="{00000000-0005-0000-0000-0000D8420000}"/>
    <cellStyle name="20 % - Markeringsfarve6 3 3 3 4 3 2" xfId="30018" xr:uid="{00000000-0005-0000-0000-0000D9420000}"/>
    <cellStyle name="20 % - Markeringsfarve6 3 3 3 4 3 3" xfId="44979" xr:uid="{00000000-0005-0000-0000-0000DA420000}"/>
    <cellStyle name="20 % - Markeringsfarve6 3 3 3 4 4" xfId="23016" xr:uid="{00000000-0005-0000-0000-0000DB420000}"/>
    <cellStyle name="20 % - Markeringsfarve6 3 3 3 4 5" xfId="37982" xr:uid="{00000000-0005-0000-0000-0000DC420000}"/>
    <cellStyle name="20 % - Markeringsfarve6 3 3 3 5" xfId="7932" xr:uid="{00000000-0005-0000-0000-0000DD420000}"/>
    <cellStyle name="20 % - Markeringsfarve6 3 3 3 5 2" xfId="15797" xr:uid="{00000000-0005-0000-0000-0000DE420000}"/>
    <cellStyle name="20 % - Markeringsfarve6 3 3 3 5 2 2" xfId="32073" xr:uid="{00000000-0005-0000-0000-0000DF420000}"/>
    <cellStyle name="20 % - Markeringsfarve6 3 3 3 5 2 3" xfId="47032" xr:uid="{00000000-0005-0000-0000-0000E0420000}"/>
    <cellStyle name="20 % - Markeringsfarve6 3 3 3 5 3" xfId="25071" xr:uid="{00000000-0005-0000-0000-0000E1420000}"/>
    <cellStyle name="20 % - Markeringsfarve6 3 3 3 5 4" xfId="40035" xr:uid="{00000000-0005-0000-0000-0000E2420000}"/>
    <cellStyle name="20 % - Markeringsfarve6 3 3 3 6" xfId="13735" xr:uid="{00000000-0005-0000-0000-0000E3420000}"/>
    <cellStyle name="20 % - Markeringsfarve6 3 3 3 6 2" xfId="30014" xr:uid="{00000000-0005-0000-0000-0000E4420000}"/>
    <cellStyle name="20 % - Markeringsfarve6 3 3 3 6 3" xfId="44975" xr:uid="{00000000-0005-0000-0000-0000E5420000}"/>
    <cellStyle name="20 % - Markeringsfarve6 3 3 3 7" xfId="23012" xr:uid="{00000000-0005-0000-0000-0000E6420000}"/>
    <cellStyle name="20 % - Markeringsfarve6 3 3 3 8" xfId="37978" xr:uid="{00000000-0005-0000-0000-0000E7420000}"/>
    <cellStyle name="20 % - Markeringsfarve6 3 3 4" xfId="5255" xr:uid="{00000000-0005-0000-0000-0000E8420000}"/>
    <cellStyle name="20 % - Markeringsfarve6 3 3 4 2" xfId="5256" xr:uid="{00000000-0005-0000-0000-0000E9420000}"/>
    <cellStyle name="20 % - Markeringsfarve6 3 3 4 2 2" xfId="5257" xr:uid="{00000000-0005-0000-0000-0000EA420000}"/>
    <cellStyle name="20 % - Markeringsfarve6 3 3 4 2 2 2" xfId="10153" xr:uid="{00000000-0005-0000-0000-0000EB420000}"/>
    <cellStyle name="20 % - Markeringsfarve6 3 3 4 2 2 2 2" xfId="18008" xr:uid="{00000000-0005-0000-0000-0000EC420000}"/>
    <cellStyle name="20 % - Markeringsfarve6 3 3 4 2 2 2 2 2" xfId="34284" xr:uid="{00000000-0005-0000-0000-0000ED420000}"/>
    <cellStyle name="20 % - Markeringsfarve6 3 3 4 2 2 2 2 3" xfId="49243" xr:uid="{00000000-0005-0000-0000-0000EE420000}"/>
    <cellStyle name="20 % - Markeringsfarve6 3 3 4 2 2 2 3" xfId="27282" xr:uid="{00000000-0005-0000-0000-0000EF420000}"/>
    <cellStyle name="20 % - Markeringsfarve6 3 3 4 2 2 2 4" xfId="42246" xr:uid="{00000000-0005-0000-0000-0000F0420000}"/>
    <cellStyle name="20 % - Markeringsfarve6 3 3 4 2 2 3" xfId="13742" xr:uid="{00000000-0005-0000-0000-0000F1420000}"/>
    <cellStyle name="20 % - Markeringsfarve6 3 3 4 2 2 3 2" xfId="30021" xr:uid="{00000000-0005-0000-0000-0000F2420000}"/>
    <cellStyle name="20 % - Markeringsfarve6 3 3 4 2 2 3 3" xfId="44982" xr:uid="{00000000-0005-0000-0000-0000F3420000}"/>
    <cellStyle name="20 % - Markeringsfarve6 3 3 4 2 2 4" xfId="23019" xr:uid="{00000000-0005-0000-0000-0000F4420000}"/>
    <cellStyle name="20 % - Markeringsfarve6 3 3 4 2 2 5" xfId="37985" xr:uid="{00000000-0005-0000-0000-0000F5420000}"/>
    <cellStyle name="20 % - Markeringsfarve6 3 3 4 2 3" xfId="8685" xr:uid="{00000000-0005-0000-0000-0000F6420000}"/>
    <cellStyle name="20 % - Markeringsfarve6 3 3 4 2 3 2" xfId="16552" xr:uid="{00000000-0005-0000-0000-0000F7420000}"/>
    <cellStyle name="20 % - Markeringsfarve6 3 3 4 2 3 2 2" xfId="32828" xr:uid="{00000000-0005-0000-0000-0000F8420000}"/>
    <cellStyle name="20 % - Markeringsfarve6 3 3 4 2 3 2 3" xfId="47787" xr:uid="{00000000-0005-0000-0000-0000F9420000}"/>
    <cellStyle name="20 % - Markeringsfarve6 3 3 4 2 3 3" xfId="25826" xr:uid="{00000000-0005-0000-0000-0000FA420000}"/>
    <cellStyle name="20 % - Markeringsfarve6 3 3 4 2 3 4" xfId="40790" xr:uid="{00000000-0005-0000-0000-0000FB420000}"/>
    <cellStyle name="20 % - Markeringsfarve6 3 3 4 2 4" xfId="13741" xr:uid="{00000000-0005-0000-0000-0000FC420000}"/>
    <cellStyle name="20 % - Markeringsfarve6 3 3 4 2 4 2" xfId="30020" xr:uid="{00000000-0005-0000-0000-0000FD420000}"/>
    <cellStyle name="20 % - Markeringsfarve6 3 3 4 2 4 3" xfId="44981" xr:uid="{00000000-0005-0000-0000-0000FE420000}"/>
    <cellStyle name="20 % - Markeringsfarve6 3 3 4 2 5" xfId="23018" xr:uid="{00000000-0005-0000-0000-0000FF420000}"/>
    <cellStyle name="20 % - Markeringsfarve6 3 3 4 2 6" xfId="37984" xr:uid="{00000000-0005-0000-0000-000000430000}"/>
    <cellStyle name="20 % - Markeringsfarve6 3 3 4 3" xfId="5258" xr:uid="{00000000-0005-0000-0000-000001430000}"/>
    <cellStyle name="20 % - Markeringsfarve6 3 3 4 3 2" xfId="9430" xr:uid="{00000000-0005-0000-0000-000002430000}"/>
    <cellStyle name="20 % - Markeringsfarve6 3 3 4 3 2 2" xfId="17293" xr:uid="{00000000-0005-0000-0000-000003430000}"/>
    <cellStyle name="20 % - Markeringsfarve6 3 3 4 3 2 2 2" xfId="33569" xr:uid="{00000000-0005-0000-0000-000004430000}"/>
    <cellStyle name="20 % - Markeringsfarve6 3 3 4 3 2 2 3" xfId="48528" xr:uid="{00000000-0005-0000-0000-000005430000}"/>
    <cellStyle name="20 % - Markeringsfarve6 3 3 4 3 2 3" xfId="26567" xr:uid="{00000000-0005-0000-0000-000006430000}"/>
    <cellStyle name="20 % - Markeringsfarve6 3 3 4 3 2 4" xfId="41531" xr:uid="{00000000-0005-0000-0000-000007430000}"/>
    <cellStyle name="20 % - Markeringsfarve6 3 3 4 3 3" xfId="13743" xr:uid="{00000000-0005-0000-0000-000008430000}"/>
    <cellStyle name="20 % - Markeringsfarve6 3 3 4 3 3 2" xfId="30022" xr:uid="{00000000-0005-0000-0000-000009430000}"/>
    <cellStyle name="20 % - Markeringsfarve6 3 3 4 3 3 3" xfId="44983" xr:uid="{00000000-0005-0000-0000-00000A430000}"/>
    <cellStyle name="20 % - Markeringsfarve6 3 3 4 3 4" xfId="23020" xr:uid="{00000000-0005-0000-0000-00000B430000}"/>
    <cellStyle name="20 % - Markeringsfarve6 3 3 4 3 5" xfId="37986" xr:uid="{00000000-0005-0000-0000-00000C430000}"/>
    <cellStyle name="20 % - Markeringsfarve6 3 3 4 4" xfId="5259" xr:uid="{00000000-0005-0000-0000-00000D430000}"/>
    <cellStyle name="20 % - Markeringsfarve6 3 3 4 4 2" xfId="8961" xr:uid="{00000000-0005-0000-0000-00000E430000}"/>
    <cellStyle name="20 % - Markeringsfarve6 3 3 4 4 2 2" xfId="16825" xr:uid="{00000000-0005-0000-0000-00000F430000}"/>
    <cellStyle name="20 % - Markeringsfarve6 3 3 4 4 2 2 2" xfId="33101" xr:uid="{00000000-0005-0000-0000-000010430000}"/>
    <cellStyle name="20 % - Markeringsfarve6 3 3 4 4 2 2 3" xfId="48060" xr:uid="{00000000-0005-0000-0000-000011430000}"/>
    <cellStyle name="20 % - Markeringsfarve6 3 3 4 4 2 3" xfId="26099" xr:uid="{00000000-0005-0000-0000-000012430000}"/>
    <cellStyle name="20 % - Markeringsfarve6 3 3 4 4 2 4" xfId="41063" xr:uid="{00000000-0005-0000-0000-000013430000}"/>
    <cellStyle name="20 % - Markeringsfarve6 3 3 4 4 3" xfId="13744" xr:uid="{00000000-0005-0000-0000-000014430000}"/>
    <cellStyle name="20 % - Markeringsfarve6 3 3 4 4 3 2" xfId="30023" xr:uid="{00000000-0005-0000-0000-000015430000}"/>
    <cellStyle name="20 % - Markeringsfarve6 3 3 4 4 3 3" xfId="44984" xr:uid="{00000000-0005-0000-0000-000016430000}"/>
    <cellStyle name="20 % - Markeringsfarve6 3 3 4 4 4" xfId="23021" xr:uid="{00000000-0005-0000-0000-000017430000}"/>
    <cellStyle name="20 % - Markeringsfarve6 3 3 4 4 5" xfId="37987" xr:uid="{00000000-0005-0000-0000-000018430000}"/>
    <cellStyle name="20 % - Markeringsfarve6 3 3 4 5" xfId="7933" xr:uid="{00000000-0005-0000-0000-000019430000}"/>
    <cellStyle name="20 % - Markeringsfarve6 3 3 4 5 2" xfId="15798" xr:uid="{00000000-0005-0000-0000-00001A430000}"/>
    <cellStyle name="20 % - Markeringsfarve6 3 3 4 5 2 2" xfId="32074" xr:uid="{00000000-0005-0000-0000-00001B430000}"/>
    <cellStyle name="20 % - Markeringsfarve6 3 3 4 5 2 3" xfId="47033" xr:uid="{00000000-0005-0000-0000-00001C430000}"/>
    <cellStyle name="20 % - Markeringsfarve6 3 3 4 5 3" xfId="25072" xr:uid="{00000000-0005-0000-0000-00001D430000}"/>
    <cellStyle name="20 % - Markeringsfarve6 3 3 4 5 4" xfId="40036" xr:uid="{00000000-0005-0000-0000-00001E430000}"/>
    <cellStyle name="20 % - Markeringsfarve6 3 3 4 6" xfId="13740" xr:uid="{00000000-0005-0000-0000-00001F430000}"/>
    <cellStyle name="20 % - Markeringsfarve6 3 3 4 6 2" xfId="30019" xr:uid="{00000000-0005-0000-0000-000020430000}"/>
    <cellStyle name="20 % - Markeringsfarve6 3 3 4 6 3" xfId="44980" xr:uid="{00000000-0005-0000-0000-000021430000}"/>
    <cellStyle name="20 % - Markeringsfarve6 3 3 4 7" xfId="23017" xr:uid="{00000000-0005-0000-0000-000022430000}"/>
    <cellStyle name="20 % - Markeringsfarve6 3 3 4 8" xfId="37983" xr:uid="{00000000-0005-0000-0000-000023430000}"/>
    <cellStyle name="20 % - Markeringsfarve6 3 3 5" xfId="5260" xr:uid="{00000000-0005-0000-0000-000024430000}"/>
    <cellStyle name="20 % - Markeringsfarve6 3 3 5 2" xfId="5261" xr:uid="{00000000-0005-0000-0000-000025430000}"/>
    <cellStyle name="20 % - Markeringsfarve6 3 3 5 2 2" xfId="5262" xr:uid="{00000000-0005-0000-0000-000026430000}"/>
    <cellStyle name="20 % - Markeringsfarve6 3 3 5 2 2 2" xfId="10270" xr:uid="{00000000-0005-0000-0000-000027430000}"/>
    <cellStyle name="20 % - Markeringsfarve6 3 3 5 2 2 2 2" xfId="18125" xr:uid="{00000000-0005-0000-0000-000028430000}"/>
    <cellStyle name="20 % - Markeringsfarve6 3 3 5 2 2 2 2 2" xfId="34401" xr:uid="{00000000-0005-0000-0000-000029430000}"/>
    <cellStyle name="20 % - Markeringsfarve6 3 3 5 2 2 2 2 3" xfId="49360" xr:uid="{00000000-0005-0000-0000-00002A430000}"/>
    <cellStyle name="20 % - Markeringsfarve6 3 3 5 2 2 2 3" xfId="27399" xr:uid="{00000000-0005-0000-0000-00002B430000}"/>
    <cellStyle name="20 % - Markeringsfarve6 3 3 5 2 2 2 4" xfId="42363" xr:uid="{00000000-0005-0000-0000-00002C430000}"/>
    <cellStyle name="20 % - Markeringsfarve6 3 3 5 2 2 3" xfId="13747" xr:uid="{00000000-0005-0000-0000-00002D430000}"/>
    <cellStyle name="20 % - Markeringsfarve6 3 3 5 2 2 3 2" xfId="30026" xr:uid="{00000000-0005-0000-0000-00002E430000}"/>
    <cellStyle name="20 % - Markeringsfarve6 3 3 5 2 2 3 3" xfId="44987" xr:uid="{00000000-0005-0000-0000-00002F430000}"/>
    <cellStyle name="20 % - Markeringsfarve6 3 3 5 2 2 4" xfId="23024" xr:uid="{00000000-0005-0000-0000-000030430000}"/>
    <cellStyle name="20 % - Markeringsfarve6 3 3 5 2 2 5" xfId="37990" xr:uid="{00000000-0005-0000-0000-000031430000}"/>
    <cellStyle name="20 % - Markeringsfarve6 3 3 5 2 3" xfId="8784" xr:uid="{00000000-0005-0000-0000-000032430000}"/>
    <cellStyle name="20 % - Markeringsfarve6 3 3 5 2 3 2" xfId="16651" xr:uid="{00000000-0005-0000-0000-000033430000}"/>
    <cellStyle name="20 % - Markeringsfarve6 3 3 5 2 3 2 2" xfId="32927" xr:uid="{00000000-0005-0000-0000-000034430000}"/>
    <cellStyle name="20 % - Markeringsfarve6 3 3 5 2 3 2 3" xfId="47886" xr:uid="{00000000-0005-0000-0000-000035430000}"/>
    <cellStyle name="20 % - Markeringsfarve6 3 3 5 2 3 3" xfId="25925" xr:uid="{00000000-0005-0000-0000-000036430000}"/>
    <cellStyle name="20 % - Markeringsfarve6 3 3 5 2 3 4" xfId="40889" xr:uid="{00000000-0005-0000-0000-000037430000}"/>
    <cellStyle name="20 % - Markeringsfarve6 3 3 5 2 4" xfId="13746" xr:uid="{00000000-0005-0000-0000-000038430000}"/>
    <cellStyle name="20 % - Markeringsfarve6 3 3 5 2 4 2" xfId="30025" xr:uid="{00000000-0005-0000-0000-000039430000}"/>
    <cellStyle name="20 % - Markeringsfarve6 3 3 5 2 4 3" xfId="44986" xr:uid="{00000000-0005-0000-0000-00003A430000}"/>
    <cellStyle name="20 % - Markeringsfarve6 3 3 5 2 5" xfId="23023" xr:uid="{00000000-0005-0000-0000-00003B430000}"/>
    <cellStyle name="20 % - Markeringsfarve6 3 3 5 2 6" xfId="37989" xr:uid="{00000000-0005-0000-0000-00003C430000}"/>
    <cellStyle name="20 % - Markeringsfarve6 3 3 5 3" xfId="5263" xr:uid="{00000000-0005-0000-0000-00003D430000}"/>
    <cellStyle name="20 % - Markeringsfarve6 3 3 5 3 2" xfId="9547" xr:uid="{00000000-0005-0000-0000-00003E430000}"/>
    <cellStyle name="20 % - Markeringsfarve6 3 3 5 3 2 2" xfId="17410" xr:uid="{00000000-0005-0000-0000-00003F430000}"/>
    <cellStyle name="20 % - Markeringsfarve6 3 3 5 3 2 2 2" xfId="33686" xr:uid="{00000000-0005-0000-0000-000040430000}"/>
    <cellStyle name="20 % - Markeringsfarve6 3 3 5 3 2 2 3" xfId="48645" xr:uid="{00000000-0005-0000-0000-000041430000}"/>
    <cellStyle name="20 % - Markeringsfarve6 3 3 5 3 2 3" xfId="26684" xr:uid="{00000000-0005-0000-0000-000042430000}"/>
    <cellStyle name="20 % - Markeringsfarve6 3 3 5 3 2 4" xfId="41648" xr:uid="{00000000-0005-0000-0000-000043430000}"/>
    <cellStyle name="20 % - Markeringsfarve6 3 3 5 3 3" xfId="13748" xr:uid="{00000000-0005-0000-0000-000044430000}"/>
    <cellStyle name="20 % - Markeringsfarve6 3 3 5 3 3 2" xfId="30027" xr:uid="{00000000-0005-0000-0000-000045430000}"/>
    <cellStyle name="20 % - Markeringsfarve6 3 3 5 3 3 3" xfId="44988" xr:uid="{00000000-0005-0000-0000-000046430000}"/>
    <cellStyle name="20 % - Markeringsfarve6 3 3 5 3 4" xfId="23025" xr:uid="{00000000-0005-0000-0000-000047430000}"/>
    <cellStyle name="20 % - Markeringsfarve6 3 3 5 3 5" xfId="37991" xr:uid="{00000000-0005-0000-0000-000048430000}"/>
    <cellStyle name="20 % - Markeringsfarve6 3 3 5 4" xfId="5264" xr:uid="{00000000-0005-0000-0000-000049430000}"/>
    <cellStyle name="20 % - Markeringsfarve6 3 3 5 4 2" xfId="10743" xr:uid="{00000000-0005-0000-0000-00004A430000}"/>
    <cellStyle name="20 % - Markeringsfarve6 3 3 5 4 2 2" xfId="18586" xr:uid="{00000000-0005-0000-0000-00004B430000}"/>
    <cellStyle name="20 % - Markeringsfarve6 3 3 5 4 2 2 2" xfId="34862" xr:uid="{00000000-0005-0000-0000-00004C430000}"/>
    <cellStyle name="20 % - Markeringsfarve6 3 3 5 4 2 2 3" xfId="49821" xr:uid="{00000000-0005-0000-0000-00004D430000}"/>
    <cellStyle name="20 % - Markeringsfarve6 3 3 5 4 2 3" xfId="27860" xr:uid="{00000000-0005-0000-0000-00004E430000}"/>
    <cellStyle name="20 % - Markeringsfarve6 3 3 5 4 2 4" xfId="42824" xr:uid="{00000000-0005-0000-0000-00004F430000}"/>
    <cellStyle name="20 % - Markeringsfarve6 3 3 5 4 3" xfId="13749" xr:uid="{00000000-0005-0000-0000-000050430000}"/>
    <cellStyle name="20 % - Markeringsfarve6 3 3 5 4 3 2" xfId="30028" xr:uid="{00000000-0005-0000-0000-000051430000}"/>
    <cellStyle name="20 % - Markeringsfarve6 3 3 5 4 3 3" xfId="44989" xr:uid="{00000000-0005-0000-0000-000052430000}"/>
    <cellStyle name="20 % - Markeringsfarve6 3 3 5 4 4" xfId="23026" xr:uid="{00000000-0005-0000-0000-000053430000}"/>
    <cellStyle name="20 % - Markeringsfarve6 3 3 5 4 5" xfId="37992" xr:uid="{00000000-0005-0000-0000-000054430000}"/>
    <cellStyle name="20 % - Markeringsfarve6 3 3 5 5" xfId="7934" xr:uid="{00000000-0005-0000-0000-000055430000}"/>
    <cellStyle name="20 % - Markeringsfarve6 3 3 5 5 2" xfId="15799" xr:uid="{00000000-0005-0000-0000-000056430000}"/>
    <cellStyle name="20 % - Markeringsfarve6 3 3 5 5 2 2" xfId="32075" xr:uid="{00000000-0005-0000-0000-000057430000}"/>
    <cellStyle name="20 % - Markeringsfarve6 3 3 5 5 2 3" xfId="47034" xr:uid="{00000000-0005-0000-0000-000058430000}"/>
    <cellStyle name="20 % - Markeringsfarve6 3 3 5 5 3" xfId="25073" xr:uid="{00000000-0005-0000-0000-000059430000}"/>
    <cellStyle name="20 % - Markeringsfarve6 3 3 5 5 4" xfId="40037" xr:uid="{00000000-0005-0000-0000-00005A430000}"/>
    <cellStyle name="20 % - Markeringsfarve6 3 3 5 6" xfId="13745" xr:uid="{00000000-0005-0000-0000-00005B430000}"/>
    <cellStyle name="20 % - Markeringsfarve6 3 3 5 6 2" xfId="30024" xr:uid="{00000000-0005-0000-0000-00005C430000}"/>
    <cellStyle name="20 % - Markeringsfarve6 3 3 5 6 3" xfId="44985" xr:uid="{00000000-0005-0000-0000-00005D430000}"/>
    <cellStyle name="20 % - Markeringsfarve6 3 3 5 7" xfId="23022" xr:uid="{00000000-0005-0000-0000-00005E430000}"/>
    <cellStyle name="20 % - Markeringsfarve6 3 3 5 8" xfId="37988" xr:uid="{00000000-0005-0000-0000-00005F430000}"/>
    <cellStyle name="20 % - Markeringsfarve6 3 3 6" xfId="5265" xr:uid="{00000000-0005-0000-0000-000060430000}"/>
    <cellStyle name="20 % - Markeringsfarve6 3 3 6 2" xfId="5266" xr:uid="{00000000-0005-0000-0000-000061430000}"/>
    <cellStyle name="20 % - Markeringsfarve6 3 3 6 2 2" xfId="5267" xr:uid="{00000000-0005-0000-0000-000062430000}"/>
    <cellStyle name="20 % - Markeringsfarve6 3 3 6 2 2 2" xfId="10336" xr:uid="{00000000-0005-0000-0000-000063430000}"/>
    <cellStyle name="20 % - Markeringsfarve6 3 3 6 2 2 2 2" xfId="18191" xr:uid="{00000000-0005-0000-0000-000064430000}"/>
    <cellStyle name="20 % - Markeringsfarve6 3 3 6 2 2 2 2 2" xfId="34467" xr:uid="{00000000-0005-0000-0000-000065430000}"/>
    <cellStyle name="20 % - Markeringsfarve6 3 3 6 2 2 2 2 3" xfId="49426" xr:uid="{00000000-0005-0000-0000-000066430000}"/>
    <cellStyle name="20 % - Markeringsfarve6 3 3 6 2 2 2 3" xfId="27465" xr:uid="{00000000-0005-0000-0000-000067430000}"/>
    <cellStyle name="20 % - Markeringsfarve6 3 3 6 2 2 2 4" xfId="42429" xr:uid="{00000000-0005-0000-0000-000068430000}"/>
    <cellStyle name="20 % - Markeringsfarve6 3 3 6 2 2 3" xfId="13752" xr:uid="{00000000-0005-0000-0000-000069430000}"/>
    <cellStyle name="20 % - Markeringsfarve6 3 3 6 2 2 3 2" xfId="30031" xr:uid="{00000000-0005-0000-0000-00006A430000}"/>
    <cellStyle name="20 % - Markeringsfarve6 3 3 6 2 2 3 3" xfId="44992" xr:uid="{00000000-0005-0000-0000-00006B430000}"/>
    <cellStyle name="20 % - Markeringsfarve6 3 3 6 2 2 4" xfId="23029" xr:uid="{00000000-0005-0000-0000-00006C430000}"/>
    <cellStyle name="20 % - Markeringsfarve6 3 3 6 2 2 5" xfId="37995" xr:uid="{00000000-0005-0000-0000-00006D430000}"/>
    <cellStyle name="20 % - Markeringsfarve6 3 3 6 2 3" xfId="8839" xr:uid="{00000000-0005-0000-0000-00006E430000}"/>
    <cellStyle name="20 % - Markeringsfarve6 3 3 6 2 3 2" xfId="16706" xr:uid="{00000000-0005-0000-0000-00006F430000}"/>
    <cellStyle name="20 % - Markeringsfarve6 3 3 6 2 3 2 2" xfId="32982" xr:uid="{00000000-0005-0000-0000-000070430000}"/>
    <cellStyle name="20 % - Markeringsfarve6 3 3 6 2 3 2 3" xfId="47941" xr:uid="{00000000-0005-0000-0000-000071430000}"/>
    <cellStyle name="20 % - Markeringsfarve6 3 3 6 2 3 3" xfId="25980" xr:uid="{00000000-0005-0000-0000-000072430000}"/>
    <cellStyle name="20 % - Markeringsfarve6 3 3 6 2 3 4" xfId="40944" xr:uid="{00000000-0005-0000-0000-000073430000}"/>
    <cellStyle name="20 % - Markeringsfarve6 3 3 6 2 4" xfId="13751" xr:uid="{00000000-0005-0000-0000-000074430000}"/>
    <cellStyle name="20 % - Markeringsfarve6 3 3 6 2 4 2" xfId="30030" xr:uid="{00000000-0005-0000-0000-000075430000}"/>
    <cellStyle name="20 % - Markeringsfarve6 3 3 6 2 4 3" xfId="44991" xr:uid="{00000000-0005-0000-0000-000076430000}"/>
    <cellStyle name="20 % - Markeringsfarve6 3 3 6 2 5" xfId="23028" xr:uid="{00000000-0005-0000-0000-000077430000}"/>
    <cellStyle name="20 % - Markeringsfarve6 3 3 6 2 6" xfId="37994" xr:uid="{00000000-0005-0000-0000-000078430000}"/>
    <cellStyle name="20 % - Markeringsfarve6 3 3 6 3" xfId="5268" xr:uid="{00000000-0005-0000-0000-000079430000}"/>
    <cellStyle name="20 % - Markeringsfarve6 3 3 6 3 2" xfId="9614" xr:uid="{00000000-0005-0000-0000-00007A430000}"/>
    <cellStyle name="20 % - Markeringsfarve6 3 3 6 3 2 2" xfId="17477" xr:uid="{00000000-0005-0000-0000-00007B430000}"/>
    <cellStyle name="20 % - Markeringsfarve6 3 3 6 3 2 2 2" xfId="33753" xr:uid="{00000000-0005-0000-0000-00007C430000}"/>
    <cellStyle name="20 % - Markeringsfarve6 3 3 6 3 2 2 3" xfId="48712" xr:uid="{00000000-0005-0000-0000-00007D430000}"/>
    <cellStyle name="20 % - Markeringsfarve6 3 3 6 3 2 3" xfId="26751" xr:uid="{00000000-0005-0000-0000-00007E430000}"/>
    <cellStyle name="20 % - Markeringsfarve6 3 3 6 3 2 4" xfId="41715" xr:uid="{00000000-0005-0000-0000-00007F430000}"/>
    <cellStyle name="20 % - Markeringsfarve6 3 3 6 3 3" xfId="13753" xr:uid="{00000000-0005-0000-0000-000080430000}"/>
    <cellStyle name="20 % - Markeringsfarve6 3 3 6 3 3 2" xfId="30032" xr:uid="{00000000-0005-0000-0000-000081430000}"/>
    <cellStyle name="20 % - Markeringsfarve6 3 3 6 3 3 3" xfId="44993" xr:uid="{00000000-0005-0000-0000-000082430000}"/>
    <cellStyle name="20 % - Markeringsfarve6 3 3 6 3 4" xfId="23030" xr:uid="{00000000-0005-0000-0000-000083430000}"/>
    <cellStyle name="20 % - Markeringsfarve6 3 3 6 3 5" xfId="37996" xr:uid="{00000000-0005-0000-0000-000084430000}"/>
    <cellStyle name="20 % - Markeringsfarve6 3 3 6 4" xfId="5269" xr:uid="{00000000-0005-0000-0000-000085430000}"/>
    <cellStyle name="20 % - Markeringsfarve6 3 3 6 4 2" xfId="10983" xr:uid="{00000000-0005-0000-0000-000086430000}"/>
    <cellStyle name="20 % - Markeringsfarve6 3 3 6 4 2 2" xfId="18814" xr:uid="{00000000-0005-0000-0000-000087430000}"/>
    <cellStyle name="20 % - Markeringsfarve6 3 3 6 4 2 2 2" xfId="35090" xr:uid="{00000000-0005-0000-0000-000088430000}"/>
    <cellStyle name="20 % - Markeringsfarve6 3 3 6 4 2 2 3" xfId="50049" xr:uid="{00000000-0005-0000-0000-000089430000}"/>
    <cellStyle name="20 % - Markeringsfarve6 3 3 6 4 2 3" xfId="28088" xr:uid="{00000000-0005-0000-0000-00008A430000}"/>
    <cellStyle name="20 % - Markeringsfarve6 3 3 6 4 2 4" xfId="43052" xr:uid="{00000000-0005-0000-0000-00008B430000}"/>
    <cellStyle name="20 % - Markeringsfarve6 3 3 6 4 3" xfId="13754" xr:uid="{00000000-0005-0000-0000-00008C430000}"/>
    <cellStyle name="20 % - Markeringsfarve6 3 3 6 4 3 2" xfId="30033" xr:uid="{00000000-0005-0000-0000-00008D430000}"/>
    <cellStyle name="20 % - Markeringsfarve6 3 3 6 4 3 3" xfId="44994" xr:uid="{00000000-0005-0000-0000-00008E430000}"/>
    <cellStyle name="20 % - Markeringsfarve6 3 3 6 4 4" xfId="23031" xr:uid="{00000000-0005-0000-0000-00008F430000}"/>
    <cellStyle name="20 % - Markeringsfarve6 3 3 6 4 5" xfId="37997" xr:uid="{00000000-0005-0000-0000-000090430000}"/>
    <cellStyle name="20 % - Markeringsfarve6 3 3 6 5" xfId="7935" xr:uid="{00000000-0005-0000-0000-000091430000}"/>
    <cellStyle name="20 % - Markeringsfarve6 3 3 6 5 2" xfId="15800" xr:uid="{00000000-0005-0000-0000-000092430000}"/>
    <cellStyle name="20 % - Markeringsfarve6 3 3 6 5 2 2" xfId="32076" xr:uid="{00000000-0005-0000-0000-000093430000}"/>
    <cellStyle name="20 % - Markeringsfarve6 3 3 6 5 2 3" xfId="47035" xr:uid="{00000000-0005-0000-0000-000094430000}"/>
    <cellStyle name="20 % - Markeringsfarve6 3 3 6 5 3" xfId="25074" xr:uid="{00000000-0005-0000-0000-000095430000}"/>
    <cellStyle name="20 % - Markeringsfarve6 3 3 6 5 4" xfId="40038" xr:uid="{00000000-0005-0000-0000-000096430000}"/>
    <cellStyle name="20 % - Markeringsfarve6 3 3 6 6" xfId="13750" xr:uid="{00000000-0005-0000-0000-000097430000}"/>
    <cellStyle name="20 % - Markeringsfarve6 3 3 6 6 2" xfId="30029" xr:uid="{00000000-0005-0000-0000-000098430000}"/>
    <cellStyle name="20 % - Markeringsfarve6 3 3 6 6 3" xfId="44990" xr:uid="{00000000-0005-0000-0000-000099430000}"/>
    <cellStyle name="20 % - Markeringsfarve6 3 3 6 7" xfId="23027" xr:uid="{00000000-0005-0000-0000-00009A430000}"/>
    <cellStyle name="20 % - Markeringsfarve6 3 3 6 8" xfId="37993" xr:uid="{00000000-0005-0000-0000-00009B430000}"/>
    <cellStyle name="20 % - Markeringsfarve6 3 3 7" xfId="5270" xr:uid="{00000000-0005-0000-0000-00009C430000}"/>
    <cellStyle name="20 % - Markeringsfarve6 3 3 7 2" xfId="5271" xr:uid="{00000000-0005-0000-0000-00009D430000}"/>
    <cellStyle name="20 % - Markeringsfarve6 3 3 7 2 2" xfId="9797" xr:uid="{00000000-0005-0000-0000-00009E430000}"/>
    <cellStyle name="20 % - Markeringsfarve6 3 3 7 2 2 2" xfId="17651" xr:uid="{00000000-0005-0000-0000-00009F430000}"/>
    <cellStyle name="20 % - Markeringsfarve6 3 3 7 2 2 2 2" xfId="33927" xr:uid="{00000000-0005-0000-0000-0000A0430000}"/>
    <cellStyle name="20 % - Markeringsfarve6 3 3 7 2 2 2 3" xfId="48886" xr:uid="{00000000-0005-0000-0000-0000A1430000}"/>
    <cellStyle name="20 % - Markeringsfarve6 3 3 7 2 2 3" xfId="26925" xr:uid="{00000000-0005-0000-0000-0000A2430000}"/>
    <cellStyle name="20 % - Markeringsfarve6 3 3 7 2 2 4" xfId="41889" xr:uid="{00000000-0005-0000-0000-0000A3430000}"/>
    <cellStyle name="20 % - Markeringsfarve6 3 3 7 2 3" xfId="13756" xr:uid="{00000000-0005-0000-0000-0000A4430000}"/>
    <cellStyle name="20 % - Markeringsfarve6 3 3 7 2 3 2" xfId="30035" xr:uid="{00000000-0005-0000-0000-0000A5430000}"/>
    <cellStyle name="20 % - Markeringsfarve6 3 3 7 2 3 3" xfId="44996" xr:uid="{00000000-0005-0000-0000-0000A6430000}"/>
    <cellStyle name="20 % - Markeringsfarve6 3 3 7 2 4" xfId="23033" xr:uid="{00000000-0005-0000-0000-0000A7430000}"/>
    <cellStyle name="20 % - Markeringsfarve6 3 3 7 2 5" xfId="37999" xr:uid="{00000000-0005-0000-0000-0000A8430000}"/>
    <cellStyle name="20 % - Markeringsfarve6 3 3 7 3" xfId="8384" xr:uid="{00000000-0005-0000-0000-0000A9430000}"/>
    <cellStyle name="20 % - Markeringsfarve6 3 3 7 3 2" xfId="16254" xr:uid="{00000000-0005-0000-0000-0000AA430000}"/>
    <cellStyle name="20 % - Markeringsfarve6 3 3 7 3 2 2" xfId="32530" xr:uid="{00000000-0005-0000-0000-0000AB430000}"/>
    <cellStyle name="20 % - Markeringsfarve6 3 3 7 3 2 3" xfId="47489" xr:uid="{00000000-0005-0000-0000-0000AC430000}"/>
    <cellStyle name="20 % - Markeringsfarve6 3 3 7 3 3" xfId="25528" xr:uid="{00000000-0005-0000-0000-0000AD430000}"/>
    <cellStyle name="20 % - Markeringsfarve6 3 3 7 3 4" xfId="40492" xr:uid="{00000000-0005-0000-0000-0000AE430000}"/>
    <cellStyle name="20 % - Markeringsfarve6 3 3 7 4" xfId="13755" xr:uid="{00000000-0005-0000-0000-0000AF430000}"/>
    <cellStyle name="20 % - Markeringsfarve6 3 3 7 4 2" xfId="30034" xr:uid="{00000000-0005-0000-0000-0000B0430000}"/>
    <cellStyle name="20 % - Markeringsfarve6 3 3 7 4 3" xfId="44995" xr:uid="{00000000-0005-0000-0000-0000B1430000}"/>
    <cellStyle name="20 % - Markeringsfarve6 3 3 7 5" xfId="23032" xr:uid="{00000000-0005-0000-0000-0000B2430000}"/>
    <cellStyle name="20 % - Markeringsfarve6 3 3 7 6" xfId="37998" xr:uid="{00000000-0005-0000-0000-0000B3430000}"/>
    <cellStyle name="20 % - Markeringsfarve6 3 3 8" xfId="5272" xr:uid="{00000000-0005-0000-0000-0000B4430000}"/>
    <cellStyle name="20 % - Markeringsfarve6 3 3 8 2" xfId="9025" xr:uid="{00000000-0005-0000-0000-0000B5430000}"/>
    <cellStyle name="20 % - Markeringsfarve6 3 3 8 2 2" xfId="16889" xr:uid="{00000000-0005-0000-0000-0000B6430000}"/>
    <cellStyle name="20 % - Markeringsfarve6 3 3 8 2 2 2" xfId="33165" xr:uid="{00000000-0005-0000-0000-0000B7430000}"/>
    <cellStyle name="20 % - Markeringsfarve6 3 3 8 2 2 3" xfId="48124" xr:uid="{00000000-0005-0000-0000-0000B8430000}"/>
    <cellStyle name="20 % - Markeringsfarve6 3 3 8 2 3" xfId="26163" xr:uid="{00000000-0005-0000-0000-0000B9430000}"/>
    <cellStyle name="20 % - Markeringsfarve6 3 3 8 2 4" xfId="41127" xr:uid="{00000000-0005-0000-0000-0000BA430000}"/>
    <cellStyle name="20 % - Markeringsfarve6 3 3 8 3" xfId="13757" xr:uid="{00000000-0005-0000-0000-0000BB430000}"/>
    <cellStyle name="20 % - Markeringsfarve6 3 3 8 3 2" xfId="30036" xr:uid="{00000000-0005-0000-0000-0000BC430000}"/>
    <cellStyle name="20 % - Markeringsfarve6 3 3 8 3 3" xfId="44997" xr:uid="{00000000-0005-0000-0000-0000BD430000}"/>
    <cellStyle name="20 % - Markeringsfarve6 3 3 8 4" xfId="23034" xr:uid="{00000000-0005-0000-0000-0000BE430000}"/>
    <cellStyle name="20 % - Markeringsfarve6 3 3 8 5" xfId="38000" xr:uid="{00000000-0005-0000-0000-0000BF430000}"/>
    <cellStyle name="20 % - Markeringsfarve6 3 3 9" xfId="5273" xr:uid="{00000000-0005-0000-0000-0000C0430000}"/>
    <cellStyle name="20 % - Markeringsfarve6 3 3 9 2" xfId="10502" xr:uid="{00000000-0005-0000-0000-0000C1430000}"/>
    <cellStyle name="20 % - Markeringsfarve6 3 3 9 2 2" xfId="18351" xr:uid="{00000000-0005-0000-0000-0000C2430000}"/>
    <cellStyle name="20 % - Markeringsfarve6 3 3 9 2 2 2" xfId="34627" xr:uid="{00000000-0005-0000-0000-0000C3430000}"/>
    <cellStyle name="20 % - Markeringsfarve6 3 3 9 2 2 3" xfId="49586" xr:uid="{00000000-0005-0000-0000-0000C4430000}"/>
    <cellStyle name="20 % - Markeringsfarve6 3 3 9 2 3" xfId="27625" xr:uid="{00000000-0005-0000-0000-0000C5430000}"/>
    <cellStyle name="20 % - Markeringsfarve6 3 3 9 2 4" xfId="42589" xr:uid="{00000000-0005-0000-0000-0000C6430000}"/>
    <cellStyle name="20 % - Markeringsfarve6 3 3 9 3" xfId="13758" xr:uid="{00000000-0005-0000-0000-0000C7430000}"/>
    <cellStyle name="20 % - Markeringsfarve6 3 3 9 3 2" xfId="30037" xr:uid="{00000000-0005-0000-0000-0000C8430000}"/>
    <cellStyle name="20 % - Markeringsfarve6 3 3 9 3 3" xfId="44998" xr:uid="{00000000-0005-0000-0000-0000C9430000}"/>
    <cellStyle name="20 % - Markeringsfarve6 3 3 9 4" xfId="23035" xr:uid="{00000000-0005-0000-0000-0000CA430000}"/>
    <cellStyle name="20 % - Markeringsfarve6 3 3 9 5" xfId="38001" xr:uid="{00000000-0005-0000-0000-0000CB430000}"/>
    <cellStyle name="20 % - Markeringsfarve6 3 4" xfId="5274" xr:uid="{00000000-0005-0000-0000-0000CC430000}"/>
    <cellStyle name="20 % - Markeringsfarve6 3 4 2" xfId="5275" xr:uid="{00000000-0005-0000-0000-0000CD430000}"/>
    <cellStyle name="20 % - Markeringsfarve6 3 4 2 2" xfId="5276" xr:uid="{00000000-0005-0000-0000-0000CE430000}"/>
    <cellStyle name="20 % - Markeringsfarve6 3 4 2 2 2" xfId="9837" xr:uid="{00000000-0005-0000-0000-0000CF430000}"/>
    <cellStyle name="20 % - Markeringsfarve6 3 4 2 2 2 2" xfId="17692" xr:uid="{00000000-0005-0000-0000-0000D0430000}"/>
    <cellStyle name="20 % - Markeringsfarve6 3 4 2 2 2 2 2" xfId="33968" xr:uid="{00000000-0005-0000-0000-0000D1430000}"/>
    <cellStyle name="20 % - Markeringsfarve6 3 4 2 2 2 2 3" xfId="48927" xr:uid="{00000000-0005-0000-0000-0000D2430000}"/>
    <cellStyle name="20 % - Markeringsfarve6 3 4 2 2 2 3" xfId="26966" xr:uid="{00000000-0005-0000-0000-0000D3430000}"/>
    <cellStyle name="20 % - Markeringsfarve6 3 4 2 2 2 4" xfId="41930" xr:uid="{00000000-0005-0000-0000-0000D4430000}"/>
    <cellStyle name="20 % - Markeringsfarve6 3 4 2 2 3" xfId="13761" xr:uid="{00000000-0005-0000-0000-0000D5430000}"/>
    <cellStyle name="20 % - Markeringsfarve6 3 4 2 2 3 2" xfId="30040" xr:uid="{00000000-0005-0000-0000-0000D6430000}"/>
    <cellStyle name="20 % - Markeringsfarve6 3 4 2 2 3 3" xfId="45001" xr:uid="{00000000-0005-0000-0000-0000D7430000}"/>
    <cellStyle name="20 % - Markeringsfarve6 3 4 2 2 4" xfId="23038" xr:uid="{00000000-0005-0000-0000-0000D8430000}"/>
    <cellStyle name="20 % - Markeringsfarve6 3 4 2 2 5" xfId="38004" xr:uid="{00000000-0005-0000-0000-0000D9430000}"/>
    <cellStyle name="20 % - Markeringsfarve6 3 4 2 3" xfId="8417" xr:uid="{00000000-0005-0000-0000-0000DA430000}"/>
    <cellStyle name="20 % - Markeringsfarve6 3 4 2 3 2" xfId="16287" xr:uid="{00000000-0005-0000-0000-0000DB430000}"/>
    <cellStyle name="20 % - Markeringsfarve6 3 4 2 3 2 2" xfId="32563" xr:uid="{00000000-0005-0000-0000-0000DC430000}"/>
    <cellStyle name="20 % - Markeringsfarve6 3 4 2 3 2 3" xfId="47522" xr:uid="{00000000-0005-0000-0000-0000DD430000}"/>
    <cellStyle name="20 % - Markeringsfarve6 3 4 2 3 3" xfId="25561" xr:uid="{00000000-0005-0000-0000-0000DE430000}"/>
    <cellStyle name="20 % - Markeringsfarve6 3 4 2 3 4" xfId="40525" xr:uid="{00000000-0005-0000-0000-0000DF430000}"/>
    <cellStyle name="20 % - Markeringsfarve6 3 4 2 4" xfId="13760" xr:uid="{00000000-0005-0000-0000-0000E0430000}"/>
    <cellStyle name="20 % - Markeringsfarve6 3 4 2 4 2" xfId="30039" xr:uid="{00000000-0005-0000-0000-0000E1430000}"/>
    <cellStyle name="20 % - Markeringsfarve6 3 4 2 4 3" xfId="45000" xr:uid="{00000000-0005-0000-0000-0000E2430000}"/>
    <cellStyle name="20 % - Markeringsfarve6 3 4 2 5" xfId="23037" xr:uid="{00000000-0005-0000-0000-0000E3430000}"/>
    <cellStyle name="20 % - Markeringsfarve6 3 4 2 6" xfId="38003" xr:uid="{00000000-0005-0000-0000-0000E4430000}"/>
    <cellStyle name="20 % - Markeringsfarve6 3 4 3" xfId="5277" xr:uid="{00000000-0005-0000-0000-0000E5430000}"/>
    <cellStyle name="20 % - Markeringsfarve6 3 4 3 2" xfId="9068" xr:uid="{00000000-0005-0000-0000-0000E6430000}"/>
    <cellStyle name="20 % - Markeringsfarve6 3 4 3 2 2" xfId="16932" xr:uid="{00000000-0005-0000-0000-0000E7430000}"/>
    <cellStyle name="20 % - Markeringsfarve6 3 4 3 2 2 2" xfId="33208" xr:uid="{00000000-0005-0000-0000-0000E8430000}"/>
    <cellStyle name="20 % - Markeringsfarve6 3 4 3 2 2 3" xfId="48167" xr:uid="{00000000-0005-0000-0000-0000E9430000}"/>
    <cellStyle name="20 % - Markeringsfarve6 3 4 3 2 3" xfId="26206" xr:uid="{00000000-0005-0000-0000-0000EA430000}"/>
    <cellStyle name="20 % - Markeringsfarve6 3 4 3 2 4" xfId="41170" xr:uid="{00000000-0005-0000-0000-0000EB430000}"/>
    <cellStyle name="20 % - Markeringsfarve6 3 4 3 3" xfId="13762" xr:uid="{00000000-0005-0000-0000-0000EC430000}"/>
    <cellStyle name="20 % - Markeringsfarve6 3 4 3 3 2" xfId="30041" xr:uid="{00000000-0005-0000-0000-0000ED430000}"/>
    <cellStyle name="20 % - Markeringsfarve6 3 4 3 3 3" xfId="45002" xr:uid="{00000000-0005-0000-0000-0000EE430000}"/>
    <cellStyle name="20 % - Markeringsfarve6 3 4 3 4" xfId="23039" xr:uid="{00000000-0005-0000-0000-0000EF430000}"/>
    <cellStyle name="20 % - Markeringsfarve6 3 4 3 5" xfId="38005" xr:uid="{00000000-0005-0000-0000-0000F0430000}"/>
    <cellStyle name="20 % - Markeringsfarve6 3 4 4" xfId="5278" xr:uid="{00000000-0005-0000-0000-0000F1430000}"/>
    <cellStyle name="20 % - Markeringsfarve6 3 4 4 2" xfId="10703" xr:uid="{00000000-0005-0000-0000-0000F2430000}"/>
    <cellStyle name="20 % - Markeringsfarve6 3 4 4 2 2" xfId="18547" xr:uid="{00000000-0005-0000-0000-0000F3430000}"/>
    <cellStyle name="20 % - Markeringsfarve6 3 4 4 2 2 2" xfId="34823" xr:uid="{00000000-0005-0000-0000-0000F4430000}"/>
    <cellStyle name="20 % - Markeringsfarve6 3 4 4 2 2 3" xfId="49782" xr:uid="{00000000-0005-0000-0000-0000F5430000}"/>
    <cellStyle name="20 % - Markeringsfarve6 3 4 4 2 3" xfId="27821" xr:uid="{00000000-0005-0000-0000-0000F6430000}"/>
    <cellStyle name="20 % - Markeringsfarve6 3 4 4 2 4" xfId="42785" xr:uid="{00000000-0005-0000-0000-0000F7430000}"/>
    <cellStyle name="20 % - Markeringsfarve6 3 4 4 3" xfId="13763" xr:uid="{00000000-0005-0000-0000-0000F8430000}"/>
    <cellStyle name="20 % - Markeringsfarve6 3 4 4 3 2" xfId="30042" xr:uid="{00000000-0005-0000-0000-0000F9430000}"/>
    <cellStyle name="20 % - Markeringsfarve6 3 4 4 3 3" xfId="45003" xr:uid="{00000000-0005-0000-0000-0000FA430000}"/>
    <cellStyle name="20 % - Markeringsfarve6 3 4 4 4" xfId="23040" xr:uid="{00000000-0005-0000-0000-0000FB430000}"/>
    <cellStyle name="20 % - Markeringsfarve6 3 4 4 5" xfId="38006" xr:uid="{00000000-0005-0000-0000-0000FC430000}"/>
    <cellStyle name="20 % - Markeringsfarve6 3 4 5" xfId="7936" xr:uid="{00000000-0005-0000-0000-0000FD430000}"/>
    <cellStyle name="20 % - Markeringsfarve6 3 4 5 2" xfId="15801" xr:uid="{00000000-0005-0000-0000-0000FE430000}"/>
    <cellStyle name="20 % - Markeringsfarve6 3 4 5 2 2" xfId="32077" xr:uid="{00000000-0005-0000-0000-0000FF430000}"/>
    <cellStyle name="20 % - Markeringsfarve6 3 4 5 2 3" xfId="47036" xr:uid="{00000000-0005-0000-0000-000000440000}"/>
    <cellStyle name="20 % - Markeringsfarve6 3 4 5 3" xfId="25075" xr:uid="{00000000-0005-0000-0000-000001440000}"/>
    <cellStyle name="20 % - Markeringsfarve6 3 4 5 4" xfId="40039" xr:uid="{00000000-0005-0000-0000-000002440000}"/>
    <cellStyle name="20 % - Markeringsfarve6 3 4 6" xfId="13759" xr:uid="{00000000-0005-0000-0000-000003440000}"/>
    <cellStyle name="20 % - Markeringsfarve6 3 4 6 2" xfId="30038" xr:uid="{00000000-0005-0000-0000-000004440000}"/>
    <cellStyle name="20 % - Markeringsfarve6 3 4 6 3" xfId="44999" xr:uid="{00000000-0005-0000-0000-000005440000}"/>
    <cellStyle name="20 % - Markeringsfarve6 3 4 7" xfId="23036" xr:uid="{00000000-0005-0000-0000-000006440000}"/>
    <cellStyle name="20 % - Markeringsfarve6 3 4 8" xfId="38002" xr:uid="{00000000-0005-0000-0000-000007440000}"/>
    <cellStyle name="20 % - Markeringsfarve6 3 5" xfId="5279" xr:uid="{00000000-0005-0000-0000-000008440000}"/>
    <cellStyle name="20 % - Markeringsfarve6 3 5 2" xfId="5280" xr:uid="{00000000-0005-0000-0000-000009440000}"/>
    <cellStyle name="20 % - Markeringsfarve6 3 5 2 2" xfId="5281" xr:uid="{00000000-0005-0000-0000-00000A440000}"/>
    <cellStyle name="20 % - Markeringsfarve6 3 5 2 2 2" xfId="9980" xr:uid="{00000000-0005-0000-0000-00000B440000}"/>
    <cellStyle name="20 % - Markeringsfarve6 3 5 2 2 2 2" xfId="17835" xr:uid="{00000000-0005-0000-0000-00000C440000}"/>
    <cellStyle name="20 % - Markeringsfarve6 3 5 2 2 2 2 2" xfId="34111" xr:uid="{00000000-0005-0000-0000-00000D440000}"/>
    <cellStyle name="20 % - Markeringsfarve6 3 5 2 2 2 2 3" xfId="49070" xr:uid="{00000000-0005-0000-0000-00000E440000}"/>
    <cellStyle name="20 % - Markeringsfarve6 3 5 2 2 2 3" xfId="27109" xr:uid="{00000000-0005-0000-0000-00000F440000}"/>
    <cellStyle name="20 % - Markeringsfarve6 3 5 2 2 2 4" xfId="42073" xr:uid="{00000000-0005-0000-0000-000010440000}"/>
    <cellStyle name="20 % - Markeringsfarve6 3 5 2 2 3" xfId="13766" xr:uid="{00000000-0005-0000-0000-000011440000}"/>
    <cellStyle name="20 % - Markeringsfarve6 3 5 2 2 3 2" xfId="30045" xr:uid="{00000000-0005-0000-0000-000012440000}"/>
    <cellStyle name="20 % - Markeringsfarve6 3 5 2 2 3 3" xfId="45006" xr:uid="{00000000-0005-0000-0000-000013440000}"/>
    <cellStyle name="20 % - Markeringsfarve6 3 5 2 2 4" xfId="23043" xr:uid="{00000000-0005-0000-0000-000014440000}"/>
    <cellStyle name="20 % - Markeringsfarve6 3 5 2 2 5" xfId="38009" xr:uid="{00000000-0005-0000-0000-000015440000}"/>
    <cellStyle name="20 % - Markeringsfarve6 3 5 2 3" xfId="8536" xr:uid="{00000000-0005-0000-0000-000016440000}"/>
    <cellStyle name="20 % - Markeringsfarve6 3 5 2 3 2" xfId="16406" xr:uid="{00000000-0005-0000-0000-000017440000}"/>
    <cellStyle name="20 % - Markeringsfarve6 3 5 2 3 2 2" xfId="32682" xr:uid="{00000000-0005-0000-0000-000018440000}"/>
    <cellStyle name="20 % - Markeringsfarve6 3 5 2 3 2 3" xfId="47641" xr:uid="{00000000-0005-0000-0000-000019440000}"/>
    <cellStyle name="20 % - Markeringsfarve6 3 5 2 3 3" xfId="25680" xr:uid="{00000000-0005-0000-0000-00001A440000}"/>
    <cellStyle name="20 % - Markeringsfarve6 3 5 2 3 4" xfId="40644" xr:uid="{00000000-0005-0000-0000-00001B440000}"/>
    <cellStyle name="20 % - Markeringsfarve6 3 5 2 4" xfId="13765" xr:uid="{00000000-0005-0000-0000-00001C440000}"/>
    <cellStyle name="20 % - Markeringsfarve6 3 5 2 4 2" xfId="30044" xr:uid="{00000000-0005-0000-0000-00001D440000}"/>
    <cellStyle name="20 % - Markeringsfarve6 3 5 2 4 3" xfId="45005" xr:uid="{00000000-0005-0000-0000-00001E440000}"/>
    <cellStyle name="20 % - Markeringsfarve6 3 5 2 5" xfId="23042" xr:uid="{00000000-0005-0000-0000-00001F440000}"/>
    <cellStyle name="20 % - Markeringsfarve6 3 5 2 6" xfId="38008" xr:uid="{00000000-0005-0000-0000-000020440000}"/>
    <cellStyle name="20 % - Markeringsfarve6 3 5 3" xfId="5282" xr:uid="{00000000-0005-0000-0000-000021440000}"/>
    <cellStyle name="20 % - Markeringsfarve6 3 5 3 2" xfId="9211" xr:uid="{00000000-0005-0000-0000-000022440000}"/>
    <cellStyle name="20 % - Markeringsfarve6 3 5 3 2 2" xfId="17075" xr:uid="{00000000-0005-0000-0000-000023440000}"/>
    <cellStyle name="20 % - Markeringsfarve6 3 5 3 2 2 2" xfId="33351" xr:uid="{00000000-0005-0000-0000-000024440000}"/>
    <cellStyle name="20 % - Markeringsfarve6 3 5 3 2 2 3" xfId="48310" xr:uid="{00000000-0005-0000-0000-000025440000}"/>
    <cellStyle name="20 % - Markeringsfarve6 3 5 3 2 3" xfId="26349" xr:uid="{00000000-0005-0000-0000-000026440000}"/>
    <cellStyle name="20 % - Markeringsfarve6 3 5 3 2 4" xfId="41313" xr:uid="{00000000-0005-0000-0000-000027440000}"/>
    <cellStyle name="20 % - Markeringsfarve6 3 5 3 3" xfId="13767" xr:uid="{00000000-0005-0000-0000-000028440000}"/>
    <cellStyle name="20 % - Markeringsfarve6 3 5 3 3 2" xfId="30046" xr:uid="{00000000-0005-0000-0000-000029440000}"/>
    <cellStyle name="20 % - Markeringsfarve6 3 5 3 3 3" xfId="45007" xr:uid="{00000000-0005-0000-0000-00002A440000}"/>
    <cellStyle name="20 % - Markeringsfarve6 3 5 3 4" xfId="23044" xr:uid="{00000000-0005-0000-0000-00002B440000}"/>
    <cellStyle name="20 % - Markeringsfarve6 3 5 3 5" xfId="38010" xr:uid="{00000000-0005-0000-0000-00002C440000}"/>
    <cellStyle name="20 % - Markeringsfarve6 3 5 4" xfId="5283" xr:uid="{00000000-0005-0000-0000-00002D440000}"/>
    <cellStyle name="20 % - Markeringsfarve6 3 5 4 2" xfId="10917" xr:uid="{00000000-0005-0000-0000-00002E440000}"/>
    <cellStyle name="20 % - Markeringsfarve6 3 5 4 2 2" xfId="18752" xr:uid="{00000000-0005-0000-0000-00002F440000}"/>
    <cellStyle name="20 % - Markeringsfarve6 3 5 4 2 2 2" xfId="35028" xr:uid="{00000000-0005-0000-0000-000030440000}"/>
    <cellStyle name="20 % - Markeringsfarve6 3 5 4 2 2 3" xfId="49987" xr:uid="{00000000-0005-0000-0000-000031440000}"/>
    <cellStyle name="20 % - Markeringsfarve6 3 5 4 2 3" xfId="28026" xr:uid="{00000000-0005-0000-0000-000032440000}"/>
    <cellStyle name="20 % - Markeringsfarve6 3 5 4 2 4" xfId="42990" xr:uid="{00000000-0005-0000-0000-000033440000}"/>
    <cellStyle name="20 % - Markeringsfarve6 3 5 4 3" xfId="13768" xr:uid="{00000000-0005-0000-0000-000034440000}"/>
    <cellStyle name="20 % - Markeringsfarve6 3 5 4 3 2" xfId="30047" xr:uid="{00000000-0005-0000-0000-000035440000}"/>
    <cellStyle name="20 % - Markeringsfarve6 3 5 4 3 3" xfId="45008" xr:uid="{00000000-0005-0000-0000-000036440000}"/>
    <cellStyle name="20 % - Markeringsfarve6 3 5 4 4" xfId="23045" xr:uid="{00000000-0005-0000-0000-000037440000}"/>
    <cellStyle name="20 % - Markeringsfarve6 3 5 4 5" xfId="38011" xr:uid="{00000000-0005-0000-0000-000038440000}"/>
    <cellStyle name="20 % - Markeringsfarve6 3 5 5" xfId="7937" xr:uid="{00000000-0005-0000-0000-000039440000}"/>
    <cellStyle name="20 % - Markeringsfarve6 3 5 5 2" xfId="15802" xr:uid="{00000000-0005-0000-0000-00003A440000}"/>
    <cellStyle name="20 % - Markeringsfarve6 3 5 5 2 2" xfId="32078" xr:uid="{00000000-0005-0000-0000-00003B440000}"/>
    <cellStyle name="20 % - Markeringsfarve6 3 5 5 2 3" xfId="47037" xr:uid="{00000000-0005-0000-0000-00003C440000}"/>
    <cellStyle name="20 % - Markeringsfarve6 3 5 5 3" xfId="25076" xr:uid="{00000000-0005-0000-0000-00003D440000}"/>
    <cellStyle name="20 % - Markeringsfarve6 3 5 5 4" xfId="40040" xr:uid="{00000000-0005-0000-0000-00003E440000}"/>
    <cellStyle name="20 % - Markeringsfarve6 3 5 6" xfId="13764" xr:uid="{00000000-0005-0000-0000-00003F440000}"/>
    <cellStyle name="20 % - Markeringsfarve6 3 5 6 2" xfId="30043" xr:uid="{00000000-0005-0000-0000-000040440000}"/>
    <cellStyle name="20 % - Markeringsfarve6 3 5 6 3" xfId="45004" xr:uid="{00000000-0005-0000-0000-000041440000}"/>
    <cellStyle name="20 % - Markeringsfarve6 3 5 7" xfId="23041" xr:uid="{00000000-0005-0000-0000-000042440000}"/>
    <cellStyle name="20 % - Markeringsfarve6 3 5 8" xfId="38007" xr:uid="{00000000-0005-0000-0000-000043440000}"/>
    <cellStyle name="20 % - Markeringsfarve6 3 6" xfId="5284" xr:uid="{00000000-0005-0000-0000-000044440000}"/>
    <cellStyle name="20 % - Markeringsfarve6 3 6 2" xfId="5285" xr:uid="{00000000-0005-0000-0000-000045440000}"/>
    <cellStyle name="20 % - Markeringsfarve6 3 6 2 2" xfId="5286" xr:uid="{00000000-0005-0000-0000-000046440000}"/>
    <cellStyle name="20 % - Markeringsfarve6 3 6 2 2 2" xfId="10075" xr:uid="{00000000-0005-0000-0000-000047440000}"/>
    <cellStyle name="20 % - Markeringsfarve6 3 6 2 2 2 2" xfId="17930" xr:uid="{00000000-0005-0000-0000-000048440000}"/>
    <cellStyle name="20 % - Markeringsfarve6 3 6 2 2 2 2 2" xfId="34206" xr:uid="{00000000-0005-0000-0000-000049440000}"/>
    <cellStyle name="20 % - Markeringsfarve6 3 6 2 2 2 2 3" xfId="49165" xr:uid="{00000000-0005-0000-0000-00004A440000}"/>
    <cellStyle name="20 % - Markeringsfarve6 3 6 2 2 2 3" xfId="27204" xr:uid="{00000000-0005-0000-0000-00004B440000}"/>
    <cellStyle name="20 % - Markeringsfarve6 3 6 2 2 2 4" xfId="42168" xr:uid="{00000000-0005-0000-0000-00004C440000}"/>
    <cellStyle name="20 % - Markeringsfarve6 3 6 2 2 3" xfId="13771" xr:uid="{00000000-0005-0000-0000-00004D440000}"/>
    <cellStyle name="20 % - Markeringsfarve6 3 6 2 2 3 2" xfId="30050" xr:uid="{00000000-0005-0000-0000-00004E440000}"/>
    <cellStyle name="20 % - Markeringsfarve6 3 6 2 2 3 3" xfId="45011" xr:uid="{00000000-0005-0000-0000-00004F440000}"/>
    <cellStyle name="20 % - Markeringsfarve6 3 6 2 2 4" xfId="23048" xr:uid="{00000000-0005-0000-0000-000050440000}"/>
    <cellStyle name="20 % - Markeringsfarve6 3 6 2 2 5" xfId="38014" xr:uid="{00000000-0005-0000-0000-000051440000}"/>
    <cellStyle name="20 % - Markeringsfarve6 3 6 2 3" xfId="8619" xr:uid="{00000000-0005-0000-0000-000052440000}"/>
    <cellStyle name="20 % - Markeringsfarve6 3 6 2 3 2" xfId="16486" xr:uid="{00000000-0005-0000-0000-000053440000}"/>
    <cellStyle name="20 % - Markeringsfarve6 3 6 2 3 2 2" xfId="32762" xr:uid="{00000000-0005-0000-0000-000054440000}"/>
    <cellStyle name="20 % - Markeringsfarve6 3 6 2 3 2 3" xfId="47721" xr:uid="{00000000-0005-0000-0000-000055440000}"/>
    <cellStyle name="20 % - Markeringsfarve6 3 6 2 3 3" xfId="25760" xr:uid="{00000000-0005-0000-0000-000056440000}"/>
    <cellStyle name="20 % - Markeringsfarve6 3 6 2 3 4" xfId="40724" xr:uid="{00000000-0005-0000-0000-000057440000}"/>
    <cellStyle name="20 % - Markeringsfarve6 3 6 2 4" xfId="13770" xr:uid="{00000000-0005-0000-0000-000058440000}"/>
    <cellStyle name="20 % - Markeringsfarve6 3 6 2 4 2" xfId="30049" xr:uid="{00000000-0005-0000-0000-000059440000}"/>
    <cellStyle name="20 % - Markeringsfarve6 3 6 2 4 3" xfId="45010" xr:uid="{00000000-0005-0000-0000-00005A440000}"/>
    <cellStyle name="20 % - Markeringsfarve6 3 6 2 5" xfId="23047" xr:uid="{00000000-0005-0000-0000-00005B440000}"/>
    <cellStyle name="20 % - Markeringsfarve6 3 6 2 6" xfId="38013" xr:uid="{00000000-0005-0000-0000-00005C440000}"/>
    <cellStyle name="20 % - Markeringsfarve6 3 6 3" xfId="5287" xr:uid="{00000000-0005-0000-0000-00005D440000}"/>
    <cellStyle name="20 % - Markeringsfarve6 3 6 3 2" xfId="9352" xr:uid="{00000000-0005-0000-0000-00005E440000}"/>
    <cellStyle name="20 % - Markeringsfarve6 3 6 3 2 2" xfId="17215" xr:uid="{00000000-0005-0000-0000-00005F440000}"/>
    <cellStyle name="20 % - Markeringsfarve6 3 6 3 2 2 2" xfId="33491" xr:uid="{00000000-0005-0000-0000-000060440000}"/>
    <cellStyle name="20 % - Markeringsfarve6 3 6 3 2 2 3" xfId="48450" xr:uid="{00000000-0005-0000-0000-000061440000}"/>
    <cellStyle name="20 % - Markeringsfarve6 3 6 3 2 3" xfId="26489" xr:uid="{00000000-0005-0000-0000-000062440000}"/>
    <cellStyle name="20 % - Markeringsfarve6 3 6 3 2 4" xfId="41453" xr:uid="{00000000-0005-0000-0000-000063440000}"/>
    <cellStyle name="20 % - Markeringsfarve6 3 6 3 3" xfId="13772" xr:uid="{00000000-0005-0000-0000-000064440000}"/>
    <cellStyle name="20 % - Markeringsfarve6 3 6 3 3 2" xfId="30051" xr:uid="{00000000-0005-0000-0000-000065440000}"/>
    <cellStyle name="20 % - Markeringsfarve6 3 6 3 3 3" xfId="45012" xr:uid="{00000000-0005-0000-0000-000066440000}"/>
    <cellStyle name="20 % - Markeringsfarve6 3 6 3 4" xfId="23049" xr:uid="{00000000-0005-0000-0000-000067440000}"/>
    <cellStyle name="20 % - Markeringsfarve6 3 6 3 5" xfId="38015" xr:uid="{00000000-0005-0000-0000-000068440000}"/>
    <cellStyle name="20 % - Markeringsfarve6 3 6 4" xfId="5288" xr:uid="{00000000-0005-0000-0000-000069440000}"/>
    <cellStyle name="20 % - Markeringsfarve6 3 6 4 2" xfId="10641" xr:uid="{00000000-0005-0000-0000-00006A440000}"/>
    <cellStyle name="20 % - Markeringsfarve6 3 6 4 2 2" xfId="18488" xr:uid="{00000000-0005-0000-0000-00006B440000}"/>
    <cellStyle name="20 % - Markeringsfarve6 3 6 4 2 2 2" xfId="34764" xr:uid="{00000000-0005-0000-0000-00006C440000}"/>
    <cellStyle name="20 % - Markeringsfarve6 3 6 4 2 2 3" xfId="49723" xr:uid="{00000000-0005-0000-0000-00006D440000}"/>
    <cellStyle name="20 % - Markeringsfarve6 3 6 4 2 3" xfId="27762" xr:uid="{00000000-0005-0000-0000-00006E440000}"/>
    <cellStyle name="20 % - Markeringsfarve6 3 6 4 2 4" xfId="42726" xr:uid="{00000000-0005-0000-0000-00006F440000}"/>
    <cellStyle name="20 % - Markeringsfarve6 3 6 4 3" xfId="13773" xr:uid="{00000000-0005-0000-0000-000070440000}"/>
    <cellStyle name="20 % - Markeringsfarve6 3 6 4 3 2" xfId="30052" xr:uid="{00000000-0005-0000-0000-000071440000}"/>
    <cellStyle name="20 % - Markeringsfarve6 3 6 4 3 3" xfId="45013" xr:uid="{00000000-0005-0000-0000-000072440000}"/>
    <cellStyle name="20 % - Markeringsfarve6 3 6 4 4" xfId="23050" xr:uid="{00000000-0005-0000-0000-000073440000}"/>
    <cellStyle name="20 % - Markeringsfarve6 3 6 4 5" xfId="38016" xr:uid="{00000000-0005-0000-0000-000074440000}"/>
    <cellStyle name="20 % - Markeringsfarve6 3 6 5" xfId="7938" xr:uid="{00000000-0005-0000-0000-000075440000}"/>
    <cellStyle name="20 % - Markeringsfarve6 3 6 5 2" xfId="15803" xr:uid="{00000000-0005-0000-0000-000076440000}"/>
    <cellStyle name="20 % - Markeringsfarve6 3 6 5 2 2" xfId="32079" xr:uid="{00000000-0005-0000-0000-000077440000}"/>
    <cellStyle name="20 % - Markeringsfarve6 3 6 5 2 3" xfId="47038" xr:uid="{00000000-0005-0000-0000-000078440000}"/>
    <cellStyle name="20 % - Markeringsfarve6 3 6 5 3" xfId="25077" xr:uid="{00000000-0005-0000-0000-000079440000}"/>
    <cellStyle name="20 % - Markeringsfarve6 3 6 5 4" xfId="40041" xr:uid="{00000000-0005-0000-0000-00007A440000}"/>
    <cellStyle name="20 % - Markeringsfarve6 3 6 6" xfId="13769" xr:uid="{00000000-0005-0000-0000-00007B440000}"/>
    <cellStyle name="20 % - Markeringsfarve6 3 6 6 2" xfId="30048" xr:uid="{00000000-0005-0000-0000-00007C440000}"/>
    <cellStyle name="20 % - Markeringsfarve6 3 6 6 3" xfId="45009" xr:uid="{00000000-0005-0000-0000-00007D440000}"/>
    <cellStyle name="20 % - Markeringsfarve6 3 6 7" xfId="23046" xr:uid="{00000000-0005-0000-0000-00007E440000}"/>
    <cellStyle name="20 % - Markeringsfarve6 3 6 8" xfId="38012" xr:uid="{00000000-0005-0000-0000-00007F440000}"/>
    <cellStyle name="20 % - Markeringsfarve6 3 7" xfId="5289" xr:uid="{00000000-0005-0000-0000-000080440000}"/>
    <cellStyle name="20 % - Markeringsfarve6 3 7 2" xfId="5290" xr:uid="{00000000-0005-0000-0000-000081440000}"/>
    <cellStyle name="20 % - Markeringsfarve6 3 7 2 2" xfId="5291" xr:uid="{00000000-0005-0000-0000-000082440000}"/>
    <cellStyle name="20 % - Markeringsfarve6 3 7 2 2 2" xfId="10192" xr:uid="{00000000-0005-0000-0000-000083440000}"/>
    <cellStyle name="20 % - Markeringsfarve6 3 7 2 2 2 2" xfId="18047" xr:uid="{00000000-0005-0000-0000-000084440000}"/>
    <cellStyle name="20 % - Markeringsfarve6 3 7 2 2 2 2 2" xfId="34323" xr:uid="{00000000-0005-0000-0000-000085440000}"/>
    <cellStyle name="20 % - Markeringsfarve6 3 7 2 2 2 2 3" xfId="49282" xr:uid="{00000000-0005-0000-0000-000086440000}"/>
    <cellStyle name="20 % - Markeringsfarve6 3 7 2 2 2 3" xfId="27321" xr:uid="{00000000-0005-0000-0000-000087440000}"/>
    <cellStyle name="20 % - Markeringsfarve6 3 7 2 2 2 4" xfId="42285" xr:uid="{00000000-0005-0000-0000-000088440000}"/>
    <cellStyle name="20 % - Markeringsfarve6 3 7 2 2 3" xfId="13776" xr:uid="{00000000-0005-0000-0000-000089440000}"/>
    <cellStyle name="20 % - Markeringsfarve6 3 7 2 2 3 2" xfId="30055" xr:uid="{00000000-0005-0000-0000-00008A440000}"/>
    <cellStyle name="20 % - Markeringsfarve6 3 7 2 2 3 3" xfId="45016" xr:uid="{00000000-0005-0000-0000-00008B440000}"/>
    <cellStyle name="20 % - Markeringsfarve6 3 7 2 2 4" xfId="23053" xr:uid="{00000000-0005-0000-0000-00008C440000}"/>
    <cellStyle name="20 % - Markeringsfarve6 3 7 2 2 5" xfId="38019" xr:uid="{00000000-0005-0000-0000-00008D440000}"/>
    <cellStyle name="20 % - Markeringsfarve6 3 7 2 3" xfId="8718" xr:uid="{00000000-0005-0000-0000-00008E440000}"/>
    <cellStyle name="20 % - Markeringsfarve6 3 7 2 3 2" xfId="16585" xr:uid="{00000000-0005-0000-0000-00008F440000}"/>
    <cellStyle name="20 % - Markeringsfarve6 3 7 2 3 2 2" xfId="32861" xr:uid="{00000000-0005-0000-0000-000090440000}"/>
    <cellStyle name="20 % - Markeringsfarve6 3 7 2 3 2 3" xfId="47820" xr:uid="{00000000-0005-0000-0000-000091440000}"/>
    <cellStyle name="20 % - Markeringsfarve6 3 7 2 3 3" xfId="25859" xr:uid="{00000000-0005-0000-0000-000092440000}"/>
    <cellStyle name="20 % - Markeringsfarve6 3 7 2 3 4" xfId="40823" xr:uid="{00000000-0005-0000-0000-000093440000}"/>
    <cellStyle name="20 % - Markeringsfarve6 3 7 2 4" xfId="13775" xr:uid="{00000000-0005-0000-0000-000094440000}"/>
    <cellStyle name="20 % - Markeringsfarve6 3 7 2 4 2" xfId="30054" xr:uid="{00000000-0005-0000-0000-000095440000}"/>
    <cellStyle name="20 % - Markeringsfarve6 3 7 2 4 3" xfId="45015" xr:uid="{00000000-0005-0000-0000-000096440000}"/>
    <cellStyle name="20 % - Markeringsfarve6 3 7 2 5" xfId="23052" xr:uid="{00000000-0005-0000-0000-000097440000}"/>
    <cellStyle name="20 % - Markeringsfarve6 3 7 2 6" xfId="38018" xr:uid="{00000000-0005-0000-0000-000098440000}"/>
    <cellStyle name="20 % - Markeringsfarve6 3 7 3" xfId="5292" xr:uid="{00000000-0005-0000-0000-000099440000}"/>
    <cellStyle name="20 % - Markeringsfarve6 3 7 3 2" xfId="9469" xr:uid="{00000000-0005-0000-0000-00009A440000}"/>
    <cellStyle name="20 % - Markeringsfarve6 3 7 3 2 2" xfId="17332" xr:uid="{00000000-0005-0000-0000-00009B440000}"/>
    <cellStyle name="20 % - Markeringsfarve6 3 7 3 2 2 2" xfId="33608" xr:uid="{00000000-0005-0000-0000-00009C440000}"/>
    <cellStyle name="20 % - Markeringsfarve6 3 7 3 2 2 3" xfId="48567" xr:uid="{00000000-0005-0000-0000-00009D440000}"/>
    <cellStyle name="20 % - Markeringsfarve6 3 7 3 2 3" xfId="26606" xr:uid="{00000000-0005-0000-0000-00009E440000}"/>
    <cellStyle name="20 % - Markeringsfarve6 3 7 3 2 4" xfId="41570" xr:uid="{00000000-0005-0000-0000-00009F440000}"/>
    <cellStyle name="20 % - Markeringsfarve6 3 7 3 3" xfId="13777" xr:uid="{00000000-0005-0000-0000-0000A0440000}"/>
    <cellStyle name="20 % - Markeringsfarve6 3 7 3 3 2" xfId="30056" xr:uid="{00000000-0005-0000-0000-0000A1440000}"/>
    <cellStyle name="20 % - Markeringsfarve6 3 7 3 3 3" xfId="45017" xr:uid="{00000000-0005-0000-0000-0000A2440000}"/>
    <cellStyle name="20 % - Markeringsfarve6 3 7 3 4" xfId="23054" xr:uid="{00000000-0005-0000-0000-0000A3440000}"/>
    <cellStyle name="20 % - Markeringsfarve6 3 7 3 5" xfId="38020" xr:uid="{00000000-0005-0000-0000-0000A4440000}"/>
    <cellStyle name="20 % - Markeringsfarve6 3 7 4" xfId="5293" xr:uid="{00000000-0005-0000-0000-0000A5440000}"/>
    <cellStyle name="20 % - Markeringsfarve6 3 7 4 2" xfId="10876" xr:uid="{00000000-0005-0000-0000-0000A6440000}"/>
    <cellStyle name="20 % - Markeringsfarve6 3 7 4 2 2" xfId="18713" xr:uid="{00000000-0005-0000-0000-0000A7440000}"/>
    <cellStyle name="20 % - Markeringsfarve6 3 7 4 2 2 2" xfId="34989" xr:uid="{00000000-0005-0000-0000-0000A8440000}"/>
    <cellStyle name="20 % - Markeringsfarve6 3 7 4 2 2 3" xfId="49948" xr:uid="{00000000-0005-0000-0000-0000A9440000}"/>
    <cellStyle name="20 % - Markeringsfarve6 3 7 4 2 3" xfId="27987" xr:uid="{00000000-0005-0000-0000-0000AA440000}"/>
    <cellStyle name="20 % - Markeringsfarve6 3 7 4 2 4" xfId="42951" xr:uid="{00000000-0005-0000-0000-0000AB440000}"/>
    <cellStyle name="20 % - Markeringsfarve6 3 7 4 3" xfId="13778" xr:uid="{00000000-0005-0000-0000-0000AC440000}"/>
    <cellStyle name="20 % - Markeringsfarve6 3 7 4 3 2" xfId="30057" xr:uid="{00000000-0005-0000-0000-0000AD440000}"/>
    <cellStyle name="20 % - Markeringsfarve6 3 7 4 3 3" xfId="45018" xr:uid="{00000000-0005-0000-0000-0000AE440000}"/>
    <cellStyle name="20 % - Markeringsfarve6 3 7 4 4" xfId="23055" xr:uid="{00000000-0005-0000-0000-0000AF440000}"/>
    <cellStyle name="20 % - Markeringsfarve6 3 7 4 5" xfId="38021" xr:uid="{00000000-0005-0000-0000-0000B0440000}"/>
    <cellStyle name="20 % - Markeringsfarve6 3 7 5" xfId="7939" xr:uid="{00000000-0005-0000-0000-0000B1440000}"/>
    <cellStyle name="20 % - Markeringsfarve6 3 7 5 2" xfId="15804" xr:uid="{00000000-0005-0000-0000-0000B2440000}"/>
    <cellStyle name="20 % - Markeringsfarve6 3 7 5 2 2" xfId="32080" xr:uid="{00000000-0005-0000-0000-0000B3440000}"/>
    <cellStyle name="20 % - Markeringsfarve6 3 7 5 2 3" xfId="47039" xr:uid="{00000000-0005-0000-0000-0000B4440000}"/>
    <cellStyle name="20 % - Markeringsfarve6 3 7 5 3" xfId="25078" xr:uid="{00000000-0005-0000-0000-0000B5440000}"/>
    <cellStyle name="20 % - Markeringsfarve6 3 7 5 4" xfId="40042" xr:uid="{00000000-0005-0000-0000-0000B6440000}"/>
    <cellStyle name="20 % - Markeringsfarve6 3 7 6" xfId="13774" xr:uid="{00000000-0005-0000-0000-0000B7440000}"/>
    <cellStyle name="20 % - Markeringsfarve6 3 7 6 2" xfId="30053" xr:uid="{00000000-0005-0000-0000-0000B8440000}"/>
    <cellStyle name="20 % - Markeringsfarve6 3 7 6 3" xfId="45014" xr:uid="{00000000-0005-0000-0000-0000B9440000}"/>
    <cellStyle name="20 % - Markeringsfarve6 3 7 7" xfId="23051" xr:uid="{00000000-0005-0000-0000-0000BA440000}"/>
    <cellStyle name="20 % - Markeringsfarve6 3 7 8" xfId="38017" xr:uid="{00000000-0005-0000-0000-0000BB440000}"/>
    <cellStyle name="20 % - Markeringsfarve6 3 8" xfId="5294" xr:uid="{00000000-0005-0000-0000-0000BC440000}"/>
    <cellStyle name="20 % - Markeringsfarve6 3 8 2" xfId="5295" xr:uid="{00000000-0005-0000-0000-0000BD440000}"/>
    <cellStyle name="20 % - Markeringsfarve6 3 8 2 2" xfId="5296" xr:uid="{00000000-0005-0000-0000-0000BE440000}"/>
    <cellStyle name="20 % - Markeringsfarve6 3 8 2 2 2" xfId="10334" xr:uid="{00000000-0005-0000-0000-0000BF440000}"/>
    <cellStyle name="20 % - Markeringsfarve6 3 8 2 2 2 2" xfId="18189" xr:uid="{00000000-0005-0000-0000-0000C0440000}"/>
    <cellStyle name="20 % - Markeringsfarve6 3 8 2 2 2 2 2" xfId="34465" xr:uid="{00000000-0005-0000-0000-0000C1440000}"/>
    <cellStyle name="20 % - Markeringsfarve6 3 8 2 2 2 2 3" xfId="49424" xr:uid="{00000000-0005-0000-0000-0000C2440000}"/>
    <cellStyle name="20 % - Markeringsfarve6 3 8 2 2 2 3" xfId="27463" xr:uid="{00000000-0005-0000-0000-0000C3440000}"/>
    <cellStyle name="20 % - Markeringsfarve6 3 8 2 2 2 4" xfId="42427" xr:uid="{00000000-0005-0000-0000-0000C4440000}"/>
    <cellStyle name="20 % - Markeringsfarve6 3 8 2 2 3" xfId="13781" xr:uid="{00000000-0005-0000-0000-0000C5440000}"/>
    <cellStyle name="20 % - Markeringsfarve6 3 8 2 2 3 2" xfId="30060" xr:uid="{00000000-0005-0000-0000-0000C6440000}"/>
    <cellStyle name="20 % - Markeringsfarve6 3 8 2 2 3 3" xfId="45021" xr:uid="{00000000-0005-0000-0000-0000C7440000}"/>
    <cellStyle name="20 % - Markeringsfarve6 3 8 2 2 4" xfId="23058" xr:uid="{00000000-0005-0000-0000-0000C8440000}"/>
    <cellStyle name="20 % - Markeringsfarve6 3 8 2 2 5" xfId="38024" xr:uid="{00000000-0005-0000-0000-0000C9440000}"/>
    <cellStyle name="20 % - Markeringsfarve6 3 8 2 3" xfId="8837" xr:uid="{00000000-0005-0000-0000-0000CA440000}"/>
    <cellStyle name="20 % - Markeringsfarve6 3 8 2 3 2" xfId="16704" xr:uid="{00000000-0005-0000-0000-0000CB440000}"/>
    <cellStyle name="20 % - Markeringsfarve6 3 8 2 3 2 2" xfId="32980" xr:uid="{00000000-0005-0000-0000-0000CC440000}"/>
    <cellStyle name="20 % - Markeringsfarve6 3 8 2 3 2 3" xfId="47939" xr:uid="{00000000-0005-0000-0000-0000CD440000}"/>
    <cellStyle name="20 % - Markeringsfarve6 3 8 2 3 3" xfId="25978" xr:uid="{00000000-0005-0000-0000-0000CE440000}"/>
    <cellStyle name="20 % - Markeringsfarve6 3 8 2 3 4" xfId="40942" xr:uid="{00000000-0005-0000-0000-0000CF440000}"/>
    <cellStyle name="20 % - Markeringsfarve6 3 8 2 4" xfId="13780" xr:uid="{00000000-0005-0000-0000-0000D0440000}"/>
    <cellStyle name="20 % - Markeringsfarve6 3 8 2 4 2" xfId="30059" xr:uid="{00000000-0005-0000-0000-0000D1440000}"/>
    <cellStyle name="20 % - Markeringsfarve6 3 8 2 4 3" xfId="45020" xr:uid="{00000000-0005-0000-0000-0000D2440000}"/>
    <cellStyle name="20 % - Markeringsfarve6 3 8 2 5" xfId="23057" xr:uid="{00000000-0005-0000-0000-0000D3440000}"/>
    <cellStyle name="20 % - Markeringsfarve6 3 8 2 6" xfId="38023" xr:uid="{00000000-0005-0000-0000-0000D4440000}"/>
    <cellStyle name="20 % - Markeringsfarve6 3 8 3" xfId="5297" xr:uid="{00000000-0005-0000-0000-0000D5440000}"/>
    <cellStyle name="20 % - Markeringsfarve6 3 8 3 2" xfId="9612" xr:uid="{00000000-0005-0000-0000-0000D6440000}"/>
    <cellStyle name="20 % - Markeringsfarve6 3 8 3 2 2" xfId="17475" xr:uid="{00000000-0005-0000-0000-0000D7440000}"/>
    <cellStyle name="20 % - Markeringsfarve6 3 8 3 2 2 2" xfId="33751" xr:uid="{00000000-0005-0000-0000-0000D8440000}"/>
    <cellStyle name="20 % - Markeringsfarve6 3 8 3 2 2 3" xfId="48710" xr:uid="{00000000-0005-0000-0000-0000D9440000}"/>
    <cellStyle name="20 % - Markeringsfarve6 3 8 3 2 3" xfId="26749" xr:uid="{00000000-0005-0000-0000-0000DA440000}"/>
    <cellStyle name="20 % - Markeringsfarve6 3 8 3 2 4" xfId="41713" xr:uid="{00000000-0005-0000-0000-0000DB440000}"/>
    <cellStyle name="20 % - Markeringsfarve6 3 8 3 3" xfId="13782" xr:uid="{00000000-0005-0000-0000-0000DC440000}"/>
    <cellStyle name="20 % - Markeringsfarve6 3 8 3 3 2" xfId="30061" xr:uid="{00000000-0005-0000-0000-0000DD440000}"/>
    <cellStyle name="20 % - Markeringsfarve6 3 8 3 3 3" xfId="45022" xr:uid="{00000000-0005-0000-0000-0000DE440000}"/>
    <cellStyle name="20 % - Markeringsfarve6 3 8 3 4" xfId="23059" xr:uid="{00000000-0005-0000-0000-0000DF440000}"/>
    <cellStyle name="20 % - Markeringsfarve6 3 8 3 5" xfId="38025" xr:uid="{00000000-0005-0000-0000-0000E0440000}"/>
    <cellStyle name="20 % - Markeringsfarve6 3 8 4" xfId="5298" xr:uid="{00000000-0005-0000-0000-0000E1440000}"/>
    <cellStyle name="20 % - Markeringsfarve6 3 8 4 2" xfId="10599" xr:uid="{00000000-0005-0000-0000-0000E2440000}"/>
    <cellStyle name="20 % - Markeringsfarve6 3 8 4 2 2" xfId="18447" xr:uid="{00000000-0005-0000-0000-0000E3440000}"/>
    <cellStyle name="20 % - Markeringsfarve6 3 8 4 2 2 2" xfId="34723" xr:uid="{00000000-0005-0000-0000-0000E4440000}"/>
    <cellStyle name="20 % - Markeringsfarve6 3 8 4 2 2 3" xfId="49682" xr:uid="{00000000-0005-0000-0000-0000E5440000}"/>
    <cellStyle name="20 % - Markeringsfarve6 3 8 4 2 3" xfId="27721" xr:uid="{00000000-0005-0000-0000-0000E6440000}"/>
    <cellStyle name="20 % - Markeringsfarve6 3 8 4 2 4" xfId="42685" xr:uid="{00000000-0005-0000-0000-0000E7440000}"/>
    <cellStyle name="20 % - Markeringsfarve6 3 8 4 3" xfId="13783" xr:uid="{00000000-0005-0000-0000-0000E8440000}"/>
    <cellStyle name="20 % - Markeringsfarve6 3 8 4 3 2" xfId="30062" xr:uid="{00000000-0005-0000-0000-0000E9440000}"/>
    <cellStyle name="20 % - Markeringsfarve6 3 8 4 3 3" xfId="45023" xr:uid="{00000000-0005-0000-0000-0000EA440000}"/>
    <cellStyle name="20 % - Markeringsfarve6 3 8 4 4" xfId="23060" xr:uid="{00000000-0005-0000-0000-0000EB440000}"/>
    <cellStyle name="20 % - Markeringsfarve6 3 8 4 5" xfId="38026" xr:uid="{00000000-0005-0000-0000-0000EC440000}"/>
    <cellStyle name="20 % - Markeringsfarve6 3 8 5" xfId="7940" xr:uid="{00000000-0005-0000-0000-0000ED440000}"/>
    <cellStyle name="20 % - Markeringsfarve6 3 8 5 2" xfId="15805" xr:uid="{00000000-0005-0000-0000-0000EE440000}"/>
    <cellStyle name="20 % - Markeringsfarve6 3 8 5 2 2" xfId="32081" xr:uid="{00000000-0005-0000-0000-0000EF440000}"/>
    <cellStyle name="20 % - Markeringsfarve6 3 8 5 2 3" xfId="47040" xr:uid="{00000000-0005-0000-0000-0000F0440000}"/>
    <cellStyle name="20 % - Markeringsfarve6 3 8 5 3" xfId="25079" xr:uid="{00000000-0005-0000-0000-0000F1440000}"/>
    <cellStyle name="20 % - Markeringsfarve6 3 8 5 4" xfId="40043" xr:uid="{00000000-0005-0000-0000-0000F2440000}"/>
    <cellStyle name="20 % - Markeringsfarve6 3 8 6" xfId="13779" xr:uid="{00000000-0005-0000-0000-0000F3440000}"/>
    <cellStyle name="20 % - Markeringsfarve6 3 8 6 2" xfId="30058" xr:uid="{00000000-0005-0000-0000-0000F4440000}"/>
    <cellStyle name="20 % - Markeringsfarve6 3 8 6 3" xfId="45019" xr:uid="{00000000-0005-0000-0000-0000F5440000}"/>
    <cellStyle name="20 % - Markeringsfarve6 3 8 7" xfId="23056" xr:uid="{00000000-0005-0000-0000-0000F6440000}"/>
    <cellStyle name="20 % - Markeringsfarve6 3 8 8" xfId="38022" xr:uid="{00000000-0005-0000-0000-0000F7440000}"/>
    <cellStyle name="20 % - Markeringsfarve6 3 9" xfId="5299" xr:uid="{00000000-0005-0000-0000-0000F8440000}"/>
    <cellStyle name="20 % - Markeringsfarve6 3 9 2" xfId="5300" xr:uid="{00000000-0005-0000-0000-0000F9440000}"/>
    <cellStyle name="20 % - Markeringsfarve6 3 9 2 2" xfId="9719" xr:uid="{00000000-0005-0000-0000-0000FA440000}"/>
    <cellStyle name="20 % - Markeringsfarve6 3 9 2 2 2" xfId="17573" xr:uid="{00000000-0005-0000-0000-0000FB440000}"/>
    <cellStyle name="20 % - Markeringsfarve6 3 9 2 2 2 2" xfId="33849" xr:uid="{00000000-0005-0000-0000-0000FC440000}"/>
    <cellStyle name="20 % - Markeringsfarve6 3 9 2 2 2 3" xfId="48808" xr:uid="{00000000-0005-0000-0000-0000FD440000}"/>
    <cellStyle name="20 % - Markeringsfarve6 3 9 2 2 3" xfId="26847" xr:uid="{00000000-0005-0000-0000-0000FE440000}"/>
    <cellStyle name="20 % - Markeringsfarve6 3 9 2 2 4" xfId="41811" xr:uid="{00000000-0005-0000-0000-0000FF440000}"/>
    <cellStyle name="20 % - Markeringsfarve6 3 9 2 3" xfId="13785" xr:uid="{00000000-0005-0000-0000-000000450000}"/>
    <cellStyle name="20 % - Markeringsfarve6 3 9 2 3 2" xfId="30064" xr:uid="{00000000-0005-0000-0000-000001450000}"/>
    <cellStyle name="20 % - Markeringsfarve6 3 9 2 3 3" xfId="45025" xr:uid="{00000000-0005-0000-0000-000002450000}"/>
    <cellStyle name="20 % - Markeringsfarve6 3 9 2 4" xfId="23062" xr:uid="{00000000-0005-0000-0000-000003450000}"/>
    <cellStyle name="20 % - Markeringsfarve6 3 9 2 5" xfId="38028" xr:uid="{00000000-0005-0000-0000-000004450000}"/>
    <cellStyle name="20 % - Markeringsfarve6 3 9 3" xfId="8318" xr:uid="{00000000-0005-0000-0000-000005450000}"/>
    <cellStyle name="20 % - Markeringsfarve6 3 9 3 2" xfId="16188" xr:uid="{00000000-0005-0000-0000-000006450000}"/>
    <cellStyle name="20 % - Markeringsfarve6 3 9 3 2 2" xfId="32464" xr:uid="{00000000-0005-0000-0000-000007450000}"/>
    <cellStyle name="20 % - Markeringsfarve6 3 9 3 2 3" xfId="47423" xr:uid="{00000000-0005-0000-0000-000008450000}"/>
    <cellStyle name="20 % - Markeringsfarve6 3 9 3 3" xfId="25462" xr:uid="{00000000-0005-0000-0000-000009450000}"/>
    <cellStyle name="20 % - Markeringsfarve6 3 9 3 4" xfId="40426" xr:uid="{00000000-0005-0000-0000-00000A450000}"/>
    <cellStyle name="20 % - Markeringsfarve6 3 9 4" xfId="13784" xr:uid="{00000000-0005-0000-0000-00000B450000}"/>
    <cellStyle name="20 % - Markeringsfarve6 3 9 4 2" xfId="30063" xr:uid="{00000000-0005-0000-0000-00000C450000}"/>
    <cellStyle name="20 % - Markeringsfarve6 3 9 4 3" xfId="45024" xr:uid="{00000000-0005-0000-0000-00000D450000}"/>
    <cellStyle name="20 % - Markeringsfarve6 3 9 5" xfId="23061" xr:uid="{00000000-0005-0000-0000-00000E450000}"/>
    <cellStyle name="20 % - Markeringsfarve6 3 9 6" xfId="38027" xr:uid="{00000000-0005-0000-0000-00000F450000}"/>
    <cellStyle name="20 % - Markeringsfarve6 4" xfId="5301" xr:uid="{00000000-0005-0000-0000-000010450000}"/>
    <cellStyle name="20 % - Markeringsfarve6 4 10" xfId="7941" xr:uid="{00000000-0005-0000-0000-000011450000}"/>
    <cellStyle name="20 % - Markeringsfarve6 4 10 2" xfId="15806" xr:uid="{00000000-0005-0000-0000-000012450000}"/>
    <cellStyle name="20 % - Markeringsfarve6 4 10 2 2" xfId="32082" xr:uid="{00000000-0005-0000-0000-000013450000}"/>
    <cellStyle name="20 % - Markeringsfarve6 4 10 2 3" xfId="47041" xr:uid="{00000000-0005-0000-0000-000014450000}"/>
    <cellStyle name="20 % - Markeringsfarve6 4 10 3" xfId="25080" xr:uid="{00000000-0005-0000-0000-000015450000}"/>
    <cellStyle name="20 % - Markeringsfarve6 4 10 4" xfId="40044" xr:uid="{00000000-0005-0000-0000-000016450000}"/>
    <cellStyle name="20 % - Markeringsfarve6 4 11" xfId="13786" xr:uid="{00000000-0005-0000-0000-000017450000}"/>
    <cellStyle name="20 % - Markeringsfarve6 4 11 2" xfId="30065" xr:uid="{00000000-0005-0000-0000-000018450000}"/>
    <cellStyle name="20 % - Markeringsfarve6 4 11 3" xfId="45026" xr:uid="{00000000-0005-0000-0000-000019450000}"/>
    <cellStyle name="20 % - Markeringsfarve6 4 12" xfId="23063" xr:uid="{00000000-0005-0000-0000-00001A450000}"/>
    <cellStyle name="20 % - Markeringsfarve6 4 13" xfId="38029" xr:uid="{00000000-0005-0000-0000-00001B450000}"/>
    <cellStyle name="20 % - Markeringsfarve6 4 2" xfId="5302" xr:uid="{00000000-0005-0000-0000-00001C450000}"/>
    <cellStyle name="20 % - Markeringsfarve6 4 2 2" xfId="5303" xr:uid="{00000000-0005-0000-0000-00001D450000}"/>
    <cellStyle name="20 % - Markeringsfarve6 4 2 2 2" xfId="5304" xr:uid="{00000000-0005-0000-0000-00001E450000}"/>
    <cellStyle name="20 % - Markeringsfarve6 4 2 2 2 2" xfId="9862" xr:uid="{00000000-0005-0000-0000-00001F450000}"/>
    <cellStyle name="20 % - Markeringsfarve6 4 2 2 2 2 2" xfId="17717" xr:uid="{00000000-0005-0000-0000-000020450000}"/>
    <cellStyle name="20 % - Markeringsfarve6 4 2 2 2 2 2 2" xfId="33993" xr:uid="{00000000-0005-0000-0000-000021450000}"/>
    <cellStyle name="20 % - Markeringsfarve6 4 2 2 2 2 2 3" xfId="48952" xr:uid="{00000000-0005-0000-0000-000022450000}"/>
    <cellStyle name="20 % - Markeringsfarve6 4 2 2 2 2 3" xfId="26991" xr:uid="{00000000-0005-0000-0000-000023450000}"/>
    <cellStyle name="20 % - Markeringsfarve6 4 2 2 2 2 4" xfId="41955" xr:uid="{00000000-0005-0000-0000-000024450000}"/>
    <cellStyle name="20 % - Markeringsfarve6 4 2 2 2 3" xfId="13789" xr:uid="{00000000-0005-0000-0000-000025450000}"/>
    <cellStyle name="20 % - Markeringsfarve6 4 2 2 2 3 2" xfId="30068" xr:uid="{00000000-0005-0000-0000-000026450000}"/>
    <cellStyle name="20 % - Markeringsfarve6 4 2 2 2 3 3" xfId="45029" xr:uid="{00000000-0005-0000-0000-000027450000}"/>
    <cellStyle name="20 % - Markeringsfarve6 4 2 2 2 4" xfId="23066" xr:uid="{00000000-0005-0000-0000-000028450000}"/>
    <cellStyle name="20 % - Markeringsfarve6 4 2 2 2 5" xfId="38032" xr:uid="{00000000-0005-0000-0000-000029450000}"/>
    <cellStyle name="20 % - Markeringsfarve6 4 2 2 3" xfId="8438" xr:uid="{00000000-0005-0000-0000-00002A450000}"/>
    <cellStyle name="20 % - Markeringsfarve6 4 2 2 3 2" xfId="16308" xr:uid="{00000000-0005-0000-0000-00002B450000}"/>
    <cellStyle name="20 % - Markeringsfarve6 4 2 2 3 2 2" xfId="32584" xr:uid="{00000000-0005-0000-0000-00002C450000}"/>
    <cellStyle name="20 % - Markeringsfarve6 4 2 2 3 2 3" xfId="47543" xr:uid="{00000000-0005-0000-0000-00002D450000}"/>
    <cellStyle name="20 % - Markeringsfarve6 4 2 2 3 3" xfId="25582" xr:uid="{00000000-0005-0000-0000-00002E450000}"/>
    <cellStyle name="20 % - Markeringsfarve6 4 2 2 3 4" xfId="40546" xr:uid="{00000000-0005-0000-0000-00002F450000}"/>
    <cellStyle name="20 % - Markeringsfarve6 4 2 2 4" xfId="13788" xr:uid="{00000000-0005-0000-0000-000030450000}"/>
    <cellStyle name="20 % - Markeringsfarve6 4 2 2 4 2" xfId="30067" xr:uid="{00000000-0005-0000-0000-000031450000}"/>
    <cellStyle name="20 % - Markeringsfarve6 4 2 2 4 3" xfId="45028" xr:uid="{00000000-0005-0000-0000-000032450000}"/>
    <cellStyle name="20 % - Markeringsfarve6 4 2 2 5" xfId="23065" xr:uid="{00000000-0005-0000-0000-000033450000}"/>
    <cellStyle name="20 % - Markeringsfarve6 4 2 2 6" xfId="38031" xr:uid="{00000000-0005-0000-0000-000034450000}"/>
    <cellStyle name="20 % - Markeringsfarve6 4 2 3" xfId="5305" xr:uid="{00000000-0005-0000-0000-000035450000}"/>
    <cellStyle name="20 % - Markeringsfarve6 4 2 3 2" xfId="9093" xr:uid="{00000000-0005-0000-0000-000036450000}"/>
    <cellStyle name="20 % - Markeringsfarve6 4 2 3 2 2" xfId="16957" xr:uid="{00000000-0005-0000-0000-000037450000}"/>
    <cellStyle name="20 % - Markeringsfarve6 4 2 3 2 2 2" xfId="33233" xr:uid="{00000000-0005-0000-0000-000038450000}"/>
    <cellStyle name="20 % - Markeringsfarve6 4 2 3 2 2 3" xfId="48192" xr:uid="{00000000-0005-0000-0000-000039450000}"/>
    <cellStyle name="20 % - Markeringsfarve6 4 2 3 2 3" xfId="26231" xr:uid="{00000000-0005-0000-0000-00003A450000}"/>
    <cellStyle name="20 % - Markeringsfarve6 4 2 3 2 4" xfId="41195" xr:uid="{00000000-0005-0000-0000-00003B450000}"/>
    <cellStyle name="20 % - Markeringsfarve6 4 2 3 3" xfId="13790" xr:uid="{00000000-0005-0000-0000-00003C450000}"/>
    <cellStyle name="20 % - Markeringsfarve6 4 2 3 3 2" xfId="30069" xr:uid="{00000000-0005-0000-0000-00003D450000}"/>
    <cellStyle name="20 % - Markeringsfarve6 4 2 3 3 3" xfId="45030" xr:uid="{00000000-0005-0000-0000-00003E450000}"/>
    <cellStyle name="20 % - Markeringsfarve6 4 2 3 4" xfId="23067" xr:uid="{00000000-0005-0000-0000-00003F450000}"/>
    <cellStyle name="20 % - Markeringsfarve6 4 2 3 5" xfId="38033" xr:uid="{00000000-0005-0000-0000-000040450000}"/>
    <cellStyle name="20 % - Markeringsfarve6 4 2 4" xfId="5306" xr:uid="{00000000-0005-0000-0000-000041450000}"/>
    <cellStyle name="20 % - Markeringsfarve6 4 2 4 2" xfId="10499" xr:uid="{00000000-0005-0000-0000-000042450000}"/>
    <cellStyle name="20 % - Markeringsfarve6 4 2 4 2 2" xfId="18348" xr:uid="{00000000-0005-0000-0000-000043450000}"/>
    <cellStyle name="20 % - Markeringsfarve6 4 2 4 2 2 2" xfId="34624" xr:uid="{00000000-0005-0000-0000-000044450000}"/>
    <cellStyle name="20 % - Markeringsfarve6 4 2 4 2 2 3" xfId="49583" xr:uid="{00000000-0005-0000-0000-000045450000}"/>
    <cellStyle name="20 % - Markeringsfarve6 4 2 4 2 3" xfId="27622" xr:uid="{00000000-0005-0000-0000-000046450000}"/>
    <cellStyle name="20 % - Markeringsfarve6 4 2 4 2 4" xfId="42586" xr:uid="{00000000-0005-0000-0000-000047450000}"/>
    <cellStyle name="20 % - Markeringsfarve6 4 2 4 3" xfId="13791" xr:uid="{00000000-0005-0000-0000-000048450000}"/>
    <cellStyle name="20 % - Markeringsfarve6 4 2 4 3 2" xfId="30070" xr:uid="{00000000-0005-0000-0000-000049450000}"/>
    <cellStyle name="20 % - Markeringsfarve6 4 2 4 3 3" xfId="45031" xr:uid="{00000000-0005-0000-0000-00004A450000}"/>
    <cellStyle name="20 % - Markeringsfarve6 4 2 4 4" xfId="23068" xr:uid="{00000000-0005-0000-0000-00004B450000}"/>
    <cellStyle name="20 % - Markeringsfarve6 4 2 4 5" xfId="38034" xr:uid="{00000000-0005-0000-0000-00004C450000}"/>
    <cellStyle name="20 % - Markeringsfarve6 4 2 5" xfId="7942" xr:uid="{00000000-0005-0000-0000-00004D450000}"/>
    <cellStyle name="20 % - Markeringsfarve6 4 2 5 2" xfId="15807" xr:uid="{00000000-0005-0000-0000-00004E450000}"/>
    <cellStyle name="20 % - Markeringsfarve6 4 2 5 2 2" xfId="32083" xr:uid="{00000000-0005-0000-0000-00004F450000}"/>
    <cellStyle name="20 % - Markeringsfarve6 4 2 5 2 3" xfId="47042" xr:uid="{00000000-0005-0000-0000-000050450000}"/>
    <cellStyle name="20 % - Markeringsfarve6 4 2 5 3" xfId="25081" xr:uid="{00000000-0005-0000-0000-000051450000}"/>
    <cellStyle name="20 % - Markeringsfarve6 4 2 5 4" xfId="40045" xr:uid="{00000000-0005-0000-0000-000052450000}"/>
    <cellStyle name="20 % - Markeringsfarve6 4 2 6" xfId="13787" xr:uid="{00000000-0005-0000-0000-000053450000}"/>
    <cellStyle name="20 % - Markeringsfarve6 4 2 6 2" xfId="30066" xr:uid="{00000000-0005-0000-0000-000054450000}"/>
    <cellStyle name="20 % - Markeringsfarve6 4 2 6 3" xfId="45027" xr:uid="{00000000-0005-0000-0000-000055450000}"/>
    <cellStyle name="20 % - Markeringsfarve6 4 2 7" xfId="23064" xr:uid="{00000000-0005-0000-0000-000056450000}"/>
    <cellStyle name="20 % - Markeringsfarve6 4 2 8" xfId="38030" xr:uid="{00000000-0005-0000-0000-000057450000}"/>
    <cellStyle name="20 % - Markeringsfarve6 4 3" xfId="5307" xr:uid="{00000000-0005-0000-0000-000058450000}"/>
    <cellStyle name="20 % - Markeringsfarve6 4 3 2" xfId="5308" xr:uid="{00000000-0005-0000-0000-000059450000}"/>
    <cellStyle name="20 % - Markeringsfarve6 4 3 2 2" xfId="5309" xr:uid="{00000000-0005-0000-0000-00005A450000}"/>
    <cellStyle name="20 % - Markeringsfarve6 4 3 2 2 2" xfId="9983" xr:uid="{00000000-0005-0000-0000-00005B450000}"/>
    <cellStyle name="20 % - Markeringsfarve6 4 3 2 2 2 2" xfId="17838" xr:uid="{00000000-0005-0000-0000-00005C450000}"/>
    <cellStyle name="20 % - Markeringsfarve6 4 3 2 2 2 2 2" xfId="34114" xr:uid="{00000000-0005-0000-0000-00005D450000}"/>
    <cellStyle name="20 % - Markeringsfarve6 4 3 2 2 2 2 3" xfId="49073" xr:uid="{00000000-0005-0000-0000-00005E450000}"/>
    <cellStyle name="20 % - Markeringsfarve6 4 3 2 2 2 3" xfId="27112" xr:uid="{00000000-0005-0000-0000-00005F450000}"/>
    <cellStyle name="20 % - Markeringsfarve6 4 3 2 2 2 4" xfId="42076" xr:uid="{00000000-0005-0000-0000-000060450000}"/>
    <cellStyle name="20 % - Markeringsfarve6 4 3 2 2 3" xfId="13794" xr:uid="{00000000-0005-0000-0000-000061450000}"/>
    <cellStyle name="20 % - Markeringsfarve6 4 3 2 2 3 2" xfId="30073" xr:uid="{00000000-0005-0000-0000-000062450000}"/>
    <cellStyle name="20 % - Markeringsfarve6 4 3 2 2 3 3" xfId="45034" xr:uid="{00000000-0005-0000-0000-000063450000}"/>
    <cellStyle name="20 % - Markeringsfarve6 4 3 2 2 4" xfId="23071" xr:uid="{00000000-0005-0000-0000-000064450000}"/>
    <cellStyle name="20 % - Markeringsfarve6 4 3 2 2 5" xfId="38037" xr:uid="{00000000-0005-0000-0000-000065450000}"/>
    <cellStyle name="20 % - Markeringsfarve6 4 3 2 3" xfId="8539" xr:uid="{00000000-0005-0000-0000-000066450000}"/>
    <cellStyle name="20 % - Markeringsfarve6 4 3 2 3 2" xfId="16409" xr:uid="{00000000-0005-0000-0000-000067450000}"/>
    <cellStyle name="20 % - Markeringsfarve6 4 3 2 3 2 2" xfId="32685" xr:uid="{00000000-0005-0000-0000-000068450000}"/>
    <cellStyle name="20 % - Markeringsfarve6 4 3 2 3 2 3" xfId="47644" xr:uid="{00000000-0005-0000-0000-000069450000}"/>
    <cellStyle name="20 % - Markeringsfarve6 4 3 2 3 3" xfId="25683" xr:uid="{00000000-0005-0000-0000-00006A450000}"/>
    <cellStyle name="20 % - Markeringsfarve6 4 3 2 3 4" xfId="40647" xr:uid="{00000000-0005-0000-0000-00006B450000}"/>
    <cellStyle name="20 % - Markeringsfarve6 4 3 2 4" xfId="13793" xr:uid="{00000000-0005-0000-0000-00006C450000}"/>
    <cellStyle name="20 % - Markeringsfarve6 4 3 2 4 2" xfId="30072" xr:uid="{00000000-0005-0000-0000-00006D450000}"/>
    <cellStyle name="20 % - Markeringsfarve6 4 3 2 4 3" xfId="45033" xr:uid="{00000000-0005-0000-0000-00006E450000}"/>
    <cellStyle name="20 % - Markeringsfarve6 4 3 2 5" xfId="23070" xr:uid="{00000000-0005-0000-0000-00006F450000}"/>
    <cellStyle name="20 % - Markeringsfarve6 4 3 2 6" xfId="38036" xr:uid="{00000000-0005-0000-0000-000070450000}"/>
    <cellStyle name="20 % - Markeringsfarve6 4 3 3" xfId="5310" xr:uid="{00000000-0005-0000-0000-000071450000}"/>
    <cellStyle name="20 % - Markeringsfarve6 4 3 3 2" xfId="9214" xr:uid="{00000000-0005-0000-0000-000072450000}"/>
    <cellStyle name="20 % - Markeringsfarve6 4 3 3 2 2" xfId="17078" xr:uid="{00000000-0005-0000-0000-000073450000}"/>
    <cellStyle name="20 % - Markeringsfarve6 4 3 3 2 2 2" xfId="33354" xr:uid="{00000000-0005-0000-0000-000074450000}"/>
    <cellStyle name="20 % - Markeringsfarve6 4 3 3 2 2 3" xfId="48313" xr:uid="{00000000-0005-0000-0000-000075450000}"/>
    <cellStyle name="20 % - Markeringsfarve6 4 3 3 2 3" xfId="26352" xr:uid="{00000000-0005-0000-0000-000076450000}"/>
    <cellStyle name="20 % - Markeringsfarve6 4 3 3 2 4" xfId="41316" xr:uid="{00000000-0005-0000-0000-000077450000}"/>
    <cellStyle name="20 % - Markeringsfarve6 4 3 3 3" xfId="13795" xr:uid="{00000000-0005-0000-0000-000078450000}"/>
    <cellStyle name="20 % - Markeringsfarve6 4 3 3 3 2" xfId="30074" xr:uid="{00000000-0005-0000-0000-000079450000}"/>
    <cellStyle name="20 % - Markeringsfarve6 4 3 3 3 3" xfId="45035" xr:uid="{00000000-0005-0000-0000-00007A450000}"/>
    <cellStyle name="20 % - Markeringsfarve6 4 3 3 4" xfId="23072" xr:uid="{00000000-0005-0000-0000-00007B450000}"/>
    <cellStyle name="20 % - Markeringsfarve6 4 3 3 5" xfId="38038" xr:uid="{00000000-0005-0000-0000-00007C450000}"/>
    <cellStyle name="20 % - Markeringsfarve6 4 3 4" xfId="5311" xr:uid="{00000000-0005-0000-0000-00007D450000}"/>
    <cellStyle name="20 % - Markeringsfarve6 4 3 4 2" xfId="10784" xr:uid="{00000000-0005-0000-0000-00007E450000}"/>
    <cellStyle name="20 % - Markeringsfarve6 4 3 4 2 2" xfId="18626" xr:uid="{00000000-0005-0000-0000-00007F450000}"/>
    <cellStyle name="20 % - Markeringsfarve6 4 3 4 2 2 2" xfId="34902" xr:uid="{00000000-0005-0000-0000-000080450000}"/>
    <cellStyle name="20 % - Markeringsfarve6 4 3 4 2 2 3" xfId="49861" xr:uid="{00000000-0005-0000-0000-000081450000}"/>
    <cellStyle name="20 % - Markeringsfarve6 4 3 4 2 3" xfId="27900" xr:uid="{00000000-0005-0000-0000-000082450000}"/>
    <cellStyle name="20 % - Markeringsfarve6 4 3 4 2 4" xfId="42864" xr:uid="{00000000-0005-0000-0000-000083450000}"/>
    <cellStyle name="20 % - Markeringsfarve6 4 3 4 3" xfId="13796" xr:uid="{00000000-0005-0000-0000-000084450000}"/>
    <cellStyle name="20 % - Markeringsfarve6 4 3 4 3 2" xfId="30075" xr:uid="{00000000-0005-0000-0000-000085450000}"/>
    <cellStyle name="20 % - Markeringsfarve6 4 3 4 3 3" xfId="45036" xr:uid="{00000000-0005-0000-0000-000086450000}"/>
    <cellStyle name="20 % - Markeringsfarve6 4 3 4 4" xfId="23073" xr:uid="{00000000-0005-0000-0000-000087450000}"/>
    <cellStyle name="20 % - Markeringsfarve6 4 3 4 5" xfId="38039" xr:uid="{00000000-0005-0000-0000-000088450000}"/>
    <cellStyle name="20 % - Markeringsfarve6 4 3 5" xfId="7943" xr:uid="{00000000-0005-0000-0000-000089450000}"/>
    <cellStyle name="20 % - Markeringsfarve6 4 3 5 2" xfId="15808" xr:uid="{00000000-0005-0000-0000-00008A450000}"/>
    <cellStyle name="20 % - Markeringsfarve6 4 3 5 2 2" xfId="32084" xr:uid="{00000000-0005-0000-0000-00008B450000}"/>
    <cellStyle name="20 % - Markeringsfarve6 4 3 5 2 3" xfId="47043" xr:uid="{00000000-0005-0000-0000-00008C450000}"/>
    <cellStyle name="20 % - Markeringsfarve6 4 3 5 3" xfId="25082" xr:uid="{00000000-0005-0000-0000-00008D450000}"/>
    <cellStyle name="20 % - Markeringsfarve6 4 3 5 4" xfId="40046" xr:uid="{00000000-0005-0000-0000-00008E450000}"/>
    <cellStyle name="20 % - Markeringsfarve6 4 3 6" xfId="13792" xr:uid="{00000000-0005-0000-0000-00008F450000}"/>
    <cellStyle name="20 % - Markeringsfarve6 4 3 6 2" xfId="30071" xr:uid="{00000000-0005-0000-0000-000090450000}"/>
    <cellStyle name="20 % - Markeringsfarve6 4 3 6 3" xfId="45032" xr:uid="{00000000-0005-0000-0000-000091450000}"/>
    <cellStyle name="20 % - Markeringsfarve6 4 3 7" xfId="23069" xr:uid="{00000000-0005-0000-0000-000092450000}"/>
    <cellStyle name="20 % - Markeringsfarve6 4 3 8" xfId="38035" xr:uid="{00000000-0005-0000-0000-000093450000}"/>
    <cellStyle name="20 % - Markeringsfarve6 4 4" xfId="5312" xr:uid="{00000000-0005-0000-0000-000094450000}"/>
    <cellStyle name="20 % - Markeringsfarve6 4 4 2" xfId="5313" xr:uid="{00000000-0005-0000-0000-000095450000}"/>
    <cellStyle name="20 % - Markeringsfarve6 4 4 2 2" xfId="5314" xr:uid="{00000000-0005-0000-0000-000096450000}"/>
    <cellStyle name="20 % - Markeringsfarve6 4 4 2 2 2" xfId="10100" xr:uid="{00000000-0005-0000-0000-000097450000}"/>
    <cellStyle name="20 % - Markeringsfarve6 4 4 2 2 2 2" xfId="17955" xr:uid="{00000000-0005-0000-0000-000098450000}"/>
    <cellStyle name="20 % - Markeringsfarve6 4 4 2 2 2 2 2" xfId="34231" xr:uid="{00000000-0005-0000-0000-000099450000}"/>
    <cellStyle name="20 % - Markeringsfarve6 4 4 2 2 2 2 3" xfId="49190" xr:uid="{00000000-0005-0000-0000-00009A450000}"/>
    <cellStyle name="20 % - Markeringsfarve6 4 4 2 2 2 3" xfId="27229" xr:uid="{00000000-0005-0000-0000-00009B450000}"/>
    <cellStyle name="20 % - Markeringsfarve6 4 4 2 2 2 4" xfId="42193" xr:uid="{00000000-0005-0000-0000-00009C450000}"/>
    <cellStyle name="20 % - Markeringsfarve6 4 4 2 2 3" xfId="13799" xr:uid="{00000000-0005-0000-0000-00009D450000}"/>
    <cellStyle name="20 % - Markeringsfarve6 4 4 2 2 3 2" xfId="30078" xr:uid="{00000000-0005-0000-0000-00009E450000}"/>
    <cellStyle name="20 % - Markeringsfarve6 4 4 2 2 3 3" xfId="45039" xr:uid="{00000000-0005-0000-0000-00009F450000}"/>
    <cellStyle name="20 % - Markeringsfarve6 4 4 2 2 4" xfId="23076" xr:uid="{00000000-0005-0000-0000-0000A0450000}"/>
    <cellStyle name="20 % - Markeringsfarve6 4 4 2 2 5" xfId="38042" xr:uid="{00000000-0005-0000-0000-0000A1450000}"/>
    <cellStyle name="20 % - Markeringsfarve6 4 4 2 3" xfId="8640" xr:uid="{00000000-0005-0000-0000-0000A2450000}"/>
    <cellStyle name="20 % - Markeringsfarve6 4 4 2 3 2" xfId="16507" xr:uid="{00000000-0005-0000-0000-0000A3450000}"/>
    <cellStyle name="20 % - Markeringsfarve6 4 4 2 3 2 2" xfId="32783" xr:uid="{00000000-0005-0000-0000-0000A4450000}"/>
    <cellStyle name="20 % - Markeringsfarve6 4 4 2 3 2 3" xfId="47742" xr:uid="{00000000-0005-0000-0000-0000A5450000}"/>
    <cellStyle name="20 % - Markeringsfarve6 4 4 2 3 3" xfId="25781" xr:uid="{00000000-0005-0000-0000-0000A6450000}"/>
    <cellStyle name="20 % - Markeringsfarve6 4 4 2 3 4" xfId="40745" xr:uid="{00000000-0005-0000-0000-0000A7450000}"/>
    <cellStyle name="20 % - Markeringsfarve6 4 4 2 4" xfId="13798" xr:uid="{00000000-0005-0000-0000-0000A8450000}"/>
    <cellStyle name="20 % - Markeringsfarve6 4 4 2 4 2" xfId="30077" xr:uid="{00000000-0005-0000-0000-0000A9450000}"/>
    <cellStyle name="20 % - Markeringsfarve6 4 4 2 4 3" xfId="45038" xr:uid="{00000000-0005-0000-0000-0000AA450000}"/>
    <cellStyle name="20 % - Markeringsfarve6 4 4 2 5" xfId="23075" xr:uid="{00000000-0005-0000-0000-0000AB450000}"/>
    <cellStyle name="20 % - Markeringsfarve6 4 4 2 6" xfId="38041" xr:uid="{00000000-0005-0000-0000-0000AC450000}"/>
    <cellStyle name="20 % - Markeringsfarve6 4 4 3" xfId="5315" xr:uid="{00000000-0005-0000-0000-0000AD450000}"/>
    <cellStyle name="20 % - Markeringsfarve6 4 4 3 2" xfId="9377" xr:uid="{00000000-0005-0000-0000-0000AE450000}"/>
    <cellStyle name="20 % - Markeringsfarve6 4 4 3 2 2" xfId="17240" xr:uid="{00000000-0005-0000-0000-0000AF450000}"/>
    <cellStyle name="20 % - Markeringsfarve6 4 4 3 2 2 2" xfId="33516" xr:uid="{00000000-0005-0000-0000-0000B0450000}"/>
    <cellStyle name="20 % - Markeringsfarve6 4 4 3 2 2 3" xfId="48475" xr:uid="{00000000-0005-0000-0000-0000B1450000}"/>
    <cellStyle name="20 % - Markeringsfarve6 4 4 3 2 3" xfId="26514" xr:uid="{00000000-0005-0000-0000-0000B2450000}"/>
    <cellStyle name="20 % - Markeringsfarve6 4 4 3 2 4" xfId="41478" xr:uid="{00000000-0005-0000-0000-0000B3450000}"/>
    <cellStyle name="20 % - Markeringsfarve6 4 4 3 3" xfId="13800" xr:uid="{00000000-0005-0000-0000-0000B4450000}"/>
    <cellStyle name="20 % - Markeringsfarve6 4 4 3 3 2" xfId="30079" xr:uid="{00000000-0005-0000-0000-0000B5450000}"/>
    <cellStyle name="20 % - Markeringsfarve6 4 4 3 3 3" xfId="45040" xr:uid="{00000000-0005-0000-0000-0000B6450000}"/>
    <cellStyle name="20 % - Markeringsfarve6 4 4 3 4" xfId="23077" xr:uid="{00000000-0005-0000-0000-0000B7450000}"/>
    <cellStyle name="20 % - Markeringsfarve6 4 4 3 5" xfId="38043" xr:uid="{00000000-0005-0000-0000-0000B8450000}"/>
    <cellStyle name="20 % - Markeringsfarve6 4 4 4" xfId="5316" xr:uid="{00000000-0005-0000-0000-0000B9450000}"/>
    <cellStyle name="20 % - Markeringsfarve6 4 4 4 2" xfId="10433" xr:uid="{00000000-0005-0000-0000-0000BA450000}"/>
    <cellStyle name="20 % - Markeringsfarve6 4 4 4 2 2" xfId="18285" xr:uid="{00000000-0005-0000-0000-0000BB450000}"/>
    <cellStyle name="20 % - Markeringsfarve6 4 4 4 2 2 2" xfId="34561" xr:uid="{00000000-0005-0000-0000-0000BC450000}"/>
    <cellStyle name="20 % - Markeringsfarve6 4 4 4 2 2 3" xfId="49520" xr:uid="{00000000-0005-0000-0000-0000BD450000}"/>
    <cellStyle name="20 % - Markeringsfarve6 4 4 4 2 3" xfId="27559" xr:uid="{00000000-0005-0000-0000-0000BE450000}"/>
    <cellStyle name="20 % - Markeringsfarve6 4 4 4 2 4" xfId="42523" xr:uid="{00000000-0005-0000-0000-0000BF450000}"/>
    <cellStyle name="20 % - Markeringsfarve6 4 4 4 3" xfId="13801" xr:uid="{00000000-0005-0000-0000-0000C0450000}"/>
    <cellStyle name="20 % - Markeringsfarve6 4 4 4 3 2" xfId="30080" xr:uid="{00000000-0005-0000-0000-0000C1450000}"/>
    <cellStyle name="20 % - Markeringsfarve6 4 4 4 3 3" xfId="45041" xr:uid="{00000000-0005-0000-0000-0000C2450000}"/>
    <cellStyle name="20 % - Markeringsfarve6 4 4 4 4" xfId="23078" xr:uid="{00000000-0005-0000-0000-0000C3450000}"/>
    <cellStyle name="20 % - Markeringsfarve6 4 4 4 5" xfId="38044" xr:uid="{00000000-0005-0000-0000-0000C4450000}"/>
    <cellStyle name="20 % - Markeringsfarve6 4 4 5" xfId="7944" xr:uid="{00000000-0005-0000-0000-0000C5450000}"/>
    <cellStyle name="20 % - Markeringsfarve6 4 4 5 2" xfId="15809" xr:uid="{00000000-0005-0000-0000-0000C6450000}"/>
    <cellStyle name="20 % - Markeringsfarve6 4 4 5 2 2" xfId="32085" xr:uid="{00000000-0005-0000-0000-0000C7450000}"/>
    <cellStyle name="20 % - Markeringsfarve6 4 4 5 2 3" xfId="47044" xr:uid="{00000000-0005-0000-0000-0000C8450000}"/>
    <cellStyle name="20 % - Markeringsfarve6 4 4 5 3" xfId="25083" xr:uid="{00000000-0005-0000-0000-0000C9450000}"/>
    <cellStyle name="20 % - Markeringsfarve6 4 4 5 4" xfId="40047" xr:uid="{00000000-0005-0000-0000-0000CA450000}"/>
    <cellStyle name="20 % - Markeringsfarve6 4 4 6" xfId="13797" xr:uid="{00000000-0005-0000-0000-0000CB450000}"/>
    <cellStyle name="20 % - Markeringsfarve6 4 4 6 2" xfId="30076" xr:uid="{00000000-0005-0000-0000-0000CC450000}"/>
    <cellStyle name="20 % - Markeringsfarve6 4 4 6 3" xfId="45037" xr:uid="{00000000-0005-0000-0000-0000CD450000}"/>
    <cellStyle name="20 % - Markeringsfarve6 4 4 7" xfId="23074" xr:uid="{00000000-0005-0000-0000-0000CE450000}"/>
    <cellStyle name="20 % - Markeringsfarve6 4 4 8" xfId="38040" xr:uid="{00000000-0005-0000-0000-0000CF450000}"/>
    <cellStyle name="20 % - Markeringsfarve6 4 5" xfId="5317" xr:uid="{00000000-0005-0000-0000-0000D0450000}"/>
    <cellStyle name="20 % - Markeringsfarve6 4 5 2" xfId="5318" xr:uid="{00000000-0005-0000-0000-0000D1450000}"/>
    <cellStyle name="20 % - Markeringsfarve6 4 5 2 2" xfId="5319" xr:uid="{00000000-0005-0000-0000-0000D2450000}"/>
    <cellStyle name="20 % - Markeringsfarve6 4 5 2 2 2" xfId="10217" xr:uid="{00000000-0005-0000-0000-0000D3450000}"/>
    <cellStyle name="20 % - Markeringsfarve6 4 5 2 2 2 2" xfId="18072" xr:uid="{00000000-0005-0000-0000-0000D4450000}"/>
    <cellStyle name="20 % - Markeringsfarve6 4 5 2 2 2 2 2" xfId="34348" xr:uid="{00000000-0005-0000-0000-0000D5450000}"/>
    <cellStyle name="20 % - Markeringsfarve6 4 5 2 2 2 2 3" xfId="49307" xr:uid="{00000000-0005-0000-0000-0000D6450000}"/>
    <cellStyle name="20 % - Markeringsfarve6 4 5 2 2 2 3" xfId="27346" xr:uid="{00000000-0005-0000-0000-0000D7450000}"/>
    <cellStyle name="20 % - Markeringsfarve6 4 5 2 2 2 4" xfId="42310" xr:uid="{00000000-0005-0000-0000-0000D8450000}"/>
    <cellStyle name="20 % - Markeringsfarve6 4 5 2 2 3" xfId="13804" xr:uid="{00000000-0005-0000-0000-0000D9450000}"/>
    <cellStyle name="20 % - Markeringsfarve6 4 5 2 2 3 2" xfId="30083" xr:uid="{00000000-0005-0000-0000-0000DA450000}"/>
    <cellStyle name="20 % - Markeringsfarve6 4 5 2 2 3 3" xfId="45044" xr:uid="{00000000-0005-0000-0000-0000DB450000}"/>
    <cellStyle name="20 % - Markeringsfarve6 4 5 2 2 4" xfId="23081" xr:uid="{00000000-0005-0000-0000-0000DC450000}"/>
    <cellStyle name="20 % - Markeringsfarve6 4 5 2 2 5" xfId="38047" xr:uid="{00000000-0005-0000-0000-0000DD450000}"/>
    <cellStyle name="20 % - Markeringsfarve6 4 5 2 3" xfId="8739" xr:uid="{00000000-0005-0000-0000-0000DE450000}"/>
    <cellStyle name="20 % - Markeringsfarve6 4 5 2 3 2" xfId="16606" xr:uid="{00000000-0005-0000-0000-0000DF450000}"/>
    <cellStyle name="20 % - Markeringsfarve6 4 5 2 3 2 2" xfId="32882" xr:uid="{00000000-0005-0000-0000-0000E0450000}"/>
    <cellStyle name="20 % - Markeringsfarve6 4 5 2 3 2 3" xfId="47841" xr:uid="{00000000-0005-0000-0000-0000E1450000}"/>
    <cellStyle name="20 % - Markeringsfarve6 4 5 2 3 3" xfId="25880" xr:uid="{00000000-0005-0000-0000-0000E2450000}"/>
    <cellStyle name="20 % - Markeringsfarve6 4 5 2 3 4" xfId="40844" xr:uid="{00000000-0005-0000-0000-0000E3450000}"/>
    <cellStyle name="20 % - Markeringsfarve6 4 5 2 4" xfId="13803" xr:uid="{00000000-0005-0000-0000-0000E4450000}"/>
    <cellStyle name="20 % - Markeringsfarve6 4 5 2 4 2" xfId="30082" xr:uid="{00000000-0005-0000-0000-0000E5450000}"/>
    <cellStyle name="20 % - Markeringsfarve6 4 5 2 4 3" xfId="45043" xr:uid="{00000000-0005-0000-0000-0000E6450000}"/>
    <cellStyle name="20 % - Markeringsfarve6 4 5 2 5" xfId="23080" xr:uid="{00000000-0005-0000-0000-0000E7450000}"/>
    <cellStyle name="20 % - Markeringsfarve6 4 5 2 6" xfId="38046" xr:uid="{00000000-0005-0000-0000-0000E8450000}"/>
    <cellStyle name="20 % - Markeringsfarve6 4 5 3" xfId="5320" xr:uid="{00000000-0005-0000-0000-0000E9450000}"/>
    <cellStyle name="20 % - Markeringsfarve6 4 5 3 2" xfId="9494" xr:uid="{00000000-0005-0000-0000-0000EA450000}"/>
    <cellStyle name="20 % - Markeringsfarve6 4 5 3 2 2" xfId="17357" xr:uid="{00000000-0005-0000-0000-0000EB450000}"/>
    <cellStyle name="20 % - Markeringsfarve6 4 5 3 2 2 2" xfId="33633" xr:uid="{00000000-0005-0000-0000-0000EC450000}"/>
    <cellStyle name="20 % - Markeringsfarve6 4 5 3 2 2 3" xfId="48592" xr:uid="{00000000-0005-0000-0000-0000ED450000}"/>
    <cellStyle name="20 % - Markeringsfarve6 4 5 3 2 3" xfId="26631" xr:uid="{00000000-0005-0000-0000-0000EE450000}"/>
    <cellStyle name="20 % - Markeringsfarve6 4 5 3 2 4" xfId="41595" xr:uid="{00000000-0005-0000-0000-0000EF450000}"/>
    <cellStyle name="20 % - Markeringsfarve6 4 5 3 3" xfId="13805" xr:uid="{00000000-0005-0000-0000-0000F0450000}"/>
    <cellStyle name="20 % - Markeringsfarve6 4 5 3 3 2" xfId="30084" xr:uid="{00000000-0005-0000-0000-0000F1450000}"/>
    <cellStyle name="20 % - Markeringsfarve6 4 5 3 3 3" xfId="45045" xr:uid="{00000000-0005-0000-0000-0000F2450000}"/>
    <cellStyle name="20 % - Markeringsfarve6 4 5 3 4" xfId="23082" xr:uid="{00000000-0005-0000-0000-0000F3450000}"/>
    <cellStyle name="20 % - Markeringsfarve6 4 5 3 5" xfId="38048" xr:uid="{00000000-0005-0000-0000-0000F4450000}"/>
    <cellStyle name="20 % - Markeringsfarve6 4 5 4" xfId="5321" xr:uid="{00000000-0005-0000-0000-0000F5450000}"/>
    <cellStyle name="20 % - Markeringsfarve6 4 5 4 2" xfId="10770" xr:uid="{00000000-0005-0000-0000-0000F6450000}"/>
    <cellStyle name="20 % - Markeringsfarve6 4 5 4 2 2" xfId="18612" xr:uid="{00000000-0005-0000-0000-0000F7450000}"/>
    <cellStyle name="20 % - Markeringsfarve6 4 5 4 2 2 2" xfId="34888" xr:uid="{00000000-0005-0000-0000-0000F8450000}"/>
    <cellStyle name="20 % - Markeringsfarve6 4 5 4 2 2 3" xfId="49847" xr:uid="{00000000-0005-0000-0000-0000F9450000}"/>
    <cellStyle name="20 % - Markeringsfarve6 4 5 4 2 3" xfId="27886" xr:uid="{00000000-0005-0000-0000-0000FA450000}"/>
    <cellStyle name="20 % - Markeringsfarve6 4 5 4 2 4" xfId="42850" xr:uid="{00000000-0005-0000-0000-0000FB450000}"/>
    <cellStyle name="20 % - Markeringsfarve6 4 5 4 3" xfId="13806" xr:uid="{00000000-0005-0000-0000-0000FC450000}"/>
    <cellStyle name="20 % - Markeringsfarve6 4 5 4 3 2" xfId="30085" xr:uid="{00000000-0005-0000-0000-0000FD450000}"/>
    <cellStyle name="20 % - Markeringsfarve6 4 5 4 3 3" xfId="45046" xr:uid="{00000000-0005-0000-0000-0000FE450000}"/>
    <cellStyle name="20 % - Markeringsfarve6 4 5 4 4" xfId="23083" xr:uid="{00000000-0005-0000-0000-0000FF450000}"/>
    <cellStyle name="20 % - Markeringsfarve6 4 5 4 5" xfId="38049" xr:uid="{00000000-0005-0000-0000-000000460000}"/>
    <cellStyle name="20 % - Markeringsfarve6 4 5 5" xfId="7945" xr:uid="{00000000-0005-0000-0000-000001460000}"/>
    <cellStyle name="20 % - Markeringsfarve6 4 5 5 2" xfId="15810" xr:uid="{00000000-0005-0000-0000-000002460000}"/>
    <cellStyle name="20 % - Markeringsfarve6 4 5 5 2 2" xfId="32086" xr:uid="{00000000-0005-0000-0000-000003460000}"/>
    <cellStyle name="20 % - Markeringsfarve6 4 5 5 2 3" xfId="47045" xr:uid="{00000000-0005-0000-0000-000004460000}"/>
    <cellStyle name="20 % - Markeringsfarve6 4 5 5 3" xfId="25084" xr:uid="{00000000-0005-0000-0000-000005460000}"/>
    <cellStyle name="20 % - Markeringsfarve6 4 5 5 4" xfId="40048" xr:uid="{00000000-0005-0000-0000-000006460000}"/>
    <cellStyle name="20 % - Markeringsfarve6 4 5 6" xfId="13802" xr:uid="{00000000-0005-0000-0000-000007460000}"/>
    <cellStyle name="20 % - Markeringsfarve6 4 5 6 2" xfId="30081" xr:uid="{00000000-0005-0000-0000-000008460000}"/>
    <cellStyle name="20 % - Markeringsfarve6 4 5 6 3" xfId="45042" xr:uid="{00000000-0005-0000-0000-000009460000}"/>
    <cellStyle name="20 % - Markeringsfarve6 4 5 7" xfId="23079" xr:uid="{00000000-0005-0000-0000-00000A460000}"/>
    <cellStyle name="20 % - Markeringsfarve6 4 5 8" xfId="38045" xr:uid="{00000000-0005-0000-0000-00000B460000}"/>
    <cellStyle name="20 % - Markeringsfarve6 4 6" xfId="5322" xr:uid="{00000000-0005-0000-0000-00000C460000}"/>
    <cellStyle name="20 % - Markeringsfarve6 4 6 2" xfId="5323" xr:uid="{00000000-0005-0000-0000-00000D460000}"/>
    <cellStyle name="20 % - Markeringsfarve6 4 6 2 2" xfId="5324" xr:uid="{00000000-0005-0000-0000-00000E460000}"/>
    <cellStyle name="20 % - Markeringsfarve6 4 6 2 2 2" xfId="10337" xr:uid="{00000000-0005-0000-0000-00000F460000}"/>
    <cellStyle name="20 % - Markeringsfarve6 4 6 2 2 2 2" xfId="18192" xr:uid="{00000000-0005-0000-0000-000010460000}"/>
    <cellStyle name="20 % - Markeringsfarve6 4 6 2 2 2 2 2" xfId="34468" xr:uid="{00000000-0005-0000-0000-000011460000}"/>
    <cellStyle name="20 % - Markeringsfarve6 4 6 2 2 2 2 3" xfId="49427" xr:uid="{00000000-0005-0000-0000-000012460000}"/>
    <cellStyle name="20 % - Markeringsfarve6 4 6 2 2 2 3" xfId="27466" xr:uid="{00000000-0005-0000-0000-000013460000}"/>
    <cellStyle name="20 % - Markeringsfarve6 4 6 2 2 2 4" xfId="42430" xr:uid="{00000000-0005-0000-0000-000014460000}"/>
    <cellStyle name="20 % - Markeringsfarve6 4 6 2 2 3" xfId="13809" xr:uid="{00000000-0005-0000-0000-000015460000}"/>
    <cellStyle name="20 % - Markeringsfarve6 4 6 2 2 3 2" xfId="30088" xr:uid="{00000000-0005-0000-0000-000016460000}"/>
    <cellStyle name="20 % - Markeringsfarve6 4 6 2 2 3 3" xfId="45049" xr:uid="{00000000-0005-0000-0000-000017460000}"/>
    <cellStyle name="20 % - Markeringsfarve6 4 6 2 2 4" xfId="23086" xr:uid="{00000000-0005-0000-0000-000018460000}"/>
    <cellStyle name="20 % - Markeringsfarve6 4 6 2 2 5" xfId="38052" xr:uid="{00000000-0005-0000-0000-000019460000}"/>
    <cellStyle name="20 % - Markeringsfarve6 4 6 2 3" xfId="8840" xr:uid="{00000000-0005-0000-0000-00001A460000}"/>
    <cellStyle name="20 % - Markeringsfarve6 4 6 2 3 2" xfId="16707" xr:uid="{00000000-0005-0000-0000-00001B460000}"/>
    <cellStyle name="20 % - Markeringsfarve6 4 6 2 3 2 2" xfId="32983" xr:uid="{00000000-0005-0000-0000-00001C460000}"/>
    <cellStyle name="20 % - Markeringsfarve6 4 6 2 3 2 3" xfId="47942" xr:uid="{00000000-0005-0000-0000-00001D460000}"/>
    <cellStyle name="20 % - Markeringsfarve6 4 6 2 3 3" xfId="25981" xr:uid="{00000000-0005-0000-0000-00001E460000}"/>
    <cellStyle name="20 % - Markeringsfarve6 4 6 2 3 4" xfId="40945" xr:uid="{00000000-0005-0000-0000-00001F460000}"/>
    <cellStyle name="20 % - Markeringsfarve6 4 6 2 4" xfId="13808" xr:uid="{00000000-0005-0000-0000-000020460000}"/>
    <cellStyle name="20 % - Markeringsfarve6 4 6 2 4 2" xfId="30087" xr:uid="{00000000-0005-0000-0000-000021460000}"/>
    <cellStyle name="20 % - Markeringsfarve6 4 6 2 4 3" xfId="45048" xr:uid="{00000000-0005-0000-0000-000022460000}"/>
    <cellStyle name="20 % - Markeringsfarve6 4 6 2 5" xfId="23085" xr:uid="{00000000-0005-0000-0000-000023460000}"/>
    <cellStyle name="20 % - Markeringsfarve6 4 6 2 6" xfId="38051" xr:uid="{00000000-0005-0000-0000-000024460000}"/>
    <cellStyle name="20 % - Markeringsfarve6 4 6 3" xfId="5325" xr:uid="{00000000-0005-0000-0000-000025460000}"/>
    <cellStyle name="20 % - Markeringsfarve6 4 6 3 2" xfId="9615" xr:uid="{00000000-0005-0000-0000-000026460000}"/>
    <cellStyle name="20 % - Markeringsfarve6 4 6 3 2 2" xfId="17478" xr:uid="{00000000-0005-0000-0000-000027460000}"/>
    <cellStyle name="20 % - Markeringsfarve6 4 6 3 2 2 2" xfId="33754" xr:uid="{00000000-0005-0000-0000-000028460000}"/>
    <cellStyle name="20 % - Markeringsfarve6 4 6 3 2 2 3" xfId="48713" xr:uid="{00000000-0005-0000-0000-000029460000}"/>
    <cellStyle name="20 % - Markeringsfarve6 4 6 3 2 3" xfId="26752" xr:uid="{00000000-0005-0000-0000-00002A460000}"/>
    <cellStyle name="20 % - Markeringsfarve6 4 6 3 2 4" xfId="41716" xr:uid="{00000000-0005-0000-0000-00002B460000}"/>
    <cellStyle name="20 % - Markeringsfarve6 4 6 3 3" xfId="13810" xr:uid="{00000000-0005-0000-0000-00002C460000}"/>
    <cellStyle name="20 % - Markeringsfarve6 4 6 3 3 2" xfId="30089" xr:uid="{00000000-0005-0000-0000-00002D460000}"/>
    <cellStyle name="20 % - Markeringsfarve6 4 6 3 3 3" xfId="45050" xr:uid="{00000000-0005-0000-0000-00002E460000}"/>
    <cellStyle name="20 % - Markeringsfarve6 4 6 3 4" xfId="23087" xr:uid="{00000000-0005-0000-0000-00002F460000}"/>
    <cellStyle name="20 % - Markeringsfarve6 4 6 3 5" xfId="38053" xr:uid="{00000000-0005-0000-0000-000030460000}"/>
    <cellStyle name="20 % - Markeringsfarve6 4 6 4" xfId="5326" xr:uid="{00000000-0005-0000-0000-000031460000}"/>
    <cellStyle name="20 % - Markeringsfarve6 4 6 4 2" xfId="10985" xr:uid="{00000000-0005-0000-0000-000032460000}"/>
    <cellStyle name="20 % - Markeringsfarve6 4 6 4 2 2" xfId="18816" xr:uid="{00000000-0005-0000-0000-000033460000}"/>
    <cellStyle name="20 % - Markeringsfarve6 4 6 4 2 2 2" xfId="35092" xr:uid="{00000000-0005-0000-0000-000034460000}"/>
    <cellStyle name="20 % - Markeringsfarve6 4 6 4 2 2 3" xfId="50051" xr:uid="{00000000-0005-0000-0000-000035460000}"/>
    <cellStyle name="20 % - Markeringsfarve6 4 6 4 2 3" xfId="28090" xr:uid="{00000000-0005-0000-0000-000036460000}"/>
    <cellStyle name="20 % - Markeringsfarve6 4 6 4 2 4" xfId="43054" xr:uid="{00000000-0005-0000-0000-000037460000}"/>
    <cellStyle name="20 % - Markeringsfarve6 4 6 4 3" xfId="13811" xr:uid="{00000000-0005-0000-0000-000038460000}"/>
    <cellStyle name="20 % - Markeringsfarve6 4 6 4 3 2" xfId="30090" xr:uid="{00000000-0005-0000-0000-000039460000}"/>
    <cellStyle name="20 % - Markeringsfarve6 4 6 4 3 3" xfId="45051" xr:uid="{00000000-0005-0000-0000-00003A460000}"/>
    <cellStyle name="20 % - Markeringsfarve6 4 6 4 4" xfId="23088" xr:uid="{00000000-0005-0000-0000-00003B460000}"/>
    <cellStyle name="20 % - Markeringsfarve6 4 6 4 5" xfId="38054" xr:uid="{00000000-0005-0000-0000-00003C460000}"/>
    <cellStyle name="20 % - Markeringsfarve6 4 6 5" xfId="7946" xr:uid="{00000000-0005-0000-0000-00003D460000}"/>
    <cellStyle name="20 % - Markeringsfarve6 4 6 5 2" xfId="15811" xr:uid="{00000000-0005-0000-0000-00003E460000}"/>
    <cellStyle name="20 % - Markeringsfarve6 4 6 5 2 2" xfId="32087" xr:uid="{00000000-0005-0000-0000-00003F460000}"/>
    <cellStyle name="20 % - Markeringsfarve6 4 6 5 2 3" xfId="47046" xr:uid="{00000000-0005-0000-0000-000040460000}"/>
    <cellStyle name="20 % - Markeringsfarve6 4 6 5 3" xfId="25085" xr:uid="{00000000-0005-0000-0000-000041460000}"/>
    <cellStyle name="20 % - Markeringsfarve6 4 6 5 4" xfId="40049" xr:uid="{00000000-0005-0000-0000-000042460000}"/>
    <cellStyle name="20 % - Markeringsfarve6 4 6 6" xfId="13807" xr:uid="{00000000-0005-0000-0000-000043460000}"/>
    <cellStyle name="20 % - Markeringsfarve6 4 6 6 2" xfId="30086" xr:uid="{00000000-0005-0000-0000-000044460000}"/>
    <cellStyle name="20 % - Markeringsfarve6 4 6 6 3" xfId="45047" xr:uid="{00000000-0005-0000-0000-000045460000}"/>
    <cellStyle name="20 % - Markeringsfarve6 4 6 7" xfId="23084" xr:uid="{00000000-0005-0000-0000-000046460000}"/>
    <cellStyle name="20 % - Markeringsfarve6 4 6 8" xfId="38050" xr:uid="{00000000-0005-0000-0000-000047460000}"/>
    <cellStyle name="20 % - Markeringsfarve6 4 7" xfId="5327" xr:uid="{00000000-0005-0000-0000-000048460000}"/>
    <cellStyle name="20 % - Markeringsfarve6 4 7 2" xfId="5328" xr:uid="{00000000-0005-0000-0000-000049460000}"/>
    <cellStyle name="20 % - Markeringsfarve6 4 7 2 2" xfId="9744" xr:uid="{00000000-0005-0000-0000-00004A460000}"/>
    <cellStyle name="20 % - Markeringsfarve6 4 7 2 2 2" xfId="17598" xr:uid="{00000000-0005-0000-0000-00004B460000}"/>
    <cellStyle name="20 % - Markeringsfarve6 4 7 2 2 2 2" xfId="33874" xr:uid="{00000000-0005-0000-0000-00004C460000}"/>
    <cellStyle name="20 % - Markeringsfarve6 4 7 2 2 2 3" xfId="48833" xr:uid="{00000000-0005-0000-0000-00004D460000}"/>
    <cellStyle name="20 % - Markeringsfarve6 4 7 2 2 3" xfId="26872" xr:uid="{00000000-0005-0000-0000-00004E460000}"/>
    <cellStyle name="20 % - Markeringsfarve6 4 7 2 2 4" xfId="41836" xr:uid="{00000000-0005-0000-0000-00004F460000}"/>
    <cellStyle name="20 % - Markeringsfarve6 4 7 2 3" xfId="13813" xr:uid="{00000000-0005-0000-0000-000050460000}"/>
    <cellStyle name="20 % - Markeringsfarve6 4 7 2 3 2" xfId="30092" xr:uid="{00000000-0005-0000-0000-000051460000}"/>
    <cellStyle name="20 % - Markeringsfarve6 4 7 2 3 3" xfId="45053" xr:uid="{00000000-0005-0000-0000-000052460000}"/>
    <cellStyle name="20 % - Markeringsfarve6 4 7 2 4" xfId="23090" xr:uid="{00000000-0005-0000-0000-000053460000}"/>
    <cellStyle name="20 % - Markeringsfarve6 4 7 2 5" xfId="38056" xr:uid="{00000000-0005-0000-0000-000054460000}"/>
    <cellStyle name="20 % - Markeringsfarve6 4 7 3" xfId="8339" xr:uid="{00000000-0005-0000-0000-000055460000}"/>
    <cellStyle name="20 % - Markeringsfarve6 4 7 3 2" xfId="16209" xr:uid="{00000000-0005-0000-0000-000056460000}"/>
    <cellStyle name="20 % - Markeringsfarve6 4 7 3 2 2" xfId="32485" xr:uid="{00000000-0005-0000-0000-000057460000}"/>
    <cellStyle name="20 % - Markeringsfarve6 4 7 3 2 3" xfId="47444" xr:uid="{00000000-0005-0000-0000-000058460000}"/>
    <cellStyle name="20 % - Markeringsfarve6 4 7 3 3" xfId="25483" xr:uid="{00000000-0005-0000-0000-000059460000}"/>
    <cellStyle name="20 % - Markeringsfarve6 4 7 3 4" xfId="40447" xr:uid="{00000000-0005-0000-0000-00005A460000}"/>
    <cellStyle name="20 % - Markeringsfarve6 4 7 4" xfId="13812" xr:uid="{00000000-0005-0000-0000-00005B460000}"/>
    <cellStyle name="20 % - Markeringsfarve6 4 7 4 2" xfId="30091" xr:uid="{00000000-0005-0000-0000-00005C460000}"/>
    <cellStyle name="20 % - Markeringsfarve6 4 7 4 3" xfId="45052" xr:uid="{00000000-0005-0000-0000-00005D460000}"/>
    <cellStyle name="20 % - Markeringsfarve6 4 7 5" xfId="23089" xr:uid="{00000000-0005-0000-0000-00005E460000}"/>
    <cellStyle name="20 % - Markeringsfarve6 4 7 6" xfId="38055" xr:uid="{00000000-0005-0000-0000-00005F460000}"/>
    <cellStyle name="20 % - Markeringsfarve6 4 8" xfId="5329" xr:uid="{00000000-0005-0000-0000-000060460000}"/>
    <cellStyle name="20 % - Markeringsfarve6 4 8 2" xfId="8972" xr:uid="{00000000-0005-0000-0000-000061460000}"/>
    <cellStyle name="20 % - Markeringsfarve6 4 8 2 2" xfId="16836" xr:uid="{00000000-0005-0000-0000-000062460000}"/>
    <cellStyle name="20 % - Markeringsfarve6 4 8 2 2 2" xfId="33112" xr:uid="{00000000-0005-0000-0000-000063460000}"/>
    <cellStyle name="20 % - Markeringsfarve6 4 8 2 2 3" xfId="48071" xr:uid="{00000000-0005-0000-0000-000064460000}"/>
    <cellStyle name="20 % - Markeringsfarve6 4 8 2 3" xfId="26110" xr:uid="{00000000-0005-0000-0000-000065460000}"/>
    <cellStyle name="20 % - Markeringsfarve6 4 8 2 4" xfId="41074" xr:uid="{00000000-0005-0000-0000-000066460000}"/>
    <cellStyle name="20 % - Markeringsfarve6 4 8 3" xfId="13814" xr:uid="{00000000-0005-0000-0000-000067460000}"/>
    <cellStyle name="20 % - Markeringsfarve6 4 8 3 2" xfId="30093" xr:uid="{00000000-0005-0000-0000-000068460000}"/>
    <cellStyle name="20 % - Markeringsfarve6 4 8 3 3" xfId="45054" xr:uid="{00000000-0005-0000-0000-000069460000}"/>
    <cellStyle name="20 % - Markeringsfarve6 4 8 4" xfId="23091" xr:uid="{00000000-0005-0000-0000-00006A460000}"/>
    <cellStyle name="20 % - Markeringsfarve6 4 8 5" xfId="38057" xr:uid="{00000000-0005-0000-0000-00006B460000}"/>
    <cellStyle name="20 % - Markeringsfarve6 4 9" xfId="5330" xr:uid="{00000000-0005-0000-0000-00006C460000}"/>
    <cellStyle name="20 % - Markeringsfarve6 4 9 2" xfId="10850" xr:uid="{00000000-0005-0000-0000-00006D460000}"/>
    <cellStyle name="20 % - Markeringsfarve6 4 9 2 2" xfId="18688" xr:uid="{00000000-0005-0000-0000-00006E460000}"/>
    <cellStyle name="20 % - Markeringsfarve6 4 9 2 2 2" xfId="34964" xr:uid="{00000000-0005-0000-0000-00006F460000}"/>
    <cellStyle name="20 % - Markeringsfarve6 4 9 2 2 3" xfId="49923" xr:uid="{00000000-0005-0000-0000-000070460000}"/>
    <cellStyle name="20 % - Markeringsfarve6 4 9 2 3" xfId="27962" xr:uid="{00000000-0005-0000-0000-000071460000}"/>
    <cellStyle name="20 % - Markeringsfarve6 4 9 2 4" xfId="42926" xr:uid="{00000000-0005-0000-0000-000072460000}"/>
    <cellStyle name="20 % - Markeringsfarve6 4 9 3" xfId="13815" xr:uid="{00000000-0005-0000-0000-000073460000}"/>
    <cellStyle name="20 % - Markeringsfarve6 4 9 3 2" xfId="30094" xr:uid="{00000000-0005-0000-0000-000074460000}"/>
    <cellStyle name="20 % - Markeringsfarve6 4 9 3 3" xfId="45055" xr:uid="{00000000-0005-0000-0000-000075460000}"/>
    <cellStyle name="20 % - Markeringsfarve6 4 9 4" xfId="23092" xr:uid="{00000000-0005-0000-0000-000076460000}"/>
    <cellStyle name="20 % - Markeringsfarve6 4 9 5" xfId="38058" xr:uid="{00000000-0005-0000-0000-000077460000}"/>
    <cellStyle name="20 % - Markeringsfarve6 5" xfId="5331" xr:uid="{00000000-0005-0000-0000-000078460000}"/>
    <cellStyle name="20 % - Markeringsfarve6 5 10" xfId="7947" xr:uid="{00000000-0005-0000-0000-000079460000}"/>
    <cellStyle name="20 % - Markeringsfarve6 5 10 2" xfId="15812" xr:uid="{00000000-0005-0000-0000-00007A460000}"/>
    <cellStyle name="20 % - Markeringsfarve6 5 10 2 2" xfId="32088" xr:uid="{00000000-0005-0000-0000-00007B460000}"/>
    <cellStyle name="20 % - Markeringsfarve6 5 10 2 3" xfId="47047" xr:uid="{00000000-0005-0000-0000-00007C460000}"/>
    <cellStyle name="20 % - Markeringsfarve6 5 10 3" xfId="25086" xr:uid="{00000000-0005-0000-0000-00007D460000}"/>
    <cellStyle name="20 % - Markeringsfarve6 5 10 4" xfId="40050" xr:uid="{00000000-0005-0000-0000-00007E460000}"/>
    <cellStyle name="20 % - Markeringsfarve6 5 11" xfId="13816" xr:uid="{00000000-0005-0000-0000-00007F460000}"/>
    <cellStyle name="20 % - Markeringsfarve6 5 11 2" xfId="30095" xr:uid="{00000000-0005-0000-0000-000080460000}"/>
    <cellStyle name="20 % - Markeringsfarve6 5 11 3" xfId="45056" xr:uid="{00000000-0005-0000-0000-000081460000}"/>
    <cellStyle name="20 % - Markeringsfarve6 5 12" xfId="23093" xr:uid="{00000000-0005-0000-0000-000082460000}"/>
    <cellStyle name="20 % - Markeringsfarve6 5 13" xfId="38059" xr:uid="{00000000-0005-0000-0000-000083460000}"/>
    <cellStyle name="20 % - Markeringsfarve6 5 2" xfId="5332" xr:uid="{00000000-0005-0000-0000-000084460000}"/>
    <cellStyle name="20 % - Markeringsfarve6 5 2 2" xfId="5333" xr:uid="{00000000-0005-0000-0000-000085460000}"/>
    <cellStyle name="20 % - Markeringsfarve6 5 2 2 2" xfId="5334" xr:uid="{00000000-0005-0000-0000-000086460000}"/>
    <cellStyle name="20 % - Markeringsfarve6 5 2 2 2 2" xfId="9901" xr:uid="{00000000-0005-0000-0000-000087460000}"/>
    <cellStyle name="20 % - Markeringsfarve6 5 2 2 2 2 2" xfId="17756" xr:uid="{00000000-0005-0000-0000-000088460000}"/>
    <cellStyle name="20 % - Markeringsfarve6 5 2 2 2 2 2 2" xfId="34032" xr:uid="{00000000-0005-0000-0000-000089460000}"/>
    <cellStyle name="20 % - Markeringsfarve6 5 2 2 2 2 2 3" xfId="48991" xr:uid="{00000000-0005-0000-0000-00008A460000}"/>
    <cellStyle name="20 % - Markeringsfarve6 5 2 2 2 2 3" xfId="27030" xr:uid="{00000000-0005-0000-0000-00008B460000}"/>
    <cellStyle name="20 % - Markeringsfarve6 5 2 2 2 2 4" xfId="41994" xr:uid="{00000000-0005-0000-0000-00008C460000}"/>
    <cellStyle name="20 % - Markeringsfarve6 5 2 2 2 3" xfId="13819" xr:uid="{00000000-0005-0000-0000-00008D460000}"/>
    <cellStyle name="20 % - Markeringsfarve6 5 2 2 2 3 2" xfId="30098" xr:uid="{00000000-0005-0000-0000-00008E460000}"/>
    <cellStyle name="20 % - Markeringsfarve6 5 2 2 2 3 3" xfId="45059" xr:uid="{00000000-0005-0000-0000-00008F460000}"/>
    <cellStyle name="20 % - Markeringsfarve6 5 2 2 2 4" xfId="23096" xr:uid="{00000000-0005-0000-0000-000090460000}"/>
    <cellStyle name="20 % - Markeringsfarve6 5 2 2 2 5" xfId="38062" xr:uid="{00000000-0005-0000-0000-000091460000}"/>
    <cellStyle name="20 % - Markeringsfarve6 5 2 2 3" xfId="8471" xr:uid="{00000000-0005-0000-0000-000092460000}"/>
    <cellStyle name="20 % - Markeringsfarve6 5 2 2 3 2" xfId="16341" xr:uid="{00000000-0005-0000-0000-000093460000}"/>
    <cellStyle name="20 % - Markeringsfarve6 5 2 2 3 2 2" xfId="32617" xr:uid="{00000000-0005-0000-0000-000094460000}"/>
    <cellStyle name="20 % - Markeringsfarve6 5 2 2 3 2 3" xfId="47576" xr:uid="{00000000-0005-0000-0000-000095460000}"/>
    <cellStyle name="20 % - Markeringsfarve6 5 2 2 3 3" xfId="25615" xr:uid="{00000000-0005-0000-0000-000096460000}"/>
    <cellStyle name="20 % - Markeringsfarve6 5 2 2 3 4" xfId="40579" xr:uid="{00000000-0005-0000-0000-000097460000}"/>
    <cellStyle name="20 % - Markeringsfarve6 5 2 2 4" xfId="13818" xr:uid="{00000000-0005-0000-0000-000098460000}"/>
    <cellStyle name="20 % - Markeringsfarve6 5 2 2 4 2" xfId="30097" xr:uid="{00000000-0005-0000-0000-000099460000}"/>
    <cellStyle name="20 % - Markeringsfarve6 5 2 2 4 3" xfId="45058" xr:uid="{00000000-0005-0000-0000-00009A460000}"/>
    <cellStyle name="20 % - Markeringsfarve6 5 2 2 5" xfId="23095" xr:uid="{00000000-0005-0000-0000-00009B460000}"/>
    <cellStyle name="20 % - Markeringsfarve6 5 2 2 6" xfId="38061" xr:uid="{00000000-0005-0000-0000-00009C460000}"/>
    <cellStyle name="20 % - Markeringsfarve6 5 2 3" xfId="5335" xr:uid="{00000000-0005-0000-0000-00009D460000}"/>
    <cellStyle name="20 % - Markeringsfarve6 5 2 3 2" xfId="9132" xr:uid="{00000000-0005-0000-0000-00009E460000}"/>
    <cellStyle name="20 % - Markeringsfarve6 5 2 3 2 2" xfId="16996" xr:uid="{00000000-0005-0000-0000-00009F460000}"/>
    <cellStyle name="20 % - Markeringsfarve6 5 2 3 2 2 2" xfId="33272" xr:uid="{00000000-0005-0000-0000-0000A0460000}"/>
    <cellStyle name="20 % - Markeringsfarve6 5 2 3 2 2 3" xfId="48231" xr:uid="{00000000-0005-0000-0000-0000A1460000}"/>
    <cellStyle name="20 % - Markeringsfarve6 5 2 3 2 3" xfId="26270" xr:uid="{00000000-0005-0000-0000-0000A2460000}"/>
    <cellStyle name="20 % - Markeringsfarve6 5 2 3 2 4" xfId="41234" xr:uid="{00000000-0005-0000-0000-0000A3460000}"/>
    <cellStyle name="20 % - Markeringsfarve6 5 2 3 3" xfId="13820" xr:uid="{00000000-0005-0000-0000-0000A4460000}"/>
    <cellStyle name="20 % - Markeringsfarve6 5 2 3 3 2" xfId="30099" xr:uid="{00000000-0005-0000-0000-0000A5460000}"/>
    <cellStyle name="20 % - Markeringsfarve6 5 2 3 3 3" xfId="45060" xr:uid="{00000000-0005-0000-0000-0000A6460000}"/>
    <cellStyle name="20 % - Markeringsfarve6 5 2 3 4" xfId="23097" xr:uid="{00000000-0005-0000-0000-0000A7460000}"/>
    <cellStyle name="20 % - Markeringsfarve6 5 2 3 5" xfId="38063" xr:uid="{00000000-0005-0000-0000-0000A8460000}"/>
    <cellStyle name="20 % - Markeringsfarve6 5 2 4" xfId="5336" xr:uid="{00000000-0005-0000-0000-0000A9460000}"/>
    <cellStyle name="20 % - Markeringsfarve6 5 2 4 2" xfId="10944" xr:uid="{00000000-0005-0000-0000-0000AA460000}"/>
    <cellStyle name="20 % - Markeringsfarve6 5 2 4 2 2" xfId="18778" xr:uid="{00000000-0005-0000-0000-0000AB460000}"/>
    <cellStyle name="20 % - Markeringsfarve6 5 2 4 2 2 2" xfId="35054" xr:uid="{00000000-0005-0000-0000-0000AC460000}"/>
    <cellStyle name="20 % - Markeringsfarve6 5 2 4 2 2 3" xfId="50013" xr:uid="{00000000-0005-0000-0000-0000AD460000}"/>
    <cellStyle name="20 % - Markeringsfarve6 5 2 4 2 3" xfId="28052" xr:uid="{00000000-0005-0000-0000-0000AE460000}"/>
    <cellStyle name="20 % - Markeringsfarve6 5 2 4 2 4" xfId="43016" xr:uid="{00000000-0005-0000-0000-0000AF460000}"/>
    <cellStyle name="20 % - Markeringsfarve6 5 2 4 3" xfId="13821" xr:uid="{00000000-0005-0000-0000-0000B0460000}"/>
    <cellStyle name="20 % - Markeringsfarve6 5 2 4 3 2" xfId="30100" xr:uid="{00000000-0005-0000-0000-0000B1460000}"/>
    <cellStyle name="20 % - Markeringsfarve6 5 2 4 3 3" xfId="45061" xr:uid="{00000000-0005-0000-0000-0000B2460000}"/>
    <cellStyle name="20 % - Markeringsfarve6 5 2 4 4" xfId="23098" xr:uid="{00000000-0005-0000-0000-0000B3460000}"/>
    <cellStyle name="20 % - Markeringsfarve6 5 2 4 5" xfId="38064" xr:uid="{00000000-0005-0000-0000-0000B4460000}"/>
    <cellStyle name="20 % - Markeringsfarve6 5 2 5" xfId="7948" xr:uid="{00000000-0005-0000-0000-0000B5460000}"/>
    <cellStyle name="20 % - Markeringsfarve6 5 2 5 2" xfId="15813" xr:uid="{00000000-0005-0000-0000-0000B6460000}"/>
    <cellStyle name="20 % - Markeringsfarve6 5 2 5 2 2" xfId="32089" xr:uid="{00000000-0005-0000-0000-0000B7460000}"/>
    <cellStyle name="20 % - Markeringsfarve6 5 2 5 2 3" xfId="47048" xr:uid="{00000000-0005-0000-0000-0000B8460000}"/>
    <cellStyle name="20 % - Markeringsfarve6 5 2 5 3" xfId="25087" xr:uid="{00000000-0005-0000-0000-0000B9460000}"/>
    <cellStyle name="20 % - Markeringsfarve6 5 2 5 4" xfId="40051" xr:uid="{00000000-0005-0000-0000-0000BA460000}"/>
    <cellStyle name="20 % - Markeringsfarve6 5 2 6" xfId="13817" xr:uid="{00000000-0005-0000-0000-0000BB460000}"/>
    <cellStyle name="20 % - Markeringsfarve6 5 2 6 2" xfId="30096" xr:uid="{00000000-0005-0000-0000-0000BC460000}"/>
    <cellStyle name="20 % - Markeringsfarve6 5 2 6 3" xfId="45057" xr:uid="{00000000-0005-0000-0000-0000BD460000}"/>
    <cellStyle name="20 % - Markeringsfarve6 5 2 7" xfId="23094" xr:uid="{00000000-0005-0000-0000-0000BE460000}"/>
    <cellStyle name="20 % - Markeringsfarve6 5 2 8" xfId="38060" xr:uid="{00000000-0005-0000-0000-0000BF460000}"/>
    <cellStyle name="20 % - Markeringsfarve6 5 3" xfId="5337" xr:uid="{00000000-0005-0000-0000-0000C0460000}"/>
    <cellStyle name="20 % - Markeringsfarve6 5 3 2" xfId="5338" xr:uid="{00000000-0005-0000-0000-0000C1460000}"/>
    <cellStyle name="20 % - Markeringsfarve6 5 3 2 2" xfId="5339" xr:uid="{00000000-0005-0000-0000-0000C2460000}"/>
    <cellStyle name="20 % - Markeringsfarve6 5 3 2 2 2" xfId="9984" xr:uid="{00000000-0005-0000-0000-0000C3460000}"/>
    <cellStyle name="20 % - Markeringsfarve6 5 3 2 2 2 2" xfId="17839" xr:uid="{00000000-0005-0000-0000-0000C4460000}"/>
    <cellStyle name="20 % - Markeringsfarve6 5 3 2 2 2 2 2" xfId="34115" xr:uid="{00000000-0005-0000-0000-0000C5460000}"/>
    <cellStyle name="20 % - Markeringsfarve6 5 3 2 2 2 2 3" xfId="49074" xr:uid="{00000000-0005-0000-0000-0000C6460000}"/>
    <cellStyle name="20 % - Markeringsfarve6 5 3 2 2 2 3" xfId="27113" xr:uid="{00000000-0005-0000-0000-0000C7460000}"/>
    <cellStyle name="20 % - Markeringsfarve6 5 3 2 2 2 4" xfId="42077" xr:uid="{00000000-0005-0000-0000-0000C8460000}"/>
    <cellStyle name="20 % - Markeringsfarve6 5 3 2 2 3" xfId="13824" xr:uid="{00000000-0005-0000-0000-0000C9460000}"/>
    <cellStyle name="20 % - Markeringsfarve6 5 3 2 2 3 2" xfId="30103" xr:uid="{00000000-0005-0000-0000-0000CA460000}"/>
    <cellStyle name="20 % - Markeringsfarve6 5 3 2 2 3 3" xfId="45064" xr:uid="{00000000-0005-0000-0000-0000CB460000}"/>
    <cellStyle name="20 % - Markeringsfarve6 5 3 2 2 4" xfId="23101" xr:uid="{00000000-0005-0000-0000-0000CC460000}"/>
    <cellStyle name="20 % - Markeringsfarve6 5 3 2 2 5" xfId="38067" xr:uid="{00000000-0005-0000-0000-0000CD460000}"/>
    <cellStyle name="20 % - Markeringsfarve6 5 3 2 3" xfId="8540" xr:uid="{00000000-0005-0000-0000-0000CE460000}"/>
    <cellStyle name="20 % - Markeringsfarve6 5 3 2 3 2" xfId="16410" xr:uid="{00000000-0005-0000-0000-0000CF460000}"/>
    <cellStyle name="20 % - Markeringsfarve6 5 3 2 3 2 2" xfId="32686" xr:uid="{00000000-0005-0000-0000-0000D0460000}"/>
    <cellStyle name="20 % - Markeringsfarve6 5 3 2 3 2 3" xfId="47645" xr:uid="{00000000-0005-0000-0000-0000D1460000}"/>
    <cellStyle name="20 % - Markeringsfarve6 5 3 2 3 3" xfId="25684" xr:uid="{00000000-0005-0000-0000-0000D2460000}"/>
    <cellStyle name="20 % - Markeringsfarve6 5 3 2 3 4" xfId="40648" xr:uid="{00000000-0005-0000-0000-0000D3460000}"/>
    <cellStyle name="20 % - Markeringsfarve6 5 3 2 4" xfId="13823" xr:uid="{00000000-0005-0000-0000-0000D4460000}"/>
    <cellStyle name="20 % - Markeringsfarve6 5 3 2 4 2" xfId="30102" xr:uid="{00000000-0005-0000-0000-0000D5460000}"/>
    <cellStyle name="20 % - Markeringsfarve6 5 3 2 4 3" xfId="45063" xr:uid="{00000000-0005-0000-0000-0000D6460000}"/>
    <cellStyle name="20 % - Markeringsfarve6 5 3 2 5" xfId="23100" xr:uid="{00000000-0005-0000-0000-0000D7460000}"/>
    <cellStyle name="20 % - Markeringsfarve6 5 3 2 6" xfId="38066" xr:uid="{00000000-0005-0000-0000-0000D8460000}"/>
    <cellStyle name="20 % - Markeringsfarve6 5 3 3" xfId="5340" xr:uid="{00000000-0005-0000-0000-0000D9460000}"/>
    <cellStyle name="20 % - Markeringsfarve6 5 3 3 2" xfId="9215" xr:uid="{00000000-0005-0000-0000-0000DA460000}"/>
    <cellStyle name="20 % - Markeringsfarve6 5 3 3 2 2" xfId="17079" xr:uid="{00000000-0005-0000-0000-0000DB460000}"/>
    <cellStyle name="20 % - Markeringsfarve6 5 3 3 2 2 2" xfId="33355" xr:uid="{00000000-0005-0000-0000-0000DC460000}"/>
    <cellStyle name="20 % - Markeringsfarve6 5 3 3 2 2 3" xfId="48314" xr:uid="{00000000-0005-0000-0000-0000DD460000}"/>
    <cellStyle name="20 % - Markeringsfarve6 5 3 3 2 3" xfId="26353" xr:uid="{00000000-0005-0000-0000-0000DE460000}"/>
    <cellStyle name="20 % - Markeringsfarve6 5 3 3 2 4" xfId="41317" xr:uid="{00000000-0005-0000-0000-0000DF460000}"/>
    <cellStyle name="20 % - Markeringsfarve6 5 3 3 3" xfId="13825" xr:uid="{00000000-0005-0000-0000-0000E0460000}"/>
    <cellStyle name="20 % - Markeringsfarve6 5 3 3 3 2" xfId="30104" xr:uid="{00000000-0005-0000-0000-0000E1460000}"/>
    <cellStyle name="20 % - Markeringsfarve6 5 3 3 3 3" xfId="45065" xr:uid="{00000000-0005-0000-0000-0000E2460000}"/>
    <cellStyle name="20 % - Markeringsfarve6 5 3 3 4" xfId="23102" xr:uid="{00000000-0005-0000-0000-0000E3460000}"/>
    <cellStyle name="20 % - Markeringsfarve6 5 3 3 5" xfId="38068" xr:uid="{00000000-0005-0000-0000-0000E4460000}"/>
    <cellStyle name="20 % - Markeringsfarve6 5 3 4" xfId="5341" xr:uid="{00000000-0005-0000-0000-0000E5460000}"/>
    <cellStyle name="20 % - Markeringsfarve6 5 3 4 2" xfId="10668" xr:uid="{00000000-0005-0000-0000-0000E6460000}"/>
    <cellStyle name="20 % - Markeringsfarve6 5 3 4 2 2" xfId="18514" xr:uid="{00000000-0005-0000-0000-0000E7460000}"/>
    <cellStyle name="20 % - Markeringsfarve6 5 3 4 2 2 2" xfId="34790" xr:uid="{00000000-0005-0000-0000-0000E8460000}"/>
    <cellStyle name="20 % - Markeringsfarve6 5 3 4 2 2 3" xfId="49749" xr:uid="{00000000-0005-0000-0000-0000E9460000}"/>
    <cellStyle name="20 % - Markeringsfarve6 5 3 4 2 3" xfId="27788" xr:uid="{00000000-0005-0000-0000-0000EA460000}"/>
    <cellStyle name="20 % - Markeringsfarve6 5 3 4 2 4" xfId="42752" xr:uid="{00000000-0005-0000-0000-0000EB460000}"/>
    <cellStyle name="20 % - Markeringsfarve6 5 3 4 3" xfId="13826" xr:uid="{00000000-0005-0000-0000-0000EC460000}"/>
    <cellStyle name="20 % - Markeringsfarve6 5 3 4 3 2" xfId="30105" xr:uid="{00000000-0005-0000-0000-0000ED460000}"/>
    <cellStyle name="20 % - Markeringsfarve6 5 3 4 3 3" xfId="45066" xr:uid="{00000000-0005-0000-0000-0000EE460000}"/>
    <cellStyle name="20 % - Markeringsfarve6 5 3 4 4" xfId="23103" xr:uid="{00000000-0005-0000-0000-0000EF460000}"/>
    <cellStyle name="20 % - Markeringsfarve6 5 3 4 5" xfId="38069" xr:uid="{00000000-0005-0000-0000-0000F0460000}"/>
    <cellStyle name="20 % - Markeringsfarve6 5 3 5" xfId="7949" xr:uid="{00000000-0005-0000-0000-0000F1460000}"/>
    <cellStyle name="20 % - Markeringsfarve6 5 3 5 2" xfId="15814" xr:uid="{00000000-0005-0000-0000-0000F2460000}"/>
    <cellStyle name="20 % - Markeringsfarve6 5 3 5 2 2" xfId="32090" xr:uid="{00000000-0005-0000-0000-0000F3460000}"/>
    <cellStyle name="20 % - Markeringsfarve6 5 3 5 2 3" xfId="47049" xr:uid="{00000000-0005-0000-0000-0000F4460000}"/>
    <cellStyle name="20 % - Markeringsfarve6 5 3 5 3" xfId="25088" xr:uid="{00000000-0005-0000-0000-0000F5460000}"/>
    <cellStyle name="20 % - Markeringsfarve6 5 3 5 4" xfId="40052" xr:uid="{00000000-0005-0000-0000-0000F6460000}"/>
    <cellStyle name="20 % - Markeringsfarve6 5 3 6" xfId="13822" xr:uid="{00000000-0005-0000-0000-0000F7460000}"/>
    <cellStyle name="20 % - Markeringsfarve6 5 3 6 2" xfId="30101" xr:uid="{00000000-0005-0000-0000-0000F8460000}"/>
    <cellStyle name="20 % - Markeringsfarve6 5 3 6 3" xfId="45062" xr:uid="{00000000-0005-0000-0000-0000F9460000}"/>
    <cellStyle name="20 % - Markeringsfarve6 5 3 7" xfId="23099" xr:uid="{00000000-0005-0000-0000-0000FA460000}"/>
    <cellStyle name="20 % - Markeringsfarve6 5 3 8" xfId="38065" xr:uid="{00000000-0005-0000-0000-0000FB460000}"/>
    <cellStyle name="20 % - Markeringsfarve6 5 4" xfId="5342" xr:uid="{00000000-0005-0000-0000-0000FC460000}"/>
    <cellStyle name="20 % - Markeringsfarve6 5 4 2" xfId="5343" xr:uid="{00000000-0005-0000-0000-0000FD460000}"/>
    <cellStyle name="20 % - Markeringsfarve6 5 4 2 2" xfId="5344" xr:uid="{00000000-0005-0000-0000-0000FE460000}"/>
    <cellStyle name="20 % - Markeringsfarve6 5 4 2 2 2" xfId="10139" xr:uid="{00000000-0005-0000-0000-0000FF460000}"/>
    <cellStyle name="20 % - Markeringsfarve6 5 4 2 2 2 2" xfId="17994" xr:uid="{00000000-0005-0000-0000-000000470000}"/>
    <cellStyle name="20 % - Markeringsfarve6 5 4 2 2 2 2 2" xfId="34270" xr:uid="{00000000-0005-0000-0000-000001470000}"/>
    <cellStyle name="20 % - Markeringsfarve6 5 4 2 2 2 2 3" xfId="49229" xr:uid="{00000000-0005-0000-0000-000002470000}"/>
    <cellStyle name="20 % - Markeringsfarve6 5 4 2 2 2 3" xfId="27268" xr:uid="{00000000-0005-0000-0000-000003470000}"/>
    <cellStyle name="20 % - Markeringsfarve6 5 4 2 2 2 4" xfId="42232" xr:uid="{00000000-0005-0000-0000-000004470000}"/>
    <cellStyle name="20 % - Markeringsfarve6 5 4 2 2 3" xfId="13829" xr:uid="{00000000-0005-0000-0000-000005470000}"/>
    <cellStyle name="20 % - Markeringsfarve6 5 4 2 2 3 2" xfId="30108" xr:uid="{00000000-0005-0000-0000-000006470000}"/>
    <cellStyle name="20 % - Markeringsfarve6 5 4 2 2 3 3" xfId="45069" xr:uid="{00000000-0005-0000-0000-000007470000}"/>
    <cellStyle name="20 % - Markeringsfarve6 5 4 2 2 4" xfId="23106" xr:uid="{00000000-0005-0000-0000-000008470000}"/>
    <cellStyle name="20 % - Markeringsfarve6 5 4 2 2 5" xfId="38072" xr:uid="{00000000-0005-0000-0000-000009470000}"/>
    <cellStyle name="20 % - Markeringsfarve6 5 4 2 3" xfId="8673" xr:uid="{00000000-0005-0000-0000-00000A470000}"/>
    <cellStyle name="20 % - Markeringsfarve6 5 4 2 3 2" xfId="16540" xr:uid="{00000000-0005-0000-0000-00000B470000}"/>
    <cellStyle name="20 % - Markeringsfarve6 5 4 2 3 2 2" xfId="32816" xr:uid="{00000000-0005-0000-0000-00000C470000}"/>
    <cellStyle name="20 % - Markeringsfarve6 5 4 2 3 2 3" xfId="47775" xr:uid="{00000000-0005-0000-0000-00000D470000}"/>
    <cellStyle name="20 % - Markeringsfarve6 5 4 2 3 3" xfId="25814" xr:uid="{00000000-0005-0000-0000-00000E470000}"/>
    <cellStyle name="20 % - Markeringsfarve6 5 4 2 3 4" xfId="40778" xr:uid="{00000000-0005-0000-0000-00000F470000}"/>
    <cellStyle name="20 % - Markeringsfarve6 5 4 2 4" xfId="13828" xr:uid="{00000000-0005-0000-0000-000010470000}"/>
    <cellStyle name="20 % - Markeringsfarve6 5 4 2 4 2" xfId="30107" xr:uid="{00000000-0005-0000-0000-000011470000}"/>
    <cellStyle name="20 % - Markeringsfarve6 5 4 2 4 3" xfId="45068" xr:uid="{00000000-0005-0000-0000-000012470000}"/>
    <cellStyle name="20 % - Markeringsfarve6 5 4 2 5" xfId="23105" xr:uid="{00000000-0005-0000-0000-000013470000}"/>
    <cellStyle name="20 % - Markeringsfarve6 5 4 2 6" xfId="38071" xr:uid="{00000000-0005-0000-0000-000014470000}"/>
    <cellStyle name="20 % - Markeringsfarve6 5 4 3" xfId="5345" xr:uid="{00000000-0005-0000-0000-000015470000}"/>
    <cellStyle name="20 % - Markeringsfarve6 5 4 3 2" xfId="9416" xr:uid="{00000000-0005-0000-0000-000016470000}"/>
    <cellStyle name="20 % - Markeringsfarve6 5 4 3 2 2" xfId="17279" xr:uid="{00000000-0005-0000-0000-000017470000}"/>
    <cellStyle name="20 % - Markeringsfarve6 5 4 3 2 2 2" xfId="33555" xr:uid="{00000000-0005-0000-0000-000018470000}"/>
    <cellStyle name="20 % - Markeringsfarve6 5 4 3 2 2 3" xfId="48514" xr:uid="{00000000-0005-0000-0000-000019470000}"/>
    <cellStyle name="20 % - Markeringsfarve6 5 4 3 2 3" xfId="26553" xr:uid="{00000000-0005-0000-0000-00001A470000}"/>
    <cellStyle name="20 % - Markeringsfarve6 5 4 3 2 4" xfId="41517" xr:uid="{00000000-0005-0000-0000-00001B470000}"/>
    <cellStyle name="20 % - Markeringsfarve6 5 4 3 3" xfId="13830" xr:uid="{00000000-0005-0000-0000-00001C470000}"/>
    <cellStyle name="20 % - Markeringsfarve6 5 4 3 3 2" xfId="30109" xr:uid="{00000000-0005-0000-0000-00001D470000}"/>
    <cellStyle name="20 % - Markeringsfarve6 5 4 3 3 3" xfId="45070" xr:uid="{00000000-0005-0000-0000-00001E470000}"/>
    <cellStyle name="20 % - Markeringsfarve6 5 4 3 4" xfId="23107" xr:uid="{00000000-0005-0000-0000-00001F470000}"/>
    <cellStyle name="20 % - Markeringsfarve6 5 4 3 5" xfId="38073" xr:uid="{00000000-0005-0000-0000-000020470000}"/>
    <cellStyle name="20 % - Markeringsfarve6 5 4 4" xfId="5346" xr:uid="{00000000-0005-0000-0000-000021470000}"/>
    <cellStyle name="20 % - Markeringsfarve6 5 4 4 2" xfId="10902" xr:uid="{00000000-0005-0000-0000-000022470000}"/>
    <cellStyle name="20 % - Markeringsfarve6 5 4 4 2 2" xfId="18738" xr:uid="{00000000-0005-0000-0000-000023470000}"/>
    <cellStyle name="20 % - Markeringsfarve6 5 4 4 2 2 2" xfId="35014" xr:uid="{00000000-0005-0000-0000-000024470000}"/>
    <cellStyle name="20 % - Markeringsfarve6 5 4 4 2 2 3" xfId="49973" xr:uid="{00000000-0005-0000-0000-000025470000}"/>
    <cellStyle name="20 % - Markeringsfarve6 5 4 4 2 3" xfId="28012" xr:uid="{00000000-0005-0000-0000-000026470000}"/>
    <cellStyle name="20 % - Markeringsfarve6 5 4 4 2 4" xfId="42976" xr:uid="{00000000-0005-0000-0000-000027470000}"/>
    <cellStyle name="20 % - Markeringsfarve6 5 4 4 3" xfId="13831" xr:uid="{00000000-0005-0000-0000-000028470000}"/>
    <cellStyle name="20 % - Markeringsfarve6 5 4 4 3 2" xfId="30110" xr:uid="{00000000-0005-0000-0000-000029470000}"/>
    <cellStyle name="20 % - Markeringsfarve6 5 4 4 3 3" xfId="45071" xr:uid="{00000000-0005-0000-0000-00002A470000}"/>
    <cellStyle name="20 % - Markeringsfarve6 5 4 4 4" xfId="23108" xr:uid="{00000000-0005-0000-0000-00002B470000}"/>
    <cellStyle name="20 % - Markeringsfarve6 5 4 4 5" xfId="38074" xr:uid="{00000000-0005-0000-0000-00002C470000}"/>
    <cellStyle name="20 % - Markeringsfarve6 5 4 5" xfId="7950" xr:uid="{00000000-0005-0000-0000-00002D470000}"/>
    <cellStyle name="20 % - Markeringsfarve6 5 4 5 2" xfId="15815" xr:uid="{00000000-0005-0000-0000-00002E470000}"/>
    <cellStyle name="20 % - Markeringsfarve6 5 4 5 2 2" xfId="32091" xr:uid="{00000000-0005-0000-0000-00002F470000}"/>
    <cellStyle name="20 % - Markeringsfarve6 5 4 5 2 3" xfId="47050" xr:uid="{00000000-0005-0000-0000-000030470000}"/>
    <cellStyle name="20 % - Markeringsfarve6 5 4 5 3" xfId="25089" xr:uid="{00000000-0005-0000-0000-000031470000}"/>
    <cellStyle name="20 % - Markeringsfarve6 5 4 5 4" xfId="40053" xr:uid="{00000000-0005-0000-0000-000032470000}"/>
    <cellStyle name="20 % - Markeringsfarve6 5 4 6" xfId="13827" xr:uid="{00000000-0005-0000-0000-000033470000}"/>
    <cellStyle name="20 % - Markeringsfarve6 5 4 6 2" xfId="30106" xr:uid="{00000000-0005-0000-0000-000034470000}"/>
    <cellStyle name="20 % - Markeringsfarve6 5 4 6 3" xfId="45067" xr:uid="{00000000-0005-0000-0000-000035470000}"/>
    <cellStyle name="20 % - Markeringsfarve6 5 4 7" xfId="23104" xr:uid="{00000000-0005-0000-0000-000036470000}"/>
    <cellStyle name="20 % - Markeringsfarve6 5 4 8" xfId="38070" xr:uid="{00000000-0005-0000-0000-000037470000}"/>
    <cellStyle name="20 % - Markeringsfarve6 5 5" xfId="5347" xr:uid="{00000000-0005-0000-0000-000038470000}"/>
    <cellStyle name="20 % - Markeringsfarve6 5 5 2" xfId="5348" xr:uid="{00000000-0005-0000-0000-000039470000}"/>
    <cellStyle name="20 % - Markeringsfarve6 5 5 2 2" xfId="5349" xr:uid="{00000000-0005-0000-0000-00003A470000}"/>
    <cellStyle name="20 % - Markeringsfarve6 5 5 2 2 2" xfId="10256" xr:uid="{00000000-0005-0000-0000-00003B470000}"/>
    <cellStyle name="20 % - Markeringsfarve6 5 5 2 2 2 2" xfId="18111" xr:uid="{00000000-0005-0000-0000-00003C470000}"/>
    <cellStyle name="20 % - Markeringsfarve6 5 5 2 2 2 2 2" xfId="34387" xr:uid="{00000000-0005-0000-0000-00003D470000}"/>
    <cellStyle name="20 % - Markeringsfarve6 5 5 2 2 2 2 3" xfId="49346" xr:uid="{00000000-0005-0000-0000-00003E470000}"/>
    <cellStyle name="20 % - Markeringsfarve6 5 5 2 2 2 3" xfId="27385" xr:uid="{00000000-0005-0000-0000-00003F470000}"/>
    <cellStyle name="20 % - Markeringsfarve6 5 5 2 2 2 4" xfId="42349" xr:uid="{00000000-0005-0000-0000-000040470000}"/>
    <cellStyle name="20 % - Markeringsfarve6 5 5 2 2 3" xfId="13834" xr:uid="{00000000-0005-0000-0000-000041470000}"/>
    <cellStyle name="20 % - Markeringsfarve6 5 5 2 2 3 2" xfId="30113" xr:uid="{00000000-0005-0000-0000-000042470000}"/>
    <cellStyle name="20 % - Markeringsfarve6 5 5 2 2 3 3" xfId="45074" xr:uid="{00000000-0005-0000-0000-000043470000}"/>
    <cellStyle name="20 % - Markeringsfarve6 5 5 2 2 4" xfId="23111" xr:uid="{00000000-0005-0000-0000-000044470000}"/>
    <cellStyle name="20 % - Markeringsfarve6 5 5 2 2 5" xfId="38077" xr:uid="{00000000-0005-0000-0000-000045470000}"/>
    <cellStyle name="20 % - Markeringsfarve6 5 5 2 3" xfId="8772" xr:uid="{00000000-0005-0000-0000-000046470000}"/>
    <cellStyle name="20 % - Markeringsfarve6 5 5 2 3 2" xfId="16639" xr:uid="{00000000-0005-0000-0000-000047470000}"/>
    <cellStyle name="20 % - Markeringsfarve6 5 5 2 3 2 2" xfId="32915" xr:uid="{00000000-0005-0000-0000-000048470000}"/>
    <cellStyle name="20 % - Markeringsfarve6 5 5 2 3 2 3" xfId="47874" xr:uid="{00000000-0005-0000-0000-000049470000}"/>
    <cellStyle name="20 % - Markeringsfarve6 5 5 2 3 3" xfId="25913" xr:uid="{00000000-0005-0000-0000-00004A470000}"/>
    <cellStyle name="20 % - Markeringsfarve6 5 5 2 3 4" xfId="40877" xr:uid="{00000000-0005-0000-0000-00004B470000}"/>
    <cellStyle name="20 % - Markeringsfarve6 5 5 2 4" xfId="13833" xr:uid="{00000000-0005-0000-0000-00004C470000}"/>
    <cellStyle name="20 % - Markeringsfarve6 5 5 2 4 2" xfId="30112" xr:uid="{00000000-0005-0000-0000-00004D470000}"/>
    <cellStyle name="20 % - Markeringsfarve6 5 5 2 4 3" xfId="45073" xr:uid="{00000000-0005-0000-0000-00004E470000}"/>
    <cellStyle name="20 % - Markeringsfarve6 5 5 2 5" xfId="23110" xr:uid="{00000000-0005-0000-0000-00004F470000}"/>
    <cellStyle name="20 % - Markeringsfarve6 5 5 2 6" xfId="38076" xr:uid="{00000000-0005-0000-0000-000050470000}"/>
    <cellStyle name="20 % - Markeringsfarve6 5 5 3" xfId="5350" xr:uid="{00000000-0005-0000-0000-000051470000}"/>
    <cellStyle name="20 % - Markeringsfarve6 5 5 3 2" xfId="9533" xr:uid="{00000000-0005-0000-0000-000052470000}"/>
    <cellStyle name="20 % - Markeringsfarve6 5 5 3 2 2" xfId="17396" xr:uid="{00000000-0005-0000-0000-000053470000}"/>
    <cellStyle name="20 % - Markeringsfarve6 5 5 3 2 2 2" xfId="33672" xr:uid="{00000000-0005-0000-0000-000054470000}"/>
    <cellStyle name="20 % - Markeringsfarve6 5 5 3 2 2 3" xfId="48631" xr:uid="{00000000-0005-0000-0000-000055470000}"/>
    <cellStyle name="20 % - Markeringsfarve6 5 5 3 2 3" xfId="26670" xr:uid="{00000000-0005-0000-0000-000056470000}"/>
    <cellStyle name="20 % - Markeringsfarve6 5 5 3 2 4" xfId="41634" xr:uid="{00000000-0005-0000-0000-000057470000}"/>
    <cellStyle name="20 % - Markeringsfarve6 5 5 3 3" xfId="13835" xr:uid="{00000000-0005-0000-0000-000058470000}"/>
    <cellStyle name="20 % - Markeringsfarve6 5 5 3 3 2" xfId="30114" xr:uid="{00000000-0005-0000-0000-000059470000}"/>
    <cellStyle name="20 % - Markeringsfarve6 5 5 3 3 3" xfId="45075" xr:uid="{00000000-0005-0000-0000-00005A470000}"/>
    <cellStyle name="20 % - Markeringsfarve6 5 5 3 4" xfId="23112" xr:uid="{00000000-0005-0000-0000-00005B470000}"/>
    <cellStyle name="20 % - Markeringsfarve6 5 5 3 5" xfId="38078" xr:uid="{00000000-0005-0000-0000-00005C470000}"/>
    <cellStyle name="20 % - Markeringsfarve6 5 5 4" xfId="5351" xr:uid="{00000000-0005-0000-0000-00005D470000}"/>
    <cellStyle name="20 % - Markeringsfarve6 5 5 4 2" xfId="10627" xr:uid="{00000000-0005-0000-0000-00005E470000}"/>
    <cellStyle name="20 % - Markeringsfarve6 5 5 4 2 2" xfId="18475" xr:uid="{00000000-0005-0000-0000-00005F470000}"/>
    <cellStyle name="20 % - Markeringsfarve6 5 5 4 2 2 2" xfId="34751" xr:uid="{00000000-0005-0000-0000-000060470000}"/>
    <cellStyle name="20 % - Markeringsfarve6 5 5 4 2 2 3" xfId="49710" xr:uid="{00000000-0005-0000-0000-000061470000}"/>
    <cellStyle name="20 % - Markeringsfarve6 5 5 4 2 3" xfId="27749" xr:uid="{00000000-0005-0000-0000-000062470000}"/>
    <cellStyle name="20 % - Markeringsfarve6 5 5 4 2 4" xfId="42713" xr:uid="{00000000-0005-0000-0000-000063470000}"/>
    <cellStyle name="20 % - Markeringsfarve6 5 5 4 3" xfId="13836" xr:uid="{00000000-0005-0000-0000-000064470000}"/>
    <cellStyle name="20 % - Markeringsfarve6 5 5 4 3 2" xfId="30115" xr:uid="{00000000-0005-0000-0000-000065470000}"/>
    <cellStyle name="20 % - Markeringsfarve6 5 5 4 3 3" xfId="45076" xr:uid="{00000000-0005-0000-0000-000066470000}"/>
    <cellStyle name="20 % - Markeringsfarve6 5 5 4 4" xfId="23113" xr:uid="{00000000-0005-0000-0000-000067470000}"/>
    <cellStyle name="20 % - Markeringsfarve6 5 5 4 5" xfId="38079" xr:uid="{00000000-0005-0000-0000-000068470000}"/>
    <cellStyle name="20 % - Markeringsfarve6 5 5 5" xfId="7951" xr:uid="{00000000-0005-0000-0000-000069470000}"/>
    <cellStyle name="20 % - Markeringsfarve6 5 5 5 2" xfId="15816" xr:uid="{00000000-0005-0000-0000-00006A470000}"/>
    <cellStyle name="20 % - Markeringsfarve6 5 5 5 2 2" xfId="32092" xr:uid="{00000000-0005-0000-0000-00006B470000}"/>
    <cellStyle name="20 % - Markeringsfarve6 5 5 5 2 3" xfId="47051" xr:uid="{00000000-0005-0000-0000-00006C470000}"/>
    <cellStyle name="20 % - Markeringsfarve6 5 5 5 3" xfId="25090" xr:uid="{00000000-0005-0000-0000-00006D470000}"/>
    <cellStyle name="20 % - Markeringsfarve6 5 5 5 4" xfId="40054" xr:uid="{00000000-0005-0000-0000-00006E470000}"/>
    <cellStyle name="20 % - Markeringsfarve6 5 5 6" xfId="13832" xr:uid="{00000000-0005-0000-0000-00006F470000}"/>
    <cellStyle name="20 % - Markeringsfarve6 5 5 6 2" xfId="30111" xr:uid="{00000000-0005-0000-0000-000070470000}"/>
    <cellStyle name="20 % - Markeringsfarve6 5 5 6 3" xfId="45072" xr:uid="{00000000-0005-0000-0000-000071470000}"/>
    <cellStyle name="20 % - Markeringsfarve6 5 5 7" xfId="23109" xr:uid="{00000000-0005-0000-0000-000072470000}"/>
    <cellStyle name="20 % - Markeringsfarve6 5 5 8" xfId="38075" xr:uid="{00000000-0005-0000-0000-000073470000}"/>
    <cellStyle name="20 % - Markeringsfarve6 5 6" xfId="5352" xr:uid="{00000000-0005-0000-0000-000074470000}"/>
    <cellStyle name="20 % - Markeringsfarve6 5 6 2" xfId="5353" xr:uid="{00000000-0005-0000-0000-000075470000}"/>
    <cellStyle name="20 % - Markeringsfarve6 5 6 2 2" xfId="5354" xr:uid="{00000000-0005-0000-0000-000076470000}"/>
    <cellStyle name="20 % - Markeringsfarve6 5 6 2 2 2" xfId="10338" xr:uid="{00000000-0005-0000-0000-000077470000}"/>
    <cellStyle name="20 % - Markeringsfarve6 5 6 2 2 2 2" xfId="18193" xr:uid="{00000000-0005-0000-0000-000078470000}"/>
    <cellStyle name="20 % - Markeringsfarve6 5 6 2 2 2 2 2" xfId="34469" xr:uid="{00000000-0005-0000-0000-000079470000}"/>
    <cellStyle name="20 % - Markeringsfarve6 5 6 2 2 2 2 3" xfId="49428" xr:uid="{00000000-0005-0000-0000-00007A470000}"/>
    <cellStyle name="20 % - Markeringsfarve6 5 6 2 2 2 3" xfId="27467" xr:uid="{00000000-0005-0000-0000-00007B470000}"/>
    <cellStyle name="20 % - Markeringsfarve6 5 6 2 2 2 4" xfId="42431" xr:uid="{00000000-0005-0000-0000-00007C470000}"/>
    <cellStyle name="20 % - Markeringsfarve6 5 6 2 2 3" xfId="13839" xr:uid="{00000000-0005-0000-0000-00007D470000}"/>
    <cellStyle name="20 % - Markeringsfarve6 5 6 2 2 3 2" xfId="30118" xr:uid="{00000000-0005-0000-0000-00007E470000}"/>
    <cellStyle name="20 % - Markeringsfarve6 5 6 2 2 3 3" xfId="45079" xr:uid="{00000000-0005-0000-0000-00007F470000}"/>
    <cellStyle name="20 % - Markeringsfarve6 5 6 2 2 4" xfId="23116" xr:uid="{00000000-0005-0000-0000-000080470000}"/>
    <cellStyle name="20 % - Markeringsfarve6 5 6 2 2 5" xfId="38082" xr:uid="{00000000-0005-0000-0000-000081470000}"/>
    <cellStyle name="20 % - Markeringsfarve6 5 6 2 3" xfId="8841" xr:uid="{00000000-0005-0000-0000-000082470000}"/>
    <cellStyle name="20 % - Markeringsfarve6 5 6 2 3 2" xfId="16708" xr:uid="{00000000-0005-0000-0000-000083470000}"/>
    <cellStyle name="20 % - Markeringsfarve6 5 6 2 3 2 2" xfId="32984" xr:uid="{00000000-0005-0000-0000-000084470000}"/>
    <cellStyle name="20 % - Markeringsfarve6 5 6 2 3 2 3" xfId="47943" xr:uid="{00000000-0005-0000-0000-000085470000}"/>
    <cellStyle name="20 % - Markeringsfarve6 5 6 2 3 3" xfId="25982" xr:uid="{00000000-0005-0000-0000-000086470000}"/>
    <cellStyle name="20 % - Markeringsfarve6 5 6 2 3 4" xfId="40946" xr:uid="{00000000-0005-0000-0000-000087470000}"/>
    <cellStyle name="20 % - Markeringsfarve6 5 6 2 4" xfId="13838" xr:uid="{00000000-0005-0000-0000-000088470000}"/>
    <cellStyle name="20 % - Markeringsfarve6 5 6 2 4 2" xfId="30117" xr:uid="{00000000-0005-0000-0000-000089470000}"/>
    <cellStyle name="20 % - Markeringsfarve6 5 6 2 4 3" xfId="45078" xr:uid="{00000000-0005-0000-0000-00008A470000}"/>
    <cellStyle name="20 % - Markeringsfarve6 5 6 2 5" xfId="23115" xr:uid="{00000000-0005-0000-0000-00008B470000}"/>
    <cellStyle name="20 % - Markeringsfarve6 5 6 2 6" xfId="38081" xr:uid="{00000000-0005-0000-0000-00008C470000}"/>
    <cellStyle name="20 % - Markeringsfarve6 5 6 3" xfId="5355" xr:uid="{00000000-0005-0000-0000-00008D470000}"/>
    <cellStyle name="20 % - Markeringsfarve6 5 6 3 2" xfId="9616" xr:uid="{00000000-0005-0000-0000-00008E470000}"/>
    <cellStyle name="20 % - Markeringsfarve6 5 6 3 2 2" xfId="17479" xr:uid="{00000000-0005-0000-0000-00008F470000}"/>
    <cellStyle name="20 % - Markeringsfarve6 5 6 3 2 2 2" xfId="33755" xr:uid="{00000000-0005-0000-0000-000090470000}"/>
    <cellStyle name="20 % - Markeringsfarve6 5 6 3 2 2 3" xfId="48714" xr:uid="{00000000-0005-0000-0000-000091470000}"/>
    <cellStyle name="20 % - Markeringsfarve6 5 6 3 2 3" xfId="26753" xr:uid="{00000000-0005-0000-0000-000092470000}"/>
    <cellStyle name="20 % - Markeringsfarve6 5 6 3 2 4" xfId="41717" xr:uid="{00000000-0005-0000-0000-000093470000}"/>
    <cellStyle name="20 % - Markeringsfarve6 5 6 3 3" xfId="13840" xr:uid="{00000000-0005-0000-0000-000094470000}"/>
    <cellStyle name="20 % - Markeringsfarve6 5 6 3 3 2" xfId="30119" xr:uid="{00000000-0005-0000-0000-000095470000}"/>
    <cellStyle name="20 % - Markeringsfarve6 5 6 3 3 3" xfId="45080" xr:uid="{00000000-0005-0000-0000-000096470000}"/>
    <cellStyle name="20 % - Markeringsfarve6 5 6 3 4" xfId="23117" xr:uid="{00000000-0005-0000-0000-000097470000}"/>
    <cellStyle name="20 % - Markeringsfarve6 5 6 3 5" xfId="38083" xr:uid="{00000000-0005-0000-0000-000098470000}"/>
    <cellStyle name="20 % - Markeringsfarve6 5 6 4" xfId="5356" xr:uid="{00000000-0005-0000-0000-000099470000}"/>
    <cellStyle name="20 % - Markeringsfarve6 5 6 4 2" xfId="10852" xr:uid="{00000000-0005-0000-0000-00009A470000}"/>
    <cellStyle name="20 % - Markeringsfarve6 5 6 4 2 2" xfId="18690" xr:uid="{00000000-0005-0000-0000-00009B470000}"/>
    <cellStyle name="20 % - Markeringsfarve6 5 6 4 2 2 2" xfId="34966" xr:uid="{00000000-0005-0000-0000-00009C470000}"/>
    <cellStyle name="20 % - Markeringsfarve6 5 6 4 2 2 3" xfId="49925" xr:uid="{00000000-0005-0000-0000-00009D470000}"/>
    <cellStyle name="20 % - Markeringsfarve6 5 6 4 2 3" xfId="27964" xr:uid="{00000000-0005-0000-0000-00009E470000}"/>
    <cellStyle name="20 % - Markeringsfarve6 5 6 4 2 4" xfId="42928" xr:uid="{00000000-0005-0000-0000-00009F470000}"/>
    <cellStyle name="20 % - Markeringsfarve6 5 6 4 3" xfId="13841" xr:uid="{00000000-0005-0000-0000-0000A0470000}"/>
    <cellStyle name="20 % - Markeringsfarve6 5 6 4 3 2" xfId="30120" xr:uid="{00000000-0005-0000-0000-0000A1470000}"/>
    <cellStyle name="20 % - Markeringsfarve6 5 6 4 3 3" xfId="45081" xr:uid="{00000000-0005-0000-0000-0000A2470000}"/>
    <cellStyle name="20 % - Markeringsfarve6 5 6 4 4" xfId="23118" xr:uid="{00000000-0005-0000-0000-0000A3470000}"/>
    <cellStyle name="20 % - Markeringsfarve6 5 6 4 5" xfId="38084" xr:uid="{00000000-0005-0000-0000-0000A4470000}"/>
    <cellStyle name="20 % - Markeringsfarve6 5 6 5" xfId="7952" xr:uid="{00000000-0005-0000-0000-0000A5470000}"/>
    <cellStyle name="20 % - Markeringsfarve6 5 6 5 2" xfId="15817" xr:uid="{00000000-0005-0000-0000-0000A6470000}"/>
    <cellStyle name="20 % - Markeringsfarve6 5 6 5 2 2" xfId="32093" xr:uid="{00000000-0005-0000-0000-0000A7470000}"/>
    <cellStyle name="20 % - Markeringsfarve6 5 6 5 2 3" xfId="47052" xr:uid="{00000000-0005-0000-0000-0000A8470000}"/>
    <cellStyle name="20 % - Markeringsfarve6 5 6 5 3" xfId="25091" xr:uid="{00000000-0005-0000-0000-0000A9470000}"/>
    <cellStyle name="20 % - Markeringsfarve6 5 6 5 4" xfId="40055" xr:uid="{00000000-0005-0000-0000-0000AA470000}"/>
    <cellStyle name="20 % - Markeringsfarve6 5 6 6" xfId="13837" xr:uid="{00000000-0005-0000-0000-0000AB470000}"/>
    <cellStyle name="20 % - Markeringsfarve6 5 6 6 2" xfId="30116" xr:uid="{00000000-0005-0000-0000-0000AC470000}"/>
    <cellStyle name="20 % - Markeringsfarve6 5 6 6 3" xfId="45077" xr:uid="{00000000-0005-0000-0000-0000AD470000}"/>
    <cellStyle name="20 % - Markeringsfarve6 5 6 7" xfId="23114" xr:uid="{00000000-0005-0000-0000-0000AE470000}"/>
    <cellStyle name="20 % - Markeringsfarve6 5 6 8" xfId="38080" xr:uid="{00000000-0005-0000-0000-0000AF470000}"/>
    <cellStyle name="20 % - Markeringsfarve6 5 7" xfId="5357" xr:uid="{00000000-0005-0000-0000-0000B0470000}"/>
    <cellStyle name="20 % - Markeringsfarve6 5 7 2" xfId="5358" xr:uid="{00000000-0005-0000-0000-0000B1470000}"/>
    <cellStyle name="20 % - Markeringsfarve6 5 7 2 2" xfId="9783" xr:uid="{00000000-0005-0000-0000-0000B2470000}"/>
    <cellStyle name="20 % - Markeringsfarve6 5 7 2 2 2" xfId="17637" xr:uid="{00000000-0005-0000-0000-0000B3470000}"/>
    <cellStyle name="20 % - Markeringsfarve6 5 7 2 2 2 2" xfId="33913" xr:uid="{00000000-0005-0000-0000-0000B4470000}"/>
    <cellStyle name="20 % - Markeringsfarve6 5 7 2 2 2 3" xfId="48872" xr:uid="{00000000-0005-0000-0000-0000B5470000}"/>
    <cellStyle name="20 % - Markeringsfarve6 5 7 2 2 3" xfId="26911" xr:uid="{00000000-0005-0000-0000-0000B6470000}"/>
    <cellStyle name="20 % - Markeringsfarve6 5 7 2 2 4" xfId="41875" xr:uid="{00000000-0005-0000-0000-0000B7470000}"/>
    <cellStyle name="20 % - Markeringsfarve6 5 7 2 3" xfId="13843" xr:uid="{00000000-0005-0000-0000-0000B8470000}"/>
    <cellStyle name="20 % - Markeringsfarve6 5 7 2 3 2" xfId="30122" xr:uid="{00000000-0005-0000-0000-0000B9470000}"/>
    <cellStyle name="20 % - Markeringsfarve6 5 7 2 3 3" xfId="45083" xr:uid="{00000000-0005-0000-0000-0000BA470000}"/>
    <cellStyle name="20 % - Markeringsfarve6 5 7 2 4" xfId="23120" xr:uid="{00000000-0005-0000-0000-0000BB470000}"/>
    <cellStyle name="20 % - Markeringsfarve6 5 7 2 5" xfId="38086" xr:uid="{00000000-0005-0000-0000-0000BC470000}"/>
    <cellStyle name="20 % - Markeringsfarve6 5 7 3" xfId="8372" xr:uid="{00000000-0005-0000-0000-0000BD470000}"/>
    <cellStyle name="20 % - Markeringsfarve6 5 7 3 2" xfId="16242" xr:uid="{00000000-0005-0000-0000-0000BE470000}"/>
    <cellStyle name="20 % - Markeringsfarve6 5 7 3 2 2" xfId="32518" xr:uid="{00000000-0005-0000-0000-0000BF470000}"/>
    <cellStyle name="20 % - Markeringsfarve6 5 7 3 2 3" xfId="47477" xr:uid="{00000000-0005-0000-0000-0000C0470000}"/>
    <cellStyle name="20 % - Markeringsfarve6 5 7 3 3" xfId="25516" xr:uid="{00000000-0005-0000-0000-0000C1470000}"/>
    <cellStyle name="20 % - Markeringsfarve6 5 7 3 4" xfId="40480" xr:uid="{00000000-0005-0000-0000-0000C2470000}"/>
    <cellStyle name="20 % - Markeringsfarve6 5 7 4" xfId="13842" xr:uid="{00000000-0005-0000-0000-0000C3470000}"/>
    <cellStyle name="20 % - Markeringsfarve6 5 7 4 2" xfId="30121" xr:uid="{00000000-0005-0000-0000-0000C4470000}"/>
    <cellStyle name="20 % - Markeringsfarve6 5 7 4 3" xfId="45082" xr:uid="{00000000-0005-0000-0000-0000C5470000}"/>
    <cellStyle name="20 % - Markeringsfarve6 5 7 5" xfId="23119" xr:uid="{00000000-0005-0000-0000-0000C6470000}"/>
    <cellStyle name="20 % - Markeringsfarve6 5 7 6" xfId="38085" xr:uid="{00000000-0005-0000-0000-0000C7470000}"/>
    <cellStyle name="20 % - Markeringsfarve6 5 8" xfId="5359" xr:uid="{00000000-0005-0000-0000-0000C8470000}"/>
    <cellStyle name="20 % - Markeringsfarve6 5 8 2" xfId="9011" xr:uid="{00000000-0005-0000-0000-0000C9470000}"/>
    <cellStyle name="20 % - Markeringsfarve6 5 8 2 2" xfId="16875" xr:uid="{00000000-0005-0000-0000-0000CA470000}"/>
    <cellStyle name="20 % - Markeringsfarve6 5 8 2 2 2" xfId="33151" xr:uid="{00000000-0005-0000-0000-0000CB470000}"/>
    <cellStyle name="20 % - Markeringsfarve6 5 8 2 2 3" xfId="48110" xr:uid="{00000000-0005-0000-0000-0000CC470000}"/>
    <cellStyle name="20 % - Markeringsfarve6 5 8 2 3" xfId="26149" xr:uid="{00000000-0005-0000-0000-0000CD470000}"/>
    <cellStyle name="20 % - Markeringsfarve6 5 8 2 4" xfId="41113" xr:uid="{00000000-0005-0000-0000-0000CE470000}"/>
    <cellStyle name="20 % - Markeringsfarve6 5 8 3" xfId="13844" xr:uid="{00000000-0005-0000-0000-0000CF470000}"/>
    <cellStyle name="20 % - Markeringsfarve6 5 8 3 2" xfId="30123" xr:uid="{00000000-0005-0000-0000-0000D0470000}"/>
    <cellStyle name="20 % - Markeringsfarve6 5 8 3 3" xfId="45084" xr:uid="{00000000-0005-0000-0000-0000D1470000}"/>
    <cellStyle name="20 % - Markeringsfarve6 5 8 4" xfId="23121" xr:uid="{00000000-0005-0000-0000-0000D2470000}"/>
    <cellStyle name="20 % - Markeringsfarve6 5 8 5" xfId="38087" xr:uid="{00000000-0005-0000-0000-0000D3470000}"/>
    <cellStyle name="20 % - Markeringsfarve6 5 9" xfId="5360" xr:uid="{00000000-0005-0000-0000-0000D4470000}"/>
    <cellStyle name="20 % - Markeringsfarve6 5 9 2" xfId="10705" xr:uid="{00000000-0005-0000-0000-0000D5470000}"/>
    <cellStyle name="20 % - Markeringsfarve6 5 9 2 2" xfId="18549" xr:uid="{00000000-0005-0000-0000-0000D6470000}"/>
    <cellStyle name="20 % - Markeringsfarve6 5 9 2 2 2" xfId="34825" xr:uid="{00000000-0005-0000-0000-0000D7470000}"/>
    <cellStyle name="20 % - Markeringsfarve6 5 9 2 2 3" xfId="49784" xr:uid="{00000000-0005-0000-0000-0000D8470000}"/>
    <cellStyle name="20 % - Markeringsfarve6 5 9 2 3" xfId="27823" xr:uid="{00000000-0005-0000-0000-0000D9470000}"/>
    <cellStyle name="20 % - Markeringsfarve6 5 9 2 4" xfId="42787" xr:uid="{00000000-0005-0000-0000-0000DA470000}"/>
    <cellStyle name="20 % - Markeringsfarve6 5 9 3" xfId="13845" xr:uid="{00000000-0005-0000-0000-0000DB470000}"/>
    <cellStyle name="20 % - Markeringsfarve6 5 9 3 2" xfId="30124" xr:uid="{00000000-0005-0000-0000-0000DC470000}"/>
    <cellStyle name="20 % - Markeringsfarve6 5 9 3 3" xfId="45085" xr:uid="{00000000-0005-0000-0000-0000DD470000}"/>
    <cellStyle name="20 % - Markeringsfarve6 5 9 4" xfId="23122" xr:uid="{00000000-0005-0000-0000-0000DE470000}"/>
    <cellStyle name="20 % - Markeringsfarve6 5 9 5" xfId="38088" xr:uid="{00000000-0005-0000-0000-0000DF470000}"/>
    <cellStyle name="20 % - Markeringsfarve6 6" xfId="5361" xr:uid="{00000000-0005-0000-0000-0000E0470000}"/>
    <cellStyle name="20 % - Markeringsfarve6 6 2" xfId="5362" xr:uid="{00000000-0005-0000-0000-0000E1470000}"/>
    <cellStyle name="20 % - Markeringsfarve6 6 2 2" xfId="5363" xr:uid="{00000000-0005-0000-0000-0000E2470000}"/>
    <cellStyle name="20 % - Markeringsfarve6 6 2 2 2" xfId="9823" xr:uid="{00000000-0005-0000-0000-0000E3470000}"/>
    <cellStyle name="20 % - Markeringsfarve6 6 2 2 2 2" xfId="17678" xr:uid="{00000000-0005-0000-0000-0000E4470000}"/>
    <cellStyle name="20 % - Markeringsfarve6 6 2 2 2 2 2" xfId="33954" xr:uid="{00000000-0005-0000-0000-0000E5470000}"/>
    <cellStyle name="20 % - Markeringsfarve6 6 2 2 2 2 3" xfId="48913" xr:uid="{00000000-0005-0000-0000-0000E6470000}"/>
    <cellStyle name="20 % - Markeringsfarve6 6 2 2 2 3" xfId="26952" xr:uid="{00000000-0005-0000-0000-0000E7470000}"/>
    <cellStyle name="20 % - Markeringsfarve6 6 2 2 2 4" xfId="41916" xr:uid="{00000000-0005-0000-0000-0000E8470000}"/>
    <cellStyle name="20 % - Markeringsfarve6 6 2 2 3" xfId="13848" xr:uid="{00000000-0005-0000-0000-0000E9470000}"/>
    <cellStyle name="20 % - Markeringsfarve6 6 2 2 3 2" xfId="30127" xr:uid="{00000000-0005-0000-0000-0000EA470000}"/>
    <cellStyle name="20 % - Markeringsfarve6 6 2 2 3 3" xfId="45088" xr:uid="{00000000-0005-0000-0000-0000EB470000}"/>
    <cellStyle name="20 % - Markeringsfarve6 6 2 2 4" xfId="23125" xr:uid="{00000000-0005-0000-0000-0000EC470000}"/>
    <cellStyle name="20 % - Markeringsfarve6 6 2 2 5" xfId="38091" xr:uid="{00000000-0005-0000-0000-0000ED470000}"/>
    <cellStyle name="20 % - Markeringsfarve6 6 2 3" xfId="8405" xr:uid="{00000000-0005-0000-0000-0000EE470000}"/>
    <cellStyle name="20 % - Markeringsfarve6 6 2 3 2" xfId="16275" xr:uid="{00000000-0005-0000-0000-0000EF470000}"/>
    <cellStyle name="20 % - Markeringsfarve6 6 2 3 2 2" xfId="32551" xr:uid="{00000000-0005-0000-0000-0000F0470000}"/>
    <cellStyle name="20 % - Markeringsfarve6 6 2 3 2 3" xfId="47510" xr:uid="{00000000-0005-0000-0000-0000F1470000}"/>
    <cellStyle name="20 % - Markeringsfarve6 6 2 3 3" xfId="25549" xr:uid="{00000000-0005-0000-0000-0000F2470000}"/>
    <cellStyle name="20 % - Markeringsfarve6 6 2 3 4" xfId="40513" xr:uid="{00000000-0005-0000-0000-0000F3470000}"/>
    <cellStyle name="20 % - Markeringsfarve6 6 2 4" xfId="13847" xr:uid="{00000000-0005-0000-0000-0000F4470000}"/>
    <cellStyle name="20 % - Markeringsfarve6 6 2 4 2" xfId="30126" xr:uid="{00000000-0005-0000-0000-0000F5470000}"/>
    <cellStyle name="20 % - Markeringsfarve6 6 2 4 3" xfId="45087" xr:uid="{00000000-0005-0000-0000-0000F6470000}"/>
    <cellStyle name="20 % - Markeringsfarve6 6 2 5" xfId="23124" xr:uid="{00000000-0005-0000-0000-0000F7470000}"/>
    <cellStyle name="20 % - Markeringsfarve6 6 2 6" xfId="38090" xr:uid="{00000000-0005-0000-0000-0000F8470000}"/>
    <cellStyle name="20 % - Markeringsfarve6 6 3" xfId="5364" xr:uid="{00000000-0005-0000-0000-0000F9470000}"/>
    <cellStyle name="20 % - Markeringsfarve6 6 3 2" xfId="9054" xr:uid="{00000000-0005-0000-0000-0000FA470000}"/>
    <cellStyle name="20 % - Markeringsfarve6 6 3 2 2" xfId="16918" xr:uid="{00000000-0005-0000-0000-0000FB470000}"/>
    <cellStyle name="20 % - Markeringsfarve6 6 3 2 2 2" xfId="33194" xr:uid="{00000000-0005-0000-0000-0000FC470000}"/>
    <cellStyle name="20 % - Markeringsfarve6 6 3 2 2 3" xfId="48153" xr:uid="{00000000-0005-0000-0000-0000FD470000}"/>
    <cellStyle name="20 % - Markeringsfarve6 6 3 2 3" xfId="26192" xr:uid="{00000000-0005-0000-0000-0000FE470000}"/>
    <cellStyle name="20 % - Markeringsfarve6 6 3 2 4" xfId="41156" xr:uid="{00000000-0005-0000-0000-0000FF470000}"/>
    <cellStyle name="20 % - Markeringsfarve6 6 3 3" xfId="13849" xr:uid="{00000000-0005-0000-0000-000000480000}"/>
    <cellStyle name="20 % - Markeringsfarve6 6 3 3 2" xfId="30128" xr:uid="{00000000-0005-0000-0000-000001480000}"/>
    <cellStyle name="20 % - Markeringsfarve6 6 3 3 3" xfId="45089" xr:uid="{00000000-0005-0000-0000-000002480000}"/>
    <cellStyle name="20 % - Markeringsfarve6 6 3 4" xfId="23126" xr:uid="{00000000-0005-0000-0000-000003480000}"/>
    <cellStyle name="20 % - Markeringsfarve6 6 3 5" xfId="38092" xr:uid="{00000000-0005-0000-0000-000004480000}"/>
    <cellStyle name="20 % - Markeringsfarve6 6 4" xfId="5365" xr:uid="{00000000-0005-0000-0000-000005480000}"/>
    <cellStyle name="20 % - Markeringsfarve6 6 4 2" xfId="10501" xr:uid="{00000000-0005-0000-0000-000006480000}"/>
    <cellStyle name="20 % - Markeringsfarve6 6 4 2 2" xfId="18350" xr:uid="{00000000-0005-0000-0000-000007480000}"/>
    <cellStyle name="20 % - Markeringsfarve6 6 4 2 2 2" xfId="34626" xr:uid="{00000000-0005-0000-0000-000008480000}"/>
    <cellStyle name="20 % - Markeringsfarve6 6 4 2 2 3" xfId="49585" xr:uid="{00000000-0005-0000-0000-000009480000}"/>
    <cellStyle name="20 % - Markeringsfarve6 6 4 2 3" xfId="27624" xr:uid="{00000000-0005-0000-0000-00000A480000}"/>
    <cellStyle name="20 % - Markeringsfarve6 6 4 2 4" xfId="42588" xr:uid="{00000000-0005-0000-0000-00000B480000}"/>
    <cellStyle name="20 % - Markeringsfarve6 6 4 3" xfId="13850" xr:uid="{00000000-0005-0000-0000-00000C480000}"/>
    <cellStyle name="20 % - Markeringsfarve6 6 4 3 2" xfId="30129" xr:uid="{00000000-0005-0000-0000-00000D480000}"/>
    <cellStyle name="20 % - Markeringsfarve6 6 4 3 3" xfId="45090" xr:uid="{00000000-0005-0000-0000-00000E480000}"/>
    <cellStyle name="20 % - Markeringsfarve6 6 4 4" xfId="23127" xr:uid="{00000000-0005-0000-0000-00000F480000}"/>
    <cellStyle name="20 % - Markeringsfarve6 6 4 5" xfId="38093" xr:uid="{00000000-0005-0000-0000-000010480000}"/>
    <cellStyle name="20 % - Markeringsfarve6 6 5" xfId="7953" xr:uid="{00000000-0005-0000-0000-000011480000}"/>
    <cellStyle name="20 % - Markeringsfarve6 6 5 2" xfId="15818" xr:uid="{00000000-0005-0000-0000-000012480000}"/>
    <cellStyle name="20 % - Markeringsfarve6 6 5 2 2" xfId="32094" xr:uid="{00000000-0005-0000-0000-000013480000}"/>
    <cellStyle name="20 % - Markeringsfarve6 6 5 2 3" xfId="47053" xr:uid="{00000000-0005-0000-0000-000014480000}"/>
    <cellStyle name="20 % - Markeringsfarve6 6 5 3" xfId="25092" xr:uid="{00000000-0005-0000-0000-000015480000}"/>
    <cellStyle name="20 % - Markeringsfarve6 6 5 4" xfId="40056" xr:uid="{00000000-0005-0000-0000-000016480000}"/>
    <cellStyle name="20 % - Markeringsfarve6 6 6" xfId="13846" xr:uid="{00000000-0005-0000-0000-000017480000}"/>
    <cellStyle name="20 % - Markeringsfarve6 6 6 2" xfId="30125" xr:uid="{00000000-0005-0000-0000-000018480000}"/>
    <cellStyle name="20 % - Markeringsfarve6 6 6 3" xfId="45086" xr:uid="{00000000-0005-0000-0000-000019480000}"/>
    <cellStyle name="20 % - Markeringsfarve6 6 7" xfId="23123" xr:uid="{00000000-0005-0000-0000-00001A480000}"/>
    <cellStyle name="20 % - Markeringsfarve6 6 8" xfId="38089" xr:uid="{00000000-0005-0000-0000-00001B480000}"/>
    <cellStyle name="20 % - Markeringsfarve6 7" xfId="5366" xr:uid="{00000000-0005-0000-0000-00001C480000}"/>
    <cellStyle name="20 % - Markeringsfarve6 7 2" xfId="5367" xr:uid="{00000000-0005-0000-0000-00001D480000}"/>
    <cellStyle name="20 % - Markeringsfarve6 7 2 2" xfId="5368" xr:uid="{00000000-0005-0000-0000-00001E480000}"/>
    <cellStyle name="20 % - Markeringsfarve6 7 2 2 2" xfId="9976" xr:uid="{00000000-0005-0000-0000-00001F480000}"/>
    <cellStyle name="20 % - Markeringsfarve6 7 2 2 2 2" xfId="17831" xr:uid="{00000000-0005-0000-0000-000020480000}"/>
    <cellStyle name="20 % - Markeringsfarve6 7 2 2 2 2 2" xfId="34107" xr:uid="{00000000-0005-0000-0000-000021480000}"/>
    <cellStyle name="20 % - Markeringsfarve6 7 2 2 2 2 3" xfId="49066" xr:uid="{00000000-0005-0000-0000-000022480000}"/>
    <cellStyle name="20 % - Markeringsfarve6 7 2 2 2 3" xfId="27105" xr:uid="{00000000-0005-0000-0000-000023480000}"/>
    <cellStyle name="20 % - Markeringsfarve6 7 2 2 2 4" xfId="42069" xr:uid="{00000000-0005-0000-0000-000024480000}"/>
    <cellStyle name="20 % - Markeringsfarve6 7 2 2 3" xfId="13853" xr:uid="{00000000-0005-0000-0000-000025480000}"/>
    <cellStyle name="20 % - Markeringsfarve6 7 2 2 3 2" xfId="30132" xr:uid="{00000000-0005-0000-0000-000026480000}"/>
    <cellStyle name="20 % - Markeringsfarve6 7 2 2 3 3" xfId="45093" xr:uid="{00000000-0005-0000-0000-000027480000}"/>
    <cellStyle name="20 % - Markeringsfarve6 7 2 2 4" xfId="23130" xr:uid="{00000000-0005-0000-0000-000028480000}"/>
    <cellStyle name="20 % - Markeringsfarve6 7 2 2 5" xfId="38096" xr:uid="{00000000-0005-0000-0000-000029480000}"/>
    <cellStyle name="20 % - Markeringsfarve6 7 2 3" xfId="8532" xr:uid="{00000000-0005-0000-0000-00002A480000}"/>
    <cellStyle name="20 % - Markeringsfarve6 7 2 3 2" xfId="16402" xr:uid="{00000000-0005-0000-0000-00002B480000}"/>
    <cellStyle name="20 % - Markeringsfarve6 7 2 3 2 2" xfId="32678" xr:uid="{00000000-0005-0000-0000-00002C480000}"/>
    <cellStyle name="20 % - Markeringsfarve6 7 2 3 2 3" xfId="47637" xr:uid="{00000000-0005-0000-0000-00002D480000}"/>
    <cellStyle name="20 % - Markeringsfarve6 7 2 3 3" xfId="25676" xr:uid="{00000000-0005-0000-0000-00002E480000}"/>
    <cellStyle name="20 % - Markeringsfarve6 7 2 3 4" xfId="40640" xr:uid="{00000000-0005-0000-0000-00002F480000}"/>
    <cellStyle name="20 % - Markeringsfarve6 7 2 4" xfId="13852" xr:uid="{00000000-0005-0000-0000-000030480000}"/>
    <cellStyle name="20 % - Markeringsfarve6 7 2 4 2" xfId="30131" xr:uid="{00000000-0005-0000-0000-000031480000}"/>
    <cellStyle name="20 % - Markeringsfarve6 7 2 4 3" xfId="45092" xr:uid="{00000000-0005-0000-0000-000032480000}"/>
    <cellStyle name="20 % - Markeringsfarve6 7 2 5" xfId="23129" xr:uid="{00000000-0005-0000-0000-000033480000}"/>
    <cellStyle name="20 % - Markeringsfarve6 7 2 6" xfId="38095" xr:uid="{00000000-0005-0000-0000-000034480000}"/>
    <cellStyle name="20 % - Markeringsfarve6 7 3" xfId="5369" xr:uid="{00000000-0005-0000-0000-000035480000}"/>
    <cellStyle name="20 % - Markeringsfarve6 7 3 2" xfId="9207" xr:uid="{00000000-0005-0000-0000-000036480000}"/>
    <cellStyle name="20 % - Markeringsfarve6 7 3 2 2" xfId="17071" xr:uid="{00000000-0005-0000-0000-000037480000}"/>
    <cellStyle name="20 % - Markeringsfarve6 7 3 2 2 2" xfId="33347" xr:uid="{00000000-0005-0000-0000-000038480000}"/>
    <cellStyle name="20 % - Markeringsfarve6 7 3 2 2 3" xfId="48306" xr:uid="{00000000-0005-0000-0000-000039480000}"/>
    <cellStyle name="20 % - Markeringsfarve6 7 3 2 3" xfId="26345" xr:uid="{00000000-0005-0000-0000-00003A480000}"/>
    <cellStyle name="20 % - Markeringsfarve6 7 3 2 4" xfId="41309" xr:uid="{00000000-0005-0000-0000-00003B480000}"/>
    <cellStyle name="20 % - Markeringsfarve6 7 3 3" xfId="13854" xr:uid="{00000000-0005-0000-0000-00003C480000}"/>
    <cellStyle name="20 % - Markeringsfarve6 7 3 3 2" xfId="30133" xr:uid="{00000000-0005-0000-0000-00003D480000}"/>
    <cellStyle name="20 % - Markeringsfarve6 7 3 3 3" xfId="45094" xr:uid="{00000000-0005-0000-0000-00003E480000}"/>
    <cellStyle name="20 % - Markeringsfarve6 7 3 4" xfId="23131" xr:uid="{00000000-0005-0000-0000-00003F480000}"/>
    <cellStyle name="20 % - Markeringsfarve6 7 3 5" xfId="38097" xr:uid="{00000000-0005-0000-0000-000040480000}"/>
    <cellStyle name="20 % - Markeringsfarve6 7 4" xfId="5370" xr:uid="{00000000-0005-0000-0000-000041480000}"/>
    <cellStyle name="20 % - Markeringsfarve6 7 4 2" xfId="10813" xr:uid="{00000000-0005-0000-0000-000042480000}"/>
    <cellStyle name="20 % - Markeringsfarve6 7 4 2 2" xfId="18654" xr:uid="{00000000-0005-0000-0000-000043480000}"/>
    <cellStyle name="20 % - Markeringsfarve6 7 4 2 2 2" xfId="34930" xr:uid="{00000000-0005-0000-0000-000044480000}"/>
    <cellStyle name="20 % - Markeringsfarve6 7 4 2 2 3" xfId="49889" xr:uid="{00000000-0005-0000-0000-000045480000}"/>
    <cellStyle name="20 % - Markeringsfarve6 7 4 2 3" xfId="27928" xr:uid="{00000000-0005-0000-0000-000046480000}"/>
    <cellStyle name="20 % - Markeringsfarve6 7 4 2 4" xfId="42892" xr:uid="{00000000-0005-0000-0000-000047480000}"/>
    <cellStyle name="20 % - Markeringsfarve6 7 4 3" xfId="13855" xr:uid="{00000000-0005-0000-0000-000048480000}"/>
    <cellStyle name="20 % - Markeringsfarve6 7 4 3 2" xfId="30134" xr:uid="{00000000-0005-0000-0000-000049480000}"/>
    <cellStyle name="20 % - Markeringsfarve6 7 4 3 3" xfId="45095" xr:uid="{00000000-0005-0000-0000-00004A480000}"/>
    <cellStyle name="20 % - Markeringsfarve6 7 4 4" xfId="23132" xr:uid="{00000000-0005-0000-0000-00004B480000}"/>
    <cellStyle name="20 % - Markeringsfarve6 7 4 5" xfId="38098" xr:uid="{00000000-0005-0000-0000-00004C480000}"/>
    <cellStyle name="20 % - Markeringsfarve6 7 5" xfId="7954" xr:uid="{00000000-0005-0000-0000-00004D480000}"/>
    <cellStyle name="20 % - Markeringsfarve6 7 5 2" xfId="15819" xr:uid="{00000000-0005-0000-0000-00004E480000}"/>
    <cellStyle name="20 % - Markeringsfarve6 7 5 2 2" xfId="32095" xr:uid="{00000000-0005-0000-0000-00004F480000}"/>
    <cellStyle name="20 % - Markeringsfarve6 7 5 2 3" xfId="47054" xr:uid="{00000000-0005-0000-0000-000050480000}"/>
    <cellStyle name="20 % - Markeringsfarve6 7 5 3" xfId="25093" xr:uid="{00000000-0005-0000-0000-000051480000}"/>
    <cellStyle name="20 % - Markeringsfarve6 7 5 4" xfId="40057" xr:uid="{00000000-0005-0000-0000-000052480000}"/>
    <cellStyle name="20 % - Markeringsfarve6 7 6" xfId="13851" xr:uid="{00000000-0005-0000-0000-000053480000}"/>
    <cellStyle name="20 % - Markeringsfarve6 7 6 2" xfId="30130" xr:uid="{00000000-0005-0000-0000-000054480000}"/>
    <cellStyle name="20 % - Markeringsfarve6 7 6 3" xfId="45091" xr:uid="{00000000-0005-0000-0000-000055480000}"/>
    <cellStyle name="20 % - Markeringsfarve6 7 7" xfId="23128" xr:uid="{00000000-0005-0000-0000-000056480000}"/>
    <cellStyle name="20 % - Markeringsfarve6 7 8" xfId="38094" xr:uid="{00000000-0005-0000-0000-000057480000}"/>
    <cellStyle name="20 % - Markeringsfarve6 8" xfId="5371" xr:uid="{00000000-0005-0000-0000-000058480000}"/>
    <cellStyle name="20 % - Markeringsfarve6 8 2" xfId="5372" xr:uid="{00000000-0005-0000-0000-000059480000}"/>
    <cellStyle name="20 % - Markeringsfarve6 8 2 2" xfId="5373" xr:uid="{00000000-0005-0000-0000-00005A480000}"/>
    <cellStyle name="20 % - Markeringsfarve6 8 2 2 2" xfId="10061" xr:uid="{00000000-0005-0000-0000-00005B480000}"/>
    <cellStyle name="20 % - Markeringsfarve6 8 2 2 2 2" xfId="17916" xr:uid="{00000000-0005-0000-0000-00005C480000}"/>
    <cellStyle name="20 % - Markeringsfarve6 8 2 2 2 2 2" xfId="34192" xr:uid="{00000000-0005-0000-0000-00005D480000}"/>
    <cellStyle name="20 % - Markeringsfarve6 8 2 2 2 2 3" xfId="49151" xr:uid="{00000000-0005-0000-0000-00005E480000}"/>
    <cellStyle name="20 % - Markeringsfarve6 8 2 2 2 3" xfId="27190" xr:uid="{00000000-0005-0000-0000-00005F480000}"/>
    <cellStyle name="20 % - Markeringsfarve6 8 2 2 2 4" xfId="42154" xr:uid="{00000000-0005-0000-0000-000060480000}"/>
    <cellStyle name="20 % - Markeringsfarve6 8 2 2 3" xfId="13858" xr:uid="{00000000-0005-0000-0000-000061480000}"/>
    <cellStyle name="20 % - Markeringsfarve6 8 2 2 3 2" xfId="30137" xr:uid="{00000000-0005-0000-0000-000062480000}"/>
    <cellStyle name="20 % - Markeringsfarve6 8 2 2 3 3" xfId="45098" xr:uid="{00000000-0005-0000-0000-000063480000}"/>
    <cellStyle name="20 % - Markeringsfarve6 8 2 2 4" xfId="23135" xr:uid="{00000000-0005-0000-0000-000064480000}"/>
    <cellStyle name="20 % - Markeringsfarve6 8 2 2 5" xfId="38101" xr:uid="{00000000-0005-0000-0000-000065480000}"/>
    <cellStyle name="20 % - Markeringsfarve6 8 2 3" xfId="8607" xr:uid="{00000000-0005-0000-0000-000066480000}"/>
    <cellStyle name="20 % - Markeringsfarve6 8 2 3 2" xfId="16474" xr:uid="{00000000-0005-0000-0000-000067480000}"/>
    <cellStyle name="20 % - Markeringsfarve6 8 2 3 2 2" xfId="32750" xr:uid="{00000000-0005-0000-0000-000068480000}"/>
    <cellStyle name="20 % - Markeringsfarve6 8 2 3 2 3" xfId="47709" xr:uid="{00000000-0005-0000-0000-000069480000}"/>
    <cellStyle name="20 % - Markeringsfarve6 8 2 3 3" xfId="25748" xr:uid="{00000000-0005-0000-0000-00006A480000}"/>
    <cellStyle name="20 % - Markeringsfarve6 8 2 3 4" xfId="40712" xr:uid="{00000000-0005-0000-0000-00006B480000}"/>
    <cellStyle name="20 % - Markeringsfarve6 8 2 4" xfId="13857" xr:uid="{00000000-0005-0000-0000-00006C480000}"/>
    <cellStyle name="20 % - Markeringsfarve6 8 2 4 2" xfId="30136" xr:uid="{00000000-0005-0000-0000-00006D480000}"/>
    <cellStyle name="20 % - Markeringsfarve6 8 2 4 3" xfId="45097" xr:uid="{00000000-0005-0000-0000-00006E480000}"/>
    <cellStyle name="20 % - Markeringsfarve6 8 2 5" xfId="23134" xr:uid="{00000000-0005-0000-0000-00006F480000}"/>
    <cellStyle name="20 % - Markeringsfarve6 8 2 6" xfId="38100" xr:uid="{00000000-0005-0000-0000-000070480000}"/>
    <cellStyle name="20 % - Markeringsfarve6 8 3" xfId="5374" xr:uid="{00000000-0005-0000-0000-000071480000}"/>
    <cellStyle name="20 % - Markeringsfarve6 8 3 2" xfId="9338" xr:uid="{00000000-0005-0000-0000-000072480000}"/>
    <cellStyle name="20 % - Markeringsfarve6 8 3 2 2" xfId="17201" xr:uid="{00000000-0005-0000-0000-000073480000}"/>
    <cellStyle name="20 % - Markeringsfarve6 8 3 2 2 2" xfId="33477" xr:uid="{00000000-0005-0000-0000-000074480000}"/>
    <cellStyle name="20 % - Markeringsfarve6 8 3 2 2 3" xfId="48436" xr:uid="{00000000-0005-0000-0000-000075480000}"/>
    <cellStyle name="20 % - Markeringsfarve6 8 3 2 3" xfId="26475" xr:uid="{00000000-0005-0000-0000-000076480000}"/>
    <cellStyle name="20 % - Markeringsfarve6 8 3 2 4" xfId="41439" xr:uid="{00000000-0005-0000-0000-000077480000}"/>
    <cellStyle name="20 % - Markeringsfarve6 8 3 3" xfId="13859" xr:uid="{00000000-0005-0000-0000-000078480000}"/>
    <cellStyle name="20 % - Markeringsfarve6 8 3 3 2" xfId="30138" xr:uid="{00000000-0005-0000-0000-000079480000}"/>
    <cellStyle name="20 % - Markeringsfarve6 8 3 3 3" xfId="45099" xr:uid="{00000000-0005-0000-0000-00007A480000}"/>
    <cellStyle name="20 % - Markeringsfarve6 8 3 4" xfId="23136" xr:uid="{00000000-0005-0000-0000-00007B480000}"/>
    <cellStyle name="20 % - Markeringsfarve6 8 3 5" xfId="38102" xr:uid="{00000000-0005-0000-0000-00007C480000}"/>
    <cellStyle name="20 % - Markeringsfarve6 8 4" xfId="5375" xr:uid="{00000000-0005-0000-0000-00007D480000}"/>
    <cellStyle name="20 % - Markeringsfarve6 8 4 2" xfId="10463" xr:uid="{00000000-0005-0000-0000-00007E480000}"/>
    <cellStyle name="20 % - Markeringsfarve6 8 4 2 2" xfId="18314" xr:uid="{00000000-0005-0000-0000-00007F480000}"/>
    <cellStyle name="20 % - Markeringsfarve6 8 4 2 2 2" xfId="34590" xr:uid="{00000000-0005-0000-0000-000080480000}"/>
    <cellStyle name="20 % - Markeringsfarve6 8 4 2 2 3" xfId="49549" xr:uid="{00000000-0005-0000-0000-000081480000}"/>
    <cellStyle name="20 % - Markeringsfarve6 8 4 2 3" xfId="27588" xr:uid="{00000000-0005-0000-0000-000082480000}"/>
    <cellStyle name="20 % - Markeringsfarve6 8 4 2 4" xfId="42552" xr:uid="{00000000-0005-0000-0000-000083480000}"/>
    <cellStyle name="20 % - Markeringsfarve6 8 4 3" xfId="13860" xr:uid="{00000000-0005-0000-0000-000084480000}"/>
    <cellStyle name="20 % - Markeringsfarve6 8 4 3 2" xfId="30139" xr:uid="{00000000-0005-0000-0000-000085480000}"/>
    <cellStyle name="20 % - Markeringsfarve6 8 4 3 3" xfId="45100" xr:uid="{00000000-0005-0000-0000-000086480000}"/>
    <cellStyle name="20 % - Markeringsfarve6 8 4 4" xfId="23137" xr:uid="{00000000-0005-0000-0000-000087480000}"/>
    <cellStyle name="20 % - Markeringsfarve6 8 4 5" xfId="38103" xr:uid="{00000000-0005-0000-0000-000088480000}"/>
    <cellStyle name="20 % - Markeringsfarve6 8 5" xfId="7955" xr:uid="{00000000-0005-0000-0000-000089480000}"/>
    <cellStyle name="20 % - Markeringsfarve6 8 5 2" xfId="15820" xr:uid="{00000000-0005-0000-0000-00008A480000}"/>
    <cellStyle name="20 % - Markeringsfarve6 8 5 2 2" xfId="32096" xr:uid="{00000000-0005-0000-0000-00008B480000}"/>
    <cellStyle name="20 % - Markeringsfarve6 8 5 2 3" xfId="47055" xr:uid="{00000000-0005-0000-0000-00008C480000}"/>
    <cellStyle name="20 % - Markeringsfarve6 8 5 3" xfId="25094" xr:uid="{00000000-0005-0000-0000-00008D480000}"/>
    <cellStyle name="20 % - Markeringsfarve6 8 5 4" xfId="40058" xr:uid="{00000000-0005-0000-0000-00008E480000}"/>
    <cellStyle name="20 % - Markeringsfarve6 8 6" xfId="13856" xr:uid="{00000000-0005-0000-0000-00008F480000}"/>
    <cellStyle name="20 % - Markeringsfarve6 8 6 2" xfId="30135" xr:uid="{00000000-0005-0000-0000-000090480000}"/>
    <cellStyle name="20 % - Markeringsfarve6 8 6 3" xfId="45096" xr:uid="{00000000-0005-0000-0000-000091480000}"/>
    <cellStyle name="20 % - Markeringsfarve6 8 7" xfId="23133" xr:uid="{00000000-0005-0000-0000-000092480000}"/>
    <cellStyle name="20 % - Markeringsfarve6 8 8" xfId="38099" xr:uid="{00000000-0005-0000-0000-000093480000}"/>
    <cellStyle name="20 % - Markeringsfarve6 9" xfId="5376" xr:uid="{00000000-0005-0000-0000-000094480000}"/>
    <cellStyle name="20 % - Markeringsfarve6 9 2" xfId="5377" xr:uid="{00000000-0005-0000-0000-000095480000}"/>
    <cellStyle name="20 % - Markeringsfarve6 9 2 2" xfId="5378" xr:uid="{00000000-0005-0000-0000-000096480000}"/>
    <cellStyle name="20 % - Markeringsfarve6 9 2 2 2" xfId="10178" xr:uid="{00000000-0005-0000-0000-000097480000}"/>
    <cellStyle name="20 % - Markeringsfarve6 9 2 2 2 2" xfId="18033" xr:uid="{00000000-0005-0000-0000-000098480000}"/>
    <cellStyle name="20 % - Markeringsfarve6 9 2 2 2 2 2" xfId="34309" xr:uid="{00000000-0005-0000-0000-000099480000}"/>
    <cellStyle name="20 % - Markeringsfarve6 9 2 2 2 2 3" xfId="49268" xr:uid="{00000000-0005-0000-0000-00009A480000}"/>
    <cellStyle name="20 % - Markeringsfarve6 9 2 2 2 3" xfId="27307" xr:uid="{00000000-0005-0000-0000-00009B480000}"/>
    <cellStyle name="20 % - Markeringsfarve6 9 2 2 2 4" xfId="42271" xr:uid="{00000000-0005-0000-0000-00009C480000}"/>
    <cellStyle name="20 % - Markeringsfarve6 9 2 2 3" xfId="13863" xr:uid="{00000000-0005-0000-0000-00009D480000}"/>
    <cellStyle name="20 % - Markeringsfarve6 9 2 2 3 2" xfId="30142" xr:uid="{00000000-0005-0000-0000-00009E480000}"/>
    <cellStyle name="20 % - Markeringsfarve6 9 2 2 3 3" xfId="45103" xr:uid="{00000000-0005-0000-0000-00009F480000}"/>
    <cellStyle name="20 % - Markeringsfarve6 9 2 2 4" xfId="23140" xr:uid="{00000000-0005-0000-0000-0000A0480000}"/>
    <cellStyle name="20 % - Markeringsfarve6 9 2 2 5" xfId="38106" xr:uid="{00000000-0005-0000-0000-0000A1480000}"/>
    <cellStyle name="20 % - Markeringsfarve6 9 2 3" xfId="8706" xr:uid="{00000000-0005-0000-0000-0000A2480000}"/>
    <cellStyle name="20 % - Markeringsfarve6 9 2 3 2" xfId="16573" xr:uid="{00000000-0005-0000-0000-0000A3480000}"/>
    <cellStyle name="20 % - Markeringsfarve6 9 2 3 2 2" xfId="32849" xr:uid="{00000000-0005-0000-0000-0000A4480000}"/>
    <cellStyle name="20 % - Markeringsfarve6 9 2 3 2 3" xfId="47808" xr:uid="{00000000-0005-0000-0000-0000A5480000}"/>
    <cellStyle name="20 % - Markeringsfarve6 9 2 3 3" xfId="25847" xr:uid="{00000000-0005-0000-0000-0000A6480000}"/>
    <cellStyle name="20 % - Markeringsfarve6 9 2 3 4" xfId="40811" xr:uid="{00000000-0005-0000-0000-0000A7480000}"/>
    <cellStyle name="20 % - Markeringsfarve6 9 2 4" xfId="13862" xr:uid="{00000000-0005-0000-0000-0000A8480000}"/>
    <cellStyle name="20 % - Markeringsfarve6 9 2 4 2" xfId="30141" xr:uid="{00000000-0005-0000-0000-0000A9480000}"/>
    <cellStyle name="20 % - Markeringsfarve6 9 2 4 3" xfId="45102" xr:uid="{00000000-0005-0000-0000-0000AA480000}"/>
    <cellStyle name="20 % - Markeringsfarve6 9 2 5" xfId="23139" xr:uid="{00000000-0005-0000-0000-0000AB480000}"/>
    <cellStyle name="20 % - Markeringsfarve6 9 2 6" xfId="38105" xr:uid="{00000000-0005-0000-0000-0000AC480000}"/>
    <cellStyle name="20 % - Markeringsfarve6 9 3" xfId="5379" xr:uid="{00000000-0005-0000-0000-0000AD480000}"/>
    <cellStyle name="20 % - Markeringsfarve6 9 3 2" xfId="9455" xr:uid="{00000000-0005-0000-0000-0000AE480000}"/>
    <cellStyle name="20 % - Markeringsfarve6 9 3 2 2" xfId="17318" xr:uid="{00000000-0005-0000-0000-0000AF480000}"/>
    <cellStyle name="20 % - Markeringsfarve6 9 3 2 2 2" xfId="33594" xr:uid="{00000000-0005-0000-0000-0000B0480000}"/>
    <cellStyle name="20 % - Markeringsfarve6 9 3 2 2 3" xfId="48553" xr:uid="{00000000-0005-0000-0000-0000B1480000}"/>
    <cellStyle name="20 % - Markeringsfarve6 9 3 2 3" xfId="26592" xr:uid="{00000000-0005-0000-0000-0000B2480000}"/>
    <cellStyle name="20 % - Markeringsfarve6 9 3 2 4" xfId="41556" xr:uid="{00000000-0005-0000-0000-0000B3480000}"/>
    <cellStyle name="20 % - Markeringsfarve6 9 3 3" xfId="13864" xr:uid="{00000000-0005-0000-0000-0000B4480000}"/>
    <cellStyle name="20 % - Markeringsfarve6 9 3 3 2" xfId="30143" xr:uid="{00000000-0005-0000-0000-0000B5480000}"/>
    <cellStyle name="20 % - Markeringsfarve6 9 3 3 3" xfId="45104" xr:uid="{00000000-0005-0000-0000-0000B6480000}"/>
    <cellStyle name="20 % - Markeringsfarve6 9 3 4" xfId="23141" xr:uid="{00000000-0005-0000-0000-0000B7480000}"/>
    <cellStyle name="20 % - Markeringsfarve6 9 3 5" xfId="38107" xr:uid="{00000000-0005-0000-0000-0000B8480000}"/>
    <cellStyle name="20 % - Markeringsfarve6 9 4" xfId="5380" xr:uid="{00000000-0005-0000-0000-0000B9480000}"/>
    <cellStyle name="20 % - Markeringsfarve6 9 4 2" xfId="10416" xr:uid="{00000000-0005-0000-0000-0000BA480000}"/>
    <cellStyle name="20 % - Markeringsfarve6 9 4 2 2" xfId="18268" xr:uid="{00000000-0005-0000-0000-0000BB480000}"/>
    <cellStyle name="20 % - Markeringsfarve6 9 4 2 2 2" xfId="34544" xr:uid="{00000000-0005-0000-0000-0000BC480000}"/>
    <cellStyle name="20 % - Markeringsfarve6 9 4 2 2 3" xfId="49503" xr:uid="{00000000-0005-0000-0000-0000BD480000}"/>
    <cellStyle name="20 % - Markeringsfarve6 9 4 2 3" xfId="27542" xr:uid="{00000000-0005-0000-0000-0000BE480000}"/>
    <cellStyle name="20 % - Markeringsfarve6 9 4 2 4" xfId="42506" xr:uid="{00000000-0005-0000-0000-0000BF480000}"/>
    <cellStyle name="20 % - Markeringsfarve6 9 4 3" xfId="13865" xr:uid="{00000000-0005-0000-0000-0000C0480000}"/>
    <cellStyle name="20 % - Markeringsfarve6 9 4 3 2" xfId="30144" xr:uid="{00000000-0005-0000-0000-0000C1480000}"/>
    <cellStyle name="20 % - Markeringsfarve6 9 4 3 3" xfId="45105" xr:uid="{00000000-0005-0000-0000-0000C2480000}"/>
    <cellStyle name="20 % - Markeringsfarve6 9 4 4" xfId="23142" xr:uid="{00000000-0005-0000-0000-0000C3480000}"/>
    <cellStyle name="20 % - Markeringsfarve6 9 4 5" xfId="38108" xr:uid="{00000000-0005-0000-0000-0000C4480000}"/>
    <cellStyle name="20 % - Markeringsfarve6 9 5" xfId="7956" xr:uid="{00000000-0005-0000-0000-0000C5480000}"/>
    <cellStyle name="20 % - Markeringsfarve6 9 5 2" xfId="15821" xr:uid="{00000000-0005-0000-0000-0000C6480000}"/>
    <cellStyle name="20 % - Markeringsfarve6 9 5 2 2" xfId="32097" xr:uid="{00000000-0005-0000-0000-0000C7480000}"/>
    <cellStyle name="20 % - Markeringsfarve6 9 5 2 3" xfId="47056" xr:uid="{00000000-0005-0000-0000-0000C8480000}"/>
    <cellStyle name="20 % - Markeringsfarve6 9 5 3" xfId="25095" xr:uid="{00000000-0005-0000-0000-0000C9480000}"/>
    <cellStyle name="20 % - Markeringsfarve6 9 5 4" xfId="40059" xr:uid="{00000000-0005-0000-0000-0000CA480000}"/>
    <cellStyle name="20 % - Markeringsfarve6 9 6" xfId="13861" xr:uid="{00000000-0005-0000-0000-0000CB480000}"/>
    <cellStyle name="20 % - Markeringsfarve6 9 6 2" xfId="30140" xr:uid="{00000000-0005-0000-0000-0000CC480000}"/>
    <cellStyle name="20 % - Markeringsfarve6 9 6 3" xfId="45101" xr:uid="{00000000-0005-0000-0000-0000CD480000}"/>
    <cellStyle name="20 % - Markeringsfarve6 9 7" xfId="23138" xr:uid="{00000000-0005-0000-0000-0000CE480000}"/>
    <cellStyle name="20 % - Markeringsfarve6 9 8" xfId="38104" xr:uid="{00000000-0005-0000-0000-0000CF480000}"/>
    <cellStyle name="20% - Accent1" xfId="7" builtinId="30" customBuiltin="1"/>
    <cellStyle name="20% - Accent1 2" xfId="8" xr:uid="{00000000-0005-0000-0000-0000D1480000}"/>
    <cellStyle name="20% - Accent1 2 2" xfId="9" xr:uid="{00000000-0005-0000-0000-0000D2480000}"/>
    <cellStyle name="20% - Accent1 2 2 2" xfId="35139" xr:uid="{00000000-0005-0000-0000-0000D3480000}"/>
    <cellStyle name="20% - Accent1 2 2 3" xfId="50098" xr:uid="{00000000-0005-0000-0000-0000D4480000}"/>
    <cellStyle name="20% - Accent1 2 2 4" xfId="18864" xr:uid="{00000000-0005-0000-0000-0000D5480000}"/>
    <cellStyle name="20% - Accent1 2 3" xfId="10" xr:uid="{00000000-0005-0000-0000-0000D6480000}"/>
    <cellStyle name="20% - Accent1 2 4" xfId="43101" xr:uid="{00000000-0005-0000-0000-0000D7480000}"/>
    <cellStyle name="20% - Accent1 3" xfId="11" xr:uid="{00000000-0005-0000-0000-0000D8480000}"/>
    <cellStyle name="20% - Accent1 3 2" xfId="12" xr:uid="{00000000-0005-0000-0000-0000D9480000}"/>
    <cellStyle name="20% - Accent1 3 3" xfId="13" xr:uid="{00000000-0005-0000-0000-0000DA480000}"/>
    <cellStyle name="20% - Accent1 3 3 2" xfId="43140" xr:uid="{00000000-0005-0000-0000-0000DB480000}"/>
    <cellStyle name="20% - Accent1 4" xfId="14" xr:uid="{00000000-0005-0000-0000-0000DC480000}"/>
    <cellStyle name="20% - Accent1 4 2" xfId="15" xr:uid="{00000000-0005-0000-0000-0000DD480000}"/>
    <cellStyle name="20% - Accent1 5" xfId="16" xr:uid="{00000000-0005-0000-0000-0000DE480000}"/>
    <cellStyle name="20% - Accent1 5 2" xfId="36143" xr:uid="{00000000-0005-0000-0000-0000DF480000}"/>
    <cellStyle name="20% - Accent1 6" xfId="17" xr:uid="{00000000-0005-0000-0000-0000E0480000}"/>
    <cellStyle name="20% - Accent1 7" xfId="51796" xr:uid="{00000000-0005-0000-0000-0000E1480000}"/>
    <cellStyle name="20% - Accent1 8" xfId="52205" xr:uid="{00000000-0005-0000-0000-0000E2480000}"/>
    <cellStyle name="20% - Accent1 9" xfId="52610" xr:uid="{00000000-0005-0000-0000-0000E3480000}"/>
    <cellStyle name="20% - Accent2" xfId="18" builtinId="34" customBuiltin="1"/>
    <cellStyle name="20% - Accent2 2" xfId="19" xr:uid="{00000000-0005-0000-0000-0000E5480000}"/>
    <cellStyle name="20% - Accent2 2 2" xfId="20" xr:uid="{00000000-0005-0000-0000-0000E6480000}"/>
    <cellStyle name="20% - Accent2 2 2 2" xfId="35141" xr:uid="{00000000-0005-0000-0000-0000E7480000}"/>
    <cellStyle name="20% - Accent2 2 2 3" xfId="50100" xr:uid="{00000000-0005-0000-0000-0000E8480000}"/>
    <cellStyle name="20% - Accent2 2 2 4" xfId="18866" xr:uid="{00000000-0005-0000-0000-0000E9480000}"/>
    <cellStyle name="20% - Accent2 2 3" xfId="21" xr:uid="{00000000-0005-0000-0000-0000EA480000}"/>
    <cellStyle name="20% - Accent2 2 4" xfId="43103" xr:uid="{00000000-0005-0000-0000-0000EB480000}"/>
    <cellStyle name="20% - Accent2 3" xfId="22" xr:uid="{00000000-0005-0000-0000-0000EC480000}"/>
    <cellStyle name="20% - Accent2 3 2" xfId="23" xr:uid="{00000000-0005-0000-0000-0000ED480000}"/>
    <cellStyle name="20% - Accent2 3 3" xfId="24" xr:uid="{00000000-0005-0000-0000-0000EE480000}"/>
    <cellStyle name="20% - Accent2 3 3 2" xfId="43142" xr:uid="{00000000-0005-0000-0000-0000EF480000}"/>
    <cellStyle name="20% - Accent2 4" xfId="25" xr:uid="{00000000-0005-0000-0000-0000F0480000}"/>
    <cellStyle name="20% - Accent2 4 2" xfId="26" xr:uid="{00000000-0005-0000-0000-0000F1480000}"/>
    <cellStyle name="20% - Accent2 5" xfId="27" xr:uid="{00000000-0005-0000-0000-0000F2480000}"/>
    <cellStyle name="20% - Accent2 5 2" xfId="36145" xr:uid="{00000000-0005-0000-0000-0000F3480000}"/>
    <cellStyle name="20% - Accent2 6" xfId="28" xr:uid="{00000000-0005-0000-0000-0000F4480000}"/>
    <cellStyle name="20% - Accent2 7" xfId="51798" xr:uid="{00000000-0005-0000-0000-0000F5480000}"/>
    <cellStyle name="20% - Accent2 8" xfId="52207" xr:uid="{00000000-0005-0000-0000-0000F6480000}"/>
    <cellStyle name="20% - Accent2 9" xfId="52612" xr:uid="{00000000-0005-0000-0000-0000F7480000}"/>
    <cellStyle name="20% - Accent3" xfId="29" builtinId="38" customBuiltin="1"/>
    <cellStyle name="20% - Accent3 2" xfId="30" xr:uid="{00000000-0005-0000-0000-0000F9480000}"/>
    <cellStyle name="20% - Accent3 2 2" xfId="31" xr:uid="{00000000-0005-0000-0000-0000FA480000}"/>
    <cellStyle name="20% - Accent3 2 2 2" xfId="35143" xr:uid="{00000000-0005-0000-0000-0000FB480000}"/>
    <cellStyle name="20% - Accent3 2 2 3" xfId="50102" xr:uid="{00000000-0005-0000-0000-0000FC480000}"/>
    <cellStyle name="20% - Accent3 2 3" xfId="32" xr:uid="{00000000-0005-0000-0000-0000FD480000}"/>
    <cellStyle name="20% - Accent3 2 3 2" xfId="28138" xr:uid="{00000000-0005-0000-0000-0000FE480000}"/>
    <cellStyle name="20% - Accent3 2 4" xfId="33" xr:uid="{00000000-0005-0000-0000-0000FF480000}"/>
    <cellStyle name="20% - Accent3 2 5" xfId="34" xr:uid="{00000000-0005-0000-0000-000000490000}"/>
    <cellStyle name="20% - Accent3 3" xfId="35" xr:uid="{00000000-0005-0000-0000-000001490000}"/>
    <cellStyle name="20% - Accent3 3 2" xfId="36" xr:uid="{00000000-0005-0000-0000-000002490000}"/>
    <cellStyle name="20% - Accent3 3 3" xfId="37" xr:uid="{00000000-0005-0000-0000-000003490000}"/>
    <cellStyle name="20% - Accent3 3 3 2" xfId="43144" xr:uid="{00000000-0005-0000-0000-000004490000}"/>
    <cellStyle name="20% - Accent3 4" xfId="38" xr:uid="{00000000-0005-0000-0000-000005490000}"/>
    <cellStyle name="20% - Accent3 4 2" xfId="39" xr:uid="{00000000-0005-0000-0000-000006490000}"/>
    <cellStyle name="20% - Accent3 5" xfId="40" xr:uid="{00000000-0005-0000-0000-000007490000}"/>
    <cellStyle name="20% - Accent3 5 2" xfId="36146" xr:uid="{00000000-0005-0000-0000-000008490000}"/>
    <cellStyle name="20% - Accent3 6" xfId="41" xr:uid="{00000000-0005-0000-0000-000009490000}"/>
    <cellStyle name="20% - Accent3 7" xfId="51800" xr:uid="{00000000-0005-0000-0000-00000A490000}"/>
    <cellStyle name="20% - Accent3 8" xfId="52209" xr:uid="{00000000-0005-0000-0000-00000B490000}"/>
    <cellStyle name="20% - Accent3 9" xfId="52614" xr:uid="{00000000-0005-0000-0000-00000C490000}"/>
    <cellStyle name="20% - Accent4" xfId="42" builtinId="42" customBuiltin="1"/>
    <cellStyle name="20% - Accent4 2" xfId="43" xr:uid="{00000000-0005-0000-0000-00000E490000}"/>
    <cellStyle name="20% - Accent4 2 2" xfId="44" xr:uid="{00000000-0005-0000-0000-00000F490000}"/>
    <cellStyle name="20% - Accent4 2 2 2" xfId="35145" xr:uid="{00000000-0005-0000-0000-000010490000}"/>
    <cellStyle name="20% - Accent4 2 2 3" xfId="50104" xr:uid="{00000000-0005-0000-0000-000011490000}"/>
    <cellStyle name="20% - Accent4 2 2 4" xfId="18867" xr:uid="{00000000-0005-0000-0000-000012490000}"/>
    <cellStyle name="20% - Accent4 2 3" xfId="45" xr:uid="{00000000-0005-0000-0000-000013490000}"/>
    <cellStyle name="20% - Accent4 2 4" xfId="43105" xr:uid="{00000000-0005-0000-0000-000014490000}"/>
    <cellStyle name="20% - Accent4 3" xfId="46" xr:uid="{00000000-0005-0000-0000-000015490000}"/>
    <cellStyle name="20% - Accent4 3 2" xfId="47" xr:uid="{00000000-0005-0000-0000-000016490000}"/>
    <cellStyle name="20% - Accent4 3 3" xfId="48" xr:uid="{00000000-0005-0000-0000-000017490000}"/>
    <cellStyle name="20% - Accent4 3 3 2" xfId="43146" xr:uid="{00000000-0005-0000-0000-000018490000}"/>
    <cellStyle name="20% - Accent4 4" xfId="49" xr:uid="{00000000-0005-0000-0000-000019490000}"/>
    <cellStyle name="20% - Accent4 4 2" xfId="50" xr:uid="{00000000-0005-0000-0000-00001A490000}"/>
    <cellStyle name="20% - Accent4 5" xfId="51" xr:uid="{00000000-0005-0000-0000-00001B490000}"/>
    <cellStyle name="20% - Accent4 5 2" xfId="36148" xr:uid="{00000000-0005-0000-0000-00001C490000}"/>
    <cellStyle name="20% - Accent4 6" xfId="52" xr:uid="{00000000-0005-0000-0000-00001D490000}"/>
    <cellStyle name="20% - Accent4 7" xfId="51802" xr:uid="{00000000-0005-0000-0000-00001E490000}"/>
    <cellStyle name="20% - Accent4 8" xfId="52211" xr:uid="{00000000-0005-0000-0000-00001F490000}"/>
    <cellStyle name="20% - Accent4 9" xfId="52616" xr:uid="{00000000-0005-0000-0000-000020490000}"/>
    <cellStyle name="20% - Accent5" xfId="53" builtinId="46" customBuiltin="1"/>
    <cellStyle name="20% - Accent5 10" xfId="52618" xr:uid="{00000000-0005-0000-0000-000022490000}"/>
    <cellStyle name="20% - Accent5 2" xfId="54" xr:uid="{00000000-0005-0000-0000-000023490000}"/>
    <cellStyle name="20% - Accent5 2 2" xfId="55" xr:uid="{00000000-0005-0000-0000-000024490000}"/>
    <cellStyle name="20% - Accent5 2 2 2" xfId="28583" xr:uid="{00000000-0005-0000-0000-000025490000}"/>
    <cellStyle name="20% - Accent5 2 2 3" xfId="43544" xr:uid="{00000000-0005-0000-0000-000026490000}"/>
    <cellStyle name="20% - Accent5 2 2 4" xfId="12304" xr:uid="{00000000-0005-0000-0000-000027490000}"/>
    <cellStyle name="20% - Accent5 2 3" xfId="56" xr:uid="{00000000-0005-0000-0000-000028490000}"/>
    <cellStyle name="20% - Accent5 2 4" xfId="36547" xr:uid="{00000000-0005-0000-0000-000029490000}"/>
    <cellStyle name="20% - Accent5 3" xfId="57" xr:uid="{00000000-0005-0000-0000-00002A490000}"/>
    <cellStyle name="20% - Accent5 3 2" xfId="58" xr:uid="{00000000-0005-0000-0000-00002B490000}"/>
    <cellStyle name="20% - Accent5 3 2 2" xfId="35147" xr:uid="{00000000-0005-0000-0000-00002C490000}"/>
    <cellStyle name="20% - Accent5 3 2 3" xfId="50106" xr:uid="{00000000-0005-0000-0000-00002D490000}"/>
    <cellStyle name="20% - Accent5 3 3" xfId="59" xr:uid="{00000000-0005-0000-0000-00002E490000}"/>
    <cellStyle name="20% - Accent5 3 3 2" xfId="28140" xr:uid="{00000000-0005-0000-0000-00002F490000}"/>
    <cellStyle name="20% - Accent5 3 4" xfId="43107" xr:uid="{00000000-0005-0000-0000-000030490000}"/>
    <cellStyle name="20% - Accent5 4" xfId="60" xr:uid="{00000000-0005-0000-0000-000031490000}"/>
    <cellStyle name="20% - Accent5 4 2" xfId="61" xr:uid="{00000000-0005-0000-0000-000032490000}"/>
    <cellStyle name="20% - Accent5 4 3" xfId="43148" xr:uid="{00000000-0005-0000-0000-000033490000}"/>
    <cellStyle name="20% - Accent5 5" xfId="62" xr:uid="{00000000-0005-0000-0000-000034490000}"/>
    <cellStyle name="20% - Accent5 5 2" xfId="21179" xr:uid="{00000000-0005-0000-0000-000035490000}"/>
    <cellStyle name="20% - Accent5 6" xfId="63" xr:uid="{00000000-0005-0000-0000-000036490000}"/>
    <cellStyle name="20% - Accent5 7" xfId="51402" xr:uid="{00000000-0005-0000-0000-000037490000}"/>
    <cellStyle name="20% - Accent5 8" xfId="51804" xr:uid="{00000000-0005-0000-0000-000038490000}"/>
    <cellStyle name="20% - Accent5 9" xfId="52213" xr:uid="{00000000-0005-0000-0000-000039490000}"/>
    <cellStyle name="20% - Accent6" xfId="64" builtinId="50" customBuiltin="1"/>
    <cellStyle name="20% - Accent6 2" xfId="65" xr:uid="{00000000-0005-0000-0000-00003B490000}"/>
    <cellStyle name="20% - Accent6 2 2" xfId="66" xr:uid="{00000000-0005-0000-0000-00003C490000}"/>
    <cellStyle name="20% - Accent6 2 2 2" xfId="35149" xr:uid="{00000000-0005-0000-0000-00003D490000}"/>
    <cellStyle name="20% - Accent6 2 2 3" xfId="50108" xr:uid="{00000000-0005-0000-0000-00003E490000}"/>
    <cellStyle name="20% - Accent6 2 2 4" xfId="18870" xr:uid="{00000000-0005-0000-0000-00003F490000}"/>
    <cellStyle name="20% - Accent6 2 3" xfId="67" xr:uid="{00000000-0005-0000-0000-000040490000}"/>
    <cellStyle name="20% - Accent6 2 4" xfId="43109" xr:uid="{00000000-0005-0000-0000-000041490000}"/>
    <cellStyle name="20% - Accent6 3" xfId="68" xr:uid="{00000000-0005-0000-0000-000042490000}"/>
    <cellStyle name="20% - Accent6 3 2" xfId="69" xr:uid="{00000000-0005-0000-0000-000043490000}"/>
    <cellStyle name="20% - Accent6 3 3" xfId="70" xr:uid="{00000000-0005-0000-0000-000044490000}"/>
    <cellStyle name="20% - Accent6 3 3 2" xfId="43150" xr:uid="{00000000-0005-0000-0000-000045490000}"/>
    <cellStyle name="20% - Accent6 4" xfId="71" xr:uid="{00000000-0005-0000-0000-000046490000}"/>
    <cellStyle name="20% - Accent6 4 2" xfId="72" xr:uid="{00000000-0005-0000-0000-000047490000}"/>
    <cellStyle name="20% - Accent6 5" xfId="73" xr:uid="{00000000-0005-0000-0000-000048490000}"/>
    <cellStyle name="20% - Accent6 5 2" xfId="36151" xr:uid="{00000000-0005-0000-0000-000049490000}"/>
    <cellStyle name="20% - Accent6 6" xfId="74" xr:uid="{00000000-0005-0000-0000-00004A490000}"/>
    <cellStyle name="20% - Accent6 7" xfId="51806" xr:uid="{00000000-0005-0000-0000-00004B490000}"/>
    <cellStyle name="20% - Accent6 8" xfId="52215" xr:uid="{00000000-0005-0000-0000-00004C490000}"/>
    <cellStyle name="20% - Accent6 9" xfId="52620" xr:uid="{00000000-0005-0000-0000-00004D490000}"/>
    <cellStyle name="20% - Colore 1" xfId="75" xr:uid="{00000000-0005-0000-0000-00004E490000}"/>
    <cellStyle name="20% - Colore 2" xfId="76" xr:uid="{00000000-0005-0000-0000-00004F490000}"/>
    <cellStyle name="20% - Colore 3" xfId="77" xr:uid="{00000000-0005-0000-0000-000050490000}"/>
    <cellStyle name="20% - Colore 4" xfId="78" xr:uid="{00000000-0005-0000-0000-000051490000}"/>
    <cellStyle name="20% - Colore 5" xfId="79" xr:uid="{00000000-0005-0000-0000-000052490000}"/>
    <cellStyle name="20% - Colore 6" xfId="80" xr:uid="{00000000-0005-0000-0000-000053490000}"/>
    <cellStyle name="2x indented GHG Textfiels" xfId="5381" xr:uid="{00000000-0005-0000-0000-000054490000}"/>
    <cellStyle name="2x indented GHG Textfiels 2" xfId="13866" xr:uid="{00000000-0005-0000-0000-000055490000}"/>
    <cellStyle name="2x indented GHG Textfiels 2 2" xfId="30145" xr:uid="{00000000-0005-0000-0000-000056490000}"/>
    <cellStyle name="2x indented GHG Textfiels 3" xfId="23143" xr:uid="{00000000-0005-0000-0000-000057490000}"/>
    <cellStyle name="40 % - Markeringsfarve1 10" xfId="5383" xr:uid="{00000000-0005-0000-0000-000058490000}"/>
    <cellStyle name="40 % - Markeringsfarve1 10 2" xfId="5384" xr:uid="{00000000-0005-0000-0000-000059490000}"/>
    <cellStyle name="40 % - Markeringsfarve1 10 2 2" xfId="5385" xr:uid="{00000000-0005-0000-0000-00005A490000}"/>
    <cellStyle name="40 % - Markeringsfarve1 10 2 2 2" xfId="10339" xr:uid="{00000000-0005-0000-0000-00005B490000}"/>
    <cellStyle name="40 % - Markeringsfarve1 10 2 2 2 2" xfId="18194" xr:uid="{00000000-0005-0000-0000-00005C490000}"/>
    <cellStyle name="40 % - Markeringsfarve1 10 2 2 2 2 2" xfId="34470" xr:uid="{00000000-0005-0000-0000-00005D490000}"/>
    <cellStyle name="40 % - Markeringsfarve1 10 2 2 2 2 3" xfId="49429" xr:uid="{00000000-0005-0000-0000-00005E490000}"/>
    <cellStyle name="40 % - Markeringsfarve1 10 2 2 2 3" xfId="27468" xr:uid="{00000000-0005-0000-0000-00005F490000}"/>
    <cellStyle name="40 % - Markeringsfarve1 10 2 2 2 4" xfId="42432" xr:uid="{00000000-0005-0000-0000-000060490000}"/>
    <cellStyle name="40 % - Markeringsfarve1 10 2 2 3" xfId="13870" xr:uid="{00000000-0005-0000-0000-000061490000}"/>
    <cellStyle name="40 % - Markeringsfarve1 10 2 2 3 2" xfId="30149" xr:uid="{00000000-0005-0000-0000-000062490000}"/>
    <cellStyle name="40 % - Markeringsfarve1 10 2 2 3 3" xfId="45109" xr:uid="{00000000-0005-0000-0000-000063490000}"/>
    <cellStyle name="40 % - Markeringsfarve1 10 2 2 4" xfId="23147" xr:uid="{00000000-0005-0000-0000-000064490000}"/>
    <cellStyle name="40 % - Markeringsfarve1 10 2 2 5" xfId="38112" xr:uid="{00000000-0005-0000-0000-000065490000}"/>
    <cellStyle name="40 % - Markeringsfarve1 10 2 3" xfId="8842" xr:uid="{00000000-0005-0000-0000-000066490000}"/>
    <cellStyle name="40 % - Markeringsfarve1 10 2 3 2" xfId="16709" xr:uid="{00000000-0005-0000-0000-000067490000}"/>
    <cellStyle name="40 % - Markeringsfarve1 10 2 3 2 2" xfId="32985" xr:uid="{00000000-0005-0000-0000-000068490000}"/>
    <cellStyle name="40 % - Markeringsfarve1 10 2 3 2 3" xfId="47944" xr:uid="{00000000-0005-0000-0000-000069490000}"/>
    <cellStyle name="40 % - Markeringsfarve1 10 2 3 3" xfId="25983" xr:uid="{00000000-0005-0000-0000-00006A490000}"/>
    <cellStyle name="40 % - Markeringsfarve1 10 2 3 4" xfId="40947" xr:uid="{00000000-0005-0000-0000-00006B490000}"/>
    <cellStyle name="40 % - Markeringsfarve1 10 2 4" xfId="13869" xr:uid="{00000000-0005-0000-0000-00006C490000}"/>
    <cellStyle name="40 % - Markeringsfarve1 10 2 4 2" xfId="30148" xr:uid="{00000000-0005-0000-0000-00006D490000}"/>
    <cellStyle name="40 % - Markeringsfarve1 10 2 4 3" xfId="45108" xr:uid="{00000000-0005-0000-0000-00006E490000}"/>
    <cellStyle name="40 % - Markeringsfarve1 10 2 5" xfId="23146" xr:uid="{00000000-0005-0000-0000-00006F490000}"/>
    <cellStyle name="40 % - Markeringsfarve1 10 2 6" xfId="38111" xr:uid="{00000000-0005-0000-0000-000070490000}"/>
    <cellStyle name="40 % - Markeringsfarve1 10 3" xfId="5386" xr:uid="{00000000-0005-0000-0000-000071490000}"/>
    <cellStyle name="40 % - Markeringsfarve1 10 3 2" xfId="9617" xr:uid="{00000000-0005-0000-0000-000072490000}"/>
    <cellStyle name="40 % - Markeringsfarve1 10 3 2 2" xfId="17480" xr:uid="{00000000-0005-0000-0000-000073490000}"/>
    <cellStyle name="40 % - Markeringsfarve1 10 3 2 2 2" xfId="33756" xr:uid="{00000000-0005-0000-0000-000074490000}"/>
    <cellStyle name="40 % - Markeringsfarve1 10 3 2 2 3" xfId="48715" xr:uid="{00000000-0005-0000-0000-000075490000}"/>
    <cellStyle name="40 % - Markeringsfarve1 10 3 2 3" xfId="26754" xr:uid="{00000000-0005-0000-0000-000076490000}"/>
    <cellStyle name="40 % - Markeringsfarve1 10 3 2 4" xfId="41718" xr:uid="{00000000-0005-0000-0000-000077490000}"/>
    <cellStyle name="40 % - Markeringsfarve1 10 3 3" xfId="13871" xr:uid="{00000000-0005-0000-0000-000078490000}"/>
    <cellStyle name="40 % - Markeringsfarve1 10 3 3 2" xfId="30150" xr:uid="{00000000-0005-0000-0000-000079490000}"/>
    <cellStyle name="40 % - Markeringsfarve1 10 3 3 3" xfId="45110" xr:uid="{00000000-0005-0000-0000-00007A490000}"/>
    <cellStyle name="40 % - Markeringsfarve1 10 3 4" xfId="23148" xr:uid="{00000000-0005-0000-0000-00007B490000}"/>
    <cellStyle name="40 % - Markeringsfarve1 10 3 5" xfId="38113" xr:uid="{00000000-0005-0000-0000-00007C490000}"/>
    <cellStyle name="40 % - Markeringsfarve1 10 4" xfId="5387" xr:uid="{00000000-0005-0000-0000-00007D490000}"/>
    <cellStyle name="40 % - Markeringsfarve1 10 4 2" xfId="10704" xr:uid="{00000000-0005-0000-0000-00007E490000}"/>
    <cellStyle name="40 % - Markeringsfarve1 10 4 2 2" xfId="18548" xr:uid="{00000000-0005-0000-0000-00007F490000}"/>
    <cellStyle name="40 % - Markeringsfarve1 10 4 2 2 2" xfId="34824" xr:uid="{00000000-0005-0000-0000-000080490000}"/>
    <cellStyle name="40 % - Markeringsfarve1 10 4 2 2 3" xfId="49783" xr:uid="{00000000-0005-0000-0000-000081490000}"/>
    <cellStyle name="40 % - Markeringsfarve1 10 4 2 3" xfId="27822" xr:uid="{00000000-0005-0000-0000-000082490000}"/>
    <cellStyle name="40 % - Markeringsfarve1 10 4 2 4" xfId="42786" xr:uid="{00000000-0005-0000-0000-000083490000}"/>
    <cellStyle name="40 % - Markeringsfarve1 10 4 3" xfId="13872" xr:uid="{00000000-0005-0000-0000-000084490000}"/>
    <cellStyle name="40 % - Markeringsfarve1 10 4 3 2" xfId="30151" xr:uid="{00000000-0005-0000-0000-000085490000}"/>
    <cellStyle name="40 % - Markeringsfarve1 10 4 3 3" xfId="45111" xr:uid="{00000000-0005-0000-0000-000086490000}"/>
    <cellStyle name="40 % - Markeringsfarve1 10 4 4" xfId="23149" xr:uid="{00000000-0005-0000-0000-000087490000}"/>
    <cellStyle name="40 % - Markeringsfarve1 10 4 5" xfId="38114" xr:uid="{00000000-0005-0000-0000-000088490000}"/>
    <cellStyle name="40 % - Markeringsfarve1 10 5" xfId="7958" xr:uid="{00000000-0005-0000-0000-000089490000}"/>
    <cellStyle name="40 % - Markeringsfarve1 10 5 2" xfId="15823" xr:uid="{00000000-0005-0000-0000-00008A490000}"/>
    <cellStyle name="40 % - Markeringsfarve1 10 5 2 2" xfId="32099" xr:uid="{00000000-0005-0000-0000-00008B490000}"/>
    <cellStyle name="40 % - Markeringsfarve1 10 5 2 3" xfId="47058" xr:uid="{00000000-0005-0000-0000-00008C490000}"/>
    <cellStyle name="40 % - Markeringsfarve1 10 5 3" xfId="25097" xr:uid="{00000000-0005-0000-0000-00008D490000}"/>
    <cellStyle name="40 % - Markeringsfarve1 10 5 4" xfId="40061" xr:uid="{00000000-0005-0000-0000-00008E490000}"/>
    <cellStyle name="40 % - Markeringsfarve1 10 6" xfId="13868" xr:uid="{00000000-0005-0000-0000-00008F490000}"/>
    <cellStyle name="40 % - Markeringsfarve1 10 6 2" xfId="30147" xr:uid="{00000000-0005-0000-0000-000090490000}"/>
    <cellStyle name="40 % - Markeringsfarve1 10 6 3" xfId="45107" xr:uid="{00000000-0005-0000-0000-000091490000}"/>
    <cellStyle name="40 % - Markeringsfarve1 10 7" xfId="23145" xr:uid="{00000000-0005-0000-0000-000092490000}"/>
    <cellStyle name="40 % - Markeringsfarve1 10 8" xfId="38110" xr:uid="{00000000-0005-0000-0000-000093490000}"/>
    <cellStyle name="40 % - Markeringsfarve1 11" xfId="5388" xr:uid="{00000000-0005-0000-0000-000094490000}"/>
    <cellStyle name="40 % - Markeringsfarve1 11 2" xfId="5389" xr:uid="{00000000-0005-0000-0000-000095490000}"/>
    <cellStyle name="40 % - Markeringsfarve1 11 2 2" xfId="9695" xr:uid="{00000000-0005-0000-0000-000096490000}"/>
    <cellStyle name="40 % - Markeringsfarve1 11 2 2 2" xfId="17549" xr:uid="{00000000-0005-0000-0000-000097490000}"/>
    <cellStyle name="40 % - Markeringsfarve1 11 2 2 2 2" xfId="33825" xr:uid="{00000000-0005-0000-0000-000098490000}"/>
    <cellStyle name="40 % - Markeringsfarve1 11 2 2 2 3" xfId="48784" xr:uid="{00000000-0005-0000-0000-000099490000}"/>
    <cellStyle name="40 % - Markeringsfarve1 11 2 2 3" xfId="26823" xr:uid="{00000000-0005-0000-0000-00009A490000}"/>
    <cellStyle name="40 % - Markeringsfarve1 11 2 2 4" xfId="41787" xr:uid="{00000000-0005-0000-0000-00009B490000}"/>
    <cellStyle name="40 % - Markeringsfarve1 11 2 3" xfId="13874" xr:uid="{00000000-0005-0000-0000-00009C490000}"/>
    <cellStyle name="40 % - Markeringsfarve1 11 2 3 2" xfId="30153" xr:uid="{00000000-0005-0000-0000-00009D490000}"/>
    <cellStyle name="40 % - Markeringsfarve1 11 2 3 3" xfId="45113" xr:uid="{00000000-0005-0000-0000-00009E490000}"/>
    <cellStyle name="40 % - Markeringsfarve1 11 2 4" xfId="23151" xr:uid="{00000000-0005-0000-0000-00009F490000}"/>
    <cellStyle name="40 % - Markeringsfarve1 11 2 5" xfId="38116" xr:uid="{00000000-0005-0000-0000-0000A0490000}"/>
    <cellStyle name="40 % - Markeringsfarve1 11 3" xfId="5390" xr:uid="{00000000-0005-0000-0000-0000A1490000}"/>
    <cellStyle name="40 % - Markeringsfarve1 11 3 2" xfId="10930" xr:uid="{00000000-0005-0000-0000-0000A2490000}"/>
    <cellStyle name="40 % - Markeringsfarve1 11 3 2 2" xfId="18765" xr:uid="{00000000-0005-0000-0000-0000A3490000}"/>
    <cellStyle name="40 % - Markeringsfarve1 11 3 2 2 2" xfId="35041" xr:uid="{00000000-0005-0000-0000-0000A4490000}"/>
    <cellStyle name="40 % - Markeringsfarve1 11 3 2 2 3" xfId="50000" xr:uid="{00000000-0005-0000-0000-0000A5490000}"/>
    <cellStyle name="40 % - Markeringsfarve1 11 3 2 3" xfId="28039" xr:uid="{00000000-0005-0000-0000-0000A6490000}"/>
    <cellStyle name="40 % - Markeringsfarve1 11 3 2 4" xfId="43003" xr:uid="{00000000-0005-0000-0000-0000A7490000}"/>
    <cellStyle name="40 % - Markeringsfarve1 11 3 3" xfId="13875" xr:uid="{00000000-0005-0000-0000-0000A8490000}"/>
    <cellStyle name="40 % - Markeringsfarve1 11 3 3 2" xfId="30154" xr:uid="{00000000-0005-0000-0000-0000A9490000}"/>
    <cellStyle name="40 % - Markeringsfarve1 11 3 3 3" xfId="45114" xr:uid="{00000000-0005-0000-0000-0000AA490000}"/>
    <cellStyle name="40 % - Markeringsfarve1 11 3 4" xfId="23152" xr:uid="{00000000-0005-0000-0000-0000AB490000}"/>
    <cellStyle name="40 % - Markeringsfarve1 11 3 5" xfId="38117" xr:uid="{00000000-0005-0000-0000-0000AC490000}"/>
    <cellStyle name="40 % - Markeringsfarve1 11 4" xfId="7959" xr:uid="{00000000-0005-0000-0000-0000AD490000}"/>
    <cellStyle name="40 % - Markeringsfarve1 11 4 2" xfId="15824" xr:uid="{00000000-0005-0000-0000-0000AE490000}"/>
    <cellStyle name="40 % - Markeringsfarve1 11 4 2 2" xfId="32100" xr:uid="{00000000-0005-0000-0000-0000AF490000}"/>
    <cellStyle name="40 % - Markeringsfarve1 11 4 2 3" xfId="47059" xr:uid="{00000000-0005-0000-0000-0000B0490000}"/>
    <cellStyle name="40 % - Markeringsfarve1 11 4 3" xfId="25098" xr:uid="{00000000-0005-0000-0000-0000B1490000}"/>
    <cellStyle name="40 % - Markeringsfarve1 11 4 4" xfId="40062" xr:uid="{00000000-0005-0000-0000-0000B2490000}"/>
    <cellStyle name="40 % - Markeringsfarve1 11 5" xfId="13873" xr:uid="{00000000-0005-0000-0000-0000B3490000}"/>
    <cellStyle name="40 % - Markeringsfarve1 11 5 2" xfId="30152" xr:uid="{00000000-0005-0000-0000-0000B4490000}"/>
    <cellStyle name="40 % - Markeringsfarve1 11 5 3" xfId="45112" xr:uid="{00000000-0005-0000-0000-0000B5490000}"/>
    <cellStyle name="40 % - Markeringsfarve1 11 6" xfId="23150" xr:uid="{00000000-0005-0000-0000-0000B6490000}"/>
    <cellStyle name="40 % - Markeringsfarve1 11 7" xfId="38115" xr:uid="{00000000-0005-0000-0000-0000B7490000}"/>
    <cellStyle name="40 % - Markeringsfarve1 12" xfId="5391" xr:uid="{00000000-0005-0000-0000-0000B8490000}"/>
    <cellStyle name="40 % - Markeringsfarve1 12 2" xfId="5392" xr:uid="{00000000-0005-0000-0000-0000B9490000}"/>
    <cellStyle name="40 % - Markeringsfarve1 12 2 2" xfId="10655" xr:uid="{00000000-0005-0000-0000-0000BA490000}"/>
    <cellStyle name="40 % - Markeringsfarve1 12 2 2 2" xfId="18502" xr:uid="{00000000-0005-0000-0000-0000BB490000}"/>
    <cellStyle name="40 % - Markeringsfarve1 12 2 2 2 2" xfId="34778" xr:uid="{00000000-0005-0000-0000-0000BC490000}"/>
    <cellStyle name="40 % - Markeringsfarve1 12 2 2 2 3" xfId="49737" xr:uid="{00000000-0005-0000-0000-0000BD490000}"/>
    <cellStyle name="40 % - Markeringsfarve1 12 2 2 3" xfId="27776" xr:uid="{00000000-0005-0000-0000-0000BE490000}"/>
    <cellStyle name="40 % - Markeringsfarve1 12 2 2 4" xfId="42740" xr:uid="{00000000-0005-0000-0000-0000BF490000}"/>
    <cellStyle name="40 % - Markeringsfarve1 12 2 3" xfId="13877" xr:uid="{00000000-0005-0000-0000-0000C0490000}"/>
    <cellStyle name="40 % - Markeringsfarve1 12 2 3 2" xfId="30156" xr:uid="{00000000-0005-0000-0000-0000C1490000}"/>
    <cellStyle name="40 % - Markeringsfarve1 12 2 3 3" xfId="45116" xr:uid="{00000000-0005-0000-0000-0000C2490000}"/>
    <cellStyle name="40 % - Markeringsfarve1 12 2 4" xfId="23154" xr:uid="{00000000-0005-0000-0000-0000C3490000}"/>
    <cellStyle name="40 % - Markeringsfarve1 12 2 5" xfId="38119" xr:uid="{00000000-0005-0000-0000-0000C4490000}"/>
    <cellStyle name="40 % - Markeringsfarve1 12 3" xfId="7960" xr:uid="{00000000-0005-0000-0000-0000C5490000}"/>
    <cellStyle name="40 % - Markeringsfarve1 12 3 2" xfId="15825" xr:uid="{00000000-0005-0000-0000-0000C6490000}"/>
    <cellStyle name="40 % - Markeringsfarve1 12 3 2 2" xfId="32101" xr:uid="{00000000-0005-0000-0000-0000C7490000}"/>
    <cellStyle name="40 % - Markeringsfarve1 12 3 2 3" xfId="47060" xr:uid="{00000000-0005-0000-0000-0000C8490000}"/>
    <cellStyle name="40 % - Markeringsfarve1 12 3 3" xfId="25099" xr:uid="{00000000-0005-0000-0000-0000C9490000}"/>
    <cellStyle name="40 % - Markeringsfarve1 12 3 4" xfId="40063" xr:uid="{00000000-0005-0000-0000-0000CA490000}"/>
    <cellStyle name="40 % - Markeringsfarve1 12 4" xfId="13876" xr:uid="{00000000-0005-0000-0000-0000CB490000}"/>
    <cellStyle name="40 % - Markeringsfarve1 12 4 2" xfId="30155" xr:uid="{00000000-0005-0000-0000-0000CC490000}"/>
    <cellStyle name="40 % - Markeringsfarve1 12 4 3" xfId="45115" xr:uid="{00000000-0005-0000-0000-0000CD490000}"/>
    <cellStyle name="40 % - Markeringsfarve1 12 5" xfId="23153" xr:uid="{00000000-0005-0000-0000-0000CE490000}"/>
    <cellStyle name="40 % - Markeringsfarve1 12 6" xfId="38118" xr:uid="{00000000-0005-0000-0000-0000CF490000}"/>
    <cellStyle name="40 % - Markeringsfarve1 13" xfId="5393" xr:uid="{00000000-0005-0000-0000-0000D0490000}"/>
    <cellStyle name="40 % - Markeringsfarve1 13 2" xfId="5394" xr:uid="{00000000-0005-0000-0000-0000D1490000}"/>
    <cellStyle name="40 % - Markeringsfarve1 13 2 2" xfId="10890" xr:uid="{00000000-0005-0000-0000-0000D2490000}"/>
    <cellStyle name="40 % - Markeringsfarve1 13 2 2 2" xfId="18726" xr:uid="{00000000-0005-0000-0000-0000D3490000}"/>
    <cellStyle name="40 % - Markeringsfarve1 13 2 2 2 2" xfId="35002" xr:uid="{00000000-0005-0000-0000-0000D4490000}"/>
    <cellStyle name="40 % - Markeringsfarve1 13 2 2 2 3" xfId="49961" xr:uid="{00000000-0005-0000-0000-0000D5490000}"/>
    <cellStyle name="40 % - Markeringsfarve1 13 2 2 3" xfId="28000" xr:uid="{00000000-0005-0000-0000-0000D6490000}"/>
    <cellStyle name="40 % - Markeringsfarve1 13 2 2 4" xfId="42964" xr:uid="{00000000-0005-0000-0000-0000D7490000}"/>
    <cellStyle name="40 % - Markeringsfarve1 13 2 3" xfId="13879" xr:uid="{00000000-0005-0000-0000-0000D8490000}"/>
    <cellStyle name="40 % - Markeringsfarve1 13 2 3 2" xfId="30158" xr:uid="{00000000-0005-0000-0000-0000D9490000}"/>
    <cellStyle name="40 % - Markeringsfarve1 13 2 3 3" xfId="45118" xr:uid="{00000000-0005-0000-0000-0000DA490000}"/>
    <cellStyle name="40 % - Markeringsfarve1 13 2 4" xfId="23156" xr:uid="{00000000-0005-0000-0000-0000DB490000}"/>
    <cellStyle name="40 % - Markeringsfarve1 13 2 5" xfId="38121" xr:uid="{00000000-0005-0000-0000-0000DC490000}"/>
    <cellStyle name="40 % - Markeringsfarve1 13 3" xfId="7961" xr:uid="{00000000-0005-0000-0000-0000DD490000}"/>
    <cellStyle name="40 % - Markeringsfarve1 13 3 2" xfId="15826" xr:uid="{00000000-0005-0000-0000-0000DE490000}"/>
    <cellStyle name="40 % - Markeringsfarve1 13 3 2 2" xfId="32102" xr:uid="{00000000-0005-0000-0000-0000DF490000}"/>
    <cellStyle name="40 % - Markeringsfarve1 13 3 2 3" xfId="47061" xr:uid="{00000000-0005-0000-0000-0000E0490000}"/>
    <cellStyle name="40 % - Markeringsfarve1 13 3 3" xfId="25100" xr:uid="{00000000-0005-0000-0000-0000E1490000}"/>
    <cellStyle name="40 % - Markeringsfarve1 13 3 4" xfId="40064" xr:uid="{00000000-0005-0000-0000-0000E2490000}"/>
    <cellStyle name="40 % - Markeringsfarve1 13 4" xfId="13878" xr:uid="{00000000-0005-0000-0000-0000E3490000}"/>
    <cellStyle name="40 % - Markeringsfarve1 13 4 2" xfId="30157" xr:uid="{00000000-0005-0000-0000-0000E4490000}"/>
    <cellStyle name="40 % - Markeringsfarve1 13 4 3" xfId="45117" xr:uid="{00000000-0005-0000-0000-0000E5490000}"/>
    <cellStyle name="40 % - Markeringsfarve1 13 5" xfId="23155" xr:uid="{00000000-0005-0000-0000-0000E6490000}"/>
    <cellStyle name="40 % - Markeringsfarve1 13 6" xfId="38120" xr:uid="{00000000-0005-0000-0000-0000E7490000}"/>
    <cellStyle name="40 % - Markeringsfarve1 14" xfId="5395" xr:uid="{00000000-0005-0000-0000-0000E8490000}"/>
    <cellStyle name="40 % - Markeringsfarve1 14 2" xfId="5396" xr:uid="{00000000-0005-0000-0000-0000E9490000}"/>
    <cellStyle name="40 % - Markeringsfarve1 14 2 2" xfId="8914" xr:uid="{00000000-0005-0000-0000-0000EA490000}"/>
    <cellStyle name="40 % - Markeringsfarve1 14 2 2 2" xfId="16780" xr:uid="{00000000-0005-0000-0000-0000EB490000}"/>
    <cellStyle name="40 % - Markeringsfarve1 14 2 2 2 2" xfId="33056" xr:uid="{00000000-0005-0000-0000-0000EC490000}"/>
    <cellStyle name="40 % - Markeringsfarve1 14 2 2 2 3" xfId="48015" xr:uid="{00000000-0005-0000-0000-0000ED490000}"/>
    <cellStyle name="40 % - Markeringsfarve1 14 2 2 3" xfId="26054" xr:uid="{00000000-0005-0000-0000-0000EE490000}"/>
    <cellStyle name="40 % - Markeringsfarve1 14 2 2 4" xfId="41018" xr:uid="{00000000-0005-0000-0000-0000EF490000}"/>
    <cellStyle name="40 % - Markeringsfarve1 14 2 3" xfId="13881" xr:uid="{00000000-0005-0000-0000-0000F0490000}"/>
    <cellStyle name="40 % - Markeringsfarve1 14 2 3 2" xfId="30160" xr:uid="{00000000-0005-0000-0000-0000F1490000}"/>
    <cellStyle name="40 % - Markeringsfarve1 14 2 3 3" xfId="45120" xr:uid="{00000000-0005-0000-0000-0000F2490000}"/>
    <cellStyle name="40 % - Markeringsfarve1 14 2 4" xfId="23158" xr:uid="{00000000-0005-0000-0000-0000F3490000}"/>
    <cellStyle name="40 % - Markeringsfarve1 14 2 5" xfId="38123" xr:uid="{00000000-0005-0000-0000-0000F4490000}"/>
    <cellStyle name="40 % - Markeringsfarve1 14 3" xfId="7957" xr:uid="{00000000-0005-0000-0000-0000F5490000}"/>
    <cellStyle name="40 % - Markeringsfarve1 14 3 2" xfId="15822" xr:uid="{00000000-0005-0000-0000-0000F6490000}"/>
    <cellStyle name="40 % - Markeringsfarve1 14 3 2 2" xfId="32098" xr:uid="{00000000-0005-0000-0000-0000F7490000}"/>
    <cellStyle name="40 % - Markeringsfarve1 14 3 2 3" xfId="47057" xr:uid="{00000000-0005-0000-0000-0000F8490000}"/>
    <cellStyle name="40 % - Markeringsfarve1 14 3 3" xfId="25096" xr:uid="{00000000-0005-0000-0000-0000F9490000}"/>
    <cellStyle name="40 % - Markeringsfarve1 14 3 4" xfId="40060" xr:uid="{00000000-0005-0000-0000-0000FA490000}"/>
    <cellStyle name="40 % - Markeringsfarve1 14 4" xfId="13880" xr:uid="{00000000-0005-0000-0000-0000FB490000}"/>
    <cellStyle name="40 % - Markeringsfarve1 14 4 2" xfId="30159" xr:uid="{00000000-0005-0000-0000-0000FC490000}"/>
    <cellStyle name="40 % - Markeringsfarve1 14 4 3" xfId="45119" xr:uid="{00000000-0005-0000-0000-0000FD490000}"/>
    <cellStyle name="40 % - Markeringsfarve1 14 5" xfId="23157" xr:uid="{00000000-0005-0000-0000-0000FE490000}"/>
    <cellStyle name="40 % - Markeringsfarve1 14 6" xfId="38122" xr:uid="{00000000-0005-0000-0000-0000FF490000}"/>
    <cellStyle name="40 % - Markeringsfarve1 15" xfId="5397" xr:uid="{00000000-0005-0000-0000-0000004A0000}"/>
    <cellStyle name="40 % - Markeringsfarve1 15 2" xfId="8916" xr:uid="{00000000-0005-0000-0000-0000014A0000}"/>
    <cellStyle name="40 % - Markeringsfarve1 15 2 2" xfId="16782" xr:uid="{00000000-0005-0000-0000-0000024A0000}"/>
    <cellStyle name="40 % - Markeringsfarve1 15 2 2 2" xfId="33058" xr:uid="{00000000-0005-0000-0000-0000034A0000}"/>
    <cellStyle name="40 % - Markeringsfarve1 15 2 2 3" xfId="48017" xr:uid="{00000000-0005-0000-0000-0000044A0000}"/>
    <cellStyle name="40 % - Markeringsfarve1 15 2 3" xfId="26056" xr:uid="{00000000-0005-0000-0000-0000054A0000}"/>
    <cellStyle name="40 % - Markeringsfarve1 15 2 4" xfId="41020" xr:uid="{00000000-0005-0000-0000-0000064A0000}"/>
    <cellStyle name="40 % - Markeringsfarve1 15 3" xfId="13882" xr:uid="{00000000-0005-0000-0000-0000074A0000}"/>
    <cellStyle name="40 % - Markeringsfarve1 15 3 2" xfId="30161" xr:uid="{00000000-0005-0000-0000-0000084A0000}"/>
    <cellStyle name="40 % - Markeringsfarve1 15 3 3" xfId="45121" xr:uid="{00000000-0005-0000-0000-0000094A0000}"/>
    <cellStyle name="40 % - Markeringsfarve1 15 4" xfId="23159" xr:uid="{00000000-0005-0000-0000-00000A4A0000}"/>
    <cellStyle name="40 % - Markeringsfarve1 15 5" xfId="38124" xr:uid="{00000000-0005-0000-0000-00000B4A0000}"/>
    <cellStyle name="40 % - Markeringsfarve1 16" xfId="5398" xr:uid="{00000000-0005-0000-0000-00000C4A0000}"/>
    <cellStyle name="40 % - Markeringsfarve1 16 2" xfId="10427" xr:uid="{00000000-0005-0000-0000-00000D4A0000}"/>
    <cellStyle name="40 % - Markeringsfarve1 16 2 2" xfId="18279" xr:uid="{00000000-0005-0000-0000-00000E4A0000}"/>
    <cellStyle name="40 % - Markeringsfarve1 16 2 2 2" xfId="34555" xr:uid="{00000000-0005-0000-0000-00000F4A0000}"/>
    <cellStyle name="40 % - Markeringsfarve1 16 2 2 3" xfId="49514" xr:uid="{00000000-0005-0000-0000-0000104A0000}"/>
    <cellStyle name="40 % - Markeringsfarve1 16 2 3" xfId="27553" xr:uid="{00000000-0005-0000-0000-0000114A0000}"/>
    <cellStyle name="40 % - Markeringsfarve1 16 2 4" xfId="42517" xr:uid="{00000000-0005-0000-0000-0000124A0000}"/>
    <cellStyle name="40 % - Markeringsfarve1 16 3" xfId="13883" xr:uid="{00000000-0005-0000-0000-0000134A0000}"/>
    <cellStyle name="40 % - Markeringsfarve1 16 3 2" xfId="30162" xr:uid="{00000000-0005-0000-0000-0000144A0000}"/>
    <cellStyle name="40 % - Markeringsfarve1 16 3 3" xfId="45122" xr:uid="{00000000-0005-0000-0000-0000154A0000}"/>
    <cellStyle name="40 % - Markeringsfarve1 16 4" xfId="23160" xr:uid="{00000000-0005-0000-0000-0000164A0000}"/>
    <cellStyle name="40 % - Markeringsfarve1 16 5" xfId="38125" xr:uid="{00000000-0005-0000-0000-0000174A0000}"/>
    <cellStyle name="40 % - Markeringsfarve1 17" xfId="5399" xr:uid="{00000000-0005-0000-0000-0000184A0000}"/>
    <cellStyle name="40 % - Markeringsfarve1 17 2" xfId="10984" xr:uid="{00000000-0005-0000-0000-0000194A0000}"/>
    <cellStyle name="40 % - Markeringsfarve1 17 2 2" xfId="18815" xr:uid="{00000000-0005-0000-0000-00001A4A0000}"/>
    <cellStyle name="40 % - Markeringsfarve1 17 2 2 2" xfId="35091" xr:uid="{00000000-0005-0000-0000-00001B4A0000}"/>
    <cellStyle name="40 % - Markeringsfarve1 17 2 2 3" xfId="50050" xr:uid="{00000000-0005-0000-0000-00001C4A0000}"/>
    <cellStyle name="40 % - Markeringsfarve1 17 2 3" xfId="28089" xr:uid="{00000000-0005-0000-0000-00001D4A0000}"/>
    <cellStyle name="40 % - Markeringsfarve1 17 2 4" xfId="43053" xr:uid="{00000000-0005-0000-0000-00001E4A0000}"/>
    <cellStyle name="40 % - Markeringsfarve1 17 3" xfId="13884" xr:uid="{00000000-0005-0000-0000-00001F4A0000}"/>
    <cellStyle name="40 % - Markeringsfarve1 17 3 2" xfId="30163" xr:uid="{00000000-0005-0000-0000-0000204A0000}"/>
    <cellStyle name="40 % - Markeringsfarve1 17 3 3" xfId="45123" xr:uid="{00000000-0005-0000-0000-0000214A0000}"/>
    <cellStyle name="40 % - Markeringsfarve1 17 4" xfId="23161" xr:uid="{00000000-0005-0000-0000-0000224A0000}"/>
    <cellStyle name="40 % - Markeringsfarve1 17 5" xfId="38126" xr:uid="{00000000-0005-0000-0000-0000234A0000}"/>
    <cellStyle name="40 % - Markeringsfarve1 18" xfId="7597" xr:uid="{00000000-0005-0000-0000-0000244A0000}"/>
    <cellStyle name="40 % - Markeringsfarve1 18 2" xfId="15472" xr:uid="{00000000-0005-0000-0000-0000254A0000}"/>
    <cellStyle name="40 % - Markeringsfarve1 18 2 2" xfId="31748" xr:uid="{00000000-0005-0000-0000-0000264A0000}"/>
    <cellStyle name="40 % - Markeringsfarve1 18 2 3" xfId="46707" xr:uid="{00000000-0005-0000-0000-0000274A0000}"/>
    <cellStyle name="40 % - Markeringsfarve1 18 3" xfId="24746" xr:uid="{00000000-0005-0000-0000-0000284A0000}"/>
    <cellStyle name="40 % - Markeringsfarve1 18 4" xfId="39710" xr:uid="{00000000-0005-0000-0000-0000294A0000}"/>
    <cellStyle name="40 % - Markeringsfarve1 19" xfId="5382" xr:uid="{00000000-0005-0000-0000-00002A4A0000}"/>
    <cellStyle name="40 % - Markeringsfarve1 19 2" xfId="13867" xr:uid="{00000000-0005-0000-0000-00002B4A0000}"/>
    <cellStyle name="40 % - Markeringsfarve1 19 2 2" xfId="30146" xr:uid="{00000000-0005-0000-0000-00002C4A0000}"/>
    <cellStyle name="40 % - Markeringsfarve1 19 2 3" xfId="45106" xr:uid="{00000000-0005-0000-0000-00002D4A0000}"/>
    <cellStyle name="40 % - Markeringsfarve1 19 3" xfId="23144" xr:uid="{00000000-0005-0000-0000-00002E4A0000}"/>
    <cellStyle name="40 % - Markeringsfarve1 19 4" xfId="38109" xr:uid="{00000000-0005-0000-0000-00002F4A0000}"/>
    <cellStyle name="40 % - Markeringsfarve1 2" xfId="5400" xr:uid="{00000000-0005-0000-0000-0000304A0000}"/>
    <cellStyle name="40 % - Markeringsfarve1 2 10" xfId="5401" xr:uid="{00000000-0005-0000-0000-0000314A0000}"/>
    <cellStyle name="40 % - Markeringsfarve1 2 10 2" xfId="8949" xr:uid="{00000000-0005-0000-0000-0000324A0000}"/>
    <cellStyle name="40 % - Markeringsfarve1 2 10 2 2" xfId="16813" xr:uid="{00000000-0005-0000-0000-0000334A0000}"/>
    <cellStyle name="40 % - Markeringsfarve1 2 10 2 2 2" xfId="33089" xr:uid="{00000000-0005-0000-0000-0000344A0000}"/>
    <cellStyle name="40 % - Markeringsfarve1 2 10 2 2 3" xfId="48048" xr:uid="{00000000-0005-0000-0000-0000354A0000}"/>
    <cellStyle name="40 % - Markeringsfarve1 2 10 2 3" xfId="26087" xr:uid="{00000000-0005-0000-0000-0000364A0000}"/>
    <cellStyle name="40 % - Markeringsfarve1 2 10 2 4" xfId="41051" xr:uid="{00000000-0005-0000-0000-0000374A0000}"/>
    <cellStyle name="40 % - Markeringsfarve1 2 10 3" xfId="13886" xr:uid="{00000000-0005-0000-0000-0000384A0000}"/>
    <cellStyle name="40 % - Markeringsfarve1 2 10 3 2" xfId="30165" xr:uid="{00000000-0005-0000-0000-0000394A0000}"/>
    <cellStyle name="40 % - Markeringsfarve1 2 10 3 3" xfId="45125" xr:uid="{00000000-0005-0000-0000-00003A4A0000}"/>
    <cellStyle name="40 % - Markeringsfarve1 2 10 4" xfId="23163" xr:uid="{00000000-0005-0000-0000-00003B4A0000}"/>
    <cellStyle name="40 % - Markeringsfarve1 2 10 5" xfId="38128" xr:uid="{00000000-0005-0000-0000-00003C4A0000}"/>
    <cellStyle name="40 % - Markeringsfarve1 2 11" xfId="5402" xr:uid="{00000000-0005-0000-0000-00003D4A0000}"/>
    <cellStyle name="40 % - Markeringsfarve1 2 11 2" xfId="10614" xr:uid="{00000000-0005-0000-0000-00003E4A0000}"/>
    <cellStyle name="40 % - Markeringsfarve1 2 11 2 2" xfId="18462" xr:uid="{00000000-0005-0000-0000-00003F4A0000}"/>
    <cellStyle name="40 % - Markeringsfarve1 2 11 2 2 2" xfId="34738" xr:uid="{00000000-0005-0000-0000-0000404A0000}"/>
    <cellStyle name="40 % - Markeringsfarve1 2 11 2 2 3" xfId="49697" xr:uid="{00000000-0005-0000-0000-0000414A0000}"/>
    <cellStyle name="40 % - Markeringsfarve1 2 11 2 3" xfId="27736" xr:uid="{00000000-0005-0000-0000-0000424A0000}"/>
    <cellStyle name="40 % - Markeringsfarve1 2 11 2 4" xfId="42700" xr:uid="{00000000-0005-0000-0000-0000434A0000}"/>
    <cellStyle name="40 % - Markeringsfarve1 2 11 3" xfId="13887" xr:uid="{00000000-0005-0000-0000-0000444A0000}"/>
    <cellStyle name="40 % - Markeringsfarve1 2 11 3 2" xfId="30166" xr:uid="{00000000-0005-0000-0000-0000454A0000}"/>
    <cellStyle name="40 % - Markeringsfarve1 2 11 3 3" xfId="45126" xr:uid="{00000000-0005-0000-0000-0000464A0000}"/>
    <cellStyle name="40 % - Markeringsfarve1 2 11 4" xfId="23164" xr:uid="{00000000-0005-0000-0000-0000474A0000}"/>
    <cellStyle name="40 % - Markeringsfarve1 2 11 5" xfId="38129" xr:uid="{00000000-0005-0000-0000-0000484A0000}"/>
    <cellStyle name="40 % - Markeringsfarve1 2 12" xfId="7962" xr:uid="{00000000-0005-0000-0000-0000494A0000}"/>
    <cellStyle name="40 % - Markeringsfarve1 2 12 2" xfId="15827" xr:uid="{00000000-0005-0000-0000-00004A4A0000}"/>
    <cellStyle name="40 % - Markeringsfarve1 2 12 2 2" xfId="32103" xr:uid="{00000000-0005-0000-0000-00004B4A0000}"/>
    <cellStyle name="40 % - Markeringsfarve1 2 12 2 3" xfId="47062" xr:uid="{00000000-0005-0000-0000-00004C4A0000}"/>
    <cellStyle name="40 % - Markeringsfarve1 2 12 3" xfId="25101" xr:uid="{00000000-0005-0000-0000-00004D4A0000}"/>
    <cellStyle name="40 % - Markeringsfarve1 2 12 4" xfId="40065" xr:uid="{00000000-0005-0000-0000-00004E4A0000}"/>
    <cellStyle name="40 % - Markeringsfarve1 2 13" xfId="13885" xr:uid="{00000000-0005-0000-0000-00004F4A0000}"/>
    <cellStyle name="40 % - Markeringsfarve1 2 13 2" xfId="30164" xr:uid="{00000000-0005-0000-0000-0000504A0000}"/>
    <cellStyle name="40 % - Markeringsfarve1 2 13 3" xfId="45124" xr:uid="{00000000-0005-0000-0000-0000514A0000}"/>
    <cellStyle name="40 % - Markeringsfarve1 2 14" xfId="23162" xr:uid="{00000000-0005-0000-0000-0000524A0000}"/>
    <cellStyle name="40 % - Markeringsfarve1 2 15" xfId="38127" xr:uid="{00000000-0005-0000-0000-0000534A0000}"/>
    <cellStyle name="40 % - Markeringsfarve1 2 2" xfId="5403" xr:uid="{00000000-0005-0000-0000-0000544A0000}"/>
    <cellStyle name="40 % - Markeringsfarve1 2 2 10" xfId="7963" xr:uid="{00000000-0005-0000-0000-0000554A0000}"/>
    <cellStyle name="40 % - Markeringsfarve1 2 2 10 2" xfId="15828" xr:uid="{00000000-0005-0000-0000-0000564A0000}"/>
    <cellStyle name="40 % - Markeringsfarve1 2 2 10 2 2" xfId="32104" xr:uid="{00000000-0005-0000-0000-0000574A0000}"/>
    <cellStyle name="40 % - Markeringsfarve1 2 2 10 2 3" xfId="47063" xr:uid="{00000000-0005-0000-0000-0000584A0000}"/>
    <cellStyle name="40 % - Markeringsfarve1 2 2 10 3" xfId="25102" xr:uid="{00000000-0005-0000-0000-0000594A0000}"/>
    <cellStyle name="40 % - Markeringsfarve1 2 2 10 4" xfId="40066" xr:uid="{00000000-0005-0000-0000-00005A4A0000}"/>
    <cellStyle name="40 % - Markeringsfarve1 2 2 11" xfId="13888" xr:uid="{00000000-0005-0000-0000-00005B4A0000}"/>
    <cellStyle name="40 % - Markeringsfarve1 2 2 11 2" xfId="30167" xr:uid="{00000000-0005-0000-0000-00005C4A0000}"/>
    <cellStyle name="40 % - Markeringsfarve1 2 2 11 3" xfId="45127" xr:uid="{00000000-0005-0000-0000-00005D4A0000}"/>
    <cellStyle name="40 % - Markeringsfarve1 2 2 12" xfId="23165" xr:uid="{00000000-0005-0000-0000-00005E4A0000}"/>
    <cellStyle name="40 % - Markeringsfarve1 2 2 13" xfId="38130" xr:uid="{00000000-0005-0000-0000-00005F4A0000}"/>
    <cellStyle name="40 % - Markeringsfarve1 2 2 2" xfId="5404" xr:uid="{00000000-0005-0000-0000-0000604A0000}"/>
    <cellStyle name="40 % - Markeringsfarve1 2 2 2 2" xfId="5405" xr:uid="{00000000-0005-0000-0000-0000614A0000}"/>
    <cellStyle name="40 % - Markeringsfarve1 2 2 2 2 2" xfId="5406" xr:uid="{00000000-0005-0000-0000-0000624A0000}"/>
    <cellStyle name="40 % - Markeringsfarve1 2 2 2 2 2 2" xfId="9879" xr:uid="{00000000-0005-0000-0000-0000634A0000}"/>
    <cellStyle name="40 % - Markeringsfarve1 2 2 2 2 2 2 2" xfId="17734" xr:uid="{00000000-0005-0000-0000-0000644A0000}"/>
    <cellStyle name="40 % - Markeringsfarve1 2 2 2 2 2 2 2 2" xfId="34010" xr:uid="{00000000-0005-0000-0000-0000654A0000}"/>
    <cellStyle name="40 % - Markeringsfarve1 2 2 2 2 2 2 2 3" xfId="48969" xr:uid="{00000000-0005-0000-0000-0000664A0000}"/>
    <cellStyle name="40 % - Markeringsfarve1 2 2 2 2 2 2 3" xfId="27008" xr:uid="{00000000-0005-0000-0000-0000674A0000}"/>
    <cellStyle name="40 % - Markeringsfarve1 2 2 2 2 2 2 4" xfId="41972" xr:uid="{00000000-0005-0000-0000-0000684A0000}"/>
    <cellStyle name="40 % - Markeringsfarve1 2 2 2 2 2 3" xfId="13891" xr:uid="{00000000-0005-0000-0000-0000694A0000}"/>
    <cellStyle name="40 % - Markeringsfarve1 2 2 2 2 2 3 2" xfId="30170" xr:uid="{00000000-0005-0000-0000-00006A4A0000}"/>
    <cellStyle name="40 % - Markeringsfarve1 2 2 2 2 2 3 3" xfId="45130" xr:uid="{00000000-0005-0000-0000-00006B4A0000}"/>
    <cellStyle name="40 % - Markeringsfarve1 2 2 2 2 2 4" xfId="23168" xr:uid="{00000000-0005-0000-0000-00006C4A0000}"/>
    <cellStyle name="40 % - Markeringsfarve1 2 2 2 2 2 5" xfId="38133" xr:uid="{00000000-0005-0000-0000-00006D4A0000}"/>
    <cellStyle name="40 % - Markeringsfarve1 2 2 2 2 3" xfId="8453" xr:uid="{00000000-0005-0000-0000-00006E4A0000}"/>
    <cellStyle name="40 % - Markeringsfarve1 2 2 2 2 3 2" xfId="16323" xr:uid="{00000000-0005-0000-0000-00006F4A0000}"/>
    <cellStyle name="40 % - Markeringsfarve1 2 2 2 2 3 2 2" xfId="32599" xr:uid="{00000000-0005-0000-0000-0000704A0000}"/>
    <cellStyle name="40 % - Markeringsfarve1 2 2 2 2 3 2 3" xfId="47558" xr:uid="{00000000-0005-0000-0000-0000714A0000}"/>
    <cellStyle name="40 % - Markeringsfarve1 2 2 2 2 3 3" xfId="25597" xr:uid="{00000000-0005-0000-0000-0000724A0000}"/>
    <cellStyle name="40 % - Markeringsfarve1 2 2 2 2 3 4" xfId="40561" xr:uid="{00000000-0005-0000-0000-0000734A0000}"/>
    <cellStyle name="40 % - Markeringsfarve1 2 2 2 2 4" xfId="13890" xr:uid="{00000000-0005-0000-0000-0000744A0000}"/>
    <cellStyle name="40 % - Markeringsfarve1 2 2 2 2 4 2" xfId="30169" xr:uid="{00000000-0005-0000-0000-0000754A0000}"/>
    <cellStyle name="40 % - Markeringsfarve1 2 2 2 2 4 3" xfId="45129" xr:uid="{00000000-0005-0000-0000-0000764A0000}"/>
    <cellStyle name="40 % - Markeringsfarve1 2 2 2 2 5" xfId="23167" xr:uid="{00000000-0005-0000-0000-0000774A0000}"/>
    <cellStyle name="40 % - Markeringsfarve1 2 2 2 2 6" xfId="38132" xr:uid="{00000000-0005-0000-0000-0000784A0000}"/>
    <cellStyle name="40 % - Markeringsfarve1 2 2 2 3" xfId="5407" xr:uid="{00000000-0005-0000-0000-0000794A0000}"/>
    <cellStyle name="40 % - Markeringsfarve1 2 2 2 3 2" xfId="9110" xr:uid="{00000000-0005-0000-0000-00007A4A0000}"/>
    <cellStyle name="40 % - Markeringsfarve1 2 2 2 3 2 2" xfId="16974" xr:uid="{00000000-0005-0000-0000-00007B4A0000}"/>
    <cellStyle name="40 % - Markeringsfarve1 2 2 2 3 2 2 2" xfId="33250" xr:uid="{00000000-0005-0000-0000-00007C4A0000}"/>
    <cellStyle name="40 % - Markeringsfarve1 2 2 2 3 2 2 3" xfId="48209" xr:uid="{00000000-0005-0000-0000-00007D4A0000}"/>
    <cellStyle name="40 % - Markeringsfarve1 2 2 2 3 2 3" xfId="26248" xr:uid="{00000000-0005-0000-0000-00007E4A0000}"/>
    <cellStyle name="40 % - Markeringsfarve1 2 2 2 3 2 4" xfId="41212" xr:uid="{00000000-0005-0000-0000-00007F4A0000}"/>
    <cellStyle name="40 % - Markeringsfarve1 2 2 2 3 3" xfId="13892" xr:uid="{00000000-0005-0000-0000-0000804A0000}"/>
    <cellStyle name="40 % - Markeringsfarve1 2 2 2 3 3 2" xfId="30171" xr:uid="{00000000-0005-0000-0000-0000814A0000}"/>
    <cellStyle name="40 % - Markeringsfarve1 2 2 2 3 3 3" xfId="45131" xr:uid="{00000000-0005-0000-0000-0000824A0000}"/>
    <cellStyle name="40 % - Markeringsfarve1 2 2 2 3 4" xfId="23169" xr:uid="{00000000-0005-0000-0000-0000834A0000}"/>
    <cellStyle name="40 % - Markeringsfarve1 2 2 2 3 5" xfId="38134" xr:uid="{00000000-0005-0000-0000-0000844A0000}"/>
    <cellStyle name="40 % - Markeringsfarve1 2 2 2 4" xfId="5408" xr:uid="{00000000-0005-0000-0000-0000854A0000}"/>
    <cellStyle name="40 % - Markeringsfarve1 2 2 2 4 2" xfId="10500" xr:uid="{00000000-0005-0000-0000-0000864A0000}"/>
    <cellStyle name="40 % - Markeringsfarve1 2 2 2 4 2 2" xfId="18349" xr:uid="{00000000-0005-0000-0000-0000874A0000}"/>
    <cellStyle name="40 % - Markeringsfarve1 2 2 2 4 2 2 2" xfId="34625" xr:uid="{00000000-0005-0000-0000-0000884A0000}"/>
    <cellStyle name="40 % - Markeringsfarve1 2 2 2 4 2 2 3" xfId="49584" xr:uid="{00000000-0005-0000-0000-0000894A0000}"/>
    <cellStyle name="40 % - Markeringsfarve1 2 2 2 4 2 3" xfId="27623" xr:uid="{00000000-0005-0000-0000-00008A4A0000}"/>
    <cellStyle name="40 % - Markeringsfarve1 2 2 2 4 2 4" xfId="42587" xr:uid="{00000000-0005-0000-0000-00008B4A0000}"/>
    <cellStyle name="40 % - Markeringsfarve1 2 2 2 4 3" xfId="13893" xr:uid="{00000000-0005-0000-0000-00008C4A0000}"/>
    <cellStyle name="40 % - Markeringsfarve1 2 2 2 4 3 2" xfId="30172" xr:uid="{00000000-0005-0000-0000-00008D4A0000}"/>
    <cellStyle name="40 % - Markeringsfarve1 2 2 2 4 3 3" xfId="45132" xr:uid="{00000000-0005-0000-0000-00008E4A0000}"/>
    <cellStyle name="40 % - Markeringsfarve1 2 2 2 4 4" xfId="23170" xr:uid="{00000000-0005-0000-0000-00008F4A0000}"/>
    <cellStyle name="40 % - Markeringsfarve1 2 2 2 4 5" xfId="38135" xr:uid="{00000000-0005-0000-0000-0000904A0000}"/>
    <cellStyle name="40 % - Markeringsfarve1 2 2 2 5" xfId="7964" xr:uid="{00000000-0005-0000-0000-0000914A0000}"/>
    <cellStyle name="40 % - Markeringsfarve1 2 2 2 5 2" xfId="15829" xr:uid="{00000000-0005-0000-0000-0000924A0000}"/>
    <cellStyle name="40 % - Markeringsfarve1 2 2 2 5 2 2" xfId="32105" xr:uid="{00000000-0005-0000-0000-0000934A0000}"/>
    <cellStyle name="40 % - Markeringsfarve1 2 2 2 5 2 3" xfId="47064" xr:uid="{00000000-0005-0000-0000-0000944A0000}"/>
    <cellStyle name="40 % - Markeringsfarve1 2 2 2 5 3" xfId="25103" xr:uid="{00000000-0005-0000-0000-0000954A0000}"/>
    <cellStyle name="40 % - Markeringsfarve1 2 2 2 5 4" xfId="40067" xr:uid="{00000000-0005-0000-0000-0000964A0000}"/>
    <cellStyle name="40 % - Markeringsfarve1 2 2 2 6" xfId="13889" xr:uid="{00000000-0005-0000-0000-0000974A0000}"/>
    <cellStyle name="40 % - Markeringsfarve1 2 2 2 6 2" xfId="30168" xr:uid="{00000000-0005-0000-0000-0000984A0000}"/>
    <cellStyle name="40 % - Markeringsfarve1 2 2 2 6 3" xfId="45128" xr:uid="{00000000-0005-0000-0000-0000994A0000}"/>
    <cellStyle name="40 % - Markeringsfarve1 2 2 2 7" xfId="23166" xr:uid="{00000000-0005-0000-0000-00009A4A0000}"/>
    <cellStyle name="40 % - Markeringsfarve1 2 2 2 8" xfId="38131" xr:uid="{00000000-0005-0000-0000-00009B4A0000}"/>
    <cellStyle name="40 % - Markeringsfarve1 2 2 3" xfId="5409" xr:uid="{00000000-0005-0000-0000-00009C4A0000}"/>
    <cellStyle name="40 % - Markeringsfarve1 2 2 3 2" xfId="5410" xr:uid="{00000000-0005-0000-0000-00009D4A0000}"/>
    <cellStyle name="40 % - Markeringsfarve1 2 2 3 2 2" xfId="5411" xr:uid="{00000000-0005-0000-0000-00009E4A0000}"/>
    <cellStyle name="40 % - Markeringsfarve1 2 2 3 2 2 2" xfId="9987" xr:uid="{00000000-0005-0000-0000-00009F4A0000}"/>
    <cellStyle name="40 % - Markeringsfarve1 2 2 3 2 2 2 2" xfId="17842" xr:uid="{00000000-0005-0000-0000-0000A04A0000}"/>
    <cellStyle name="40 % - Markeringsfarve1 2 2 3 2 2 2 2 2" xfId="34118" xr:uid="{00000000-0005-0000-0000-0000A14A0000}"/>
    <cellStyle name="40 % - Markeringsfarve1 2 2 3 2 2 2 2 3" xfId="49077" xr:uid="{00000000-0005-0000-0000-0000A24A0000}"/>
    <cellStyle name="40 % - Markeringsfarve1 2 2 3 2 2 2 3" xfId="27116" xr:uid="{00000000-0005-0000-0000-0000A34A0000}"/>
    <cellStyle name="40 % - Markeringsfarve1 2 2 3 2 2 2 4" xfId="42080" xr:uid="{00000000-0005-0000-0000-0000A44A0000}"/>
    <cellStyle name="40 % - Markeringsfarve1 2 2 3 2 2 3" xfId="13896" xr:uid="{00000000-0005-0000-0000-0000A54A0000}"/>
    <cellStyle name="40 % - Markeringsfarve1 2 2 3 2 2 3 2" xfId="30175" xr:uid="{00000000-0005-0000-0000-0000A64A0000}"/>
    <cellStyle name="40 % - Markeringsfarve1 2 2 3 2 2 3 3" xfId="45135" xr:uid="{00000000-0005-0000-0000-0000A74A0000}"/>
    <cellStyle name="40 % - Markeringsfarve1 2 2 3 2 2 4" xfId="23173" xr:uid="{00000000-0005-0000-0000-0000A84A0000}"/>
    <cellStyle name="40 % - Markeringsfarve1 2 2 3 2 2 5" xfId="38138" xr:uid="{00000000-0005-0000-0000-0000A94A0000}"/>
    <cellStyle name="40 % - Markeringsfarve1 2 2 3 2 3" xfId="8543" xr:uid="{00000000-0005-0000-0000-0000AA4A0000}"/>
    <cellStyle name="40 % - Markeringsfarve1 2 2 3 2 3 2" xfId="16413" xr:uid="{00000000-0005-0000-0000-0000AB4A0000}"/>
    <cellStyle name="40 % - Markeringsfarve1 2 2 3 2 3 2 2" xfId="32689" xr:uid="{00000000-0005-0000-0000-0000AC4A0000}"/>
    <cellStyle name="40 % - Markeringsfarve1 2 2 3 2 3 2 3" xfId="47648" xr:uid="{00000000-0005-0000-0000-0000AD4A0000}"/>
    <cellStyle name="40 % - Markeringsfarve1 2 2 3 2 3 3" xfId="25687" xr:uid="{00000000-0005-0000-0000-0000AE4A0000}"/>
    <cellStyle name="40 % - Markeringsfarve1 2 2 3 2 3 4" xfId="40651" xr:uid="{00000000-0005-0000-0000-0000AF4A0000}"/>
    <cellStyle name="40 % - Markeringsfarve1 2 2 3 2 4" xfId="13895" xr:uid="{00000000-0005-0000-0000-0000B04A0000}"/>
    <cellStyle name="40 % - Markeringsfarve1 2 2 3 2 4 2" xfId="30174" xr:uid="{00000000-0005-0000-0000-0000B14A0000}"/>
    <cellStyle name="40 % - Markeringsfarve1 2 2 3 2 4 3" xfId="45134" xr:uid="{00000000-0005-0000-0000-0000B24A0000}"/>
    <cellStyle name="40 % - Markeringsfarve1 2 2 3 2 5" xfId="23172" xr:uid="{00000000-0005-0000-0000-0000B34A0000}"/>
    <cellStyle name="40 % - Markeringsfarve1 2 2 3 2 6" xfId="38137" xr:uid="{00000000-0005-0000-0000-0000B44A0000}"/>
    <cellStyle name="40 % - Markeringsfarve1 2 2 3 3" xfId="5412" xr:uid="{00000000-0005-0000-0000-0000B54A0000}"/>
    <cellStyle name="40 % - Markeringsfarve1 2 2 3 3 2" xfId="9218" xr:uid="{00000000-0005-0000-0000-0000B64A0000}"/>
    <cellStyle name="40 % - Markeringsfarve1 2 2 3 3 2 2" xfId="17082" xr:uid="{00000000-0005-0000-0000-0000B74A0000}"/>
    <cellStyle name="40 % - Markeringsfarve1 2 2 3 3 2 2 2" xfId="33358" xr:uid="{00000000-0005-0000-0000-0000B84A0000}"/>
    <cellStyle name="40 % - Markeringsfarve1 2 2 3 3 2 2 3" xfId="48317" xr:uid="{00000000-0005-0000-0000-0000B94A0000}"/>
    <cellStyle name="40 % - Markeringsfarve1 2 2 3 3 2 3" xfId="26356" xr:uid="{00000000-0005-0000-0000-0000BA4A0000}"/>
    <cellStyle name="40 % - Markeringsfarve1 2 2 3 3 2 4" xfId="41320" xr:uid="{00000000-0005-0000-0000-0000BB4A0000}"/>
    <cellStyle name="40 % - Markeringsfarve1 2 2 3 3 3" xfId="13897" xr:uid="{00000000-0005-0000-0000-0000BC4A0000}"/>
    <cellStyle name="40 % - Markeringsfarve1 2 2 3 3 3 2" xfId="30176" xr:uid="{00000000-0005-0000-0000-0000BD4A0000}"/>
    <cellStyle name="40 % - Markeringsfarve1 2 2 3 3 3 3" xfId="45136" xr:uid="{00000000-0005-0000-0000-0000BE4A0000}"/>
    <cellStyle name="40 % - Markeringsfarve1 2 2 3 3 4" xfId="23174" xr:uid="{00000000-0005-0000-0000-0000BF4A0000}"/>
    <cellStyle name="40 % - Markeringsfarve1 2 2 3 3 5" xfId="38139" xr:uid="{00000000-0005-0000-0000-0000C04A0000}"/>
    <cellStyle name="40 % - Markeringsfarve1 2 2 3 4" xfId="5413" xr:uid="{00000000-0005-0000-0000-0000C14A0000}"/>
    <cellStyle name="40 % - Markeringsfarve1 2 2 3 4 2" xfId="10798" xr:uid="{00000000-0005-0000-0000-0000C24A0000}"/>
    <cellStyle name="40 % - Markeringsfarve1 2 2 3 4 2 2" xfId="18640" xr:uid="{00000000-0005-0000-0000-0000C34A0000}"/>
    <cellStyle name="40 % - Markeringsfarve1 2 2 3 4 2 2 2" xfId="34916" xr:uid="{00000000-0005-0000-0000-0000C44A0000}"/>
    <cellStyle name="40 % - Markeringsfarve1 2 2 3 4 2 2 3" xfId="49875" xr:uid="{00000000-0005-0000-0000-0000C54A0000}"/>
    <cellStyle name="40 % - Markeringsfarve1 2 2 3 4 2 3" xfId="27914" xr:uid="{00000000-0005-0000-0000-0000C64A0000}"/>
    <cellStyle name="40 % - Markeringsfarve1 2 2 3 4 2 4" xfId="42878" xr:uid="{00000000-0005-0000-0000-0000C74A0000}"/>
    <cellStyle name="40 % - Markeringsfarve1 2 2 3 4 3" xfId="13898" xr:uid="{00000000-0005-0000-0000-0000C84A0000}"/>
    <cellStyle name="40 % - Markeringsfarve1 2 2 3 4 3 2" xfId="30177" xr:uid="{00000000-0005-0000-0000-0000C94A0000}"/>
    <cellStyle name="40 % - Markeringsfarve1 2 2 3 4 3 3" xfId="45137" xr:uid="{00000000-0005-0000-0000-0000CA4A0000}"/>
    <cellStyle name="40 % - Markeringsfarve1 2 2 3 4 4" xfId="23175" xr:uid="{00000000-0005-0000-0000-0000CB4A0000}"/>
    <cellStyle name="40 % - Markeringsfarve1 2 2 3 4 5" xfId="38140" xr:uid="{00000000-0005-0000-0000-0000CC4A0000}"/>
    <cellStyle name="40 % - Markeringsfarve1 2 2 3 5" xfId="7965" xr:uid="{00000000-0005-0000-0000-0000CD4A0000}"/>
    <cellStyle name="40 % - Markeringsfarve1 2 2 3 5 2" xfId="15830" xr:uid="{00000000-0005-0000-0000-0000CE4A0000}"/>
    <cellStyle name="40 % - Markeringsfarve1 2 2 3 5 2 2" xfId="32106" xr:uid="{00000000-0005-0000-0000-0000CF4A0000}"/>
    <cellStyle name="40 % - Markeringsfarve1 2 2 3 5 2 3" xfId="47065" xr:uid="{00000000-0005-0000-0000-0000D04A0000}"/>
    <cellStyle name="40 % - Markeringsfarve1 2 2 3 5 3" xfId="25104" xr:uid="{00000000-0005-0000-0000-0000D14A0000}"/>
    <cellStyle name="40 % - Markeringsfarve1 2 2 3 5 4" xfId="40068" xr:uid="{00000000-0005-0000-0000-0000D24A0000}"/>
    <cellStyle name="40 % - Markeringsfarve1 2 2 3 6" xfId="13894" xr:uid="{00000000-0005-0000-0000-0000D34A0000}"/>
    <cellStyle name="40 % - Markeringsfarve1 2 2 3 6 2" xfId="30173" xr:uid="{00000000-0005-0000-0000-0000D44A0000}"/>
    <cellStyle name="40 % - Markeringsfarve1 2 2 3 6 3" xfId="45133" xr:uid="{00000000-0005-0000-0000-0000D54A0000}"/>
    <cellStyle name="40 % - Markeringsfarve1 2 2 3 7" xfId="23171" xr:uid="{00000000-0005-0000-0000-0000D64A0000}"/>
    <cellStyle name="40 % - Markeringsfarve1 2 2 3 8" xfId="38136" xr:uid="{00000000-0005-0000-0000-0000D74A0000}"/>
    <cellStyle name="40 % - Markeringsfarve1 2 2 4" xfId="5414" xr:uid="{00000000-0005-0000-0000-0000D84A0000}"/>
    <cellStyle name="40 % - Markeringsfarve1 2 2 4 2" xfId="5415" xr:uid="{00000000-0005-0000-0000-0000D94A0000}"/>
    <cellStyle name="40 % - Markeringsfarve1 2 2 4 2 2" xfId="5416" xr:uid="{00000000-0005-0000-0000-0000DA4A0000}"/>
    <cellStyle name="40 % - Markeringsfarve1 2 2 4 2 2 2" xfId="10117" xr:uid="{00000000-0005-0000-0000-0000DB4A0000}"/>
    <cellStyle name="40 % - Markeringsfarve1 2 2 4 2 2 2 2" xfId="17972" xr:uid="{00000000-0005-0000-0000-0000DC4A0000}"/>
    <cellStyle name="40 % - Markeringsfarve1 2 2 4 2 2 2 2 2" xfId="34248" xr:uid="{00000000-0005-0000-0000-0000DD4A0000}"/>
    <cellStyle name="40 % - Markeringsfarve1 2 2 4 2 2 2 2 3" xfId="49207" xr:uid="{00000000-0005-0000-0000-0000DE4A0000}"/>
    <cellStyle name="40 % - Markeringsfarve1 2 2 4 2 2 2 3" xfId="27246" xr:uid="{00000000-0005-0000-0000-0000DF4A0000}"/>
    <cellStyle name="40 % - Markeringsfarve1 2 2 4 2 2 2 4" xfId="42210" xr:uid="{00000000-0005-0000-0000-0000E04A0000}"/>
    <cellStyle name="40 % - Markeringsfarve1 2 2 4 2 2 3" xfId="13901" xr:uid="{00000000-0005-0000-0000-0000E14A0000}"/>
    <cellStyle name="40 % - Markeringsfarve1 2 2 4 2 2 3 2" xfId="30180" xr:uid="{00000000-0005-0000-0000-0000E24A0000}"/>
    <cellStyle name="40 % - Markeringsfarve1 2 2 4 2 2 3 3" xfId="45140" xr:uid="{00000000-0005-0000-0000-0000E34A0000}"/>
    <cellStyle name="40 % - Markeringsfarve1 2 2 4 2 2 4" xfId="23178" xr:uid="{00000000-0005-0000-0000-0000E44A0000}"/>
    <cellStyle name="40 % - Markeringsfarve1 2 2 4 2 2 5" xfId="38143" xr:uid="{00000000-0005-0000-0000-0000E54A0000}"/>
    <cellStyle name="40 % - Markeringsfarve1 2 2 4 2 3" xfId="8655" xr:uid="{00000000-0005-0000-0000-0000E64A0000}"/>
    <cellStyle name="40 % - Markeringsfarve1 2 2 4 2 3 2" xfId="16522" xr:uid="{00000000-0005-0000-0000-0000E74A0000}"/>
    <cellStyle name="40 % - Markeringsfarve1 2 2 4 2 3 2 2" xfId="32798" xr:uid="{00000000-0005-0000-0000-0000E84A0000}"/>
    <cellStyle name="40 % - Markeringsfarve1 2 2 4 2 3 2 3" xfId="47757" xr:uid="{00000000-0005-0000-0000-0000E94A0000}"/>
    <cellStyle name="40 % - Markeringsfarve1 2 2 4 2 3 3" xfId="25796" xr:uid="{00000000-0005-0000-0000-0000EA4A0000}"/>
    <cellStyle name="40 % - Markeringsfarve1 2 2 4 2 3 4" xfId="40760" xr:uid="{00000000-0005-0000-0000-0000EB4A0000}"/>
    <cellStyle name="40 % - Markeringsfarve1 2 2 4 2 4" xfId="13900" xr:uid="{00000000-0005-0000-0000-0000EC4A0000}"/>
    <cellStyle name="40 % - Markeringsfarve1 2 2 4 2 4 2" xfId="30179" xr:uid="{00000000-0005-0000-0000-0000ED4A0000}"/>
    <cellStyle name="40 % - Markeringsfarve1 2 2 4 2 4 3" xfId="45139" xr:uid="{00000000-0005-0000-0000-0000EE4A0000}"/>
    <cellStyle name="40 % - Markeringsfarve1 2 2 4 2 5" xfId="23177" xr:uid="{00000000-0005-0000-0000-0000EF4A0000}"/>
    <cellStyle name="40 % - Markeringsfarve1 2 2 4 2 6" xfId="38142" xr:uid="{00000000-0005-0000-0000-0000F04A0000}"/>
    <cellStyle name="40 % - Markeringsfarve1 2 2 4 3" xfId="5417" xr:uid="{00000000-0005-0000-0000-0000F14A0000}"/>
    <cellStyle name="40 % - Markeringsfarve1 2 2 4 3 2" xfId="9394" xr:uid="{00000000-0005-0000-0000-0000F24A0000}"/>
    <cellStyle name="40 % - Markeringsfarve1 2 2 4 3 2 2" xfId="17257" xr:uid="{00000000-0005-0000-0000-0000F34A0000}"/>
    <cellStyle name="40 % - Markeringsfarve1 2 2 4 3 2 2 2" xfId="33533" xr:uid="{00000000-0005-0000-0000-0000F44A0000}"/>
    <cellStyle name="40 % - Markeringsfarve1 2 2 4 3 2 2 3" xfId="48492" xr:uid="{00000000-0005-0000-0000-0000F54A0000}"/>
    <cellStyle name="40 % - Markeringsfarve1 2 2 4 3 2 3" xfId="26531" xr:uid="{00000000-0005-0000-0000-0000F64A0000}"/>
    <cellStyle name="40 % - Markeringsfarve1 2 2 4 3 2 4" xfId="41495" xr:uid="{00000000-0005-0000-0000-0000F74A0000}"/>
    <cellStyle name="40 % - Markeringsfarve1 2 2 4 3 3" xfId="13902" xr:uid="{00000000-0005-0000-0000-0000F84A0000}"/>
    <cellStyle name="40 % - Markeringsfarve1 2 2 4 3 3 2" xfId="30181" xr:uid="{00000000-0005-0000-0000-0000F94A0000}"/>
    <cellStyle name="40 % - Markeringsfarve1 2 2 4 3 3 3" xfId="45141" xr:uid="{00000000-0005-0000-0000-0000FA4A0000}"/>
    <cellStyle name="40 % - Markeringsfarve1 2 2 4 3 4" xfId="23179" xr:uid="{00000000-0005-0000-0000-0000FB4A0000}"/>
    <cellStyle name="40 % - Markeringsfarve1 2 2 4 3 5" xfId="38144" xr:uid="{00000000-0005-0000-0000-0000FC4A0000}"/>
    <cellStyle name="40 % - Markeringsfarve1 2 2 4 4" xfId="5418" xr:uid="{00000000-0005-0000-0000-0000FD4A0000}"/>
    <cellStyle name="40 % - Markeringsfarve1 2 2 4 4 2" xfId="10449" xr:uid="{00000000-0005-0000-0000-0000FE4A0000}"/>
    <cellStyle name="40 % - Markeringsfarve1 2 2 4 4 2 2" xfId="18301" xr:uid="{00000000-0005-0000-0000-0000FF4A0000}"/>
    <cellStyle name="40 % - Markeringsfarve1 2 2 4 4 2 2 2" xfId="34577" xr:uid="{00000000-0005-0000-0000-0000004B0000}"/>
    <cellStyle name="40 % - Markeringsfarve1 2 2 4 4 2 2 3" xfId="49536" xr:uid="{00000000-0005-0000-0000-0000014B0000}"/>
    <cellStyle name="40 % - Markeringsfarve1 2 2 4 4 2 3" xfId="27575" xr:uid="{00000000-0005-0000-0000-0000024B0000}"/>
    <cellStyle name="40 % - Markeringsfarve1 2 2 4 4 2 4" xfId="42539" xr:uid="{00000000-0005-0000-0000-0000034B0000}"/>
    <cellStyle name="40 % - Markeringsfarve1 2 2 4 4 3" xfId="13903" xr:uid="{00000000-0005-0000-0000-0000044B0000}"/>
    <cellStyle name="40 % - Markeringsfarve1 2 2 4 4 3 2" xfId="30182" xr:uid="{00000000-0005-0000-0000-0000054B0000}"/>
    <cellStyle name="40 % - Markeringsfarve1 2 2 4 4 3 3" xfId="45142" xr:uid="{00000000-0005-0000-0000-0000064B0000}"/>
    <cellStyle name="40 % - Markeringsfarve1 2 2 4 4 4" xfId="23180" xr:uid="{00000000-0005-0000-0000-0000074B0000}"/>
    <cellStyle name="40 % - Markeringsfarve1 2 2 4 4 5" xfId="38145" xr:uid="{00000000-0005-0000-0000-0000084B0000}"/>
    <cellStyle name="40 % - Markeringsfarve1 2 2 4 5" xfId="7966" xr:uid="{00000000-0005-0000-0000-0000094B0000}"/>
    <cellStyle name="40 % - Markeringsfarve1 2 2 4 5 2" xfId="15831" xr:uid="{00000000-0005-0000-0000-00000A4B0000}"/>
    <cellStyle name="40 % - Markeringsfarve1 2 2 4 5 2 2" xfId="32107" xr:uid="{00000000-0005-0000-0000-00000B4B0000}"/>
    <cellStyle name="40 % - Markeringsfarve1 2 2 4 5 2 3" xfId="47066" xr:uid="{00000000-0005-0000-0000-00000C4B0000}"/>
    <cellStyle name="40 % - Markeringsfarve1 2 2 4 5 3" xfId="25105" xr:uid="{00000000-0005-0000-0000-00000D4B0000}"/>
    <cellStyle name="40 % - Markeringsfarve1 2 2 4 5 4" xfId="40069" xr:uid="{00000000-0005-0000-0000-00000E4B0000}"/>
    <cellStyle name="40 % - Markeringsfarve1 2 2 4 6" xfId="13899" xr:uid="{00000000-0005-0000-0000-00000F4B0000}"/>
    <cellStyle name="40 % - Markeringsfarve1 2 2 4 6 2" xfId="30178" xr:uid="{00000000-0005-0000-0000-0000104B0000}"/>
    <cellStyle name="40 % - Markeringsfarve1 2 2 4 6 3" xfId="45138" xr:uid="{00000000-0005-0000-0000-0000114B0000}"/>
    <cellStyle name="40 % - Markeringsfarve1 2 2 4 7" xfId="23176" xr:uid="{00000000-0005-0000-0000-0000124B0000}"/>
    <cellStyle name="40 % - Markeringsfarve1 2 2 4 8" xfId="38141" xr:uid="{00000000-0005-0000-0000-0000134B0000}"/>
    <cellStyle name="40 % - Markeringsfarve1 2 2 5" xfId="5419" xr:uid="{00000000-0005-0000-0000-0000144B0000}"/>
    <cellStyle name="40 % - Markeringsfarve1 2 2 5 2" xfId="5420" xr:uid="{00000000-0005-0000-0000-0000154B0000}"/>
    <cellStyle name="40 % - Markeringsfarve1 2 2 5 2 2" xfId="5421" xr:uid="{00000000-0005-0000-0000-0000164B0000}"/>
    <cellStyle name="40 % - Markeringsfarve1 2 2 5 2 2 2" xfId="10234" xr:uid="{00000000-0005-0000-0000-0000174B0000}"/>
    <cellStyle name="40 % - Markeringsfarve1 2 2 5 2 2 2 2" xfId="18089" xr:uid="{00000000-0005-0000-0000-0000184B0000}"/>
    <cellStyle name="40 % - Markeringsfarve1 2 2 5 2 2 2 2 2" xfId="34365" xr:uid="{00000000-0005-0000-0000-0000194B0000}"/>
    <cellStyle name="40 % - Markeringsfarve1 2 2 5 2 2 2 2 3" xfId="49324" xr:uid="{00000000-0005-0000-0000-00001A4B0000}"/>
    <cellStyle name="40 % - Markeringsfarve1 2 2 5 2 2 2 3" xfId="27363" xr:uid="{00000000-0005-0000-0000-00001B4B0000}"/>
    <cellStyle name="40 % - Markeringsfarve1 2 2 5 2 2 2 4" xfId="42327" xr:uid="{00000000-0005-0000-0000-00001C4B0000}"/>
    <cellStyle name="40 % - Markeringsfarve1 2 2 5 2 2 3" xfId="13906" xr:uid="{00000000-0005-0000-0000-00001D4B0000}"/>
    <cellStyle name="40 % - Markeringsfarve1 2 2 5 2 2 3 2" xfId="30185" xr:uid="{00000000-0005-0000-0000-00001E4B0000}"/>
    <cellStyle name="40 % - Markeringsfarve1 2 2 5 2 2 3 3" xfId="45145" xr:uid="{00000000-0005-0000-0000-00001F4B0000}"/>
    <cellStyle name="40 % - Markeringsfarve1 2 2 5 2 2 4" xfId="23183" xr:uid="{00000000-0005-0000-0000-0000204B0000}"/>
    <cellStyle name="40 % - Markeringsfarve1 2 2 5 2 2 5" xfId="38148" xr:uid="{00000000-0005-0000-0000-0000214B0000}"/>
    <cellStyle name="40 % - Markeringsfarve1 2 2 5 2 3" xfId="8754" xr:uid="{00000000-0005-0000-0000-0000224B0000}"/>
    <cellStyle name="40 % - Markeringsfarve1 2 2 5 2 3 2" xfId="16621" xr:uid="{00000000-0005-0000-0000-0000234B0000}"/>
    <cellStyle name="40 % - Markeringsfarve1 2 2 5 2 3 2 2" xfId="32897" xr:uid="{00000000-0005-0000-0000-0000244B0000}"/>
    <cellStyle name="40 % - Markeringsfarve1 2 2 5 2 3 2 3" xfId="47856" xr:uid="{00000000-0005-0000-0000-0000254B0000}"/>
    <cellStyle name="40 % - Markeringsfarve1 2 2 5 2 3 3" xfId="25895" xr:uid="{00000000-0005-0000-0000-0000264B0000}"/>
    <cellStyle name="40 % - Markeringsfarve1 2 2 5 2 3 4" xfId="40859" xr:uid="{00000000-0005-0000-0000-0000274B0000}"/>
    <cellStyle name="40 % - Markeringsfarve1 2 2 5 2 4" xfId="13905" xr:uid="{00000000-0005-0000-0000-0000284B0000}"/>
    <cellStyle name="40 % - Markeringsfarve1 2 2 5 2 4 2" xfId="30184" xr:uid="{00000000-0005-0000-0000-0000294B0000}"/>
    <cellStyle name="40 % - Markeringsfarve1 2 2 5 2 4 3" xfId="45144" xr:uid="{00000000-0005-0000-0000-00002A4B0000}"/>
    <cellStyle name="40 % - Markeringsfarve1 2 2 5 2 5" xfId="23182" xr:uid="{00000000-0005-0000-0000-00002B4B0000}"/>
    <cellStyle name="40 % - Markeringsfarve1 2 2 5 2 6" xfId="38147" xr:uid="{00000000-0005-0000-0000-00002C4B0000}"/>
    <cellStyle name="40 % - Markeringsfarve1 2 2 5 3" xfId="5422" xr:uid="{00000000-0005-0000-0000-00002D4B0000}"/>
    <cellStyle name="40 % - Markeringsfarve1 2 2 5 3 2" xfId="9511" xr:uid="{00000000-0005-0000-0000-00002E4B0000}"/>
    <cellStyle name="40 % - Markeringsfarve1 2 2 5 3 2 2" xfId="17374" xr:uid="{00000000-0005-0000-0000-00002F4B0000}"/>
    <cellStyle name="40 % - Markeringsfarve1 2 2 5 3 2 2 2" xfId="33650" xr:uid="{00000000-0005-0000-0000-0000304B0000}"/>
    <cellStyle name="40 % - Markeringsfarve1 2 2 5 3 2 2 3" xfId="48609" xr:uid="{00000000-0005-0000-0000-0000314B0000}"/>
    <cellStyle name="40 % - Markeringsfarve1 2 2 5 3 2 3" xfId="26648" xr:uid="{00000000-0005-0000-0000-0000324B0000}"/>
    <cellStyle name="40 % - Markeringsfarve1 2 2 5 3 2 4" xfId="41612" xr:uid="{00000000-0005-0000-0000-0000334B0000}"/>
    <cellStyle name="40 % - Markeringsfarve1 2 2 5 3 3" xfId="13907" xr:uid="{00000000-0005-0000-0000-0000344B0000}"/>
    <cellStyle name="40 % - Markeringsfarve1 2 2 5 3 3 2" xfId="30186" xr:uid="{00000000-0005-0000-0000-0000354B0000}"/>
    <cellStyle name="40 % - Markeringsfarve1 2 2 5 3 3 3" xfId="45146" xr:uid="{00000000-0005-0000-0000-0000364B0000}"/>
    <cellStyle name="40 % - Markeringsfarve1 2 2 5 3 4" xfId="23184" xr:uid="{00000000-0005-0000-0000-0000374B0000}"/>
    <cellStyle name="40 % - Markeringsfarve1 2 2 5 3 5" xfId="38149" xr:uid="{00000000-0005-0000-0000-0000384B0000}"/>
    <cellStyle name="40 % - Markeringsfarve1 2 2 5 4" xfId="5423" xr:uid="{00000000-0005-0000-0000-0000394B0000}"/>
    <cellStyle name="40 % - Markeringsfarve1 2 2 5 4 2" xfId="8912" xr:uid="{00000000-0005-0000-0000-00003A4B0000}"/>
    <cellStyle name="40 % - Markeringsfarve1 2 2 5 4 2 2" xfId="16778" xr:uid="{00000000-0005-0000-0000-00003B4B0000}"/>
    <cellStyle name="40 % - Markeringsfarve1 2 2 5 4 2 2 2" xfId="33054" xr:uid="{00000000-0005-0000-0000-00003C4B0000}"/>
    <cellStyle name="40 % - Markeringsfarve1 2 2 5 4 2 2 3" xfId="48013" xr:uid="{00000000-0005-0000-0000-00003D4B0000}"/>
    <cellStyle name="40 % - Markeringsfarve1 2 2 5 4 2 3" xfId="26052" xr:uid="{00000000-0005-0000-0000-00003E4B0000}"/>
    <cellStyle name="40 % - Markeringsfarve1 2 2 5 4 2 4" xfId="41016" xr:uid="{00000000-0005-0000-0000-00003F4B0000}"/>
    <cellStyle name="40 % - Markeringsfarve1 2 2 5 4 3" xfId="13908" xr:uid="{00000000-0005-0000-0000-0000404B0000}"/>
    <cellStyle name="40 % - Markeringsfarve1 2 2 5 4 3 2" xfId="30187" xr:uid="{00000000-0005-0000-0000-0000414B0000}"/>
    <cellStyle name="40 % - Markeringsfarve1 2 2 5 4 3 3" xfId="45147" xr:uid="{00000000-0005-0000-0000-0000424B0000}"/>
    <cellStyle name="40 % - Markeringsfarve1 2 2 5 4 4" xfId="23185" xr:uid="{00000000-0005-0000-0000-0000434B0000}"/>
    <cellStyle name="40 % - Markeringsfarve1 2 2 5 4 5" xfId="38150" xr:uid="{00000000-0005-0000-0000-0000444B0000}"/>
    <cellStyle name="40 % - Markeringsfarve1 2 2 5 5" xfId="7967" xr:uid="{00000000-0005-0000-0000-0000454B0000}"/>
    <cellStyle name="40 % - Markeringsfarve1 2 2 5 5 2" xfId="15832" xr:uid="{00000000-0005-0000-0000-0000464B0000}"/>
    <cellStyle name="40 % - Markeringsfarve1 2 2 5 5 2 2" xfId="32108" xr:uid="{00000000-0005-0000-0000-0000474B0000}"/>
    <cellStyle name="40 % - Markeringsfarve1 2 2 5 5 2 3" xfId="47067" xr:uid="{00000000-0005-0000-0000-0000484B0000}"/>
    <cellStyle name="40 % - Markeringsfarve1 2 2 5 5 3" xfId="25106" xr:uid="{00000000-0005-0000-0000-0000494B0000}"/>
    <cellStyle name="40 % - Markeringsfarve1 2 2 5 5 4" xfId="40070" xr:uid="{00000000-0005-0000-0000-00004A4B0000}"/>
    <cellStyle name="40 % - Markeringsfarve1 2 2 5 6" xfId="13904" xr:uid="{00000000-0005-0000-0000-00004B4B0000}"/>
    <cellStyle name="40 % - Markeringsfarve1 2 2 5 6 2" xfId="30183" xr:uid="{00000000-0005-0000-0000-00004C4B0000}"/>
    <cellStyle name="40 % - Markeringsfarve1 2 2 5 6 3" xfId="45143" xr:uid="{00000000-0005-0000-0000-00004D4B0000}"/>
    <cellStyle name="40 % - Markeringsfarve1 2 2 5 7" xfId="23181" xr:uid="{00000000-0005-0000-0000-00004E4B0000}"/>
    <cellStyle name="40 % - Markeringsfarve1 2 2 5 8" xfId="38146" xr:uid="{00000000-0005-0000-0000-00004F4B0000}"/>
    <cellStyle name="40 % - Markeringsfarve1 2 2 6" xfId="5424" xr:uid="{00000000-0005-0000-0000-0000504B0000}"/>
    <cellStyle name="40 % - Markeringsfarve1 2 2 6 2" xfId="5425" xr:uid="{00000000-0005-0000-0000-0000514B0000}"/>
    <cellStyle name="40 % - Markeringsfarve1 2 2 6 2 2" xfId="5426" xr:uid="{00000000-0005-0000-0000-0000524B0000}"/>
    <cellStyle name="40 % - Markeringsfarve1 2 2 6 2 2 2" xfId="10341" xr:uid="{00000000-0005-0000-0000-0000534B0000}"/>
    <cellStyle name="40 % - Markeringsfarve1 2 2 6 2 2 2 2" xfId="18196" xr:uid="{00000000-0005-0000-0000-0000544B0000}"/>
    <cellStyle name="40 % - Markeringsfarve1 2 2 6 2 2 2 2 2" xfId="34472" xr:uid="{00000000-0005-0000-0000-0000554B0000}"/>
    <cellStyle name="40 % - Markeringsfarve1 2 2 6 2 2 2 2 3" xfId="49431" xr:uid="{00000000-0005-0000-0000-0000564B0000}"/>
    <cellStyle name="40 % - Markeringsfarve1 2 2 6 2 2 2 3" xfId="27470" xr:uid="{00000000-0005-0000-0000-0000574B0000}"/>
    <cellStyle name="40 % - Markeringsfarve1 2 2 6 2 2 2 4" xfId="42434" xr:uid="{00000000-0005-0000-0000-0000584B0000}"/>
    <cellStyle name="40 % - Markeringsfarve1 2 2 6 2 2 3" xfId="13911" xr:uid="{00000000-0005-0000-0000-0000594B0000}"/>
    <cellStyle name="40 % - Markeringsfarve1 2 2 6 2 2 3 2" xfId="30190" xr:uid="{00000000-0005-0000-0000-00005A4B0000}"/>
    <cellStyle name="40 % - Markeringsfarve1 2 2 6 2 2 3 3" xfId="45150" xr:uid="{00000000-0005-0000-0000-00005B4B0000}"/>
    <cellStyle name="40 % - Markeringsfarve1 2 2 6 2 2 4" xfId="23188" xr:uid="{00000000-0005-0000-0000-00005C4B0000}"/>
    <cellStyle name="40 % - Markeringsfarve1 2 2 6 2 2 5" xfId="38153" xr:uid="{00000000-0005-0000-0000-00005D4B0000}"/>
    <cellStyle name="40 % - Markeringsfarve1 2 2 6 2 3" xfId="8844" xr:uid="{00000000-0005-0000-0000-00005E4B0000}"/>
    <cellStyle name="40 % - Markeringsfarve1 2 2 6 2 3 2" xfId="16711" xr:uid="{00000000-0005-0000-0000-00005F4B0000}"/>
    <cellStyle name="40 % - Markeringsfarve1 2 2 6 2 3 2 2" xfId="32987" xr:uid="{00000000-0005-0000-0000-0000604B0000}"/>
    <cellStyle name="40 % - Markeringsfarve1 2 2 6 2 3 2 3" xfId="47946" xr:uid="{00000000-0005-0000-0000-0000614B0000}"/>
    <cellStyle name="40 % - Markeringsfarve1 2 2 6 2 3 3" xfId="25985" xr:uid="{00000000-0005-0000-0000-0000624B0000}"/>
    <cellStyle name="40 % - Markeringsfarve1 2 2 6 2 3 4" xfId="40949" xr:uid="{00000000-0005-0000-0000-0000634B0000}"/>
    <cellStyle name="40 % - Markeringsfarve1 2 2 6 2 4" xfId="13910" xr:uid="{00000000-0005-0000-0000-0000644B0000}"/>
    <cellStyle name="40 % - Markeringsfarve1 2 2 6 2 4 2" xfId="30189" xr:uid="{00000000-0005-0000-0000-0000654B0000}"/>
    <cellStyle name="40 % - Markeringsfarve1 2 2 6 2 4 3" xfId="45149" xr:uid="{00000000-0005-0000-0000-0000664B0000}"/>
    <cellStyle name="40 % - Markeringsfarve1 2 2 6 2 5" xfId="23187" xr:uid="{00000000-0005-0000-0000-0000674B0000}"/>
    <cellStyle name="40 % - Markeringsfarve1 2 2 6 2 6" xfId="38152" xr:uid="{00000000-0005-0000-0000-0000684B0000}"/>
    <cellStyle name="40 % - Markeringsfarve1 2 2 6 3" xfId="5427" xr:uid="{00000000-0005-0000-0000-0000694B0000}"/>
    <cellStyle name="40 % - Markeringsfarve1 2 2 6 3 2" xfId="9619" xr:uid="{00000000-0005-0000-0000-00006A4B0000}"/>
    <cellStyle name="40 % - Markeringsfarve1 2 2 6 3 2 2" xfId="17482" xr:uid="{00000000-0005-0000-0000-00006B4B0000}"/>
    <cellStyle name="40 % - Markeringsfarve1 2 2 6 3 2 2 2" xfId="33758" xr:uid="{00000000-0005-0000-0000-00006C4B0000}"/>
    <cellStyle name="40 % - Markeringsfarve1 2 2 6 3 2 2 3" xfId="48717" xr:uid="{00000000-0005-0000-0000-00006D4B0000}"/>
    <cellStyle name="40 % - Markeringsfarve1 2 2 6 3 2 3" xfId="26756" xr:uid="{00000000-0005-0000-0000-00006E4B0000}"/>
    <cellStyle name="40 % - Markeringsfarve1 2 2 6 3 2 4" xfId="41720" xr:uid="{00000000-0005-0000-0000-00006F4B0000}"/>
    <cellStyle name="40 % - Markeringsfarve1 2 2 6 3 3" xfId="13912" xr:uid="{00000000-0005-0000-0000-0000704B0000}"/>
    <cellStyle name="40 % - Markeringsfarve1 2 2 6 3 3 2" xfId="30191" xr:uid="{00000000-0005-0000-0000-0000714B0000}"/>
    <cellStyle name="40 % - Markeringsfarve1 2 2 6 3 3 3" xfId="45151" xr:uid="{00000000-0005-0000-0000-0000724B0000}"/>
    <cellStyle name="40 % - Markeringsfarve1 2 2 6 3 4" xfId="23189" xr:uid="{00000000-0005-0000-0000-0000734B0000}"/>
    <cellStyle name="40 % - Markeringsfarve1 2 2 6 3 5" xfId="38154" xr:uid="{00000000-0005-0000-0000-0000744B0000}"/>
    <cellStyle name="40 % - Markeringsfarve1 2 2 6 4" xfId="5428" xr:uid="{00000000-0005-0000-0000-0000754B0000}"/>
    <cellStyle name="40 % - Markeringsfarve1 2 2 6 4 2" xfId="9289" xr:uid="{00000000-0005-0000-0000-0000764B0000}"/>
    <cellStyle name="40 % - Markeringsfarve1 2 2 6 4 2 2" xfId="17153" xr:uid="{00000000-0005-0000-0000-0000774B0000}"/>
    <cellStyle name="40 % - Markeringsfarve1 2 2 6 4 2 2 2" xfId="33429" xr:uid="{00000000-0005-0000-0000-0000784B0000}"/>
    <cellStyle name="40 % - Markeringsfarve1 2 2 6 4 2 2 3" xfId="48388" xr:uid="{00000000-0005-0000-0000-0000794B0000}"/>
    <cellStyle name="40 % - Markeringsfarve1 2 2 6 4 2 3" xfId="26427" xr:uid="{00000000-0005-0000-0000-00007A4B0000}"/>
    <cellStyle name="40 % - Markeringsfarve1 2 2 6 4 2 4" xfId="41391" xr:uid="{00000000-0005-0000-0000-00007B4B0000}"/>
    <cellStyle name="40 % - Markeringsfarve1 2 2 6 4 3" xfId="13913" xr:uid="{00000000-0005-0000-0000-00007C4B0000}"/>
    <cellStyle name="40 % - Markeringsfarve1 2 2 6 4 3 2" xfId="30192" xr:uid="{00000000-0005-0000-0000-00007D4B0000}"/>
    <cellStyle name="40 % - Markeringsfarve1 2 2 6 4 3 3" xfId="45152" xr:uid="{00000000-0005-0000-0000-00007E4B0000}"/>
    <cellStyle name="40 % - Markeringsfarve1 2 2 6 4 4" xfId="23190" xr:uid="{00000000-0005-0000-0000-00007F4B0000}"/>
    <cellStyle name="40 % - Markeringsfarve1 2 2 6 4 5" xfId="38155" xr:uid="{00000000-0005-0000-0000-0000804B0000}"/>
    <cellStyle name="40 % - Markeringsfarve1 2 2 6 5" xfId="7968" xr:uid="{00000000-0005-0000-0000-0000814B0000}"/>
    <cellStyle name="40 % - Markeringsfarve1 2 2 6 5 2" xfId="15833" xr:uid="{00000000-0005-0000-0000-0000824B0000}"/>
    <cellStyle name="40 % - Markeringsfarve1 2 2 6 5 2 2" xfId="32109" xr:uid="{00000000-0005-0000-0000-0000834B0000}"/>
    <cellStyle name="40 % - Markeringsfarve1 2 2 6 5 2 3" xfId="47068" xr:uid="{00000000-0005-0000-0000-0000844B0000}"/>
    <cellStyle name="40 % - Markeringsfarve1 2 2 6 5 3" xfId="25107" xr:uid="{00000000-0005-0000-0000-0000854B0000}"/>
    <cellStyle name="40 % - Markeringsfarve1 2 2 6 5 4" xfId="40071" xr:uid="{00000000-0005-0000-0000-0000864B0000}"/>
    <cellStyle name="40 % - Markeringsfarve1 2 2 6 6" xfId="13909" xr:uid="{00000000-0005-0000-0000-0000874B0000}"/>
    <cellStyle name="40 % - Markeringsfarve1 2 2 6 6 2" xfId="30188" xr:uid="{00000000-0005-0000-0000-0000884B0000}"/>
    <cellStyle name="40 % - Markeringsfarve1 2 2 6 6 3" xfId="45148" xr:uid="{00000000-0005-0000-0000-0000894B0000}"/>
    <cellStyle name="40 % - Markeringsfarve1 2 2 6 7" xfId="23186" xr:uid="{00000000-0005-0000-0000-00008A4B0000}"/>
    <cellStyle name="40 % - Markeringsfarve1 2 2 6 8" xfId="38151" xr:uid="{00000000-0005-0000-0000-00008B4B0000}"/>
    <cellStyle name="40 % - Markeringsfarve1 2 2 7" xfId="5429" xr:uid="{00000000-0005-0000-0000-00008C4B0000}"/>
    <cellStyle name="40 % - Markeringsfarve1 2 2 7 2" xfId="5430" xr:uid="{00000000-0005-0000-0000-00008D4B0000}"/>
    <cellStyle name="40 % - Markeringsfarve1 2 2 7 2 2" xfId="9761" xr:uid="{00000000-0005-0000-0000-00008E4B0000}"/>
    <cellStyle name="40 % - Markeringsfarve1 2 2 7 2 2 2" xfId="17615" xr:uid="{00000000-0005-0000-0000-00008F4B0000}"/>
    <cellStyle name="40 % - Markeringsfarve1 2 2 7 2 2 2 2" xfId="33891" xr:uid="{00000000-0005-0000-0000-0000904B0000}"/>
    <cellStyle name="40 % - Markeringsfarve1 2 2 7 2 2 2 3" xfId="48850" xr:uid="{00000000-0005-0000-0000-0000914B0000}"/>
    <cellStyle name="40 % - Markeringsfarve1 2 2 7 2 2 3" xfId="26889" xr:uid="{00000000-0005-0000-0000-0000924B0000}"/>
    <cellStyle name="40 % - Markeringsfarve1 2 2 7 2 2 4" xfId="41853" xr:uid="{00000000-0005-0000-0000-0000934B0000}"/>
    <cellStyle name="40 % - Markeringsfarve1 2 2 7 2 3" xfId="13915" xr:uid="{00000000-0005-0000-0000-0000944B0000}"/>
    <cellStyle name="40 % - Markeringsfarve1 2 2 7 2 3 2" xfId="30194" xr:uid="{00000000-0005-0000-0000-0000954B0000}"/>
    <cellStyle name="40 % - Markeringsfarve1 2 2 7 2 3 3" xfId="45154" xr:uid="{00000000-0005-0000-0000-0000964B0000}"/>
    <cellStyle name="40 % - Markeringsfarve1 2 2 7 2 4" xfId="23192" xr:uid="{00000000-0005-0000-0000-0000974B0000}"/>
    <cellStyle name="40 % - Markeringsfarve1 2 2 7 2 5" xfId="38157" xr:uid="{00000000-0005-0000-0000-0000984B0000}"/>
    <cellStyle name="40 % - Markeringsfarve1 2 2 7 3" xfId="8354" xr:uid="{00000000-0005-0000-0000-0000994B0000}"/>
    <cellStyle name="40 % - Markeringsfarve1 2 2 7 3 2" xfId="16224" xr:uid="{00000000-0005-0000-0000-00009A4B0000}"/>
    <cellStyle name="40 % - Markeringsfarve1 2 2 7 3 2 2" xfId="32500" xr:uid="{00000000-0005-0000-0000-00009B4B0000}"/>
    <cellStyle name="40 % - Markeringsfarve1 2 2 7 3 2 3" xfId="47459" xr:uid="{00000000-0005-0000-0000-00009C4B0000}"/>
    <cellStyle name="40 % - Markeringsfarve1 2 2 7 3 3" xfId="25498" xr:uid="{00000000-0005-0000-0000-00009D4B0000}"/>
    <cellStyle name="40 % - Markeringsfarve1 2 2 7 3 4" xfId="40462" xr:uid="{00000000-0005-0000-0000-00009E4B0000}"/>
    <cellStyle name="40 % - Markeringsfarve1 2 2 7 4" xfId="13914" xr:uid="{00000000-0005-0000-0000-00009F4B0000}"/>
    <cellStyle name="40 % - Markeringsfarve1 2 2 7 4 2" xfId="30193" xr:uid="{00000000-0005-0000-0000-0000A04B0000}"/>
    <cellStyle name="40 % - Markeringsfarve1 2 2 7 4 3" xfId="45153" xr:uid="{00000000-0005-0000-0000-0000A14B0000}"/>
    <cellStyle name="40 % - Markeringsfarve1 2 2 7 5" xfId="23191" xr:uid="{00000000-0005-0000-0000-0000A24B0000}"/>
    <cellStyle name="40 % - Markeringsfarve1 2 2 7 6" xfId="38156" xr:uid="{00000000-0005-0000-0000-0000A34B0000}"/>
    <cellStyle name="40 % - Markeringsfarve1 2 2 8" xfId="5431" xr:uid="{00000000-0005-0000-0000-0000A44B0000}"/>
    <cellStyle name="40 % - Markeringsfarve1 2 2 8 2" xfId="8989" xr:uid="{00000000-0005-0000-0000-0000A54B0000}"/>
    <cellStyle name="40 % - Markeringsfarve1 2 2 8 2 2" xfId="16853" xr:uid="{00000000-0005-0000-0000-0000A64B0000}"/>
    <cellStyle name="40 % - Markeringsfarve1 2 2 8 2 2 2" xfId="33129" xr:uid="{00000000-0005-0000-0000-0000A74B0000}"/>
    <cellStyle name="40 % - Markeringsfarve1 2 2 8 2 2 3" xfId="48088" xr:uid="{00000000-0005-0000-0000-0000A84B0000}"/>
    <cellStyle name="40 % - Markeringsfarve1 2 2 8 2 3" xfId="26127" xr:uid="{00000000-0005-0000-0000-0000A94B0000}"/>
    <cellStyle name="40 % - Markeringsfarve1 2 2 8 2 4" xfId="41091" xr:uid="{00000000-0005-0000-0000-0000AA4B0000}"/>
    <cellStyle name="40 % - Markeringsfarve1 2 2 8 3" xfId="13916" xr:uid="{00000000-0005-0000-0000-0000AB4B0000}"/>
    <cellStyle name="40 % - Markeringsfarve1 2 2 8 3 2" xfId="30195" xr:uid="{00000000-0005-0000-0000-0000AC4B0000}"/>
    <cellStyle name="40 % - Markeringsfarve1 2 2 8 3 3" xfId="45155" xr:uid="{00000000-0005-0000-0000-0000AD4B0000}"/>
    <cellStyle name="40 % - Markeringsfarve1 2 2 8 4" xfId="23193" xr:uid="{00000000-0005-0000-0000-0000AE4B0000}"/>
    <cellStyle name="40 % - Markeringsfarve1 2 2 8 5" xfId="38158" xr:uid="{00000000-0005-0000-0000-0000AF4B0000}"/>
    <cellStyle name="40 % - Markeringsfarve1 2 2 9" xfId="5432" xr:uid="{00000000-0005-0000-0000-0000B04B0000}"/>
    <cellStyle name="40 % - Markeringsfarve1 2 2 9 2" xfId="10851" xr:uid="{00000000-0005-0000-0000-0000B14B0000}"/>
    <cellStyle name="40 % - Markeringsfarve1 2 2 9 2 2" xfId="18689" xr:uid="{00000000-0005-0000-0000-0000B24B0000}"/>
    <cellStyle name="40 % - Markeringsfarve1 2 2 9 2 2 2" xfId="34965" xr:uid="{00000000-0005-0000-0000-0000B34B0000}"/>
    <cellStyle name="40 % - Markeringsfarve1 2 2 9 2 2 3" xfId="49924" xr:uid="{00000000-0005-0000-0000-0000B44B0000}"/>
    <cellStyle name="40 % - Markeringsfarve1 2 2 9 2 3" xfId="27963" xr:uid="{00000000-0005-0000-0000-0000B54B0000}"/>
    <cellStyle name="40 % - Markeringsfarve1 2 2 9 2 4" xfId="42927" xr:uid="{00000000-0005-0000-0000-0000B64B0000}"/>
    <cellStyle name="40 % - Markeringsfarve1 2 2 9 3" xfId="13917" xr:uid="{00000000-0005-0000-0000-0000B74B0000}"/>
    <cellStyle name="40 % - Markeringsfarve1 2 2 9 3 2" xfId="30196" xr:uid="{00000000-0005-0000-0000-0000B84B0000}"/>
    <cellStyle name="40 % - Markeringsfarve1 2 2 9 3 3" xfId="45156" xr:uid="{00000000-0005-0000-0000-0000B94B0000}"/>
    <cellStyle name="40 % - Markeringsfarve1 2 2 9 4" xfId="23194" xr:uid="{00000000-0005-0000-0000-0000BA4B0000}"/>
    <cellStyle name="40 % - Markeringsfarve1 2 2 9 5" xfId="38159" xr:uid="{00000000-0005-0000-0000-0000BB4B0000}"/>
    <cellStyle name="40 % - Markeringsfarve1 2 3" xfId="5433" xr:uid="{00000000-0005-0000-0000-0000BC4B0000}"/>
    <cellStyle name="40 % - Markeringsfarve1 2 3 10" xfId="7969" xr:uid="{00000000-0005-0000-0000-0000BD4B0000}"/>
    <cellStyle name="40 % - Markeringsfarve1 2 3 10 2" xfId="15834" xr:uid="{00000000-0005-0000-0000-0000BE4B0000}"/>
    <cellStyle name="40 % - Markeringsfarve1 2 3 10 2 2" xfId="32110" xr:uid="{00000000-0005-0000-0000-0000BF4B0000}"/>
    <cellStyle name="40 % - Markeringsfarve1 2 3 10 2 3" xfId="47069" xr:uid="{00000000-0005-0000-0000-0000C04B0000}"/>
    <cellStyle name="40 % - Markeringsfarve1 2 3 10 3" xfId="25108" xr:uid="{00000000-0005-0000-0000-0000C14B0000}"/>
    <cellStyle name="40 % - Markeringsfarve1 2 3 10 4" xfId="40072" xr:uid="{00000000-0005-0000-0000-0000C24B0000}"/>
    <cellStyle name="40 % - Markeringsfarve1 2 3 11" xfId="13918" xr:uid="{00000000-0005-0000-0000-0000C34B0000}"/>
    <cellStyle name="40 % - Markeringsfarve1 2 3 11 2" xfId="30197" xr:uid="{00000000-0005-0000-0000-0000C44B0000}"/>
    <cellStyle name="40 % - Markeringsfarve1 2 3 11 3" xfId="45157" xr:uid="{00000000-0005-0000-0000-0000C54B0000}"/>
    <cellStyle name="40 % - Markeringsfarve1 2 3 12" xfId="23195" xr:uid="{00000000-0005-0000-0000-0000C64B0000}"/>
    <cellStyle name="40 % - Markeringsfarve1 2 3 13" xfId="38160" xr:uid="{00000000-0005-0000-0000-0000C74B0000}"/>
    <cellStyle name="40 % - Markeringsfarve1 2 3 2" xfId="5434" xr:uid="{00000000-0005-0000-0000-0000C84B0000}"/>
    <cellStyle name="40 % - Markeringsfarve1 2 3 2 2" xfId="5435" xr:uid="{00000000-0005-0000-0000-0000C94B0000}"/>
    <cellStyle name="40 % - Markeringsfarve1 2 3 2 2 2" xfId="5436" xr:uid="{00000000-0005-0000-0000-0000CA4B0000}"/>
    <cellStyle name="40 % - Markeringsfarve1 2 3 2 2 2 2" xfId="9918" xr:uid="{00000000-0005-0000-0000-0000CB4B0000}"/>
    <cellStyle name="40 % - Markeringsfarve1 2 3 2 2 2 2 2" xfId="17773" xr:uid="{00000000-0005-0000-0000-0000CC4B0000}"/>
    <cellStyle name="40 % - Markeringsfarve1 2 3 2 2 2 2 2 2" xfId="34049" xr:uid="{00000000-0005-0000-0000-0000CD4B0000}"/>
    <cellStyle name="40 % - Markeringsfarve1 2 3 2 2 2 2 2 3" xfId="49008" xr:uid="{00000000-0005-0000-0000-0000CE4B0000}"/>
    <cellStyle name="40 % - Markeringsfarve1 2 3 2 2 2 2 3" xfId="27047" xr:uid="{00000000-0005-0000-0000-0000CF4B0000}"/>
    <cellStyle name="40 % - Markeringsfarve1 2 3 2 2 2 2 4" xfId="42011" xr:uid="{00000000-0005-0000-0000-0000D04B0000}"/>
    <cellStyle name="40 % - Markeringsfarve1 2 3 2 2 2 3" xfId="13921" xr:uid="{00000000-0005-0000-0000-0000D14B0000}"/>
    <cellStyle name="40 % - Markeringsfarve1 2 3 2 2 2 3 2" xfId="30200" xr:uid="{00000000-0005-0000-0000-0000D24B0000}"/>
    <cellStyle name="40 % - Markeringsfarve1 2 3 2 2 2 3 3" xfId="45160" xr:uid="{00000000-0005-0000-0000-0000D34B0000}"/>
    <cellStyle name="40 % - Markeringsfarve1 2 3 2 2 2 4" xfId="23198" xr:uid="{00000000-0005-0000-0000-0000D44B0000}"/>
    <cellStyle name="40 % - Markeringsfarve1 2 3 2 2 2 5" xfId="38163" xr:uid="{00000000-0005-0000-0000-0000D54B0000}"/>
    <cellStyle name="40 % - Markeringsfarve1 2 3 2 2 3" xfId="8486" xr:uid="{00000000-0005-0000-0000-0000D64B0000}"/>
    <cellStyle name="40 % - Markeringsfarve1 2 3 2 2 3 2" xfId="16356" xr:uid="{00000000-0005-0000-0000-0000D74B0000}"/>
    <cellStyle name="40 % - Markeringsfarve1 2 3 2 2 3 2 2" xfId="32632" xr:uid="{00000000-0005-0000-0000-0000D84B0000}"/>
    <cellStyle name="40 % - Markeringsfarve1 2 3 2 2 3 2 3" xfId="47591" xr:uid="{00000000-0005-0000-0000-0000D94B0000}"/>
    <cellStyle name="40 % - Markeringsfarve1 2 3 2 2 3 3" xfId="25630" xr:uid="{00000000-0005-0000-0000-0000DA4B0000}"/>
    <cellStyle name="40 % - Markeringsfarve1 2 3 2 2 3 4" xfId="40594" xr:uid="{00000000-0005-0000-0000-0000DB4B0000}"/>
    <cellStyle name="40 % - Markeringsfarve1 2 3 2 2 4" xfId="13920" xr:uid="{00000000-0005-0000-0000-0000DC4B0000}"/>
    <cellStyle name="40 % - Markeringsfarve1 2 3 2 2 4 2" xfId="30199" xr:uid="{00000000-0005-0000-0000-0000DD4B0000}"/>
    <cellStyle name="40 % - Markeringsfarve1 2 3 2 2 4 3" xfId="45159" xr:uid="{00000000-0005-0000-0000-0000DE4B0000}"/>
    <cellStyle name="40 % - Markeringsfarve1 2 3 2 2 5" xfId="23197" xr:uid="{00000000-0005-0000-0000-0000DF4B0000}"/>
    <cellStyle name="40 % - Markeringsfarve1 2 3 2 2 6" xfId="38162" xr:uid="{00000000-0005-0000-0000-0000E04B0000}"/>
    <cellStyle name="40 % - Markeringsfarve1 2 3 2 3" xfId="5437" xr:uid="{00000000-0005-0000-0000-0000E14B0000}"/>
    <cellStyle name="40 % - Markeringsfarve1 2 3 2 3 2" xfId="9149" xr:uid="{00000000-0005-0000-0000-0000E24B0000}"/>
    <cellStyle name="40 % - Markeringsfarve1 2 3 2 3 2 2" xfId="17013" xr:uid="{00000000-0005-0000-0000-0000E34B0000}"/>
    <cellStyle name="40 % - Markeringsfarve1 2 3 2 3 2 2 2" xfId="33289" xr:uid="{00000000-0005-0000-0000-0000E44B0000}"/>
    <cellStyle name="40 % - Markeringsfarve1 2 3 2 3 2 2 3" xfId="48248" xr:uid="{00000000-0005-0000-0000-0000E54B0000}"/>
    <cellStyle name="40 % - Markeringsfarve1 2 3 2 3 2 3" xfId="26287" xr:uid="{00000000-0005-0000-0000-0000E64B0000}"/>
    <cellStyle name="40 % - Markeringsfarve1 2 3 2 3 2 4" xfId="41251" xr:uid="{00000000-0005-0000-0000-0000E74B0000}"/>
    <cellStyle name="40 % - Markeringsfarve1 2 3 2 3 3" xfId="13922" xr:uid="{00000000-0005-0000-0000-0000E84B0000}"/>
    <cellStyle name="40 % - Markeringsfarve1 2 3 2 3 3 2" xfId="30201" xr:uid="{00000000-0005-0000-0000-0000E94B0000}"/>
    <cellStyle name="40 % - Markeringsfarve1 2 3 2 3 3 3" xfId="45161" xr:uid="{00000000-0005-0000-0000-0000EA4B0000}"/>
    <cellStyle name="40 % - Markeringsfarve1 2 3 2 3 4" xfId="23199" xr:uid="{00000000-0005-0000-0000-0000EB4B0000}"/>
    <cellStyle name="40 % - Markeringsfarve1 2 3 2 3 5" xfId="38164" xr:uid="{00000000-0005-0000-0000-0000EC4B0000}"/>
    <cellStyle name="40 % - Markeringsfarve1 2 3 2 4" xfId="5438" xr:uid="{00000000-0005-0000-0000-0000ED4B0000}"/>
    <cellStyle name="40 % - Markeringsfarve1 2 3 2 4 2" xfId="10980" xr:uid="{00000000-0005-0000-0000-0000EE4B0000}"/>
    <cellStyle name="40 % - Markeringsfarve1 2 3 2 4 2 2" xfId="18811" xr:uid="{00000000-0005-0000-0000-0000EF4B0000}"/>
    <cellStyle name="40 % - Markeringsfarve1 2 3 2 4 2 2 2" xfId="35087" xr:uid="{00000000-0005-0000-0000-0000F04B0000}"/>
    <cellStyle name="40 % - Markeringsfarve1 2 3 2 4 2 2 3" xfId="50046" xr:uid="{00000000-0005-0000-0000-0000F14B0000}"/>
    <cellStyle name="40 % - Markeringsfarve1 2 3 2 4 2 3" xfId="28085" xr:uid="{00000000-0005-0000-0000-0000F24B0000}"/>
    <cellStyle name="40 % - Markeringsfarve1 2 3 2 4 2 4" xfId="43049" xr:uid="{00000000-0005-0000-0000-0000F34B0000}"/>
    <cellStyle name="40 % - Markeringsfarve1 2 3 2 4 3" xfId="13923" xr:uid="{00000000-0005-0000-0000-0000F44B0000}"/>
    <cellStyle name="40 % - Markeringsfarve1 2 3 2 4 3 2" xfId="30202" xr:uid="{00000000-0005-0000-0000-0000F54B0000}"/>
    <cellStyle name="40 % - Markeringsfarve1 2 3 2 4 3 3" xfId="45162" xr:uid="{00000000-0005-0000-0000-0000F64B0000}"/>
    <cellStyle name="40 % - Markeringsfarve1 2 3 2 4 4" xfId="23200" xr:uid="{00000000-0005-0000-0000-0000F74B0000}"/>
    <cellStyle name="40 % - Markeringsfarve1 2 3 2 4 5" xfId="38165" xr:uid="{00000000-0005-0000-0000-0000F84B0000}"/>
    <cellStyle name="40 % - Markeringsfarve1 2 3 2 5" xfId="7970" xr:uid="{00000000-0005-0000-0000-0000F94B0000}"/>
    <cellStyle name="40 % - Markeringsfarve1 2 3 2 5 2" xfId="15835" xr:uid="{00000000-0005-0000-0000-0000FA4B0000}"/>
    <cellStyle name="40 % - Markeringsfarve1 2 3 2 5 2 2" xfId="32111" xr:uid="{00000000-0005-0000-0000-0000FB4B0000}"/>
    <cellStyle name="40 % - Markeringsfarve1 2 3 2 5 2 3" xfId="47070" xr:uid="{00000000-0005-0000-0000-0000FC4B0000}"/>
    <cellStyle name="40 % - Markeringsfarve1 2 3 2 5 3" xfId="25109" xr:uid="{00000000-0005-0000-0000-0000FD4B0000}"/>
    <cellStyle name="40 % - Markeringsfarve1 2 3 2 5 4" xfId="40073" xr:uid="{00000000-0005-0000-0000-0000FE4B0000}"/>
    <cellStyle name="40 % - Markeringsfarve1 2 3 2 6" xfId="13919" xr:uid="{00000000-0005-0000-0000-0000FF4B0000}"/>
    <cellStyle name="40 % - Markeringsfarve1 2 3 2 6 2" xfId="30198" xr:uid="{00000000-0005-0000-0000-0000004C0000}"/>
    <cellStyle name="40 % - Markeringsfarve1 2 3 2 6 3" xfId="45158" xr:uid="{00000000-0005-0000-0000-0000014C0000}"/>
    <cellStyle name="40 % - Markeringsfarve1 2 3 2 7" xfId="23196" xr:uid="{00000000-0005-0000-0000-0000024C0000}"/>
    <cellStyle name="40 % - Markeringsfarve1 2 3 2 8" xfId="38161" xr:uid="{00000000-0005-0000-0000-0000034C0000}"/>
    <cellStyle name="40 % - Markeringsfarve1 2 3 3" xfId="5439" xr:uid="{00000000-0005-0000-0000-0000044C0000}"/>
    <cellStyle name="40 % - Markeringsfarve1 2 3 3 2" xfId="5440" xr:uid="{00000000-0005-0000-0000-0000054C0000}"/>
    <cellStyle name="40 % - Markeringsfarve1 2 3 3 2 2" xfId="5441" xr:uid="{00000000-0005-0000-0000-0000064C0000}"/>
    <cellStyle name="40 % - Markeringsfarve1 2 3 3 2 2 2" xfId="9988" xr:uid="{00000000-0005-0000-0000-0000074C0000}"/>
    <cellStyle name="40 % - Markeringsfarve1 2 3 3 2 2 2 2" xfId="17843" xr:uid="{00000000-0005-0000-0000-0000084C0000}"/>
    <cellStyle name="40 % - Markeringsfarve1 2 3 3 2 2 2 2 2" xfId="34119" xr:uid="{00000000-0005-0000-0000-0000094C0000}"/>
    <cellStyle name="40 % - Markeringsfarve1 2 3 3 2 2 2 2 3" xfId="49078" xr:uid="{00000000-0005-0000-0000-00000A4C0000}"/>
    <cellStyle name="40 % - Markeringsfarve1 2 3 3 2 2 2 3" xfId="27117" xr:uid="{00000000-0005-0000-0000-00000B4C0000}"/>
    <cellStyle name="40 % - Markeringsfarve1 2 3 3 2 2 2 4" xfId="42081" xr:uid="{00000000-0005-0000-0000-00000C4C0000}"/>
    <cellStyle name="40 % - Markeringsfarve1 2 3 3 2 2 3" xfId="13926" xr:uid="{00000000-0005-0000-0000-00000D4C0000}"/>
    <cellStyle name="40 % - Markeringsfarve1 2 3 3 2 2 3 2" xfId="30205" xr:uid="{00000000-0005-0000-0000-00000E4C0000}"/>
    <cellStyle name="40 % - Markeringsfarve1 2 3 3 2 2 3 3" xfId="45165" xr:uid="{00000000-0005-0000-0000-00000F4C0000}"/>
    <cellStyle name="40 % - Markeringsfarve1 2 3 3 2 2 4" xfId="23203" xr:uid="{00000000-0005-0000-0000-0000104C0000}"/>
    <cellStyle name="40 % - Markeringsfarve1 2 3 3 2 2 5" xfId="38168" xr:uid="{00000000-0005-0000-0000-0000114C0000}"/>
    <cellStyle name="40 % - Markeringsfarve1 2 3 3 2 3" xfId="8544" xr:uid="{00000000-0005-0000-0000-0000124C0000}"/>
    <cellStyle name="40 % - Markeringsfarve1 2 3 3 2 3 2" xfId="16414" xr:uid="{00000000-0005-0000-0000-0000134C0000}"/>
    <cellStyle name="40 % - Markeringsfarve1 2 3 3 2 3 2 2" xfId="32690" xr:uid="{00000000-0005-0000-0000-0000144C0000}"/>
    <cellStyle name="40 % - Markeringsfarve1 2 3 3 2 3 2 3" xfId="47649" xr:uid="{00000000-0005-0000-0000-0000154C0000}"/>
    <cellStyle name="40 % - Markeringsfarve1 2 3 3 2 3 3" xfId="25688" xr:uid="{00000000-0005-0000-0000-0000164C0000}"/>
    <cellStyle name="40 % - Markeringsfarve1 2 3 3 2 3 4" xfId="40652" xr:uid="{00000000-0005-0000-0000-0000174C0000}"/>
    <cellStyle name="40 % - Markeringsfarve1 2 3 3 2 4" xfId="13925" xr:uid="{00000000-0005-0000-0000-0000184C0000}"/>
    <cellStyle name="40 % - Markeringsfarve1 2 3 3 2 4 2" xfId="30204" xr:uid="{00000000-0005-0000-0000-0000194C0000}"/>
    <cellStyle name="40 % - Markeringsfarve1 2 3 3 2 4 3" xfId="45164" xr:uid="{00000000-0005-0000-0000-00001A4C0000}"/>
    <cellStyle name="40 % - Markeringsfarve1 2 3 3 2 5" xfId="23202" xr:uid="{00000000-0005-0000-0000-00001B4C0000}"/>
    <cellStyle name="40 % - Markeringsfarve1 2 3 3 2 6" xfId="38167" xr:uid="{00000000-0005-0000-0000-00001C4C0000}"/>
    <cellStyle name="40 % - Markeringsfarve1 2 3 3 3" xfId="5442" xr:uid="{00000000-0005-0000-0000-00001D4C0000}"/>
    <cellStyle name="40 % - Markeringsfarve1 2 3 3 3 2" xfId="9219" xr:uid="{00000000-0005-0000-0000-00001E4C0000}"/>
    <cellStyle name="40 % - Markeringsfarve1 2 3 3 3 2 2" xfId="17083" xr:uid="{00000000-0005-0000-0000-00001F4C0000}"/>
    <cellStyle name="40 % - Markeringsfarve1 2 3 3 3 2 2 2" xfId="33359" xr:uid="{00000000-0005-0000-0000-0000204C0000}"/>
    <cellStyle name="40 % - Markeringsfarve1 2 3 3 3 2 2 3" xfId="48318" xr:uid="{00000000-0005-0000-0000-0000214C0000}"/>
    <cellStyle name="40 % - Markeringsfarve1 2 3 3 3 2 3" xfId="26357" xr:uid="{00000000-0005-0000-0000-0000224C0000}"/>
    <cellStyle name="40 % - Markeringsfarve1 2 3 3 3 2 4" xfId="41321" xr:uid="{00000000-0005-0000-0000-0000234C0000}"/>
    <cellStyle name="40 % - Markeringsfarve1 2 3 3 3 3" xfId="13927" xr:uid="{00000000-0005-0000-0000-0000244C0000}"/>
    <cellStyle name="40 % - Markeringsfarve1 2 3 3 3 3 2" xfId="30206" xr:uid="{00000000-0005-0000-0000-0000254C0000}"/>
    <cellStyle name="40 % - Markeringsfarve1 2 3 3 3 3 3" xfId="45166" xr:uid="{00000000-0005-0000-0000-0000264C0000}"/>
    <cellStyle name="40 % - Markeringsfarve1 2 3 3 3 4" xfId="23204" xr:uid="{00000000-0005-0000-0000-0000274C0000}"/>
    <cellStyle name="40 % - Markeringsfarve1 2 3 3 3 5" xfId="38169" xr:uid="{00000000-0005-0000-0000-0000284C0000}"/>
    <cellStyle name="40 % - Markeringsfarve1 2 3 3 4" xfId="5443" xr:uid="{00000000-0005-0000-0000-0000294C0000}"/>
    <cellStyle name="40 % - Markeringsfarve1 2 3 3 4 2" xfId="10700" xr:uid="{00000000-0005-0000-0000-00002A4C0000}"/>
    <cellStyle name="40 % - Markeringsfarve1 2 3 3 4 2 2" xfId="18544" xr:uid="{00000000-0005-0000-0000-00002B4C0000}"/>
    <cellStyle name="40 % - Markeringsfarve1 2 3 3 4 2 2 2" xfId="34820" xr:uid="{00000000-0005-0000-0000-00002C4C0000}"/>
    <cellStyle name="40 % - Markeringsfarve1 2 3 3 4 2 2 3" xfId="49779" xr:uid="{00000000-0005-0000-0000-00002D4C0000}"/>
    <cellStyle name="40 % - Markeringsfarve1 2 3 3 4 2 3" xfId="27818" xr:uid="{00000000-0005-0000-0000-00002E4C0000}"/>
    <cellStyle name="40 % - Markeringsfarve1 2 3 3 4 2 4" xfId="42782" xr:uid="{00000000-0005-0000-0000-00002F4C0000}"/>
    <cellStyle name="40 % - Markeringsfarve1 2 3 3 4 3" xfId="13928" xr:uid="{00000000-0005-0000-0000-0000304C0000}"/>
    <cellStyle name="40 % - Markeringsfarve1 2 3 3 4 3 2" xfId="30207" xr:uid="{00000000-0005-0000-0000-0000314C0000}"/>
    <cellStyle name="40 % - Markeringsfarve1 2 3 3 4 3 3" xfId="45167" xr:uid="{00000000-0005-0000-0000-0000324C0000}"/>
    <cellStyle name="40 % - Markeringsfarve1 2 3 3 4 4" xfId="23205" xr:uid="{00000000-0005-0000-0000-0000334C0000}"/>
    <cellStyle name="40 % - Markeringsfarve1 2 3 3 4 5" xfId="38170" xr:uid="{00000000-0005-0000-0000-0000344C0000}"/>
    <cellStyle name="40 % - Markeringsfarve1 2 3 3 5" xfId="7971" xr:uid="{00000000-0005-0000-0000-0000354C0000}"/>
    <cellStyle name="40 % - Markeringsfarve1 2 3 3 5 2" xfId="15836" xr:uid="{00000000-0005-0000-0000-0000364C0000}"/>
    <cellStyle name="40 % - Markeringsfarve1 2 3 3 5 2 2" xfId="32112" xr:uid="{00000000-0005-0000-0000-0000374C0000}"/>
    <cellStyle name="40 % - Markeringsfarve1 2 3 3 5 2 3" xfId="47071" xr:uid="{00000000-0005-0000-0000-0000384C0000}"/>
    <cellStyle name="40 % - Markeringsfarve1 2 3 3 5 3" xfId="25110" xr:uid="{00000000-0005-0000-0000-0000394C0000}"/>
    <cellStyle name="40 % - Markeringsfarve1 2 3 3 5 4" xfId="40074" xr:uid="{00000000-0005-0000-0000-00003A4C0000}"/>
    <cellStyle name="40 % - Markeringsfarve1 2 3 3 6" xfId="13924" xr:uid="{00000000-0005-0000-0000-00003B4C0000}"/>
    <cellStyle name="40 % - Markeringsfarve1 2 3 3 6 2" xfId="30203" xr:uid="{00000000-0005-0000-0000-00003C4C0000}"/>
    <cellStyle name="40 % - Markeringsfarve1 2 3 3 6 3" xfId="45163" xr:uid="{00000000-0005-0000-0000-00003D4C0000}"/>
    <cellStyle name="40 % - Markeringsfarve1 2 3 3 7" xfId="23201" xr:uid="{00000000-0005-0000-0000-00003E4C0000}"/>
    <cellStyle name="40 % - Markeringsfarve1 2 3 3 8" xfId="38166" xr:uid="{00000000-0005-0000-0000-00003F4C0000}"/>
    <cellStyle name="40 % - Markeringsfarve1 2 3 4" xfId="5444" xr:uid="{00000000-0005-0000-0000-0000404C0000}"/>
    <cellStyle name="40 % - Markeringsfarve1 2 3 4 2" xfId="5445" xr:uid="{00000000-0005-0000-0000-0000414C0000}"/>
    <cellStyle name="40 % - Markeringsfarve1 2 3 4 2 2" xfId="5446" xr:uid="{00000000-0005-0000-0000-0000424C0000}"/>
    <cellStyle name="40 % - Markeringsfarve1 2 3 4 2 2 2" xfId="10156" xr:uid="{00000000-0005-0000-0000-0000434C0000}"/>
    <cellStyle name="40 % - Markeringsfarve1 2 3 4 2 2 2 2" xfId="18011" xr:uid="{00000000-0005-0000-0000-0000444C0000}"/>
    <cellStyle name="40 % - Markeringsfarve1 2 3 4 2 2 2 2 2" xfId="34287" xr:uid="{00000000-0005-0000-0000-0000454C0000}"/>
    <cellStyle name="40 % - Markeringsfarve1 2 3 4 2 2 2 2 3" xfId="49246" xr:uid="{00000000-0005-0000-0000-0000464C0000}"/>
    <cellStyle name="40 % - Markeringsfarve1 2 3 4 2 2 2 3" xfId="27285" xr:uid="{00000000-0005-0000-0000-0000474C0000}"/>
    <cellStyle name="40 % - Markeringsfarve1 2 3 4 2 2 2 4" xfId="42249" xr:uid="{00000000-0005-0000-0000-0000484C0000}"/>
    <cellStyle name="40 % - Markeringsfarve1 2 3 4 2 2 3" xfId="13931" xr:uid="{00000000-0005-0000-0000-0000494C0000}"/>
    <cellStyle name="40 % - Markeringsfarve1 2 3 4 2 2 3 2" xfId="30210" xr:uid="{00000000-0005-0000-0000-00004A4C0000}"/>
    <cellStyle name="40 % - Markeringsfarve1 2 3 4 2 2 3 3" xfId="45170" xr:uid="{00000000-0005-0000-0000-00004B4C0000}"/>
    <cellStyle name="40 % - Markeringsfarve1 2 3 4 2 2 4" xfId="23208" xr:uid="{00000000-0005-0000-0000-00004C4C0000}"/>
    <cellStyle name="40 % - Markeringsfarve1 2 3 4 2 2 5" xfId="38173" xr:uid="{00000000-0005-0000-0000-00004D4C0000}"/>
    <cellStyle name="40 % - Markeringsfarve1 2 3 4 2 3" xfId="8688" xr:uid="{00000000-0005-0000-0000-00004E4C0000}"/>
    <cellStyle name="40 % - Markeringsfarve1 2 3 4 2 3 2" xfId="16555" xr:uid="{00000000-0005-0000-0000-00004F4C0000}"/>
    <cellStyle name="40 % - Markeringsfarve1 2 3 4 2 3 2 2" xfId="32831" xr:uid="{00000000-0005-0000-0000-0000504C0000}"/>
    <cellStyle name="40 % - Markeringsfarve1 2 3 4 2 3 2 3" xfId="47790" xr:uid="{00000000-0005-0000-0000-0000514C0000}"/>
    <cellStyle name="40 % - Markeringsfarve1 2 3 4 2 3 3" xfId="25829" xr:uid="{00000000-0005-0000-0000-0000524C0000}"/>
    <cellStyle name="40 % - Markeringsfarve1 2 3 4 2 3 4" xfId="40793" xr:uid="{00000000-0005-0000-0000-0000534C0000}"/>
    <cellStyle name="40 % - Markeringsfarve1 2 3 4 2 4" xfId="13930" xr:uid="{00000000-0005-0000-0000-0000544C0000}"/>
    <cellStyle name="40 % - Markeringsfarve1 2 3 4 2 4 2" xfId="30209" xr:uid="{00000000-0005-0000-0000-0000554C0000}"/>
    <cellStyle name="40 % - Markeringsfarve1 2 3 4 2 4 3" xfId="45169" xr:uid="{00000000-0005-0000-0000-0000564C0000}"/>
    <cellStyle name="40 % - Markeringsfarve1 2 3 4 2 5" xfId="23207" xr:uid="{00000000-0005-0000-0000-0000574C0000}"/>
    <cellStyle name="40 % - Markeringsfarve1 2 3 4 2 6" xfId="38172" xr:uid="{00000000-0005-0000-0000-0000584C0000}"/>
    <cellStyle name="40 % - Markeringsfarve1 2 3 4 3" xfId="5447" xr:uid="{00000000-0005-0000-0000-0000594C0000}"/>
    <cellStyle name="40 % - Markeringsfarve1 2 3 4 3 2" xfId="9433" xr:uid="{00000000-0005-0000-0000-00005A4C0000}"/>
    <cellStyle name="40 % - Markeringsfarve1 2 3 4 3 2 2" xfId="17296" xr:uid="{00000000-0005-0000-0000-00005B4C0000}"/>
    <cellStyle name="40 % - Markeringsfarve1 2 3 4 3 2 2 2" xfId="33572" xr:uid="{00000000-0005-0000-0000-00005C4C0000}"/>
    <cellStyle name="40 % - Markeringsfarve1 2 3 4 3 2 2 3" xfId="48531" xr:uid="{00000000-0005-0000-0000-00005D4C0000}"/>
    <cellStyle name="40 % - Markeringsfarve1 2 3 4 3 2 3" xfId="26570" xr:uid="{00000000-0005-0000-0000-00005E4C0000}"/>
    <cellStyle name="40 % - Markeringsfarve1 2 3 4 3 2 4" xfId="41534" xr:uid="{00000000-0005-0000-0000-00005F4C0000}"/>
    <cellStyle name="40 % - Markeringsfarve1 2 3 4 3 3" xfId="13932" xr:uid="{00000000-0005-0000-0000-0000604C0000}"/>
    <cellStyle name="40 % - Markeringsfarve1 2 3 4 3 3 2" xfId="30211" xr:uid="{00000000-0005-0000-0000-0000614C0000}"/>
    <cellStyle name="40 % - Markeringsfarve1 2 3 4 3 3 3" xfId="45171" xr:uid="{00000000-0005-0000-0000-0000624C0000}"/>
    <cellStyle name="40 % - Markeringsfarve1 2 3 4 3 4" xfId="23209" xr:uid="{00000000-0005-0000-0000-0000634C0000}"/>
    <cellStyle name="40 % - Markeringsfarve1 2 3 4 3 5" xfId="38174" xr:uid="{00000000-0005-0000-0000-0000644C0000}"/>
    <cellStyle name="40 % - Markeringsfarve1 2 3 4 4" xfId="5448" xr:uid="{00000000-0005-0000-0000-0000654C0000}"/>
    <cellStyle name="40 % - Markeringsfarve1 2 3 4 4 2" xfId="10921" xr:uid="{00000000-0005-0000-0000-0000664C0000}"/>
    <cellStyle name="40 % - Markeringsfarve1 2 3 4 4 2 2" xfId="18756" xr:uid="{00000000-0005-0000-0000-0000674C0000}"/>
    <cellStyle name="40 % - Markeringsfarve1 2 3 4 4 2 2 2" xfId="35032" xr:uid="{00000000-0005-0000-0000-0000684C0000}"/>
    <cellStyle name="40 % - Markeringsfarve1 2 3 4 4 2 2 3" xfId="49991" xr:uid="{00000000-0005-0000-0000-0000694C0000}"/>
    <cellStyle name="40 % - Markeringsfarve1 2 3 4 4 2 3" xfId="28030" xr:uid="{00000000-0005-0000-0000-00006A4C0000}"/>
    <cellStyle name="40 % - Markeringsfarve1 2 3 4 4 2 4" xfId="42994" xr:uid="{00000000-0005-0000-0000-00006B4C0000}"/>
    <cellStyle name="40 % - Markeringsfarve1 2 3 4 4 3" xfId="13933" xr:uid="{00000000-0005-0000-0000-00006C4C0000}"/>
    <cellStyle name="40 % - Markeringsfarve1 2 3 4 4 3 2" xfId="30212" xr:uid="{00000000-0005-0000-0000-00006D4C0000}"/>
    <cellStyle name="40 % - Markeringsfarve1 2 3 4 4 3 3" xfId="45172" xr:uid="{00000000-0005-0000-0000-00006E4C0000}"/>
    <cellStyle name="40 % - Markeringsfarve1 2 3 4 4 4" xfId="23210" xr:uid="{00000000-0005-0000-0000-00006F4C0000}"/>
    <cellStyle name="40 % - Markeringsfarve1 2 3 4 4 5" xfId="38175" xr:uid="{00000000-0005-0000-0000-0000704C0000}"/>
    <cellStyle name="40 % - Markeringsfarve1 2 3 4 5" xfId="7972" xr:uid="{00000000-0005-0000-0000-0000714C0000}"/>
    <cellStyle name="40 % - Markeringsfarve1 2 3 4 5 2" xfId="15837" xr:uid="{00000000-0005-0000-0000-0000724C0000}"/>
    <cellStyle name="40 % - Markeringsfarve1 2 3 4 5 2 2" xfId="32113" xr:uid="{00000000-0005-0000-0000-0000734C0000}"/>
    <cellStyle name="40 % - Markeringsfarve1 2 3 4 5 2 3" xfId="47072" xr:uid="{00000000-0005-0000-0000-0000744C0000}"/>
    <cellStyle name="40 % - Markeringsfarve1 2 3 4 5 3" xfId="25111" xr:uid="{00000000-0005-0000-0000-0000754C0000}"/>
    <cellStyle name="40 % - Markeringsfarve1 2 3 4 5 4" xfId="40075" xr:uid="{00000000-0005-0000-0000-0000764C0000}"/>
    <cellStyle name="40 % - Markeringsfarve1 2 3 4 6" xfId="13929" xr:uid="{00000000-0005-0000-0000-0000774C0000}"/>
    <cellStyle name="40 % - Markeringsfarve1 2 3 4 6 2" xfId="30208" xr:uid="{00000000-0005-0000-0000-0000784C0000}"/>
    <cellStyle name="40 % - Markeringsfarve1 2 3 4 6 3" xfId="45168" xr:uid="{00000000-0005-0000-0000-0000794C0000}"/>
    <cellStyle name="40 % - Markeringsfarve1 2 3 4 7" xfId="23206" xr:uid="{00000000-0005-0000-0000-00007A4C0000}"/>
    <cellStyle name="40 % - Markeringsfarve1 2 3 4 8" xfId="38171" xr:uid="{00000000-0005-0000-0000-00007B4C0000}"/>
    <cellStyle name="40 % - Markeringsfarve1 2 3 5" xfId="5449" xr:uid="{00000000-0005-0000-0000-00007C4C0000}"/>
    <cellStyle name="40 % - Markeringsfarve1 2 3 5 2" xfId="5450" xr:uid="{00000000-0005-0000-0000-00007D4C0000}"/>
    <cellStyle name="40 % - Markeringsfarve1 2 3 5 2 2" xfId="5451" xr:uid="{00000000-0005-0000-0000-00007E4C0000}"/>
    <cellStyle name="40 % - Markeringsfarve1 2 3 5 2 2 2" xfId="10273" xr:uid="{00000000-0005-0000-0000-00007F4C0000}"/>
    <cellStyle name="40 % - Markeringsfarve1 2 3 5 2 2 2 2" xfId="18128" xr:uid="{00000000-0005-0000-0000-0000804C0000}"/>
    <cellStyle name="40 % - Markeringsfarve1 2 3 5 2 2 2 2 2" xfId="34404" xr:uid="{00000000-0005-0000-0000-0000814C0000}"/>
    <cellStyle name="40 % - Markeringsfarve1 2 3 5 2 2 2 2 3" xfId="49363" xr:uid="{00000000-0005-0000-0000-0000824C0000}"/>
    <cellStyle name="40 % - Markeringsfarve1 2 3 5 2 2 2 3" xfId="27402" xr:uid="{00000000-0005-0000-0000-0000834C0000}"/>
    <cellStyle name="40 % - Markeringsfarve1 2 3 5 2 2 2 4" xfId="42366" xr:uid="{00000000-0005-0000-0000-0000844C0000}"/>
    <cellStyle name="40 % - Markeringsfarve1 2 3 5 2 2 3" xfId="13936" xr:uid="{00000000-0005-0000-0000-0000854C0000}"/>
    <cellStyle name="40 % - Markeringsfarve1 2 3 5 2 2 3 2" xfId="30215" xr:uid="{00000000-0005-0000-0000-0000864C0000}"/>
    <cellStyle name="40 % - Markeringsfarve1 2 3 5 2 2 3 3" xfId="45175" xr:uid="{00000000-0005-0000-0000-0000874C0000}"/>
    <cellStyle name="40 % - Markeringsfarve1 2 3 5 2 2 4" xfId="23213" xr:uid="{00000000-0005-0000-0000-0000884C0000}"/>
    <cellStyle name="40 % - Markeringsfarve1 2 3 5 2 2 5" xfId="38178" xr:uid="{00000000-0005-0000-0000-0000894C0000}"/>
    <cellStyle name="40 % - Markeringsfarve1 2 3 5 2 3" xfId="8787" xr:uid="{00000000-0005-0000-0000-00008A4C0000}"/>
    <cellStyle name="40 % - Markeringsfarve1 2 3 5 2 3 2" xfId="16654" xr:uid="{00000000-0005-0000-0000-00008B4C0000}"/>
    <cellStyle name="40 % - Markeringsfarve1 2 3 5 2 3 2 2" xfId="32930" xr:uid="{00000000-0005-0000-0000-00008C4C0000}"/>
    <cellStyle name="40 % - Markeringsfarve1 2 3 5 2 3 2 3" xfId="47889" xr:uid="{00000000-0005-0000-0000-00008D4C0000}"/>
    <cellStyle name="40 % - Markeringsfarve1 2 3 5 2 3 3" xfId="25928" xr:uid="{00000000-0005-0000-0000-00008E4C0000}"/>
    <cellStyle name="40 % - Markeringsfarve1 2 3 5 2 3 4" xfId="40892" xr:uid="{00000000-0005-0000-0000-00008F4C0000}"/>
    <cellStyle name="40 % - Markeringsfarve1 2 3 5 2 4" xfId="13935" xr:uid="{00000000-0005-0000-0000-0000904C0000}"/>
    <cellStyle name="40 % - Markeringsfarve1 2 3 5 2 4 2" xfId="30214" xr:uid="{00000000-0005-0000-0000-0000914C0000}"/>
    <cellStyle name="40 % - Markeringsfarve1 2 3 5 2 4 3" xfId="45174" xr:uid="{00000000-0005-0000-0000-0000924C0000}"/>
    <cellStyle name="40 % - Markeringsfarve1 2 3 5 2 5" xfId="23212" xr:uid="{00000000-0005-0000-0000-0000934C0000}"/>
    <cellStyle name="40 % - Markeringsfarve1 2 3 5 2 6" xfId="38177" xr:uid="{00000000-0005-0000-0000-0000944C0000}"/>
    <cellStyle name="40 % - Markeringsfarve1 2 3 5 3" xfId="5452" xr:uid="{00000000-0005-0000-0000-0000954C0000}"/>
    <cellStyle name="40 % - Markeringsfarve1 2 3 5 3 2" xfId="9550" xr:uid="{00000000-0005-0000-0000-0000964C0000}"/>
    <cellStyle name="40 % - Markeringsfarve1 2 3 5 3 2 2" xfId="17413" xr:uid="{00000000-0005-0000-0000-0000974C0000}"/>
    <cellStyle name="40 % - Markeringsfarve1 2 3 5 3 2 2 2" xfId="33689" xr:uid="{00000000-0005-0000-0000-0000984C0000}"/>
    <cellStyle name="40 % - Markeringsfarve1 2 3 5 3 2 2 3" xfId="48648" xr:uid="{00000000-0005-0000-0000-0000994C0000}"/>
    <cellStyle name="40 % - Markeringsfarve1 2 3 5 3 2 3" xfId="26687" xr:uid="{00000000-0005-0000-0000-00009A4C0000}"/>
    <cellStyle name="40 % - Markeringsfarve1 2 3 5 3 2 4" xfId="41651" xr:uid="{00000000-0005-0000-0000-00009B4C0000}"/>
    <cellStyle name="40 % - Markeringsfarve1 2 3 5 3 3" xfId="13937" xr:uid="{00000000-0005-0000-0000-00009C4C0000}"/>
    <cellStyle name="40 % - Markeringsfarve1 2 3 5 3 3 2" xfId="30216" xr:uid="{00000000-0005-0000-0000-00009D4C0000}"/>
    <cellStyle name="40 % - Markeringsfarve1 2 3 5 3 3 3" xfId="45176" xr:uid="{00000000-0005-0000-0000-00009E4C0000}"/>
    <cellStyle name="40 % - Markeringsfarve1 2 3 5 3 4" xfId="23214" xr:uid="{00000000-0005-0000-0000-00009F4C0000}"/>
    <cellStyle name="40 % - Markeringsfarve1 2 3 5 3 5" xfId="38179" xr:uid="{00000000-0005-0000-0000-0000A04C0000}"/>
    <cellStyle name="40 % - Markeringsfarve1 2 3 5 4" xfId="5453" xr:uid="{00000000-0005-0000-0000-0000A14C0000}"/>
    <cellStyle name="40 % - Markeringsfarve1 2 3 5 4 2" xfId="10644" xr:uid="{00000000-0005-0000-0000-0000A24C0000}"/>
    <cellStyle name="40 % - Markeringsfarve1 2 3 5 4 2 2" xfId="18491" xr:uid="{00000000-0005-0000-0000-0000A34C0000}"/>
    <cellStyle name="40 % - Markeringsfarve1 2 3 5 4 2 2 2" xfId="34767" xr:uid="{00000000-0005-0000-0000-0000A44C0000}"/>
    <cellStyle name="40 % - Markeringsfarve1 2 3 5 4 2 2 3" xfId="49726" xr:uid="{00000000-0005-0000-0000-0000A54C0000}"/>
    <cellStyle name="40 % - Markeringsfarve1 2 3 5 4 2 3" xfId="27765" xr:uid="{00000000-0005-0000-0000-0000A64C0000}"/>
    <cellStyle name="40 % - Markeringsfarve1 2 3 5 4 2 4" xfId="42729" xr:uid="{00000000-0005-0000-0000-0000A74C0000}"/>
    <cellStyle name="40 % - Markeringsfarve1 2 3 5 4 3" xfId="13938" xr:uid="{00000000-0005-0000-0000-0000A84C0000}"/>
    <cellStyle name="40 % - Markeringsfarve1 2 3 5 4 3 2" xfId="30217" xr:uid="{00000000-0005-0000-0000-0000A94C0000}"/>
    <cellStyle name="40 % - Markeringsfarve1 2 3 5 4 3 3" xfId="45177" xr:uid="{00000000-0005-0000-0000-0000AA4C0000}"/>
    <cellStyle name="40 % - Markeringsfarve1 2 3 5 4 4" xfId="23215" xr:uid="{00000000-0005-0000-0000-0000AB4C0000}"/>
    <cellStyle name="40 % - Markeringsfarve1 2 3 5 4 5" xfId="38180" xr:uid="{00000000-0005-0000-0000-0000AC4C0000}"/>
    <cellStyle name="40 % - Markeringsfarve1 2 3 5 5" xfId="7973" xr:uid="{00000000-0005-0000-0000-0000AD4C0000}"/>
    <cellStyle name="40 % - Markeringsfarve1 2 3 5 5 2" xfId="15838" xr:uid="{00000000-0005-0000-0000-0000AE4C0000}"/>
    <cellStyle name="40 % - Markeringsfarve1 2 3 5 5 2 2" xfId="32114" xr:uid="{00000000-0005-0000-0000-0000AF4C0000}"/>
    <cellStyle name="40 % - Markeringsfarve1 2 3 5 5 2 3" xfId="47073" xr:uid="{00000000-0005-0000-0000-0000B04C0000}"/>
    <cellStyle name="40 % - Markeringsfarve1 2 3 5 5 3" xfId="25112" xr:uid="{00000000-0005-0000-0000-0000B14C0000}"/>
    <cellStyle name="40 % - Markeringsfarve1 2 3 5 5 4" xfId="40076" xr:uid="{00000000-0005-0000-0000-0000B24C0000}"/>
    <cellStyle name="40 % - Markeringsfarve1 2 3 5 6" xfId="13934" xr:uid="{00000000-0005-0000-0000-0000B34C0000}"/>
    <cellStyle name="40 % - Markeringsfarve1 2 3 5 6 2" xfId="30213" xr:uid="{00000000-0005-0000-0000-0000B44C0000}"/>
    <cellStyle name="40 % - Markeringsfarve1 2 3 5 6 3" xfId="45173" xr:uid="{00000000-0005-0000-0000-0000B54C0000}"/>
    <cellStyle name="40 % - Markeringsfarve1 2 3 5 7" xfId="23211" xr:uid="{00000000-0005-0000-0000-0000B64C0000}"/>
    <cellStyle name="40 % - Markeringsfarve1 2 3 5 8" xfId="38176" xr:uid="{00000000-0005-0000-0000-0000B74C0000}"/>
    <cellStyle name="40 % - Markeringsfarve1 2 3 6" xfId="5454" xr:uid="{00000000-0005-0000-0000-0000B84C0000}"/>
    <cellStyle name="40 % - Markeringsfarve1 2 3 6 2" xfId="5455" xr:uid="{00000000-0005-0000-0000-0000B94C0000}"/>
    <cellStyle name="40 % - Markeringsfarve1 2 3 6 2 2" xfId="5456" xr:uid="{00000000-0005-0000-0000-0000BA4C0000}"/>
    <cellStyle name="40 % - Markeringsfarve1 2 3 6 2 2 2" xfId="10342" xr:uid="{00000000-0005-0000-0000-0000BB4C0000}"/>
    <cellStyle name="40 % - Markeringsfarve1 2 3 6 2 2 2 2" xfId="18197" xr:uid="{00000000-0005-0000-0000-0000BC4C0000}"/>
    <cellStyle name="40 % - Markeringsfarve1 2 3 6 2 2 2 2 2" xfId="34473" xr:uid="{00000000-0005-0000-0000-0000BD4C0000}"/>
    <cellStyle name="40 % - Markeringsfarve1 2 3 6 2 2 2 2 3" xfId="49432" xr:uid="{00000000-0005-0000-0000-0000BE4C0000}"/>
    <cellStyle name="40 % - Markeringsfarve1 2 3 6 2 2 2 3" xfId="27471" xr:uid="{00000000-0005-0000-0000-0000BF4C0000}"/>
    <cellStyle name="40 % - Markeringsfarve1 2 3 6 2 2 2 4" xfId="42435" xr:uid="{00000000-0005-0000-0000-0000C04C0000}"/>
    <cellStyle name="40 % - Markeringsfarve1 2 3 6 2 2 3" xfId="13941" xr:uid="{00000000-0005-0000-0000-0000C14C0000}"/>
    <cellStyle name="40 % - Markeringsfarve1 2 3 6 2 2 3 2" xfId="30220" xr:uid="{00000000-0005-0000-0000-0000C24C0000}"/>
    <cellStyle name="40 % - Markeringsfarve1 2 3 6 2 2 3 3" xfId="45180" xr:uid="{00000000-0005-0000-0000-0000C34C0000}"/>
    <cellStyle name="40 % - Markeringsfarve1 2 3 6 2 2 4" xfId="23218" xr:uid="{00000000-0005-0000-0000-0000C44C0000}"/>
    <cellStyle name="40 % - Markeringsfarve1 2 3 6 2 2 5" xfId="38183" xr:uid="{00000000-0005-0000-0000-0000C54C0000}"/>
    <cellStyle name="40 % - Markeringsfarve1 2 3 6 2 3" xfId="8845" xr:uid="{00000000-0005-0000-0000-0000C64C0000}"/>
    <cellStyle name="40 % - Markeringsfarve1 2 3 6 2 3 2" xfId="16712" xr:uid="{00000000-0005-0000-0000-0000C74C0000}"/>
    <cellStyle name="40 % - Markeringsfarve1 2 3 6 2 3 2 2" xfId="32988" xr:uid="{00000000-0005-0000-0000-0000C84C0000}"/>
    <cellStyle name="40 % - Markeringsfarve1 2 3 6 2 3 2 3" xfId="47947" xr:uid="{00000000-0005-0000-0000-0000C94C0000}"/>
    <cellStyle name="40 % - Markeringsfarve1 2 3 6 2 3 3" xfId="25986" xr:uid="{00000000-0005-0000-0000-0000CA4C0000}"/>
    <cellStyle name="40 % - Markeringsfarve1 2 3 6 2 3 4" xfId="40950" xr:uid="{00000000-0005-0000-0000-0000CB4C0000}"/>
    <cellStyle name="40 % - Markeringsfarve1 2 3 6 2 4" xfId="13940" xr:uid="{00000000-0005-0000-0000-0000CC4C0000}"/>
    <cellStyle name="40 % - Markeringsfarve1 2 3 6 2 4 2" xfId="30219" xr:uid="{00000000-0005-0000-0000-0000CD4C0000}"/>
    <cellStyle name="40 % - Markeringsfarve1 2 3 6 2 4 3" xfId="45179" xr:uid="{00000000-0005-0000-0000-0000CE4C0000}"/>
    <cellStyle name="40 % - Markeringsfarve1 2 3 6 2 5" xfId="23217" xr:uid="{00000000-0005-0000-0000-0000CF4C0000}"/>
    <cellStyle name="40 % - Markeringsfarve1 2 3 6 2 6" xfId="38182" xr:uid="{00000000-0005-0000-0000-0000D04C0000}"/>
    <cellStyle name="40 % - Markeringsfarve1 2 3 6 3" xfId="5457" xr:uid="{00000000-0005-0000-0000-0000D14C0000}"/>
    <cellStyle name="40 % - Markeringsfarve1 2 3 6 3 2" xfId="9620" xr:uid="{00000000-0005-0000-0000-0000D24C0000}"/>
    <cellStyle name="40 % - Markeringsfarve1 2 3 6 3 2 2" xfId="17483" xr:uid="{00000000-0005-0000-0000-0000D34C0000}"/>
    <cellStyle name="40 % - Markeringsfarve1 2 3 6 3 2 2 2" xfId="33759" xr:uid="{00000000-0005-0000-0000-0000D44C0000}"/>
    <cellStyle name="40 % - Markeringsfarve1 2 3 6 3 2 2 3" xfId="48718" xr:uid="{00000000-0005-0000-0000-0000D54C0000}"/>
    <cellStyle name="40 % - Markeringsfarve1 2 3 6 3 2 3" xfId="26757" xr:uid="{00000000-0005-0000-0000-0000D64C0000}"/>
    <cellStyle name="40 % - Markeringsfarve1 2 3 6 3 2 4" xfId="41721" xr:uid="{00000000-0005-0000-0000-0000D74C0000}"/>
    <cellStyle name="40 % - Markeringsfarve1 2 3 6 3 3" xfId="13942" xr:uid="{00000000-0005-0000-0000-0000D84C0000}"/>
    <cellStyle name="40 % - Markeringsfarve1 2 3 6 3 3 2" xfId="30221" xr:uid="{00000000-0005-0000-0000-0000D94C0000}"/>
    <cellStyle name="40 % - Markeringsfarve1 2 3 6 3 3 3" xfId="45181" xr:uid="{00000000-0005-0000-0000-0000DA4C0000}"/>
    <cellStyle name="40 % - Markeringsfarve1 2 3 6 3 4" xfId="23219" xr:uid="{00000000-0005-0000-0000-0000DB4C0000}"/>
    <cellStyle name="40 % - Markeringsfarve1 2 3 6 3 5" xfId="38184" xr:uid="{00000000-0005-0000-0000-0000DC4C0000}"/>
    <cellStyle name="40 % - Markeringsfarve1 2 3 6 4" xfId="5458" xr:uid="{00000000-0005-0000-0000-0000DD4C0000}"/>
    <cellStyle name="40 % - Markeringsfarve1 2 3 6 4 2" xfId="10879" xr:uid="{00000000-0005-0000-0000-0000DE4C0000}"/>
    <cellStyle name="40 % - Markeringsfarve1 2 3 6 4 2 2" xfId="18716" xr:uid="{00000000-0005-0000-0000-0000DF4C0000}"/>
    <cellStyle name="40 % - Markeringsfarve1 2 3 6 4 2 2 2" xfId="34992" xr:uid="{00000000-0005-0000-0000-0000E04C0000}"/>
    <cellStyle name="40 % - Markeringsfarve1 2 3 6 4 2 2 3" xfId="49951" xr:uid="{00000000-0005-0000-0000-0000E14C0000}"/>
    <cellStyle name="40 % - Markeringsfarve1 2 3 6 4 2 3" xfId="27990" xr:uid="{00000000-0005-0000-0000-0000E24C0000}"/>
    <cellStyle name="40 % - Markeringsfarve1 2 3 6 4 2 4" xfId="42954" xr:uid="{00000000-0005-0000-0000-0000E34C0000}"/>
    <cellStyle name="40 % - Markeringsfarve1 2 3 6 4 3" xfId="13943" xr:uid="{00000000-0005-0000-0000-0000E44C0000}"/>
    <cellStyle name="40 % - Markeringsfarve1 2 3 6 4 3 2" xfId="30222" xr:uid="{00000000-0005-0000-0000-0000E54C0000}"/>
    <cellStyle name="40 % - Markeringsfarve1 2 3 6 4 3 3" xfId="45182" xr:uid="{00000000-0005-0000-0000-0000E64C0000}"/>
    <cellStyle name="40 % - Markeringsfarve1 2 3 6 4 4" xfId="23220" xr:uid="{00000000-0005-0000-0000-0000E74C0000}"/>
    <cellStyle name="40 % - Markeringsfarve1 2 3 6 4 5" xfId="38185" xr:uid="{00000000-0005-0000-0000-0000E84C0000}"/>
    <cellStyle name="40 % - Markeringsfarve1 2 3 6 5" xfId="7974" xr:uid="{00000000-0005-0000-0000-0000E94C0000}"/>
    <cellStyle name="40 % - Markeringsfarve1 2 3 6 5 2" xfId="15839" xr:uid="{00000000-0005-0000-0000-0000EA4C0000}"/>
    <cellStyle name="40 % - Markeringsfarve1 2 3 6 5 2 2" xfId="32115" xr:uid="{00000000-0005-0000-0000-0000EB4C0000}"/>
    <cellStyle name="40 % - Markeringsfarve1 2 3 6 5 2 3" xfId="47074" xr:uid="{00000000-0005-0000-0000-0000EC4C0000}"/>
    <cellStyle name="40 % - Markeringsfarve1 2 3 6 5 3" xfId="25113" xr:uid="{00000000-0005-0000-0000-0000ED4C0000}"/>
    <cellStyle name="40 % - Markeringsfarve1 2 3 6 5 4" xfId="40077" xr:uid="{00000000-0005-0000-0000-0000EE4C0000}"/>
    <cellStyle name="40 % - Markeringsfarve1 2 3 6 6" xfId="13939" xr:uid="{00000000-0005-0000-0000-0000EF4C0000}"/>
    <cellStyle name="40 % - Markeringsfarve1 2 3 6 6 2" xfId="30218" xr:uid="{00000000-0005-0000-0000-0000F04C0000}"/>
    <cellStyle name="40 % - Markeringsfarve1 2 3 6 6 3" xfId="45178" xr:uid="{00000000-0005-0000-0000-0000F14C0000}"/>
    <cellStyle name="40 % - Markeringsfarve1 2 3 6 7" xfId="23216" xr:uid="{00000000-0005-0000-0000-0000F24C0000}"/>
    <cellStyle name="40 % - Markeringsfarve1 2 3 6 8" xfId="38181" xr:uid="{00000000-0005-0000-0000-0000F34C0000}"/>
    <cellStyle name="40 % - Markeringsfarve1 2 3 7" xfId="5459" xr:uid="{00000000-0005-0000-0000-0000F44C0000}"/>
    <cellStyle name="40 % - Markeringsfarve1 2 3 7 2" xfId="5460" xr:uid="{00000000-0005-0000-0000-0000F54C0000}"/>
    <cellStyle name="40 % - Markeringsfarve1 2 3 7 2 2" xfId="9800" xr:uid="{00000000-0005-0000-0000-0000F64C0000}"/>
    <cellStyle name="40 % - Markeringsfarve1 2 3 7 2 2 2" xfId="17654" xr:uid="{00000000-0005-0000-0000-0000F74C0000}"/>
    <cellStyle name="40 % - Markeringsfarve1 2 3 7 2 2 2 2" xfId="33930" xr:uid="{00000000-0005-0000-0000-0000F84C0000}"/>
    <cellStyle name="40 % - Markeringsfarve1 2 3 7 2 2 2 3" xfId="48889" xr:uid="{00000000-0005-0000-0000-0000F94C0000}"/>
    <cellStyle name="40 % - Markeringsfarve1 2 3 7 2 2 3" xfId="26928" xr:uid="{00000000-0005-0000-0000-0000FA4C0000}"/>
    <cellStyle name="40 % - Markeringsfarve1 2 3 7 2 2 4" xfId="41892" xr:uid="{00000000-0005-0000-0000-0000FB4C0000}"/>
    <cellStyle name="40 % - Markeringsfarve1 2 3 7 2 3" xfId="13945" xr:uid="{00000000-0005-0000-0000-0000FC4C0000}"/>
    <cellStyle name="40 % - Markeringsfarve1 2 3 7 2 3 2" xfId="30224" xr:uid="{00000000-0005-0000-0000-0000FD4C0000}"/>
    <cellStyle name="40 % - Markeringsfarve1 2 3 7 2 3 3" xfId="45184" xr:uid="{00000000-0005-0000-0000-0000FE4C0000}"/>
    <cellStyle name="40 % - Markeringsfarve1 2 3 7 2 4" xfId="23222" xr:uid="{00000000-0005-0000-0000-0000FF4C0000}"/>
    <cellStyle name="40 % - Markeringsfarve1 2 3 7 2 5" xfId="38187" xr:uid="{00000000-0005-0000-0000-0000004D0000}"/>
    <cellStyle name="40 % - Markeringsfarve1 2 3 7 3" xfId="8387" xr:uid="{00000000-0005-0000-0000-0000014D0000}"/>
    <cellStyle name="40 % - Markeringsfarve1 2 3 7 3 2" xfId="16257" xr:uid="{00000000-0005-0000-0000-0000024D0000}"/>
    <cellStyle name="40 % - Markeringsfarve1 2 3 7 3 2 2" xfId="32533" xr:uid="{00000000-0005-0000-0000-0000034D0000}"/>
    <cellStyle name="40 % - Markeringsfarve1 2 3 7 3 2 3" xfId="47492" xr:uid="{00000000-0005-0000-0000-0000044D0000}"/>
    <cellStyle name="40 % - Markeringsfarve1 2 3 7 3 3" xfId="25531" xr:uid="{00000000-0005-0000-0000-0000054D0000}"/>
    <cellStyle name="40 % - Markeringsfarve1 2 3 7 3 4" xfId="40495" xr:uid="{00000000-0005-0000-0000-0000064D0000}"/>
    <cellStyle name="40 % - Markeringsfarve1 2 3 7 4" xfId="13944" xr:uid="{00000000-0005-0000-0000-0000074D0000}"/>
    <cellStyle name="40 % - Markeringsfarve1 2 3 7 4 2" xfId="30223" xr:uid="{00000000-0005-0000-0000-0000084D0000}"/>
    <cellStyle name="40 % - Markeringsfarve1 2 3 7 4 3" xfId="45183" xr:uid="{00000000-0005-0000-0000-0000094D0000}"/>
    <cellStyle name="40 % - Markeringsfarve1 2 3 7 5" xfId="23221" xr:uid="{00000000-0005-0000-0000-00000A4D0000}"/>
    <cellStyle name="40 % - Markeringsfarve1 2 3 7 6" xfId="38186" xr:uid="{00000000-0005-0000-0000-00000B4D0000}"/>
    <cellStyle name="40 % - Markeringsfarve1 2 3 8" xfId="5461" xr:uid="{00000000-0005-0000-0000-00000C4D0000}"/>
    <cellStyle name="40 % - Markeringsfarve1 2 3 8 2" xfId="9028" xr:uid="{00000000-0005-0000-0000-00000D4D0000}"/>
    <cellStyle name="40 % - Markeringsfarve1 2 3 8 2 2" xfId="16892" xr:uid="{00000000-0005-0000-0000-00000E4D0000}"/>
    <cellStyle name="40 % - Markeringsfarve1 2 3 8 2 2 2" xfId="33168" xr:uid="{00000000-0005-0000-0000-00000F4D0000}"/>
    <cellStyle name="40 % - Markeringsfarve1 2 3 8 2 2 3" xfId="48127" xr:uid="{00000000-0005-0000-0000-0000104D0000}"/>
    <cellStyle name="40 % - Markeringsfarve1 2 3 8 2 3" xfId="26166" xr:uid="{00000000-0005-0000-0000-0000114D0000}"/>
    <cellStyle name="40 % - Markeringsfarve1 2 3 8 2 4" xfId="41130" xr:uid="{00000000-0005-0000-0000-0000124D0000}"/>
    <cellStyle name="40 % - Markeringsfarve1 2 3 8 3" xfId="13946" xr:uid="{00000000-0005-0000-0000-0000134D0000}"/>
    <cellStyle name="40 % - Markeringsfarve1 2 3 8 3 2" xfId="30225" xr:uid="{00000000-0005-0000-0000-0000144D0000}"/>
    <cellStyle name="40 % - Markeringsfarve1 2 3 8 3 3" xfId="45185" xr:uid="{00000000-0005-0000-0000-0000154D0000}"/>
    <cellStyle name="40 % - Markeringsfarve1 2 3 8 4" xfId="23223" xr:uid="{00000000-0005-0000-0000-0000164D0000}"/>
    <cellStyle name="40 % - Markeringsfarve1 2 3 8 5" xfId="38188" xr:uid="{00000000-0005-0000-0000-0000174D0000}"/>
    <cellStyle name="40 % - Markeringsfarve1 2 3 9" xfId="5462" xr:uid="{00000000-0005-0000-0000-0000184D0000}"/>
    <cellStyle name="40 % - Markeringsfarve1 2 3 9 2" xfId="10748" xr:uid="{00000000-0005-0000-0000-0000194D0000}"/>
    <cellStyle name="40 % - Markeringsfarve1 2 3 9 2 2" xfId="18591" xr:uid="{00000000-0005-0000-0000-00001A4D0000}"/>
    <cellStyle name="40 % - Markeringsfarve1 2 3 9 2 2 2" xfId="34867" xr:uid="{00000000-0005-0000-0000-00001B4D0000}"/>
    <cellStyle name="40 % - Markeringsfarve1 2 3 9 2 2 3" xfId="49826" xr:uid="{00000000-0005-0000-0000-00001C4D0000}"/>
    <cellStyle name="40 % - Markeringsfarve1 2 3 9 2 3" xfId="27865" xr:uid="{00000000-0005-0000-0000-00001D4D0000}"/>
    <cellStyle name="40 % - Markeringsfarve1 2 3 9 2 4" xfId="42829" xr:uid="{00000000-0005-0000-0000-00001E4D0000}"/>
    <cellStyle name="40 % - Markeringsfarve1 2 3 9 3" xfId="13947" xr:uid="{00000000-0005-0000-0000-00001F4D0000}"/>
    <cellStyle name="40 % - Markeringsfarve1 2 3 9 3 2" xfId="30226" xr:uid="{00000000-0005-0000-0000-0000204D0000}"/>
    <cellStyle name="40 % - Markeringsfarve1 2 3 9 3 3" xfId="45186" xr:uid="{00000000-0005-0000-0000-0000214D0000}"/>
    <cellStyle name="40 % - Markeringsfarve1 2 3 9 4" xfId="23224" xr:uid="{00000000-0005-0000-0000-0000224D0000}"/>
    <cellStyle name="40 % - Markeringsfarve1 2 3 9 5" xfId="38189" xr:uid="{00000000-0005-0000-0000-0000234D0000}"/>
    <cellStyle name="40 % - Markeringsfarve1 2 4" xfId="5463" xr:uid="{00000000-0005-0000-0000-0000244D0000}"/>
    <cellStyle name="40 % - Markeringsfarve1 2 4 2" xfId="5464" xr:uid="{00000000-0005-0000-0000-0000254D0000}"/>
    <cellStyle name="40 % - Markeringsfarve1 2 4 2 2" xfId="5465" xr:uid="{00000000-0005-0000-0000-0000264D0000}"/>
    <cellStyle name="40 % - Markeringsfarve1 2 4 2 2 2" xfId="9840" xr:uid="{00000000-0005-0000-0000-0000274D0000}"/>
    <cellStyle name="40 % - Markeringsfarve1 2 4 2 2 2 2" xfId="17695" xr:uid="{00000000-0005-0000-0000-0000284D0000}"/>
    <cellStyle name="40 % - Markeringsfarve1 2 4 2 2 2 2 2" xfId="33971" xr:uid="{00000000-0005-0000-0000-0000294D0000}"/>
    <cellStyle name="40 % - Markeringsfarve1 2 4 2 2 2 2 3" xfId="48930" xr:uid="{00000000-0005-0000-0000-00002A4D0000}"/>
    <cellStyle name="40 % - Markeringsfarve1 2 4 2 2 2 3" xfId="26969" xr:uid="{00000000-0005-0000-0000-00002B4D0000}"/>
    <cellStyle name="40 % - Markeringsfarve1 2 4 2 2 2 4" xfId="41933" xr:uid="{00000000-0005-0000-0000-00002C4D0000}"/>
    <cellStyle name="40 % - Markeringsfarve1 2 4 2 2 3" xfId="13950" xr:uid="{00000000-0005-0000-0000-00002D4D0000}"/>
    <cellStyle name="40 % - Markeringsfarve1 2 4 2 2 3 2" xfId="30229" xr:uid="{00000000-0005-0000-0000-00002E4D0000}"/>
    <cellStyle name="40 % - Markeringsfarve1 2 4 2 2 3 3" xfId="45189" xr:uid="{00000000-0005-0000-0000-00002F4D0000}"/>
    <cellStyle name="40 % - Markeringsfarve1 2 4 2 2 4" xfId="23227" xr:uid="{00000000-0005-0000-0000-0000304D0000}"/>
    <cellStyle name="40 % - Markeringsfarve1 2 4 2 2 5" xfId="38192" xr:uid="{00000000-0005-0000-0000-0000314D0000}"/>
    <cellStyle name="40 % - Markeringsfarve1 2 4 2 3" xfId="8420" xr:uid="{00000000-0005-0000-0000-0000324D0000}"/>
    <cellStyle name="40 % - Markeringsfarve1 2 4 2 3 2" xfId="16290" xr:uid="{00000000-0005-0000-0000-0000334D0000}"/>
    <cellStyle name="40 % - Markeringsfarve1 2 4 2 3 2 2" xfId="32566" xr:uid="{00000000-0005-0000-0000-0000344D0000}"/>
    <cellStyle name="40 % - Markeringsfarve1 2 4 2 3 2 3" xfId="47525" xr:uid="{00000000-0005-0000-0000-0000354D0000}"/>
    <cellStyle name="40 % - Markeringsfarve1 2 4 2 3 3" xfId="25564" xr:uid="{00000000-0005-0000-0000-0000364D0000}"/>
    <cellStyle name="40 % - Markeringsfarve1 2 4 2 3 4" xfId="40528" xr:uid="{00000000-0005-0000-0000-0000374D0000}"/>
    <cellStyle name="40 % - Markeringsfarve1 2 4 2 4" xfId="13949" xr:uid="{00000000-0005-0000-0000-0000384D0000}"/>
    <cellStyle name="40 % - Markeringsfarve1 2 4 2 4 2" xfId="30228" xr:uid="{00000000-0005-0000-0000-0000394D0000}"/>
    <cellStyle name="40 % - Markeringsfarve1 2 4 2 4 3" xfId="45188" xr:uid="{00000000-0005-0000-0000-00003A4D0000}"/>
    <cellStyle name="40 % - Markeringsfarve1 2 4 2 5" xfId="23226" xr:uid="{00000000-0005-0000-0000-00003B4D0000}"/>
    <cellStyle name="40 % - Markeringsfarve1 2 4 2 6" xfId="38191" xr:uid="{00000000-0005-0000-0000-00003C4D0000}"/>
    <cellStyle name="40 % - Markeringsfarve1 2 4 3" xfId="5466" xr:uid="{00000000-0005-0000-0000-00003D4D0000}"/>
    <cellStyle name="40 % - Markeringsfarve1 2 4 3 2" xfId="9071" xr:uid="{00000000-0005-0000-0000-00003E4D0000}"/>
    <cellStyle name="40 % - Markeringsfarve1 2 4 3 2 2" xfId="16935" xr:uid="{00000000-0005-0000-0000-00003F4D0000}"/>
    <cellStyle name="40 % - Markeringsfarve1 2 4 3 2 2 2" xfId="33211" xr:uid="{00000000-0005-0000-0000-0000404D0000}"/>
    <cellStyle name="40 % - Markeringsfarve1 2 4 3 2 2 3" xfId="48170" xr:uid="{00000000-0005-0000-0000-0000414D0000}"/>
    <cellStyle name="40 % - Markeringsfarve1 2 4 3 2 3" xfId="26209" xr:uid="{00000000-0005-0000-0000-0000424D0000}"/>
    <cellStyle name="40 % - Markeringsfarve1 2 4 3 2 4" xfId="41173" xr:uid="{00000000-0005-0000-0000-0000434D0000}"/>
    <cellStyle name="40 % - Markeringsfarve1 2 4 3 3" xfId="13951" xr:uid="{00000000-0005-0000-0000-0000444D0000}"/>
    <cellStyle name="40 % - Markeringsfarve1 2 4 3 3 2" xfId="30230" xr:uid="{00000000-0005-0000-0000-0000454D0000}"/>
    <cellStyle name="40 % - Markeringsfarve1 2 4 3 3 3" xfId="45190" xr:uid="{00000000-0005-0000-0000-0000464D0000}"/>
    <cellStyle name="40 % - Markeringsfarve1 2 4 3 4" xfId="23228" xr:uid="{00000000-0005-0000-0000-0000474D0000}"/>
    <cellStyle name="40 % - Markeringsfarve1 2 4 3 5" xfId="38193" xr:uid="{00000000-0005-0000-0000-0000484D0000}"/>
    <cellStyle name="40 % - Markeringsfarve1 2 4 4" xfId="5467" xr:uid="{00000000-0005-0000-0000-0000494D0000}"/>
    <cellStyle name="40 % - Markeringsfarve1 2 4 4 2" xfId="10603" xr:uid="{00000000-0005-0000-0000-00004A4D0000}"/>
    <cellStyle name="40 % - Markeringsfarve1 2 4 4 2 2" xfId="18451" xr:uid="{00000000-0005-0000-0000-00004B4D0000}"/>
    <cellStyle name="40 % - Markeringsfarve1 2 4 4 2 2 2" xfId="34727" xr:uid="{00000000-0005-0000-0000-00004C4D0000}"/>
    <cellStyle name="40 % - Markeringsfarve1 2 4 4 2 2 3" xfId="49686" xr:uid="{00000000-0005-0000-0000-00004D4D0000}"/>
    <cellStyle name="40 % - Markeringsfarve1 2 4 4 2 3" xfId="27725" xr:uid="{00000000-0005-0000-0000-00004E4D0000}"/>
    <cellStyle name="40 % - Markeringsfarve1 2 4 4 2 4" xfId="42689" xr:uid="{00000000-0005-0000-0000-00004F4D0000}"/>
    <cellStyle name="40 % - Markeringsfarve1 2 4 4 3" xfId="13952" xr:uid="{00000000-0005-0000-0000-0000504D0000}"/>
    <cellStyle name="40 % - Markeringsfarve1 2 4 4 3 2" xfId="30231" xr:uid="{00000000-0005-0000-0000-0000514D0000}"/>
    <cellStyle name="40 % - Markeringsfarve1 2 4 4 3 3" xfId="45191" xr:uid="{00000000-0005-0000-0000-0000524D0000}"/>
    <cellStyle name="40 % - Markeringsfarve1 2 4 4 4" xfId="23229" xr:uid="{00000000-0005-0000-0000-0000534D0000}"/>
    <cellStyle name="40 % - Markeringsfarve1 2 4 4 5" xfId="38194" xr:uid="{00000000-0005-0000-0000-0000544D0000}"/>
    <cellStyle name="40 % - Markeringsfarve1 2 4 5" xfId="7975" xr:uid="{00000000-0005-0000-0000-0000554D0000}"/>
    <cellStyle name="40 % - Markeringsfarve1 2 4 5 2" xfId="15840" xr:uid="{00000000-0005-0000-0000-0000564D0000}"/>
    <cellStyle name="40 % - Markeringsfarve1 2 4 5 2 2" xfId="32116" xr:uid="{00000000-0005-0000-0000-0000574D0000}"/>
    <cellStyle name="40 % - Markeringsfarve1 2 4 5 2 3" xfId="47075" xr:uid="{00000000-0005-0000-0000-0000584D0000}"/>
    <cellStyle name="40 % - Markeringsfarve1 2 4 5 3" xfId="25114" xr:uid="{00000000-0005-0000-0000-0000594D0000}"/>
    <cellStyle name="40 % - Markeringsfarve1 2 4 5 4" xfId="40078" xr:uid="{00000000-0005-0000-0000-00005A4D0000}"/>
    <cellStyle name="40 % - Markeringsfarve1 2 4 6" xfId="13948" xr:uid="{00000000-0005-0000-0000-00005B4D0000}"/>
    <cellStyle name="40 % - Markeringsfarve1 2 4 6 2" xfId="30227" xr:uid="{00000000-0005-0000-0000-00005C4D0000}"/>
    <cellStyle name="40 % - Markeringsfarve1 2 4 6 3" xfId="45187" xr:uid="{00000000-0005-0000-0000-00005D4D0000}"/>
    <cellStyle name="40 % - Markeringsfarve1 2 4 7" xfId="23225" xr:uid="{00000000-0005-0000-0000-00005E4D0000}"/>
    <cellStyle name="40 % - Markeringsfarve1 2 4 8" xfId="38190" xr:uid="{00000000-0005-0000-0000-00005F4D0000}"/>
    <cellStyle name="40 % - Markeringsfarve1 2 5" xfId="5468" xr:uid="{00000000-0005-0000-0000-0000604D0000}"/>
    <cellStyle name="40 % - Markeringsfarve1 2 5 2" xfId="5469" xr:uid="{00000000-0005-0000-0000-0000614D0000}"/>
    <cellStyle name="40 % - Markeringsfarve1 2 5 2 2" xfId="5470" xr:uid="{00000000-0005-0000-0000-0000624D0000}"/>
    <cellStyle name="40 % - Markeringsfarve1 2 5 2 2 2" xfId="9986" xr:uid="{00000000-0005-0000-0000-0000634D0000}"/>
    <cellStyle name="40 % - Markeringsfarve1 2 5 2 2 2 2" xfId="17841" xr:uid="{00000000-0005-0000-0000-0000644D0000}"/>
    <cellStyle name="40 % - Markeringsfarve1 2 5 2 2 2 2 2" xfId="34117" xr:uid="{00000000-0005-0000-0000-0000654D0000}"/>
    <cellStyle name="40 % - Markeringsfarve1 2 5 2 2 2 2 3" xfId="49076" xr:uid="{00000000-0005-0000-0000-0000664D0000}"/>
    <cellStyle name="40 % - Markeringsfarve1 2 5 2 2 2 3" xfId="27115" xr:uid="{00000000-0005-0000-0000-0000674D0000}"/>
    <cellStyle name="40 % - Markeringsfarve1 2 5 2 2 2 4" xfId="42079" xr:uid="{00000000-0005-0000-0000-0000684D0000}"/>
    <cellStyle name="40 % - Markeringsfarve1 2 5 2 2 3" xfId="13955" xr:uid="{00000000-0005-0000-0000-0000694D0000}"/>
    <cellStyle name="40 % - Markeringsfarve1 2 5 2 2 3 2" xfId="30234" xr:uid="{00000000-0005-0000-0000-00006A4D0000}"/>
    <cellStyle name="40 % - Markeringsfarve1 2 5 2 2 3 3" xfId="45194" xr:uid="{00000000-0005-0000-0000-00006B4D0000}"/>
    <cellStyle name="40 % - Markeringsfarve1 2 5 2 2 4" xfId="23232" xr:uid="{00000000-0005-0000-0000-00006C4D0000}"/>
    <cellStyle name="40 % - Markeringsfarve1 2 5 2 2 5" xfId="38197" xr:uid="{00000000-0005-0000-0000-00006D4D0000}"/>
    <cellStyle name="40 % - Markeringsfarve1 2 5 2 3" xfId="8542" xr:uid="{00000000-0005-0000-0000-00006E4D0000}"/>
    <cellStyle name="40 % - Markeringsfarve1 2 5 2 3 2" xfId="16412" xr:uid="{00000000-0005-0000-0000-00006F4D0000}"/>
    <cellStyle name="40 % - Markeringsfarve1 2 5 2 3 2 2" xfId="32688" xr:uid="{00000000-0005-0000-0000-0000704D0000}"/>
    <cellStyle name="40 % - Markeringsfarve1 2 5 2 3 2 3" xfId="47647" xr:uid="{00000000-0005-0000-0000-0000714D0000}"/>
    <cellStyle name="40 % - Markeringsfarve1 2 5 2 3 3" xfId="25686" xr:uid="{00000000-0005-0000-0000-0000724D0000}"/>
    <cellStyle name="40 % - Markeringsfarve1 2 5 2 3 4" xfId="40650" xr:uid="{00000000-0005-0000-0000-0000734D0000}"/>
    <cellStyle name="40 % - Markeringsfarve1 2 5 2 4" xfId="13954" xr:uid="{00000000-0005-0000-0000-0000744D0000}"/>
    <cellStyle name="40 % - Markeringsfarve1 2 5 2 4 2" xfId="30233" xr:uid="{00000000-0005-0000-0000-0000754D0000}"/>
    <cellStyle name="40 % - Markeringsfarve1 2 5 2 4 3" xfId="45193" xr:uid="{00000000-0005-0000-0000-0000764D0000}"/>
    <cellStyle name="40 % - Markeringsfarve1 2 5 2 5" xfId="23231" xr:uid="{00000000-0005-0000-0000-0000774D0000}"/>
    <cellStyle name="40 % - Markeringsfarve1 2 5 2 6" xfId="38196" xr:uid="{00000000-0005-0000-0000-0000784D0000}"/>
    <cellStyle name="40 % - Markeringsfarve1 2 5 3" xfId="5471" xr:uid="{00000000-0005-0000-0000-0000794D0000}"/>
    <cellStyle name="40 % - Markeringsfarve1 2 5 3 2" xfId="9217" xr:uid="{00000000-0005-0000-0000-00007A4D0000}"/>
    <cellStyle name="40 % - Markeringsfarve1 2 5 3 2 2" xfId="17081" xr:uid="{00000000-0005-0000-0000-00007B4D0000}"/>
    <cellStyle name="40 % - Markeringsfarve1 2 5 3 2 2 2" xfId="33357" xr:uid="{00000000-0005-0000-0000-00007C4D0000}"/>
    <cellStyle name="40 % - Markeringsfarve1 2 5 3 2 2 3" xfId="48316" xr:uid="{00000000-0005-0000-0000-00007D4D0000}"/>
    <cellStyle name="40 % - Markeringsfarve1 2 5 3 2 3" xfId="26355" xr:uid="{00000000-0005-0000-0000-00007E4D0000}"/>
    <cellStyle name="40 % - Markeringsfarve1 2 5 3 2 4" xfId="41319" xr:uid="{00000000-0005-0000-0000-00007F4D0000}"/>
    <cellStyle name="40 % - Markeringsfarve1 2 5 3 3" xfId="13956" xr:uid="{00000000-0005-0000-0000-0000804D0000}"/>
    <cellStyle name="40 % - Markeringsfarve1 2 5 3 3 2" xfId="30235" xr:uid="{00000000-0005-0000-0000-0000814D0000}"/>
    <cellStyle name="40 % - Markeringsfarve1 2 5 3 3 3" xfId="45195" xr:uid="{00000000-0005-0000-0000-0000824D0000}"/>
    <cellStyle name="40 % - Markeringsfarve1 2 5 3 4" xfId="23233" xr:uid="{00000000-0005-0000-0000-0000834D0000}"/>
    <cellStyle name="40 % - Markeringsfarve1 2 5 3 5" xfId="38198" xr:uid="{00000000-0005-0000-0000-0000844D0000}"/>
    <cellStyle name="40 % - Markeringsfarve1 2 5 4" xfId="5472" xr:uid="{00000000-0005-0000-0000-0000854D0000}"/>
    <cellStyle name="40 % - Markeringsfarve1 2 5 4 2" xfId="10847" xr:uid="{00000000-0005-0000-0000-0000864D0000}"/>
    <cellStyle name="40 % - Markeringsfarve1 2 5 4 2 2" xfId="18685" xr:uid="{00000000-0005-0000-0000-0000874D0000}"/>
    <cellStyle name="40 % - Markeringsfarve1 2 5 4 2 2 2" xfId="34961" xr:uid="{00000000-0005-0000-0000-0000884D0000}"/>
    <cellStyle name="40 % - Markeringsfarve1 2 5 4 2 2 3" xfId="49920" xr:uid="{00000000-0005-0000-0000-0000894D0000}"/>
    <cellStyle name="40 % - Markeringsfarve1 2 5 4 2 3" xfId="27959" xr:uid="{00000000-0005-0000-0000-00008A4D0000}"/>
    <cellStyle name="40 % - Markeringsfarve1 2 5 4 2 4" xfId="42923" xr:uid="{00000000-0005-0000-0000-00008B4D0000}"/>
    <cellStyle name="40 % - Markeringsfarve1 2 5 4 3" xfId="13957" xr:uid="{00000000-0005-0000-0000-00008C4D0000}"/>
    <cellStyle name="40 % - Markeringsfarve1 2 5 4 3 2" xfId="30236" xr:uid="{00000000-0005-0000-0000-00008D4D0000}"/>
    <cellStyle name="40 % - Markeringsfarve1 2 5 4 3 3" xfId="45196" xr:uid="{00000000-0005-0000-0000-00008E4D0000}"/>
    <cellStyle name="40 % - Markeringsfarve1 2 5 4 4" xfId="23234" xr:uid="{00000000-0005-0000-0000-00008F4D0000}"/>
    <cellStyle name="40 % - Markeringsfarve1 2 5 4 5" xfId="38199" xr:uid="{00000000-0005-0000-0000-0000904D0000}"/>
    <cellStyle name="40 % - Markeringsfarve1 2 5 5" xfId="7976" xr:uid="{00000000-0005-0000-0000-0000914D0000}"/>
    <cellStyle name="40 % - Markeringsfarve1 2 5 5 2" xfId="15841" xr:uid="{00000000-0005-0000-0000-0000924D0000}"/>
    <cellStyle name="40 % - Markeringsfarve1 2 5 5 2 2" xfId="32117" xr:uid="{00000000-0005-0000-0000-0000934D0000}"/>
    <cellStyle name="40 % - Markeringsfarve1 2 5 5 2 3" xfId="47076" xr:uid="{00000000-0005-0000-0000-0000944D0000}"/>
    <cellStyle name="40 % - Markeringsfarve1 2 5 5 3" xfId="25115" xr:uid="{00000000-0005-0000-0000-0000954D0000}"/>
    <cellStyle name="40 % - Markeringsfarve1 2 5 5 4" xfId="40079" xr:uid="{00000000-0005-0000-0000-0000964D0000}"/>
    <cellStyle name="40 % - Markeringsfarve1 2 5 6" xfId="13953" xr:uid="{00000000-0005-0000-0000-0000974D0000}"/>
    <cellStyle name="40 % - Markeringsfarve1 2 5 6 2" xfId="30232" xr:uid="{00000000-0005-0000-0000-0000984D0000}"/>
    <cellStyle name="40 % - Markeringsfarve1 2 5 6 3" xfId="45192" xr:uid="{00000000-0005-0000-0000-0000994D0000}"/>
    <cellStyle name="40 % - Markeringsfarve1 2 5 7" xfId="23230" xr:uid="{00000000-0005-0000-0000-00009A4D0000}"/>
    <cellStyle name="40 % - Markeringsfarve1 2 5 8" xfId="38195" xr:uid="{00000000-0005-0000-0000-00009B4D0000}"/>
    <cellStyle name="40 % - Markeringsfarve1 2 6" xfId="5473" xr:uid="{00000000-0005-0000-0000-00009C4D0000}"/>
    <cellStyle name="40 % - Markeringsfarve1 2 6 2" xfId="5474" xr:uid="{00000000-0005-0000-0000-00009D4D0000}"/>
    <cellStyle name="40 % - Markeringsfarve1 2 6 2 2" xfId="5475" xr:uid="{00000000-0005-0000-0000-00009E4D0000}"/>
    <cellStyle name="40 % - Markeringsfarve1 2 6 2 2 2" xfId="10078" xr:uid="{00000000-0005-0000-0000-00009F4D0000}"/>
    <cellStyle name="40 % - Markeringsfarve1 2 6 2 2 2 2" xfId="17933" xr:uid="{00000000-0005-0000-0000-0000A04D0000}"/>
    <cellStyle name="40 % - Markeringsfarve1 2 6 2 2 2 2 2" xfId="34209" xr:uid="{00000000-0005-0000-0000-0000A14D0000}"/>
    <cellStyle name="40 % - Markeringsfarve1 2 6 2 2 2 2 3" xfId="49168" xr:uid="{00000000-0005-0000-0000-0000A24D0000}"/>
    <cellStyle name="40 % - Markeringsfarve1 2 6 2 2 2 3" xfId="27207" xr:uid="{00000000-0005-0000-0000-0000A34D0000}"/>
    <cellStyle name="40 % - Markeringsfarve1 2 6 2 2 2 4" xfId="42171" xr:uid="{00000000-0005-0000-0000-0000A44D0000}"/>
    <cellStyle name="40 % - Markeringsfarve1 2 6 2 2 3" xfId="13960" xr:uid="{00000000-0005-0000-0000-0000A54D0000}"/>
    <cellStyle name="40 % - Markeringsfarve1 2 6 2 2 3 2" xfId="30239" xr:uid="{00000000-0005-0000-0000-0000A64D0000}"/>
    <cellStyle name="40 % - Markeringsfarve1 2 6 2 2 3 3" xfId="45199" xr:uid="{00000000-0005-0000-0000-0000A74D0000}"/>
    <cellStyle name="40 % - Markeringsfarve1 2 6 2 2 4" xfId="23237" xr:uid="{00000000-0005-0000-0000-0000A84D0000}"/>
    <cellStyle name="40 % - Markeringsfarve1 2 6 2 2 5" xfId="38202" xr:uid="{00000000-0005-0000-0000-0000A94D0000}"/>
    <cellStyle name="40 % - Markeringsfarve1 2 6 2 3" xfId="8622" xr:uid="{00000000-0005-0000-0000-0000AA4D0000}"/>
    <cellStyle name="40 % - Markeringsfarve1 2 6 2 3 2" xfId="16489" xr:uid="{00000000-0005-0000-0000-0000AB4D0000}"/>
    <cellStyle name="40 % - Markeringsfarve1 2 6 2 3 2 2" xfId="32765" xr:uid="{00000000-0005-0000-0000-0000AC4D0000}"/>
    <cellStyle name="40 % - Markeringsfarve1 2 6 2 3 2 3" xfId="47724" xr:uid="{00000000-0005-0000-0000-0000AD4D0000}"/>
    <cellStyle name="40 % - Markeringsfarve1 2 6 2 3 3" xfId="25763" xr:uid="{00000000-0005-0000-0000-0000AE4D0000}"/>
    <cellStyle name="40 % - Markeringsfarve1 2 6 2 3 4" xfId="40727" xr:uid="{00000000-0005-0000-0000-0000AF4D0000}"/>
    <cellStyle name="40 % - Markeringsfarve1 2 6 2 4" xfId="13959" xr:uid="{00000000-0005-0000-0000-0000B04D0000}"/>
    <cellStyle name="40 % - Markeringsfarve1 2 6 2 4 2" xfId="30238" xr:uid="{00000000-0005-0000-0000-0000B14D0000}"/>
    <cellStyle name="40 % - Markeringsfarve1 2 6 2 4 3" xfId="45198" xr:uid="{00000000-0005-0000-0000-0000B24D0000}"/>
    <cellStyle name="40 % - Markeringsfarve1 2 6 2 5" xfId="23236" xr:uid="{00000000-0005-0000-0000-0000B34D0000}"/>
    <cellStyle name="40 % - Markeringsfarve1 2 6 2 6" xfId="38201" xr:uid="{00000000-0005-0000-0000-0000B44D0000}"/>
    <cellStyle name="40 % - Markeringsfarve1 2 6 3" xfId="5476" xr:uid="{00000000-0005-0000-0000-0000B54D0000}"/>
    <cellStyle name="40 % - Markeringsfarve1 2 6 3 2" xfId="9355" xr:uid="{00000000-0005-0000-0000-0000B64D0000}"/>
    <cellStyle name="40 % - Markeringsfarve1 2 6 3 2 2" xfId="17218" xr:uid="{00000000-0005-0000-0000-0000B74D0000}"/>
    <cellStyle name="40 % - Markeringsfarve1 2 6 3 2 2 2" xfId="33494" xr:uid="{00000000-0005-0000-0000-0000B84D0000}"/>
    <cellStyle name="40 % - Markeringsfarve1 2 6 3 2 2 3" xfId="48453" xr:uid="{00000000-0005-0000-0000-0000B94D0000}"/>
    <cellStyle name="40 % - Markeringsfarve1 2 6 3 2 3" xfId="26492" xr:uid="{00000000-0005-0000-0000-0000BA4D0000}"/>
    <cellStyle name="40 % - Markeringsfarve1 2 6 3 2 4" xfId="41456" xr:uid="{00000000-0005-0000-0000-0000BB4D0000}"/>
    <cellStyle name="40 % - Markeringsfarve1 2 6 3 3" xfId="13961" xr:uid="{00000000-0005-0000-0000-0000BC4D0000}"/>
    <cellStyle name="40 % - Markeringsfarve1 2 6 3 3 2" xfId="30240" xr:uid="{00000000-0005-0000-0000-0000BD4D0000}"/>
    <cellStyle name="40 % - Markeringsfarve1 2 6 3 3 3" xfId="45200" xr:uid="{00000000-0005-0000-0000-0000BE4D0000}"/>
    <cellStyle name="40 % - Markeringsfarve1 2 6 3 4" xfId="23238" xr:uid="{00000000-0005-0000-0000-0000BF4D0000}"/>
    <cellStyle name="40 % - Markeringsfarve1 2 6 3 5" xfId="38203" xr:uid="{00000000-0005-0000-0000-0000C04D0000}"/>
    <cellStyle name="40 % - Markeringsfarve1 2 6 4" xfId="5477" xr:uid="{00000000-0005-0000-0000-0000C14D0000}"/>
    <cellStyle name="40 % - Markeringsfarve1 2 6 4 2" xfId="10496" xr:uid="{00000000-0005-0000-0000-0000C24D0000}"/>
    <cellStyle name="40 % - Markeringsfarve1 2 6 4 2 2" xfId="18345" xr:uid="{00000000-0005-0000-0000-0000C34D0000}"/>
    <cellStyle name="40 % - Markeringsfarve1 2 6 4 2 2 2" xfId="34621" xr:uid="{00000000-0005-0000-0000-0000C44D0000}"/>
    <cellStyle name="40 % - Markeringsfarve1 2 6 4 2 2 3" xfId="49580" xr:uid="{00000000-0005-0000-0000-0000C54D0000}"/>
    <cellStyle name="40 % - Markeringsfarve1 2 6 4 2 3" xfId="27619" xr:uid="{00000000-0005-0000-0000-0000C64D0000}"/>
    <cellStyle name="40 % - Markeringsfarve1 2 6 4 2 4" xfId="42583" xr:uid="{00000000-0005-0000-0000-0000C74D0000}"/>
    <cellStyle name="40 % - Markeringsfarve1 2 6 4 3" xfId="13962" xr:uid="{00000000-0005-0000-0000-0000C84D0000}"/>
    <cellStyle name="40 % - Markeringsfarve1 2 6 4 3 2" xfId="30241" xr:uid="{00000000-0005-0000-0000-0000C94D0000}"/>
    <cellStyle name="40 % - Markeringsfarve1 2 6 4 3 3" xfId="45201" xr:uid="{00000000-0005-0000-0000-0000CA4D0000}"/>
    <cellStyle name="40 % - Markeringsfarve1 2 6 4 4" xfId="23239" xr:uid="{00000000-0005-0000-0000-0000CB4D0000}"/>
    <cellStyle name="40 % - Markeringsfarve1 2 6 4 5" xfId="38204" xr:uid="{00000000-0005-0000-0000-0000CC4D0000}"/>
    <cellStyle name="40 % - Markeringsfarve1 2 6 5" xfId="7977" xr:uid="{00000000-0005-0000-0000-0000CD4D0000}"/>
    <cellStyle name="40 % - Markeringsfarve1 2 6 5 2" xfId="15842" xr:uid="{00000000-0005-0000-0000-0000CE4D0000}"/>
    <cellStyle name="40 % - Markeringsfarve1 2 6 5 2 2" xfId="32118" xr:uid="{00000000-0005-0000-0000-0000CF4D0000}"/>
    <cellStyle name="40 % - Markeringsfarve1 2 6 5 2 3" xfId="47077" xr:uid="{00000000-0005-0000-0000-0000D04D0000}"/>
    <cellStyle name="40 % - Markeringsfarve1 2 6 5 3" xfId="25116" xr:uid="{00000000-0005-0000-0000-0000D14D0000}"/>
    <cellStyle name="40 % - Markeringsfarve1 2 6 5 4" xfId="40080" xr:uid="{00000000-0005-0000-0000-0000D24D0000}"/>
    <cellStyle name="40 % - Markeringsfarve1 2 6 6" xfId="13958" xr:uid="{00000000-0005-0000-0000-0000D34D0000}"/>
    <cellStyle name="40 % - Markeringsfarve1 2 6 6 2" xfId="30237" xr:uid="{00000000-0005-0000-0000-0000D44D0000}"/>
    <cellStyle name="40 % - Markeringsfarve1 2 6 6 3" xfId="45197" xr:uid="{00000000-0005-0000-0000-0000D54D0000}"/>
    <cellStyle name="40 % - Markeringsfarve1 2 6 7" xfId="23235" xr:uid="{00000000-0005-0000-0000-0000D64D0000}"/>
    <cellStyle name="40 % - Markeringsfarve1 2 6 8" xfId="38200" xr:uid="{00000000-0005-0000-0000-0000D74D0000}"/>
    <cellStyle name="40 % - Markeringsfarve1 2 7" xfId="5478" xr:uid="{00000000-0005-0000-0000-0000D84D0000}"/>
    <cellStyle name="40 % - Markeringsfarve1 2 7 2" xfId="5479" xr:uid="{00000000-0005-0000-0000-0000D94D0000}"/>
    <cellStyle name="40 % - Markeringsfarve1 2 7 2 2" xfId="5480" xr:uid="{00000000-0005-0000-0000-0000DA4D0000}"/>
    <cellStyle name="40 % - Markeringsfarve1 2 7 2 2 2" xfId="10195" xr:uid="{00000000-0005-0000-0000-0000DB4D0000}"/>
    <cellStyle name="40 % - Markeringsfarve1 2 7 2 2 2 2" xfId="18050" xr:uid="{00000000-0005-0000-0000-0000DC4D0000}"/>
    <cellStyle name="40 % - Markeringsfarve1 2 7 2 2 2 2 2" xfId="34326" xr:uid="{00000000-0005-0000-0000-0000DD4D0000}"/>
    <cellStyle name="40 % - Markeringsfarve1 2 7 2 2 2 2 3" xfId="49285" xr:uid="{00000000-0005-0000-0000-0000DE4D0000}"/>
    <cellStyle name="40 % - Markeringsfarve1 2 7 2 2 2 3" xfId="27324" xr:uid="{00000000-0005-0000-0000-0000DF4D0000}"/>
    <cellStyle name="40 % - Markeringsfarve1 2 7 2 2 2 4" xfId="42288" xr:uid="{00000000-0005-0000-0000-0000E04D0000}"/>
    <cellStyle name="40 % - Markeringsfarve1 2 7 2 2 3" xfId="13965" xr:uid="{00000000-0005-0000-0000-0000E14D0000}"/>
    <cellStyle name="40 % - Markeringsfarve1 2 7 2 2 3 2" xfId="30244" xr:uid="{00000000-0005-0000-0000-0000E24D0000}"/>
    <cellStyle name="40 % - Markeringsfarve1 2 7 2 2 3 3" xfId="45204" xr:uid="{00000000-0005-0000-0000-0000E34D0000}"/>
    <cellStyle name="40 % - Markeringsfarve1 2 7 2 2 4" xfId="23242" xr:uid="{00000000-0005-0000-0000-0000E44D0000}"/>
    <cellStyle name="40 % - Markeringsfarve1 2 7 2 2 5" xfId="38207" xr:uid="{00000000-0005-0000-0000-0000E54D0000}"/>
    <cellStyle name="40 % - Markeringsfarve1 2 7 2 3" xfId="8721" xr:uid="{00000000-0005-0000-0000-0000E64D0000}"/>
    <cellStyle name="40 % - Markeringsfarve1 2 7 2 3 2" xfId="16588" xr:uid="{00000000-0005-0000-0000-0000E74D0000}"/>
    <cellStyle name="40 % - Markeringsfarve1 2 7 2 3 2 2" xfId="32864" xr:uid="{00000000-0005-0000-0000-0000E84D0000}"/>
    <cellStyle name="40 % - Markeringsfarve1 2 7 2 3 2 3" xfId="47823" xr:uid="{00000000-0005-0000-0000-0000E94D0000}"/>
    <cellStyle name="40 % - Markeringsfarve1 2 7 2 3 3" xfId="25862" xr:uid="{00000000-0005-0000-0000-0000EA4D0000}"/>
    <cellStyle name="40 % - Markeringsfarve1 2 7 2 3 4" xfId="40826" xr:uid="{00000000-0005-0000-0000-0000EB4D0000}"/>
    <cellStyle name="40 % - Markeringsfarve1 2 7 2 4" xfId="13964" xr:uid="{00000000-0005-0000-0000-0000EC4D0000}"/>
    <cellStyle name="40 % - Markeringsfarve1 2 7 2 4 2" xfId="30243" xr:uid="{00000000-0005-0000-0000-0000ED4D0000}"/>
    <cellStyle name="40 % - Markeringsfarve1 2 7 2 4 3" xfId="45203" xr:uid="{00000000-0005-0000-0000-0000EE4D0000}"/>
    <cellStyle name="40 % - Markeringsfarve1 2 7 2 5" xfId="23241" xr:uid="{00000000-0005-0000-0000-0000EF4D0000}"/>
    <cellStyle name="40 % - Markeringsfarve1 2 7 2 6" xfId="38206" xr:uid="{00000000-0005-0000-0000-0000F04D0000}"/>
    <cellStyle name="40 % - Markeringsfarve1 2 7 3" xfId="5481" xr:uid="{00000000-0005-0000-0000-0000F14D0000}"/>
    <cellStyle name="40 % - Markeringsfarve1 2 7 3 2" xfId="9472" xr:uid="{00000000-0005-0000-0000-0000F24D0000}"/>
    <cellStyle name="40 % - Markeringsfarve1 2 7 3 2 2" xfId="17335" xr:uid="{00000000-0005-0000-0000-0000F34D0000}"/>
    <cellStyle name="40 % - Markeringsfarve1 2 7 3 2 2 2" xfId="33611" xr:uid="{00000000-0005-0000-0000-0000F44D0000}"/>
    <cellStyle name="40 % - Markeringsfarve1 2 7 3 2 2 3" xfId="48570" xr:uid="{00000000-0005-0000-0000-0000F54D0000}"/>
    <cellStyle name="40 % - Markeringsfarve1 2 7 3 2 3" xfId="26609" xr:uid="{00000000-0005-0000-0000-0000F64D0000}"/>
    <cellStyle name="40 % - Markeringsfarve1 2 7 3 2 4" xfId="41573" xr:uid="{00000000-0005-0000-0000-0000F74D0000}"/>
    <cellStyle name="40 % - Markeringsfarve1 2 7 3 3" xfId="13966" xr:uid="{00000000-0005-0000-0000-0000F84D0000}"/>
    <cellStyle name="40 % - Markeringsfarve1 2 7 3 3 2" xfId="30245" xr:uid="{00000000-0005-0000-0000-0000F94D0000}"/>
    <cellStyle name="40 % - Markeringsfarve1 2 7 3 3 3" xfId="45205" xr:uid="{00000000-0005-0000-0000-0000FA4D0000}"/>
    <cellStyle name="40 % - Markeringsfarve1 2 7 3 4" xfId="23243" xr:uid="{00000000-0005-0000-0000-0000FB4D0000}"/>
    <cellStyle name="40 % - Markeringsfarve1 2 7 3 5" xfId="38208" xr:uid="{00000000-0005-0000-0000-0000FC4D0000}"/>
    <cellStyle name="40 % - Markeringsfarve1 2 7 4" xfId="5482" xr:uid="{00000000-0005-0000-0000-0000FD4D0000}"/>
    <cellStyle name="40 % - Markeringsfarve1 2 7 4 2" xfId="10788" xr:uid="{00000000-0005-0000-0000-0000FE4D0000}"/>
    <cellStyle name="40 % - Markeringsfarve1 2 7 4 2 2" xfId="18630" xr:uid="{00000000-0005-0000-0000-0000FF4D0000}"/>
    <cellStyle name="40 % - Markeringsfarve1 2 7 4 2 2 2" xfId="34906" xr:uid="{00000000-0005-0000-0000-0000004E0000}"/>
    <cellStyle name="40 % - Markeringsfarve1 2 7 4 2 2 3" xfId="49865" xr:uid="{00000000-0005-0000-0000-0000014E0000}"/>
    <cellStyle name="40 % - Markeringsfarve1 2 7 4 2 3" xfId="27904" xr:uid="{00000000-0005-0000-0000-0000024E0000}"/>
    <cellStyle name="40 % - Markeringsfarve1 2 7 4 2 4" xfId="42868" xr:uid="{00000000-0005-0000-0000-0000034E0000}"/>
    <cellStyle name="40 % - Markeringsfarve1 2 7 4 3" xfId="13967" xr:uid="{00000000-0005-0000-0000-0000044E0000}"/>
    <cellStyle name="40 % - Markeringsfarve1 2 7 4 3 2" xfId="30246" xr:uid="{00000000-0005-0000-0000-0000054E0000}"/>
    <cellStyle name="40 % - Markeringsfarve1 2 7 4 3 3" xfId="45206" xr:uid="{00000000-0005-0000-0000-0000064E0000}"/>
    <cellStyle name="40 % - Markeringsfarve1 2 7 4 4" xfId="23244" xr:uid="{00000000-0005-0000-0000-0000074E0000}"/>
    <cellStyle name="40 % - Markeringsfarve1 2 7 4 5" xfId="38209" xr:uid="{00000000-0005-0000-0000-0000084E0000}"/>
    <cellStyle name="40 % - Markeringsfarve1 2 7 5" xfId="7978" xr:uid="{00000000-0005-0000-0000-0000094E0000}"/>
    <cellStyle name="40 % - Markeringsfarve1 2 7 5 2" xfId="15843" xr:uid="{00000000-0005-0000-0000-00000A4E0000}"/>
    <cellStyle name="40 % - Markeringsfarve1 2 7 5 2 2" xfId="32119" xr:uid="{00000000-0005-0000-0000-00000B4E0000}"/>
    <cellStyle name="40 % - Markeringsfarve1 2 7 5 2 3" xfId="47078" xr:uid="{00000000-0005-0000-0000-00000C4E0000}"/>
    <cellStyle name="40 % - Markeringsfarve1 2 7 5 3" xfId="25117" xr:uid="{00000000-0005-0000-0000-00000D4E0000}"/>
    <cellStyle name="40 % - Markeringsfarve1 2 7 5 4" xfId="40081" xr:uid="{00000000-0005-0000-0000-00000E4E0000}"/>
    <cellStyle name="40 % - Markeringsfarve1 2 7 6" xfId="13963" xr:uid="{00000000-0005-0000-0000-00000F4E0000}"/>
    <cellStyle name="40 % - Markeringsfarve1 2 7 6 2" xfId="30242" xr:uid="{00000000-0005-0000-0000-0000104E0000}"/>
    <cellStyle name="40 % - Markeringsfarve1 2 7 6 3" xfId="45202" xr:uid="{00000000-0005-0000-0000-0000114E0000}"/>
    <cellStyle name="40 % - Markeringsfarve1 2 7 7" xfId="23240" xr:uid="{00000000-0005-0000-0000-0000124E0000}"/>
    <cellStyle name="40 % - Markeringsfarve1 2 7 8" xfId="38205" xr:uid="{00000000-0005-0000-0000-0000134E0000}"/>
    <cellStyle name="40 % - Markeringsfarve1 2 8" xfId="5483" xr:uid="{00000000-0005-0000-0000-0000144E0000}"/>
    <cellStyle name="40 % - Markeringsfarve1 2 8 2" xfId="5484" xr:uid="{00000000-0005-0000-0000-0000154E0000}"/>
    <cellStyle name="40 % - Markeringsfarve1 2 8 2 2" xfId="5485" xr:uid="{00000000-0005-0000-0000-0000164E0000}"/>
    <cellStyle name="40 % - Markeringsfarve1 2 8 2 2 2" xfId="10340" xr:uid="{00000000-0005-0000-0000-0000174E0000}"/>
    <cellStyle name="40 % - Markeringsfarve1 2 8 2 2 2 2" xfId="18195" xr:uid="{00000000-0005-0000-0000-0000184E0000}"/>
    <cellStyle name="40 % - Markeringsfarve1 2 8 2 2 2 2 2" xfId="34471" xr:uid="{00000000-0005-0000-0000-0000194E0000}"/>
    <cellStyle name="40 % - Markeringsfarve1 2 8 2 2 2 2 3" xfId="49430" xr:uid="{00000000-0005-0000-0000-00001A4E0000}"/>
    <cellStyle name="40 % - Markeringsfarve1 2 8 2 2 2 3" xfId="27469" xr:uid="{00000000-0005-0000-0000-00001B4E0000}"/>
    <cellStyle name="40 % - Markeringsfarve1 2 8 2 2 2 4" xfId="42433" xr:uid="{00000000-0005-0000-0000-00001C4E0000}"/>
    <cellStyle name="40 % - Markeringsfarve1 2 8 2 2 3" xfId="13970" xr:uid="{00000000-0005-0000-0000-00001D4E0000}"/>
    <cellStyle name="40 % - Markeringsfarve1 2 8 2 2 3 2" xfId="30249" xr:uid="{00000000-0005-0000-0000-00001E4E0000}"/>
    <cellStyle name="40 % - Markeringsfarve1 2 8 2 2 3 3" xfId="45209" xr:uid="{00000000-0005-0000-0000-00001F4E0000}"/>
    <cellStyle name="40 % - Markeringsfarve1 2 8 2 2 4" xfId="23247" xr:uid="{00000000-0005-0000-0000-0000204E0000}"/>
    <cellStyle name="40 % - Markeringsfarve1 2 8 2 2 5" xfId="38212" xr:uid="{00000000-0005-0000-0000-0000214E0000}"/>
    <cellStyle name="40 % - Markeringsfarve1 2 8 2 3" xfId="8843" xr:uid="{00000000-0005-0000-0000-0000224E0000}"/>
    <cellStyle name="40 % - Markeringsfarve1 2 8 2 3 2" xfId="16710" xr:uid="{00000000-0005-0000-0000-0000234E0000}"/>
    <cellStyle name="40 % - Markeringsfarve1 2 8 2 3 2 2" xfId="32986" xr:uid="{00000000-0005-0000-0000-0000244E0000}"/>
    <cellStyle name="40 % - Markeringsfarve1 2 8 2 3 2 3" xfId="47945" xr:uid="{00000000-0005-0000-0000-0000254E0000}"/>
    <cellStyle name="40 % - Markeringsfarve1 2 8 2 3 3" xfId="25984" xr:uid="{00000000-0005-0000-0000-0000264E0000}"/>
    <cellStyle name="40 % - Markeringsfarve1 2 8 2 3 4" xfId="40948" xr:uid="{00000000-0005-0000-0000-0000274E0000}"/>
    <cellStyle name="40 % - Markeringsfarve1 2 8 2 4" xfId="13969" xr:uid="{00000000-0005-0000-0000-0000284E0000}"/>
    <cellStyle name="40 % - Markeringsfarve1 2 8 2 4 2" xfId="30248" xr:uid="{00000000-0005-0000-0000-0000294E0000}"/>
    <cellStyle name="40 % - Markeringsfarve1 2 8 2 4 3" xfId="45208" xr:uid="{00000000-0005-0000-0000-00002A4E0000}"/>
    <cellStyle name="40 % - Markeringsfarve1 2 8 2 5" xfId="23246" xr:uid="{00000000-0005-0000-0000-00002B4E0000}"/>
    <cellStyle name="40 % - Markeringsfarve1 2 8 2 6" xfId="38211" xr:uid="{00000000-0005-0000-0000-00002C4E0000}"/>
    <cellStyle name="40 % - Markeringsfarve1 2 8 3" xfId="5486" xr:uid="{00000000-0005-0000-0000-00002D4E0000}"/>
    <cellStyle name="40 % - Markeringsfarve1 2 8 3 2" xfId="9618" xr:uid="{00000000-0005-0000-0000-00002E4E0000}"/>
    <cellStyle name="40 % - Markeringsfarve1 2 8 3 2 2" xfId="17481" xr:uid="{00000000-0005-0000-0000-00002F4E0000}"/>
    <cellStyle name="40 % - Markeringsfarve1 2 8 3 2 2 2" xfId="33757" xr:uid="{00000000-0005-0000-0000-0000304E0000}"/>
    <cellStyle name="40 % - Markeringsfarve1 2 8 3 2 2 3" xfId="48716" xr:uid="{00000000-0005-0000-0000-0000314E0000}"/>
    <cellStyle name="40 % - Markeringsfarve1 2 8 3 2 3" xfId="26755" xr:uid="{00000000-0005-0000-0000-0000324E0000}"/>
    <cellStyle name="40 % - Markeringsfarve1 2 8 3 2 4" xfId="41719" xr:uid="{00000000-0005-0000-0000-0000334E0000}"/>
    <cellStyle name="40 % - Markeringsfarve1 2 8 3 3" xfId="13971" xr:uid="{00000000-0005-0000-0000-0000344E0000}"/>
    <cellStyle name="40 % - Markeringsfarve1 2 8 3 3 2" xfId="30250" xr:uid="{00000000-0005-0000-0000-0000354E0000}"/>
    <cellStyle name="40 % - Markeringsfarve1 2 8 3 3 3" xfId="45210" xr:uid="{00000000-0005-0000-0000-0000364E0000}"/>
    <cellStyle name="40 % - Markeringsfarve1 2 8 3 4" xfId="23248" xr:uid="{00000000-0005-0000-0000-0000374E0000}"/>
    <cellStyle name="40 % - Markeringsfarve1 2 8 3 5" xfId="38213" xr:uid="{00000000-0005-0000-0000-0000384E0000}"/>
    <cellStyle name="40 % - Markeringsfarve1 2 8 4" xfId="5487" xr:uid="{00000000-0005-0000-0000-0000394E0000}"/>
    <cellStyle name="40 % - Markeringsfarve1 2 8 4 2" xfId="10438" xr:uid="{00000000-0005-0000-0000-00003A4E0000}"/>
    <cellStyle name="40 % - Markeringsfarve1 2 8 4 2 2" xfId="18290" xr:uid="{00000000-0005-0000-0000-00003B4E0000}"/>
    <cellStyle name="40 % - Markeringsfarve1 2 8 4 2 2 2" xfId="34566" xr:uid="{00000000-0005-0000-0000-00003C4E0000}"/>
    <cellStyle name="40 % - Markeringsfarve1 2 8 4 2 2 3" xfId="49525" xr:uid="{00000000-0005-0000-0000-00003D4E0000}"/>
    <cellStyle name="40 % - Markeringsfarve1 2 8 4 2 3" xfId="27564" xr:uid="{00000000-0005-0000-0000-00003E4E0000}"/>
    <cellStyle name="40 % - Markeringsfarve1 2 8 4 2 4" xfId="42528" xr:uid="{00000000-0005-0000-0000-00003F4E0000}"/>
    <cellStyle name="40 % - Markeringsfarve1 2 8 4 3" xfId="13972" xr:uid="{00000000-0005-0000-0000-0000404E0000}"/>
    <cellStyle name="40 % - Markeringsfarve1 2 8 4 3 2" xfId="30251" xr:uid="{00000000-0005-0000-0000-0000414E0000}"/>
    <cellStyle name="40 % - Markeringsfarve1 2 8 4 3 3" xfId="45211" xr:uid="{00000000-0005-0000-0000-0000424E0000}"/>
    <cellStyle name="40 % - Markeringsfarve1 2 8 4 4" xfId="23249" xr:uid="{00000000-0005-0000-0000-0000434E0000}"/>
    <cellStyle name="40 % - Markeringsfarve1 2 8 4 5" xfId="38214" xr:uid="{00000000-0005-0000-0000-0000444E0000}"/>
    <cellStyle name="40 % - Markeringsfarve1 2 8 5" xfId="7979" xr:uid="{00000000-0005-0000-0000-0000454E0000}"/>
    <cellStyle name="40 % - Markeringsfarve1 2 8 5 2" xfId="15844" xr:uid="{00000000-0005-0000-0000-0000464E0000}"/>
    <cellStyle name="40 % - Markeringsfarve1 2 8 5 2 2" xfId="32120" xr:uid="{00000000-0005-0000-0000-0000474E0000}"/>
    <cellStyle name="40 % - Markeringsfarve1 2 8 5 2 3" xfId="47079" xr:uid="{00000000-0005-0000-0000-0000484E0000}"/>
    <cellStyle name="40 % - Markeringsfarve1 2 8 5 3" xfId="25118" xr:uid="{00000000-0005-0000-0000-0000494E0000}"/>
    <cellStyle name="40 % - Markeringsfarve1 2 8 5 4" xfId="40082" xr:uid="{00000000-0005-0000-0000-00004A4E0000}"/>
    <cellStyle name="40 % - Markeringsfarve1 2 8 6" xfId="13968" xr:uid="{00000000-0005-0000-0000-00004B4E0000}"/>
    <cellStyle name="40 % - Markeringsfarve1 2 8 6 2" xfId="30247" xr:uid="{00000000-0005-0000-0000-00004C4E0000}"/>
    <cellStyle name="40 % - Markeringsfarve1 2 8 6 3" xfId="45207" xr:uid="{00000000-0005-0000-0000-00004D4E0000}"/>
    <cellStyle name="40 % - Markeringsfarve1 2 8 7" xfId="23245" xr:uid="{00000000-0005-0000-0000-00004E4E0000}"/>
    <cellStyle name="40 % - Markeringsfarve1 2 8 8" xfId="38210" xr:uid="{00000000-0005-0000-0000-00004F4E0000}"/>
    <cellStyle name="40 % - Markeringsfarve1 2 9" xfId="5488" xr:uid="{00000000-0005-0000-0000-0000504E0000}"/>
    <cellStyle name="40 % - Markeringsfarve1 2 9 2" xfId="5489" xr:uid="{00000000-0005-0000-0000-0000514E0000}"/>
    <cellStyle name="40 % - Markeringsfarve1 2 9 2 2" xfId="9722" xr:uid="{00000000-0005-0000-0000-0000524E0000}"/>
    <cellStyle name="40 % - Markeringsfarve1 2 9 2 2 2" xfId="17576" xr:uid="{00000000-0005-0000-0000-0000534E0000}"/>
    <cellStyle name="40 % - Markeringsfarve1 2 9 2 2 2 2" xfId="33852" xr:uid="{00000000-0005-0000-0000-0000544E0000}"/>
    <cellStyle name="40 % - Markeringsfarve1 2 9 2 2 2 3" xfId="48811" xr:uid="{00000000-0005-0000-0000-0000554E0000}"/>
    <cellStyle name="40 % - Markeringsfarve1 2 9 2 2 3" xfId="26850" xr:uid="{00000000-0005-0000-0000-0000564E0000}"/>
    <cellStyle name="40 % - Markeringsfarve1 2 9 2 2 4" xfId="41814" xr:uid="{00000000-0005-0000-0000-0000574E0000}"/>
    <cellStyle name="40 % - Markeringsfarve1 2 9 2 3" xfId="13974" xr:uid="{00000000-0005-0000-0000-0000584E0000}"/>
    <cellStyle name="40 % - Markeringsfarve1 2 9 2 3 2" xfId="30253" xr:uid="{00000000-0005-0000-0000-0000594E0000}"/>
    <cellStyle name="40 % - Markeringsfarve1 2 9 2 3 3" xfId="45213" xr:uid="{00000000-0005-0000-0000-00005A4E0000}"/>
    <cellStyle name="40 % - Markeringsfarve1 2 9 2 4" xfId="23251" xr:uid="{00000000-0005-0000-0000-00005B4E0000}"/>
    <cellStyle name="40 % - Markeringsfarve1 2 9 2 5" xfId="38216" xr:uid="{00000000-0005-0000-0000-00005C4E0000}"/>
    <cellStyle name="40 % - Markeringsfarve1 2 9 3" xfId="8321" xr:uid="{00000000-0005-0000-0000-00005D4E0000}"/>
    <cellStyle name="40 % - Markeringsfarve1 2 9 3 2" xfId="16191" xr:uid="{00000000-0005-0000-0000-00005E4E0000}"/>
    <cellStyle name="40 % - Markeringsfarve1 2 9 3 2 2" xfId="32467" xr:uid="{00000000-0005-0000-0000-00005F4E0000}"/>
    <cellStyle name="40 % - Markeringsfarve1 2 9 3 2 3" xfId="47426" xr:uid="{00000000-0005-0000-0000-0000604E0000}"/>
    <cellStyle name="40 % - Markeringsfarve1 2 9 3 3" xfId="25465" xr:uid="{00000000-0005-0000-0000-0000614E0000}"/>
    <cellStyle name="40 % - Markeringsfarve1 2 9 3 4" xfId="40429" xr:uid="{00000000-0005-0000-0000-0000624E0000}"/>
    <cellStyle name="40 % - Markeringsfarve1 2 9 4" xfId="13973" xr:uid="{00000000-0005-0000-0000-0000634E0000}"/>
    <cellStyle name="40 % - Markeringsfarve1 2 9 4 2" xfId="30252" xr:uid="{00000000-0005-0000-0000-0000644E0000}"/>
    <cellStyle name="40 % - Markeringsfarve1 2 9 4 3" xfId="45212" xr:uid="{00000000-0005-0000-0000-0000654E0000}"/>
    <cellStyle name="40 % - Markeringsfarve1 2 9 5" xfId="23250" xr:uid="{00000000-0005-0000-0000-0000664E0000}"/>
    <cellStyle name="40 % - Markeringsfarve1 2 9 6" xfId="38215" xr:uid="{00000000-0005-0000-0000-0000674E0000}"/>
    <cellStyle name="40 % - Markeringsfarve1 3" xfId="5490" xr:uid="{00000000-0005-0000-0000-0000684E0000}"/>
    <cellStyle name="40 % - Markeringsfarve1 3 10" xfId="5491" xr:uid="{00000000-0005-0000-0000-0000694E0000}"/>
    <cellStyle name="40 % - Markeringsfarve1 3 10 2" xfId="8935" xr:uid="{00000000-0005-0000-0000-00006A4E0000}"/>
    <cellStyle name="40 % - Markeringsfarve1 3 10 2 2" xfId="16800" xr:uid="{00000000-0005-0000-0000-00006B4E0000}"/>
    <cellStyle name="40 % - Markeringsfarve1 3 10 2 2 2" xfId="33076" xr:uid="{00000000-0005-0000-0000-00006C4E0000}"/>
    <cellStyle name="40 % - Markeringsfarve1 3 10 2 2 3" xfId="48035" xr:uid="{00000000-0005-0000-0000-00006D4E0000}"/>
    <cellStyle name="40 % - Markeringsfarve1 3 10 2 3" xfId="26074" xr:uid="{00000000-0005-0000-0000-00006E4E0000}"/>
    <cellStyle name="40 % - Markeringsfarve1 3 10 2 4" xfId="41038" xr:uid="{00000000-0005-0000-0000-00006F4E0000}"/>
    <cellStyle name="40 % - Markeringsfarve1 3 10 3" xfId="13976" xr:uid="{00000000-0005-0000-0000-0000704E0000}"/>
    <cellStyle name="40 % - Markeringsfarve1 3 10 3 2" xfId="30255" xr:uid="{00000000-0005-0000-0000-0000714E0000}"/>
    <cellStyle name="40 % - Markeringsfarve1 3 10 3 3" xfId="45215" xr:uid="{00000000-0005-0000-0000-0000724E0000}"/>
    <cellStyle name="40 % - Markeringsfarve1 3 10 4" xfId="23253" xr:uid="{00000000-0005-0000-0000-0000734E0000}"/>
    <cellStyle name="40 % - Markeringsfarve1 3 10 5" xfId="38218" xr:uid="{00000000-0005-0000-0000-0000744E0000}"/>
    <cellStyle name="40 % - Markeringsfarve1 3 11" xfId="5492" xr:uid="{00000000-0005-0000-0000-0000754E0000}"/>
    <cellStyle name="40 % - Markeringsfarve1 3 11 2" xfId="10773" xr:uid="{00000000-0005-0000-0000-0000764E0000}"/>
    <cellStyle name="40 % - Markeringsfarve1 3 11 2 2" xfId="18615" xr:uid="{00000000-0005-0000-0000-0000774E0000}"/>
    <cellStyle name="40 % - Markeringsfarve1 3 11 2 2 2" xfId="34891" xr:uid="{00000000-0005-0000-0000-0000784E0000}"/>
    <cellStyle name="40 % - Markeringsfarve1 3 11 2 2 3" xfId="49850" xr:uid="{00000000-0005-0000-0000-0000794E0000}"/>
    <cellStyle name="40 % - Markeringsfarve1 3 11 2 3" xfId="27889" xr:uid="{00000000-0005-0000-0000-00007A4E0000}"/>
    <cellStyle name="40 % - Markeringsfarve1 3 11 2 4" xfId="42853" xr:uid="{00000000-0005-0000-0000-00007B4E0000}"/>
    <cellStyle name="40 % - Markeringsfarve1 3 11 3" xfId="13977" xr:uid="{00000000-0005-0000-0000-00007C4E0000}"/>
    <cellStyle name="40 % - Markeringsfarve1 3 11 3 2" xfId="30256" xr:uid="{00000000-0005-0000-0000-00007D4E0000}"/>
    <cellStyle name="40 % - Markeringsfarve1 3 11 3 3" xfId="45216" xr:uid="{00000000-0005-0000-0000-00007E4E0000}"/>
    <cellStyle name="40 % - Markeringsfarve1 3 11 4" xfId="23254" xr:uid="{00000000-0005-0000-0000-00007F4E0000}"/>
    <cellStyle name="40 % - Markeringsfarve1 3 11 5" xfId="38219" xr:uid="{00000000-0005-0000-0000-0000804E0000}"/>
    <cellStyle name="40 % - Markeringsfarve1 3 12" xfId="7980" xr:uid="{00000000-0005-0000-0000-0000814E0000}"/>
    <cellStyle name="40 % - Markeringsfarve1 3 12 2" xfId="15845" xr:uid="{00000000-0005-0000-0000-0000824E0000}"/>
    <cellStyle name="40 % - Markeringsfarve1 3 12 2 2" xfId="32121" xr:uid="{00000000-0005-0000-0000-0000834E0000}"/>
    <cellStyle name="40 % - Markeringsfarve1 3 12 2 3" xfId="47080" xr:uid="{00000000-0005-0000-0000-0000844E0000}"/>
    <cellStyle name="40 % - Markeringsfarve1 3 12 3" xfId="25119" xr:uid="{00000000-0005-0000-0000-0000854E0000}"/>
    <cellStyle name="40 % - Markeringsfarve1 3 12 4" xfId="40083" xr:uid="{00000000-0005-0000-0000-0000864E0000}"/>
    <cellStyle name="40 % - Markeringsfarve1 3 13" xfId="13975" xr:uid="{00000000-0005-0000-0000-0000874E0000}"/>
    <cellStyle name="40 % - Markeringsfarve1 3 13 2" xfId="30254" xr:uid="{00000000-0005-0000-0000-0000884E0000}"/>
    <cellStyle name="40 % - Markeringsfarve1 3 13 3" xfId="45214" xr:uid="{00000000-0005-0000-0000-0000894E0000}"/>
    <cellStyle name="40 % - Markeringsfarve1 3 14" xfId="23252" xr:uid="{00000000-0005-0000-0000-00008A4E0000}"/>
    <cellStyle name="40 % - Markeringsfarve1 3 15" xfId="38217" xr:uid="{00000000-0005-0000-0000-00008B4E0000}"/>
    <cellStyle name="40 % - Markeringsfarve1 3 2" xfId="5493" xr:uid="{00000000-0005-0000-0000-00008C4E0000}"/>
    <cellStyle name="40 % - Markeringsfarve1 3 2 10" xfId="7981" xr:uid="{00000000-0005-0000-0000-00008D4E0000}"/>
    <cellStyle name="40 % - Markeringsfarve1 3 2 10 2" xfId="15846" xr:uid="{00000000-0005-0000-0000-00008E4E0000}"/>
    <cellStyle name="40 % - Markeringsfarve1 3 2 10 2 2" xfId="32122" xr:uid="{00000000-0005-0000-0000-00008F4E0000}"/>
    <cellStyle name="40 % - Markeringsfarve1 3 2 10 2 3" xfId="47081" xr:uid="{00000000-0005-0000-0000-0000904E0000}"/>
    <cellStyle name="40 % - Markeringsfarve1 3 2 10 3" xfId="25120" xr:uid="{00000000-0005-0000-0000-0000914E0000}"/>
    <cellStyle name="40 % - Markeringsfarve1 3 2 10 4" xfId="40084" xr:uid="{00000000-0005-0000-0000-0000924E0000}"/>
    <cellStyle name="40 % - Markeringsfarve1 3 2 11" xfId="13978" xr:uid="{00000000-0005-0000-0000-0000934E0000}"/>
    <cellStyle name="40 % - Markeringsfarve1 3 2 11 2" xfId="30257" xr:uid="{00000000-0005-0000-0000-0000944E0000}"/>
    <cellStyle name="40 % - Markeringsfarve1 3 2 11 3" xfId="45217" xr:uid="{00000000-0005-0000-0000-0000954E0000}"/>
    <cellStyle name="40 % - Markeringsfarve1 3 2 12" xfId="23255" xr:uid="{00000000-0005-0000-0000-0000964E0000}"/>
    <cellStyle name="40 % - Markeringsfarve1 3 2 13" xfId="38220" xr:uid="{00000000-0005-0000-0000-0000974E0000}"/>
    <cellStyle name="40 % - Markeringsfarve1 3 2 2" xfId="5494" xr:uid="{00000000-0005-0000-0000-0000984E0000}"/>
    <cellStyle name="40 % - Markeringsfarve1 3 2 2 2" xfId="5495" xr:uid="{00000000-0005-0000-0000-0000994E0000}"/>
    <cellStyle name="40 % - Markeringsfarve1 3 2 2 2 2" xfId="5496" xr:uid="{00000000-0005-0000-0000-00009A4E0000}"/>
    <cellStyle name="40 % - Markeringsfarve1 3 2 2 2 2 2" xfId="9867" xr:uid="{00000000-0005-0000-0000-00009B4E0000}"/>
    <cellStyle name="40 % - Markeringsfarve1 3 2 2 2 2 2 2" xfId="17722" xr:uid="{00000000-0005-0000-0000-00009C4E0000}"/>
    <cellStyle name="40 % - Markeringsfarve1 3 2 2 2 2 2 2 2" xfId="33998" xr:uid="{00000000-0005-0000-0000-00009D4E0000}"/>
    <cellStyle name="40 % - Markeringsfarve1 3 2 2 2 2 2 2 3" xfId="48957" xr:uid="{00000000-0005-0000-0000-00009E4E0000}"/>
    <cellStyle name="40 % - Markeringsfarve1 3 2 2 2 2 2 3" xfId="26996" xr:uid="{00000000-0005-0000-0000-00009F4E0000}"/>
    <cellStyle name="40 % - Markeringsfarve1 3 2 2 2 2 2 4" xfId="41960" xr:uid="{00000000-0005-0000-0000-0000A04E0000}"/>
    <cellStyle name="40 % - Markeringsfarve1 3 2 2 2 2 3" xfId="13981" xr:uid="{00000000-0005-0000-0000-0000A14E0000}"/>
    <cellStyle name="40 % - Markeringsfarve1 3 2 2 2 2 3 2" xfId="30260" xr:uid="{00000000-0005-0000-0000-0000A24E0000}"/>
    <cellStyle name="40 % - Markeringsfarve1 3 2 2 2 2 3 3" xfId="45220" xr:uid="{00000000-0005-0000-0000-0000A34E0000}"/>
    <cellStyle name="40 % - Markeringsfarve1 3 2 2 2 2 4" xfId="23258" xr:uid="{00000000-0005-0000-0000-0000A44E0000}"/>
    <cellStyle name="40 % - Markeringsfarve1 3 2 2 2 2 5" xfId="38223" xr:uid="{00000000-0005-0000-0000-0000A54E0000}"/>
    <cellStyle name="40 % - Markeringsfarve1 3 2 2 2 3" xfId="8443" xr:uid="{00000000-0005-0000-0000-0000A64E0000}"/>
    <cellStyle name="40 % - Markeringsfarve1 3 2 2 2 3 2" xfId="16313" xr:uid="{00000000-0005-0000-0000-0000A74E0000}"/>
    <cellStyle name="40 % - Markeringsfarve1 3 2 2 2 3 2 2" xfId="32589" xr:uid="{00000000-0005-0000-0000-0000A84E0000}"/>
    <cellStyle name="40 % - Markeringsfarve1 3 2 2 2 3 2 3" xfId="47548" xr:uid="{00000000-0005-0000-0000-0000A94E0000}"/>
    <cellStyle name="40 % - Markeringsfarve1 3 2 2 2 3 3" xfId="25587" xr:uid="{00000000-0005-0000-0000-0000AA4E0000}"/>
    <cellStyle name="40 % - Markeringsfarve1 3 2 2 2 3 4" xfId="40551" xr:uid="{00000000-0005-0000-0000-0000AB4E0000}"/>
    <cellStyle name="40 % - Markeringsfarve1 3 2 2 2 4" xfId="13980" xr:uid="{00000000-0005-0000-0000-0000AC4E0000}"/>
    <cellStyle name="40 % - Markeringsfarve1 3 2 2 2 4 2" xfId="30259" xr:uid="{00000000-0005-0000-0000-0000AD4E0000}"/>
    <cellStyle name="40 % - Markeringsfarve1 3 2 2 2 4 3" xfId="45219" xr:uid="{00000000-0005-0000-0000-0000AE4E0000}"/>
    <cellStyle name="40 % - Markeringsfarve1 3 2 2 2 5" xfId="23257" xr:uid="{00000000-0005-0000-0000-0000AF4E0000}"/>
    <cellStyle name="40 % - Markeringsfarve1 3 2 2 2 6" xfId="38222" xr:uid="{00000000-0005-0000-0000-0000B04E0000}"/>
    <cellStyle name="40 % - Markeringsfarve1 3 2 2 3" xfId="5497" xr:uid="{00000000-0005-0000-0000-0000B14E0000}"/>
    <cellStyle name="40 % - Markeringsfarve1 3 2 2 3 2" xfId="9098" xr:uid="{00000000-0005-0000-0000-0000B24E0000}"/>
    <cellStyle name="40 % - Markeringsfarve1 3 2 2 3 2 2" xfId="16962" xr:uid="{00000000-0005-0000-0000-0000B34E0000}"/>
    <cellStyle name="40 % - Markeringsfarve1 3 2 2 3 2 2 2" xfId="33238" xr:uid="{00000000-0005-0000-0000-0000B44E0000}"/>
    <cellStyle name="40 % - Markeringsfarve1 3 2 2 3 2 2 3" xfId="48197" xr:uid="{00000000-0005-0000-0000-0000B54E0000}"/>
    <cellStyle name="40 % - Markeringsfarve1 3 2 2 3 2 3" xfId="26236" xr:uid="{00000000-0005-0000-0000-0000B64E0000}"/>
    <cellStyle name="40 % - Markeringsfarve1 3 2 2 3 2 4" xfId="41200" xr:uid="{00000000-0005-0000-0000-0000B74E0000}"/>
    <cellStyle name="40 % - Markeringsfarve1 3 2 2 3 3" xfId="13982" xr:uid="{00000000-0005-0000-0000-0000B84E0000}"/>
    <cellStyle name="40 % - Markeringsfarve1 3 2 2 3 3 2" xfId="30261" xr:uid="{00000000-0005-0000-0000-0000B94E0000}"/>
    <cellStyle name="40 % - Markeringsfarve1 3 2 2 3 3 3" xfId="45221" xr:uid="{00000000-0005-0000-0000-0000BA4E0000}"/>
    <cellStyle name="40 % - Markeringsfarve1 3 2 2 3 4" xfId="23259" xr:uid="{00000000-0005-0000-0000-0000BB4E0000}"/>
    <cellStyle name="40 % - Markeringsfarve1 3 2 2 3 5" xfId="38224" xr:uid="{00000000-0005-0000-0000-0000BC4E0000}"/>
    <cellStyle name="40 % - Markeringsfarve1 3 2 2 4" xfId="5498" xr:uid="{00000000-0005-0000-0000-0000BD4E0000}"/>
    <cellStyle name="40 % - Markeringsfarve1 3 2 2 4 2" xfId="10702" xr:uid="{00000000-0005-0000-0000-0000BE4E0000}"/>
    <cellStyle name="40 % - Markeringsfarve1 3 2 2 4 2 2" xfId="18546" xr:uid="{00000000-0005-0000-0000-0000BF4E0000}"/>
    <cellStyle name="40 % - Markeringsfarve1 3 2 2 4 2 2 2" xfId="34822" xr:uid="{00000000-0005-0000-0000-0000C04E0000}"/>
    <cellStyle name="40 % - Markeringsfarve1 3 2 2 4 2 2 3" xfId="49781" xr:uid="{00000000-0005-0000-0000-0000C14E0000}"/>
    <cellStyle name="40 % - Markeringsfarve1 3 2 2 4 2 3" xfId="27820" xr:uid="{00000000-0005-0000-0000-0000C24E0000}"/>
    <cellStyle name="40 % - Markeringsfarve1 3 2 2 4 2 4" xfId="42784" xr:uid="{00000000-0005-0000-0000-0000C34E0000}"/>
    <cellStyle name="40 % - Markeringsfarve1 3 2 2 4 3" xfId="13983" xr:uid="{00000000-0005-0000-0000-0000C44E0000}"/>
    <cellStyle name="40 % - Markeringsfarve1 3 2 2 4 3 2" xfId="30262" xr:uid="{00000000-0005-0000-0000-0000C54E0000}"/>
    <cellStyle name="40 % - Markeringsfarve1 3 2 2 4 3 3" xfId="45222" xr:uid="{00000000-0005-0000-0000-0000C64E0000}"/>
    <cellStyle name="40 % - Markeringsfarve1 3 2 2 4 4" xfId="23260" xr:uid="{00000000-0005-0000-0000-0000C74E0000}"/>
    <cellStyle name="40 % - Markeringsfarve1 3 2 2 4 5" xfId="38225" xr:uid="{00000000-0005-0000-0000-0000C84E0000}"/>
    <cellStyle name="40 % - Markeringsfarve1 3 2 2 5" xfId="7982" xr:uid="{00000000-0005-0000-0000-0000C94E0000}"/>
    <cellStyle name="40 % - Markeringsfarve1 3 2 2 5 2" xfId="15847" xr:uid="{00000000-0005-0000-0000-0000CA4E0000}"/>
    <cellStyle name="40 % - Markeringsfarve1 3 2 2 5 2 2" xfId="32123" xr:uid="{00000000-0005-0000-0000-0000CB4E0000}"/>
    <cellStyle name="40 % - Markeringsfarve1 3 2 2 5 2 3" xfId="47082" xr:uid="{00000000-0005-0000-0000-0000CC4E0000}"/>
    <cellStyle name="40 % - Markeringsfarve1 3 2 2 5 3" xfId="25121" xr:uid="{00000000-0005-0000-0000-0000CD4E0000}"/>
    <cellStyle name="40 % - Markeringsfarve1 3 2 2 5 4" xfId="40085" xr:uid="{00000000-0005-0000-0000-0000CE4E0000}"/>
    <cellStyle name="40 % - Markeringsfarve1 3 2 2 6" xfId="13979" xr:uid="{00000000-0005-0000-0000-0000CF4E0000}"/>
    <cellStyle name="40 % - Markeringsfarve1 3 2 2 6 2" xfId="30258" xr:uid="{00000000-0005-0000-0000-0000D04E0000}"/>
    <cellStyle name="40 % - Markeringsfarve1 3 2 2 6 3" xfId="45218" xr:uid="{00000000-0005-0000-0000-0000D14E0000}"/>
    <cellStyle name="40 % - Markeringsfarve1 3 2 2 7" xfId="23256" xr:uid="{00000000-0005-0000-0000-0000D24E0000}"/>
    <cellStyle name="40 % - Markeringsfarve1 3 2 2 8" xfId="38221" xr:uid="{00000000-0005-0000-0000-0000D34E0000}"/>
    <cellStyle name="40 % - Markeringsfarve1 3 2 3" xfId="5499" xr:uid="{00000000-0005-0000-0000-0000D44E0000}"/>
    <cellStyle name="40 % - Markeringsfarve1 3 2 3 2" xfId="5500" xr:uid="{00000000-0005-0000-0000-0000D54E0000}"/>
    <cellStyle name="40 % - Markeringsfarve1 3 2 3 2 2" xfId="5501" xr:uid="{00000000-0005-0000-0000-0000D64E0000}"/>
    <cellStyle name="40 % - Markeringsfarve1 3 2 3 2 2 2" xfId="9990" xr:uid="{00000000-0005-0000-0000-0000D74E0000}"/>
    <cellStyle name="40 % - Markeringsfarve1 3 2 3 2 2 2 2" xfId="17845" xr:uid="{00000000-0005-0000-0000-0000D84E0000}"/>
    <cellStyle name="40 % - Markeringsfarve1 3 2 3 2 2 2 2 2" xfId="34121" xr:uid="{00000000-0005-0000-0000-0000D94E0000}"/>
    <cellStyle name="40 % - Markeringsfarve1 3 2 3 2 2 2 2 3" xfId="49080" xr:uid="{00000000-0005-0000-0000-0000DA4E0000}"/>
    <cellStyle name="40 % - Markeringsfarve1 3 2 3 2 2 2 3" xfId="27119" xr:uid="{00000000-0005-0000-0000-0000DB4E0000}"/>
    <cellStyle name="40 % - Markeringsfarve1 3 2 3 2 2 2 4" xfId="42083" xr:uid="{00000000-0005-0000-0000-0000DC4E0000}"/>
    <cellStyle name="40 % - Markeringsfarve1 3 2 3 2 2 3" xfId="13986" xr:uid="{00000000-0005-0000-0000-0000DD4E0000}"/>
    <cellStyle name="40 % - Markeringsfarve1 3 2 3 2 2 3 2" xfId="30265" xr:uid="{00000000-0005-0000-0000-0000DE4E0000}"/>
    <cellStyle name="40 % - Markeringsfarve1 3 2 3 2 2 3 3" xfId="45225" xr:uid="{00000000-0005-0000-0000-0000DF4E0000}"/>
    <cellStyle name="40 % - Markeringsfarve1 3 2 3 2 2 4" xfId="23263" xr:uid="{00000000-0005-0000-0000-0000E04E0000}"/>
    <cellStyle name="40 % - Markeringsfarve1 3 2 3 2 2 5" xfId="38228" xr:uid="{00000000-0005-0000-0000-0000E14E0000}"/>
    <cellStyle name="40 % - Markeringsfarve1 3 2 3 2 3" xfId="8546" xr:uid="{00000000-0005-0000-0000-0000E24E0000}"/>
    <cellStyle name="40 % - Markeringsfarve1 3 2 3 2 3 2" xfId="16416" xr:uid="{00000000-0005-0000-0000-0000E34E0000}"/>
    <cellStyle name="40 % - Markeringsfarve1 3 2 3 2 3 2 2" xfId="32692" xr:uid="{00000000-0005-0000-0000-0000E44E0000}"/>
    <cellStyle name="40 % - Markeringsfarve1 3 2 3 2 3 2 3" xfId="47651" xr:uid="{00000000-0005-0000-0000-0000E54E0000}"/>
    <cellStyle name="40 % - Markeringsfarve1 3 2 3 2 3 3" xfId="25690" xr:uid="{00000000-0005-0000-0000-0000E64E0000}"/>
    <cellStyle name="40 % - Markeringsfarve1 3 2 3 2 3 4" xfId="40654" xr:uid="{00000000-0005-0000-0000-0000E74E0000}"/>
    <cellStyle name="40 % - Markeringsfarve1 3 2 3 2 4" xfId="13985" xr:uid="{00000000-0005-0000-0000-0000E84E0000}"/>
    <cellStyle name="40 % - Markeringsfarve1 3 2 3 2 4 2" xfId="30264" xr:uid="{00000000-0005-0000-0000-0000E94E0000}"/>
    <cellStyle name="40 % - Markeringsfarve1 3 2 3 2 4 3" xfId="45224" xr:uid="{00000000-0005-0000-0000-0000EA4E0000}"/>
    <cellStyle name="40 % - Markeringsfarve1 3 2 3 2 5" xfId="23262" xr:uid="{00000000-0005-0000-0000-0000EB4E0000}"/>
    <cellStyle name="40 % - Markeringsfarve1 3 2 3 2 6" xfId="38227" xr:uid="{00000000-0005-0000-0000-0000EC4E0000}"/>
    <cellStyle name="40 % - Markeringsfarve1 3 2 3 3" xfId="5502" xr:uid="{00000000-0005-0000-0000-0000ED4E0000}"/>
    <cellStyle name="40 % - Markeringsfarve1 3 2 3 3 2" xfId="9221" xr:uid="{00000000-0005-0000-0000-0000EE4E0000}"/>
    <cellStyle name="40 % - Markeringsfarve1 3 2 3 3 2 2" xfId="17085" xr:uid="{00000000-0005-0000-0000-0000EF4E0000}"/>
    <cellStyle name="40 % - Markeringsfarve1 3 2 3 3 2 2 2" xfId="33361" xr:uid="{00000000-0005-0000-0000-0000F04E0000}"/>
    <cellStyle name="40 % - Markeringsfarve1 3 2 3 3 2 2 3" xfId="48320" xr:uid="{00000000-0005-0000-0000-0000F14E0000}"/>
    <cellStyle name="40 % - Markeringsfarve1 3 2 3 3 2 3" xfId="26359" xr:uid="{00000000-0005-0000-0000-0000F24E0000}"/>
    <cellStyle name="40 % - Markeringsfarve1 3 2 3 3 2 4" xfId="41323" xr:uid="{00000000-0005-0000-0000-0000F34E0000}"/>
    <cellStyle name="40 % - Markeringsfarve1 3 2 3 3 3" xfId="13987" xr:uid="{00000000-0005-0000-0000-0000F44E0000}"/>
    <cellStyle name="40 % - Markeringsfarve1 3 2 3 3 3 2" xfId="30266" xr:uid="{00000000-0005-0000-0000-0000F54E0000}"/>
    <cellStyle name="40 % - Markeringsfarve1 3 2 3 3 3 3" xfId="45226" xr:uid="{00000000-0005-0000-0000-0000F64E0000}"/>
    <cellStyle name="40 % - Markeringsfarve1 3 2 3 3 4" xfId="23264" xr:uid="{00000000-0005-0000-0000-0000F74E0000}"/>
    <cellStyle name="40 % - Markeringsfarve1 3 2 3 3 5" xfId="38229" xr:uid="{00000000-0005-0000-0000-0000F84E0000}"/>
    <cellStyle name="40 % - Markeringsfarve1 3 2 3 4" xfId="5503" xr:uid="{00000000-0005-0000-0000-0000F94E0000}"/>
    <cellStyle name="40 % - Markeringsfarve1 3 2 3 4 2" xfId="10947" xr:uid="{00000000-0005-0000-0000-0000FA4E0000}"/>
    <cellStyle name="40 % - Markeringsfarve1 3 2 3 4 2 2" xfId="18781" xr:uid="{00000000-0005-0000-0000-0000FB4E0000}"/>
    <cellStyle name="40 % - Markeringsfarve1 3 2 3 4 2 2 2" xfId="35057" xr:uid="{00000000-0005-0000-0000-0000FC4E0000}"/>
    <cellStyle name="40 % - Markeringsfarve1 3 2 3 4 2 2 3" xfId="50016" xr:uid="{00000000-0005-0000-0000-0000FD4E0000}"/>
    <cellStyle name="40 % - Markeringsfarve1 3 2 3 4 2 3" xfId="28055" xr:uid="{00000000-0005-0000-0000-0000FE4E0000}"/>
    <cellStyle name="40 % - Markeringsfarve1 3 2 3 4 2 4" xfId="43019" xr:uid="{00000000-0005-0000-0000-0000FF4E0000}"/>
    <cellStyle name="40 % - Markeringsfarve1 3 2 3 4 3" xfId="13988" xr:uid="{00000000-0005-0000-0000-0000004F0000}"/>
    <cellStyle name="40 % - Markeringsfarve1 3 2 3 4 3 2" xfId="30267" xr:uid="{00000000-0005-0000-0000-0000014F0000}"/>
    <cellStyle name="40 % - Markeringsfarve1 3 2 3 4 3 3" xfId="45227" xr:uid="{00000000-0005-0000-0000-0000024F0000}"/>
    <cellStyle name="40 % - Markeringsfarve1 3 2 3 4 4" xfId="23265" xr:uid="{00000000-0005-0000-0000-0000034F0000}"/>
    <cellStyle name="40 % - Markeringsfarve1 3 2 3 4 5" xfId="38230" xr:uid="{00000000-0005-0000-0000-0000044F0000}"/>
    <cellStyle name="40 % - Markeringsfarve1 3 2 3 5" xfId="7983" xr:uid="{00000000-0005-0000-0000-0000054F0000}"/>
    <cellStyle name="40 % - Markeringsfarve1 3 2 3 5 2" xfId="15848" xr:uid="{00000000-0005-0000-0000-0000064F0000}"/>
    <cellStyle name="40 % - Markeringsfarve1 3 2 3 5 2 2" xfId="32124" xr:uid="{00000000-0005-0000-0000-0000074F0000}"/>
    <cellStyle name="40 % - Markeringsfarve1 3 2 3 5 2 3" xfId="47083" xr:uid="{00000000-0005-0000-0000-0000084F0000}"/>
    <cellStyle name="40 % - Markeringsfarve1 3 2 3 5 3" xfId="25122" xr:uid="{00000000-0005-0000-0000-0000094F0000}"/>
    <cellStyle name="40 % - Markeringsfarve1 3 2 3 5 4" xfId="40086" xr:uid="{00000000-0005-0000-0000-00000A4F0000}"/>
    <cellStyle name="40 % - Markeringsfarve1 3 2 3 6" xfId="13984" xr:uid="{00000000-0005-0000-0000-00000B4F0000}"/>
    <cellStyle name="40 % - Markeringsfarve1 3 2 3 6 2" xfId="30263" xr:uid="{00000000-0005-0000-0000-00000C4F0000}"/>
    <cellStyle name="40 % - Markeringsfarve1 3 2 3 6 3" xfId="45223" xr:uid="{00000000-0005-0000-0000-00000D4F0000}"/>
    <cellStyle name="40 % - Markeringsfarve1 3 2 3 7" xfId="23261" xr:uid="{00000000-0005-0000-0000-00000E4F0000}"/>
    <cellStyle name="40 % - Markeringsfarve1 3 2 3 8" xfId="38226" xr:uid="{00000000-0005-0000-0000-00000F4F0000}"/>
    <cellStyle name="40 % - Markeringsfarve1 3 2 4" xfId="5504" xr:uid="{00000000-0005-0000-0000-0000104F0000}"/>
    <cellStyle name="40 % - Markeringsfarve1 3 2 4 2" xfId="5505" xr:uid="{00000000-0005-0000-0000-0000114F0000}"/>
    <cellStyle name="40 % - Markeringsfarve1 3 2 4 2 2" xfId="5506" xr:uid="{00000000-0005-0000-0000-0000124F0000}"/>
    <cellStyle name="40 % - Markeringsfarve1 3 2 4 2 2 2" xfId="10105" xr:uid="{00000000-0005-0000-0000-0000134F0000}"/>
    <cellStyle name="40 % - Markeringsfarve1 3 2 4 2 2 2 2" xfId="17960" xr:uid="{00000000-0005-0000-0000-0000144F0000}"/>
    <cellStyle name="40 % - Markeringsfarve1 3 2 4 2 2 2 2 2" xfId="34236" xr:uid="{00000000-0005-0000-0000-0000154F0000}"/>
    <cellStyle name="40 % - Markeringsfarve1 3 2 4 2 2 2 2 3" xfId="49195" xr:uid="{00000000-0005-0000-0000-0000164F0000}"/>
    <cellStyle name="40 % - Markeringsfarve1 3 2 4 2 2 2 3" xfId="27234" xr:uid="{00000000-0005-0000-0000-0000174F0000}"/>
    <cellStyle name="40 % - Markeringsfarve1 3 2 4 2 2 2 4" xfId="42198" xr:uid="{00000000-0005-0000-0000-0000184F0000}"/>
    <cellStyle name="40 % - Markeringsfarve1 3 2 4 2 2 3" xfId="13991" xr:uid="{00000000-0005-0000-0000-0000194F0000}"/>
    <cellStyle name="40 % - Markeringsfarve1 3 2 4 2 2 3 2" xfId="30270" xr:uid="{00000000-0005-0000-0000-00001A4F0000}"/>
    <cellStyle name="40 % - Markeringsfarve1 3 2 4 2 2 3 3" xfId="45230" xr:uid="{00000000-0005-0000-0000-00001B4F0000}"/>
    <cellStyle name="40 % - Markeringsfarve1 3 2 4 2 2 4" xfId="23268" xr:uid="{00000000-0005-0000-0000-00001C4F0000}"/>
    <cellStyle name="40 % - Markeringsfarve1 3 2 4 2 2 5" xfId="38233" xr:uid="{00000000-0005-0000-0000-00001D4F0000}"/>
    <cellStyle name="40 % - Markeringsfarve1 3 2 4 2 3" xfId="8645" xr:uid="{00000000-0005-0000-0000-00001E4F0000}"/>
    <cellStyle name="40 % - Markeringsfarve1 3 2 4 2 3 2" xfId="16512" xr:uid="{00000000-0005-0000-0000-00001F4F0000}"/>
    <cellStyle name="40 % - Markeringsfarve1 3 2 4 2 3 2 2" xfId="32788" xr:uid="{00000000-0005-0000-0000-0000204F0000}"/>
    <cellStyle name="40 % - Markeringsfarve1 3 2 4 2 3 2 3" xfId="47747" xr:uid="{00000000-0005-0000-0000-0000214F0000}"/>
    <cellStyle name="40 % - Markeringsfarve1 3 2 4 2 3 3" xfId="25786" xr:uid="{00000000-0005-0000-0000-0000224F0000}"/>
    <cellStyle name="40 % - Markeringsfarve1 3 2 4 2 3 4" xfId="40750" xr:uid="{00000000-0005-0000-0000-0000234F0000}"/>
    <cellStyle name="40 % - Markeringsfarve1 3 2 4 2 4" xfId="13990" xr:uid="{00000000-0005-0000-0000-0000244F0000}"/>
    <cellStyle name="40 % - Markeringsfarve1 3 2 4 2 4 2" xfId="30269" xr:uid="{00000000-0005-0000-0000-0000254F0000}"/>
    <cellStyle name="40 % - Markeringsfarve1 3 2 4 2 4 3" xfId="45229" xr:uid="{00000000-0005-0000-0000-0000264F0000}"/>
    <cellStyle name="40 % - Markeringsfarve1 3 2 4 2 5" xfId="23267" xr:uid="{00000000-0005-0000-0000-0000274F0000}"/>
    <cellStyle name="40 % - Markeringsfarve1 3 2 4 2 6" xfId="38232" xr:uid="{00000000-0005-0000-0000-0000284F0000}"/>
    <cellStyle name="40 % - Markeringsfarve1 3 2 4 3" xfId="5507" xr:uid="{00000000-0005-0000-0000-0000294F0000}"/>
    <cellStyle name="40 % - Markeringsfarve1 3 2 4 3 2" xfId="9382" xr:uid="{00000000-0005-0000-0000-00002A4F0000}"/>
    <cellStyle name="40 % - Markeringsfarve1 3 2 4 3 2 2" xfId="17245" xr:uid="{00000000-0005-0000-0000-00002B4F0000}"/>
    <cellStyle name="40 % - Markeringsfarve1 3 2 4 3 2 2 2" xfId="33521" xr:uid="{00000000-0005-0000-0000-00002C4F0000}"/>
    <cellStyle name="40 % - Markeringsfarve1 3 2 4 3 2 2 3" xfId="48480" xr:uid="{00000000-0005-0000-0000-00002D4F0000}"/>
    <cellStyle name="40 % - Markeringsfarve1 3 2 4 3 2 3" xfId="26519" xr:uid="{00000000-0005-0000-0000-00002E4F0000}"/>
    <cellStyle name="40 % - Markeringsfarve1 3 2 4 3 2 4" xfId="41483" xr:uid="{00000000-0005-0000-0000-00002F4F0000}"/>
    <cellStyle name="40 % - Markeringsfarve1 3 2 4 3 3" xfId="13992" xr:uid="{00000000-0005-0000-0000-0000304F0000}"/>
    <cellStyle name="40 % - Markeringsfarve1 3 2 4 3 3 2" xfId="30271" xr:uid="{00000000-0005-0000-0000-0000314F0000}"/>
    <cellStyle name="40 % - Markeringsfarve1 3 2 4 3 3 3" xfId="45231" xr:uid="{00000000-0005-0000-0000-0000324F0000}"/>
    <cellStyle name="40 % - Markeringsfarve1 3 2 4 3 4" xfId="23269" xr:uid="{00000000-0005-0000-0000-0000334F0000}"/>
    <cellStyle name="40 % - Markeringsfarve1 3 2 4 3 5" xfId="38234" xr:uid="{00000000-0005-0000-0000-0000344F0000}"/>
    <cellStyle name="40 % - Markeringsfarve1 3 2 4 4" xfId="5508" xr:uid="{00000000-0005-0000-0000-0000354F0000}"/>
    <cellStyle name="40 % - Markeringsfarve1 3 2 4 4 2" xfId="10671" xr:uid="{00000000-0005-0000-0000-0000364F0000}"/>
    <cellStyle name="40 % - Markeringsfarve1 3 2 4 4 2 2" xfId="18517" xr:uid="{00000000-0005-0000-0000-0000374F0000}"/>
    <cellStyle name="40 % - Markeringsfarve1 3 2 4 4 2 2 2" xfId="34793" xr:uid="{00000000-0005-0000-0000-0000384F0000}"/>
    <cellStyle name="40 % - Markeringsfarve1 3 2 4 4 2 2 3" xfId="49752" xr:uid="{00000000-0005-0000-0000-0000394F0000}"/>
    <cellStyle name="40 % - Markeringsfarve1 3 2 4 4 2 3" xfId="27791" xr:uid="{00000000-0005-0000-0000-00003A4F0000}"/>
    <cellStyle name="40 % - Markeringsfarve1 3 2 4 4 2 4" xfId="42755" xr:uid="{00000000-0005-0000-0000-00003B4F0000}"/>
    <cellStyle name="40 % - Markeringsfarve1 3 2 4 4 3" xfId="13993" xr:uid="{00000000-0005-0000-0000-00003C4F0000}"/>
    <cellStyle name="40 % - Markeringsfarve1 3 2 4 4 3 2" xfId="30272" xr:uid="{00000000-0005-0000-0000-00003D4F0000}"/>
    <cellStyle name="40 % - Markeringsfarve1 3 2 4 4 3 3" xfId="45232" xr:uid="{00000000-0005-0000-0000-00003E4F0000}"/>
    <cellStyle name="40 % - Markeringsfarve1 3 2 4 4 4" xfId="23270" xr:uid="{00000000-0005-0000-0000-00003F4F0000}"/>
    <cellStyle name="40 % - Markeringsfarve1 3 2 4 4 5" xfId="38235" xr:uid="{00000000-0005-0000-0000-0000404F0000}"/>
    <cellStyle name="40 % - Markeringsfarve1 3 2 4 5" xfId="7984" xr:uid="{00000000-0005-0000-0000-0000414F0000}"/>
    <cellStyle name="40 % - Markeringsfarve1 3 2 4 5 2" xfId="15849" xr:uid="{00000000-0005-0000-0000-0000424F0000}"/>
    <cellStyle name="40 % - Markeringsfarve1 3 2 4 5 2 2" xfId="32125" xr:uid="{00000000-0005-0000-0000-0000434F0000}"/>
    <cellStyle name="40 % - Markeringsfarve1 3 2 4 5 2 3" xfId="47084" xr:uid="{00000000-0005-0000-0000-0000444F0000}"/>
    <cellStyle name="40 % - Markeringsfarve1 3 2 4 5 3" xfId="25123" xr:uid="{00000000-0005-0000-0000-0000454F0000}"/>
    <cellStyle name="40 % - Markeringsfarve1 3 2 4 5 4" xfId="40087" xr:uid="{00000000-0005-0000-0000-0000464F0000}"/>
    <cellStyle name="40 % - Markeringsfarve1 3 2 4 6" xfId="13989" xr:uid="{00000000-0005-0000-0000-0000474F0000}"/>
    <cellStyle name="40 % - Markeringsfarve1 3 2 4 6 2" xfId="30268" xr:uid="{00000000-0005-0000-0000-0000484F0000}"/>
    <cellStyle name="40 % - Markeringsfarve1 3 2 4 6 3" xfId="45228" xr:uid="{00000000-0005-0000-0000-0000494F0000}"/>
    <cellStyle name="40 % - Markeringsfarve1 3 2 4 7" xfId="23266" xr:uid="{00000000-0005-0000-0000-00004A4F0000}"/>
    <cellStyle name="40 % - Markeringsfarve1 3 2 4 8" xfId="38231" xr:uid="{00000000-0005-0000-0000-00004B4F0000}"/>
    <cellStyle name="40 % - Markeringsfarve1 3 2 5" xfId="5509" xr:uid="{00000000-0005-0000-0000-00004C4F0000}"/>
    <cellStyle name="40 % - Markeringsfarve1 3 2 5 2" xfId="5510" xr:uid="{00000000-0005-0000-0000-00004D4F0000}"/>
    <cellStyle name="40 % - Markeringsfarve1 3 2 5 2 2" xfId="5511" xr:uid="{00000000-0005-0000-0000-00004E4F0000}"/>
    <cellStyle name="40 % - Markeringsfarve1 3 2 5 2 2 2" xfId="10222" xr:uid="{00000000-0005-0000-0000-00004F4F0000}"/>
    <cellStyle name="40 % - Markeringsfarve1 3 2 5 2 2 2 2" xfId="18077" xr:uid="{00000000-0005-0000-0000-0000504F0000}"/>
    <cellStyle name="40 % - Markeringsfarve1 3 2 5 2 2 2 2 2" xfId="34353" xr:uid="{00000000-0005-0000-0000-0000514F0000}"/>
    <cellStyle name="40 % - Markeringsfarve1 3 2 5 2 2 2 2 3" xfId="49312" xr:uid="{00000000-0005-0000-0000-0000524F0000}"/>
    <cellStyle name="40 % - Markeringsfarve1 3 2 5 2 2 2 3" xfId="27351" xr:uid="{00000000-0005-0000-0000-0000534F0000}"/>
    <cellStyle name="40 % - Markeringsfarve1 3 2 5 2 2 2 4" xfId="42315" xr:uid="{00000000-0005-0000-0000-0000544F0000}"/>
    <cellStyle name="40 % - Markeringsfarve1 3 2 5 2 2 3" xfId="13996" xr:uid="{00000000-0005-0000-0000-0000554F0000}"/>
    <cellStyle name="40 % - Markeringsfarve1 3 2 5 2 2 3 2" xfId="30275" xr:uid="{00000000-0005-0000-0000-0000564F0000}"/>
    <cellStyle name="40 % - Markeringsfarve1 3 2 5 2 2 3 3" xfId="45235" xr:uid="{00000000-0005-0000-0000-0000574F0000}"/>
    <cellStyle name="40 % - Markeringsfarve1 3 2 5 2 2 4" xfId="23273" xr:uid="{00000000-0005-0000-0000-0000584F0000}"/>
    <cellStyle name="40 % - Markeringsfarve1 3 2 5 2 2 5" xfId="38238" xr:uid="{00000000-0005-0000-0000-0000594F0000}"/>
    <cellStyle name="40 % - Markeringsfarve1 3 2 5 2 3" xfId="8744" xr:uid="{00000000-0005-0000-0000-00005A4F0000}"/>
    <cellStyle name="40 % - Markeringsfarve1 3 2 5 2 3 2" xfId="16611" xr:uid="{00000000-0005-0000-0000-00005B4F0000}"/>
    <cellStyle name="40 % - Markeringsfarve1 3 2 5 2 3 2 2" xfId="32887" xr:uid="{00000000-0005-0000-0000-00005C4F0000}"/>
    <cellStyle name="40 % - Markeringsfarve1 3 2 5 2 3 2 3" xfId="47846" xr:uid="{00000000-0005-0000-0000-00005D4F0000}"/>
    <cellStyle name="40 % - Markeringsfarve1 3 2 5 2 3 3" xfId="25885" xr:uid="{00000000-0005-0000-0000-00005E4F0000}"/>
    <cellStyle name="40 % - Markeringsfarve1 3 2 5 2 3 4" xfId="40849" xr:uid="{00000000-0005-0000-0000-00005F4F0000}"/>
    <cellStyle name="40 % - Markeringsfarve1 3 2 5 2 4" xfId="13995" xr:uid="{00000000-0005-0000-0000-0000604F0000}"/>
    <cellStyle name="40 % - Markeringsfarve1 3 2 5 2 4 2" xfId="30274" xr:uid="{00000000-0005-0000-0000-0000614F0000}"/>
    <cellStyle name="40 % - Markeringsfarve1 3 2 5 2 4 3" xfId="45234" xr:uid="{00000000-0005-0000-0000-0000624F0000}"/>
    <cellStyle name="40 % - Markeringsfarve1 3 2 5 2 5" xfId="23272" xr:uid="{00000000-0005-0000-0000-0000634F0000}"/>
    <cellStyle name="40 % - Markeringsfarve1 3 2 5 2 6" xfId="38237" xr:uid="{00000000-0005-0000-0000-0000644F0000}"/>
    <cellStyle name="40 % - Markeringsfarve1 3 2 5 3" xfId="5512" xr:uid="{00000000-0005-0000-0000-0000654F0000}"/>
    <cellStyle name="40 % - Markeringsfarve1 3 2 5 3 2" xfId="9499" xr:uid="{00000000-0005-0000-0000-0000664F0000}"/>
    <cellStyle name="40 % - Markeringsfarve1 3 2 5 3 2 2" xfId="17362" xr:uid="{00000000-0005-0000-0000-0000674F0000}"/>
    <cellStyle name="40 % - Markeringsfarve1 3 2 5 3 2 2 2" xfId="33638" xr:uid="{00000000-0005-0000-0000-0000684F0000}"/>
    <cellStyle name="40 % - Markeringsfarve1 3 2 5 3 2 2 3" xfId="48597" xr:uid="{00000000-0005-0000-0000-0000694F0000}"/>
    <cellStyle name="40 % - Markeringsfarve1 3 2 5 3 2 3" xfId="26636" xr:uid="{00000000-0005-0000-0000-00006A4F0000}"/>
    <cellStyle name="40 % - Markeringsfarve1 3 2 5 3 2 4" xfId="41600" xr:uid="{00000000-0005-0000-0000-00006B4F0000}"/>
    <cellStyle name="40 % - Markeringsfarve1 3 2 5 3 3" xfId="13997" xr:uid="{00000000-0005-0000-0000-00006C4F0000}"/>
    <cellStyle name="40 % - Markeringsfarve1 3 2 5 3 3 2" xfId="30276" xr:uid="{00000000-0005-0000-0000-00006D4F0000}"/>
    <cellStyle name="40 % - Markeringsfarve1 3 2 5 3 3 3" xfId="45236" xr:uid="{00000000-0005-0000-0000-00006E4F0000}"/>
    <cellStyle name="40 % - Markeringsfarve1 3 2 5 3 4" xfId="23274" xr:uid="{00000000-0005-0000-0000-00006F4F0000}"/>
    <cellStyle name="40 % - Markeringsfarve1 3 2 5 3 5" xfId="38239" xr:uid="{00000000-0005-0000-0000-0000704F0000}"/>
    <cellStyle name="40 % - Markeringsfarve1 3 2 5 4" xfId="5513" xr:uid="{00000000-0005-0000-0000-0000714F0000}"/>
    <cellStyle name="40 % - Markeringsfarve1 3 2 5 4 2" xfId="10905" xr:uid="{00000000-0005-0000-0000-0000724F0000}"/>
    <cellStyle name="40 % - Markeringsfarve1 3 2 5 4 2 2" xfId="18741" xr:uid="{00000000-0005-0000-0000-0000734F0000}"/>
    <cellStyle name="40 % - Markeringsfarve1 3 2 5 4 2 2 2" xfId="35017" xr:uid="{00000000-0005-0000-0000-0000744F0000}"/>
    <cellStyle name="40 % - Markeringsfarve1 3 2 5 4 2 2 3" xfId="49976" xr:uid="{00000000-0005-0000-0000-0000754F0000}"/>
    <cellStyle name="40 % - Markeringsfarve1 3 2 5 4 2 3" xfId="28015" xr:uid="{00000000-0005-0000-0000-0000764F0000}"/>
    <cellStyle name="40 % - Markeringsfarve1 3 2 5 4 2 4" xfId="42979" xr:uid="{00000000-0005-0000-0000-0000774F0000}"/>
    <cellStyle name="40 % - Markeringsfarve1 3 2 5 4 3" xfId="13998" xr:uid="{00000000-0005-0000-0000-0000784F0000}"/>
    <cellStyle name="40 % - Markeringsfarve1 3 2 5 4 3 2" xfId="30277" xr:uid="{00000000-0005-0000-0000-0000794F0000}"/>
    <cellStyle name="40 % - Markeringsfarve1 3 2 5 4 3 3" xfId="45237" xr:uid="{00000000-0005-0000-0000-00007A4F0000}"/>
    <cellStyle name="40 % - Markeringsfarve1 3 2 5 4 4" xfId="23275" xr:uid="{00000000-0005-0000-0000-00007B4F0000}"/>
    <cellStyle name="40 % - Markeringsfarve1 3 2 5 4 5" xfId="38240" xr:uid="{00000000-0005-0000-0000-00007C4F0000}"/>
    <cellStyle name="40 % - Markeringsfarve1 3 2 5 5" xfId="7985" xr:uid="{00000000-0005-0000-0000-00007D4F0000}"/>
    <cellStyle name="40 % - Markeringsfarve1 3 2 5 5 2" xfId="15850" xr:uid="{00000000-0005-0000-0000-00007E4F0000}"/>
    <cellStyle name="40 % - Markeringsfarve1 3 2 5 5 2 2" xfId="32126" xr:uid="{00000000-0005-0000-0000-00007F4F0000}"/>
    <cellStyle name="40 % - Markeringsfarve1 3 2 5 5 2 3" xfId="47085" xr:uid="{00000000-0005-0000-0000-0000804F0000}"/>
    <cellStyle name="40 % - Markeringsfarve1 3 2 5 5 3" xfId="25124" xr:uid="{00000000-0005-0000-0000-0000814F0000}"/>
    <cellStyle name="40 % - Markeringsfarve1 3 2 5 5 4" xfId="40088" xr:uid="{00000000-0005-0000-0000-0000824F0000}"/>
    <cellStyle name="40 % - Markeringsfarve1 3 2 5 6" xfId="13994" xr:uid="{00000000-0005-0000-0000-0000834F0000}"/>
    <cellStyle name="40 % - Markeringsfarve1 3 2 5 6 2" xfId="30273" xr:uid="{00000000-0005-0000-0000-0000844F0000}"/>
    <cellStyle name="40 % - Markeringsfarve1 3 2 5 6 3" xfId="45233" xr:uid="{00000000-0005-0000-0000-0000854F0000}"/>
    <cellStyle name="40 % - Markeringsfarve1 3 2 5 7" xfId="23271" xr:uid="{00000000-0005-0000-0000-0000864F0000}"/>
    <cellStyle name="40 % - Markeringsfarve1 3 2 5 8" xfId="38236" xr:uid="{00000000-0005-0000-0000-0000874F0000}"/>
    <cellStyle name="40 % - Markeringsfarve1 3 2 6" xfId="5514" xr:uid="{00000000-0005-0000-0000-0000884F0000}"/>
    <cellStyle name="40 % - Markeringsfarve1 3 2 6 2" xfId="5515" xr:uid="{00000000-0005-0000-0000-0000894F0000}"/>
    <cellStyle name="40 % - Markeringsfarve1 3 2 6 2 2" xfId="5516" xr:uid="{00000000-0005-0000-0000-00008A4F0000}"/>
    <cellStyle name="40 % - Markeringsfarve1 3 2 6 2 2 2" xfId="10344" xr:uid="{00000000-0005-0000-0000-00008B4F0000}"/>
    <cellStyle name="40 % - Markeringsfarve1 3 2 6 2 2 2 2" xfId="18199" xr:uid="{00000000-0005-0000-0000-00008C4F0000}"/>
    <cellStyle name="40 % - Markeringsfarve1 3 2 6 2 2 2 2 2" xfId="34475" xr:uid="{00000000-0005-0000-0000-00008D4F0000}"/>
    <cellStyle name="40 % - Markeringsfarve1 3 2 6 2 2 2 2 3" xfId="49434" xr:uid="{00000000-0005-0000-0000-00008E4F0000}"/>
    <cellStyle name="40 % - Markeringsfarve1 3 2 6 2 2 2 3" xfId="27473" xr:uid="{00000000-0005-0000-0000-00008F4F0000}"/>
    <cellStyle name="40 % - Markeringsfarve1 3 2 6 2 2 2 4" xfId="42437" xr:uid="{00000000-0005-0000-0000-0000904F0000}"/>
    <cellStyle name="40 % - Markeringsfarve1 3 2 6 2 2 3" xfId="14001" xr:uid="{00000000-0005-0000-0000-0000914F0000}"/>
    <cellStyle name="40 % - Markeringsfarve1 3 2 6 2 2 3 2" xfId="30280" xr:uid="{00000000-0005-0000-0000-0000924F0000}"/>
    <cellStyle name="40 % - Markeringsfarve1 3 2 6 2 2 3 3" xfId="45240" xr:uid="{00000000-0005-0000-0000-0000934F0000}"/>
    <cellStyle name="40 % - Markeringsfarve1 3 2 6 2 2 4" xfId="23278" xr:uid="{00000000-0005-0000-0000-0000944F0000}"/>
    <cellStyle name="40 % - Markeringsfarve1 3 2 6 2 2 5" xfId="38243" xr:uid="{00000000-0005-0000-0000-0000954F0000}"/>
    <cellStyle name="40 % - Markeringsfarve1 3 2 6 2 3" xfId="8847" xr:uid="{00000000-0005-0000-0000-0000964F0000}"/>
    <cellStyle name="40 % - Markeringsfarve1 3 2 6 2 3 2" xfId="16714" xr:uid="{00000000-0005-0000-0000-0000974F0000}"/>
    <cellStyle name="40 % - Markeringsfarve1 3 2 6 2 3 2 2" xfId="32990" xr:uid="{00000000-0005-0000-0000-0000984F0000}"/>
    <cellStyle name="40 % - Markeringsfarve1 3 2 6 2 3 2 3" xfId="47949" xr:uid="{00000000-0005-0000-0000-0000994F0000}"/>
    <cellStyle name="40 % - Markeringsfarve1 3 2 6 2 3 3" xfId="25988" xr:uid="{00000000-0005-0000-0000-00009A4F0000}"/>
    <cellStyle name="40 % - Markeringsfarve1 3 2 6 2 3 4" xfId="40952" xr:uid="{00000000-0005-0000-0000-00009B4F0000}"/>
    <cellStyle name="40 % - Markeringsfarve1 3 2 6 2 4" xfId="14000" xr:uid="{00000000-0005-0000-0000-00009C4F0000}"/>
    <cellStyle name="40 % - Markeringsfarve1 3 2 6 2 4 2" xfId="30279" xr:uid="{00000000-0005-0000-0000-00009D4F0000}"/>
    <cellStyle name="40 % - Markeringsfarve1 3 2 6 2 4 3" xfId="45239" xr:uid="{00000000-0005-0000-0000-00009E4F0000}"/>
    <cellStyle name="40 % - Markeringsfarve1 3 2 6 2 5" xfId="23277" xr:uid="{00000000-0005-0000-0000-00009F4F0000}"/>
    <cellStyle name="40 % - Markeringsfarve1 3 2 6 2 6" xfId="38242" xr:uid="{00000000-0005-0000-0000-0000A04F0000}"/>
    <cellStyle name="40 % - Markeringsfarve1 3 2 6 3" xfId="5517" xr:uid="{00000000-0005-0000-0000-0000A14F0000}"/>
    <cellStyle name="40 % - Markeringsfarve1 3 2 6 3 2" xfId="9622" xr:uid="{00000000-0005-0000-0000-0000A24F0000}"/>
    <cellStyle name="40 % - Markeringsfarve1 3 2 6 3 2 2" xfId="17485" xr:uid="{00000000-0005-0000-0000-0000A34F0000}"/>
    <cellStyle name="40 % - Markeringsfarve1 3 2 6 3 2 2 2" xfId="33761" xr:uid="{00000000-0005-0000-0000-0000A44F0000}"/>
    <cellStyle name="40 % - Markeringsfarve1 3 2 6 3 2 2 3" xfId="48720" xr:uid="{00000000-0005-0000-0000-0000A54F0000}"/>
    <cellStyle name="40 % - Markeringsfarve1 3 2 6 3 2 3" xfId="26759" xr:uid="{00000000-0005-0000-0000-0000A64F0000}"/>
    <cellStyle name="40 % - Markeringsfarve1 3 2 6 3 2 4" xfId="41723" xr:uid="{00000000-0005-0000-0000-0000A74F0000}"/>
    <cellStyle name="40 % - Markeringsfarve1 3 2 6 3 3" xfId="14002" xr:uid="{00000000-0005-0000-0000-0000A84F0000}"/>
    <cellStyle name="40 % - Markeringsfarve1 3 2 6 3 3 2" xfId="30281" xr:uid="{00000000-0005-0000-0000-0000A94F0000}"/>
    <cellStyle name="40 % - Markeringsfarve1 3 2 6 3 3 3" xfId="45241" xr:uid="{00000000-0005-0000-0000-0000AA4F0000}"/>
    <cellStyle name="40 % - Markeringsfarve1 3 2 6 3 4" xfId="23279" xr:uid="{00000000-0005-0000-0000-0000AB4F0000}"/>
    <cellStyle name="40 % - Markeringsfarve1 3 2 6 3 5" xfId="38244" xr:uid="{00000000-0005-0000-0000-0000AC4F0000}"/>
    <cellStyle name="40 % - Markeringsfarve1 3 2 6 4" xfId="5518" xr:uid="{00000000-0005-0000-0000-0000AD4F0000}"/>
    <cellStyle name="40 % - Markeringsfarve1 3 2 6 4 2" xfId="10630" xr:uid="{00000000-0005-0000-0000-0000AE4F0000}"/>
    <cellStyle name="40 % - Markeringsfarve1 3 2 6 4 2 2" xfId="18478" xr:uid="{00000000-0005-0000-0000-0000AF4F0000}"/>
    <cellStyle name="40 % - Markeringsfarve1 3 2 6 4 2 2 2" xfId="34754" xr:uid="{00000000-0005-0000-0000-0000B04F0000}"/>
    <cellStyle name="40 % - Markeringsfarve1 3 2 6 4 2 2 3" xfId="49713" xr:uid="{00000000-0005-0000-0000-0000B14F0000}"/>
    <cellStyle name="40 % - Markeringsfarve1 3 2 6 4 2 3" xfId="27752" xr:uid="{00000000-0005-0000-0000-0000B24F0000}"/>
    <cellStyle name="40 % - Markeringsfarve1 3 2 6 4 2 4" xfId="42716" xr:uid="{00000000-0005-0000-0000-0000B34F0000}"/>
    <cellStyle name="40 % - Markeringsfarve1 3 2 6 4 3" xfId="14003" xr:uid="{00000000-0005-0000-0000-0000B44F0000}"/>
    <cellStyle name="40 % - Markeringsfarve1 3 2 6 4 3 2" xfId="30282" xr:uid="{00000000-0005-0000-0000-0000B54F0000}"/>
    <cellStyle name="40 % - Markeringsfarve1 3 2 6 4 3 3" xfId="45242" xr:uid="{00000000-0005-0000-0000-0000B64F0000}"/>
    <cellStyle name="40 % - Markeringsfarve1 3 2 6 4 4" xfId="23280" xr:uid="{00000000-0005-0000-0000-0000B74F0000}"/>
    <cellStyle name="40 % - Markeringsfarve1 3 2 6 4 5" xfId="38245" xr:uid="{00000000-0005-0000-0000-0000B84F0000}"/>
    <cellStyle name="40 % - Markeringsfarve1 3 2 6 5" xfId="7986" xr:uid="{00000000-0005-0000-0000-0000B94F0000}"/>
    <cellStyle name="40 % - Markeringsfarve1 3 2 6 5 2" xfId="15851" xr:uid="{00000000-0005-0000-0000-0000BA4F0000}"/>
    <cellStyle name="40 % - Markeringsfarve1 3 2 6 5 2 2" xfId="32127" xr:uid="{00000000-0005-0000-0000-0000BB4F0000}"/>
    <cellStyle name="40 % - Markeringsfarve1 3 2 6 5 2 3" xfId="47086" xr:uid="{00000000-0005-0000-0000-0000BC4F0000}"/>
    <cellStyle name="40 % - Markeringsfarve1 3 2 6 5 3" xfId="25125" xr:uid="{00000000-0005-0000-0000-0000BD4F0000}"/>
    <cellStyle name="40 % - Markeringsfarve1 3 2 6 5 4" xfId="40089" xr:uid="{00000000-0005-0000-0000-0000BE4F0000}"/>
    <cellStyle name="40 % - Markeringsfarve1 3 2 6 6" xfId="13999" xr:uid="{00000000-0005-0000-0000-0000BF4F0000}"/>
    <cellStyle name="40 % - Markeringsfarve1 3 2 6 6 2" xfId="30278" xr:uid="{00000000-0005-0000-0000-0000C04F0000}"/>
    <cellStyle name="40 % - Markeringsfarve1 3 2 6 6 3" xfId="45238" xr:uid="{00000000-0005-0000-0000-0000C14F0000}"/>
    <cellStyle name="40 % - Markeringsfarve1 3 2 6 7" xfId="23276" xr:uid="{00000000-0005-0000-0000-0000C24F0000}"/>
    <cellStyle name="40 % - Markeringsfarve1 3 2 6 8" xfId="38241" xr:uid="{00000000-0005-0000-0000-0000C34F0000}"/>
    <cellStyle name="40 % - Markeringsfarve1 3 2 7" xfId="5519" xr:uid="{00000000-0005-0000-0000-0000C44F0000}"/>
    <cellStyle name="40 % - Markeringsfarve1 3 2 7 2" xfId="5520" xr:uid="{00000000-0005-0000-0000-0000C54F0000}"/>
    <cellStyle name="40 % - Markeringsfarve1 3 2 7 2 2" xfId="9749" xr:uid="{00000000-0005-0000-0000-0000C64F0000}"/>
    <cellStyle name="40 % - Markeringsfarve1 3 2 7 2 2 2" xfId="17603" xr:uid="{00000000-0005-0000-0000-0000C74F0000}"/>
    <cellStyle name="40 % - Markeringsfarve1 3 2 7 2 2 2 2" xfId="33879" xr:uid="{00000000-0005-0000-0000-0000C84F0000}"/>
    <cellStyle name="40 % - Markeringsfarve1 3 2 7 2 2 2 3" xfId="48838" xr:uid="{00000000-0005-0000-0000-0000C94F0000}"/>
    <cellStyle name="40 % - Markeringsfarve1 3 2 7 2 2 3" xfId="26877" xr:uid="{00000000-0005-0000-0000-0000CA4F0000}"/>
    <cellStyle name="40 % - Markeringsfarve1 3 2 7 2 2 4" xfId="41841" xr:uid="{00000000-0005-0000-0000-0000CB4F0000}"/>
    <cellStyle name="40 % - Markeringsfarve1 3 2 7 2 3" xfId="14005" xr:uid="{00000000-0005-0000-0000-0000CC4F0000}"/>
    <cellStyle name="40 % - Markeringsfarve1 3 2 7 2 3 2" xfId="30284" xr:uid="{00000000-0005-0000-0000-0000CD4F0000}"/>
    <cellStyle name="40 % - Markeringsfarve1 3 2 7 2 3 3" xfId="45244" xr:uid="{00000000-0005-0000-0000-0000CE4F0000}"/>
    <cellStyle name="40 % - Markeringsfarve1 3 2 7 2 4" xfId="23282" xr:uid="{00000000-0005-0000-0000-0000CF4F0000}"/>
    <cellStyle name="40 % - Markeringsfarve1 3 2 7 2 5" xfId="38247" xr:uid="{00000000-0005-0000-0000-0000D04F0000}"/>
    <cellStyle name="40 % - Markeringsfarve1 3 2 7 3" xfId="8344" xr:uid="{00000000-0005-0000-0000-0000D14F0000}"/>
    <cellStyle name="40 % - Markeringsfarve1 3 2 7 3 2" xfId="16214" xr:uid="{00000000-0005-0000-0000-0000D24F0000}"/>
    <cellStyle name="40 % - Markeringsfarve1 3 2 7 3 2 2" xfId="32490" xr:uid="{00000000-0005-0000-0000-0000D34F0000}"/>
    <cellStyle name="40 % - Markeringsfarve1 3 2 7 3 2 3" xfId="47449" xr:uid="{00000000-0005-0000-0000-0000D44F0000}"/>
    <cellStyle name="40 % - Markeringsfarve1 3 2 7 3 3" xfId="25488" xr:uid="{00000000-0005-0000-0000-0000D54F0000}"/>
    <cellStyle name="40 % - Markeringsfarve1 3 2 7 3 4" xfId="40452" xr:uid="{00000000-0005-0000-0000-0000D64F0000}"/>
    <cellStyle name="40 % - Markeringsfarve1 3 2 7 4" xfId="14004" xr:uid="{00000000-0005-0000-0000-0000D74F0000}"/>
    <cellStyle name="40 % - Markeringsfarve1 3 2 7 4 2" xfId="30283" xr:uid="{00000000-0005-0000-0000-0000D84F0000}"/>
    <cellStyle name="40 % - Markeringsfarve1 3 2 7 4 3" xfId="45243" xr:uid="{00000000-0005-0000-0000-0000D94F0000}"/>
    <cellStyle name="40 % - Markeringsfarve1 3 2 7 5" xfId="23281" xr:uid="{00000000-0005-0000-0000-0000DA4F0000}"/>
    <cellStyle name="40 % - Markeringsfarve1 3 2 7 6" xfId="38246" xr:uid="{00000000-0005-0000-0000-0000DB4F0000}"/>
    <cellStyle name="40 % - Markeringsfarve1 3 2 8" xfId="5521" xr:uid="{00000000-0005-0000-0000-0000DC4F0000}"/>
    <cellStyle name="40 % - Markeringsfarve1 3 2 8 2" xfId="8977" xr:uid="{00000000-0005-0000-0000-0000DD4F0000}"/>
    <cellStyle name="40 % - Markeringsfarve1 3 2 8 2 2" xfId="16841" xr:uid="{00000000-0005-0000-0000-0000DE4F0000}"/>
    <cellStyle name="40 % - Markeringsfarve1 3 2 8 2 2 2" xfId="33117" xr:uid="{00000000-0005-0000-0000-0000DF4F0000}"/>
    <cellStyle name="40 % - Markeringsfarve1 3 2 8 2 2 3" xfId="48076" xr:uid="{00000000-0005-0000-0000-0000E04F0000}"/>
    <cellStyle name="40 % - Markeringsfarve1 3 2 8 2 3" xfId="26115" xr:uid="{00000000-0005-0000-0000-0000E14F0000}"/>
    <cellStyle name="40 % - Markeringsfarve1 3 2 8 2 4" xfId="41079" xr:uid="{00000000-0005-0000-0000-0000E24F0000}"/>
    <cellStyle name="40 % - Markeringsfarve1 3 2 8 3" xfId="14006" xr:uid="{00000000-0005-0000-0000-0000E34F0000}"/>
    <cellStyle name="40 % - Markeringsfarve1 3 2 8 3 2" xfId="30285" xr:uid="{00000000-0005-0000-0000-0000E44F0000}"/>
    <cellStyle name="40 % - Markeringsfarve1 3 2 8 3 3" xfId="45245" xr:uid="{00000000-0005-0000-0000-0000E54F0000}"/>
    <cellStyle name="40 % - Markeringsfarve1 3 2 8 4" xfId="23283" xr:uid="{00000000-0005-0000-0000-0000E64F0000}"/>
    <cellStyle name="40 % - Markeringsfarve1 3 2 8 5" xfId="38248" xr:uid="{00000000-0005-0000-0000-0000E74F0000}"/>
    <cellStyle name="40 % - Markeringsfarve1 3 2 9" xfId="5522" xr:uid="{00000000-0005-0000-0000-0000E84F0000}"/>
    <cellStyle name="40 % - Markeringsfarve1 3 2 9 2" xfId="10982" xr:uid="{00000000-0005-0000-0000-0000E94F0000}"/>
    <cellStyle name="40 % - Markeringsfarve1 3 2 9 2 2" xfId="18813" xr:uid="{00000000-0005-0000-0000-0000EA4F0000}"/>
    <cellStyle name="40 % - Markeringsfarve1 3 2 9 2 2 2" xfId="35089" xr:uid="{00000000-0005-0000-0000-0000EB4F0000}"/>
    <cellStyle name="40 % - Markeringsfarve1 3 2 9 2 2 3" xfId="50048" xr:uid="{00000000-0005-0000-0000-0000EC4F0000}"/>
    <cellStyle name="40 % - Markeringsfarve1 3 2 9 2 3" xfId="28087" xr:uid="{00000000-0005-0000-0000-0000ED4F0000}"/>
    <cellStyle name="40 % - Markeringsfarve1 3 2 9 2 4" xfId="43051" xr:uid="{00000000-0005-0000-0000-0000EE4F0000}"/>
    <cellStyle name="40 % - Markeringsfarve1 3 2 9 3" xfId="14007" xr:uid="{00000000-0005-0000-0000-0000EF4F0000}"/>
    <cellStyle name="40 % - Markeringsfarve1 3 2 9 3 2" xfId="30286" xr:uid="{00000000-0005-0000-0000-0000F04F0000}"/>
    <cellStyle name="40 % - Markeringsfarve1 3 2 9 3 3" xfId="45246" xr:uid="{00000000-0005-0000-0000-0000F14F0000}"/>
    <cellStyle name="40 % - Markeringsfarve1 3 2 9 4" xfId="23284" xr:uid="{00000000-0005-0000-0000-0000F24F0000}"/>
    <cellStyle name="40 % - Markeringsfarve1 3 2 9 5" xfId="38249" xr:uid="{00000000-0005-0000-0000-0000F34F0000}"/>
    <cellStyle name="40 % - Markeringsfarve1 3 3" xfId="5523" xr:uid="{00000000-0005-0000-0000-0000F44F0000}"/>
    <cellStyle name="40 % - Markeringsfarve1 3 3 10" xfId="7987" xr:uid="{00000000-0005-0000-0000-0000F54F0000}"/>
    <cellStyle name="40 % - Markeringsfarve1 3 3 10 2" xfId="15852" xr:uid="{00000000-0005-0000-0000-0000F64F0000}"/>
    <cellStyle name="40 % - Markeringsfarve1 3 3 10 2 2" xfId="32128" xr:uid="{00000000-0005-0000-0000-0000F74F0000}"/>
    <cellStyle name="40 % - Markeringsfarve1 3 3 10 2 3" xfId="47087" xr:uid="{00000000-0005-0000-0000-0000F84F0000}"/>
    <cellStyle name="40 % - Markeringsfarve1 3 3 10 3" xfId="25126" xr:uid="{00000000-0005-0000-0000-0000F94F0000}"/>
    <cellStyle name="40 % - Markeringsfarve1 3 3 10 4" xfId="40090" xr:uid="{00000000-0005-0000-0000-0000FA4F0000}"/>
    <cellStyle name="40 % - Markeringsfarve1 3 3 11" xfId="14008" xr:uid="{00000000-0005-0000-0000-0000FB4F0000}"/>
    <cellStyle name="40 % - Markeringsfarve1 3 3 11 2" xfId="30287" xr:uid="{00000000-0005-0000-0000-0000FC4F0000}"/>
    <cellStyle name="40 % - Markeringsfarve1 3 3 11 3" xfId="45247" xr:uid="{00000000-0005-0000-0000-0000FD4F0000}"/>
    <cellStyle name="40 % - Markeringsfarve1 3 3 12" xfId="23285" xr:uid="{00000000-0005-0000-0000-0000FE4F0000}"/>
    <cellStyle name="40 % - Markeringsfarve1 3 3 13" xfId="38250" xr:uid="{00000000-0005-0000-0000-0000FF4F0000}"/>
    <cellStyle name="40 % - Markeringsfarve1 3 3 2" xfId="5524" xr:uid="{00000000-0005-0000-0000-000000500000}"/>
    <cellStyle name="40 % - Markeringsfarve1 3 3 2 2" xfId="5525" xr:uid="{00000000-0005-0000-0000-000001500000}"/>
    <cellStyle name="40 % - Markeringsfarve1 3 3 2 2 2" xfId="5526" xr:uid="{00000000-0005-0000-0000-000002500000}"/>
    <cellStyle name="40 % - Markeringsfarve1 3 3 2 2 2 2" xfId="9906" xr:uid="{00000000-0005-0000-0000-000003500000}"/>
    <cellStyle name="40 % - Markeringsfarve1 3 3 2 2 2 2 2" xfId="17761" xr:uid="{00000000-0005-0000-0000-000004500000}"/>
    <cellStyle name="40 % - Markeringsfarve1 3 3 2 2 2 2 2 2" xfId="34037" xr:uid="{00000000-0005-0000-0000-000005500000}"/>
    <cellStyle name="40 % - Markeringsfarve1 3 3 2 2 2 2 2 3" xfId="48996" xr:uid="{00000000-0005-0000-0000-000006500000}"/>
    <cellStyle name="40 % - Markeringsfarve1 3 3 2 2 2 2 3" xfId="27035" xr:uid="{00000000-0005-0000-0000-000007500000}"/>
    <cellStyle name="40 % - Markeringsfarve1 3 3 2 2 2 2 4" xfId="41999" xr:uid="{00000000-0005-0000-0000-000008500000}"/>
    <cellStyle name="40 % - Markeringsfarve1 3 3 2 2 2 3" xfId="14011" xr:uid="{00000000-0005-0000-0000-000009500000}"/>
    <cellStyle name="40 % - Markeringsfarve1 3 3 2 2 2 3 2" xfId="30290" xr:uid="{00000000-0005-0000-0000-00000A500000}"/>
    <cellStyle name="40 % - Markeringsfarve1 3 3 2 2 2 3 3" xfId="45250" xr:uid="{00000000-0005-0000-0000-00000B500000}"/>
    <cellStyle name="40 % - Markeringsfarve1 3 3 2 2 2 4" xfId="23288" xr:uid="{00000000-0005-0000-0000-00000C500000}"/>
    <cellStyle name="40 % - Markeringsfarve1 3 3 2 2 2 5" xfId="38253" xr:uid="{00000000-0005-0000-0000-00000D500000}"/>
    <cellStyle name="40 % - Markeringsfarve1 3 3 2 2 3" xfId="8476" xr:uid="{00000000-0005-0000-0000-00000E500000}"/>
    <cellStyle name="40 % - Markeringsfarve1 3 3 2 2 3 2" xfId="16346" xr:uid="{00000000-0005-0000-0000-00000F500000}"/>
    <cellStyle name="40 % - Markeringsfarve1 3 3 2 2 3 2 2" xfId="32622" xr:uid="{00000000-0005-0000-0000-000010500000}"/>
    <cellStyle name="40 % - Markeringsfarve1 3 3 2 2 3 2 3" xfId="47581" xr:uid="{00000000-0005-0000-0000-000011500000}"/>
    <cellStyle name="40 % - Markeringsfarve1 3 3 2 2 3 3" xfId="25620" xr:uid="{00000000-0005-0000-0000-000012500000}"/>
    <cellStyle name="40 % - Markeringsfarve1 3 3 2 2 3 4" xfId="40584" xr:uid="{00000000-0005-0000-0000-000013500000}"/>
    <cellStyle name="40 % - Markeringsfarve1 3 3 2 2 4" xfId="14010" xr:uid="{00000000-0005-0000-0000-000014500000}"/>
    <cellStyle name="40 % - Markeringsfarve1 3 3 2 2 4 2" xfId="30289" xr:uid="{00000000-0005-0000-0000-000015500000}"/>
    <cellStyle name="40 % - Markeringsfarve1 3 3 2 2 4 3" xfId="45249" xr:uid="{00000000-0005-0000-0000-000016500000}"/>
    <cellStyle name="40 % - Markeringsfarve1 3 3 2 2 5" xfId="23287" xr:uid="{00000000-0005-0000-0000-000017500000}"/>
    <cellStyle name="40 % - Markeringsfarve1 3 3 2 2 6" xfId="38252" xr:uid="{00000000-0005-0000-0000-000018500000}"/>
    <cellStyle name="40 % - Markeringsfarve1 3 3 2 3" xfId="5527" xr:uid="{00000000-0005-0000-0000-000019500000}"/>
    <cellStyle name="40 % - Markeringsfarve1 3 3 2 3 2" xfId="9137" xr:uid="{00000000-0005-0000-0000-00001A500000}"/>
    <cellStyle name="40 % - Markeringsfarve1 3 3 2 3 2 2" xfId="17001" xr:uid="{00000000-0005-0000-0000-00001B500000}"/>
    <cellStyle name="40 % - Markeringsfarve1 3 3 2 3 2 2 2" xfId="33277" xr:uid="{00000000-0005-0000-0000-00001C500000}"/>
    <cellStyle name="40 % - Markeringsfarve1 3 3 2 3 2 2 3" xfId="48236" xr:uid="{00000000-0005-0000-0000-00001D500000}"/>
    <cellStyle name="40 % - Markeringsfarve1 3 3 2 3 2 3" xfId="26275" xr:uid="{00000000-0005-0000-0000-00001E500000}"/>
    <cellStyle name="40 % - Markeringsfarve1 3 3 2 3 2 4" xfId="41239" xr:uid="{00000000-0005-0000-0000-00001F500000}"/>
    <cellStyle name="40 % - Markeringsfarve1 3 3 2 3 3" xfId="14012" xr:uid="{00000000-0005-0000-0000-000020500000}"/>
    <cellStyle name="40 % - Markeringsfarve1 3 3 2 3 3 2" xfId="30291" xr:uid="{00000000-0005-0000-0000-000021500000}"/>
    <cellStyle name="40 % - Markeringsfarve1 3 3 2 3 3 3" xfId="45251" xr:uid="{00000000-0005-0000-0000-000022500000}"/>
    <cellStyle name="40 % - Markeringsfarve1 3 3 2 3 4" xfId="23289" xr:uid="{00000000-0005-0000-0000-000023500000}"/>
    <cellStyle name="40 % - Markeringsfarve1 3 3 2 3 5" xfId="38254" xr:uid="{00000000-0005-0000-0000-000024500000}"/>
    <cellStyle name="40 % - Markeringsfarve1 3 3 2 4" xfId="5528" xr:uid="{00000000-0005-0000-0000-000025500000}"/>
    <cellStyle name="40 % - Markeringsfarve1 3 3 2 4 2" xfId="10498" xr:uid="{00000000-0005-0000-0000-000026500000}"/>
    <cellStyle name="40 % - Markeringsfarve1 3 3 2 4 2 2" xfId="18347" xr:uid="{00000000-0005-0000-0000-000027500000}"/>
    <cellStyle name="40 % - Markeringsfarve1 3 3 2 4 2 2 2" xfId="34623" xr:uid="{00000000-0005-0000-0000-000028500000}"/>
    <cellStyle name="40 % - Markeringsfarve1 3 3 2 4 2 2 3" xfId="49582" xr:uid="{00000000-0005-0000-0000-000029500000}"/>
    <cellStyle name="40 % - Markeringsfarve1 3 3 2 4 2 3" xfId="27621" xr:uid="{00000000-0005-0000-0000-00002A500000}"/>
    <cellStyle name="40 % - Markeringsfarve1 3 3 2 4 2 4" xfId="42585" xr:uid="{00000000-0005-0000-0000-00002B500000}"/>
    <cellStyle name="40 % - Markeringsfarve1 3 3 2 4 3" xfId="14013" xr:uid="{00000000-0005-0000-0000-00002C500000}"/>
    <cellStyle name="40 % - Markeringsfarve1 3 3 2 4 3 2" xfId="30292" xr:uid="{00000000-0005-0000-0000-00002D500000}"/>
    <cellStyle name="40 % - Markeringsfarve1 3 3 2 4 3 3" xfId="45252" xr:uid="{00000000-0005-0000-0000-00002E500000}"/>
    <cellStyle name="40 % - Markeringsfarve1 3 3 2 4 4" xfId="23290" xr:uid="{00000000-0005-0000-0000-00002F500000}"/>
    <cellStyle name="40 % - Markeringsfarve1 3 3 2 4 5" xfId="38255" xr:uid="{00000000-0005-0000-0000-000030500000}"/>
    <cellStyle name="40 % - Markeringsfarve1 3 3 2 5" xfId="7988" xr:uid="{00000000-0005-0000-0000-000031500000}"/>
    <cellStyle name="40 % - Markeringsfarve1 3 3 2 5 2" xfId="15853" xr:uid="{00000000-0005-0000-0000-000032500000}"/>
    <cellStyle name="40 % - Markeringsfarve1 3 3 2 5 2 2" xfId="32129" xr:uid="{00000000-0005-0000-0000-000033500000}"/>
    <cellStyle name="40 % - Markeringsfarve1 3 3 2 5 2 3" xfId="47088" xr:uid="{00000000-0005-0000-0000-000034500000}"/>
    <cellStyle name="40 % - Markeringsfarve1 3 3 2 5 3" xfId="25127" xr:uid="{00000000-0005-0000-0000-000035500000}"/>
    <cellStyle name="40 % - Markeringsfarve1 3 3 2 5 4" xfId="40091" xr:uid="{00000000-0005-0000-0000-000036500000}"/>
    <cellStyle name="40 % - Markeringsfarve1 3 3 2 6" xfId="14009" xr:uid="{00000000-0005-0000-0000-000037500000}"/>
    <cellStyle name="40 % - Markeringsfarve1 3 3 2 6 2" xfId="30288" xr:uid="{00000000-0005-0000-0000-000038500000}"/>
    <cellStyle name="40 % - Markeringsfarve1 3 3 2 6 3" xfId="45248" xr:uid="{00000000-0005-0000-0000-000039500000}"/>
    <cellStyle name="40 % - Markeringsfarve1 3 3 2 7" xfId="23286" xr:uid="{00000000-0005-0000-0000-00003A500000}"/>
    <cellStyle name="40 % - Markeringsfarve1 3 3 2 8" xfId="38251" xr:uid="{00000000-0005-0000-0000-00003B500000}"/>
    <cellStyle name="40 % - Markeringsfarve1 3 3 3" xfId="5529" xr:uid="{00000000-0005-0000-0000-00003C500000}"/>
    <cellStyle name="40 % - Markeringsfarve1 3 3 3 2" xfId="5530" xr:uid="{00000000-0005-0000-0000-00003D500000}"/>
    <cellStyle name="40 % - Markeringsfarve1 3 3 3 2 2" xfId="5531" xr:uid="{00000000-0005-0000-0000-00003E500000}"/>
    <cellStyle name="40 % - Markeringsfarve1 3 3 3 2 2 2" xfId="9991" xr:uid="{00000000-0005-0000-0000-00003F500000}"/>
    <cellStyle name="40 % - Markeringsfarve1 3 3 3 2 2 2 2" xfId="17846" xr:uid="{00000000-0005-0000-0000-000040500000}"/>
    <cellStyle name="40 % - Markeringsfarve1 3 3 3 2 2 2 2 2" xfId="34122" xr:uid="{00000000-0005-0000-0000-000041500000}"/>
    <cellStyle name="40 % - Markeringsfarve1 3 3 3 2 2 2 2 3" xfId="49081" xr:uid="{00000000-0005-0000-0000-000042500000}"/>
    <cellStyle name="40 % - Markeringsfarve1 3 3 3 2 2 2 3" xfId="27120" xr:uid="{00000000-0005-0000-0000-000043500000}"/>
    <cellStyle name="40 % - Markeringsfarve1 3 3 3 2 2 2 4" xfId="42084" xr:uid="{00000000-0005-0000-0000-000044500000}"/>
    <cellStyle name="40 % - Markeringsfarve1 3 3 3 2 2 3" xfId="14016" xr:uid="{00000000-0005-0000-0000-000045500000}"/>
    <cellStyle name="40 % - Markeringsfarve1 3 3 3 2 2 3 2" xfId="30295" xr:uid="{00000000-0005-0000-0000-000046500000}"/>
    <cellStyle name="40 % - Markeringsfarve1 3 3 3 2 2 3 3" xfId="45255" xr:uid="{00000000-0005-0000-0000-000047500000}"/>
    <cellStyle name="40 % - Markeringsfarve1 3 3 3 2 2 4" xfId="23293" xr:uid="{00000000-0005-0000-0000-000048500000}"/>
    <cellStyle name="40 % - Markeringsfarve1 3 3 3 2 2 5" xfId="38258" xr:uid="{00000000-0005-0000-0000-000049500000}"/>
    <cellStyle name="40 % - Markeringsfarve1 3 3 3 2 3" xfId="8547" xr:uid="{00000000-0005-0000-0000-00004A500000}"/>
    <cellStyle name="40 % - Markeringsfarve1 3 3 3 2 3 2" xfId="16417" xr:uid="{00000000-0005-0000-0000-00004B500000}"/>
    <cellStyle name="40 % - Markeringsfarve1 3 3 3 2 3 2 2" xfId="32693" xr:uid="{00000000-0005-0000-0000-00004C500000}"/>
    <cellStyle name="40 % - Markeringsfarve1 3 3 3 2 3 2 3" xfId="47652" xr:uid="{00000000-0005-0000-0000-00004D500000}"/>
    <cellStyle name="40 % - Markeringsfarve1 3 3 3 2 3 3" xfId="25691" xr:uid="{00000000-0005-0000-0000-00004E500000}"/>
    <cellStyle name="40 % - Markeringsfarve1 3 3 3 2 3 4" xfId="40655" xr:uid="{00000000-0005-0000-0000-00004F500000}"/>
    <cellStyle name="40 % - Markeringsfarve1 3 3 3 2 4" xfId="14015" xr:uid="{00000000-0005-0000-0000-000050500000}"/>
    <cellStyle name="40 % - Markeringsfarve1 3 3 3 2 4 2" xfId="30294" xr:uid="{00000000-0005-0000-0000-000051500000}"/>
    <cellStyle name="40 % - Markeringsfarve1 3 3 3 2 4 3" xfId="45254" xr:uid="{00000000-0005-0000-0000-000052500000}"/>
    <cellStyle name="40 % - Markeringsfarve1 3 3 3 2 5" xfId="23292" xr:uid="{00000000-0005-0000-0000-000053500000}"/>
    <cellStyle name="40 % - Markeringsfarve1 3 3 3 2 6" xfId="38257" xr:uid="{00000000-0005-0000-0000-000054500000}"/>
    <cellStyle name="40 % - Markeringsfarve1 3 3 3 3" xfId="5532" xr:uid="{00000000-0005-0000-0000-000055500000}"/>
    <cellStyle name="40 % - Markeringsfarve1 3 3 3 3 2" xfId="9222" xr:uid="{00000000-0005-0000-0000-000056500000}"/>
    <cellStyle name="40 % - Markeringsfarve1 3 3 3 3 2 2" xfId="17086" xr:uid="{00000000-0005-0000-0000-000057500000}"/>
    <cellStyle name="40 % - Markeringsfarve1 3 3 3 3 2 2 2" xfId="33362" xr:uid="{00000000-0005-0000-0000-000058500000}"/>
    <cellStyle name="40 % - Markeringsfarve1 3 3 3 3 2 2 3" xfId="48321" xr:uid="{00000000-0005-0000-0000-000059500000}"/>
    <cellStyle name="40 % - Markeringsfarve1 3 3 3 3 2 3" xfId="26360" xr:uid="{00000000-0005-0000-0000-00005A500000}"/>
    <cellStyle name="40 % - Markeringsfarve1 3 3 3 3 2 4" xfId="41324" xr:uid="{00000000-0005-0000-0000-00005B500000}"/>
    <cellStyle name="40 % - Markeringsfarve1 3 3 3 3 3" xfId="14017" xr:uid="{00000000-0005-0000-0000-00005C500000}"/>
    <cellStyle name="40 % - Markeringsfarve1 3 3 3 3 3 2" xfId="30296" xr:uid="{00000000-0005-0000-0000-00005D500000}"/>
    <cellStyle name="40 % - Markeringsfarve1 3 3 3 3 3 3" xfId="45256" xr:uid="{00000000-0005-0000-0000-00005E500000}"/>
    <cellStyle name="40 % - Markeringsfarve1 3 3 3 3 4" xfId="23294" xr:uid="{00000000-0005-0000-0000-00005F500000}"/>
    <cellStyle name="40 % - Markeringsfarve1 3 3 3 3 5" xfId="38259" xr:uid="{00000000-0005-0000-0000-000060500000}"/>
    <cellStyle name="40 % - Markeringsfarve1 3 3 3 4" xfId="5533" xr:uid="{00000000-0005-0000-0000-000061500000}"/>
    <cellStyle name="40 % - Markeringsfarve1 3 3 3 4 2" xfId="10816" xr:uid="{00000000-0005-0000-0000-000062500000}"/>
    <cellStyle name="40 % - Markeringsfarve1 3 3 3 4 2 2" xfId="18657" xr:uid="{00000000-0005-0000-0000-000063500000}"/>
    <cellStyle name="40 % - Markeringsfarve1 3 3 3 4 2 2 2" xfId="34933" xr:uid="{00000000-0005-0000-0000-000064500000}"/>
    <cellStyle name="40 % - Markeringsfarve1 3 3 3 4 2 2 3" xfId="49892" xr:uid="{00000000-0005-0000-0000-000065500000}"/>
    <cellStyle name="40 % - Markeringsfarve1 3 3 3 4 2 3" xfId="27931" xr:uid="{00000000-0005-0000-0000-000066500000}"/>
    <cellStyle name="40 % - Markeringsfarve1 3 3 3 4 2 4" xfId="42895" xr:uid="{00000000-0005-0000-0000-000067500000}"/>
    <cellStyle name="40 % - Markeringsfarve1 3 3 3 4 3" xfId="14018" xr:uid="{00000000-0005-0000-0000-000068500000}"/>
    <cellStyle name="40 % - Markeringsfarve1 3 3 3 4 3 2" xfId="30297" xr:uid="{00000000-0005-0000-0000-000069500000}"/>
    <cellStyle name="40 % - Markeringsfarve1 3 3 3 4 3 3" xfId="45257" xr:uid="{00000000-0005-0000-0000-00006A500000}"/>
    <cellStyle name="40 % - Markeringsfarve1 3 3 3 4 4" xfId="23295" xr:uid="{00000000-0005-0000-0000-00006B500000}"/>
    <cellStyle name="40 % - Markeringsfarve1 3 3 3 4 5" xfId="38260" xr:uid="{00000000-0005-0000-0000-00006C500000}"/>
    <cellStyle name="40 % - Markeringsfarve1 3 3 3 5" xfId="7989" xr:uid="{00000000-0005-0000-0000-00006D500000}"/>
    <cellStyle name="40 % - Markeringsfarve1 3 3 3 5 2" xfId="15854" xr:uid="{00000000-0005-0000-0000-00006E500000}"/>
    <cellStyle name="40 % - Markeringsfarve1 3 3 3 5 2 2" xfId="32130" xr:uid="{00000000-0005-0000-0000-00006F500000}"/>
    <cellStyle name="40 % - Markeringsfarve1 3 3 3 5 2 3" xfId="47089" xr:uid="{00000000-0005-0000-0000-000070500000}"/>
    <cellStyle name="40 % - Markeringsfarve1 3 3 3 5 3" xfId="25128" xr:uid="{00000000-0005-0000-0000-000071500000}"/>
    <cellStyle name="40 % - Markeringsfarve1 3 3 3 5 4" xfId="40092" xr:uid="{00000000-0005-0000-0000-000072500000}"/>
    <cellStyle name="40 % - Markeringsfarve1 3 3 3 6" xfId="14014" xr:uid="{00000000-0005-0000-0000-000073500000}"/>
    <cellStyle name="40 % - Markeringsfarve1 3 3 3 6 2" xfId="30293" xr:uid="{00000000-0005-0000-0000-000074500000}"/>
    <cellStyle name="40 % - Markeringsfarve1 3 3 3 6 3" xfId="45253" xr:uid="{00000000-0005-0000-0000-000075500000}"/>
    <cellStyle name="40 % - Markeringsfarve1 3 3 3 7" xfId="23291" xr:uid="{00000000-0005-0000-0000-000076500000}"/>
    <cellStyle name="40 % - Markeringsfarve1 3 3 3 8" xfId="38256" xr:uid="{00000000-0005-0000-0000-000077500000}"/>
    <cellStyle name="40 % - Markeringsfarve1 3 3 4" xfId="5534" xr:uid="{00000000-0005-0000-0000-000078500000}"/>
    <cellStyle name="40 % - Markeringsfarve1 3 3 4 2" xfId="5535" xr:uid="{00000000-0005-0000-0000-000079500000}"/>
    <cellStyle name="40 % - Markeringsfarve1 3 3 4 2 2" xfId="5536" xr:uid="{00000000-0005-0000-0000-00007A500000}"/>
    <cellStyle name="40 % - Markeringsfarve1 3 3 4 2 2 2" xfId="10144" xr:uid="{00000000-0005-0000-0000-00007B500000}"/>
    <cellStyle name="40 % - Markeringsfarve1 3 3 4 2 2 2 2" xfId="17999" xr:uid="{00000000-0005-0000-0000-00007C500000}"/>
    <cellStyle name="40 % - Markeringsfarve1 3 3 4 2 2 2 2 2" xfId="34275" xr:uid="{00000000-0005-0000-0000-00007D500000}"/>
    <cellStyle name="40 % - Markeringsfarve1 3 3 4 2 2 2 2 3" xfId="49234" xr:uid="{00000000-0005-0000-0000-00007E500000}"/>
    <cellStyle name="40 % - Markeringsfarve1 3 3 4 2 2 2 3" xfId="27273" xr:uid="{00000000-0005-0000-0000-00007F500000}"/>
    <cellStyle name="40 % - Markeringsfarve1 3 3 4 2 2 2 4" xfId="42237" xr:uid="{00000000-0005-0000-0000-000080500000}"/>
    <cellStyle name="40 % - Markeringsfarve1 3 3 4 2 2 3" xfId="14021" xr:uid="{00000000-0005-0000-0000-000081500000}"/>
    <cellStyle name="40 % - Markeringsfarve1 3 3 4 2 2 3 2" xfId="30300" xr:uid="{00000000-0005-0000-0000-000082500000}"/>
    <cellStyle name="40 % - Markeringsfarve1 3 3 4 2 2 3 3" xfId="45260" xr:uid="{00000000-0005-0000-0000-000083500000}"/>
    <cellStyle name="40 % - Markeringsfarve1 3 3 4 2 2 4" xfId="23298" xr:uid="{00000000-0005-0000-0000-000084500000}"/>
    <cellStyle name="40 % - Markeringsfarve1 3 3 4 2 2 5" xfId="38263" xr:uid="{00000000-0005-0000-0000-000085500000}"/>
    <cellStyle name="40 % - Markeringsfarve1 3 3 4 2 3" xfId="8678" xr:uid="{00000000-0005-0000-0000-000086500000}"/>
    <cellStyle name="40 % - Markeringsfarve1 3 3 4 2 3 2" xfId="16545" xr:uid="{00000000-0005-0000-0000-000087500000}"/>
    <cellStyle name="40 % - Markeringsfarve1 3 3 4 2 3 2 2" xfId="32821" xr:uid="{00000000-0005-0000-0000-000088500000}"/>
    <cellStyle name="40 % - Markeringsfarve1 3 3 4 2 3 2 3" xfId="47780" xr:uid="{00000000-0005-0000-0000-000089500000}"/>
    <cellStyle name="40 % - Markeringsfarve1 3 3 4 2 3 3" xfId="25819" xr:uid="{00000000-0005-0000-0000-00008A500000}"/>
    <cellStyle name="40 % - Markeringsfarve1 3 3 4 2 3 4" xfId="40783" xr:uid="{00000000-0005-0000-0000-00008B500000}"/>
    <cellStyle name="40 % - Markeringsfarve1 3 3 4 2 4" xfId="14020" xr:uid="{00000000-0005-0000-0000-00008C500000}"/>
    <cellStyle name="40 % - Markeringsfarve1 3 3 4 2 4 2" xfId="30299" xr:uid="{00000000-0005-0000-0000-00008D500000}"/>
    <cellStyle name="40 % - Markeringsfarve1 3 3 4 2 4 3" xfId="45259" xr:uid="{00000000-0005-0000-0000-00008E500000}"/>
    <cellStyle name="40 % - Markeringsfarve1 3 3 4 2 5" xfId="23297" xr:uid="{00000000-0005-0000-0000-00008F500000}"/>
    <cellStyle name="40 % - Markeringsfarve1 3 3 4 2 6" xfId="38262" xr:uid="{00000000-0005-0000-0000-000090500000}"/>
    <cellStyle name="40 % - Markeringsfarve1 3 3 4 3" xfId="5537" xr:uid="{00000000-0005-0000-0000-000091500000}"/>
    <cellStyle name="40 % - Markeringsfarve1 3 3 4 3 2" xfId="9421" xr:uid="{00000000-0005-0000-0000-000092500000}"/>
    <cellStyle name="40 % - Markeringsfarve1 3 3 4 3 2 2" xfId="17284" xr:uid="{00000000-0005-0000-0000-000093500000}"/>
    <cellStyle name="40 % - Markeringsfarve1 3 3 4 3 2 2 2" xfId="33560" xr:uid="{00000000-0005-0000-0000-000094500000}"/>
    <cellStyle name="40 % - Markeringsfarve1 3 3 4 3 2 2 3" xfId="48519" xr:uid="{00000000-0005-0000-0000-000095500000}"/>
    <cellStyle name="40 % - Markeringsfarve1 3 3 4 3 2 3" xfId="26558" xr:uid="{00000000-0005-0000-0000-000096500000}"/>
    <cellStyle name="40 % - Markeringsfarve1 3 3 4 3 2 4" xfId="41522" xr:uid="{00000000-0005-0000-0000-000097500000}"/>
    <cellStyle name="40 % - Markeringsfarve1 3 3 4 3 3" xfId="14022" xr:uid="{00000000-0005-0000-0000-000098500000}"/>
    <cellStyle name="40 % - Markeringsfarve1 3 3 4 3 3 2" xfId="30301" xr:uid="{00000000-0005-0000-0000-000099500000}"/>
    <cellStyle name="40 % - Markeringsfarve1 3 3 4 3 3 3" xfId="45261" xr:uid="{00000000-0005-0000-0000-00009A500000}"/>
    <cellStyle name="40 % - Markeringsfarve1 3 3 4 3 4" xfId="23299" xr:uid="{00000000-0005-0000-0000-00009B500000}"/>
    <cellStyle name="40 % - Markeringsfarve1 3 3 4 3 5" xfId="38264" xr:uid="{00000000-0005-0000-0000-00009C500000}"/>
    <cellStyle name="40 % - Markeringsfarve1 3 3 4 4" xfId="5538" xr:uid="{00000000-0005-0000-0000-00009D500000}"/>
    <cellStyle name="40 % - Markeringsfarve1 3 3 4 4 2" xfId="10467" xr:uid="{00000000-0005-0000-0000-00009E500000}"/>
    <cellStyle name="40 % - Markeringsfarve1 3 3 4 4 2 2" xfId="18318" xr:uid="{00000000-0005-0000-0000-00009F500000}"/>
    <cellStyle name="40 % - Markeringsfarve1 3 3 4 4 2 2 2" xfId="34594" xr:uid="{00000000-0005-0000-0000-0000A0500000}"/>
    <cellStyle name="40 % - Markeringsfarve1 3 3 4 4 2 2 3" xfId="49553" xr:uid="{00000000-0005-0000-0000-0000A1500000}"/>
    <cellStyle name="40 % - Markeringsfarve1 3 3 4 4 2 3" xfId="27592" xr:uid="{00000000-0005-0000-0000-0000A2500000}"/>
    <cellStyle name="40 % - Markeringsfarve1 3 3 4 4 2 4" xfId="42556" xr:uid="{00000000-0005-0000-0000-0000A3500000}"/>
    <cellStyle name="40 % - Markeringsfarve1 3 3 4 4 3" xfId="14023" xr:uid="{00000000-0005-0000-0000-0000A4500000}"/>
    <cellStyle name="40 % - Markeringsfarve1 3 3 4 4 3 2" xfId="30302" xr:uid="{00000000-0005-0000-0000-0000A5500000}"/>
    <cellStyle name="40 % - Markeringsfarve1 3 3 4 4 3 3" xfId="45262" xr:uid="{00000000-0005-0000-0000-0000A6500000}"/>
    <cellStyle name="40 % - Markeringsfarve1 3 3 4 4 4" xfId="23300" xr:uid="{00000000-0005-0000-0000-0000A7500000}"/>
    <cellStyle name="40 % - Markeringsfarve1 3 3 4 4 5" xfId="38265" xr:uid="{00000000-0005-0000-0000-0000A8500000}"/>
    <cellStyle name="40 % - Markeringsfarve1 3 3 4 5" xfId="7990" xr:uid="{00000000-0005-0000-0000-0000A9500000}"/>
    <cellStyle name="40 % - Markeringsfarve1 3 3 4 5 2" xfId="15855" xr:uid="{00000000-0005-0000-0000-0000AA500000}"/>
    <cellStyle name="40 % - Markeringsfarve1 3 3 4 5 2 2" xfId="32131" xr:uid="{00000000-0005-0000-0000-0000AB500000}"/>
    <cellStyle name="40 % - Markeringsfarve1 3 3 4 5 2 3" xfId="47090" xr:uid="{00000000-0005-0000-0000-0000AC500000}"/>
    <cellStyle name="40 % - Markeringsfarve1 3 3 4 5 3" xfId="25129" xr:uid="{00000000-0005-0000-0000-0000AD500000}"/>
    <cellStyle name="40 % - Markeringsfarve1 3 3 4 5 4" xfId="40093" xr:uid="{00000000-0005-0000-0000-0000AE500000}"/>
    <cellStyle name="40 % - Markeringsfarve1 3 3 4 6" xfId="14019" xr:uid="{00000000-0005-0000-0000-0000AF500000}"/>
    <cellStyle name="40 % - Markeringsfarve1 3 3 4 6 2" xfId="30298" xr:uid="{00000000-0005-0000-0000-0000B0500000}"/>
    <cellStyle name="40 % - Markeringsfarve1 3 3 4 6 3" xfId="45258" xr:uid="{00000000-0005-0000-0000-0000B1500000}"/>
    <cellStyle name="40 % - Markeringsfarve1 3 3 4 7" xfId="23296" xr:uid="{00000000-0005-0000-0000-0000B2500000}"/>
    <cellStyle name="40 % - Markeringsfarve1 3 3 4 8" xfId="38261" xr:uid="{00000000-0005-0000-0000-0000B3500000}"/>
    <cellStyle name="40 % - Markeringsfarve1 3 3 5" xfId="5539" xr:uid="{00000000-0005-0000-0000-0000B4500000}"/>
    <cellStyle name="40 % - Markeringsfarve1 3 3 5 2" xfId="5540" xr:uid="{00000000-0005-0000-0000-0000B5500000}"/>
    <cellStyle name="40 % - Markeringsfarve1 3 3 5 2 2" xfId="5541" xr:uid="{00000000-0005-0000-0000-0000B6500000}"/>
    <cellStyle name="40 % - Markeringsfarve1 3 3 5 2 2 2" xfId="10261" xr:uid="{00000000-0005-0000-0000-0000B7500000}"/>
    <cellStyle name="40 % - Markeringsfarve1 3 3 5 2 2 2 2" xfId="18116" xr:uid="{00000000-0005-0000-0000-0000B8500000}"/>
    <cellStyle name="40 % - Markeringsfarve1 3 3 5 2 2 2 2 2" xfId="34392" xr:uid="{00000000-0005-0000-0000-0000B9500000}"/>
    <cellStyle name="40 % - Markeringsfarve1 3 3 5 2 2 2 2 3" xfId="49351" xr:uid="{00000000-0005-0000-0000-0000BA500000}"/>
    <cellStyle name="40 % - Markeringsfarve1 3 3 5 2 2 2 3" xfId="27390" xr:uid="{00000000-0005-0000-0000-0000BB500000}"/>
    <cellStyle name="40 % - Markeringsfarve1 3 3 5 2 2 2 4" xfId="42354" xr:uid="{00000000-0005-0000-0000-0000BC500000}"/>
    <cellStyle name="40 % - Markeringsfarve1 3 3 5 2 2 3" xfId="14026" xr:uid="{00000000-0005-0000-0000-0000BD500000}"/>
    <cellStyle name="40 % - Markeringsfarve1 3 3 5 2 2 3 2" xfId="30305" xr:uid="{00000000-0005-0000-0000-0000BE500000}"/>
    <cellStyle name="40 % - Markeringsfarve1 3 3 5 2 2 3 3" xfId="45265" xr:uid="{00000000-0005-0000-0000-0000BF500000}"/>
    <cellStyle name="40 % - Markeringsfarve1 3 3 5 2 2 4" xfId="23303" xr:uid="{00000000-0005-0000-0000-0000C0500000}"/>
    <cellStyle name="40 % - Markeringsfarve1 3 3 5 2 2 5" xfId="38268" xr:uid="{00000000-0005-0000-0000-0000C1500000}"/>
    <cellStyle name="40 % - Markeringsfarve1 3 3 5 2 3" xfId="8777" xr:uid="{00000000-0005-0000-0000-0000C2500000}"/>
    <cellStyle name="40 % - Markeringsfarve1 3 3 5 2 3 2" xfId="16644" xr:uid="{00000000-0005-0000-0000-0000C3500000}"/>
    <cellStyle name="40 % - Markeringsfarve1 3 3 5 2 3 2 2" xfId="32920" xr:uid="{00000000-0005-0000-0000-0000C4500000}"/>
    <cellStyle name="40 % - Markeringsfarve1 3 3 5 2 3 2 3" xfId="47879" xr:uid="{00000000-0005-0000-0000-0000C5500000}"/>
    <cellStyle name="40 % - Markeringsfarve1 3 3 5 2 3 3" xfId="25918" xr:uid="{00000000-0005-0000-0000-0000C6500000}"/>
    <cellStyle name="40 % - Markeringsfarve1 3 3 5 2 3 4" xfId="40882" xr:uid="{00000000-0005-0000-0000-0000C7500000}"/>
    <cellStyle name="40 % - Markeringsfarve1 3 3 5 2 4" xfId="14025" xr:uid="{00000000-0005-0000-0000-0000C8500000}"/>
    <cellStyle name="40 % - Markeringsfarve1 3 3 5 2 4 2" xfId="30304" xr:uid="{00000000-0005-0000-0000-0000C9500000}"/>
    <cellStyle name="40 % - Markeringsfarve1 3 3 5 2 4 3" xfId="45264" xr:uid="{00000000-0005-0000-0000-0000CA500000}"/>
    <cellStyle name="40 % - Markeringsfarve1 3 3 5 2 5" xfId="23302" xr:uid="{00000000-0005-0000-0000-0000CB500000}"/>
    <cellStyle name="40 % - Markeringsfarve1 3 3 5 2 6" xfId="38267" xr:uid="{00000000-0005-0000-0000-0000CC500000}"/>
    <cellStyle name="40 % - Markeringsfarve1 3 3 5 3" xfId="5542" xr:uid="{00000000-0005-0000-0000-0000CD500000}"/>
    <cellStyle name="40 % - Markeringsfarve1 3 3 5 3 2" xfId="9538" xr:uid="{00000000-0005-0000-0000-0000CE500000}"/>
    <cellStyle name="40 % - Markeringsfarve1 3 3 5 3 2 2" xfId="17401" xr:uid="{00000000-0005-0000-0000-0000CF500000}"/>
    <cellStyle name="40 % - Markeringsfarve1 3 3 5 3 2 2 2" xfId="33677" xr:uid="{00000000-0005-0000-0000-0000D0500000}"/>
    <cellStyle name="40 % - Markeringsfarve1 3 3 5 3 2 2 3" xfId="48636" xr:uid="{00000000-0005-0000-0000-0000D1500000}"/>
    <cellStyle name="40 % - Markeringsfarve1 3 3 5 3 2 3" xfId="26675" xr:uid="{00000000-0005-0000-0000-0000D2500000}"/>
    <cellStyle name="40 % - Markeringsfarve1 3 3 5 3 2 4" xfId="41639" xr:uid="{00000000-0005-0000-0000-0000D3500000}"/>
    <cellStyle name="40 % - Markeringsfarve1 3 3 5 3 3" xfId="14027" xr:uid="{00000000-0005-0000-0000-0000D4500000}"/>
    <cellStyle name="40 % - Markeringsfarve1 3 3 5 3 3 2" xfId="30306" xr:uid="{00000000-0005-0000-0000-0000D5500000}"/>
    <cellStyle name="40 % - Markeringsfarve1 3 3 5 3 3 3" xfId="45266" xr:uid="{00000000-0005-0000-0000-0000D6500000}"/>
    <cellStyle name="40 % - Markeringsfarve1 3 3 5 3 4" xfId="23304" xr:uid="{00000000-0005-0000-0000-0000D7500000}"/>
    <cellStyle name="40 % - Markeringsfarve1 3 3 5 3 5" xfId="38269" xr:uid="{00000000-0005-0000-0000-0000D8500000}"/>
    <cellStyle name="40 % - Markeringsfarve1 3 3 5 4" xfId="5543" xr:uid="{00000000-0005-0000-0000-0000D9500000}"/>
    <cellStyle name="40 % - Markeringsfarve1 3 3 5 4 2" xfId="10420" xr:uid="{00000000-0005-0000-0000-0000DA500000}"/>
    <cellStyle name="40 % - Markeringsfarve1 3 3 5 4 2 2" xfId="18272" xr:uid="{00000000-0005-0000-0000-0000DB500000}"/>
    <cellStyle name="40 % - Markeringsfarve1 3 3 5 4 2 2 2" xfId="34548" xr:uid="{00000000-0005-0000-0000-0000DC500000}"/>
    <cellStyle name="40 % - Markeringsfarve1 3 3 5 4 2 2 3" xfId="49507" xr:uid="{00000000-0005-0000-0000-0000DD500000}"/>
    <cellStyle name="40 % - Markeringsfarve1 3 3 5 4 2 3" xfId="27546" xr:uid="{00000000-0005-0000-0000-0000DE500000}"/>
    <cellStyle name="40 % - Markeringsfarve1 3 3 5 4 2 4" xfId="42510" xr:uid="{00000000-0005-0000-0000-0000DF500000}"/>
    <cellStyle name="40 % - Markeringsfarve1 3 3 5 4 3" xfId="14028" xr:uid="{00000000-0005-0000-0000-0000E0500000}"/>
    <cellStyle name="40 % - Markeringsfarve1 3 3 5 4 3 2" xfId="30307" xr:uid="{00000000-0005-0000-0000-0000E1500000}"/>
    <cellStyle name="40 % - Markeringsfarve1 3 3 5 4 3 3" xfId="45267" xr:uid="{00000000-0005-0000-0000-0000E2500000}"/>
    <cellStyle name="40 % - Markeringsfarve1 3 3 5 4 4" xfId="23305" xr:uid="{00000000-0005-0000-0000-0000E3500000}"/>
    <cellStyle name="40 % - Markeringsfarve1 3 3 5 4 5" xfId="38270" xr:uid="{00000000-0005-0000-0000-0000E4500000}"/>
    <cellStyle name="40 % - Markeringsfarve1 3 3 5 5" xfId="7991" xr:uid="{00000000-0005-0000-0000-0000E5500000}"/>
    <cellStyle name="40 % - Markeringsfarve1 3 3 5 5 2" xfId="15856" xr:uid="{00000000-0005-0000-0000-0000E6500000}"/>
    <cellStyle name="40 % - Markeringsfarve1 3 3 5 5 2 2" xfId="32132" xr:uid="{00000000-0005-0000-0000-0000E7500000}"/>
    <cellStyle name="40 % - Markeringsfarve1 3 3 5 5 2 3" xfId="47091" xr:uid="{00000000-0005-0000-0000-0000E8500000}"/>
    <cellStyle name="40 % - Markeringsfarve1 3 3 5 5 3" xfId="25130" xr:uid="{00000000-0005-0000-0000-0000E9500000}"/>
    <cellStyle name="40 % - Markeringsfarve1 3 3 5 5 4" xfId="40094" xr:uid="{00000000-0005-0000-0000-0000EA500000}"/>
    <cellStyle name="40 % - Markeringsfarve1 3 3 5 6" xfId="14024" xr:uid="{00000000-0005-0000-0000-0000EB500000}"/>
    <cellStyle name="40 % - Markeringsfarve1 3 3 5 6 2" xfId="30303" xr:uid="{00000000-0005-0000-0000-0000EC500000}"/>
    <cellStyle name="40 % - Markeringsfarve1 3 3 5 6 3" xfId="45263" xr:uid="{00000000-0005-0000-0000-0000ED500000}"/>
    <cellStyle name="40 % - Markeringsfarve1 3 3 5 7" xfId="23301" xr:uid="{00000000-0005-0000-0000-0000EE500000}"/>
    <cellStyle name="40 % - Markeringsfarve1 3 3 5 8" xfId="38266" xr:uid="{00000000-0005-0000-0000-0000EF500000}"/>
    <cellStyle name="40 % - Markeringsfarve1 3 3 6" xfId="5544" xr:uid="{00000000-0005-0000-0000-0000F0500000}"/>
    <cellStyle name="40 % - Markeringsfarve1 3 3 6 2" xfId="5545" xr:uid="{00000000-0005-0000-0000-0000F1500000}"/>
    <cellStyle name="40 % - Markeringsfarve1 3 3 6 2 2" xfId="5546" xr:uid="{00000000-0005-0000-0000-0000F2500000}"/>
    <cellStyle name="40 % - Markeringsfarve1 3 3 6 2 2 2" xfId="10345" xr:uid="{00000000-0005-0000-0000-0000F3500000}"/>
    <cellStyle name="40 % - Markeringsfarve1 3 3 6 2 2 2 2" xfId="18200" xr:uid="{00000000-0005-0000-0000-0000F4500000}"/>
    <cellStyle name="40 % - Markeringsfarve1 3 3 6 2 2 2 2 2" xfId="34476" xr:uid="{00000000-0005-0000-0000-0000F5500000}"/>
    <cellStyle name="40 % - Markeringsfarve1 3 3 6 2 2 2 2 3" xfId="49435" xr:uid="{00000000-0005-0000-0000-0000F6500000}"/>
    <cellStyle name="40 % - Markeringsfarve1 3 3 6 2 2 2 3" xfId="27474" xr:uid="{00000000-0005-0000-0000-0000F7500000}"/>
    <cellStyle name="40 % - Markeringsfarve1 3 3 6 2 2 2 4" xfId="42438" xr:uid="{00000000-0005-0000-0000-0000F8500000}"/>
    <cellStyle name="40 % - Markeringsfarve1 3 3 6 2 2 3" xfId="14031" xr:uid="{00000000-0005-0000-0000-0000F9500000}"/>
    <cellStyle name="40 % - Markeringsfarve1 3 3 6 2 2 3 2" xfId="30310" xr:uid="{00000000-0005-0000-0000-0000FA500000}"/>
    <cellStyle name="40 % - Markeringsfarve1 3 3 6 2 2 3 3" xfId="45270" xr:uid="{00000000-0005-0000-0000-0000FB500000}"/>
    <cellStyle name="40 % - Markeringsfarve1 3 3 6 2 2 4" xfId="23308" xr:uid="{00000000-0005-0000-0000-0000FC500000}"/>
    <cellStyle name="40 % - Markeringsfarve1 3 3 6 2 2 5" xfId="38273" xr:uid="{00000000-0005-0000-0000-0000FD500000}"/>
    <cellStyle name="40 % - Markeringsfarve1 3 3 6 2 3" xfId="8848" xr:uid="{00000000-0005-0000-0000-0000FE500000}"/>
    <cellStyle name="40 % - Markeringsfarve1 3 3 6 2 3 2" xfId="16715" xr:uid="{00000000-0005-0000-0000-0000FF500000}"/>
    <cellStyle name="40 % - Markeringsfarve1 3 3 6 2 3 2 2" xfId="32991" xr:uid="{00000000-0005-0000-0000-000000510000}"/>
    <cellStyle name="40 % - Markeringsfarve1 3 3 6 2 3 2 3" xfId="47950" xr:uid="{00000000-0005-0000-0000-000001510000}"/>
    <cellStyle name="40 % - Markeringsfarve1 3 3 6 2 3 3" xfId="25989" xr:uid="{00000000-0005-0000-0000-000002510000}"/>
    <cellStyle name="40 % - Markeringsfarve1 3 3 6 2 3 4" xfId="40953" xr:uid="{00000000-0005-0000-0000-000003510000}"/>
    <cellStyle name="40 % - Markeringsfarve1 3 3 6 2 4" xfId="14030" xr:uid="{00000000-0005-0000-0000-000004510000}"/>
    <cellStyle name="40 % - Markeringsfarve1 3 3 6 2 4 2" xfId="30309" xr:uid="{00000000-0005-0000-0000-000005510000}"/>
    <cellStyle name="40 % - Markeringsfarve1 3 3 6 2 4 3" xfId="45269" xr:uid="{00000000-0005-0000-0000-000006510000}"/>
    <cellStyle name="40 % - Markeringsfarve1 3 3 6 2 5" xfId="23307" xr:uid="{00000000-0005-0000-0000-000007510000}"/>
    <cellStyle name="40 % - Markeringsfarve1 3 3 6 2 6" xfId="38272" xr:uid="{00000000-0005-0000-0000-000008510000}"/>
    <cellStyle name="40 % - Markeringsfarve1 3 3 6 3" xfId="5547" xr:uid="{00000000-0005-0000-0000-000009510000}"/>
    <cellStyle name="40 % - Markeringsfarve1 3 3 6 3 2" xfId="9623" xr:uid="{00000000-0005-0000-0000-00000A510000}"/>
    <cellStyle name="40 % - Markeringsfarve1 3 3 6 3 2 2" xfId="17486" xr:uid="{00000000-0005-0000-0000-00000B510000}"/>
    <cellStyle name="40 % - Markeringsfarve1 3 3 6 3 2 2 2" xfId="33762" xr:uid="{00000000-0005-0000-0000-00000C510000}"/>
    <cellStyle name="40 % - Markeringsfarve1 3 3 6 3 2 2 3" xfId="48721" xr:uid="{00000000-0005-0000-0000-00000D510000}"/>
    <cellStyle name="40 % - Markeringsfarve1 3 3 6 3 2 3" xfId="26760" xr:uid="{00000000-0005-0000-0000-00000E510000}"/>
    <cellStyle name="40 % - Markeringsfarve1 3 3 6 3 2 4" xfId="41724" xr:uid="{00000000-0005-0000-0000-00000F510000}"/>
    <cellStyle name="40 % - Markeringsfarve1 3 3 6 3 3" xfId="14032" xr:uid="{00000000-0005-0000-0000-000010510000}"/>
    <cellStyle name="40 % - Markeringsfarve1 3 3 6 3 3 2" xfId="30311" xr:uid="{00000000-0005-0000-0000-000011510000}"/>
    <cellStyle name="40 % - Markeringsfarve1 3 3 6 3 3 3" xfId="45271" xr:uid="{00000000-0005-0000-0000-000012510000}"/>
    <cellStyle name="40 % - Markeringsfarve1 3 3 6 3 4" xfId="23309" xr:uid="{00000000-0005-0000-0000-000013510000}"/>
    <cellStyle name="40 % - Markeringsfarve1 3 3 6 3 5" xfId="38274" xr:uid="{00000000-0005-0000-0000-000014510000}"/>
    <cellStyle name="40 % - Markeringsfarve1 3 3 6 4" xfId="5548" xr:uid="{00000000-0005-0000-0000-000015510000}"/>
    <cellStyle name="40 % - Markeringsfarve1 3 3 6 4 2" xfId="10761" xr:uid="{00000000-0005-0000-0000-000016510000}"/>
    <cellStyle name="40 % - Markeringsfarve1 3 3 6 4 2 2" xfId="18604" xr:uid="{00000000-0005-0000-0000-000017510000}"/>
    <cellStyle name="40 % - Markeringsfarve1 3 3 6 4 2 2 2" xfId="34880" xr:uid="{00000000-0005-0000-0000-000018510000}"/>
    <cellStyle name="40 % - Markeringsfarve1 3 3 6 4 2 2 3" xfId="49839" xr:uid="{00000000-0005-0000-0000-000019510000}"/>
    <cellStyle name="40 % - Markeringsfarve1 3 3 6 4 2 3" xfId="27878" xr:uid="{00000000-0005-0000-0000-00001A510000}"/>
    <cellStyle name="40 % - Markeringsfarve1 3 3 6 4 2 4" xfId="42842" xr:uid="{00000000-0005-0000-0000-00001B510000}"/>
    <cellStyle name="40 % - Markeringsfarve1 3 3 6 4 3" xfId="14033" xr:uid="{00000000-0005-0000-0000-00001C510000}"/>
    <cellStyle name="40 % - Markeringsfarve1 3 3 6 4 3 2" xfId="30312" xr:uid="{00000000-0005-0000-0000-00001D510000}"/>
    <cellStyle name="40 % - Markeringsfarve1 3 3 6 4 3 3" xfId="45272" xr:uid="{00000000-0005-0000-0000-00001E510000}"/>
    <cellStyle name="40 % - Markeringsfarve1 3 3 6 4 4" xfId="23310" xr:uid="{00000000-0005-0000-0000-00001F510000}"/>
    <cellStyle name="40 % - Markeringsfarve1 3 3 6 4 5" xfId="38275" xr:uid="{00000000-0005-0000-0000-000020510000}"/>
    <cellStyle name="40 % - Markeringsfarve1 3 3 6 5" xfId="7992" xr:uid="{00000000-0005-0000-0000-000021510000}"/>
    <cellStyle name="40 % - Markeringsfarve1 3 3 6 5 2" xfId="15857" xr:uid="{00000000-0005-0000-0000-000022510000}"/>
    <cellStyle name="40 % - Markeringsfarve1 3 3 6 5 2 2" xfId="32133" xr:uid="{00000000-0005-0000-0000-000023510000}"/>
    <cellStyle name="40 % - Markeringsfarve1 3 3 6 5 2 3" xfId="47092" xr:uid="{00000000-0005-0000-0000-000024510000}"/>
    <cellStyle name="40 % - Markeringsfarve1 3 3 6 5 3" xfId="25131" xr:uid="{00000000-0005-0000-0000-000025510000}"/>
    <cellStyle name="40 % - Markeringsfarve1 3 3 6 5 4" xfId="40095" xr:uid="{00000000-0005-0000-0000-000026510000}"/>
    <cellStyle name="40 % - Markeringsfarve1 3 3 6 6" xfId="14029" xr:uid="{00000000-0005-0000-0000-000027510000}"/>
    <cellStyle name="40 % - Markeringsfarve1 3 3 6 6 2" xfId="30308" xr:uid="{00000000-0005-0000-0000-000028510000}"/>
    <cellStyle name="40 % - Markeringsfarve1 3 3 6 6 3" xfId="45268" xr:uid="{00000000-0005-0000-0000-000029510000}"/>
    <cellStyle name="40 % - Markeringsfarve1 3 3 6 7" xfId="23306" xr:uid="{00000000-0005-0000-0000-00002A510000}"/>
    <cellStyle name="40 % - Markeringsfarve1 3 3 6 8" xfId="38271" xr:uid="{00000000-0005-0000-0000-00002B510000}"/>
    <cellStyle name="40 % - Markeringsfarve1 3 3 7" xfId="5549" xr:uid="{00000000-0005-0000-0000-00002C510000}"/>
    <cellStyle name="40 % - Markeringsfarve1 3 3 7 2" xfId="5550" xr:uid="{00000000-0005-0000-0000-00002D510000}"/>
    <cellStyle name="40 % - Markeringsfarve1 3 3 7 2 2" xfId="9788" xr:uid="{00000000-0005-0000-0000-00002E510000}"/>
    <cellStyle name="40 % - Markeringsfarve1 3 3 7 2 2 2" xfId="17642" xr:uid="{00000000-0005-0000-0000-00002F510000}"/>
    <cellStyle name="40 % - Markeringsfarve1 3 3 7 2 2 2 2" xfId="33918" xr:uid="{00000000-0005-0000-0000-000030510000}"/>
    <cellStyle name="40 % - Markeringsfarve1 3 3 7 2 2 2 3" xfId="48877" xr:uid="{00000000-0005-0000-0000-000031510000}"/>
    <cellStyle name="40 % - Markeringsfarve1 3 3 7 2 2 3" xfId="26916" xr:uid="{00000000-0005-0000-0000-000032510000}"/>
    <cellStyle name="40 % - Markeringsfarve1 3 3 7 2 2 4" xfId="41880" xr:uid="{00000000-0005-0000-0000-000033510000}"/>
    <cellStyle name="40 % - Markeringsfarve1 3 3 7 2 3" xfId="14035" xr:uid="{00000000-0005-0000-0000-000034510000}"/>
    <cellStyle name="40 % - Markeringsfarve1 3 3 7 2 3 2" xfId="30314" xr:uid="{00000000-0005-0000-0000-000035510000}"/>
    <cellStyle name="40 % - Markeringsfarve1 3 3 7 2 3 3" xfId="45274" xr:uid="{00000000-0005-0000-0000-000036510000}"/>
    <cellStyle name="40 % - Markeringsfarve1 3 3 7 2 4" xfId="23312" xr:uid="{00000000-0005-0000-0000-000037510000}"/>
    <cellStyle name="40 % - Markeringsfarve1 3 3 7 2 5" xfId="38277" xr:uid="{00000000-0005-0000-0000-000038510000}"/>
    <cellStyle name="40 % - Markeringsfarve1 3 3 7 3" xfId="8377" xr:uid="{00000000-0005-0000-0000-000039510000}"/>
    <cellStyle name="40 % - Markeringsfarve1 3 3 7 3 2" xfId="16247" xr:uid="{00000000-0005-0000-0000-00003A510000}"/>
    <cellStyle name="40 % - Markeringsfarve1 3 3 7 3 2 2" xfId="32523" xr:uid="{00000000-0005-0000-0000-00003B510000}"/>
    <cellStyle name="40 % - Markeringsfarve1 3 3 7 3 2 3" xfId="47482" xr:uid="{00000000-0005-0000-0000-00003C510000}"/>
    <cellStyle name="40 % - Markeringsfarve1 3 3 7 3 3" xfId="25521" xr:uid="{00000000-0005-0000-0000-00003D510000}"/>
    <cellStyle name="40 % - Markeringsfarve1 3 3 7 3 4" xfId="40485" xr:uid="{00000000-0005-0000-0000-00003E510000}"/>
    <cellStyle name="40 % - Markeringsfarve1 3 3 7 4" xfId="14034" xr:uid="{00000000-0005-0000-0000-00003F510000}"/>
    <cellStyle name="40 % - Markeringsfarve1 3 3 7 4 2" xfId="30313" xr:uid="{00000000-0005-0000-0000-000040510000}"/>
    <cellStyle name="40 % - Markeringsfarve1 3 3 7 4 3" xfId="45273" xr:uid="{00000000-0005-0000-0000-000041510000}"/>
    <cellStyle name="40 % - Markeringsfarve1 3 3 7 5" xfId="23311" xr:uid="{00000000-0005-0000-0000-000042510000}"/>
    <cellStyle name="40 % - Markeringsfarve1 3 3 7 6" xfId="38276" xr:uid="{00000000-0005-0000-0000-000043510000}"/>
    <cellStyle name="40 % - Markeringsfarve1 3 3 8" xfId="5551" xr:uid="{00000000-0005-0000-0000-000044510000}"/>
    <cellStyle name="40 % - Markeringsfarve1 3 3 8 2" xfId="9016" xr:uid="{00000000-0005-0000-0000-000045510000}"/>
    <cellStyle name="40 % - Markeringsfarve1 3 3 8 2 2" xfId="16880" xr:uid="{00000000-0005-0000-0000-000046510000}"/>
    <cellStyle name="40 % - Markeringsfarve1 3 3 8 2 2 2" xfId="33156" xr:uid="{00000000-0005-0000-0000-000047510000}"/>
    <cellStyle name="40 % - Markeringsfarve1 3 3 8 2 2 3" xfId="48115" xr:uid="{00000000-0005-0000-0000-000048510000}"/>
    <cellStyle name="40 % - Markeringsfarve1 3 3 8 2 3" xfId="26154" xr:uid="{00000000-0005-0000-0000-000049510000}"/>
    <cellStyle name="40 % - Markeringsfarve1 3 3 8 2 4" xfId="41118" xr:uid="{00000000-0005-0000-0000-00004A510000}"/>
    <cellStyle name="40 % - Markeringsfarve1 3 3 8 3" xfId="14036" xr:uid="{00000000-0005-0000-0000-00004B510000}"/>
    <cellStyle name="40 % - Markeringsfarve1 3 3 8 3 2" xfId="30315" xr:uid="{00000000-0005-0000-0000-00004C510000}"/>
    <cellStyle name="40 % - Markeringsfarve1 3 3 8 3 3" xfId="45275" xr:uid="{00000000-0005-0000-0000-00004D510000}"/>
    <cellStyle name="40 % - Markeringsfarve1 3 3 8 4" xfId="23313" xr:uid="{00000000-0005-0000-0000-00004E510000}"/>
    <cellStyle name="40 % - Markeringsfarve1 3 3 8 5" xfId="38278" xr:uid="{00000000-0005-0000-0000-00004F510000}"/>
    <cellStyle name="40 % - Markeringsfarve1 3 3 9" xfId="5552" xr:uid="{00000000-0005-0000-0000-000050510000}"/>
    <cellStyle name="40 % - Markeringsfarve1 3 3 9 2" xfId="10849" xr:uid="{00000000-0005-0000-0000-000051510000}"/>
    <cellStyle name="40 % - Markeringsfarve1 3 3 9 2 2" xfId="18687" xr:uid="{00000000-0005-0000-0000-000052510000}"/>
    <cellStyle name="40 % - Markeringsfarve1 3 3 9 2 2 2" xfId="34963" xr:uid="{00000000-0005-0000-0000-000053510000}"/>
    <cellStyle name="40 % - Markeringsfarve1 3 3 9 2 2 3" xfId="49922" xr:uid="{00000000-0005-0000-0000-000054510000}"/>
    <cellStyle name="40 % - Markeringsfarve1 3 3 9 2 3" xfId="27961" xr:uid="{00000000-0005-0000-0000-000055510000}"/>
    <cellStyle name="40 % - Markeringsfarve1 3 3 9 2 4" xfId="42925" xr:uid="{00000000-0005-0000-0000-000056510000}"/>
    <cellStyle name="40 % - Markeringsfarve1 3 3 9 3" xfId="14037" xr:uid="{00000000-0005-0000-0000-000057510000}"/>
    <cellStyle name="40 % - Markeringsfarve1 3 3 9 3 2" xfId="30316" xr:uid="{00000000-0005-0000-0000-000058510000}"/>
    <cellStyle name="40 % - Markeringsfarve1 3 3 9 3 3" xfId="45276" xr:uid="{00000000-0005-0000-0000-000059510000}"/>
    <cellStyle name="40 % - Markeringsfarve1 3 3 9 4" xfId="23314" xr:uid="{00000000-0005-0000-0000-00005A510000}"/>
    <cellStyle name="40 % - Markeringsfarve1 3 3 9 5" xfId="38279" xr:uid="{00000000-0005-0000-0000-00005B510000}"/>
    <cellStyle name="40 % - Markeringsfarve1 3 4" xfId="5553" xr:uid="{00000000-0005-0000-0000-00005C510000}"/>
    <cellStyle name="40 % - Markeringsfarve1 3 4 2" xfId="5554" xr:uid="{00000000-0005-0000-0000-00005D510000}"/>
    <cellStyle name="40 % - Markeringsfarve1 3 4 2 2" xfId="5555" xr:uid="{00000000-0005-0000-0000-00005E510000}"/>
    <cellStyle name="40 % - Markeringsfarve1 3 4 2 2 2" xfId="9828" xr:uid="{00000000-0005-0000-0000-00005F510000}"/>
    <cellStyle name="40 % - Markeringsfarve1 3 4 2 2 2 2" xfId="17683" xr:uid="{00000000-0005-0000-0000-000060510000}"/>
    <cellStyle name="40 % - Markeringsfarve1 3 4 2 2 2 2 2" xfId="33959" xr:uid="{00000000-0005-0000-0000-000061510000}"/>
    <cellStyle name="40 % - Markeringsfarve1 3 4 2 2 2 2 3" xfId="48918" xr:uid="{00000000-0005-0000-0000-000062510000}"/>
    <cellStyle name="40 % - Markeringsfarve1 3 4 2 2 2 3" xfId="26957" xr:uid="{00000000-0005-0000-0000-000063510000}"/>
    <cellStyle name="40 % - Markeringsfarve1 3 4 2 2 2 4" xfId="41921" xr:uid="{00000000-0005-0000-0000-000064510000}"/>
    <cellStyle name="40 % - Markeringsfarve1 3 4 2 2 3" xfId="14040" xr:uid="{00000000-0005-0000-0000-000065510000}"/>
    <cellStyle name="40 % - Markeringsfarve1 3 4 2 2 3 2" xfId="30319" xr:uid="{00000000-0005-0000-0000-000066510000}"/>
    <cellStyle name="40 % - Markeringsfarve1 3 4 2 2 3 3" xfId="45279" xr:uid="{00000000-0005-0000-0000-000067510000}"/>
    <cellStyle name="40 % - Markeringsfarve1 3 4 2 2 4" xfId="23317" xr:uid="{00000000-0005-0000-0000-000068510000}"/>
    <cellStyle name="40 % - Markeringsfarve1 3 4 2 2 5" xfId="38282" xr:uid="{00000000-0005-0000-0000-000069510000}"/>
    <cellStyle name="40 % - Markeringsfarve1 3 4 2 3" xfId="8410" xr:uid="{00000000-0005-0000-0000-00006A510000}"/>
    <cellStyle name="40 % - Markeringsfarve1 3 4 2 3 2" xfId="16280" xr:uid="{00000000-0005-0000-0000-00006B510000}"/>
    <cellStyle name="40 % - Markeringsfarve1 3 4 2 3 2 2" xfId="32556" xr:uid="{00000000-0005-0000-0000-00006C510000}"/>
    <cellStyle name="40 % - Markeringsfarve1 3 4 2 3 2 3" xfId="47515" xr:uid="{00000000-0005-0000-0000-00006D510000}"/>
    <cellStyle name="40 % - Markeringsfarve1 3 4 2 3 3" xfId="25554" xr:uid="{00000000-0005-0000-0000-00006E510000}"/>
    <cellStyle name="40 % - Markeringsfarve1 3 4 2 3 4" xfId="40518" xr:uid="{00000000-0005-0000-0000-00006F510000}"/>
    <cellStyle name="40 % - Markeringsfarve1 3 4 2 4" xfId="14039" xr:uid="{00000000-0005-0000-0000-000070510000}"/>
    <cellStyle name="40 % - Markeringsfarve1 3 4 2 4 2" xfId="30318" xr:uid="{00000000-0005-0000-0000-000071510000}"/>
    <cellStyle name="40 % - Markeringsfarve1 3 4 2 4 3" xfId="45278" xr:uid="{00000000-0005-0000-0000-000072510000}"/>
    <cellStyle name="40 % - Markeringsfarve1 3 4 2 5" xfId="23316" xr:uid="{00000000-0005-0000-0000-000073510000}"/>
    <cellStyle name="40 % - Markeringsfarve1 3 4 2 6" xfId="38281" xr:uid="{00000000-0005-0000-0000-000074510000}"/>
    <cellStyle name="40 % - Markeringsfarve1 3 4 3" xfId="5556" xr:uid="{00000000-0005-0000-0000-000075510000}"/>
    <cellStyle name="40 % - Markeringsfarve1 3 4 3 2" xfId="9059" xr:uid="{00000000-0005-0000-0000-000076510000}"/>
    <cellStyle name="40 % - Markeringsfarve1 3 4 3 2 2" xfId="16923" xr:uid="{00000000-0005-0000-0000-000077510000}"/>
    <cellStyle name="40 % - Markeringsfarve1 3 4 3 2 2 2" xfId="33199" xr:uid="{00000000-0005-0000-0000-000078510000}"/>
    <cellStyle name="40 % - Markeringsfarve1 3 4 3 2 2 3" xfId="48158" xr:uid="{00000000-0005-0000-0000-000079510000}"/>
    <cellStyle name="40 % - Markeringsfarve1 3 4 3 2 3" xfId="26197" xr:uid="{00000000-0005-0000-0000-00007A510000}"/>
    <cellStyle name="40 % - Markeringsfarve1 3 4 3 2 4" xfId="41161" xr:uid="{00000000-0005-0000-0000-00007B510000}"/>
    <cellStyle name="40 % - Markeringsfarve1 3 4 3 3" xfId="14041" xr:uid="{00000000-0005-0000-0000-00007C510000}"/>
    <cellStyle name="40 % - Markeringsfarve1 3 4 3 3 2" xfId="30320" xr:uid="{00000000-0005-0000-0000-00007D510000}"/>
    <cellStyle name="40 % - Markeringsfarve1 3 4 3 3 3" xfId="45280" xr:uid="{00000000-0005-0000-0000-00007E510000}"/>
    <cellStyle name="40 % - Markeringsfarve1 3 4 3 4" xfId="23318" xr:uid="{00000000-0005-0000-0000-00007F510000}"/>
    <cellStyle name="40 % - Markeringsfarve1 3 4 3 5" xfId="38283" xr:uid="{00000000-0005-0000-0000-000080510000}"/>
    <cellStyle name="40 % - Markeringsfarve1 3 4 4" xfId="5557" xr:uid="{00000000-0005-0000-0000-000081510000}"/>
    <cellStyle name="40 % - Markeringsfarve1 3 4 4 2" xfId="10981" xr:uid="{00000000-0005-0000-0000-000082510000}"/>
    <cellStyle name="40 % - Markeringsfarve1 3 4 4 2 2" xfId="18812" xr:uid="{00000000-0005-0000-0000-000083510000}"/>
    <cellStyle name="40 % - Markeringsfarve1 3 4 4 2 2 2" xfId="35088" xr:uid="{00000000-0005-0000-0000-000084510000}"/>
    <cellStyle name="40 % - Markeringsfarve1 3 4 4 2 2 3" xfId="50047" xr:uid="{00000000-0005-0000-0000-000085510000}"/>
    <cellStyle name="40 % - Markeringsfarve1 3 4 4 2 3" xfId="28086" xr:uid="{00000000-0005-0000-0000-000086510000}"/>
    <cellStyle name="40 % - Markeringsfarve1 3 4 4 2 4" xfId="43050" xr:uid="{00000000-0005-0000-0000-000087510000}"/>
    <cellStyle name="40 % - Markeringsfarve1 3 4 4 3" xfId="14042" xr:uid="{00000000-0005-0000-0000-000088510000}"/>
    <cellStyle name="40 % - Markeringsfarve1 3 4 4 3 2" xfId="30321" xr:uid="{00000000-0005-0000-0000-000089510000}"/>
    <cellStyle name="40 % - Markeringsfarve1 3 4 4 3 3" xfId="45281" xr:uid="{00000000-0005-0000-0000-00008A510000}"/>
    <cellStyle name="40 % - Markeringsfarve1 3 4 4 4" xfId="23319" xr:uid="{00000000-0005-0000-0000-00008B510000}"/>
    <cellStyle name="40 % - Markeringsfarve1 3 4 4 5" xfId="38284" xr:uid="{00000000-0005-0000-0000-00008C510000}"/>
    <cellStyle name="40 % - Markeringsfarve1 3 4 5" xfId="7993" xr:uid="{00000000-0005-0000-0000-00008D510000}"/>
    <cellStyle name="40 % - Markeringsfarve1 3 4 5 2" xfId="15858" xr:uid="{00000000-0005-0000-0000-00008E510000}"/>
    <cellStyle name="40 % - Markeringsfarve1 3 4 5 2 2" xfId="32134" xr:uid="{00000000-0005-0000-0000-00008F510000}"/>
    <cellStyle name="40 % - Markeringsfarve1 3 4 5 2 3" xfId="47093" xr:uid="{00000000-0005-0000-0000-000090510000}"/>
    <cellStyle name="40 % - Markeringsfarve1 3 4 5 3" xfId="25132" xr:uid="{00000000-0005-0000-0000-000091510000}"/>
    <cellStyle name="40 % - Markeringsfarve1 3 4 5 4" xfId="40096" xr:uid="{00000000-0005-0000-0000-000092510000}"/>
    <cellStyle name="40 % - Markeringsfarve1 3 4 6" xfId="14038" xr:uid="{00000000-0005-0000-0000-000093510000}"/>
    <cellStyle name="40 % - Markeringsfarve1 3 4 6 2" xfId="30317" xr:uid="{00000000-0005-0000-0000-000094510000}"/>
    <cellStyle name="40 % - Markeringsfarve1 3 4 6 3" xfId="45277" xr:uid="{00000000-0005-0000-0000-000095510000}"/>
    <cellStyle name="40 % - Markeringsfarve1 3 4 7" xfId="23315" xr:uid="{00000000-0005-0000-0000-000096510000}"/>
    <cellStyle name="40 % - Markeringsfarve1 3 4 8" xfId="38280" xr:uid="{00000000-0005-0000-0000-000097510000}"/>
    <cellStyle name="40 % - Markeringsfarve1 3 5" xfId="5558" xr:uid="{00000000-0005-0000-0000-000098510000}"/>
    <cellStyle name="40 % - Markeringsfarve1 3 5 2" xfId="5559" xr:uid="{00000000-0005-0000-0000-000099510000}"/>
    <cellStyle name="40 % - Markeringsfarve1 3 5 2 2" xfId="5560" xr:uid="{00000000-0005-0000-0000-00009A510000}"/>
    <cellStyle name="40 % - Markeringsfarve1 3 5 2 2 2" xfId="9989" xr:uid="{00000000-0005-0000-0000-00009B510000}"/>
    <cellStyle name="40 % - Markeringsfarve1 3 5 2 2 2 2" xfId="17844" xr:uid="{00000000-0005-0000-0000-00009C510000}"/>
    <cellStyle name="40 % - Markeringsfarve1 3 5 2 2 2 2 2" xfId="34120" xr:uid="{00000000-0005-0000-0000-00009D510000}"/>
    <cellStyle name="40 % - Markeringsfarve1 3 5 2 2 2 2 3" xfId="49079" xr:uid="{00000000-0005-0000-0000-00009E510000}"/>
    <cellStyle name="40 % - Markeringsfarve1 3 5 2 2 2 3" xfId="27118" xr:uid="{00000000-0005-0000-0000-00009F510000}"/>
    <cellStyle name="40 % - Markeringsfarve1 3 5 2 2 2 4" xfId="42082" xr:uid="{00000000-0005-0000-0000-0000A0510000}"/>
    <cellStyle name="40 % - Markeringsfarve1 3 5 2 2 3" xfId="14045" xr:uid="{00000000-0005-0000-0000-0000A1510000}"/>
    <cellStyle name="40 % - Markeringsfarve1 3 5 2 2 3 2" xfId="30324" xr:uid="{00000000-0005-0000-0000-0000A2510000}"/>
    <cellStyle name="40 % - Markeringsfarve1 3 5 2 2 3 3" xfId="45284" xr:uid="{00000000-0005-0000-0000-0000A3510000}"/>
    <cellStyle name="40 % - Markeringsfarve1 3 5 2 2 4" xfId="23322" xr:uid="{00000000-0005-0000-0000-0000A4510000}"/>
    <cellStyle name="40 % - Markeringsfarve1 3 5 2 2 5" xfId="38287" xr:uid="{00000000-0005-0000-0000-0000A5510000}"/>
    <cellStyle name="40 % - Markeringsfarve1 3 5 2 3" xfId="8545" xr:uid="{00000000-0005-0000-0000-0000A6510000}"/>
    <cellStyle name="40 % - Markeringsfarve1 3 5 2 3 2" xfId="16415" xr:uid="{00000000-0005-0000-0000-0000A7510000}"/>
    <cellStyle name="40 % - Markeringsfarve1 3 5 2 3 2 2" xfId="32691" xr:uid="{00000000-0005-0000-0000-0000A8510000}"/>
    <cellStyle name="40 % - Markeringsfarve1 3 5 2 3 2 3" xfId="47650" xr:uid="{00000000-0005-0000-0000-0000A9510000}"/>
    <cellStyle name="40 % - Markeringsfarve1 3 5 2 3 3" xfId="25689" xr:uid="{00000000-0005-0000-0000-0000AA510000}"/>
    <cellStyle name="40 % - Markeringsfarve1 3 5 2 3 4" xfId="40653" xr:uid="{00000000-0005-0000-0000-0000AB510000}"/>
    <cellStyle name="40 % - Markeringsfarve1 3 5 2 4" xfId="14044" xr:uid="{00000000-0005-0000-0000-0000AC510000}"/>
    <cellStyle name="40 % - Markeringsfarve1 3 5 2 4 2" xfId="30323" xr:uid="{00000000-0005-0000-0000-0000AD510000}"/>
    <cellStyle name="40 % - Markeringsfarve1 3 5 2 4 3" xfId="45283" xr:uid="{00000000-0005-0000-0000-0000AE510000}"/>
    <cellStyle name="40 % - Markeringsfarve1 3 5 2 5" xfId="23321" xr:uid="{00000000-0005-0000-0000-0000AF510000}"/>
    <cellStyle name="40 % - Markeringsfarve1 3 5 2 6" xfId="38286" xr:uid="{00000000-0005-0000-0000-0000B0510000}"/>
    <cellStyle name="40 % - Markeringsfarve1 3 5 3" xfId="5561" xr:uid="{00000000-0005-0000-0000-0000B1510000}"/>
    <cellStyle name="40 % - Markeringsfarve1 3 5 3 2" xfId="9220" xr:uid="{00000000-0005-0000-0000-0000B2510000}"/>
    <cellStyle name="40 % - Markeringsfarve1 3 5 3 2 2" xfId="17084" xr:uid="{00000000-0005-0000-0000-0000B3510000}"/>
    <cellStyle name="40 % - Markeringsfarve1 3 5 3 2 2 2" xfId="33360" xr:uid="{00000000-0005-0000-0000-0000B4510000}"/>
    <cellStyle name="40 % - Markeringsfarve1 3 5 3 2 2 3" xfId="48319" xr:uid="{00000000-0005-0000-0000-0000B5510000}"/>
    <cellStyle name="40 % - Markeringsfarve1 3 5 3 2 3" xfId="26358" xr:uid="{00000000-0005-0000-0000-0000B6510000}"/>
    <cellStyle name="40 % - Markeringsfarve1 3 5 3 2 4" xfId="41322" xr:uid="{00000000-0005-0000-0000-0000B7510000}"/>
    <cellStyle name="40 % - Markeringsfarve1 3 5 3 3" xfId="14046" xr:uid="{00000000-0005-0000-0000-0000B8510000}"/>
    <cellStyle name="40 % - Markeringsfarve1 3 5 3 3 2" xfId="30325" xr:uid="{00000000-0005-0000-0000-0000B9510000}"/>
    <cellStyle name="40 % - Markeringsfarve1 3 5 3 3 3" xfId="45285" xr:uid="{00000000-0005-0000-0000-0000BA510000}"/>
    <cellStyle name="40 % - Markeringsfarve1 3 5 3 4" xfId="23323" xr:uid="{00000000-0005-0000-0000-0000BB510000}"/>
    <cellStyle name="40 % - Markeringsfarve1 3 5 3 5" xfId="38288" xr:uid="{00000000-0005-0000-0000-0000BC510000}"/>
    <cellStyle name="40 % - Markeringsfarve1 3 5 4" xfId="5562" xr:uid="{00000000-0005-0000-0000-0000BD510000}"/>
    <cellStyle name="40 % - Markeringsfarve1 3 5 4 2" xfId="10701" xr:uid="{00000000-0005-0000-0000-0000BE510000}"/>
    <cellStyle name="40 % - Markeringsfarve1 3 5 4 2 2" xfId="18545" xr:uid="{00000000-0005-0000-0000-0000BF510000}"/>
    <cellStyle name="40 % - Markeringsfarve1 3 5 4 2 2 2" xfId="34821" xr:uid="{00000000-0005-0000-0000-0000C0510000}"/>
    <cellStyle name="40 % - Markeringsfarve1 3 5 4 2 2 3" xfId="49780" xr:uid="{00000000-0005-0000-0000-0000C1510000}"/>
    <cellStyle name="40 % - Markeringsfarve1 3 5 4 2 3" xfId="27819" xr:uid="{00000000-0005-0000-0000-0000C2510000}"/>
    <cellStyle name="40 % - Markeringsfarve1 3 5 4 2 4" xfId="42783" xr:uid="{00000000-0005-0000-0000-0000C3510000}"/>
    <cellStyle name="40 % - Markeringsfarve1 3 5 4 3" xfId="14047" xr:uid="{00000000-0005-0000-0000-0000C4510000}"/>
    <cellStyle name="40 % - Markeringsfarve1 3 5 4 3 2" xfId="30326" xr:uid="{00000000-0005-0000-0000-0000C5510000}"/>
    <cellStyle name="40 % - Markeringsfarve1 3 5 4 3 3" xfId="45286" xr:uid="{00000000-0005-0000-0000-0000C6510000}"/>
    <cellStyle name="40 % - Markeringsfarve1 3 5 4 4" xfId="23324" xr:uid="{00000000-0005-0000-0000-0000C7510000}"/>
    <cellStyle name="40 % - Markeringsfarve1 3 5 4 5" xfId="38289" xr:uid="{00000000-0005-0000-0000-0000C8510000}"/>
    <cellStyle name="40 % - Markeringsfarve1 3 5 5" xfId="7994" xr:uid="{00000000-0005-0000-0000-0000C9510000}"/>
    <cellStyle name="40 % - Markeringsfarve1 3 5 5 2" xfId="15859" xr:uid="{00000000-0005-0000-0000-0000CA510000}"/>
    <cellStyle name="40 % - Markeringsfarve1 3 5 5 2 2" xfId="32135" xr:uid="{00000000-0005-0000-0000-0000CB510000}"/>
    <cellStyle name="40 % - Markeringsfarve1 3 5 5 2 3" xfId="47094" xr:uid="{00000000-0005-0000-0000-0000CC510000}"/>
    <cellStyle name="40 % - Markeringsfarve1 3 5 5 3" xfId="25133" xr:uid="{00000000-0005-0000-0000-0000CD510000}"/>
    <cellStyle name="40 % - Markeringsfarve1 3 5 5 4" xfId="40097" xr:uid="{00000000-0005-0000-0000-0000CE510000}"/>
    <cellStyle name="40 % - Markeringsfarve1 3 5 6" xfId="14043" xr:uid="{00000000-0005-0000-0000-0000CF510000}"/>
    <cellStyle name="40 % - Markeringsfarve1 3 5 6 2" xfId="30322" xr:uid="{00000000-0005-0000-0000-0000D0510000}"/>
    <cellStyle name="40 % - Markeringsfarve1 3 5 6 3" xfId="45282" xr:uid="{00000000-0005-0000-0000-0000D1510000}"/>
    <cellStyle name="40 % - Markeringsfarve1 3 5 7" xfId="23320" xr:uid="{00000000-0005-0000-0000-0000D2510000}"/>
    <cellStyle name="40 % - Markeringsfarve1 3 5 8" xfId="38285" xr:uid="{00000000-0005-0000-0000-0000D3510000}"/>
    <cellStyle name="40 % - Markeringsfarve1 3 6" xfId="5563" xr:uid="{00000000-0005-0000-0000-0000D4510000}"/>
    <cellStyle name="40 % - Markeringsfarve1 3 6 2" xfId="5564" xr:uid="{00000000-0005-0000-0000-0000D5510000}"/>
    <cellStyle name="40 % - Markeringsfarve1 3 6 2 2" xfId="5565" xr:uid="{00000000-0005-0000-0000-0000D6510000}"/>
    <cellStyle name="40 % - Markeringsfarve1 3 6 2 2 2" xfId="10066" xr:uid="{00000000-0005-0000-0000-0000D7510000}"/>
    <cellStyle name="40 % - Markeringsfarve1 3 6 2 2 2 2" xfId="17921" xr:uid="{00000000-0005-0000-0000-0000D8510000}"/>
    <cellStyle name="40 % - Markeringsfarve1 3 6 2 2 2 2 2" xfId="34197" xr:uid="{00000000-0005-0000-0000-0000D9510000}"/>
    <cellStyle name="40 % - Markeringsfarve1 3 6 2 2 2 2 3" xfId="49156" xr:uid="{00000000-0005-0000-0000-0000DA510000}"/>
    <cellStyle name="40 % - Markeringsfarve1 3 6 2 2 2 3" xfId="27195" xr:uid="{00000000-0005-0000-0000-0000DB510000}"/>
    <cellStyle name="40 % - Markeringsfarve1 3 6 2 2 2 4" xfId="42159" xr:uid="{00000000-0005-0000-0000-0000DC510000}"/>
    <cellStyle name="40 % - Markeringsfarve1 3 6 2 2 3" xfId="14050" xr:uid="{00000000-0005-0000-0000-0000DD510000}"/>
    <cellStyle name="40 % - Markeringsfarve1 3 6 2 2 3 2" xfId="30329" xr:uid="{00000000-0005-0000-0000-0000DE510000}"/>
    <cellStyle name="40 % - Markeringsfarve1 3 6 2 2 3 3" xfId="45289" xr:uid="{00000000-0005-0000-0000-0000DF510000}"/>
    <cellStyle name="40 % - Markeringsfarve1 3 6 2 2 4" xfId="23327" xr:uid="{00000000-0005-0000-0000-0000E0510000}"/>
    <cellStyle name="40 % - Markeringsfarve1 3 6 2 2 5" xfId="38292" xr:uid="{00000000-0005-0000-0000-0000E1510000}"/>
    <cellStyle name="40 % - Markeringsfarve1 3 6 2 3" xfId="8612" xr:uid="{00000000-0005-0000-0000-0000E2510000}"/>
    <cellStyle name="40 % - Markeringsfarve1 3 6 2 3 2" xfId="16479" xr:uid="{00000000-0005-0000-0000-0000E3510000}"/>
    <cellStyle name="40 % - Markeringsfarve1 3 6 2 3 2 2" xfId="32755" xr:uid="{00000000-0005-0000-0000-0000E4510000}"/>
    <cellStyle name="40 % - Markeringsfarve1 3 6 2 3 2 3" xfId="47714" xr:uid="{00000000-0005-0000-0000-0000E5510000}"/>
    <cellStyle name="40 % - Markeringsfarve1 3 6 2 3 3" xfId="25753" xr:uid="{00000000-0005-0000-0000-0000E6510000}"/>
    <cellStyle name="40 % - Markeringsfarve1 3 6 2 3 4" xfId="40717" xr:uid="{00000000-0005-0000-0000-0000E7510000}"/>
    <cellStyle name="40 % - Markeringsfarve1 3 6 2 4" xfId="14049" xr:uid="{00000000-0005-0000-0000-0000E8510000}"/>
    <cellStyle name="40 % - Markeringsfarve1 3 6 2 4 2" xfId="30328" xr:uid="{00000000-0005-0000-0000-0000E9510000}"/>
    <cellStyle name="40 % - Markeringsfarve1 3 6 2 4 3" xfId="45288" xr:uid="{00000000-0005-0000-0000-0000EA510000}"/>
    <cellStyle name="40 % - Markeringsfarve1 3 6 2 5" xfId="23326" xr:uid="{00000000-0005-0000-0000-0000EB510000}"/>
    <cellStyle name="40 % - Markeringsfarve1 3 6 2 6" xfId="38291" xr:uid="{00000000-0005-0000-0000-0000EC510000}"/>
    <cellStyle name="40 % - Markeringsfarve1 3 6 3" xfId="5566" xr:uid="{00000000-0005-0000-0000-0000ED510000}"/>
    <cellStyle name="40 % - Markeringsfarve1 3 6 3 2" xfId="9343" xr:uid="{00000000-0005-0000-0000-0000EE510000}"/>
    <cellStyle name="40 % - Markeringsfarve1 3 6 3 2 2" xfId="17206" xr:uid="{00000000-0005-0000-0000-0000EF510000}"/>
    <cellStyle name="40 % - Markeringsfarve1 3 6 3 2 2 2" xfId="33482" xr:uid="{00000000-0005-0000-0000-0000F0510000}"/>
    <cellStyle name="40 % - Markeringsfarve1 3 6 3 2 2 3" xfId="48441" xr:uid="{00000000-0005-0000-0000-0000F1510000}"/>
    <cellStyle name="40 % - Markeringsfarve1 3 6 3 2 3" xfId="26480" xr:uid="{00000000-0005-0000-0000-0000F2510000}"/>
    <cellStyle name="40 % - Markeringsfarve1 3 6 3 2 4" xfId="41444" xr:uid="{00000000-0005-0000-0000-0000F3510000}"/>
    <cellStyle name="40 % - Markeringsfarve1 3 6 3 3" xfId="14051" xr:uid="{00000000-0005-0000-0000-0000F4510000}"/>
    <cellStyle name="40 % - Markeringsfarve1 3 6 3 3 2" xfId="30330" xr:uid="{00000000-0005-0000-0000-0000F5510000}"/>
    <cellStyle name="40 % - Markeringsfarve1 3 6 3 3 3" xfId="45290" xr:uid="{00000000-0005-0000-0000-0000F6510000}"/>
    <cellStyle name="40 % - Markeringsfarve1 3 6 3 4" xfId="23328" xr:uid="{00000000-0005-0000-0000-0000F7510000}"/>
    <cellStyle name="40 % - Markeringsfarve1 3 6 3 5" xfId="38293" xr:uid="{00000000-0005-0000-0000-0000F8510000}"/>
    <cellStyle name="40 % - Markeringsfarve1 3 6 4" xfId="5567" xr:uid="{00000000-0005-0000-0000-0000F9510000}"/>
    <cellStyle name="40 % - Markeringsfarve1 3 6 4 2" xfId="10934" xr:uid="{00000000-0005-0000-0000-0000FA510000}"/>
    <cellStyle name="40 % - Markeringsfarve1 3 6 4 2 2" xfId="18769" xr:uid="{00000000-0005-0000-0000-0000FB510000}"/>
    <cellStyle name="40 % - Markeringsfarve1 3 6 4 2 2 2" xfId="35045" xr:uid="{00000000-0005-0000-0000-0000FC510000}"/>
    <cellStyle name="40 % - Markeringsfarve1 3 6 4 2 2 3" xfId="50004" xr:uid="{00000000-0005-0000-0000-0000FD510000}"/>
    <cellStyle name="40 % - Markeringsfarve1 3 6 4 2 3" xfId="28043" xr:uid="{00000000-0005-0000-0000-0000FE510000}"/>
    <cellStyle name="40 % - Markeringsfarve1 3 6 4 2 4" xfId="43007" xr:uid="{00000000-0005-0000-0000-0000FF510000}"/>
    <cellStyle name="40 % - Markeringsfarve1 3 6 4 3" xfId="14052" xr:uid="{00000000-0005-0000-0000-000000520000}"/>
    <cellStyle name="40 % - Markeringsfarve1 3 6 4 3 2" xfId="30331" xr:uid="{00000000-0005-0000-0000-000001520000}"/>
    <cellStyle name="40 % - Markeringsfarve1 3 6 4 3 3" xfId="45291" xr:uid="{00000000-0005-0000-0000-000002520000}"/>
    <cellStyle name="40 % - Markeringsfarve1 3 6 4 4" xfId="23329" xr:uid="{00000000-0005-0000-0000-000003520000}"/>
    <cellStyle name="40 % - Markeringsfarve1 3 6 4 5" xfId="38294" xr:uid="{00000000-0005-0000-0000-000004520000}"/>
    <cellStyle name="40 % - Markeringsfarve1 3 6 5" xfId="7995" xr:uid="{00000000-0005-0000-0000-000005520000}"/>
    <cellStyle name="40 % - Markeringsfarve1 3 6 5 2" xfId="15860" xr:uid="{00000000-0005-0000-0000-000006520000}"/>
    <cellStyle name="40 % - Markeringsfarve1 3 6 5 2 2" xfId="32136" xr:uid="{00000000-0005-0000-0000-000007520000}"/>
    <cellStyle name="40 % - Markeringsfarve1 3 6 5 2 3" xfId="47095" xr:uid="{00000000-0005-0000-0000-000008520000}"/>
    <cellStyle name="40 % - Markeringsfarve1 3 6 5 3" xfId="25134" xr:uid="{00000000-0005-0000-0000-000009520000}"/>
    <cellStyle name="40 % - Markeringsfarve1 3 6 5 4" xfId="40098" xr:uid="{00000000-0005-0000-0000-00000A520000}"/>
    <cellStyle name="40 % - Markeringsfarve1 3 6 6" xfId="14048" xr:uid="{00000000-0005-0000-0000-00000B520000}"/>
    <cellStyle name="40 % - Markeringsfarve1 3 6 6 2" xfId="30327" xr:uid="{00000000-0005-0000-0000-00000C520000}"/>
    <cellStyle name="40 % - Markeringsfarve1 3 6 6 3" xfId="45287" xr:uid="{00000000-0005-0000-0000-00000D520000}"/>
    <cellStyle name="40 % - Markeringsfarve1 3 6 7" xfId="23325" xr:uid="{00000000-0005-0000-0000-00000E520000}"/>
    <cellStyle name="40 % - Markeringsfarve1 3 6 8" xfId="38290" xr:uid="{00000000-0005-0000-0000-00000F520000}"/>
    <cellStyle name="40 % - Markeringsfarve1 3 7" xfId="5568" xr:uid="{00000000-0005-0000-0000-000010520000}"/>
    <cellStyle name="40 % - Markeringsfarve1 3 7 2" xfId="5569" xr:uid="{00000000-0005-0000-0000-000011520000}"/>
    <cellStyle name="40 % - Markeringsfarve1 3 7 2 2" xfId="5570" xr:uid="{00000000-0005-0000-0000-000012520000}"/>
    <cellStyle name="40 % - Markeringsfarve1 3 7 2 2 2" xfId="10183" xr:uid="{00000000-0005-0000-0000-000013520000}"/>
    <cellStyle name="40 % - Markeringsfarve1 3 7 2 2 2 2" xfId="18038" xr:uid="{00000000-0005-0000-0000-000014520000}"/>
    <cellStyle name="40 % - Markeringsfarve1 3 7 2 2 2 2 2" xfId="34314" xr:uid="{00000000-0005-0000-0000-000015520000}"/>
    <cellStyle name="40 % - Markeringsfarve1 3 7 2 2 2 2 3" xfId="49273" xr:uid="{00000000-0005-0000-0000-000016520000}"/>
    <cellStyle name="40 % - Markeringsfarve1 3 7 2 2 2 3" xfId="27312" xr:uid="{00000000-0005-0000-0000-000017520000}"/>
    <cellStyle name="40 % - Markeringsfarve1 3 7 2 2 2 4" xfId="42276" xr:uid="{00000000-0005-0000-0000-000018520000}"/>
    <cellStyle name="40 % - Markeringsfarve1 3 7 2 2 3" xfId="14055" xr:uid="{00000000-0005-0000-0000-000019520000}"/>
    <cellStyle name="40 % - Markeringsfarve1 3 7 2 2 3 2" xfId="30334" xr:uid="{00000000-0005-0000-0000-00001A520000}"/>
    <cellStyle name="40 % - Markeringsfarve1 3 7 2 2 3 3" xfId="45294" xr:uid="{00000000-0005-0000-0000-00001B520000}"/>
    <cellStyle name="40 % - Markeringsfarve1 3 7 2 2 4" xfId="23332" xr:uid="{00000000-0005-0000-0000-00001C520000}"/>
    <cellStyle name="40 % - Markeringsfarve1 3 7 2 2 5" xfId="38297" xr:uid="{00000000-0005-0000-0000-00001D520000}"/>
    <cellStyle name="40 % - Markeringsfarve1 3 7 2 3" xfId="8711" xr:uid="{00000000-0005-0000-0000-00001E520000}"/>
    <cellStyle name="40 % - Markeringsfarve1 3 7 2 3 2" xfId="16578" xr:uid="{00000000-0005-0000-0000-00001F520000}"/>
    <cellStyle name="40 % - Markeringsfarve1 3 7 2 3 2 2" xfId="32854" xr:uid="{00000000-0005-0000-0000-000020520000}"/>
    <cellStyle name="40 % - Markeringsfarve1 3 7 2 3 2 3" xfId="47813" xr:uid="{00000000-0005-0000-0000-000021520000}"/>
    <cellStyle name="40 % - Markeringsfarve1 3 7 2 3 3" xfId="25852" xr:uid="{00000000-0005-0000-0000-000022520000}"/>
    <cellStyle name="40 % - Markeringsfarve1 3 7 2 3 4" xfId="40816" xr:uid="{00000000-0005-0000-0000-000023520000}"/>
    <cellStyle name="40 % - Markeringsfarve1 3 7 2 4" xfId="14054" xr:uid="{00000000-0005-0000-0000-000024520000}"/>
    <cellStyle name="40 % - Markeringsfarve1 3 7 2 4 2" xfId="30333" xr:uid="{00000000-0005-0000-0000-000025520000}"/>
    <cellStyle name="40 % - Markeringsfarve1 3 7 2 4 3" xfId="45293" xr:uid="{00000000-0005-0000-0000-000026520000}"/>
    <cellStyle name="40 % - Markeringsfarve1 3 7 2 5" xfId="23331" xr:uid="{00000000-0005-0000-0000-000027520000}"/>
    <cellStyle name="40 % - Markeringsfarve1 3 7 2 6" xfId="38296" xr:uid="{00000000-0005-0000-0000-000028520000}"/>
    <cellStyle name="40 % - Markeringsfarve1 3 7 3" xfId="5571" xr:uid="{00000000-0005-0000-0000-000029520000}"/>
    <cellStyle name="40 % - Markeringsfarve1 3 7 3 2" xfId="9460" xr:uid="{00000000-0005-0000-0000-00002A520000}"/>
    <cellStyle name="40 % - Markeringsfarve1 3 7 3 2 2" xfId="17323" xr:uid="{00000000-0005-0000-0000-00002B520000}"/>
    <cellStyle name="40 % - Markeringsfarve1 3 7 3 2 2 2" xfId="33599" xr:uid="{00000000-0005-0000-0000-00002C520000}"/>
    <cellStyle name="40 % - Markeringsfarve1 3 7 3 2 2 3" xfId="48558" xr:uid="{00000000-0005-0000-0000-00002D520000}"/>
    <cellStyle name="40 % - Markeringsfarve1 3 7 3 2 3" xfId="26597" xr:uid="{00000000-0005-0000-0000-00002E520000}"/>
    <cellStyle name="40 % - Markeringsfarve1 3 7 3 2 4" xfId="41561" xr:uid="{00000000-0005-0000-0000-00002F520000}"/>
    <cellStyle name="40 % - Markeringsfarve1 3 7 3 3" xfId="14056" xr:uid="{00000000-0005-0000-0000-000030520000}"/>
    <cellStyle name="40 % - Markeringsfarve1 3 7 3 3 2" xfId="30335" xr:uid="{00000000-0005-0000-0000-000031520000}"/>
    <cellStyle name="40 % - Markeringsfarve1 3 7 3 3 3" xfId="45295" xr:uid="{00000000-0005-0000-0000-000032520000}"/>
    <cellStyle name="40 % - Markeringsfarve1 3 7 3 4" xfId="23333" xr:uid="{00000000-0005-0000-0000-000033520000}"/>
    <cellStyle name="40 % - Markeringsfarve1 3 7 3 5" xfId="38298" xr:uid="{00000000-0005-0000-0000-000034520000}"/>
    <cellStyle name="40 % - Markeringsfarve1 3 7 4" xfId="5572" xr:uid="{00000000-0005-0000-0000-000035520000}"/>
    <cellStyle name="40 % - Markeringsfarve1 3 7 4 2" xfId="10658" xr:uid="{00000000-0005-0000-0000-000036520000}"/>
    <cellStyle name="40 % - Markeringsfarve1 3 7 4 2 2" xfId="18505" xr:uid="{00000000-0005-0000-0000-000037520000}"/>
    <cellStyle name="40 % - Markeringsfarve1 3 7 4 2 2 2" xfId="34781" xr:uid="{00000000-0005-0000-0000-000038520000}"/>
    <cellStyle name="40 % - Markeringsfarve1 3 7 4 2 2 3" xfId="49740" xr:uid="{00000000-0005-0000-0000-000039520000}"/>
    <cellStyle name="40 % - Markeringsfarve1 3 7 4 2 3" xfId="27779" xr:uid="{00000000-0005-0000-0000-00003A520000}"/>
    <cellStyle name="40 % - Markeringsfarve1 3 7 4 2 4" xfId="42743" xr:uid="{00000000-0005-0000-0000-00003B520000}"/>
    <cellStyle name="40 % - Markeringsfarve1 3 7 4 3" xfId="14057" xr:uid="{00000000-0005-0000-0000-00003C520000}"/>
    <cellStyle name="40 % - Markeringsfarve1 3 7 4 3 2" xfId="30336" xr:uid="{00000000-0005-0000-0000-00003D520000}"/>
    <cellStyle name="40 % - Markeringsfarve1 3 7 4 3 3" xfId="45296" xr:uid="{00000000-0005-0000-0000-00003E520000}"/>
    <cellStyle name="40 % - Markeringsfarve1 3 7 4 4" xfId="23334" xr:uid="{00000000-0005-0000-0000-00003F520000}"/>
    <cellStyle name="40 % - Markeringsfarve1 3 7 4 5" xfId="38299" xr:uid="{00000000-0005-0000-0000-000040520000}"/>
    <cellStyle name="40 % - Markeringsfarve1 3 7 5" xfId="7996" xr:uid="{00000000-0005-0000-0000-000041520000}"/>
    <cellStyle name="40 % - Markeringsfarve1 3 7 5 2" xfId="15861" xr:uid="{00000000-0005-0000-0000-000042520000}"/>
    <cellStyle name="40 % - Markeringsfarve1 3 7 5 2 2" xfId="32137" xr:uid="{00000000-0005-0000-0000-000043520000}"/>
    <cellStyle name="40 % - Markeringsfarve1 3 7 5 2 3" xfId="47096" xr:uid="{00000000-0005-0000-0000-000044520000}"/>
    <cellStyle name="40 % - Markeringsfarve1 3 7 5 3" xfId="25135" xr:uid="{00000000-0005-0000-0000-000045520000}"/>
    <cellStyle name="40 % - Markeringsfarve1 3 7 5 4" xfId="40099" xr:uid="{00000000-0005-0000-0000-000046520000}"/>
    <cellStyle name="40 % - Markeringsfarve1 3 7 6" xfId="14053" xr:uid="{00000000-0005-0000-0000-000047520000}"/>
    <cellStyle name="40 % - Markeringsfarve1 3 7 6 2" xfId="30332" xr:uid="{00000000-0005-0000-0000-000048520000}"/>
    <cellStyle name="40 % - Markeringsfarve1 3 7 6 3" xfId="45292" xr:uid="{00000000-0005-0000-0000-000049520000}"/>
    <cellStyle name="40 % - Markeringsfarve1 3 7 7" xfId="23330" xr:uid="{00000000-0005-0000-0000-00004A520000}"/>
    <cellStyle name="40 % - Markeringsfarve1 3 7 8" xfId="38295" xr:uid="{00000000-0005-0000-0000-00004B520000}"/>
    <cellStyle name="40 % - Markeringsfarve1 3 8" xfId="5573" xr:uid="{00000000-0005-0000-0000-00004C520000}"/>
    <cellStyle name="40 % - Markeringsfarve1 3 8 2" xfId="5574" xr:uid="{00000000-0005-0000-0000-00004D520000}"/>
    <cellStyle name="40 % - Markeringsfarve1 3 8 2 2" xfId="5575" xr:uid="{00000000-0005-0000-0000-00004E520000}"/>
    <cellStyle name="40 % - Markeringsfarve1 3 8 2 2 2" xfId="10343" xr:uid="{00000000-0005-0000-0000-00004F520000}"/>
    <cellStyle name="40 % - Markeringsfarve1 3 8 2 2 2 2" xfId="18198" xr:uid="{00000000-0005-0000-0000-000050520000}"/>
    <cellStyle name="40 % - Markeringsfarve1 3 8 2 2 2 2 2" xfId="34474" xr:uid="{00000000-0005-0000-0000-000051520000}"/>
    <cellStyle name="40 % - Markeringsfarve1 3 8 2 2 2 2 3" xfId="49433" xr:uid="{00000000-0005-0000-0000-000052520000}"/>
    <cellStyle name="40 % - Markeringsfarve1 3 8 2 2 2 3" xfId="27472" xr:uid="{00000000-0005-0000-0000-000053520000}"/>
    <cellStyle name="40 % - Markeringsfarve1 3 8 2 2 2 4" xfId="42436" xr:uid="{00000000-0005-0000-0000-000054520000}"/>
    <cellStyle name="40 % - Markeringsfarve1 3 8 2 2 3" xfId="14060" xr:uid="{00000000-0005-0000-0000-000055520000}"/>
    <cellStyle name="40 % - Markeringsfarve1 3 8 2 2 3 2" xfId="30339" xr:uid="{00000000-0005-0000-0000-000056520000}"/>
    <cellStyle name="40 % - Markeringsfarve1 3 8 2 2 3 3" xfId="45299" xr:uid="{00000000-0005-0000-0000-000057520000}"/>
    <cellStyle name="40 % - Markeringsfarve1 3 8 2 2 4" xfId="23337" xr:uid="{00000000-0005-0000-0000-000058520000}"/>
    <cellStyle name="40 % - Markeringsfarve1 3 8 2 2 5" xfId="38302" xr:uid="{00000000-0005-0000-0000-000059520000}"/>
    <cellStyle name="40 % - Markeringsfarve1 3 8 2 3" xfId="8846" xr:uid="{00000000-0005-0000-0000-00005A520000}"/>
    <cellStyle name="40 % - Markeringsfarve1 3 8 2 3 2" xfId="16713" xr:uid="{00000000-0005-0000-0000-00005B520000}"/>
    <cellStyle name="40 % - Markeringsfarve1 3 8 2 3 2 2" xfId="32989" xr:uid="{00000000-0005-0000-0000-00005C520000}"/>
    <cellStyle name="40 % - Markeringsfarve1 3 8 2 3 2 3" xfId="47948" xr:uid="{00000000-0005-0000-0000-00005D520000}"/>
    <cellStyle name="40 % - Markeringsfarve1 3 8 2 3 3" xfId="25987" xr:uid="{00000000-0005-0000-0000-00005E520000}"/>
    <cellStyle name="40 % - Markeringsfarve1 3 8 2 3 4" xfId="40951" xr:uid="{00000000-0005-0000-0000-00005F520000}"/>
    <cellStyle name="40 % - Markeringsfarve1 3 8 2 4" xfId="14059" xr:uid="{00000000-0005-0000-0000-000060520000}"/>
    <cellStyle name="40 % - Markeringsfarve1 3 8 2 4 2" xfId="30338" xr:uid="{00000000-0005-0000-0000-000061520000}"/>
    <cellStyle name="40 % - Markeringsfarve1 3 8 2 4 3" xfId="45298" xr:uid="{00000000-0005-0000-0000-000062520000}"/>
    <cellStyle name="40 % - Markeringsfarve1 3 8 2 5" xfId="23336" xr:uid="{00000000-0005-0000-0000-000063520000}"/>
    <cellStyle name="40 % - Markeringsfarve1 3 8 2 6" xfId="38301" xr:uid="{00000000-0005-0000-0000-000064520000}"/>
    <cellStyle name="40 % - Markeringsfarve1 3 8 3" xfId="5576" xr:uid="{00000000-0005-0000-0000-000065520000}"/>
    <cellStyle name="40 % - Markeringsfarve1 3 8 3 2" xfId="9621" xr:uid="{00000000-0005-0000-0000-000066520000}"/>
    <cellStyle name="40 % - Markeringsfarve1 3 8 3 2 2" xfId="17484" xr:uid="{00000000-0005-0000-0000-000067520000}"/>
    <cellStyle name="40 % - Markeringsfarve1 3 8 3 2 2 2" xfId="33760" xr:uid="{00000000-0005-0000-0000-000068520000}"/>
    <cellStyle name="40 % - Markeringsfarve1 3 8 3 2 2 3" xfId="48719" xr:uid="{00000000-0005-0000-0000-000069520000}"/>
    <cellStyle name="40 % - Markeringsfarve1 3 8 3 2 3" xfId="26758" xr:uid="{00000000-0005-0000-0000-00006A520000}"/>
    <cellStyle name="40 % - Markeringsfarve1 3 8 3 2 4" xfId="41722" xr:uid="{00000000-0005-0000-0000-00006B520000}"/>
    <cellStyle name="40 % - Markeringsfarve1 3 8 3 3" xfId="14061" xr:uid="{00000000-0005-0000-0000-00006C520000}"/>
    <cellStyle name="40 % - Markeringsfarve1 3 8 3 3 2" xfId="30340" xr:uid="{00000000-0005-0000-0000-00006D520000}"/>
    <cellStyle name="40 % - Markeringsfarve1 3 8 3 3 3" xfId="45300" xr:uid="{00000000-0005-0000-0000-00006E520000}"/>
    <cellStyle name="40 % - Markeringsfarve1 3 8 3 4" xfId="23338" xr:uid="{00000000-0005-0000-0000-00006F520000}"/>
    <cellStyle name="40 % - Markeringsfarve1 3 8 3 5" xfId="38303" xr:uid="{00000000-0005-0000-0000-000070520000}"/>
    <cellStyle name="40 % - Markeringsfarve1 3 8 4" xfId="5577" xr:uid="{00000000-0005-0000-0000-000071520000}"/>
    <cellStyle name="40 % - Markeringsfarve1 3 8 4 2" xfId="10893" xr:uid="{00000000-0005-0000-0000-000072520000}"/>
    <cellStyle name="40 % - Markeringsfarve1 3 8 4 2 2" xfId="18729" xr:uid="{00000000-0005-0000-0000-000073520000}"/>
    <cellStyle name="40 % - Markeringsfarve1 3 8 4 2 2 2" xfId="35005" xr:uid="{00000000-0005-0000-0000-000074520000}"/>
    <cellStyle name="40 % - Markeringsfarve1 3 8 4 2 2 3" xfId="49964" xr:uid="{00000000-0005-0000-0000-000075520000}"/>
    <cellStyle name="40 % - Markeringsfarve1 3 8 4 2 3" xfId="28003" xr:uid="{00000000-0005-0000-0000-000076520000}"/>
    <cellStyle name="40 % - Markeringsfarve1 3 8 4 2 4" xfId="42967" xr:uid="{00000000-0005-0000-0000-000077520000}"/>
    <cellStyle name="40 % - Markeringsfarve1 3 8 4 3" xfId="14062" xr:uid="{00000000-0005-0000-0000-000078520000}"/>
    <cellStyle name="40 % - Markeringsfarve1 3 8 4 3 2" xfId="30341" xr:uid="{00000000-0005-0000-0000-000079520000}"/>
    <cellStyle name="40 % - Markeringsfarve1 3 8 4 3 3" xfId="45301" xr:uid="{00000000-0005-0000-0000-00007A520000}"/>
    <cellStyle name="40 % - Markeringsfarve1 3 8 4 4" xfId="23339" xr:uid="{00000000-0005-0000-0000-00007B520000}"/>
    <cellStyle name="40 % - Markeringsfarve1 3 8 4 5" xfId="38304" xr:uid="{00000000-0005-0000-0000-00007C520000}"/>
    <cellStyle name="40 % - Markeringsfarve1 3 8 5" xfId="7997" xr:uid="{00000000-0005-0000-0000-00007D520000}"/>
    <cellStyle name="40 % - Markeringsfarve1 3 8 5 2" xfId="15862" xr:uid="{00000000-0005-0000-0000-00007E520000}"/>
    <cellStyle name="40 % - Markeringsfarve1 3 8 5 2 2" xfId="32138" xr:uid="{00000000-0005-0000-0000-00007F520000}"/>
    <cellStyle name="40 % - Markeringsfarve1 3 8 5 2 3" xfId="47097" xr:uid="{00000000-0005-0000-0000-000080520000}"/>
    <cellStyle name="40 % - Markeringsfarve1 3 8 5 3" xfId="25136" xr:uid="{00000000-0005-0000-0000-000081520000}"/>
    <cellStyle name="40 % - Markeringsfarve1 3 8 5 4" xfId="40100" xr:uid="{00000000-0005-0000-0000-000082520000}"/>
    <cellStyle name="40 % - Markeringsfarve1 3 8 6" xfId="14058" xr:uid="{00000000-0005-0000-0000-000083520000}"/>
    <cellStyle name="40 % - Markeringsfarve1 3 8 6 2" xfId="30337" xr:uid="{00000000-0005-0000-0000-000084520000}"/>
    <cellStyle name="40 % - Markeringsfarve1 3 8 6 3" xfId="45297" xr:uid="{00000000-0005-0000-0000-000085520000}"/>
    <cellStyle name="40 % - Markeringsfarve1 3 8 7" xfId="23335" xr:uid="{00000000-0005-0000-0000-000086520000}"/>
    <cellStyle name="40 % - Markeringsfarve1 3 8 8" xfId="38300" xr:uid="{00000000-0005-0000-0000-000087520000}"/>
    <cellStyle name="40 % - Markeringsfarve1 3 9" xfId="5578" xr:uid="{00000000-0005-0000-0000-000088520000}"/>
    <cellStyle name="40 % - Markeringsfarve1 3 9 2" xfId="5579" xr:uid="{00000000-0005-0000-0000-000089520000}"/>
    <cellStyle name="40 % - Markeringsfarve1 3 9 2 2" xfId="9710" xr:uid="{00000000-0005-0000-0000-00008A520000}"/>
    <cellStyle name="40 % - Markeringsfarve1 3 9 2 2 2" xfId="17564" xr:uid="{00000000-0005-0000-0000-00008B520000}"/>
    <cellStyle name="40 % - Markeringsfarve1 3 9 2 2 2 2" xfId="33840" xr:uid="{00000000-0005-0000-0000-00008C520000}"/>
    <cellStyle name="40 % - Markeringsfarve1 3 9 2 2 2 3" xfId="48799" xr:uid="{00000000-0005-0000-0000-00008D520000}"/>
    <cellStyle name="40 % - Markeringsfarve1 3 9 2 2 3" xfId="26838" xr:uid="{00000000-0005-0000-0000-00008E520000}"/>
    <cellStyle name="40 % - Markeringsfarve1 3 9 2 2 4" xfId="41802" xr:uid="{00000000-0005-0000-0000-00008F520000}"/>
    <cellStyle name="40 % - Markeringsfarve1 3 9 2 3" xfId="14064" xr:uid="{00000000-0005-0000-0000-000090520000}"/>
    <cellStyle name="40 % - Markeringsfarve1 3 9 2 3 2" xfId="30343" xr:uid="{00000000-0005-0000-0000-000091520000}"/>
    <cellStyle name="40 % - Markeringsfarve1 3 9 2 3 3" xfId="45303" xr:uid="{00000000-0005-0000-0000-000092520000}"/>
    <cellStyle name="40 % - Markeringsfarve1 3 9 2 4" xfId="23341" xr:uid="{00000000-0005-0000-0000-000093520000}"/>
    <cellStyle name="40 % - Markeringsfarve1 3 9 2 5" xfId="38306" xr:uid="{00000000-0005-0000-0000-000094520000}"/>
    <cellStyle name="40 % - Markeringsfarve1 3 9 3" xfId="8311" xr:uid="{00000000-0005-0000-0000-000095520000}"/>
    <cellStyle name="40 % - Markeringsfarve1 3 9 3 2" xfId="16181" xr:uid="{00000000-0005-0000-0000-000096520000}"/>
    <cellStyle name="40 % - Markeringsfarve1 3 9 3 2 2" xfId="32457" xr:uid="{00000000-0005-0000-0000-000097520000}"/>
    <cellStyle name="40 % - Markeringsfarve1 3 9 3 2 3" xfId="47416" xr:uid="{00000000-0005-0000-0000-000098520000}"/>
    <cellStyle name="40 % - Markeringsfarve1 3 9 3 3" xfId="25455" xr:uid="{00000000-0005-0000-0000-000099520000}"/>
    <cellStyle name="40 % - Markeringsfarve1 3 9 3 4" xfId="40419" xr:uid="{00000000-0005-0000-0000-00009A520000}"/>
    <cellStyle name="40 % - Markeringsfarve1 3 9 4" xfId="14063" xr:uid="{00000000-0005-0000-0000-00009B520000}"/>
    <cellStyle name="40 % - Markeringsfarve1 3 9 4 2" xfId="30342" xr:uid="{00000000-0005-0000-0000-00009C520000}"/>
    <cellStyle name="40 % - Markeringsfarve1 3 9 4 3" xfId="45302" xr:uid="{00000000-0005-0000-0000-00009D520000}"/>
    <cellStyle name="40 % - Markeringsfarve1 3 9 5" xfId="23340" xr:uid="{00000000-0005-0000-0000-00009E520000}"/>
    <cellStyle name="40 % - Markeringsfarve1 3 9 6" xfId="38305" xr:uid="{00000000-0005-0000-0000-00009F520000}"/>
    <cellStyle name="40 % - Markeringsfarve1 4" xfId="5580" xr:uid="{00000000-0005-0000-0000-0000A0520000}"/>
    <cellStyle name="40 % - Markeringsfarve1 4 10" xfId="7998" xr:uid="{00000000-0005-0000-0000-0000A1520000}"/>
    <cellStyle name="40 % - Markeringsfarve1 4 10 2" xfId="15863" xr:uid="{00000000-0005-0000-0000-0000A2520000}"/>
    <cellStyle name="40 % - Markeringsfarve1 4 10 2 2" xfId="32139" xr:uid="{00000000-0005-0000-0000-0000A3520000}"/>
    <cellStyle name="40 % - Markeringsfarve1 4 10 2 3" xfId="47098" xr:uid="{00000000-0005-0000-0000-0000A4520000}"/>
    <cellStyle name="40 % - Markeringsfarve1 4 10 3" xfId="25137" xr:uid="{00000000-0005-0000-0000-0000A5520000}"/>
    <cellStyle name="40 % - Markeringsfarve1 4 10 4" xfId="40101" xr:uid="{00000000-0005-0000-0000-0000A6520000}"/>
    <cellStyle name="40 % - Markeringsfarve1 4 11" xfId="14065" xr:uid="{00000000-0005-0000-0000-0000A7520000}"/>
    <cellStyle name="40 % - Markeringsfarve1 4 11 2" xfId="30344" xr:uid="{00000000-0005-0000-0000-0000A8520000}"/>
    <cellStyle name="40 % - Markeringsfarve1 4 11 3" xfId="45304" xr:uid="{00000000-0005-0000-0000-0000A9520000}"/>
    <cellStyle name="40 % - Markeringsfarve1 4 12" xfId="23342" xr:uid="{00000000-0005-0000-0000-0000AA520000}"/>
    <cellStyle name="40 % - Markeringsfarve1 4 13" xfId="38307" xr:uid="{00000000-0005-0000-0000-0000AB520000}"/>
    <cellStyle name="40 % - Markeringsfarve1 4 2" xfId="5581" xr:uid="{00000000-0005-0000-0000-0000AC520000}"/>
    <cellStyle name="40 % - Markeringsfarve1 4 2 2" xfId="5582" xr:uid="{00000000-0005-0000-0000-0000AD520000}"/>
    <cellStyle name="40 % - Markeringsfarve1 4 2 2 2" xfId="5583" xr:uid="{00000000-0005-0000-0000-0000AE520000}"/>
    <cellStyle name="40 % - Markeringsfarve1 4 2 2 2 2" xfId="9853" xr:uid="{00000000-0005-0000-0000-0000AF520000}"/>
    <cellStyle name="40 % - Markeringsfarve1 4 2 2 2 2 2" xfId="17708" xr:uid="{00000000-0005-0000-0000-0000B0520000}"/>
    <cellStyle name="40 % - Markeringsfarve1 4 2 2 2 2 2 2" xfId="33984" xr:uid="{00000000-0005-0000-0000-0000B1520000}"/>
    <cellStyle name="40 % - Markeringsfarve1 4 2 2 2 2 2 3" xfId="48943" xr:uid="{00000000-0005-0000-0000-0000B2520000}"/>
    <cellStyle name="40 % - Markeringsfarve1 4 2 2 2 2 3" xfId="26982" xr:uid="{00000000-0005-0000-0000-0000B3520000}"/>
    <cellStyle name="40 % - Markeringsfarve1 4 2 2 2 2 4" xfId="41946" xr:uid="{00000000-0005-0000-0000-0000B4520000}"/>
    <cellStyle name="40 % - Markeringsfarve1 4 2 2 2 3" xfId="14068" xr:uid="{00000000-0005-0000-0000-0000B5520000}"/>
    <cellStyle name="40 % - Markeringsfarve1 4 2 2 2 3 2" xfId="30347" xr:uid="{00000000-0005-0000-0000-0000B6520000}"/>
    <cellStyle name="40 % - Markeringsfarve1 4 2 2 2 3 3" xfId="45307" xr:uid="{00000000-0005-0000-0000-0000B7520000}"/>
    <cellStyle name="40 % - Markeringsfarve1 4 2 2 2 4" xfId="23345" xr:uid="{00000000-0005-0000-0000-0000B8520000}"/>
    <cellStyle name="40 % - Markeringsfarve1 4 2 2 2 5" xfId="38310" xr:uid="{00000000-0005-0000-0000-0000B9520000}"/>
    <cellStyle name="40 % - Markeringsfarve1 4 2 2 3" xfId="8431" xr:uid="{00000000-0005-0000-0000-0000BA520000}"/>
    <cellStyle name="40 % - Markeringsfarve1 4 2 2 3 2" xfId="16301" xr:uid="{00000000-0005-0000-0000-0000BB520000}"/>
    <cellStyle name="40 % - Markeringsfarve1 4 2 2 3 2 2" xfId="32577" xr:uid="{00000000-0005-0000-0000-0000BC520000}"/>
    <cellStyle name="40 % - Markeringsfarve1 4 2 2 3 2 3" xfId="47536" xr:uid="{00000000-0005-0000-0000-0000BD520000}"/>
    <cellStyle name="40 % - Markeringsfarve1 4 2 2 3 3" xfId="25575" xr:uid="{00000000-0005-0000-0000-0000BE520000}"/>
    <cellStyle name="40 % - Markeringsfarve1 4 2 2 3 4" xfId="40539" xr:uid="{00000000-0005-0000-0000-0000BF520000}"/>
    <cellStyle name="40 % - Markeringsfarve1 4 2 2 4" xfId="14067" xr:uid="{00000000-0005-0000-0000-0000C0520000}"/>
    <cellStyle name="40 % - Markeringsfarve1 4 2 2 4 2" xfId="30346" xr:uid="{00000000-0005-0000-0000-0000C1520000}"/>
    <cellStyle name="40 % - Markeringsfarve1 4 2 2 4 3" xfId="45306" xr:uid="{00000000-0005-0000-0000-0000C2520000}"/>
    <cellStyle name="40 % - Markeringsfarve1 4 2 2 5" xfId="23344" xr:uid="{00000000-0005-0000-0000-0000C3520000}"/>
    <cellStyle name="40 % - Markeringsfarve1 4 2 2 6" xfId="38309" xr:uid="{00000000-0005-0000-0000-0000C4520000}"/>
    <cellStyle name="40 % - Markeringsfarve1 4 2 3" xfId="5584" xr:uid="{00000000-0005-0000-0000-0000C5520000}"/>
    <cellStyle name="40 % - Markeringsfarve1 4 2 3 2" xfId="9084" xr:uid="{00000000-0005-0000-0000-0000C6520000}"/>
    <cellStyle name="40 % - Markeringsfarve1 4 2 3 2 2" xfId="16948" xr:uid="{00000000-0005-0000-0000-0000C7520000}"/>
    <cellStyle name="40 % - Markeringsfarve1 4 2 3 2 2 2" xfId="33224" xr:uid="{00000000-0005-0000-0000-0000C8520000}"/>
    <cellStyle name="40 % - Markeringsfarve1 4 2 3 2 2 3" xfId="48183" xr:uid="{00000000-0005-0000-0000-0000C9520000}"/>
    <cellStyle name="40 % - Markeringsfarve1 4 2 3 2 3" xfId="26222" xr:uid="{00000000-0005-0000-0000-0000CA520000}"/>
    <cellStyle name="40 % - Markeringsfarve1 4 2 3 2 4" xfId="41186" xr:uid="{00000000-0005-0000-0000-0000CB520000}"/>
    <cellStyle name="40 % - Markeringsfarve1 4 2 3 3" xfId="14069" xr:uid="{00000000-0005-0000-0000-0000CC520000}"/>
    <cellStyle name="40 % - Markeringsfarve1 4 2 3 3 2" xfId="30348" xr:uid="{00000000-0005-0000-0000-0000CD520000}"/>
    <cellStyle name="40 % - Markeringsfarve1 4 2 3 3 3" xfId="45308" xr:uid="{00000000-0005-0000-0000-0000CE520000}"/>
    <cellStyle name="40 % - Markeringsfarve1 4 2 3 4" xfId="23346" xr:uid="{00000000-0005-0000-0000-0000CF520000}"/>
    <cellStyle name="40 % - Markeringsfarve1 4 2 3 5" xfId="38311" xr:uid="{00000000-0005-0000-0000-0000D0520000}"/>
    <cellStyle name="40 % - Markeringsfarve1 4 2 4" xfId="5585" xr:uid="{00000000-0005-0000-0000-0000D1520000}"/>
    <cellStyle name="40 % - Markeringsfarve1 4 2 4 2" xfId="10848" xr:uid="{00000000-0005-0000-0000-0000D2520000}"/>
    <cellStyle name="40 % - Markeringsfarve1 4 2 4 2 2" xfId="18686" xr:uid="{00000000-0005-0000-0000-0000D3520000}"/>
    <cellStyle name="40 % - Markeringsfarve1 4 2 4 2 2 2" xfId="34962" xr:uid="{00000000-0005-0000-0000-0000D4520000}"/>
    <cellStyle name="40 % - Markeringsfarve1 4 2 4 2 2 3" xfId="49921" xr:uid="{00000000-0005-0000-0000-0000D5520000}"/>
    <cellStyle name="40 % - Markeringsfarve1 4 2 4 2 3" xfId="27960" xr:uid="{00000000-0005-0000-0000-0000D6520000}"/>
    <cellStyle name="40 % - Markeringsfarve1 4 2 4 2 4" xfId="42924" xr:uid="{00000000-0005-0000-0000-0000D7520000}"/>
    <cellStyle name="40 % - Markeringsfarve1 4 2 4 3" xfId="14070" xr:uid="{00000000-0005-0000-0000-0000D8520000}"/>
    <cellStyle name="40 % - Markeringsfarve1 4 2 4 3 2" xfId="30349" xr:uid="{00000000-0005-0000-0000-0000D9520000}"/>
    <cellStyle name="40 % - Markeringsfarve1 4 2 4 3 3" xfId="45309" xr:uid="{00000000-0005-0000-0000-0000DA520000}"/>
    <cellStyle name="40 % - Markeringsfarve1 4 2 4 4" xfId="23347" xr:uid="{00000000-0005-0000-0000-0000DB520000}"/>
    <cellStyle name="40 % - Markeringsfarve1 4 2 4 5" xfId="38312" xr:uid="{00000000-0005-0000-0000-0000DC520000}"/>
    <cellStyle name="40 % - Markeringsfarve1 4 2 5" xfId="7999" xr:uid="{00000000-0005-0000-0000-0000DD520000}"/>
    <cellStyle name="40 % - Markeringsfarve1 4 2 5 2" xfId="15864" xr:uid="{00000000-0005-0000-0000-0000DE520000}"/>
    <cellStyle name="40 % - Markeringsfarve1 4 2 5 2 2" xfId="32140" xr:uid="{00000000-0005-0000-0000-0000DF520000}"/>
    <cellStyle name="40 % - Markeringsfarve1 4 2 5 2 3" xfId="47099" xr:uid="{00000000-0005-0000-0000-0000E0520000}"/>
    <cellStyle name="40 % - Markeringsfarve1 4 2 5 3" xfId="25138" xr:uid="{00000000-0005-0000-0000-0000E1520000}"/>
    <cellStyle name="40 % - Markeringsfarve1 4 2 5 4" xfId="40102" xr:uid="{00000000-0005-0000-0000-0000E2520000}"/>
    <cellStyle name="40 % - Markeringsfarve1 4 2 6" xfId="14066" xr:uid="{00000000-0005-0000-0000-0000E3520000}"/>
    <cellStyle name="40 % - Markeringsfarve1 4 2 6 2" xfId="30345" xr:uid="{00000000-0005-0000-0000-0000E4520000}"/>
    <cellStyle name="40 % - Markeringsfarve1 4 2 6 3" xfId="45305" xr:uid="{00000000-0005-0000-0000-0000E5520000}"/>
    <cellStyle name="40 % - Markeringsfarve1 4 2 7" xfId="23343" xr:uid="{00000000-0005-0000-0000-0000E6520000}"/>
    <cellStyle name="40 % - Markeringsfarve1 4 2 8" xfId="38308" xr:uid="{00000000-0005-0000-0000-0000E7520000}"/>
    <cellStyle name="40 % - Markeringsfarve1 4 3" xfId="5586" xr:uid="{00000000-0005-0000-0000-0000E8520000}"/>
    <cellStyle name="40 % - Markeringsfarve1 4 3 2" xfId="5587" xr:uid="{00000000-0005-0000-0000-0000E9520000}"/>
    <cellStyle name="40 % - Markeringsfarve1 4 3 2 2" xfId="5588" xr:uid="{00000000-0005-0000-0000-0000EA520000}"/>
    <cellStyle name="40 % - Markeringsfarve1 4 3 2 2 2" xfId="9992" xr:uid="{00000000-0005-0000-0000-0000EB520000}"/>
    <cellStyle name="40 % - Markeringsfarve1 4 3 2 2 2 2" xfId="17847" xr:uid="{00000000-0005-0000-0000-0000EC520000}"/>
    <cellStyle name="40 % - Markeringsfarve1 4 3 2 2 2 2 2" xfId="34123" xr:uid="{00000000-0005-0000-0000-0000ED520000}"/>
    <cellStyle name="40 % - Markeringsfarve1 4 3 2 2 2 2 3" xfId="49082" xr:uid="{00000000-0005-0000-0000-0000EE520000}"/>
    <cellStyle name="40 % - Markeringsfarve1 4 3 2 2 2 3" xfId="27121" xr:uid="{00000000-0005-0000-0000-0000EF520000}"/>
    <cellStyle name="40 % - Markeringsfarve1 4 3 2 2 2 4" xfId="42085" xr:uid="{00000000-0005-0000-0000-0000F0520000}"/>
    <cellStyle name="40 % - Markeringsfarve1 4 3 2 2 3" xfId="14073" xr:uid="{00000000-0005-0000-0000-0000F1520000}"/>
    <cellStyle name="40 % - Markeringsfarve1 4 3 2 2 3 2" xfId="30352" xr:uid="{00000000-0005-0000-0000-0000F2520000}"/>
    <cellStyle name="40 % - Markeringsfarve1 4 3 2 2 3 3" xfId="45312" xr:uid="{00000000-0005-0000-0000-0000F3520000}"/>
    <cellStyle name="40 % - Markeringsfarve1 4 3 2 2 4" xfId="23350" xr:uid="{00000000-0005-0000-0000-0000F4520000}"/>
    <cellStyle name="40 % - Markeringsfarve1 4 3 2 2 5" xfId="38315" xr:uid="{00000000-0005-0000-0000-0000F5520000}"/>
    <cellStyle name="40 % - Markeringsfarve1 4 3 2 3" xfId="8548" xr:uid="{00000000-0005-0000-0000-0000F6520000}"/>
    <cellStyle name="40 % - Markeringsfarve1 4 3 2 3 2" xfId="16418" xr:uid="{00000000-0005-0000-0000-0000F7520000}"/>
    <cellStyle name="40 % - Markeringsfarve1 4 3 2 3 2 2" xfId="32694" xr:uid="{00000000-0005-0000-0000-0000F8520000}"/>
    <cellStyle name="40 % - Markeringsfarve1 4 3 2 3 2 3" xfId="47653" xr:uid="{00000000-0005-0000-0000-0000F9520000}"/>
    <cellStyle name="40 % - Markeringsfarve1 4 3 2 3 3" xfId="25692" xr:uid="{00000000-0005-0000-0000-0000FA520000}"/>
    <cellStyle name="40 % - Markeringsfarve1 4 3 2 3 4" xfId="40656" xr:uid="{00000000-0005-0000-0000-0000FB520000}"/>
    <cellStyle name="40 % - Markeringsfarve1 4 3 2 4" xfId="14072" xr:uid="{00000000-0005-0000-0000-0000FC520000}"/>
    <cellStyle name="40 % - Markeringsfarve1 4 3 2 4 2" xfId="30351" xr:uid="{00000000-0005-0000-0000-0000FD520000}"/>
    <cellStyle name="40 % - Markeringsfarve1 4 3 2 4 3" xfId="45311" xr:uid="{00000000-0005-0000-0000-0000FE520000}"/>
    <cellStyle name="40 % - Markeringsfarve1 4 3 2 5" xfId="23349" xr:uid="{00000000-0005-0000-0000-0000FF520000}"/>
    <cellStyle name="40 % - Markeringsfarve1 4 3 2 6" xfId="38314" xr:uid="{00000000-0005-0000-0000-000000530000}"/>
    <cellStyle name="40 % - Markeringsfarve1 4 3 3" xfId="5589" xr:uid="{00000000-0005-0000-0000-000001530000}"/>
    <cellStyle name="40 % - Markeringsfarve1 4 3 3 2" xfId="9223" xr:uid="{00000000-0005-0000-0000-000002530000}"/>
    <cellStyle name="40 % - Markeringsfarve1 4 3 3 2 2" xfId="17087" xr:uid="{00000000-0005-0000-0000-000003530000}"/>
    <cellStyle name="40 % - Markeringsfarve1 4 3 3 2 2 2" xfId="33363" xr:uid="{00000000-0005-0000-0000-000004530000}"/>
    <cellStyle name="40 % - Markeringsfarve1 4 3 3 2 2 3" xfId="48322" xr:uid="{00000000-0005-0000-0000-000005530000}"/>
    <cellStyle name="40 % - Markeringsfarve1 4 3 3 2 3" xfId="26361" xr:uid="{00000000-0005-0000-0000-000006530000}"/>
    <cellStyle name="40 % - Markeringsfarve1 4 3 3 2 4" xfId="41325" xr:uid="{00000000-0005-0000-0000-000007530000}"/>
    <cellStyle name="40 % - Markeringsfarve1 4 3 3 3" xfId="14074" xr:uid="{00000000-0005-0000-0000-000008530000}"/>
    <cellStyle name="40 % - Markeringsfarve1 4 3 3 3 2" xfId="30353" xr:uid="{00000000-0005-0000-0000-000009530000}"/>
    <cellStyle name="40 % - Markeringsfarve1 4 3 3 3 3" xfId="45313" xr:uid="{00000000-0005-0000-0000-00000A530000}"/>
    <cellStyle name="40 % - Markeringsfarve1 4 3 3 4" xfId="23351" xr:uid="{00000000-0005-0000-0000-00000B530000}"/>
    <cellStyle name="40 % - Markeringsfarve1 4 3 3 5" xfId="38316" xr:uid="{00000000-0005-0000-0000-00000C530000}"/>
    <cellStyle name="40 % - Markeringsfarve1 4 3 4" xfId="5590" xr:uid="{00000000-0005-0000-0000-00000D530000}"/>
    <cellStyle name="40 % - Markeringsfarve1 4 3 4 2" xfId="10497" xr:uid="{00000000-0005-0000-0000-00000E530000}"/>
    <cellStyle name="40 % - Markeringsfarve1 4 3 4 2 2" xfId="18346" xr:uid="{00000000-0005-0000-0000-00000F530000}"/>
    <cellStyle name="40 % - Markeringsfarve1 4 3 4 2 2 2" xfId="34622" xr:uid="{00000000-0005-0000-0000-000010530000}"/>
    <cellStyle name="40 % - Markeringsfarve1 4 3 4 2 2 3" xfId="49581" xr:uid="{00000000-0005-0000-0000-000011530000}"/>
    <cellStyle name="40 % - Markeringsfarve1 4 3 4 2 3" xfId="27620" xr:uid="{00000000-0005-0000-0000-000012530000}"/>
    <cellStyle name="40 % - Markeringsfarve1 4 3 4 2 4" xfId="42584" xr:uid="{00000000-0005-0000-0000-000013530000}"/>
    <cellStyle name="40 % - Markeringsfarve1 4 3 4 3" xfId="14075" xr:uid="{00000000-0005-0000-0000-000014530000}"/>
    <cellStyle name="40 % - Markeringsfarve1 4 3 4 3 2" xfId="30354" xr:uid="{00000000-0005-0000-0000-000015530000}"/>
    <cellStyle name="40 % - Markeringsfarve1 4 3 4 3 3" xfId="45314" xr:uid="{00000000-0005-0000-0000-000016530000}"/>
    <cellStyle name="40 % - Markeringsfarve1 4 3 4 4" xfId="23352" xr:uid="{00000000-0005-0000-0000-000017530000}"/>
    <cellStyle name="40 % - Markeringsfarve1 4 3 4 5" xfId="38317" xr:uid="{00000000-0005-0000-0000-000018530000}"/>
    <cellStyle name="40 % - Markeringsfarve1 4 3 5" xfId="8000" xr:uid="{00000000-0005-0000-0000-000019530000}"/>
    <cellStyle name="40 % - Markeringsfarve1 4 3 5 2" xfId="15865" xr:uid="{00000000-0005-0000-0000-00001A530000}"/>
    <cellStyle name="40 % - Markeringsfarve1 4 3 5 2 2" xfId="32141" xr:uid="{00000000-0005-0000-0000-00001B530000}"/>
    <cellStyle name="40 % - Markeringsfarve1 4 3 5 2 3" xfId="47100" xr:uid="{00000000-0005-0000-0000-00001C530000}"/>
    <cellStyle name="40 % - Markeringsfarve1 4 3 5 3" xfId="25139" xr:uid="{00000000-0005-0000-0000-00001D530000}"/>
    <cellStyle name="40 % - Markeringsfarve1 4 3 5 4" xfId="40103" xr:uid="{00000000-0005-0000-0000-00001E530000}"/>
    <cellStyle name="40 % - Markeringsfarve1 4 3 6" xfId="14071" xr:uid="{00000000-0005-0000-0000-00001F530000}"/>
    <cellStyle name="40 % - Markeringsfarve1 4 3 6 2" xfId="30350" xr:uid="{00000000-0005-0000-0000-000020530000}"/>
    <cellStyle name="40 % - Markeringsfarve1 4 3 6 3" xfId="45310" xr:uid="{00000000-0005-0000-0000-000021530000}"/>
    <cellStyle name="40 % - Markeringsfarve1 4 3 7" xfId="23348" xr:uid="{00000000-0005-0000-0000-000022530000}"/>
    <cellStyle name="40 % - Markeringsfarve1 4 3 8" xfId="38313" xr:uid="{00000000-0005-0000-0000-000023530000}"/>
    <cellStyle name="40 % - Markeringsfarve1 4 4" xfId="5591" xr:uid="{00000000-0005-0000-0000-000024530000}"/>
    <cellStyle name="40 % - Markeringsfarve1 4 4 2" xfId="5592" xr:uid="{00000000-0005-0000-0000-000025530000}"/>
    <cellStyle name="40 % - Markeringsfarve1 4 4 2 2" xfId="5593" xr:uid="{00000000-0005-0000-0000-000026530000}"/>
    <cellStyle name="40 % - Markeringsfarve1 4 4 2 2 2" xfId="10091" xr:uid="{00000000-0005-0000-0000-000027530000}"/>
    <cellStyle name="40 % - Markeringsfarve1 4 4 2 2 2 2" xfId="17946" xr:uid="{00000000-0005-0000-0000-000028530000}"/>
    <cellStyle name="40 % - Markeringsfarve1 4 4 2 2 2 2 2" xfId="34222" xr:uid="{00000000-0005-0000-0000-000029530000}"/>
    <cellStyle name="40 % - Markeringsfarve1 4 4 2 2 2 2 3" xfId="49181" xr:uid="{00000000-0005-0000-0000-00002A530000}"/>
    <cellStyle name="40 % - Markeringsfarve1 4 4 2 2 2 3" xfId="27220" xr:uid="{00000000-0005-0000-0000-00002B530000}"/>
    <cellStyle name="40 % - Markeringsfarve1 4 4 2 2 2 4" xfId="42184" xr:uid="{00000000-0005-0000-0000-00002C530000}"/>
    <cellStyle name="40 % - Markeringsfarve1 4 4 2 2 3" xfId="14078" xr:uid="{00000000-0005-0000-0000-00002D530000}"/>
    <cellStyle name="40 % - Markeringsfarve1 4 4 2 2 3 2" xfId="30357" xr:uid="{00000000-0005-0000-0000-00002E530000}"/>
    <cellStyle name="40 % - Markeringsfarve1 4 4 2 2 3 3" xfId="45317" xr:uid="{00000000-0005-0000-0000-00002F530000}"/>
    <cellStyle name="40 % - Markeringsfarve1 4 4 2 2 4" xfId="23355" xr:uid="{00000000-0005-0000-0000-000030530000}"/>
    <cellStyle name="40 % - Markeringsfarve1 4 4 2 2 5" xfId="38320" xr:uid="{00000000-0005-0000-0000-000031530000}"/>
    <cellStyle name="40 % - Markeringsfarve1 4 4 2 3" xfId="8633" xr:uid="{00000000-0005-0000-0000-000032530000}"/>
    <cellStyle name="40 % - Markeringsfarve1 4 4 2 3 2" xfId="16500" xr:uid="{00000000-0005-0000-0000-000033530000}"/>
    <cellStyle name="40 % - Markeringsfarve1 4 4 2 3 2 2" xfId="32776" xr:uid="{00000000-0005-0000-0000-000034530000}"/>
    <cellStyle name="40 % - Markeringsfarve1 4 4 2 3 2 3" xfId="47735" xr:uid="{00000000-0005-0000-0000-000035530000}"/>
    <cellStyle name="40 % - Markeringsfarve1 4 4 2 3 3" xfId="25774" xr:uid="{00000000-0005-0000-0000-000036530000}"/>
    <cellStyle name="40 % - Markeringsfarve1 4 4 2 3 4" xfId="40738" xr:uid="{00000000-0005-0000-0000-000037530000}"/>
    <cellStyle name="40 % - Markeringsfarve1 4 4 2 4" xfId="14077" xr:uid="{00000000-0005-0000-0000-000038530000}"/>
    <cellStyle name="40 % - Markeringsfarve1 4 4 2 4 2" xfId="30356" xr:uid="{00000000-0005-0000-0000-000039530000}"/>
    <cellStyle name="40 % - Markeringsfarve1 4 4 2 4 3" xfId="45316" xr:uid="{00000000-0005-0000-0000-00003A530000}"/>
    <cellStyle name="40 % - Markeringsfarve1 4 4 2 5" xfId="23354" xr:uid="{00000000-0005-0000-0000-00003B530000}"/>
    <cellStyle name="40 % - Markeringsfarve1 4 4 2 6" xfId="38319" xr:uid="{00000000-0005-0000-0000-00003C530000}"/>
    <cellStyle name="40 % - Markeringsfarve1 4 4 3" xfId="5594" xr:uid="{00000000-0005-0000-0000-00003D530000}"/>
    <cellStyle name="40 % - Markeringsfarve1 4 4 3 2" xfId="9368" xr:uid="{00000000-0005-0000-0000-00003E530000}"/>
    <cellStyle name="40 % - Markeringsfarve1 4 4 3 2 2" xfId="17231" xr:uid="{00000000-0005-0000-0000-00003F530000}"/>
    <cellStyle name="40 % - Markeringsfarve1 4 4 3 2 2 2" xfId="33507" xr:uid="{00000000-0005-0000-0000-000040530000}"/>
    <cellStyle name="40 % - Markeringsfarve1 4 4 3 2 2 3" xfId="48466" xr:uid="{00000000-0005-0000-0000-000041530000}"/>
    <cellStyle name="40 % - Markeringsfarve1 4 4 3 2 3" xfId="26505" xr:uid="{00000000-0005-0000-0000-000042530000}"/>
    <cellStyle name="40 % - Markeringsfarve1 4 4 3 2 4" xfId="41469" xr:uid="{00000000-0005-0000-0000-000043530000}"/>
    <cellStyle name="40 % - Markeringsfarve1 4 4 3 3" xfId="14079" xr:uid="{00000000-0005-0000-0000-000044530000}"/>
    <cellStyle name="40 % - Markeringsfarve1 4 4 3 3 2" xfId="30358" xr:uid="{00000000-0005-0000-0000-000045530000}"/>
    <cellStyle name="40 % - Markeringsfarve1 4 4 3 3 3" xfId="45318" xr:uid="{00000000-0005-0000-0000-000046530000}"/>
    <cellStyle name="40 % - Markeringsfarve1 4 4 3 4" xfId="23356" xr:uid="{00000000-0005-0000-0000-000047530000}"/>
    <cellStyle name="40 % - Markeringsfarve1 4 4 3 5" xfId="38321" xr:uid="{00000000-0005-0000-0000-000048530000}"/>
    <cellStyle name="40 % - Markeringsfarve1 4 4 4" xfId="5595" xr:uid="{00000000-0005-0000-0000-000049530000}"/>
    <cellStyle name="40 % - Markeringsfarve1 4 4 4 2" xfId="10802" xr:uid="{00000000-0005-0000-0000-00004A530000}"/>
    <cellStyle name="40 % - Markeringsfarve1 4 4 4 2 2" xfId="18643" xr:uid="{00000000-0005-0000-0000-00004B530000}"/>
    <cellStyle name="40 % - Markeringsfarve1 4 4 4 2 2 2" xfId="34919" xr:uid="{00000000-0005-0000-0000-00004C530000}"/>
    <cellStyle name="40 % - Markeringsfarve1 4 4 4 2 2 3" xfId="49878" xr:uid="{00000000-0005-0000-0000-00004D530000}"/>
    <cellStyle name="40 % - Markeringsfarve1 4 4 4 2 3" xfId="27917" xr:uid="{00000000-0005-0000-0000-00004E530000}"/>
    <cellStyle name="40 % - Markeringsfarve1 4 4 4 2 4" xfId="42881" xr:uid="{00000000-0005-0000-0000-00004F530000}"/>
    <cellStyle name="40 % - Markeringsfarve1 4 4 4 3" xfId="14080" xr:uid="{00000000-0005-0000-0000-000050530000}"/>
    <cellStyle name="40 % - Markeringsfarve1 4 4 4 3 2" xfId="30359" xr:uid="{00000000-0005-0000-0000-000051530000}"/>
    <cellStyle name="40 % - Markeringsfarve1 4 4 4 3 3" xfId="45319" xr:uid="{00000000-0005-0000-0000-000052530000}"/>
    <cellStyle name="40 % - Markeringsfarve1 4 4 4 4" xfId="23357" xr:uid="{00000000-0005-0000-0000-000053530000}"/>
    <cellStyle name="40 % - Markeringsfarve1 4 4 4 5" xfId="38322" xr:uid="{00000000-0005-0000-0000-000054530000}"/>
    <cellStyle name="40 % - Markeringsfarve1 4 4 5" xfId="8001" xr:uid="{00000000-0005-0000-0000-000055530000}"/>
    <cellStyle name="40 % - Markeringsfarve1 4 4 5 2" xfId="15866" xr:uid="{00000000-0005-0000-0000-000056530000}"/>
    <cellStyle name="40 % - Markeringsfarve1 4 4 5 2 2" xfId="32142" xr:uid="{00000000-0005-0000-0000-000057530000}"/>
    <cellStyle name="40 % - Markeringsfarve1 4 4 5 2 3" xfId="47101" xr:uid="{00000000-0005-0000-0000-000058530000}"/>
    <cellStyle name="40 % - Markeringsfarve1 4 4 5 3" xfId="25140" xr:uid="{00000000-0005-0000-0000-000059530000}"/>
    <cellStyle name="40 % - Markeringsfarve1 4 4 5 4" xfId="40104" xr:uid="{00000000-0005-0000-0000-00005A530000}"/>
    <cellStyle name="40 % - Markeringsfarve1 4 4 6" xfId="14076" xr:uid="{00000000-0005-0000-0000-00005B530000}"/>
    <cellStyle name="40 % - Markeringsfarve1 4 4 6 2" xfId="30355" xr:uid="{00000000-0005-0000-0000-00005C530000}"/>
    <cellStyle name="40 % - Markeringsfarve1 4 4 6 3" xfId="45315" xr:uid="{00000000-0005-0000-0000-00005D530000}"/>
    <cellStyle name="40 % - Markeringsfarve1 4 4 7" xfId="23353" xr:uid="{00000000-0005-0000-0000-00005E530000}"/>
    <cellStyle name="40 % - Markeringsfarve1 4 4 8" xfId="38318" xr:uid="{00000000-0005-0000-0000-00005F530000}"/>
    <cellStyle name="40 % - Markeringsfarve1 4 5" xfId="5596" xr:uid="{00000000-0005-0000-0000-000060530000}"/>
    <cellStyle name="40 % - Markeringsfarve1 4 5 2" xfId="5597" xr:uid="{00000000-0005-0000-0000-000061530000}"/>
    <cellStyle name="40 % - Markeringsfarve1 4 5 2 2" xfId="5598" xr:uid="{00000000-0005-0000-0000-000062530000}"/>
    <cellStyle name="40 % - Markeringsfarve1 4 5 2 2 2" xfId="10208" xr:uid="{00000000-0005-0000-0000-000063530000}"/>
    <cellStyle name="40 % - Markeringsfarve1 4 5 2 2 2 2" xfId="18063" xr:uid="{00000000-0005-0000-0000-000064530000}"/>
    <cellStyle name="40 % - Markeringsfarve1 4 5 2 2 2 2 2" xfId="34339" xr:uid="{00000000-0005-0000-0000-000065530000}"/>
    <cellStyle name="40 % - Markeringsfarve1 4 5 2 2 2 2 3" xfId="49298" xr:uid="{00000000-0005-0000-0000-000066530000}"/>
    <cellStyle name="40 % - Markeringsfarve1 4 5 2 2 2 3" xfId="27337" xr:uid="{00000000-0005-0000-0000-000067530000}"/>
    <cellStyle name="40 % - Markeringsfarve1 4 5 2 2 2 4" xfId="42301" xr:uid="{00000000-0005-0000-0000-000068530000}"/>
    <cellStyle name="40 % - Markeringsfarve1 4 5 2 2 3" xfId="14083" xr:uid="{00000000-0005-0000-0000-000069530000}"/>
    <cellStyle name="40 % - Markeringsfarve1 4 5 2 2 3 2" xfId="30362" xr:uid="{00000000-0005-0000-0000-00006A530000}"/>
    <cellStyle name="40 % - Markeringsfarve1 4 5 2 2 3 3" xfId="45322" xr:uid="{00000000-0005-0000-0000-00006B530000}"/>
    <cellStyle name="40 % - Markeringsfarve1 4 5 2 2 4" xfId="23360" xr:uid="{00000000-0005-0000-0000-00006C530000}"/>
    <cellStyle name="40 % - Markeringsfarve1 4 5 2 2 5" xfId="38325" xr:uid="{00000000-0005-0000-0000-00006D530000}"/>
    <cellStyle name="40 % - Markeringsfarve1 4 5 2 3" xfId="8732" xr:uid="{00000000-0005-0000-0000-00006E530000}"/>
    <cellStyle name="40 % - Markeringsfarve1 4 5 2 3 2" xfId="16599" xr:uid="{00000000-0005-0000-0000-00006F530000}"/>
    <cellStyle name="40 % - Markeringsfarve1 4 5 2 3 2 2" xfId="32875" xr:uid="{00000000-0005-0000-0000-000070530000}"/>
    <cellStyle name="40 % - Markeringsfarve1 4 5 2 3 2 3" xfId="47834" xr:uid="{00000000-0005-0000-0000-000071530000}"/>
    <cellStyle name="40 % - Markeringsfarve1 4 5 2 3 3" xfId="25873" xr:uid="{00000000-0005-0000-0000-000072530000}"/>
    <cellStyle name="40 % - Markeringsfarve1 4 5 2 3 4" xfId="40837" xr:uid="{00000000-0005-0000-0000-000073530000}"/>
    <cellStyle name="40 % - Markeringsfarve1 4 5 2 4" xfId="14082" xr:uid="{00000000-0005-0000-0000-000074530000}"/>
    <cellStyle name="40 % - Markeringsfarve1 4 5 2 4 2" xfId="30361" xr:uid="{00000000-0005-0000-0000-000075530000}"/>
    <cellStyle name="40 % - Markeringsfarve1 4 5 2 4 3" xfId="45321" xr:uid="{00000000-0005-0000-0000-000076530000}"/>
    <cellStyle name="40 % - Markeringsfarve1 4 5 2 5" xfId="23359" xr:uid="{00000000-0005-0000-0000-000077530000}"/>
    <cellStyle name="40 % - Markeringsfarve1 4 5 2 6" xfId="38324" xr:uid="{00000000-0005-0000-0000-000078530000}"/>
    <cellStyle name="40 % - Markeringsfarve1 4 5 3" xfId="5599" xr:uid="{00000000-0005-0000-0000-000079530000}"/>
    <cellStyle name="40 % - Markeringsfarve1 4 5 3 2" xfId="9485" xr:uid="{00000000-0005-0000-0000-00007A530000}"/>
    <cellStyle name="40 % - Markeringsfarve1 4 5 3 2 2" xfId="17348" xr:uid="{00000000-0005-0000-0000-00007B530000}"/>
    <cellStyle name="40 % - Markeringsfarve1 4 5 3 2 2 2" xfId="33624" xr:uid="{00000000-0005-0000-0000-00007C530000}"/>
    <cellStyle name="40 % - Markeringsfarve1 4 5 3 2 2 3" xfId="48583" xr:uid="{00000000-0005-0000-0000-00007D530000}"/>
    <cellStyle name="40 % - Markeringsfarve1 4 5 3 2 3" xfId="26622" xr:uid="{00000000-0005-0000-0000-00007E530000}"/>
    <cellStyle name="40 % - Markeringsfarve1 4 5 3 2 4" xfId="41586" xr:uid="{00000000-0005-0000-0000-00007F530000}"/>
    <cellStyle name="40 % - Markeringsfarve1 4 5 3 3" xfId="14084" xr:uid="{00000000-0005-0000-0000-000080530000}"/>
    <cellStyle name="40 % - Markeringsfarve1 4 5 3 3 2" xfId="30363" xr:uid="{00000000-0005-0000-0000-000081530000}"/>
    <cellStyle name="40 % - Markeringsfarve1 4 5 3 3 3" xfId="45323" xr:uid="{00000000-0005-0000-0000-000082530000}"/>
    <cellStyle name="40 % - Markeringsfarve1 4 5 3 4" xfId="23361" xr:uid="{00000000-0005-0000-0000-000083530000}"/>
    <cellStyle name="40 % - Markeringsfarve1 4 5 3 5" xfId="38326" xr:uid="{00000000-0005-0000-0000-000084530000}"/>
    <cellStyle name="40 % - Markeringsfarve1 4 5 4" xfId="5600" xr:uid="{00000000-0005-0000-0000-000085530000}"/>
    <cellStyle name="40 % - Markeringsfarve1 4 5 4 2" xfId="10454" xr:uid="{00000000-0005-0000-0000-000086530000}"/>
    <cellStyle name="40 % - Markeringsfarve1 4 5 4 2 2" xfId="18305" xr:uid="{00000000-0005-0000-0000-000087530000}"/>
    <cellStyle name="40 % - Markeringsfarve1 4 5 4 2 2 2" xfId="34581" xr:uid="{00000000-0005-0000-0000-000088530000}"/>
    <cellStyle name="40 % - Markeringsfarve1 4 5 4 2 2 3" xfId="49540" xr:uid="{00000000-0005-0000-0000-000089530000}"/>
    <cellStyle name="40 % - Markeringsfarve1 4 5 4 2 3" xfId="27579" xr:uid="{00000000-0005-0000-0000-00008A530000}"/>
    <cellStyle name="40 % - Markeringsfarve1 4 5 4 2 4" xfId="42543" xr:uid="{00000000-0005-0000-0000-00008B530000}"/>
    <cellStyle name="40 % - Markeringsfarve1 4 5 4 3" xfId="14085" xr:uid="{00000000-0005-0000-0000-00008C530000}"/>
    <cellStyle name="40 % - Markeringsfarve1 4 5 4 3 2" xfId="30364" xr:uid="{00000000-0005-0000-0000-00008D530000}"/>
    <cellStyle name="40 % - Markeringsfarve1 4 5 4 3 3" xfId="45324" xr:uid="{00000000-0005-0000-0000-00008E530000}"/>
    <cellStyle name="40 % - Markeringsfarve1 4 5 4 4" xfId="23362" xr:uid="{00000000-0005-0000-0000-00008F530000}"/>
    <cellStyle name="40 % - Markeringsfarve1 4 5 4 5" xfId="38327" xr:uid="{00000000-0005-0000-0000-000090530000}"/>
    <cellStyle name="40 % - Markeringsfarve1 4 5 5" xfId="8002" xr:uid="{00000000-0005-0000-0000-000091530000}"/>
    <cellStyle name="40 % - Markeringsfarve1 4 5 5 2" xfId="15867" xr:uid="{00000000-0005-0000-0000-000092530000}"/>
    <cellStyle name="40 % - Markeringsfarve1 4 5 5 2 2" xfId="32143" xr:uid="{00000000-0005-0000-0000-000093530000}"/>
    <cellStyle name="40 % - Markeringsfarve1 4 5 5 2 3" xfId="47102" xr:uid="{00000000-0005-0000-0000-000094530000}"/>
    <cellStyle name="40 % - Markeringsfarve1 4 5 5 3" xfId="25141" xr:uid="{00000000-0005-0000-0000-000095530000}"/>
    <cellStyle name="40 % - Markeringsfarve1 4 5 5 4" xfId="40105" xr:uid="{00000000-0005-0000-0000-000096530000}"/>
    <cellStyle name="40 % - Markeringsfarve1 4 5 6" xfId="14081" xr:uid="{00000000-0005-0000-0000-000097530000}"/>
    <cellStyle name="40 % - Markeringsfarve1 4 5 6 2" xfId="30360" xr:uid="{00000000-0005-0000-0000-000098530000}"/>
    <cellStyle name="40 % - Markeringsfarve1 4 5 6 3" xfId="45320" xr:uid="{00000000-0005-0000-0000-000099530000}"/>
    <cellStyle name="40 % - Markeringsfarve1 4 5 7" xfId="23358" xr:uid="{00000000-0005-0000-0000-00009A530000}"/>
    <cellStyle name="40 % - Markeringsfarve1 4 5 8" xfId="38323" xr:uid="{00000000-0005-0000-0000-00009B530000}"/>
    <cellStyle name="40 % - Markeringsfarve1 4 6" xfId="5601" xr:uid="{00000000-0005-0000-0000-00009C530000}"/>
    <cellStyle name="40 % - Markeringsfarve1 4 6 2" xfId="5602" xr:uid="{00000000-0005-0000-0000-00009D530000}"/>
    <cellStyle name="40 % - Markeringsfarve1 4 6 2 2" xfId="5603" xr:uid="{00000000-0005-0000-0000-00009E530000}"/>
    <cellStyle name="40 % - Markeringsfarve1 4 6 2 2 2" xfId="10346" xr:uid="{00000000-0005-0000-0000-00009F530000}"/>
    <cellStyle name="40 % - Markeringsfarve1 4 6 2 2 2 2" xfId="18201" xr:uid="{00000000-0005-0000-0000-0000A0530000}"/>
    <cellStyle name="40 % - Markeringsfarve1 4 6 2 2 2 2 2" xfId="34477" xr:uid="{00000000-0005-0000-0000-0000A1530000}"/>
    <cellStyle name="40 % - Markeringsfarve1 4 6 2 2 2 2 3" xfId="49436" xr:uid="{00000000-0005-0000-0000-0000A2530000}"/>
    <cellStyle name="40 % - Markeringsfarve1 4 6 2 2 2 3" xfId="27475" xr:uid="{00000000-0005-0000-0000-0000A3530000}"/>
    <cellStyle name="40 % - Markeringsfarve1 4 6 2 2 2 4" xfId="42439" xr:uid="{00000000-0005-0000-0000-0000A4530000}"/>
    <cellStyle name="40 % - Markeringsfarve1 4 6 2 2 3" xfId="14088" xr:uid="{00000000-0005-0000-0000-0000A5530000}"/>
    <cellStyle name="40 % - Markeringsfarve1 4 6 2 2 3 2" xfId="30367" xr:uid="{00000000-0005-0000-0000-0000A6530000}"/>
    <cellStyle name="40 % - Markeringsfarve1 4 6 2 2 3 3" xfId="45327" xr:uid="{00000000-0005-0000-0000-0000A7530000}"/>
    <cellStyle name="40 % - Markeringsfarve1 4 6 2 2 4" xfId="23365" xr:uid="{00000000-0005-0000-0000-0000A8530000}"/>
    <cellStyle name="40 % - Markeringsfarve1 4 6 2 2 5" xfId="38330" xr:uid="{00000000-0005-0000-0000-0000A9530000}"/>
    <cellStyle name="40 % - Markeringsfarve1 4 6 2 3" xfId="8849" xr:uid="{00000000-0005-0000-0000-0000AA530000}"/>
    <cellStyle name="40 % - Markeringsfarve1 4 6 2 3 2" xfId="16716" xr:uid="{00000000-0005-0000-0000-0000AB530000}"/>
    <cellStyle name="40 % - Markeringsfarve1 4 6 2 3 2 2" xfId="32992" xr:uid="{00000000-0005-0000-0000-0000AC530000}"/>
    <cellStyle name="40 % - Markeringsfarve1 4 6 2 3 2 3" xfId="47951" xr:uid="{00000000-0005-0000-0000-0000AD530000}"/>
    <cellStyle name="40 % - Markeringsfarve1 4 6 2 3 3" xfId="25990" xr:uid="{00000000-0005-0000-0000-0000AE530000}"/>
    <cellStyle name="40 % - Markeringsfarve1 4 6 2 3 4" xfId="40954" xr:uid="{00000000-0005-0000-0000-0000AF530000}"/>
    <cellStyle name="40 % - Markeringsfarve1 4 6 2 4" xfId="14087" xr:uid="{00000000-0005-0000-0000-0000B0530000}"/>
    <cellStyle name="40 % - Markeringsfarve1 4 6 2 4 2" xfId="30366" xr:uid="{00000000-0005-0000-0000-0000B1530000}"/>
    <cellStyle name="40 % - Markeringsfarve1 4 6 2 4 3" xfId="45326" xr:uid="{00000000-0005-0000-0000-0000B2530000}"/>
    <cellStyle name="40 % - Markeringsfarve1 4 6 2 5" xfId="23364" xr:uid="{00000000-0005-0000-0000-0000B3530000}"/>
    <cellStyle name="40 % - Markeringsfarve1 4 6 2 6" xfId="38329" xr:uid="{00000000-0005-0000-0000-0000B4530000}"/>
    <cellStyle name="40 % - Markeringsfarve1 4 6 3" xfId="5604" xr:uid="{00000000-0005-0000-0000-0000B5530000}"/>
    <cellStyle name="40 % - Markeringsfarve1 4 6 3 2" xfId="9624" xr:uid="{00000000-0005-0000-0000-0000B6530000}"/>
    <cellStyle name="40 % - Markeringsfarve1 4 6 3 2 2" xfId="17487" xr:uid="{00000000-0005-0000-0000-0000B7530000}"/>
    <cellStyle name="40 % - Markeringsfarve1 4 6 3 2 2 2" xfId="33763" xr:uid="{00000000-0005-0000-0000-0000B8530000}"/>
    <cellStyle name="40 % - Markeringsfarve1 4 6 3 2 2 3" xfId="48722" xr:uid="{00000000-0005-0000-0000-0000B9530000}"/>
    <cellStyle name="40 % - Markeringsfarve1 4 6 3 2 3" xfId="26761" xr:uid="{00000000-0005-0000-0000-0000BA530000}"/>
    <cellStyle name="40 % - Markeringsfarve1 4 6 3 2 4" xfId="41725" xr:uid="{00000000-0005-0000-0000-0000BB530000}"/>
    <cellStyle name="40 % - Markeringsfarve1 4 6 3 3" xfId="14089" xr:uid="{00000000-0005-0000-0000-0000BC530000}"/>
    <cellStyle name="40 % - Markeringsfarve1 4 6 3 3 2" xfId="30368" xr:uid="{00000000-0005-0000-0000-0000BD530000}"/>
    <cellStyle name="40 % - Markeringsfarve1 4 6 3 3 3" xfId="45328" xr:uid="{00000000-0005-0000-0000-0000BE530000}"/>
    <cellStyle name="40 % - Markeringsfarve1 4 6 3 4" xfId="23366" xr:uid="{00000000-0005-0000-0000-0000BF530000}"/>
    <cellStyle name="40 % - Markeringsfarve1 4 6 3 5" xfId="38331" xr:uid="{00000000-0005-0000-0000-0000C0530000}"/>
    <cellStyle name="40 % - Markeringsfarve1 4 6 4" xfId="5605" xr:uid="{00000000-0005-0000-0000-0000C1530000}"/>
    <cellStyle name="40 % - Markeringsfarve1 4 6 4 2" xfId="8928" xr:uid="{00000000-0005-0000-0000-0000C2530000}"/>
    <cellStyle name="40 % - Markeringsfarve1 4 6 4 2 2" xfId="16794" xr:uid="{00000000-0005-0000-0000-0000C3530000}"/>
    <cellStyle name="40 % - Markeringsfarve1 4 6 4 2 2 2" xfId="33070" xr:uid="{00000000-0005-0000-0000-0000C4530000}"/>
    <cellStyle name="40 % - Markeringsfarve1 4 6 4 2 2 3" xfId="48029" xr:uid="{00000000-0005-0000-0000-0000C5530000}"/>
    <cellStyle name="40 % - Markeringsfarve1 4 6 4 2 3" xfId="26068" xr:uid="{00000000-0005-0000-0000-0000C6530000}"/>
    <cellStyle name="40 % - Markeringsfarve1 4 6 4 2 4" xfId="41032" xr:uid="{00000000-0005-0000-0000-0000C7530000}"/>
    <cellStyle name="40 % - Markeringsfarve1 4 6 4 3" xfId="14090" xr:uid="{00000000-0005-0000-0000-0000C8530000}"/>
    <cellStyle name="40 % - Markeringsfarve1 4 6 4 3 2" xfId="30369" xr:uid="{00000000-0005-0000-0000-0000C9530000}"/>
    <cellStyle name="40 % - Markeringsfarve1 4 6 4 3 3" xfId="45329" xr:uid="{00000000-0005-0000-0000-0000CA530000}"/>
    <cellStyle name="40 % - Markeringsfarve1 4 6 4 4" xfId="23367" xr:uid="{00000000-0005-0000-0000-0000CB530000}"/>
    <cellStyle name="40 % - Markeringsfarve1 4 6 4 5" xfId="38332" xr:uid="{00000000-0005-0000-0000-0000CC530000}"/>
    <cellStyle name="40 % - Markeringsfarve1 4 6 5" xfId="8003" xr:uid="{00000000-0005-0000-0000-0000CD530000}"/>
    <cellStyle name="40 % - Markeringsfarve1 4 6 5 2" xfId="15868" xr:uid="{00000000-0005-0000-0000-0000CE530000}"/>
    <cellStyle name="40 % - Markeringsfarve1 4 6 5 2 2" xfId="32144" xr:uid="{00000000-0005-0000-0000-0000CF530000}"/>
    <cellStyle name="40 % - Markeringsfarve1 4 6 5 2 3" xfId="47103" xr:uid="{00000000-0005-0000-0000-0000D0530000}"/>
    <cellStyle name="40 % - Markeringsfarve1 4 6 5 3" xfId="25142" xr:uid="{00000000-0005-0000-0000-0000D1530000}"/>
    <cellStyle name="40 % - Markeringsfarve1 4 6 5 4" xfId="40106" xr:uid="{00000000-0005-0000-0000-0000D2530000}"/>
    <cellStyle name="40 % - Markeringsfarve1 4 6 6" xfId="14086" xr:uid="{00000000-0005-0000-0000-0000D3530000}"/>
    <cellStyle name="40 % - Markeringsfarve1 4 6 6 2" xfId="30365" xr:uid="{00000000-0005-0000-0000-0000D4530000}"/>
    <cellStyle name="40 % - Markeringsfarve1 4 6 6 3" xfId="45325" xr:uid="{00000000-0005-0000-0000-0000D5530000}"/>
    <cellStyle name="40 % - Markeringsfarve1 4 6 7" xfId="23363" xr:uid="{00000000-0005-0000-0000-0000D6530000}"/>
    <cellStyle name="40 % - Markeringsfarve1 4 6 8" xfId="38328" xr:uid="{00000000-0005-0000-0000-0000D7530000}"/>
    <cellStyle name="40 % - Markeringsfarve1 4 7" xfId="5606" xr:uid="{00000000-0005-0000-0000-0000D8530000}"/>
    <cellStyle name="40 % - Markeringsfarve1 4 7 2" xfId="5607" xr:uid="{00000000-0005-0000-0000-0000D9530000}"/>
    <cellStyle name="40 % - Markeringsfarve1 4 7 2 2" xfId="9735" xr:uid="{00000000-0005-0000-0000-0000DA530000}"/>
    <cellStyle name="40 % - Markeringsfarve1 4 7 2 2 2" xfId="17589" xr:uid="{00000000-0005-0000-0000-0000DB530000}"/>
    <cellStyle name="40 % - Markeringsfarve1 4 7 2 2 2 2" xfId="33865" xr:uid="{00000000-0005-0000-0000-0000DC530000}"/>
    <cellStyle name="40 % - Markeringsfarve1 4 7 2 2 2 3" xfId="48824" xr:uid="{00000000-0005-0000-0000-0000DD530000}"/>
    <cellStyle name="40 % - Markeringsfarve1 4 7 2 2 3" xfId="26863" xr:uid="{00000000-0005-0000-0000-0000DE530000}"/>
    <cellStyle name="40 % - Markeringsfarve1 4 7 2 2 4" xfId="41827" xr:uid="{00000000-0005-0000-0000-0000DF530000}"/>
    <cellStyle name="40 % - Markeringsfarve1 4 7 2 3" xfId="14092" xr:uid="{00000000-0005-0000-0000-0000E0530000}"/>
    <cellStyle name="40 % - Markeringsfarve1 4 7 2 3 2" xfId="30371" xr:uid="{00000000-0005-0000-0000-0000E1530000}"/>
    <cellStyle name="40 % - Markeringsfarve1 4 7 2 3 3" xfId="45331" xr:uid="{00000000-0005-0000-0000-0000E2530000}"/>
    <cellStyle name="40 % - Markeringsfarve1 4 7 2 4" xfId="23369" xr:uid="{00000000-0005-0000-0000-0000E3530000}"/>
    <cellStyle name="40 % - Markeringsfarve1 4 7 2 5" xfId="38334" xr:uid="{00000000-0005-0000-0000-0000E4530000}"/>
    <cellStyle name="40 % - Markeringsfarve1 4 7 3" xfId="8332" xr:uid="{00000000-0005-0000-0000-0000E5530000}"/>
    <cellStyle name="40 % - Markeringsfarve1 4 7 3 2" xfId="16202" xr:uid="{00000000-0005-0000-0000-0000E6530000}"/>
    <cellStyle name="40 % - Markeringsfarve1 4 7 3 2 2" xfId="32478" xr:uid="{00000000-0005-0000-0000-0000E7530000}"/>
    <cellStyle name="40 % - Markeringsfarve1 4 7 3 2 3" xfId="47437" xr:uid="{00000000-0005-0000-0000-0000E8530000}"/>
    <cellStyle name="40 % - Markeringsfarve1 4 7 3 3" xfId="25476" xr:uid="{00000000-0005-0000-0000-0000E9530000}"/>
    <cellStyle name="40 % - Markeringsfarve1 4 7 3 4" xfId="40440" xr:uid="{00000000-0005-0000-0000-0000EA530000}"/>
    <cellStyle name="40 % - Markeringsfarve1 4 7 4" xfId="14091" xr:uid="{00000000-0005-0000-0000-0000EB530000}"/>
    <cellStyle name="40 % - Markeringsfarve1 4 7 4 2" xfId="30370" xr:uid="{00000000-0005-0000-0000-0000EC530000}"/>
    <cellStyle name="40 % - Markeringsfarve1 4 7 4 3" xfId="45330" xr:uid="{00000000-0005-0000-0000-0000ED530000}"/>
    <cellStyle name="40 % - Markeringsfarve1 4 7 5" xfId="23368" xr:uid="{00000000-0005-0000-0000-0000EE530000}"/>
    <cellStyle name="40 % - Markeringsfarve1 4 7 6" xfId="38333" xr:uid="{00000000-0005-0000-0000-0000EF530000}"/>
    <cellStyle name="40 % - Markeringsfarve1 4 8" xfId="5608" xr:uid="{00000000-0005-0000-0000-0000F0530000}"/>
    <cellStyle name="40 % - Markeringsfarve1 4 8 2" xfId="8963" xr:uid="{00000000-0005-0000-0000-0000F1530000}"/>
    <cellStyle name="40 % - Markeringsfarve1 4 8 2 2" xfId="16827" xr:uid="{00000000-0005-0000-0000-0000F2530000}"/>
    <cellStyle name="40 % - Markeringsfarve1 4 8 2 2 2" xfId="33103" xr:uid="{00000000-0005-0000-0000-0000F3530000}"/>
    <cellStyle name="40 % - Markeringsfarve1 4 8 2 2 3" xfId="48062" xr:uid="{00000000-0005-0000-0000-0000F4530000}"/>
    <cellStyle name="40 % - Markeringsfarve1 4 8 2 3" xfId="26101" xr:uid="{00000000-0005-0000-0000-0000F5530000}"/>
    <cellStyle name="40 % - Markeringsfarve1 4 8 2 4" xfId="41065" xr:uid="{00000000-0005-0000-0000-0000F6530000}"/>
    <cellStyle name="40 % - Markeringsfarve1 4 8 3" xfId="14093" xr:uid="{00000000-0005-0000-0000-0000F7530000}"/>
    <cellStyle name="40 % - Markeringsfarve1 4 8 3 2" xfId="30372" xr:uid="{00000000-0005-0000-0000-0000F8530000}"/>
    <cellStyle name="40 % - Markeringsfarve1 4 8 3 3" xfId="45332" xr:uid="{00000000-0005-0000-0000-0000F9530000}"/>
    <cellStyle name="40 % - Markeringsfarve1 4 8 4" xfId="23370" xr:uid="{00000000-0005-0000-0000-0000FA530000}"/>
    <cellStyle name="40 % - Markeringsfarve1 4 8 5" xfId="38335" xr:uid="{00000000-0005-0000-0000-0000FB530000}"/>
    <cellStyle name="40 % - Markeringsfarve1 4 9" xfId="5609" xr:uid="{00000000-0005-0000-0000-0000FC530000}"/>
    <cellStyle name="40 % - Markeringsfarve1 4 9 2" xfId="10617" xr:uid="{00000000-0005-0000-0000-0000FD530000}"/>
    <cellStyle name="40 % - Markeringsfarve1 4 9 2 2" xfId="18465" xr:uid="{00000000-0005-0000-0000-0000FE530000}"/>
    <cellStyle name="40 % - Markeringsfarve1 4 9 2 2 2" xfId="34741" xr:uid="{00000000-0005-0000-0000-0000FF530000}"/>
    <cellStyle name="40 % - Markeringsfarve1 4 9 2 2 3" xfId="49700" xr:uid="{00000000-0005-0000-0000-000000540000}"/>
    <cellStyle name="40 % - Markeringsfarve1 4 9 2 3" xfId="27739" xr:uid="{00000000-0005-0000-0000-000001540000}"/>
    <cellStyle name="40 % - Markeringsfarve1 4 9 2 4" xfId="42703" xr:uid="{00000000-0005-0000-0000-000002540000}"/>
    <cellStyle name="40 % - Markeringsfarve1 4 9 3" xfId="14094" xr:uid="{00000000-0005-0000-0000-000003540000}"/>
    <cellStyle name="40 % - Markeringsfarve1 4 9 3 2" xfId="30373" xr:uid="{00000000-0005-0000-0000-000004540000}"/>
    <cellStyle name="40 % - Markeringsfarve1 4 9 3 3" xfId="45333" xr:uid="{00000000-0005-0000-0000-000005540000}"/>
    <cellStyle name="40 % - Markeringsfarve1 4 9 4" xfId="23371" xr:uid="{00000000-0005-0000-0000-000006540000}"/>
    <cellStyle name="40 % - Markeringsfarve1 4 9 5" xfId="38336" xr:uid="{00000000-0005-0000-0000-000007540000}"/>
    <cellStyle name="40 % - Markeringsfarve1 5" xfId="5610" xr:uid="{00000000-0005-0000-0000-000008540000}"/>
    <cellStyle name="40 % - Markeringsfarve1 5 10" xfId="8004" xr:uid="{00000000-0005-0000-0000-000009540000}"/>
    <cellStyle name="40 % - Markeringsfarve1 5 10 2" xfId="15869" xr:uid="{00000000-0005-0000-0000-00000A540000}"/>
    <cellStyle name="40 % - Markeringsfarve1 5 10 2 2" xfId="32145" xr:uid="{00000000-0005-0000-0000-00000B540000}"/>
    <cellStyle name="40 % - Markeringsfarve1 5 10 2 3" xfId="47104" xr:uid="{00000000-0005-0000-0000-00000C540000}"/>
    <cellStyle name="40 % - Markeringsfarve1 5 10 3" xfId="25143" xr:uid="{00000000-0005-0000-0000-00000D540000}"/>
    <cellStyle name="40 % - Markeringsfarve1 5 10 4" xfId="40107" xr:uid="{00000000-0005-0000-0000-00000E540000}"/>
    <cellStyle name="40 % - Markeringsfarve1 5 11" xfId="14095" xr:uid="{00000000-0005-0000-0000-00000F540000}"/>
    <cellStyle name="40 % - Markeringsfarve1 5 11 2" xfId="30374" xr:uid="{00000000-0005-0000-0000-000010540000}"/>
    <cellStyle name="40 % - Markeringsfarve1 5 11 3" xfId="45334" xr:uid="{00000000-0005-0000-0000-000011540000}"/>
    <cellStyle name="40 % - Markeringsfarve1 5 12" xfId="23372" xr:uid="{00000000-0005-0000-0000-000012540000}"/>
    <cellStyle name="40 % - Markeringsfarve1 5 13" xfId="38337" xr:uid="{00000000-0005-0000-0000-000013540000}"/>
    <cellStyle name="40 % - Markeringsfarve1 5 2" xfId="5611" xr:uid="{00000000-0005-0000-0000-000014540000}"/>
    <cellStyle name="40 % - Markeringsfarve1 5 2 2" xfId="5612" xr:uid="{00000000-0005-0000-0000-000015540000}"/>
    <cellStyle name="40 % - Markeringsfarve1 5 2 2 2" xfId="5613" xr:uid="{00000000-0005-0000-0000-000016540000}"/>
    <cellStyle name="40 % - Markeringsfarve1 5 2 2 2 2" xfId="9892" xr:uid="{00000000-0005-0000-0000-000017540000}"/>
    <cellStyle name="40 % - Markeringsfarve1 5 2 2 2 2 2" xfId="17747" xr:uid="{00000000-0005-0000-0000-000018540000}"/>
    <cellStyle name="40 % - Markeringsfarve1 5 2 2 2 2 2 2" xfId="34023" xr:uid="{00000000-0005-0000-0000-000019540000}"/>
    <cellStyle name="40 % - Markeringsfarve1 5 2 2 2 2 2 3" xfId="48982" xr:uid="{00000000-0005-0000-0000-00001A540000}"/>
    <cellStyle name="40 % - Markeringsfarve1 5 2 2 2 2 3" xfId="27021" xr:uid="{00000000-0005-0000-0000-00001B540000}"/>
    <cellStyle name="40 % - Markeringsfarve1 5 2 2 2 2 4" xfId="41985" xr:uid="{00000000-0005-0000-0000-00001C540000}"/>
    <cellStyle name="40 % - Markeringsfarve1 5 2 2 2 3" xfId="14098" xr:uid="{00000000-0005-0000-0000-00001D540000}"/>
    <cellStyle name="40 % - Markeringsfarve1 5 2 2 2 3 2" xfId="30377" xr:uid="{00000000-0005-0000-0000-00001E540000}"/>
    <cellStyle name="40 % - Markeringsfarve1 5 2 2 2 3 3" xfId="45337" xr:uid="{00000000-0005-0000-0000-00001F540000}"/>
    <cellStyle name="40 % - Markeringsfarve1 5 2 2 2 4" xfId="23375" xr:uid="{00000000-0005-0000-0000-000020540000}"/>
    <cellStyle name="40 % - Markeringsfarve1 5 2 2 2 5" xfId="38340" xr:uid="{00000000-0005-0000-0000-000021540000}"/>
    <cellStyle name="40 % - Markeringsfarve1 5 2 2 3" xfId="8464" xr:uid="{00000000-0005-0000-0000-000022540000}"/>
    <cellStyle name="40 % - Markeringsfarve1 5 2 2 3 2" xfId="16334" xr:uid="{00000000-0005-0000-0000-000023540000}"/>
    <cellStyle name="40 % - Markeringsfarve1 5 2 2 3 2 2" xfId="32610" xr:uid="{00000000-0005-0000-0000-000024540000}"/>
    <cellStyle name="40 % - Markeringsfarve1 5 2 2 3 2 3" xfId="47569" xr:uid="{00000000-0005-0000-0000-000025540000}"/>
    <cellStyle name="40 % - Markeringsfarve1 5 2 2 3 3" xfId="25608" xr:uid="{00000000-0005-0000-0000-000026540000}"/>
    <cellStyle name="40 % - Markeringsfarve1 5 2 2 3 4" xfId="40572" xr:uid="{00000000-0005-0000-0000-000027540000}"/>
    <cellStyle name="40 % - Markeringsfarve1 5 2 2 4" xfId="14097" xr:uid="{00000000-0005-0000-0000-000028540000}"/>
    <cellStyle name="40 % - Markeringsfarve1 5 2 2 4 2" xfId="30376" xr:uid="{00000000-0005-0000-0000-000029540000}"/>
    <cellStyle name="40 % - Markeringsfarve1 5 2 2 4 3" xfId="45336" xr:uid="{00000000-0005-0000-0000-00002A540000}"/>
    <cellStyle name="40 % - Markeringsfarve1 5 2 2 5" xfId="23374" xr:uid="{00000000-0005-0000-0000-00002B540000}"/>
    <cellStyle name="40 % - Markeringsfarve1 5 2 2 6" xfId="38339" xr:uid="{00000000-0005-0000-0000-00002C540000}"/>
    <cellStyle name="40 % - Markeringsfarve1 5 2 3" xfId="5614" xr:uid="{00000000-0005-0000-0000-00002D540000}"/>
    <cellStyle name="40 % - Markeringsfarve1 5 2 3 2" xfId="9123" xr:uid="{00000000-0005-0000-0000-00002E540000}"/>
    <cellStyle name="40 % - Markeringsfarve1 5 2 3 2 2" xfId="16987" xr:uid="{00000000-0005-0000-0000-00002F540000}"/>
    <cellStyle name="40 % - Markeringsfarve1 5 2 3 2 2 2" xfId="33263" xr:uid="{00000000-0005-0000-0000-000030540000}"/>
    <cellStyle name="40 % - Markeringsfarve1 5 2 3 2 2 3" xfId="48222" xr:uid="{00000000-0005-0000-0000-000031540000}"/>
    <cellStyle name="40 % - Markeringsfarve1 5 2 3 2 3" xfId="26261" xr:uid="{00000000-0005-0000-0000-000032540000}"/>
    <cellStyle name="40 % - Markeringsfarve1 5 2 3 2 4" xfId="41225" xr:uid="{00000000-0005-0000-0000-000033540000}"/>
    <cellStyle name="40 % - Markeringsfarve1 5 2 3 3" xfId="14099" xr:uid="{00000000-0005-0000-0000-000034540000}"/>
    <cellStyle name="40 % - Markeringsfarve1 5 2 3 3 2" xfId="30378" xr:uid="{00000000-0005-0000-0000-000035540000}"/>
    <cellStyle name="40 % - Markeringsfarve1 5 2 3 3 3" xfId="45338" xr:uid="{00000000-0005-0000-0000-000036540000}"/>
    <cellStyle name="40 % - Markeringsfarve1 5 2 3 4" xfId="23376" xr:uid="{00000000-0005-0000-0000-000037540000}"/>
    <cellStyle name="40 % - Markeringsfarve1 5 2 3 5" xfId="38341" xr:uid="{00000000-0005-0000-0000-000038540000}"/>
    <cellStyle name="40 % - Markeringsfarve1 5 2 4" xfId="5615" xr:uid="{00000000-0005-0000-0000-000039540000}"/>
    <cellStyle name="40 % - Markeringsfarve1 5 2 4 2" xfId="10734" xr:uid="{00000000-0005-0000-0000-00003A540000}"/>
    <cellStyle name="40 % - Markeringsfarve1 5 2 4 2 2" xfId="18577" xr:uid="{00000000-0005-0000-0000-00003B540000}"/>
    <cellStyle name="40 % - Markeringsfarve1 5 2 4 2 2 2" xfId="34853" xr:uid="{00000000-0005-0000-0000-00003C540000}"/>
    <cellStyle name="40 % - Markeringsfarve1 5 2 4 2 2 3" xfId="49812" xr:uid="{00000000-0005-0000-0000-00003D540000}"/>
    <cellStyle name="40 % - Markeringsfarve1 5 2 4 2 3" xfId="27851" xr:uid="{00000000-0005-0000-0000-00003E540000}"/>
    <cellStyle name="40 % - Markeringsfarve1 5 2 4 2 4" xfId="42815" xr:uid="{00000000-0005-0000-0000-00003F540000}"/>
    <cellStyle name="40 % - Markeringsfarve1 5 2 4 3" xfId="14100" xr:uid="{00000000-0005-0000-0000-000040540000}"/>
    <cellStyle name="40 % - Markeringsfarve1 5 2 4 3 2" xfId="30379" xr:uid="{00000000-0005-0000-0000-000041540000}"/>
    <cellStyle name="40 % - Markeringsfarve1 5 2 4 3 3" xfId="45339" xr:uid="{00000000-0005-0000-0000-000042540000}"/>
    <cellStyle name="40 % - Markeringsfarve1 5 2 4 4" xfId="23377" xr:uid="{00000000-0005-0000-0000-000043540000}"/>
    <cellStyle name="40 % - Markeringsfarve1 5 2 4 5" xfId="38342" xr:uid="{00000000-0005-0000-0000-000044540000}"/>
    <cellStyle name="40 % - Markeringsfarve1 5 2 5" xfId="8005" xr:uid="{00000000-0005-0000-0000-000045540000}"/>
    <cellStyle name="40 % - Markeringsfarve1 5 2 5 2" xfId="15870" xr:uid="{00000000-0005-0000-0000-000046540000}"/>
    <cellStyle name="40 % - Markeringsfarve1 5 2 5 2 2" xfId="32146" xr:uid="{00000000-0005-0000-0000-000047540000}"/>
    <cellStyle name="40 % - Markeringsfarve1 5 2 5 2 3" xfId="47105" xr:uid="{00000000-0005-0000-0000-000048540000}"/>
    <cellStyle name="40 % - Markeringsfarve1 5 2 5 3" xfId="25144" xr:uid="{00000000-0005-0000-0000-000049540000}"/>
    <cellStyle name="40 % - Markeringsfarve1 5 2 5 4" xfId="40108" xr:uid="{00000000-0005-0000-0000-00004A540000}"/>
    <cellStyle name="40 % - Markeringsfarve1 5 2 6" xfId="14096" xr:uid="{00000000-0005-0000-0000-00004B540000}"/>
    <cellStyle name="40 % - Markeringsfarve1 5 2 6 2" xfId="30375" xr:uid="{00000000-0005-0000-0000-00004C540000}"/>
    <cellStyle name="40 % - Markeringsfarve1 5 2 6 3" xfId="45335" xr:uid="{00000000-0005-0000-0000-00004D540000}"/>
    <cellStyle name="40 % - Markeringsfarve1 5 2 7" xfId="23373" xr:uid="{00000000-0005-0000-0000-00004E540000}"/>
    <cellStyle name="40 % - Markeringsfarve1 5 2 8" xfId="38338" xr:uid="{00000000-0005-0000-0000-00004F540000}"/>
    <cellStyle name="40 % - Markeringsfarve1 5 3" xfId="5616" xr:uid="{00000000-0005-0000-0000-000050540000}"/>
    <cellStyle name="40 % - Markeringsfarve1 5 3 2" xfId="5617" xr:uid="{00000000-0005-0000-0000-000051540000}"/>
    <cellStyle name="40 % - Markeringsfarve1 5 3 2 2" xfId="5618" xr:uid="{00000000-0005-0000-0000-000052540000}"/>
    <cellStyle name="40 % - Markeringsfarve1 5 3 2 2 2" xfId="9993" xr:uid="{00000000-0005-0000-0000-000053540000}"/>
    <cellStyle name="40 % - Markeringsfarve1 5 3 2 2 2 2" xfId="17848" xr:uid="{00000000-0005-0000-0000-000054540000}"/>
    <cellStyle name="40 % - Markeringsfarve1 5 3 2 2 2 2 2" xfId="34124" xr:uid="{00000000-0005-0000-0000-000055540000}"/>
    <cellStyle name="40 % - Markeringsfarve1 5 3 2 2 2 2 3" xfId="49083" xr:uid="{00000000-0005-0000-0000-000056540000}"/>
    <cellStyle name="40 % - Markeringsfarve1 5 3 2 2 2 3" xfId="27122" xr:uid="{00000000-0005-0000-0000-000057540000}"/>
    <cellStyle name="40 % - Markeringsfarve1 5 3 2 2 2 4" xfId="42086" xr:uid="{00000000-0005-0000-0000-000058540000}"/>
    <cellStyle name="40 % - Markeringsfarve1 5 3 2 2 3" xfId="14103" xr:uid="{00000000-0005-0000-0000-000059540000}"/>
    <cellStyle name="40 % - Markeringsfarve1 5 3 2 2 3 2" xfId="30382" xr:uid="{00000000-0005-0000-0000-00005A540000}"/>
    <cellStyle name="40 % - Markeringsfarve1 5 3 2 2 3 3" xfId="45342" xr:uid="{00000000-0005-0000-0000-00005B540000}"/>
    <cellStyle name="40 % - Markeringsfarve1 5 3 2 2 4" xfId="23380" xr:uid="{00000000-0005-0000-0000-00005C540000}"/>
    <cellStyle name="40 % - Markeringsfarve1 5 3 2 2 5" xfId="38345" xr:uid="{00000000-0005-0000-0000-00005D540000}"/>
    <cellStyle name="40 % - Markeringsfarve1 5 3 2 3" xfId="8549" xr:uid="{00000000-0005-0000-0000-00005E540000}"/>
    <cellStyle name="40 % - Markeringsfarve1 5 3 2 3 2" xfId="16419" xr:uid="{00000000-0005-0000-0000-00005F540000}"/>
    <cellStyle name="40 % - Markeringsfarve1 5 3 2 3 2 2" xfId="32695" xr:uid="{00000000-0005-0000-0000-000060540000}"/>
    <cellStyle name="40 % - Markeringsfarve1 5 3 2 3 2 3" xfId="47654" xr:uid="{00000000-0005-0000-0000-000061540000}"/>
    <cellStyle name="40 % - Markeringsfarve1 5 3 2 3 3" xfId="25693" xr:uid="{00000000-0005-0000-0000-000062540000}"/>
    <cellStyle name="40 % - Markeringsfarve1 5 3 2 3 4" xfId="40657" xr:uid="{00000000-0005-0000-0000-000063540000}"/>
    <cellStyle name="40 % - Markeringsfarve1 5 3 2 4" xfId="14102" xr:uid="{00000000-0005-0000-0000-000064540000}"/>
    <cellStyle name="40 % - Markeringsfarve1 5 3 2 4 2" xfId="30381" xr:uid="{00000000-0005-0000-0000-000065540000}"/>
    <cellStyle name="40 % - Markeringsfarve1 5 3 2 4 3" xfId="45341" xr:uid="{00000000-0005-0000-0000-000066540000}"/>
    <cellStyle name="40 % - Markeringsfarve1 5 3 2 5" xfId="23379" xr:uid="{00000000-0005-0000-0000-000067540000}"/>
    <cellStyle name="40 % - Markeringsfarve1 5 3 2 6" xfId="38344" xr:uid="{00000000-0005-0000-0000-000068540000}"/>
    <cellStyle name="40 % - Markeringsfarve1 5 3 3" xfId="5619" xr:uid="{00000000-0005-0000-0000-000069540000}"/>
    <cellStyle name="40 % - Markeringsfarve1 5 3 3 2" xfId="9224" xr:uid="{00000000-0005-0000-0000-00006A540000}"/>
    <cellStyle name="40 % - Markeringsfarve1 5 3 3 2 2" xfId="17088" xr:uid="{00000000-0005-0000-0000-00006B540000}"/>
    <cellStyle name="40 % - Markeringsfarve1 5 3 3 2 2 2" xfId="33364" xr:uid="{00000000-0005-0000-0000-00006C540000}"/>
    <cellStyle name="40 % - Markeringsfarve1 5 3 3 2 2 3" xfId="48323" xr:uid="{00000000-0005-0000-0000-00006D540000}"/>
    <cellStyle name="40 % - Markeringsfarve1 5 3 3 2 3" xfId="26362" xr:uid="{00000000-0005-0000-0000-00006E540000}"/>
    <cellStyle name="40 % - Markeringsfarve1 5 3 3 2 4" xfId="41326" xr:uid="{00000000-0005-0000-0000-00006F540000}"/>
    <cellStyle name="40 % - Markeringsfarve1 5 3 3 3" xfId="14104" xr:uid="{00000000-0005-0000-0000-000070540000}"/>
    <cellStyle name="40 % - Markeringsfarve1 5 3 3 3 2" xfId="30383" xr:uid="{00000000-0005-0000-0000-000071540000}"/>
    <cellStyle name="40 % - Markeringsfarve1 5 3 3 3 3" xfId="45343" xr:uid="{00000000-0005-0000-0000-000072540000}"/>
    <cellStyle name="40 % - Markeringsfarve1 5 3 3 4" xfId="23381" xr:uid="{00000000-0005-0000-0000-000073540000}"/>
    <cellStyle name="40 % - Markeringsfarve1 5 3 3 5" xfId="38346" xr:uid="{00000000-0005-0000-0000-000074540000}"/>
    <cellStyle name="40 % - Markeringsfarve1 5 3 4" xfId="5620" xr:uid="{00000000-0005-0000-0000-000075540000}"/>
    <cellStyle name="40 % - Markeringsfarve1 5 3 4 2" xfId="10979" xr:uid="{00000000-0005-0000-0000-000076540000}"/>
    <cellStyle name="40 % - Markeringsfarve1 5 3 4 2 2" xfId="18810" xr:uid="{00000000-0005-0000-0000-000077540000}"/>
    <cellStyle name="40 % - Markeringsfarve1 5 3 4 2 2 2" xfId="35086" xr:uid="{00000000-0005-0000-0000-000078540000}"/>
    <cellStyle name="40 % - Markeringsfarve1 5 3 4 2 2 3" xfId="50045" xr:uid="{00000000-0005-0000-0000-000079540000}"/>
    <cellStyle name="40 % - Markeringsfarve1 5 3 4 2 3" xfId="28084" xr:uid="{00000000-0005-0000-0000-00007A540000}"/>
    <cellStyle name="40 % - Markeringsfarve1 5 3 4 2 4" xfId="43048" xr:uid="{00000000-0005-0000-0000-00007B540000}"/>
    <cellStyle name="40 % - Markeringsfarve1 5 3 4 3" xfId="14105" xr:uid="{00000000-0005-0000-0000-00007C540000}"/>
    <cellStyle name="40 % - Markeringsfarve1 5 3 4 3 2" xfId="30384" xr:uid="{00000000-0005-0000-0000-00007D540000}"/>
    <cellStyle name="40 % - Markeringsfarve1 5 3 4 3 3" xfId="45344" xr:uid="{00000000-0005-0000-0000-00007E540000}"/>
    <cellStyle name="40 % - Markeringsfarve1 5 3 4 4" xfId="23382" xr:uid="{00000000-0005-0000-0000-00007F540000}"/>
    <cellStyle name="40 % - Markeringsfarve1 5 3 4 5" xfId="38347" xr:uid="{00000000-0005-0000-0000-000080540000}"/>
    <cellStyle name="40 % - Markeringsfarve1 5 3 5" xfId="8006" xr:uid="{00000000-0005-0000-0000-000081540000}"/>
    <cellStyle name="40 % - Markeringsfarve1 5 3 5 2" xfId="15871" xr:uid="{00000000-0005-0000-0000-000082540000}"/>
    <cellStyle name="40 % - Markeringsfarve1 5 3 5 2 2" xfId="32147" xr:uid="{00000000-0005-0000-0000-000083540000}"/>
    <cellStyle name="40 % - Markeringsfarve1 5 3 5 2 3" xfId="47106" xr:uid="{00000000-0005-0000-0000-000084540000}"/>
    <cellStyle name="40 % - Markeringsfarve1 5 3 5 3" xfId="25145" xr:uid="{00000000-0005-0000-0000-000085540000}"/>
    <cellStyle name="40 % - Markeringsfarve1 5 3 5 4" xfId="40109" xr:uid="{00000000-0005-0000-0000-000086540000}"/>
    <cellStyle name="40 % - Markeringsfarve1 5 3 6" xfId="14101" xr:uid="{00000000-0005-0000-0000-000087540000}"/>
    <cellStyle name="40 % - Markeringsfarve1 5 3 6 2" xfId="30380" xr:uid="{00000000-0005-0000-0000-000088540000}"/>
    <cellStyle name="40 % - Markeringsfarve1 5 3 6 3" xfId="45340" xr:uid="{00000000-0005-0000-0000-000089540000}"/>
    <cellStyle name="40 % - Markeringsfarve1 5 3 7" xfId="23378" xr:uid="{00000000-0005-0000-0000-00008A540000}"/>
    <cellStyle name="40 % - Markeringsfarve1 5 3 8" xfId="38343" xr:uid="{00000000-0005-0000-0000-00008B540000}"/>
    <cellStyle name="40 % - Markeringsfarve1 5 4" xfId="5621" xr:uid="{00000000-0005-0000-0000-00008C540000}"/>
    <cellStyle name="40 % - Markeringsfarve1 5 4 2" xfId="5622" xr:uid="{00000000-0005-0000-0000-00008D540000}"/>
    <cellStyle name="40 % - Markeringsfarve1 5 4 2 2" xfId="5623" xr:uid="{00000000-0005-0000-0000-00008E540000}"/>
    <cellStyle name="40 % - Markeringsfarve1 5 4 2 2 2" xfId="10130" xr:uid="{00000000-0005-0000-0000-00008F540000}"/>
    <cellStyle name="40 % - Markeringsfarve1 5 4 2 2 2 2" xfId="17985" xr:uid="{00000000-0005-0000-0000-000090540000}"/>
    <cellStyle name="40 % - Markeringsfarve1 5 4 2 2 2 2 2" xfId="34261" xr:uid="{00000000-0005-0000-0000-000091540000}"/>
    <cellStyle name="40 % - Markeringsfarve1 5 4 2 2 2 2 3" xfId="49220" xr:uid="{00000000-0005-0000-0000-000092540000}"/>
    <cellStyle name="40 % - Markeringsfarve1 5 4 2 2 2 3" xfId="27259" xr:uid="{00000000-0005-0000-0000-000093540000}"/>
    <cellStyle name="40 % - Markeringsfarve1 5 4 2 2 2 4" xfId="42223" xr:uid="{00000000-0005-0000-0000-000094540000}"/>
    <cellStyle name="40 % - Markeringsfarve1 5 4 2 2 3" xfId="14108" xr:uid="{00000000-0005-0000-0000-000095540000}"/>
    <cellStyle name="40 % - Markeringsfarve1 5 4 2 2 3 2" xfId="30387" xr:uid="{00000000-0005-0000-0000-000096540000}"/>
    <cellStyle name="40 % - Markeringsfarve1 5 4 2 2 3 3" xfId="45347" xr:uid="{00000000-0005-0000-0000-000097540000}"/>
    <cellStyle name="40 % - Markeringsfarve1 5 4 2 2 4" xfId="23385" xr:uid="{00000000-0005-0000-0000-000098540000}"/>
    <cellStyle name="40 % - Markeringsfarve1 5 4 2 2 5" xfId="38350" xr:uid="{00000000-0005-0000-0000-000099540000}"/>
    <cellStyle name="40 % - Markeringsfarve1 5 4 2 3" xfId="8666" xr:uid="{00000000-0005-0000-0000-00009A540000}"/>
    <cellStyle name="40 % - Markeringsfarve1 5 4 2 3 2" xfId="16533" xr:uid="{00000000-0005-0000-0000-00009B540000}"/>
    <cellStyle name="40 % - Markeringsfarve1 5 4 2 3 2 2" xfId="32809" xr:uid="{00000000-0005-0000-0000-00009C540000}"/>
    <cellStyle name="40 % - Markeringsfarve1 5 4 2 3 2 3" xfId="47768" xr:uid="{00000000-0005-0000-0000-00009D540000}"/>
    <cellStyle name="40 % - Markeringsfarve1 5 4 2 3 3" xfId="25807" xr:uid="{00000000-0005-0000-0000-00009E540000}"/>
    <cellStyle name="40 % - Markeringsfarve1 5 4 2 3 4" xfId="40771" xr:uid="{00000000-0005-0000-0000-00009F540000}"/>
    <cellStyle name="40 % - Markeringsfarve1 5 4 2 4" xfId="14107" xr:uid="{00000000-0005-0000-0000-0000A0540000}"/>
    <cellStyle name="40 % - Markeringsfarve1 5 4 2 4 2" xfId="30386" xr:uid="{00000000-0005-0000-0000-0000A1540000}"/>
    <cellStyle name="40 % - Markeringsfarve1 5 4 2 4 3" xfId="45346" xr:uid="{00000000-0005-0000-0000-0000A2540000}"/>
    <cellStyle name="40 % - Markeringsfarve1 5 4 2 5" xfId="23384" xr:uid="{00000000-0005-0000-0000-0000A3540000}"/>
    <cellStyle name="40 % - Markeringsfarve1 5 4 2 6" xfId="38349" xr:uid="{00000000-0005-0000-0000-0000A4540000}"/>
    <cellStyle name="40 % - Markeringsfarve1 5 4 3" xfId="5624" xr:uid="{00000000-0005-0000-0000-0000A5540000}"/>
    <cellStyle name="40 % - Markeringsfarve1 5 4 3 2" xfId="9407" xr:uid="{00000000-0005-0000-0000-0000A6540000}"/>
    <cellStyle name="40 % - Markeringsfarve1 5 4 3 2 2" xfId="17270" xr:uid="{00000000-0005-0000-0000-0000A7540000}"/>
    <cellStyle name="40 % - Markeringsfarve1 5 4 3 2 2 2" xfId="33546" xr:uid="{00000000-0005-0000-0000-0000A8540000}"/>
    <cellStyle name="40 % - Markeringsfarve1 5 4 3 2 2 3" xfId="48505" xr:uid="{00000000-0005-0000-0000-0000A9540000}"/>
    <cellStyle name="40 % - Markeringsfarve1 5 4 3 2 3" xfId="26544" xr:uid="{00000000-0005-0000-0000-0000AA540000}"/>
    <cellStyle name="40 % - Markeringsfarve1 5 4 3 2 4" xfId="41508" xr:uid="{00000000-0005-0000-0000-0000AB540000}"/>
    <cellStyle name="40 % - Markeringsfarve1 5 4 3 3" xfId="14109" xr:uid="{00000000-0005-0000-0000-0000AC540000}"/>
    <cellStyle name="40 % - Markeringsfarve1 5 4 3 3 2" xfId="30388" xr:uid="{00000000-0005-0000-0000-0000AD540000}"/>
    <cellStyle name="40 % - Markeringsfarve1 5 4 3 3 3" xfId="45348" xr:uid="{00000000-0005-0000-0000-0000AE540000}"/>
    <cellStyle name="40 % - Markeringsfarve1 5 4 3 4" xfId="23386" xr:uid="{00000000-0005-0000-0000-0000AF540000}"/>
    <cellStyle name="40 % - Markeringsfarve1 5 4 3 5" xfId="38351" xr:uid="{00000000-0005-0000-0000-0000B0540000}"/>
    <cellStyle name="40 % - Markeringsfarve1 5 4 4" xfId="5625" xr:uid="{00000000-0005-0000-0000-0000B1540000}"/>
    <cellStyle name="40 % - Markeringsfarve1 5 4 4 2" xfId="10699" xr:uid="{00000000-0005-0000-0000-0000B2540000}"/>
    <cellStyle name="40 % - Markeringsfarve1 5 4 4 2 2" xfId="18543" xr:uid="{00000000-0005-0000-0000-0000B3540000}"/>
    <cellStyle name="40 % - Markeringsfarve1 5 4 4 2 2 2" xfId="34819" xr:uid="{00000000-0005-0000-0000-0000B4540000}"/>
    <cellStyle name="40 % - Markeringsfarve1 5 4 4 2 2 3" xfId="49778" xr:uid="{00000000-0005-0000-0000-0000B5540000}"/>
    <cellStyle name="40 % - Markeringsfarve1 5 4 4 2 3" xfId="27817" xr:uid="{00000000-0005-0000-0000-0000B6540000}"/>
    <cellStyle name="40 % - Markeringsfarve1 5 4 4 2 4" xfId="42781" xr:uid="{00000000-0005-0000-0000-0000B7540000}"/>
    <cellStyle name="40 % - Markeringsfarve1 5 4 4 3" xfId="14110" xr:uid="{00000000-0005-0000-0000-0000B8540000}"/>
    <cellStyle name="40 % - Markeringsfarve1 5 4 4 3 2" xfId="30389" xr:uid="{00000000-0005-0000-0000-0000B9540000}"/>
    <cellStyle name="40 % - Markeringsfarve1 5 4 4 3 3" xfId="45349" xr:uid="{00000000-0005-0000-0000-0000BA540000}"/>
    <cellStyle name="40 % - Markeringsfarve1 5 4 4 4" xfId="23387" xr:uid="{00000000-0005-0000-0000-0000BB540000}"/>
    <cellStyle name="40 % - Markeringsfarve1 5 4 4 5" xfId="38352" xr:uid="{00000000-0005-0000-0000-0000BC540000}"/>
    <cellStyle name="40 % - Markeringsfarve1 5 4 5" xfId="8007" xr:uid="{00000000-0005-0000-0000-0000BD540000}"/>
    <cellStyle name="40 % - Markeringsfarve1 5 4 5 2" xfId="15872" xr:uid="{00000000-0005-0000-0000-0000BE540000}"/>
    <cellStyle name="40 % - Markeringsfarve1 5 4 5 2 2" xfId="32148" xr:uid="{00000000-0005-0000-0000-0000BF540000}"/>
    <cellStyle name="40 % - Markeringsfarve1 5 4 5 2 3" xfId="47107" xr:uid="{00000000-0005-0000-0000-0000C0540000}"/>
    <cellStyle name="40 % - Markeringsfarve1 5 4 5 3" xfId="25146" xr:uid="{00000000-0005-0000-0000-0000C1540000}"/>
    <cellStyle name="40 % - Markeringsfarve1 5 4 5 4" xfId="40110" xr:uid="{00000000-0005-0000-0000-0000C2540000}"/>
    <cellStyle name="40 % - Markeringsfarve1 5 4 6" xfId="14106" xr:uid="{00000000-0005-0000-0000-0000C3540000}"/>
    <cellStyle name="40 % - Markeringsfarve1 5 4 6 2" xfId="30385" xr:uid="{00000000-0005-0000-0000-0000C4540000}"/>
    <cellStyle name="40 % - Markeringsfarve1 5 4 6 3" xfId="45345" xr:uid="{00000000-0005-0000-0000-0000C5540000}"/>
    <cellStyle name="40 % - Markeringsfarve1 5 4 7" xfId="23383" xr:uid="{00000000-0005-0000-0000-0000C6540000}"/>
    <cellStyle name="40 % - Markeringsfarve1 5 4 8" xfId="38348" xr:uid="{00000000-0005-0000-0000-0000C7540000}"/>
    <cellStyle name="40 % - Markeringsfarve1 5 5" xfId="5626" xr:uid="{00000000-0005-0000-0000-0000C8540000}"/>
    <cellStyle name="40 % - Markeringsfarve1 5 5 2" xfId="5627" xr:uid="{00000000-0005-0000-0000-0000C9540000}"/>
    <cellStyle name="40 % - Markeringsfarve1 5 5 2 2" xfId="5628" xr:uid="{00000000-0005-0000-0000-0000CA540000}"/>
    <cellStyle name="40 % - Markeringsfarve1 5 5 2 2 2" xfId="10247" xr:uid="{00000000-0005-0000-0000-0000CB540000}"/>
    <cellStyle name="40 % - Markeringsfarve1 5 5 2 2 2 2" xfId="18102" xr:uid="{00000000-0005-0000-0000-0000CC540000}"/>
    <cellStyle name="40 % - Markeringsfarve1 5 5 2 2 2 2 2" xfId="34378" xr:uid="{00000000-0005-0000-0000-0000CD540000}"/>
    <cellStyle name="40 % - Markeringsfarve1 5 5 2 2 2 2 3" xfId="49337" xr:uid="{00000000-0005-0000-0000-0000CE540000}"/>
    <cellStyle name="40 % - Markeringsfarve1 5 5 2 2 2 3" xfId="27376" xr:uid="{00000000-0005-0000-0000-0000CF540000}"/>
    <cellStyle name="40 % - Markeringsfarve1 5 5 2 2 2 4" xfId="42340" xr:uid="{00000000-0005-0000-0000-0000D0540000}"/>
    <cellStyle name="40 % - Markeringsfarve1 5 5 2 2 3" xfId="14113" xr:uid="{00000000-0005-0000-0000-0000D1540000}"/>
    <cellStyle name="40 % - Markeringsfarve1 5 5 2 2 3 2" xfId="30392" xr:uid="{00000000-0005-0000-0000-0000D2540000}"/>
    <cellStyle name="40 % - Markeringsfarve1 5 5 2 2 3 3" xfId="45352" xr:uid="{00000000-0005-0000-0000-0000D3540000}"/>
    <cellStyle name="40 % - Markeringsfarve1 5 5 2 2 4" xfId="23390" xr:uid="{00000000-0005-0000-0000-0000D4540000}"/>
    <cellStyle name="40 % - Markeringsfarve1 5 5 2 2 5" xfId="38355" xr:uid="{00000000-0005-0000-0000-0000D5540000}"/>
    <cellStyle name="40 % - Markeringsfarve1 5 5 2 3" xfId="8765" xr:uid="{00000000-0005-0000-0000-0000D6540000}"/>
    <cellStyle name="40 % - Markeringsfarve1 5 5 2 3 2" xfId="16632" xr:uid="{00000000-0005-0000-0000-0000D7540000}"/>
    <cellStyle name="40 % - Markeringsfarve1 5 5 2 3 2 2" xfId="32908" xr:uid="{00000000-0005-0000-0000-0000D8540000}"/>
    <cellStyle name="40 % - Markeringsfarve1 5 5 2 3 2 3" xfId="47867" xr:uid="{00000000-0005-0000-0000-0000D9540000}"/>
    <cellStyle name="40 % - Markeringsfarve1 5 5 2 3 3" xfId="25906" xr:uid="{00000000-0005-0000-0000-0000DA540000}"/>
    <cellStyle name="40 % - Markeringsfarve1 5 5 2 3 4" xfId="40870" xr:uid="{00000000-0005-0000-0000-0000DB540000}"/>
    <cellStyle name="40 % - Markeringsfarve1 5 5 2 4" xfId="14112" xr:uid="{00000000-0005-0000-0000-0000DC540000}"/>
    <cellStyle name="40 % - Markeringsfarve1 5 5 2 4 2" xfId="30391" xr:uid="{00000000-0005-0000-0000-0000DD540000}"/>
    <cellStyle name="40 % - Markeringsfarve1 5 5 2 4 3" xfId="45351" xr:uid="{00000000-0005-0000-0000-0000DE540000}"/>
    <cellStyle name="40 % - Markeringsfarve1 5 5 2 5" xfId="23389" xr:uid="{00000000-0005-0000-0000-0000DF540000}"/>
    <cellStyle name="40 % - Markeringsfarve1 5 5 2 6" xfId="38354" xr:uid="{00000000-0005-0000-0000-0000E0540000}"/>
    <cellStyle name="40 % - Markeringsfarve1 5 5 3" xfId="5629" xr:uid="{00000000-0005-0000-0000-0000E1540000}"/>
    <cellStyle name="40 % - Markeringsfarve1 5 5 3 2" xfId="9524" xr:uid="{00000000-0005-0000-0000-0000E2540000}"/>
    <cellStyle name="40 % - Markeringsfarve1 5 5 3 2 2" xfId="17387" xr:uid="{00000000-0005-0000-0000-0000E3540000}"/>
    <cellStyle name="40 % - Markeringsfarve1 5 5 3 2 2 2" xfId="33663" xr:uid="{00000000-0005-0000-0000-0000E4540000}"/>
    <cellStyle name="40 % - Markeringsfarve1 5 5 3 2 2 3" xfId="48622" xr:uid="{00000000-0005-0000-0000-0000E5540000}"/>
    <cellStyle name="40 % - Markeringsfarve1 5 5 3 2 3" xfId="26661" xr:uid="{00000000-0005-0000-0000-0000E6540000}"/>
    <cellStyle name="40 % - Markeringsfarve1 5 5 3 2 4" xfId="41625" xr:uid="{00000000-0005-0000-0000-0000E7540000}"/>
    <cellStyle name="40 % - Markeringsfarve1 5 5 3 3" xfId="14114" xr:uid="{00000000-0005-0000-0000-0000E8540000}"/>
    <cellStyle name="40 % - Markeringsfarve1 5 5 3 3 2" xfId="30393" xr:uid="{00000000-0005-0000-0000-0000E9540000}"/>
    <cellStyle name="40 % - Markeringsfarve1 5 5 3 3 3" xfId="45353" xr:uid="{00000000-0005-0000-0000-0000EA540000}"/>
    <cellStyle name="40 % - Markeringsfarve1 5 5 3 4" xfId="23391" xr:uid="{00000000-0005-0000-0000-0000EB540000}"/>
    <cellStyle name="40 % - Markeringsfarve1 5 5 3 5" xfId="38356" xr:uid="{00000000-0005-0000-0000-0000EC540000}"/>
    <cellStyle name="40 % - Markeringsfarve1 5 5 4" xfId="5630" xr:uid="{00000000-0005-0000-0000-0000ED540000}"/>
    <cellStyle name="40 % - Markeringsfarve1 5 5 4 2" xfId="8910" xr:uid="{00000000-0005-0000-0000-0000EE540000}"/>
    <cellStyle name="40 % - Markeringsfarve1 5 5 4 2 2" xfId="16776" xr:uid="{00000000-0005-0000-0000-0000EF540000}"/>
    <cellStyle name="40 % - Markeringsfarve1 5 5 4 2 2 2" xfId="33052" xr:uid="{00000000-0005-0000-0000-0000F0540000}"/>
    <cellStyle name="40 % - Markeringsfarve1 5 5 4 2 2 3" xfId="48011" xr:uid="{00000000-0005-0000-0000-0000F1540000}"/>
    <cellStyle name="40 % - Markeringsfarve1 5 5 4 2 3" xfId="26050" xr:uid="{00000000-0005-0000-0000-0000F2540000}"/>
    <cellStyle name="40 % - Markeringsfarve1 5 5 4 2 4" xfId="41014" xr:uid="{00000000-0005-0000-0000-0000F3540000}"/>
    <cellStyle name="40 % - Markeringsfarve1 5 5 4 3" xfId="14115" xr:uid="{00000000-0005-0000-0000-0000F4540000}"/>
    <cellStyle name="40 % - Markeringsfarve1 5 5 4 3 2" xfId="30394" xr:uid="{00000000-0005-0000-0000-0000F5540000}"/>
    <cellStyle name="40 % - Markeringsfarve1 5 5 4 3 3" xfId="45354" xr:uid="{00000000-0005-0000-0000-0000F6540000}"/>
    <cellStyle name="40 % - Markeringsfarve1 5 5 4 4" xfId="23392" xr:uid="{00000000-0005-0000-0000-0000F7540000}"/>
    <cellStyle name="40 % - Markeringsfarve1 5 5 4 5" xfId="38357" xr:uid="{00000000-0005-0000-0000-0000F8540000}"/>
    <cellStyle name="40 % - Markeringsfarve1 5 5 5" xfId="8008" xr:uid="{00000000-0005-0000-0000-0000F9540000}"/>
    <cellStyle name="40 % - Markeringsfarve1 5 5 5 2" xfId="15873" xr:uid="{00000000-0005-0000-0000-0000FA540000}"/>
    <cellStyle name="40 % - Markeringsfarve1 5 5 5 2 2" xfId="32149" xr:uid="{00000000-0005-0000-0000-0000FB540000}"/>
    <cellStyle name="40 % - Markeringsfarve1 5 5 5 2 3" xfId="47108" xr:uid="{00000000-0005-0000-0000-0000FC540000}"/>
    <cellStyle name="40 % - Markeringsfarve1 5 5 5 3" xfId="25147" xr:uid="{00000000-0005-0000-0000-0000FD540000}"/>
    <cellStyle name="40 % - Markeringsfarve1 5 5 5 4" xfId="40111" xr:uid="{00000000-0005-0000-0000-0000FE540000}"/>
    <cellStyle name="40 % - Markeringsfarve1 5 5 6" xfId="14111" xr:uid="{00000000-0005-0000-0000-0000FF540000}"/>
    <cellStyle name="40 % - Markeringsfarve1 5 5 6 2" xfId="30390" xr:uid="{00000000-0005-0000-0000-000000550000}"/>
    <cellStyle name="40 % - Markeringsfarve1 5 5 6 3" xfId="45350" xr:uid="{00000000-0005-0000-0000-000001550000}"/>
    <cellStyle name="40 % - Markeringsfarve1 5 5 7" xfId="23388" xr:uid="{00000000-0005-0000-0000-000002550000}"/>
    <cellStyle name="40 % - Markeringsfarve1 5 5 8" xfId="38353" xr:uid="{00000000-0005-0000-0000-000003550000}"/>
    <cellStyle name="40 % - Markeringsfarve1 5 6" xfId="5631" xr:uid="{00000000-0005-0000-0000-000004550000}"/>
    <cellStyle name="40 % - Markeringsfarve1 5 6 2" xfId="5632" xr:uid="{00000000-0005-0000-0000-000005550000}"/>
    <cellStyle name="40 % - Markeringsfarve1 5 6 2 2" xfId="5633" xr:uid="{00000000-0005-0000-0000-000006550000}"/>
    <cellStyle name="40 % - Markeringsfarve1 5 6 2 2 2" xfId="10347" xr:uid="{00000000-0005-0000-0000-000007550000}"/>
    <cellStyle name="40 % - Markeringsfarve1 5 6 2 2 2 2" xfId="18202" xr:uid="{00000000-0005-0000-0000-000008550000}"/>
    <cellStyle name="40 % - Markeringsfarve1 5 6 2 2 2 2 2" xfId="34478" xr:uid="{00000000-0005-0000-0000-000009550000}"/>
    <cellStyle name="40 % - Markeringsfarve1 5 6 2 2 2 2 3" xfId="49437" xr:uid="{00000000-0005-0000-0000-00000A550000}"/>
    <cellStyle name="40 % - Markeringsfarve1 5 6 2 2 2 3" xfId="27476" xr:uid="{00000000-0005-0000-0000-00000B550000}"/>
    <cellStyle name="40 % - Markeringsfarve1 5 6 2 2 2 4" xfId="42440" xr:uid="{00000000-0005-0000-0000-00000C550000}"/>
    <cellStyle name="40 % - Markeringsfarve1 5 6 2 2 3" xfId="14118" xr:uid="{00000000-0005-0000-0000-00000D550000}"/>
    <cellStyle name="40 % - Markeringsfarve1 5 6 2 2 3 2" xfId="30397" xr:uid="{00000000-0005-0000-0000-00000E550000}"/>
    <cellStyle name="40 % - Markeringsfarve1 5 6 2 2 3 3" xfId="45357" xr:uid="{00000000-0005-0000-0000-00000F550000}"/>
    <cellStyle name="40 % - Markeringsfarve1 5 6 2 2 4" xfId="23395" xr:uid="{00000000-0005-0000-0000-000010550000}"/>
    <cellStyle name="40 % - Markeringsfarve1 5 6 2 2 5" xfId="38360" xr:uid="{00000000-0005-0000-0000-000011550000}"/>
    <cellStyle name="40 % - Markeringsfarve1 5 6 2 3" xfId="8850" xr:uid="{00000000-0005-0000-0000-000012550000}"/>
    <cellStyle name="40 % - Markeringsfarve1 5 6 2 3 2" xfId="16717" xr:uid="{00000000-0005-0000-0000-000013550000}"/>
    <cellStyle name="40 % - Markeringsfarve1 5 6 2 3 2 2" xfId="32993" xr:uid="{00000000-0005-0000-0000-000014550000}"/>
    <cellStyle name="40 % - Markeringsfarve1 5 6 2 3 2 3" xfId="47952" xr:uid="{00000000-0005-0000-0000-000015550000}"/>
    <cellStyle name="40 % - Markeringsfarve1 5 6 2 3 3" xfId="25991" xr:uid="{00000000-0005-0000-0000-000016550000}"/>
    <cellStyle name="40 % - Markeringsfarve1 5 6 2 3 4" xfId="40955" xr:uid="{00000000-0005-0000-0000-000017550000}"/>
    <cellStyle name="40 % - Markeringsfarve1 5 6 2 4" xfId="14117" xr:uid="{00000000-0005-0000-0000-000018550000}"/>
    <cellStyle name="40 % - Markeringsfarve1 5 6 2 4 2" xfId="30396" xr:uid="{00000000-0005-0000-0000-000019550000}"/>
    <cellStyle name="40 % - Markeringsfarve1 5 6 2 4 3" xfId="45356" xr:uid="{00000000-0005-0000-0000-00001A550000}"/>
    <cellStyle name="40 % - Markeringsfarve1 5 6 2 5" xfId="23394" xr:uid="{00000000-0005-0000-0000-00001B550000}"/>
    <cellStyle name="40 % - Markeringsfarve1 5 6 2 6" xfId="38359" xr:uid="{00000000-0005-0000-0000-00001C550000}"/>
    <cellStyle name="40 % - Markeringsfarve1 5 6 3" xfId="5634" xr:uid="{00000000-0005-0000-0000-00001D550000}"/>
    <cellStyle name="40 % - Markeringsfarve1 5 6 3 2" xfId="9625" xr:uid="{00000000-0005-0000-0000-00001E550000}"/>
    <cellStyle name="40 % - Markeringsfarve1 5 6 3 2 2" xfId="17488" xr:uid="{00000000-0005-0000-0000-00001F550000}"/>
    <cellStyle name="40 % - Markeringsfarve1 5 6 3 2 2 2" xfId="33764" xr:uid="{00000000-0005-0000-0000-000020550000}"/>
    <cellStyle name="40 % - Markeringsfarve1 5 6 3 2 2 3" xfId="48723" xr:uid="{00000000-0005-0000-0000-000021550000}"/>
    <cellStyle name="40 % - Markeringsfarve1 5 6 3 2 3" xfId="26762" xr:uid="{00000000-0005-0000-0000-000022550000}"/>
    <cellStyle name="40 % - Markeringsfarve1 5 6 3 2 4" xfId="41726" xr:uid="{00000000-0005-0000-0000-000023550000}"/>
    <cellStyle name="40 % - Markeringsfarve1 5 6 3 3" xfId="14119" xr:uid="{00000000-0005-0000-0000-000024550000}"/>
    <cellStyle name="40 % - Markeringsfarve1 5 6 3 3 2" xfId="30398" xr:uid="{00000000-0005-0000-0000-000025550000}"/>
    <cellStyle name="40 % - Markeringsfarve1 5 6 3 3 3" xfId="45358" xr:uid="{00000000-0005-0000-0000-000026550000}"/>
    <cellStyle name="40 % - Markeringsfarve1 5 6 3 4" xfId="23396" xr:uid="{00000000-0005-0000-0000-000027550000}"/>
    <cellStyle name="40 % - Markeringsfarve1 5 6 3 5" xfId="38361" xr:uid="{00000000-0005-0000-0000-000028550000}"/>
    <cellStyle name="40 % - Markeringsfarve1 5 6 4" xfId="5635" xr:uid="{00000000-0005-0000-0000-000029550000}"/>
    <cellStyle name="40 % - Markeringsfarve1 5 6 4 2" xfId="10909" xr:uid="{00000000-0005-0000-0000-00002A550000}"/>
    <cellStyle name="40 % - Markeringsfarve1 5 6 4 2 2" xfId="18744" xr:uid="{00000000-0005-0000-0000-00002B550000}"/>
    <cellStyle name="40 % - Markeringsfarve1 5 6 4 2 2 2" xfId="35020" xr:uid="{00000000-0005-0000-0000-00002C550000}"/>
    <cellStyle name="40 % - Markeringsfarve1 5 6 4 2 2 3" xfId="49979" xr:uid="{00000000-0005-0000-0000-00002D550000}"/>
    <cellStyle name="40 % - Markeringsfarve1 5 6 4 2 3" xfId="28018" xr:uid="{00000000-0005-0000-0000-00002E550000}"/>
    <cellStyle name="40 % - Markeringsfarve1 5 6 4 2 4" xfId="42982" xr:uid="{00000000-0005-0000-0000-00002F550000}"/>
    <cellStyle name="40 % - Markeringsfarve1 5 6 4 3" xfId="14120" xr:uid="{00000000-0005-0000-0000-000030550000}"/>
    <cellStyle name="40 % - Markeringsfarve1 5 6 4 3 2" xfId="30399" xr:uid="{00000000-0005-0000-0000-000031550000}"/>
    <cellStyle name="40 % - Markeringsfarve1 5 6 4 3 3" xfId="45359" xr:uid="{00000000-0005-0000-0000-000032550000}"/>
    <cellStyle name="40 % - Markeringsfarve1 5 6 4 4" xfId="23397" xr:uid="{00000000-0005-0000-0000-000033550000}"/>
    <cellStyle name="40 % - Markeringsfarve1 5 6 4 5" xfId="38362" xr:uid="{00000000-0005-0000-0000-000034550000}"/>
    <cellStyle name="40 % - Markeringsfarve1 5 6 5" xfId="8009" xr:uid="{00000000-0005-0000-0000-000035550000}"/>
    <cellStyle name="40 % - Markeringsfarve1 5 6 5 2" xfId="15874" xr:uid="{00000000-0005-0000-0000-000036550000}"/>
    <cellStyle name="40 % - Markeringsfarve1 5 6 5 2 2" xfId="32150" xr:uid="{00000000-0005-0000-0000-000037550000}"/>
    <cellStyle name="40 % - Markeringsfarve1 5 6 5 2 3" xfId="47109" xr:uid="{00000000-0005-0000-0000-000038550000}"/>
    <cellStyle name="40 % - Markeringsfarve1 5 6 5 3" xfId="25148" xr:uid="{00000000-0005-0000-0000-000039550000}"/>
    <cellStyle name="40 % - Markeringsfarve1 5 6 5 4" xfId="40112" xr:uid="{00000000-0005-0000-0000-00003A550000}"/>
    <cellStyle name="40 % - Markeringsfarve1 5 6 6" xfId="14116" xr:uid="{00000000-0005-0000-0000-00003B550000}"/>
    <cellStyle name="40 % - Markeringsfarve1 5 6 6 2" xfId="30395" xr:uid="{00000000-0005-0000-0000-00003C550000}"/>
    <cellStyle name="40 % - Markeringsfarve1 5 6 6 3" xfId="45355" xr:uid="{00000000-0005-0000-0000-00003D550000}"/>
    <cellStyle name="40 % - Markeringsfarve1 5 6 7" xfId="23393" xr:uid="{00000000-0005-0000-0000-00003E550000}"/>
    <cellStyle name="40 % - Markeringsfarve1 5 6 8" xfId="38358" xr:uid="{00000000-0005-0000-0000-00003F550000}"/>
    <cellStyle name="40 % - Markeringsfarve1 5 7" xfId="5636" xr:uid="{00000000-0005-0000-0000-000040550000}"/>
    <cellStyle name="40 % - Markeringsfarve1 5 7 2" xfId="5637" xr:uid="{00000000-0005-0000-0000-000041550000}"/>
    <cellStyle name="40 % - Markeringsfarve1 5 7 2 2" xfId="9774" xr:uid="{00000000-0005-0000-0000-000042550000}"/>
    <cellStyle name="40 % - Markeringsfarve1 5 7 2 2 2" xfId="17628" xr:uid="{00000000-0005-0000-0000-000043550000}"/>
    <cellStyle name="40 % - Markeringsfarve1 5 7 2 2 2 2" xfId="33904" xr:uid="{00000000-0005-0000-0000-000044550000}"/>
    <cellStyle name="40 % - Markeringsfarve1 5 7 2 2 2 3" xfId="48863" xr:uid="{00000000-0005-0000-0000-000045550000}"/>
    <cellStyle name="40 % - Markeringsfarve1 5 7 2 2 3" xfId="26902" xr:uid="{00000000-0005-0000-0000-000046550000}"/>
    <cellStyle name="40 % - Markeringsfarve1 5 7 2 2 4" xfId="41866" xr:uid="{00000000-0005-0000-0000-000047550000}"/>
    <cellStyle name="40 % - Markeringsfarve1 5 7 2 3" xfId="14122" xr:uid="{00000000-0005-0000-0000-000048550000}"/>
    <cellStyle name="40 % - Markeringsfarve1 5 7 2 3 2" xfId="30401" xr:uid="{00000000-0005-0000-0000-000049550000}"/>
    <cellStyle name="40 % - Markeringsfarve1 5 7 2 3 3" xfId="45361" xr:uid="{00000000-0005-0000-0000-00004A550000}"/>
    <cellStyle name="40 % - Markeringsfarve1 5 7 2 4" xfId="23399" xr:uid="{00000000-0005-0000-0000-00004B550000}"/>
    <cellStyle name="40 % - Markeringsfarve1 5 7 2 5" xfId="38364" xr:uid="{00000000-0005-0000-0000-00004C550000}"/>
    <cellStyle name="40 % - Markeringsfarve1 5 7 3" xfId="8365" xr:uid="{00000000-0005-0000-0000-00004D550000}"/>
    <cellStyle name="40 % - Markeringsfarve1 5 7 3 2" xfId="16235" xr:uid="{00000000-0005-0000-0000-00004E550000}"/>
    <cellStyle name="40 % - Markeringsfarve1 5 7 3 2 2" xfId="32511" xr:uid="{00000000-0005-0000-0000-00004F550000}"/>
    <cellStyle name="40 % - Markeringsfarve1 5 7 3 2 3" xfId="47470" xr:uid="{00000000-0005-0000-0000-000050550000}"/>
    <cellStyle name="40 % - Markeringsfarve1 5 7 3 3" xfId="25509" xr:uid="{00000000-0005-0000-0000-000051550000}"/>
    <cellStyle name="40 % - Markeringsfarve1 5 7 3 4" xfId="40473" xr:uid="{00000000-0005-0000-0000-000052550000}"/>
    <cellStyle name="40 % - Markeringsfarve1 5 7 4" xfId="14121" xr:uid="{00000000-0005-0000-0000-000053550000}"/>
    <cellStyle name="40 % - Markeringsfarve1 5 7 4 2" xfId="30400" xr:uid="{00000000-0005-0000-0000-000054550000}"/>
    <cellStyle name="40 % - Markeringsfarve1 5 7 4 3" xfId="45360" xr:uid="{00000000-0005-0000-0000-000055550000}"/>
    <cellStyle name="40 % - Markeringsfarve1 5 7 5" xfId="23398" xr:uid="{00000000-0005-0000-0000-000056550000}"/>
    <cellStyle name="40 % - Markeringsfarve1 5 7 6" xfId="38363" xr:uid="{00000000-0005-0000-0000-000057550000}"/>
    <cellStyle name="40 % - Markeringsfarve1 5 8" xfId="5638" xr:uid="{00000000-0005-0000-0000-000058550000}"/>
    <cellStyle name="40 % - Markeringsfarve1 5 8 2" xfId="9002" xr:uid="{00000000-0005-0000-0000-000059550000}"/>
    <cellStyle name="40 % - Markeringsfarve1 5 8 2 2" xfId="16866" xr:uid="{00000000-0005-0000-0000-00005A550000}"/>
    <cellStyle name="40 % - Markeringsfarve1 5 8 2 2 2" xfId="33142" xr:uid="{00000000-0005-0000-0000-00005B550000}"/>
    <cellStyle name="40 % - Markeringsfarve1 5 8 2 2 3" xfId="48101" xr:uid="{00000000-0005-0000-0000-00005C550000}"/>
    <cellStyle name="40 % - Markeringsfarve1 5 8 2 3" xfId="26140" xr:uid="{00000000-0005-0000-0000-00005D550000}"/>
    <cellStyle name="40 % - Markeringsfarve1 5 8 2 4" xfId="41104" xr:uid="{00000000-0005-0000-0000-00005E550000}"/>
    <cellStyle name="40 % - Markeringsfarve1 5 8 3" xfId="14123" xr:uid="{00000000-0005-0000-0000-00005F550000}"/>
    <cellStyle name="40 % - Markeringsfarve1 5 8 3 2" xfId="30402" xr:uid="{00000000-0005-0000-0000-000060550000}"/>
    <cellStyle name="40 % - Markeringsfarve1 5 8 3 3" xfId="45362" xr:uid="{00000000-0005-0000-0000-000061550000}"/>
    <cellStyle name="40 % - Markeringsfarve1 5 8 4" xfId="23400" xr:uid="{00000000-0005-0000-0000-000062550000}"/>
    <cellStyle name="40 % - Markeringsfarve1 5 8 5" xfId="38365" xr:uid="{00000000-0005-0000-0000-000063550000}"/>
    <cellStyle name="40 % - Markeringsfarve1 5 9" xfId="5639" xr:uid="{00000000-0005-0000-0000-000064550000}"/>
    <cellStyle name="40 % - Markeringsfarve1 5 9 2" xfId="8899" xr:uid="{00000000-0005-0000-0000-000065550000}"/>
    <cellStyle name="40 % - Markeringsfarve1 5 9 2 2" xfId="16765" xr:uid="{00000000-0005-0000-0000-000066550000}"/>
    <cellStyle name="40 % - Markeringsfarve1 5 9 2 2 2" xfId="33041" xr:uid="{00000000-0005-0000-0000-000067550000}"/>
    <cellStyle name="40 % - Markeringsfarve1 5 9 2 2 3" xfId="48000" xr:uid="{00000000-0005-0000-0000-000068550000}"/>
    <cellStyle name="40 % - Markeringsfarve1 5 9 2 3" xfId="26039" xr:uid="{00000000-0005-0000-0000-000069550000}"/>
    <cellStyle name="40 % - Markeringsfarve1 5 9 2 4" xfId="41003" xr:uid="{00000000-0005-0000-0000-00006A550000}"/>
    <cellStyle name="40 % - Markeringsfarve1 5 9 3" xfId="14124" xr:uid="{00000000-0005-0000-0000-00006B550000}"/>
    <cellStyle name="40 % - Markeringsfarve1 5 9 3 2" xfId="30403" xr:uid="{00000000-0005-0000-0000-00006C550000}"/>
    <cellStyle name="40 % - Markeringsfarve1 5 9 3 3" xfId="45363" xr:uid="{00000000-0005-0000-0000-00006D550000}"/>
    <cellStyle name="40 % - Markeringsfarve1 5 9 4" xfId="23401" xr:uid="{00000000-0005-0000-0000-00006E550000}"/>
    <cellStyle name="40 % - Markeringsfarve1 5 9 5" xfId="38366" xr:uid="{00000000-0005-0000-0000-00006F550000}"/>
    <cellStyle name="40 % - Markeringsfarve1 6" xfId="5640" xr:uid="{00000000-0005-0000-0000-000070550000}"/>
    <cellStyle name="40 % - Markeringsfarve1 6 2" xfId="5641" xr:uid="{00000000-0005-0000-0000-000071550000}"/>
    <cellStyle name="40 % - Markeringsfarve1 6 2 2" xfId="5642" xr:uid="{00000000-0005-0000-0000-000072550000}"/>
    <cellStyle name="40 % - Markeringsfarve1 6 2 2 2" xfId="9814" xr:uid="{00000000-0005-0000-0000-000073550000}"/>
    <cellStyle name="40 % - Markeringsfarve1 6 2 2 2 2" xfId="17669" xr:uid="{00000000-0005-0000-0000-000074550000}"/>
    <cellStyle name="40 % - Markeringsfarve1 6 2 2 2 2 2" xfId="33945" xr:uid="{00000000-0005-0000-0000-000075550000}"/>
    <cellStyle name="40 % - Markeringsfarve1 6 2 2 2 2 3" xfId="48904" xr:uid="{00000000-0005-0000-0000-000076550000}"/>
    <cellStyle name="40 % - Markeringsfarve1 6 2 2 2 3" xfId="26943" xr:uid="{00000000-0005-0000-0000-000077550000}"/>
    <cellStyle name="40 % - Markeringsfarve1 6 2 2 2 4" xfId="41907" xr:uid="{00000000-0005-0000-0000-000078550000}"/>
    <cellStyle name="40 % - Markeringsfarve1 6 2 2 3" xfId="14127" xr:uid="{00000000-0005-0000-0000-000079550000}"/>
    <cellStyle name="40 % - Markeringsfarve1 6 2 2 3 2" xfId="30406" xr:uid="{00000000-0005-0000-0000-00007A550000}"/>
    <cellStyle name="40 % - Markeringsfarve1 6 2 2 3 3" xfId="45366" xr:uid="{00000000-0005-0000-0000-00007B550000}"/>
    <cellStyle name="40 % - Markeringsfarve1 6 2 2 4" xfId="23404" xr:uid="{00000000-0005-0000-0000-00007C550000}"/>
    <cellStyle name="40 % - Markeringsfarve1 6 2 2 5" xfId="38369" xr:uid="{00000000-0005-0000-0000-00007D550000}"/>
    <cellStyle name="40 % - Markeringsfarve1 6 2 3" xfId="8398" xr:uid="{00000000-0005-0000-0000-00007E550000}"/>
    <cellStyle name="40 % - Markeringsfarve1 6 2 3 2" xfId="16268" xr:uid="{00000000-0005-0000-0000-00007F550000}"/>
    <cellStyle name="40 % - Markeringsfarve1 6 2 3 2 2" xfId="32544" xr:uid="{00000000-0005-0000-0000-000080550000}"/>
    <cellStyle name="40 % - Markeringsfarve1 6 2 3 2 3" xfId="47503" xr:uid="{00000000-0005-0000-0000-000081550000}"/>
    <cellStyle name="40 % - Markeringsfarve1 6 2 3 3" xfId="25542" xr:uid="{00000000-0005-0000-0000-000082550000}"/>
    <cellStyle name="40 % - Markeringsfarve1 6 2 3 4" xfId="40506" xr:uid="{00000000-0005-0000-0000-000083550000}"/>
    <cellStyle name="40 % - Markeringsfarve1 6 2 4" xfId="14126" xr:uid="{00000000-0005-0000-0000-000084550000}"/>
    <cellStyle name="40 % - Markeringsfarve1 6 2 4 2" xfId="30405" xr:uid="{00000000-0005-0000-0000-000085550000}"/>
    <cellStyle name="40 % - Markeringsfarve1 6 2 4 3" xfId="45365" xr:uid="{00000000-0005-0000-0000-000086550000}"/>
    <cellStyle name="40 % - Markeringsfarve1 6 2 5" xfId="23403" xr:uid="{00000000-0005-0000-0000-000087550000}"/>
    <cellStyle name="40 % - Markeringsfarve1 6 2 6" xfId="38368" xr:uid="{00000000-0005-0000-0000-000088550000}"/>
    <cellStyle name="40 % - Markeringsfarve1 6 3" xfId="5643" xr:uid="{00000000-0005-0000-0000-000089550000}"/>
    <cellStyle name="40 % - Markeringsfarve1 6 3 2" xfId="9045" xr:uid="{00000000-0005-0000-0000-00008A550000}"/>
    <cellStyle name="40 % - Markeringsfarve1 6 3 2 2" xfId="16909" xr:uid="{00000000-0005-0000-0000-00008B550000}"/>
    <cellStyle name="40 % - Markeringsfarve1 6 3 2 2 2" xfId="33185" xr:uid="{00000000-0005-0000-0000-00008C550000}"/>
    <cellStyle name="40 % - Markeringsfarve1 6 3 2 2 3" xfId="48144" xr:uid="{00000000-0005-0000-0000-00008D550000}"/>
    <cellStyle name="40 % - Markeringsfarve1 6 3 2 3" xfId="26183" xr:uid="{00000000-0005-0000-0000-00008E550000}"/>
    <cellStyle name="40 % - Markeringsfarve1 6 3 2 4" xfId="41147" xr:uid="{00000000-0005-0000-0000-00008F550000}"/>
    <cellStyle name="40 % - Markeringsfarve1 6 3 3" xfId="14128" xr:uid="{00000000-0005-0000-0000-000090550000}"/>
    <cellStyle name="40 % - Markeringsfarve1 6 3 3 2" xfId="30407" xr:uid="{00000000-0005-0000-0000-000091550000}"/>
    <cellStyle name="40 % - Markeringsfarve1 6 3 3 3" xfId="45367" xr:uid="{00000000-0005-0000-0000-000092550000}"/>
    <cellStyle name="40 % - Markeringsfarve1 6 3 4" xfId="23405" xr:uid="{00000000-0005-0000-0000-000093550000}"/>
    <cellStyle name="40 % - Markeringsfarve1 6 3 5" xfId="38370" xr:uid="{00000000-0005-0000-0000-000094550000}"/>
    <cellStyle name="40 % - Markeringsfarve1 6 4" xfId="5644" xr:uid="{00000000-0005-0000-0000-000095550000}"/>
    <cellStyle name="40 % - Markeringsfarve1 6 4 2" xfId="10634" xr:uid="{00000000-0005-0000-0000-000096550000}"/>
    <cellStyle name="40 % - Markeringsfarve1 6 4 2 2" xfId="18481" xr:uid="{00000000-0005-0000-0000-000097550000}"/>
    <cellStyle name="40 % - Markeringsfarve1 6 4 2 2 2" xfId="34757" xr:uid="{00000000-0005-0000-0000-000098550000}"/>
    <cellStyle name="40 % - Markeringsfarve1 6 4 2 2 3" xfId="49716" xr:uid="{00000000-0005-0000-0000-000099550000}"/>
    <cellStyle name="40 % - Markeringsfarve1 6 4 2 3" xfId="27755" xr:uid="{00000000-0005-0000-0000-00009A550000}"/>
    <cellStyle name="40 % - Markeringsfarve1 6 4 2 4" xfId="42719" xr:uid="{00000000-0005-0000-0000-00009B550000}"/>
    <cellStyle name="40 % - Markeringsfarve1 6 4 3" xfId="14129" xr:uid="{00000000-0005-0000-0000-00009C550000}"/>
    <cellStyle name="40 % - Markeringsfarve1 6 4 3 2" xfId="30408" xr:uid="{00000000-0005-0000-0000-00009D550000}"/>
    <cellStyle name="40 % - Markeringsfarve1 6 4 3 3" xfId="45368" xr:uid="{00000000-0005-0000-0000-00009E550000}"/>
    <cellStyle name="40 % - Markeringsfarve1 6 4 4" xfId="23406" xr:uid="{00000000-0005-0000-0000-00009F550000}"/>
    <cellStyle name="40 % - Markeringsfarve1 6 4 5" xfId="38371" xr:uid="{00000000-0005-0000-0000-0000A0550000}"/>
    <cellStyle name="40 % - Markeringsfarve1 6 5" xfId="8010" xr:uid="{00000000-0005-0000-0000-0000A1550000}"/>
    <cellStyle name="40 % - Markeringsfarve1 6 5 2" xfId="15875" xr:uid="{00000000-0005-0000-0000-0000A2550000}"/>
    <cellStyle name="40 % - Markeringsfarve1 6 5 2 2" xfId="32151" xr:uid="{00000000-0005-0000-0000-0000A3550000}"/>
    <cellStyle name="40 % - Markeringsfarve1 6 5 2 3" xfId="47110" xr:uid="{00000000-0005-0000-0000-0000A4550000}"/>
    <cellStyle name="40 % - Markeringsfarve1 6 5 3" xfId="25149" xr:uid="{00000000-0005-0000-0000-0000A5550000}"/>
    <cellStyle name="40 % - Markeringsfarve1 6 5 4" xfId="40113" xr:uid="{00000000-0005-0000-0000-0000A6550000}"/>
    <cellStyle name="40 % - Markeringsfarve1 6 6" xfId="14125" xr:uid="{00000000-0005-0000-0000-0000A7550000}"/>
    <cellStyle name="40 % - Markeringsfarve1 6 6 2" xfId="30404" xr:uid="{00000000-0005-0000-0000-0000A8550000}"/>
    <cellStyle name="40 % - Markeringsfarve1 6 6 3" xfId="45364" xr:uid="{00000000-0005-0000-0000-0000A9550000}"/>
    <cellStyle name="40 % - Markeringsfarve1 6 7" xfId="23402" xr:uid="{00000000-0005-0000-0000-0000AA550000}"/>
    <cellStyle name="40 % - Markeringsfarve1 6 8" xfId="38367" xr:uid="{00000000-0005-0000-0000-0000AB550000}"/>
    <cellStyle name="40 % - Markeringsfarve1 7" xfId="5645" xr:uid="{00000000-0005-0000-0000-0000AC550000}"/>
    <cellStyle name="40 % - Markeringsfarve1 7 2" xfId="5646" xr:uid="{00000000-0005-0000-0000-0000AD550000}"/>
    <cellStyle name="40 % - Markeringsfarve1 7 2 2" xfId="5647" xr:uid="{00000000-0005-0000-0000-0000AE550000}"/>
    <cellStyle name="40 % - Markeringsfarve1 7 2 2 2" xfId="9985" xr:uid="{00000000-0005-0000-0000-0000AF550000}"/>
    <cellStyle name="40 % - Markeringsfarve1 7 2 2 2 2" xfId="17840" xr:uid="{00000000-0005-0000-0000-0000B0550000}"/>
    <cellStyle name="40 % - Markeringsfarve1 7 2 2 2 2 2" xfId="34116" xr:uid="{00000000-0005-0000-0000-0000B1550000}"/>
    <cellStyle name="40 % - Markeringsfarve1 7 2 2 2 2 3" xfId="49075" xr:uid="{00000000-0005-0000-0000-0000B2550000}"/>
    <cellStyle name="40 % - Markeringsfarve1 7 2 2 2 3" xfId="27114" xr:uid="{00000000-0005-0000-0000-0000B3550000}"/>
    <cellStyle name="40 % - Markeringsfarve1 7 2 2 2 4" xfId="42078" xr:uid="{00000000-0005-0000-0000-0000B4550000}"/>
    <cellStyle name="40 % - Markeringsfarve1 7 2 2 3" xfId="14132" xr:uid="{00000000-0005-0000-0000-0000B5550000}"/>
    <cellStyle name="40 % - Markeringsfarve1 7 2 2 3 2" xfId="30411" xr:uid="{00000000-0005-0000-0000-0000B6550000}"/>
    <cellStyle name="40 % - Markeringsfarve1 7 2 2 3 3" xfId="45371" xr:uid="{00000000-0005-0000-0000-0000B7550000}"/>
    <cellStyle name="40 % - Markeringsfarve1 7 2 2 4" xfId="23409" xr:uid="{00000000-0005-0000-0000-0000B8550000}"/>
    <cellStyle name="40 % - Markeringsfarve1 7 2 2 5" xfId="38374" xr:uid="{00000000-0005-0000-0000-0000B9550000}"/>
    <cellStyle name="40 % - Markeringsfarve1 7 2 3" xfId="8541" xr:uid="{00000000-0005-0000-0000-0000BA550000}"/>
    <cellStyle name="40 % - Markeringsfarve1 7 2 3 2" xfId="16411" xr:uid="{00000000-0005-0000-0000-0000BB550000}"/>
    <cellStyle name="40 % - Markeringsfarve1 7 2 3 2 2" xfId="32687" xr:uid="{00000000-0005-0000-0000-0000BC550000}"/>
    <cellStyle name="40 % - Markeringsfarve1 7 2 3 2 3" xfId="47646" xr:uid="{00000000-0005-0000-0000-0000BD550000}"/>
    <cellStyle name="40 % - Markeringsfarve1 7 2 3 3" xfId="25685" xr:uid="{00000000-0005-0000-0000-0000BE550000}"/>
    <cellStyle name="40 % - Markeringsfarve1 7 2 3 4" xfId="40649" xr:uid="{00000000-0005-0000-0000-0000BF550000}"/>
    <cellStyle name="40 % - Markeringsfarve1 7 2 4" xfId="14131" xr:uid="{00000000-0005-0000-0000-0000C0550000}"/>
    <cellStyle name="40 % - Markeringsfarve1 7 2 4 2" xfId="30410" xr:uid="{00000000-0005-0000-0000-0000C1550000}"/>
    <cellStyle name="40 % - Markeringsfarve1 7 2 4 3" xfId="45370" xr:uid="{00000000-0005-0000-0000-0000C2550000}"/>
    <cellStyle name="40 % - Markeringsfarve1 7 2 5" xfId="23408" xr:uid="{00000000-0005-0000-0000-0000C3550000}"/>
    <cellStyle name="40 % - Markeringsfarve1 7 2 6" xfId="38373" xr:uid="{00000000-0005-0000-0000-0000C4550000}"/>
    <cellStyle name="40 % - Markeringsfarve1 7 3" xfId="5648" xr:uid="{00000000-0005-0000-0000-0000C5550000}"/>
    <cellStyle name="40 % - Markeringsfarve1 7 3 2" xfId="9216" xr:uid="{00000000-0005-0000-0000-0000C6550000}"/>
    <cellStyle name="40 % - Markeringsfarve1 7 3 2 2" xfId="17080" xr:uid="{00000000-0005-0000-0000-0000C7550000}"/>
    <cellStyle name="40 % - Markeringsfarve1 7 3 2 2 2" xfId="33356" xr:uid="{00000000-0005-0000-0000-0000C8550000}"/>
    <cellStyle name="40 % - Markeringsfarve1 7 3 2 2 3" xfId="48315" xr:uid="{00000000-0005-0000-0000-0000C9550000}"/>
    <cellStyle name="40 % - Markeringsfarve1 7 3 2 3" xfId="26354" xr:uid="{00000000-0005-0000-0000-0000CA550000}"/>
    <cellStyle name="40 % - Markeringsfarve1 7 3 2 4" xfId="41318" xr:uid="{00000000-0005-0000-0000-0000CB550000}"/>
    <cellStyle name="40 % - Markeringsfarve1 7 3 3" xfId="14133" xr:uid="{00000000-0005-0000-0000-0000CC550000}"/>
    <cellStyle name="40 % - Markeringsfarve1 7 3 3 2" xfId="30412" xr:uid="{00000000-0005-0000-0000-0000CD550000}"/>
    <cellStyle name="40 % - Markeringsfarve1 7 3 3 3" xfId="45372" xr:uid="{00000000-0005-0000-0000-0000CE550000}"/>
    <cellStyle name="40 % - Markeringsfarve1 7 3 4" xfId="23410" xr:uid="{00000000-0005-0000-0000-0000CF550000}"/>
    <cellStyle name="40 % - Markeringsfarve1 7 3 5" xfId="38375" xr:uid="{00000000-0005-0000-0000-0000D0550000}"/>
    <cellStyle name="40 % - Markeringsfarve1 7 4" xfId="5649" xr:uid="{00000000-0005-0000-0000-0000D1550000}"/>
    <cellStyle name="40 % - Markeringsfarve1 7 4 2" xfId="10870" xr:uid="{00000000-0005-0000-0000-0000D2550000}"/>
    <cellStyle name="40 % - Markeringsfarve1 7 4 2 2" xfId="18707" xr:uid="{00000000-0005-0000-0000-0000D3550000}"/>
    <cellStyle name="40 % - Markeringsfarve1 7 4 2 2 2" xfId="34983" xr:uid="{00000000-0005-0000-0000-0000D4550000}"/>
    <cellStyle name="40 % - Markeringsfarve1 7 4 2 2 3" xfId="49942" xr:uid="{00000000-0005-0000-0000-0000D5550000}"/>
    <cellStyle name="40 % - Markeringsfarve1 7 4 2 3" xfId="27981" xr:uid="{00000000-0005-0000-0000-0000D6550000}"/>
    <cellStyle name="40 % - Markeringsfarve1 7 4 2 4" xfId="42945" xr:uid="{00000000-0005-0000-0000-0000D7550000}"/>
    <cellStyle name="40 % - Markeringsfarve1 7 4 3" xfId="14134" xr:uid="{00000000-0005-0000-0000-0000D8550000}"/>
    <cellStyle name="40 % - Markeringsfarve1 7 4 3 2" xfId="30413" xr:uid="{00000000-0005-0000-0000-0000D9550000}"/>
    <cellStyle name="40 % - Markeringsfarve1 7 4 3 3" xfId="45373" xr:uid="{00000000-0005-0000-0000-0000DA550000}"/>
    <cellStyle name="40 % - Markeringsfarve1 7 4 4" xfId="23411" xr:uid="{00000000-0005-0000-0000-0000DB550000}"/>
    <cellStyle name="40 % - Markeringsfarve1 7 4 5" xfId="38376" xr:uid="{00000000-0005-0000-0000-0000DC550000}"/>
    <cellStyle name="40 % - Markeringsfarve1 7 5" xfId="8011" xr:uid="{00000000-0005-0000-0000-0000DD550000}"/>
    <cellStyle name="40 % - Markeringsfarve1 7 5 2" xfId="15876" xr:uid="{00000000-0005-0000-0000-0000DE550000}"/>
    <cellStyle name="40 % - Markeringsfarve1 7 5 2 2" xfId="32152" xr:uid="{00000000-0005-0000-0000-0000DF550000}"/>
    <cellStyle name="40 % - Markeringsfarve1 7 5 2 3" xfId="47111" xr:uid="{00000000-0005-0000-0000-0000E0550000}"/>
    <cellStyle name="40 % - Markeringsfarve1 7 5 3" xfId="25150" xr:uid="{00000000-0005-0000-0000-0000E1550000}"/>
    <cellStyle name="40 % - Markeringsfarve1 7 5 4" xfId="40114" xr:uid="{00000000-0005-0000-0000-0000E2550000}"/>
    <cellStyle name="40 % - Markeringsfarve1 7 6" xfId="14130" xr:uid="{00000000-0005-0000-0000-0000E3550000}"/>
    <cellStyle name="40 % - Markeringsfarve1 7 6 2" xfId="30409" xr:uid="{00000000-0005-0000-0000-0000E4550000}"/>
    <cellStyle name="40 % - Markeringsfarve1 7 6 3" xfId="45369" xr:uid="{00000000-0005-0000-0000-0000E5550000}"/>
    <cellStyle name="40 % - Markeringsfarve1 7 7" xfId="23407" xr:uid="{00000000-0005-0000-0000-0000E6550000}"/>
    <cellStyle name="40 % - Markeringsfarve1 7 8" xfId="38372" xr:uid="{00000000-0005-0000-0000-0000E7550000}"/>
    <cellStyle name="40 % - Markeringsfarve1 8" xfId="5650" xr:uid="{00000000-0005-0000-0000-0000E8550000}"/>
    <cellStyle name="40 % - Markeringsfarve1 8 2" xfId="5651" xr:uid="{00000000-0005-0000-0000-0000E9550000}"/>
    <cellStyle name="40 % - Markeringsfarve1 8 2 2" xfId="5652" xr:uid="{00000000-0005-0000-0000-0000EA550000}"/>
    <cellStyle name="40 % - Markeringsfarve1 8 2 2 2" xfId="10052" xr:uid="{00000000-0005-0000-0000-0000EB550000}"/>
    <cellStyle name="40 % - Markeringsfarve1 8 2 2 2 2" xfId="17907" xr:uid="{00000000-0005-0000-0000-0000EC550000}"/>
    <cellStyle name="40 % - Markeringsfarve1 8 2 2 2 2 2" xfId="34183" xr:uid="{00000000-0005-0000-0000-0000ED550000}"/>
    <cellStyle name="40 % - Markeringsfarve1 8 2 2 2 2 3" xfId="49142" xr:uid="{00000000-0005-0000-0000-0000EE550000}"/>
    <cellStyle name="40 % - Markeringsfarve1 8 2 2 2 3" xfId="27181" xr:uid="{00000000-0005-0000-0000-0000EF550000}"/>
    <cellStyle name="40 % - Markeringsfarve1 8 2 2 2 4" xfId="42145" xr:uid="{00000000-0005-0000-0000-0000F0550000}"/>
    <cellStyle name="40 % - Markeringsfarve1 8 2 2 3" xfId="14137" xr:uid="{00000000-0005-0000-0000-0000F1550000}"/>
    <cellStyle name="40 % - Markeringsfarve1 8 2 2 3 2" xfId="30416" xr:uid="{00000000-0005-0000-0000-0000F2550000}"/>
    <cellStyle name="40 % - Markeringsfarve1 8 2 2 3 3" xfId="45376" xr:uid="{00000000-0005-0000-0000-0000F3550000}"/>
    <cellStyle name="40 % - Markeringsfarve1 8 2 2 4" xfId="23414" xr:uid="{00000000-0005-0000-0000-0000F4550000}"/>
    <cellStyle name="40 % - Markeringsfarve1 8 2 2 5" xfId="38379" xr:uid="{00000000-0005-0000-0000-0000F5550000}"/>
    <cellStyle name="40 % - Markeringsfarve1 8 2 3" xfId="8600" xr:uid="{00000000-0005-0000-0000-0000F6550000}"/>
    <cellStyle name="40 % - Markeringsfarve1 8 2 3 2" xfId="16467" xr:uid="{00000000-0005-0000-0000-0000F7550000}"/>
    <cellStyle name="40 % - Markeringsfarve1 8 2 3 2 2" xfId="32743" xr:uid="{00000000-0005-0000-0000-0000F8550000}"/>
    <cellStyle name="40 % - Markeringsfarve1 8 2 3 2 3" xfId="47702" xr:uid="{00000000-0005-0000-0000-0000F9550000}"/>
    <cellStyle name="40 % - Markeringsfarve1 8 2 3 3" xfId="25741" xr:uid="{00000000-0005-0000-0000-0000FA550000}"/>
    <cellStyle name="40 % - Markeringsfarve1 8 2 3 4" xfId="40705" xr:uid="{00000000-0005-0000-0000-0000FB550000}"/>
    <cellStyle name="40 % - Markeringsfarve1 8 2 4" xfId="14136" xr:uid="{00000000-0005-0000-0000-0000FC550000}"/>
    <cellStyle name="40 % - Markeringsfarve1 8 2 4 2" xfId="30415" xr:uid="{00000000-0005-0000-0000-0000FD550000}"/>
    <cellStyle name="40 % - Markeringsfarve1 8 2 4 3" xfId="45375" xr:uid="{00000000-0005-0000-0000-0000FE550000}"/>
    <cellStyle name="40 % - Markeringsfarve1 8 2 5" xfId="23413" xr:uid="{00000000-0005-0000-0000-0000FF550000}"/>
    <cellStyle name="40 % - Markeringsfarve1 8 2 6" xfId="38378" xr:uid="{00000000-0005-0000-0000-000000560000}"/>
    <cellStyle name="40 % - Markeringsfarve1 8 3" xfId="5653" xr:uid="{00000000-0005-0000-0000-000001560000}"/>
    <cellStyle name="40 % - Markeringsfarve1 8 3 2" xfId="9329" xr:uid="{00000000-0005-0000-0000-000002560000}"/>
    <cellStyle name="40 % - Markeringsfarve1 8 3 2 2" xfId="17192" xr:uid="{00000000-0005-0000-0000-000003560000}"/>
    <cellStyle name="40 % - Markeringsfarve1 8 3 2 2 2" xfId="33468" xr:uid="{00000000-0005-0000-0000-000004560000}"/>
    <cellStyle name="40 % - Markeringsfarve1 8 3 2 2 3" xfId="48427" xr:uid="{00000000-0005-0000-0000-000005560000}"/>
    <cellStyle name="40 % - Markeringsfarve1 8 3 2 3" xfId="26466" xr:uid="{00000000-0005-0000-0000-000006560000}"/>
    <cellStyle name="40 % - Markeringsfarve1 8 3 2 4" xfId="41430" xr:uid="{00000000-0005-0000-0000-000007560000}"/>
    <cellStyle name="40 % - Markeringsfarve1 8 3 3" xfId="14138" xr:uid="{00000000-0005-0000-0000-000008560000}"/>
    <cellStyle name="40 % - Markeringsfarve1 8 3 3 2" xfId="30417" xr:uid="{00000000-0005-0000-0000-000009560000}"/>
    <cellStyle name="40 % - Markeringsfarve1 8 3 3 3" xfId="45377" xr:uid="{00000000-0005-0000-0000-00000A560000}"/>
    <cellStyle name="40 % - Markeringsfarve1 8 3 4" xfId="23415" xr:uid="{00000000-0005-0000-0000-00000B560000}"/>
    <cellStyle name="40 % - Markeringsfarve1 8 3 5" xfId="38380" xr:uid="{00000000-0005-0000-0000-00000C560000}"/>
    <cellStyle name="40 % - Markeringsfarve1 8 4" xfId="5654" xr:uid="{00000000-0005-0000-0000-00000D560000}"/>
    <cellStyle name="40 % - Markeringsfarve1 8 4 2" xfId="10592" xr:uid="{00000000-0005-0000-0000-00000E560000}"/>
    <cellStyle name="40 % - Markeringsfarve1 8 4 2 2" xfId="18440" xr:uid="{00000000-0005-0000-0000-00000F560000}"/>
    <cellStyle name="40 % - Markeringsfarve1 8 4 2 2 2" xfId="34716" xr:uid="{00000000-0005-0000-0000-000010560000}"/>
    <cellStyle name="40 % - Markeringsfarve1 8 4 2 2 3" xfId="49675" xr:uid="{00000000-0005-0000-0000-000011560000}"/>
    <cellStyle name="40 % - Markeringsfarve1 8 4 2 3" xfId="27714" xr:uid="{00000000-0005-0000-0000-000012560000}"/>
    <cellStyle name="40 % - Markeringsfarve1 8 4 2 4" xfId="42678" xr:uid="{00000000-0005-0000-0000-000013560000}"/>
    <cellStyle name="40 % - Markeringsfarve1 8 4 3" xfId="14139" xr:uid="{00000000-0005-0000-0000-000014560000}"/>
    <cellStyle name="40 % - Markeringsfarve1 8 4 3 2" xfId="30418" xr:uid="{00000000-0005-0000-0000-000015560000}"/>
    <cellStyle name="40 % - Markeringsfarve1 8 4 3 3" xfId="45378" xr:uid="{00000000-0005-0000-0000-000016560000}"/>
    <cellStyle name="40 % - Markeringsfarve1 8 4 4" xfId="23416" xr:uid="{00000000-0005-0000-0000-000017560000}"/>
    <cellStyle name="40 % - Markeringsfarve1 8 4 5" xfId="38381" xr:uid="{00000000-0005-0000-0000-000018560000}"/>
    <cellStyle name="40 % - Markeringsfarve1 8 5" xfId="8012" xr:uid="{00000000-0005-0000-0000-000019560000}"/>
    <cellStyle name="40 % - Markeringsfarve1 8 5 2" xfId="15877" xr:uid="{00000000-0005-0000-0000-00001A560000}"/>
    <cellStyle name="40 % - Markeringsfarve1 8 5 2 2" xfId="32153" xr:uid="{00000000-0005-0000-0000-00001B560000}"/>
    <cellStyle name="40 % - Markeringsfarve1 8 5 2 3" xfId="47112" xr:uid="{00000000-0005-0000-0000-00001C560000}"/>
    <cellStyle name="40 % - Markeringsfarve1 8 5 3" xfId="25151" xr:uid="{00000000-0005-0000-0000-00001D560000}"/>
    <cellStyle name="40 % - Markeringsfarve1 8 5 4" xfId="40115" xr:uid="{00000000-0005-0000-0000-00001E560000}"/>
    <cellStyle name="40 % - Markeringsfarve1 8 6" xfId="14135" xr:uid="{00000000-0005-0000-0000-00001F560000}"/>
    <cellStyle name="40 % - Markeringsfarve1 8 6 2" xfId="30414" xr:uid="{00000000-0005-0000-0000-000020560000}"/>
    <cellStyle name="40 % - Markeringsfarve1 8 6 3" xfId="45374" xr:uid="{00000000-0005-0000-0000-000021560000}"/>
    <cellStyle name="40 % - Markeringsfarve1 8 7" xfId="23412" xr:uid="{00000000-0005-0000-0000-000022560000}"/>
    <cellStyle name="40 % - Markeringsfarve1 8 8" xfId="38377" xr:uid="{00000000-0005-0000-0000-000023560000}"/>
    <cellStyle name="40 % - Markeringsfarve1 9" xfId="5655" xr:uid="{00000000-0005-0000-0000-000024560000}"/>
    <cellStyle name="40 % - Markeringsfarve1 9 2" xfId="5656" xr:uid="{00000000-0005-0000-0000-000025560000}"/>
    <cellStyle name="40 % - Markeringsfarve1 9 2 2" xfId="5657" xr:uid="{00000000-0005-0000-0000-000026560000}"/>
    <cellStyle name="40 % - Markeringsfarve1 9 2 2 2" xfId="10169" xr:uid="{00000000-0005-0000-0000-000027560000}"/>
    <cellStyle name="40 % - Markeringsfarve1 9 2 2 2 2" xfId="18024" xr:uid="{00000000-0005-0000-0000-000028560000}"/>
    <cellStyle name="40 % - Markeringsfarve1 9 2 2 2 2 2" xfId="34300" xr:uid="{00000000-0005-0000-0000-000029560000}"/>
    <cellStyle name="40 % - Markeringsfarve1 9 2 2 2 2 3" xfId="49259" xr:uid="{00000000-0005-0000-0000-00002A560000}"/>
    <cellStyle name="40 % - Markeringsfarve1 9 2 2 2 3" xfId="27298" xr:uid="{00000000-0005-0000-0000-00002B560000}"/>
    <cellStyle name="40 % - Markeringsfarve1 9 2 2 2 4" xfId="42262" xr:uid="{00000000-0005-0000-0000-00002C560000}"/>
    <cellStyle name="40 % - Markeringsfarve1 9 2 2 3" xfId="14142" xr:uid="{00000000-0005-0000-0000-00002D560000}"/>
    <cellStyle name="40 % - Markeringsfarve1 9 2 2 3 2" xfId="30421" xr:uid="{00000000-0005-0000-0000-00002E560000}"/>
    <cellStyle name="40 % - Markeringsfarve1 9 2 2 3 3" xfId="45381" xr:uid="{00000000-0005-0000-0000-00002F560000}"/>
    <cellStyle name="40 % - Markeringsfarve1 9 2 2 4" xfId="23419" xr:uid="{00000000-0005-0000-0000-000030560000}"/>
    <cellStyle name="40 % - Markeringsfarve1 9 2 2 5" xfId="38384" xr:uid="{00000000-0005-0000-0000-000031560000}"/>
    <cellStyle name="40 % - Markeringsfarve1 9 2 3" xfId="8699" xr:uid="{00000000-0005-0000-0000-000032560000}"/>
    <cellStyle name="40 % - Markeringsfarve1 9 2 3 2" xfId="16566" xr:uid="{00000000-0005-0000-0000-000033560000}"/>
    <cellStyle name="40 % - Markeringsfarve1 9 2 3 2 2" xfId="32842" xr:uid="{00000000-0005-0000-0000-000034560000}"/>
    <cellStyle name="40 % - Markeringsfarve1 9 2 3 2 3" xfId="47801" xr:uid="{00000000-0005-0000-0000-000035560000}"/>
    <cellStyle name="40 % - Markeringsfarve1 9 2 3 3" xfId="25840" xr:uid="{00000000-0005-0000-0000-000036560000}"/>
    <cellStyle name="40 % - Markeringsfarve1 9 2 3 4" xfId="40804" xr:uid="{00000000-0005-0000-0000-000037560000}"/>
    <cellStyle name="40 % - Markeringsfarve1 9 2 4" xfId="14141" xr:uid="{00000000-0005-0000-0000-000038560000}"/>
    <cellStyle name="40 % - Markeringsfarve1 9 2 4 2" xfId="30420" xr:uid="{00000000-0005-0000-0000-000039560000}"/>
    <cellStyle name="40 % - Markeringsfarve1 9 2 4 3" xfId="45380" xr:uid="{00000000-0005-0000-0000-00003A560000}"/>
    <cellStyle name="40 % - Markeringsfarve1 9 2 5" xfId="23418" xr:uid="{00000000-0005-0000-0000-00003B560000}"/>
    <cellStyle name="40 % - Markeringsfarve1 9 2 6" xfId="38383" xr:uid="{00000000-0005-0000-0000-00003C560000}"/>
    <cellStyle name="40 % - Markeringsfarve1 9 3" xfId="5658" xr:uid="{00000000-0005-0000-0000-00003D560000}"/>
    <cellStyle name="40 % - Markeringsfarve1 9 3 2" xfId="9446" xr:uid="{00000000-0005-0000-0000-00003E560000}"/>
    <cellStyle name="40 % - Markeringsfarve1 9 3 2 2" xfId="17309" xr:uid="{00000000-0005-0000-0000-00003F560000}"/>
    <cellStyle name="40 % - Markeringsfarve1 9 3 2 2 2" xfId="33585" xr:uid="{00000000-0005-0000-0000-000040560000}"/>
    <cellStyle name="40 % - Markeringsfarve1 9 3 2 2 3" xfId="48544" xr:uid="{00000000-0005-0000-0000-000041560000}"/>
    <cellStyle name="40 % - Markeringsfarve1 9 3 2 3" xfId="26583" xr:uid="{00000000-0005-0000-0000-000042560000}"/>
    <cellStyle name="40 % - Markeringsfarve1 9 3 2 4" xfId="41547" xr:uid="{00000000-0005-0000-0000-000043560000}"/>
    <cellStyle name="40 % - Markeringsfarve1 9 3 3" xfId="14143" xr:uid="{00000000-0005-0000-0000-000044560000}"/>
    <cellStyle name="40 % - Markeringsfarve1 9 3 3 2" xfId="30422" xr:uid="{00000000-0005-0000-0000-000045560000}"/>
    <cellStyle name="40 % - Markeringsfarve1 9 3 3 3" xfId="45382" xr:uid="{00000000-0005-0000-0000-000046560000}"/>
    <cellStyle name="40 % - Markeringsfarve1 9 3 4" xfId="23420" xr:uid="{00000000-0005-0000-0000-000047560000}"/>
    <cellStyle name="40 % - Markeringsfarve1 9 3 5" xfId="38385" xr:uid="{00000000-0005-0000-0000-000048560000}"/>
    <cellStyle name="40 % - Markeringsfarve1 9 4" xfId="5659" xr:uid="{00000000-0005-0000-0000-000049560000}"/>
    <cellStyle name="40 % - Markeringsfarve1 9 4 2" xfId="10841" xr:uid="{00000000-0005-0000-0000-00004A560000}"/>
    <cellStyle name="40 % - Markeringsfarve1 9 4 2 2" xfId="18679" xr:uid="{00000000-0005-0000-0000-00004B560000}"/>
    <cellStyle name="40 % - Markeringsfarve1 9 4 2 2 2" xfId="34955" xr:uid="{00000000-0005-0000-0000-00004C560000}"/>
    <cellStyle name="40 % - Markeringsfarve1 9 4 2 2 3" xfId="49914" xr:uid="{00000000-0005-0000-0000-00004D560000}"/>
    <cellStyle name="40 % - Markeringsfarve1 9 4 2 3" xfId="27953" xr:uid="{00000000-0005-0000-0000-00004E560000}"/>
    <cellStyle name="40 % - Markeringsfarve1 9 4 2 4" xfId="42917" xr:uid="{00000000-0005-0000-0000-00004F560000}"/>
    <cellStyle name="40 % - Markeringsfarve1 9 4 3" xfId="14144" xr:uid="{00000000-0005-0000-0000-000050560000}"/>
    <cellStyle name="40 % - Markeringsfarve1 9 4 3 2" xfId="30423" xr:uid="{00000000-0005-0000-0000-000051560000}"/>
    <cellStyle name="40 % - Markeringsfarve1 9 4 3 3" xfId="45383" xr:uid="{00000000-0005-0000-0000-000052560000}"/>
    <cellStyle name="40 % - Markeringsfarve1 9 4 4" xfId="23421" xr:uid="{00000000-0005-0000-0000-000053560000}"/>
    <cellStyle name="40 % - Markeringsfarve1 9 4 5" xfId="38386" xr:uid="{00000000-0005-0000-0000-000054560000}"/>
    <cellStyle name="40 % - Markeringsfarve1 9 5" xfId="8013" xr:uid="{00000000-0005-0000-0000-000055560000}"/>
    <cellStyle name="40 % - Markeringsfarve1 9 5 2" xfId="15878" xr:uid="{00000000-0005-0000-0000-000056560000}"/>
    <cellStyle name="40 % - Markeringsfarve1 9 5 2 2" xfId="32154" xr:uid="{00000000-0005-0000-0000-000057560000}"/>
    <cellStyle name="40 % - Markeringsfarve1 9 5 2 3" xfId="47113" xr:uid="{00000000-0005-0000-0000-000058560000}"/>
    <cellStyle name="40 % - Markeringsfarve1 9 5 3" xfId="25152" xr:uid="{00000000-0005-0000-0000-000059560000}"/>
    <cellStyle name="40 % - Markeringsfarve1 9 5 4" xfId="40116" xr:uid="{00000000-0005-0000-0000-00005A560000}"/>
    <cellStyle name="40 % - Markeringsfarve1 9 6" xfId="14140" xr:uid="{00000000-0005-0000-0000-00005B560000}"/>
    <cellStyle name="40 % - Markeringsfarve1 9 6 2" xfId="30419" xr:uid="{00000000-0005-0000-0000-00005C560000}"/>
    <cellStyle name="40 % - Markeringsfarve1 9 6 3" xfId="45379" xr:uid="{00000000-0005-0000-0000-00005D560000}"/>
    <cellStyle name="40 % - Markeringsfarve1 9 7" xfId="23417" xr:uid="{00000000-0005-0000-0000-00005E560000}"/>
    <cellStyle name="40 % - Markeringsfarve1 9 8" xfId="38382" xr:uid="{00000000-0005-0000-0000-00005F560000}"/>
    <cellStyle name="40 % - Markeringsfarve2 10" xfId="5660" xr:uid="{00000000-0005-0000-0000-000060560000}"/>
    <cellStyle name="40 % - Markeringsfarve2 10 2" xfId="5661" xr:uid="{00000000-0005-0000-0000-000061560000}"/>
    <cellStyle name="40 % - Markeringsfarve2 10 2 2" xfId="10348" xr:uid="{00000000-0005-0000-0000-000062560000}"/>
    <cellStyle name="40 % - Markeringsfarve2 10 2 2 2" xfId="18203" xr:uid="{00000000-0005-0000-0000-000063560000}"/>
    <cellStyle name="40 % - Markeringsfarve2 10 2 2 2 2" xfId="34479" xr:uid="{00000000-0005-0000-0000-000064560000}"/>
    <cellStyle name="40 % - Markeringsfarve2 10 2 2 2 3" xfId="49438" xr:uid="{00000000-0005-0000-0000-000065560000}"/>
    <cellStyle name="40 % - Markeringsfarve2 10 2 2 3" xfId="27477" xr:uid="{00000000-0005-0000-0000-000066560000}"/>
    <cellStyle name="40 % - Markeringsfarve2 10 2 2 4" xfId="42441" xr:uid="{00000000-0005-0000-0000-000067560000}"/>
    <cellStyle name="40 % - Markeringsfarve2 10 2 3" xfId="14146" xr:uid="{00000000-0005-0000-0000-000068560000}"/>
    <cellStyle name="40 % - Markeringsfarve2 10 2 3 2" xfId="30425" xr:uid="{00000000-0005-0000-0000-000069560000}"/>
    <cellStyle name="40 % - Markeringsfarve2 10 2 3 3" xfId="45385" xr:uid="{00000000-0005-0000-0000-00006A560000}"/>
    <cellStyle name="40 % - Markeringsfarve2 10 2 4" xfId="23423" xr:uid="{00000000-0005-0000-0000-00006B560000}"/>
    <cellStyle name="40 % - Markeringsfarve2 10 2 5" xfId="38388" xr:uid="{00000000-0005-0000-0000-00006C560000}"/>
    <cellStyle name="40 % - Markeringsfarve2 10 3" xfId="5662" xr:uid="{00000000-0005-0000-0000-00006D560000}"/>
    <cellStyle name="40 % - Markeringsfarve2 10 3 2" xfId="9626" xr:uid="{00000000-0005-0000-0000-00006E560000}"/>
    <cellStyle name="40 % - Markeringsfarve2 10 3 2 2" xfId="17489" xr:uid="{00000000-0005-0000-0000-00006F560000}"/>
    <cellStyle name="40 % - Markeringsfarve2 10 3 2 2 2" xfId="33765" xr:uid="{00000000-0005-0000-0000-000070560000}"/>
    <cellStyle name="40 % - Markeringsfarve2 10 3 2 2 3" xfId="48724" xr:uid="{00000000-0005-0000-0000-000071560000}"/>
    <cellStyle name="40 % - Markeringsfarve2 10 3 2 3" xfId="26763" xr:uid="{00000000-0005-0000-0000-000072560000}"/>
    <cellStyle name="40 % - Markeringsfarve2 10 3 2 4" xfId="41727" xr:uid="{00000000-0005-0000-0000-000073560000}"/>
    <cellStyle name="40 % - Markeringsfarve2 10 3 3" xfId="14147" xr:uid="{00000000-0005-0000-0000-000074560000}"/>
    <cellStyle name="40 % - Markeringsfarve2 10 3 3 2" xfId="30426" xr:uid="{00000000-0005-0000-0000-000075560000}"/>
    <cellStyle name="40 % - Markeringsfarve2 10 3 3 3" xfId="45386" xr:uid="{00000000-0005-0000-0000-000076560000}"/>
    <cellStyle name="40 % - Markeringsfarve2 10 3 4" xfId="23424" xr:uid="{00000000-0005-0000-0000-000077560000}"/>
    <cellStyle name="40 % - Markeringsfarve2 10 3 5" xfId="38389" xr:uid="{00000000-0005-0000-0000-000078560000}"/>
    <cellStyle name="40 % - Markeringsfarve2 10 4" xfId="8014" xr:uid="{00000000-0005-0000-0000-000079560000}"/>
    <cellStyle name="40 % - Markeringsfarve2 10 4 2" xfId="15879" xr:uid="{00000000-0005-0000-0000-00007A560000}"/>
    <cellStyle name="40 % - Markeringsfarve2 10 4 2 2" xfId="32155" xr:uid="{00000000-0005-0000-0000-00007B560000}"/>
    <cellStyle name="40 % - Markeringsfarve2 10 4 2 3" xfId="47114" xr:uid="{00000000-0005-0000-0000-00007C560000}"/>
    <cellStyle name="40 % - Markeringsfarve2 10 4 3" xfId="25153" xr:uid="{00000000-0005-0000-0000-00007D560000}"/>
    <cellStyle name="40 % - Markeringsfarve2 10 4 4" xfId="40117" xr:uid="{00000000-0005-0000-0000-00007E560000}"/>
    <cellStyle name="40 % - Markeringsfarve2 10 5" xfId="14145" xr:uid="{00000000-0005-0000-0000-00007F560000}"/>
    <cellStyle name="40 % - Markeringsfarve2 10 5 2" xfId="30424" xr:uid="{00000000-0005-0000-0000-000080560000}"/>
    <cellStyle name="40 % - Markeringsfarve2 10 5 3" xfId="45384" xr:uid="{00000000-0005-0000-0000-000081560000}"/>
    <cellStyle name="40 % - Markeringsfarve2 10 6" xfId="23422" xr:uid="{00000000-0005-0000-0000-000082560000}"/>
    <cellStyle name="40 % - Markeringsfarve2 10 7" xfId="38387" xr:uid="{00000000-0005-0000-0000-000083560000}"/>
    <cellStyle name="40 % - Markeringsfarve2 11" xfId="5663" xr:uid="{00000000-0005-0000-0000-000084560000}"/>
    <cellStyle name="40 % - Markeringsfarve2 11 2" xfId="5664" xr:uid="{00000000-0005-0000-0000-000085560000}"/>
    <cellStyle name="40 % - Markeringsfarve2 11 2 2" xfId="9697" xr:uid="{00000000-0005-0000-0000-000086560000}"/>
    <cellStyle name="40 % - Markeringsfarve2 11 2 2 2" xfId="17551" xr:uid="{00000000-0005-0000-0000-000087560000}"/>
    <cellStyle name="40 % - Markeringsfarve2 11 2 2 2 2" xfId="33827" xr:uid="{00000000-0005-0000-0000-000088560000}"/>
    <cellStyle name="40 % - Markeringsfarve2 11 2 2 2 3" xfId="48786" xr:uid="{00000000-0005-0000-0000-000089560000}"/>
    <cellStyle name="40 % - Markeringsfarve2 11 2 2 3" xfId="26825" xr:uid="{00000000-0005-0000-0000-00008A560000}"/>
    <cellStyle name="40 % - Markeringsfarve2 11 2 2 4" xfId="41789" xr:uid="{00000000-0005-0000-0000-00008B560000}"/>
    <cellStyle name="40 % - Markeringsfarve2 11 2 3" xfId="14149" xr:uid="{00000000-0005-0000-0000-00008C560000}"/>
    <cellStyle name="40 % - Markeringsfarve2 11 2 3 2" xfId="30428" xr:uid="{00000000-0005-0000-0000-00008D560000}"/>
    <cellStyle name="40 % - Markeringsfarve2 11 2 3 3" xfId="45388" xr:uid="{00000000-0005-0000-0000-00008E560000}"/>
    <cellStyle name="40 % - Markeringsfarve2 11 2 4" xfId="23426" xr:uid="{00000000-0005-0000-0000-00008F560000}"/>
    <cellStyle name="40 % - Markeringsfarve2 11 2 5" xfId="38391" xr:uid="{00000000-0005-0000-0000-000090560000}"/>
    <cellStyle name="40 % - Markeringsfarve2 11 3" xfId="8015" xr:uid="{00000000-0005-0000-0000-000091560000}"/>
    <cellStyle name="40 % - Markeringsfarve2 11 3 2" xfId="15880" xr:uid="{00000000-0005-0000-0000-000092560000}"/>
    <cellStyle name="40 % - Markeringsfarve2 11 3 2 2" xfId="32156" xr:uid="{00000000-0005-0000-0000-000093560000}"/>
    <cellStyle name="40 % - Markeringsfarve2 11 3 2 3" xfId="47115" xr:uid="{00000000-0005-0000-0000-000094560000}"/>
    <cellStyle name="40 % - Markeringsfarve2 11 3 3" xfId="25154" xr:uid="{00000000-0005-0000-0000-000095560000}"/>
    <cellStyle name="40 % - Markeringsfarve2 11 3 4" xfId="40118" xr:uid="{00000000-0005-0000-0000-000096560000}"/>
    <cellStyle name="40 % - Markeringsfarve2 11 4" xfId="14148" xr:uid="{00000000-0005-0000-0000-000097560000}"/>
    <cellStyle name="40 % - Markeringsfarve2 11 4 2" xfId="30427" xr:uid="{00000000-0005-0000-0000-000098560000}"/>
    <cellStyle name="40 % - Markeringsfarve2 11 4 3" xfId="45387" xr:uid="{00000000-0005-0000-0000-000099560000}"/>
    <cellStyle name="40 % - Markeringsfarve2 11 5" xfId="23425" xr:uid="{00000000-0005-0000-0000-00009A560000}"/>
    <cellStyle name="40 % - Markeringsfarve2 11 6" xfId="38390" xr:uid="{00000000-0005-0000-0000-00009B560000}"/>
    <cellStyle name="40 % - Markeringsfarve2 12" xfId="5665" xr:uid="{00000000-0005-0000-0000-00009C560000}"/>
    <cellStyle name="40 % - Markeringsfarve2 12 2" xfId="8919" xr:uid="{00000000-0005-0000-0000-00009D560000}"/>
    <cellStyle name="40 % - Markeringsfarve2 12 2 2" xfId="16785" xr:uid="{00000000-0005-0000-0000-00009E560000}"/>
    <cellStyle name="40 % - Markeringsfarve2 12 2 2 2" xfId="33061" xr:uid="{00000000-0005-0000-0000-00009F560000}"/>
    <cellStyle name="40 % - Markeringsfarve2 12 2 2 3" xfId="48020" xr:uid="{00000000-0005-0000-0000-0000A0560000}"/>
    <cellStyle name="40 % - Markeringsfarve2 12 2 3" xfId="26059" xr:uid="{00000000-0005-0000-0000-0000A1560000}"/>
    <cellStyle name="40 % - Markeringsfarve2 12 2 4" xfId="41023" xr:uid="{00000000-0005-0000-0000-0000A2560000}"/>
    <cellStyle name="40 % - Markeringsfarve2 12 3" xfId="14150" xr:uid="{00000000-0005-0000-0000-0000A3560000}"/>
    <cellStyle name="40 % - Markeringsfarve2 12 3 2" xfId="30429" xr:uid="{00000000-0005-0000-0000-0000A4560000}"/>
    <cellStyle name="40 % - Markeringsfarve2 12 3 3" xfId="45389" xr:uid="{00000000-0005-0000-0000-0000A5560000}"/>
    <cellStyle name="40 % - Markeringsfarve2 12 4" xfId="23427" xr:uid="{00000000-0005-0000-0000-0000A6560000}"/>
    <cellStyle name="40 % - Markeringsfarve2 12 5" xfId="38392" xr:uid="{00000000-0005-0000-0000-0000A7560000}"/>
    <cellStyle name="40 % - Markeringsfarve2 13" xfId="7601" xr:uid="{00000000-0005-0000-0000-0000A8560000}"/>
    <cellStyle name="40 % - Markeringsfarve2 13 2" xfId="15474" xr:uid="{00000000-0005-0000-0000-0000A9560000}"/>
    <cellStyle name="40 % - Markeringsfarve2 13 2 2" xfId="31750" xr:uid="{00000000-0005-0000-0000-0000AA560000}"/>
    <cellStyle name="40 % - Markeringsfarve2 13 2 3" xfId="46709" xr:uid="{00000000-0005-0000-0000-0000AB560000}"/>
    <cellStyle name="40 % - Markeringsfarve2 13 3" xfId="24748" xr:uid="{00000000-0005-0000-0000-0000AC560000}"/>
    <cellStyle name="40 % - Markeringsfarve2 13 4" xfId="39712" xr:uid="{00000000-0005-0000-0000-0000AD560000}"/>
    <cellStyle name="40 % - Markeringsfarve2 2" xfId="5666" xr:uid="{00000000-0005-0000-0000-0000AE560000}"/>
    <cellStyle name="40 % - Markeringsfarve2 2 10" xfId="5667" xr:uid="{00000000-0005-0000-0000-0000AF560000}"/>
    <cellStyle name="40 % - Markeringsfarve2 2 10 2" xfId="8951" xr:uid="{00000000-0005-0000-0000-0000B0560000}"/>
    <cellStyle name="40 % - Markeringsfarve2 2 10 2 2" xfId="16815" xr:uid="{00000000-0005-0000-0000-0000B1560000}"/>
    <cellStyle name="40 % - Markeringsfarve2 2 10 2 2 2" xfId="33091" xr:uid="{00000000-0005-0000-0000-0000B2560000}"/>
    <cellStyle name="40 % - Markeringsfarve2 2 10 2 2 3" xfId="48050" xr:uid="{00000000-0005-0000-0000-0000B3560000}"/>
    <cellStyle name="40 % - Markeringsfarve2 2 10 2 3" xfId="26089" xr:uid="{00000000-0005-0000-0000-0000B4560000}"/>
    <cellStyle name="40 % - Markeringsfarve2 2 10 2 4" xfId="41053" xr:uid="{00000000-0005-0000-0000-0000B5560000}"/>
    <cellStyle name="40 % - Markeringsfarve2 2 10 3" xfId="14152" xr:uid="{00000000-0005-0000-0000-0000B6560000}"/>
    <cellStyle name="40 % - Markeringsfarve2 2 10 3 2" xfId="30431" xr:uid="{00000000-0005-0000-0000-0000B7560000}"/>
    <cellStyle name="40 % - Markeringsfarve2 2 10 3 3" xfId="45391" xr:uid="{00000000-0005-0000-0000-0000B8560000}"/>
    <cellStyle name="40 % - Markeringsfarve2 2 10 4" xfId="23429" xr:uid="{00000000-0005-0000-0000-0000B9560000}"/>
    <cellStyle name="40 % - Markeringsfarve2 2 10 5" xfId="38394" xr:uid="{00000000-0005-0000-0000-0000BA560000}"/>
    <cellStyle name="40 % - Markeringsfarve2 2 11" xfId="8016" xr:uid="{00000000-0005-0000-0000-0000BB560000}"/>
    <cellStyle name="40 % - Markeringsfarve2 2 11 2" xfId="15881" xr:uid="{00000000-0005-0000-0000-0000BC560000}"/>
    <cellStyle name="40 % - Markeringsfarve2 2 11 2 2" xfId="32157" xr:uid="{00000000-0005-0000-0000-0000BD560000}"/>
    <cellStyle name="40 % - Markeringsfarve2 2 11 2 3" xfId="47116" xr:uid="{00000000-0005-0000-0000-0000BE560000}"/>
    <cellStyle name="40 % - Markeringsfarve2 2 11 3" xfId="25155" xr:uid="{00000000-0005-0000-0000-0000BF560000}"/>
    <cellStyle name="40 % - Markeringsfarve2 2 11 4" xfId="40119" xr:uid="{00000000-0005-0000-0000-0000C0560000}"/>
    <cellStyle name="40 % - Markeringsfarve2 2 12" xfId="14151" xr:uid="{00000000-0005-0000-0000-0000C1560000}"/>
    <cellStyle name="40 % - Markeringsfarve2 2 12 2" xfId="30430" xr:uid="{00000000-0005-0000-0000-0000C2560000}"/>
    <cellStyle name="40 % - Markeringsfarve2 2 12 3" xfId="45390" xr:uid="{00000000-0005-0000-0000-0000C3560000}"/>
    <cellStyle name="40 % - Markeringsfarve2 2 13" xfId="23428" xr:uid="{00000000-0005-0000-0000-0000C4560000}"/>
    <cellStyle name="40 % - Markeringsfarve2 2 14" xfId="38393" xr:uid="{00000000-0005-0000-0000-0000C5560000}"/>
    <cellStyle name="40 % - Markeringsfarve2 2 2" xfId="5668" xr:uid="{00000000-0005-0000-0000-0000C6560000}"/>
    <cellStyle name="40 % - Markeringsfarve2 2 2 10" xfId="14153" xr:uid="{00000000-0005-0000-0000-0000C7560000}"/>
    <cellStyle name="40 % - Markeringsfarve2 2 2 10 2" xfId="30432" xr:uid="{00000000-0005-0000-0000-0000C8560000}"/>
    <cellStyle name="40 % - Markeringsfarve2 2 2 10 3" xfId="45392" xr:uid="{00000000-0005-0000-0000-0000C9560000}"/>
    <cellStyle name="40 % - Markeringsfarve2 2 2 11" xfId="23430" xr:uid="{00000000-0005-0000-0000-0000CA560000}"/>
    <cellStyle name="40 % - Markeringsfarve2 2 2 12" xfId="38395" xr:uid="{00000000-0005-0000-0000-0000CB560000}"/>
    <cellStyle name="40 % - Markeringsfarve2 2 2 2" xfId="5669" xr:uid="{00000000-0005-0000-0000-0000CC560000}"/>
    <cellStyle name="40 % - Markeringsfarve2 2 2 2 2" xfId="5670" xr:uid="{00000000-0005-0000-0000-0000CD560000}"/>
    <cellStyle name="40 % - Markeringsfarve2 2 2 2 2 2" xfId="9881" xr:uid="{00000000-0005-0000-0000-0000CE560000}"/>
    <cellStyle name="40 % - Markeringsfarve2 2 2 2 2 2 2" xfId="17736" xr:uid="{00000000-0005-0000-0000-0000CF560000}"/>
    <cellStyle name="40 % - Markeringsfarve2 2 2 2 2 2 2 2" xfId="34012" xr:uid="{00000000-0005-0000-0000-0000D0560000}"/>
    <cellStyle name="40 % - Markeringsfarve2 2 2 2 2 2 2 3" xfId="48971" xr:uid="{00000000-0005-0000-0000-0000D1560000}"/>
    <cellStyle name="40 % - Markeringsfarve2 2 2 2 2 2 3" xfId="27010" xr:uid="{00000000-0005-0000-0000-0000D2560000}"/>
    <cellStyle name="40 % - Markeringsfarve2 2 2 2 2 2 4" xfId="41974" xr:uid="{00000000-0005-0000-0000-0000D3560000}"/>
    <cellStyle name="40 % - Markeringsfarve2 2 2 2 2 3" xfId="14155" xr:uid="{00000000-0005-0000-0000-0000D4560000}"/>
    <cellStyle name="40 % - Markeringsfarve2 2 2 2 2 3 2" xfId="30434" xr:uid="{00000000-0005-0000-0000-0000D5560000}"/>
    <cellStyle name="40 % - Markeringsfarve2 2 2 2 2 3 3" xfId="45394" xr:uid="{00000000-0005-0000-0000-0000D6560000}"/>
    <cellStyle name="40 % - Markeringsfarve2 2 2 2 2 4" xfId="23432" xr:uid="{00000000-0005-0000-0000-0000D7560000}"/>
    <cellStyle name="40 % - Markeringsfarve2 2 2 2 2 5" xfId="38397" xr:uid="{00000000-0005-0000-0000-0000D8560000}"/>
    <cellStyle name="40 % - Markeringsfarve2 2 2 2 3" xfId="5671" xr:uid="{00000000-0005-0000-0000-0000D9560000}"/>
    <cellStyle name="40 % - Markeringsfarve2 2 2 2 3 2" xfId="9112" xr:uid="{00000000-0005-0000-0000-0000DA560000}"/>
    <cellStyle name="40 % - Markeringsfarve2 2 2 2 3 2 2" xfId="16976" xr:uid="{00000000-0005-0000-0000-0000DB560000}"/>
    <cellStyle name="40 % - Markeringsfarve2 2 2 2 3 2 2 2" xfId="33252" xr:uid="{00000000-0005-0000-0000-0000DC560000}"/>
    <cellStyle name="40 % - Markeringsfarve2 2 2 2 3 2 2 3" xfId="48211" xr:uid="{00000000-0005-0000-0000-0000DD560000}"/>
    <cellStyle name="40 % - Markeringsfarve2 2 2 2 3 2 3" xfId="26250" xr:uid="{00000000-0005-0000-0000-0000DE560000}"/>
    <cellStyle name="40 % - Markeringsfarve2 2 2 2 3 2 4" xfId="41214" xr:uid="{00000000-0005-0000-0000-0000DF560000}"/>
    <cellStyle name="40 % - Markeringsfarve2 2 2 2 3 3" xfId="14156" xr:uid="{00000000-0005-0000-0000-0000E0560000}"/>
    <cellStyle name="40 % - Markeringsfarve2 2 2 2 3 3 2" xfId="30435" xr:uid="{00000000-0005-0000-0000-0000E1560000}"/>
    <cellStyle name="40 % - Markeringsfarve2 2 2 2 3 3 3" xfId="45395" xr:uid="{00000000-0005-0000-0000-0000E2560000}"/>
    <cellStyle name="40 % - Markeringsfarve2 2 2 2 3 4" xfId="23433" xr:uid="{00000000-0005-0000-0000-0000E3560000}"/>
    <cellStyle name="40 % - Markeringsfarve2 2 2 2 3 5" xfId="38398" xr:uid="{00000000-0005-0000-0000-0000E4560000}"/>
    <cellStyle name="40 % - Markeringsfarve2 2 2 2 4" xfId="8018" xr:uid="{00000000-0005-0000-0000-0000E5560000}"/>
    <cellStyle name="40 % - Markeringsfarve2 2 2 2 4 2" xfId="15883" xr:uid="{00000000-0005-0000-0000-0000E6560000}"/>
    <cellStyle name="40 % - Markeringsfarve2 2 2 2 4 2 2" xfId="32159" xr:uid="{00000000-0005-0000-0000-0000E7560000}"/>
    <cellStyle name="40 % - Markeringsfarve2 2 2 2 4 2 3" xfId="47118" xr:uid="{00000000-0005-0000-0000-0000E8560000}"/>
    <cellStyle name="40 % - Markeringsfarve2 2 2 2 4 3" xfId="25157" xr:uid="{00000000-0005-0000-0000-0000E9560000}"/>
    <cellStyle name="40 % - Markeringsfarve2 2 2 2 4 4" xfId="40121" xr:uid="{00000000-0005-0000-0000-0000EA560000}"/>
    <cellStyle name="40 % - Markeringsfarve2 2 2 2 5" xfId="14154" xr:uid="{00000000-0005-0000-0000-0000EB560000}"/>
    <cellStyle name="40 % - Markeringsfarve2 2 2 2 5 2" xfId="30433" xr:uid="{00000000-0005-0000-0000-0000EC560000}"/>
    <cellStyle name="40 % - Markeringsfarve2 2 2 2 5 3" xfId="45393" xr:uid="{00000000-0005-0000-0000-0000ED560000}"/>
    <cellStyle name="40 % - Markeringsfarve2 2 2 2 6" xfId="23431" xr:uid="{00000000-0005-0000-0000-0000EE560000}"/>
    <cellStyle name="40 % - Markeringsfarve2 2 2 2 7" xfId="38396" xr:uid="{00000000-0005-0000-0000-0000EF560000}"/>
    <cellStyle name="40 % - Markeringsfarve2 2 2 3" xfId="5672" xr:uid="{00000000-0005-0000-0000-0000F0560000}"/>
    <cellStyle name="40 % - Markeringsfarve2 2 2 3 2" xfId="5673" xr:uid="{00000000-0005-0000-0000-0000F1560000}"/>
    <cellStyle name="40 % - Markeringsfarve2 2 2 3 2 2" xfId="9996" xr:uid="{00000000-0005-0000-0000-0000F2560000}"/>
    <cellStyle name="40 % - Markeringsfarve2 2 2 3 2 2 2" xfId="17851" xr:uid="{00000000-0005-0000-0000-0000F3560000}"/>
    <cellStyle name="40 % - Markeringsfarve2 2 2 3 2 2 2 2" xfId="34127" xr:uid="{00000000-0005-0000-0000-0000F4560000}"/>
    <cellStyle name="40 % - Markeringsfarve2 2 2 3 2 2 2 3" xfId="49086" xr:uid="{00000000-0005-0000-0000-0000F5560000}"/>
    <cellStyle name="40 % - Markeringsfarve2 2 2 3 2 2 3" xfId="27125" xr:uid="{00000000-0005-0000-0000-0000F6560000}"/>
    <cellStyle name="40 % - Markeringsfarve2 2 2 3 2 2 4" xfId="42089" xr:uid="{00000000-0005-0000-0000-0000F7560000}"/>
    <cellStyle name="40 % - Markeringsfarve2 2 2 3 2 3" xfId="14158" xr:uid="{00000000-0005-0000-0000-0000F8560000}"/>
    <cellStyle name="40 % - Markeringsfarve2 2 2 3 2 3 2" xfId="30437" xr:uid="{00000000-0005-0000-0000-0000F9560000}"/>
    <cellStyle name="40 % - Markeringsfarve2 2 2 3 2 3 3" xfId="45397" xr:uid="{00000000-0005-0000-0000-0000FA560000}"/>
    <cellStyle name="40 % - Markeringsfarve2 2 2 3 2 4" xfId="23435" xr:uid="{00000000-0005-0000-0000-0000FB560000}"/>
    <cellStyle name="40 % - Markeringsfarve2 2 2 3 2 5" xfId="38400" xr:uid="{00000000-0005-0000-0000-0000FC560000}"/>
    <cellStyle name="40 % - Markeringsfarve2 2 2 3 3" xfId="5674" xr:uid="{00000000-0005-0000-0000-0000FD560000}"/>
    <cellStyle name="40 % - Markeringsfarve2 2 2 3 3 2" xfId="9227" xr:uid="{00000000-0005-0000-0000-0000FE560000}"/>
    <cellStyle name="40 % - Markeringsfarve2 2 2 3 3 2 2" xfId="17091" xr:uid="{00000000-0005-0000-0000-0000FF560000}"/>
    <cellStyle name="40 % - Markeringsfarve2 2 2 3 3 2 2 2" xfId="33367" xr:uid="{00000000-0005-0000-0000-000000570000}"/>
    <cellStyle name="40 % - Markeringsfarve2 2 2 3 3 2 2 3" xfId="48326" xr:uid="{00000000-0005-0000-0000-000001570000}"/>
    <cellStyle name="40 % - Markeringsfarve2 2 2 3 3 2 3" xfId="26365" xr:uid="{00000000-0005-0000-0000-000002570000}"/>
    <cellStyle name="40 % - Markeringsfarve2 2 2 3 3 2 4" xfId="41329" xr:uid="{00000000-0005-0000-0000-000003570000}"/>
    <cellStyle name="40 % - Markeringsfarve2 2 2 3 3 3" xfId="14159" xr:uid="{00000000-0005-0000-0000-000004570000}"/>
    <cellStyle name="40 % - Markeringsfarve2 2 2 3 3 3 2" xfId="30438" xr:uid="{00000000-0005-0000-0000-000005570000}"/>
    <cellStyle name="40 % - Markeringsfarve2 2 2 3 3 3 3" xfId="45398" xr:uid="{00000000-0005-0000-0000-000006570000}"/>
    <cellStyle name="40 % - Markeringsfarve2 2 2 3 3 4" xfId="23436" xr:uid="{00000000-0005-0000-0000-000007570000}"/>
    <cellStyle name="40 % - Markeringsfarve2 2 2 3 3 5" xfId="38401" xr:uid="{00000000-0005-0000-0000-000008570000}"/>
    <cellStyle name="40 % - Markeringsfarve2 2 2 3 4" xfId="8019" xr:uid="{00000000-0005-0000-0000-000009570000}"/>
    <cellStyle name="40 % - Markeringsfarve2 2 2 3 4 2" xfId="15884" xr:uid="{00000000-0005-0000-0000-00000A570000}"/>
    <cellStyle name="40 % - Markeringsfarve2 2 2 3 4 2 2" xfId="32160" xr:uid="{00000000-0005-0000-0000-00000B570000}"/>
    <cellStyle name="40 % - Markeringsfarve2 2 2 3 4 2 3" xfId="47119" xr:uid="{00000000-0005-0000-0000-00000C570000}"/>
    <cellStyle name="40 % - Markeringsfarve2 2 2 3 4 3" xfId="25158" xr:uid="{00000000-0005-0000-0000-00000D570000}"/>
    <cellStyle name="40 % - Markeringsfarve2 2 2 3 4 4" xfId="40122" xr:uid="{00000000-0005-0000-0000-00000E570000}"/>
    <cellStyle name="40 % - Markeringsfarve2 2 2 3 5" xfId="14157" xr:uid="{00000000-0005-0000-0000-00000F570000}"/>
    <cellStyle name="40 % - Markeringsfarve2 2 2 3 5 2" xfId="30436" xr:uid="{00000000-0005-0000-0000-000010570000}"/>
    <cellStyle name="40 % - Markeringsfarve2 2 2 3 5 3" xfId="45396" xr:uid="{00000000-0005-0000-0000-000011570000}"/>
    <cellStyle name="40 % - Markeringsfarve2 2 2 3 6" xfId="23434" xr:uid="{00000000-0005-0000-0000-000012570000}"/>
    <cellStyle name="40 % - Markeringsfarve2 2 2 3 7" xfId="38399" xr:uid="{00000000-0005-0000-0000-000013570000}"/>
    <cellStyle name="40 % - Markeringsfarve2 2 2 4" xfId="5675" xr:uid="{00000000-0005-0000-0000-000014570000}"/>
    <cellStyle name="40 % - Markeringsfarve2 2 2 4 2" xfId="5676" xr:uid="{00000000-0005-0000-0000-000015570000}"/>
    <cellStyle name="40 % - Markeringsfarve2 2 2 4 2 2" xfId="10119" xr:uid="{00000000-0005-0000-0000-000016570000}"/>
    <cellStyle name="40 % - Markeringsfarve2 2 2 4 2 2 2" xfId="17974" xr:uid="{00000000-0005-0000-0000-000017570000}"/>
    <cellStyle name="40 % - Markeringsfarve2 2 2 4 2 2 2 2" xfId="34250" xr:uid="{00000000-0005-0000-0000-000018570000}"/>
    <cellStyle name="40 % - Markeringsfarve2 2 2 4 2 2 2 3" xfId="49209" xr:uid="{00000000-0005-0000-0000-000019570000}"/>
    <cellStyle name="40 % - Markeringsfarve2 2 2 4 2 2 3" xfId="27248" xr:uid="{00000000-0005-0000-0000-00001A570000}"/>
    <cellStyle name="40 % - Markeringsfarve2 2 2 4 2 2 4" xfId="42212" xr:uid="{00000000-0005-0000-0000-00001B570000}"/>
    <cellStyle name="40 % - Markeringsfarve2 2 2 4 2 3" xfId="14161" xr:uid="{00000000-0005-0000-0000-00001C570000}"/>
    <cellStyle name="40 % - Markeringsfarve2 2 2 4 2 3 2" xfId="30440" xr:uid="{00000000-0005-0000-0000-00001D570000}"/>
    <cellStyle name="40 % - Markeringsfarve2 2 2 4 2 3 3" xfId="45400" xr:uid="{00000000-0005-0000-0000-00001E570000}"/>
    <cellStyle name="40 % - Markeringsfarve2 2 2 4 2 4" xfId="23438" xr:uid="{00000000-0005-0000-0000-00001F570000}"/>
    <cellStyle name="40 % - Markeringsfarve2 2 2 4 2 5" xfId="38403" xr:uid="{00000000-0005-0000-0000-000020570000}"/>
    <cellStyle name="40 % - Markeringsfarve2 2 2 4 3" xfId="5677" xr:uid="{00000000-0005-0000-0000-000021570000}"/>
    <cellStyle name="40 % - Markeringsfarve2 2 2 4 3 2" xfId="9396" xr:uid="{00000000-0005-0000-0000-000022570000}"/>
    <cellStyle name="40 % - Markeringsfarve2 2 2 4 3 2 2" xfId="17259" xr:uid="{00000000-0005-0000-0000-000023570000}"/>
    <cellStyle name="40 % - Markeringsfarve2 2 2 4 3 2 2 2" xfId="33535" xr:uid="{00000000-0005-0000-0000-000024570000}"/>
    <cellStyle name="40 % - Markeringsfarve2 2 2 4 3 2 2 3" xfId="48494" xr:uid="{00000000-0005-0000-0000-000025570000}"/>
    <cellStyle name="40 % - Markeringsfarve2 2 2 4 3 2 3" xfId="26533" xr:uid="{00000000-0005-0000-0000-000026570000}"/>
    <cellStyle name="40 % - Markeringsfarve2 2 2 4 3 2 4" xfId="41497" xr:uid="{00000000-0005-0000-0000-000027570000}"/>
    <cellStyle name="40 % - Markeringsfarve2 2 2 4 3 3" xfId="14162" xr:uid="{00000000-0005-0000-0000-000028570000}"/>
    <cellStyle name="40 % - Markeringsfarve2 2 2 4 3 3 2" xfId="30441" xr:uid="{00000000-0005-0000-0000-000029570000}"/>
    <cellStyle name="40 % - Markeringsfarve2 2 2 4 3 3 3" xfId="45401" xr:uid="{00000000-0005-0000-0000-00002A570000}"/>
    <cellStyle name="40 % - Markeringsfarve2 2 2 4 3 4" xfId="23439" xr:uid="{00000000-0005-0000-0000-00002B570000}"/>
    <cellStyle name="40 % - Markeringsfarve2 2 2 4 3 5" xfId="38404" xr:uid="{00000000-0005-0000-0000-00002C570000}"/>
    <cellStyle name="40 % - Markeringsfarve2 2 2 4 4" xfId="8020" xr:uid="{00000000-0005-0000-0000-00002D570000}"/>
    <cellStyle name="40 % - Markeringsfarve2 2 2 4 4 2" xfId="15885" xr:uid="{00000000-0005-0000-0000-00002E570000}"/>
    <cellStyle name="40 % - Markeringsfarve2 2 2 4 4 2 2" xfId="32161" xr:uid="{00000000-0005-0000-0000-00002F570000}"/>
    <cellStyle name="40 % - Markeringsfarve2 2 2 4 4 2 3" xfId="47120" xr:uid="{00000000-0005-0000-0000-000030570000}"/>
    <cellStyle name="40 % - Markeringsfarve2 2 2 4 4 3" xfId="25159" xr:uid="{00000000-0005-0000-0000-000031570000}"/>
    <cellStyle name="40 % - Markeringsfarve2 2 2 4 4 4" xfId="40123" xr:uid="{00000000-0005-0000-0000-000032570000}"/>
    <cellStyle name="40 % - Markeringsfarve2 2 2 4 5" xfId="14160" xr:uid="{00000000-0005-0000-0000-000033570000}"/>
    <cellStyle name="40 % - Markeringsfarve2 2 2 4 5 2" xfId="30439" xr:uid="{00000000-0005-0000-0000-000034570000}"/>
    <cellStyle name="40 % - Markeringsfarve2 2 2 4 5 3" xfId="45399" xr:uid="{00000000-0005-0000-0000-000035570000}"/>
    <cellStyle name="40 % - Markeringsfarve2 2 2 4 6" xfId="23437" xr:uid="{00000000-0005-0000-0000-000036570000}"/>
    <cellStyle name="40 % - Markeringsfarve2 2 2 4 7" xfId="38402" xr:uid="{00000000-0005-0000-0000-000037570000}"/>
    <cellStyle name="40 % - Markeringsfarve2 2 2 5" xfId="5678" xr:uid="{00000000-0005-0000-0000-000038570000}"/>
    <cellStyle name="40 % - Markeringsfarve2 2 2 5 2" xfId="5679" xr:uid="{00000000-0005-0000-0000-000039570000}"/>
    <cellStyle name="40 % - Markeringsfarve2 2 2 5 2 2" xfId="10236" xr:uid="{00000000-0005-0000-0000-00003A570000}"/>
    <cellStyle name="40 % - Markeringsfarve2 2 2 5 2 2 2" xfId="18091" xr:uid="{00000000-0005-0000-0000-00003B570000}"/>
    <cellStyle name="40 % - Markeringsfarve2 2 2 5 2 2 2 2" xfId="34367" xr:uid="{00000000-0005-0000-0000-00003C570000}"/>
    <cellStyle name="40 % - Markeringsfarve2 2 2 5 2 2 2 3" xfId="49326" xr:uid="{00000000-0005-0000-0000-00003D570000}"/>
    <cellStyle name="40 % - Markeringsfarve2 2 2 5 2 2 3" xfId="27365" xr:uid="{00000000-0005-0000-0000-00003E570000}"/>
    <cellStyle name="40 % - Markeringsfarve2 2 2 5 2 2 4" xfId="42329" xr:uid="{00000000-0005-0000-0000-00003F570000}"/>
    <cellStyle name="40 % - Markeringsfarve2 2 2 5 2 3" xfId="14164" xr:uid="{00000000-0005-0000-0000-000040570000}"/>
    <cellStyle name="40 % - Markeringsfarve2 2 2 5 2 3 2" xfId="30443" xr:uid="{00000000-0005-0000-0000-000041570000}"/>
    <cellStyle name="40 % - Markeringsfarve2 2 2 5 2 3 3" xfId="45403" xr:uid="{00000000-0005-0000-0000-000042570000}"/>
    <cellStyle name="40 % - Markeringsfarve2 2 2 5 2 4" xfId="23441" xr:uid="{00000000-0005-0000-0000-000043570000}"/>
    <cellStyle name="40 % - Markeringsfarve2 2 2 5 2 5" xfId="38406" xr:uid="{00000000-0005-0000-0000-000044570000}"/>
    <cellStyle name="40 % - Markeringsfarve2 2 2 5 3" xfId="5680" xr:uid="{00000000-0005-0000-0000-000045570000}"/>
    <cellStyle name="40 % - Markeringsfarve2 2 2 5 3 2" xfId="9513" xr:uid="{00000000-0005-0000-0000-000046570000}"/>
    <cellStyle name="40 % - Markeringsfarve2 2 2 5 3 2 2" xfId="17376" xr:uid="{00000000-0005-0000-0000-000047570000}"/>
    <cellStyle name="40 % - Markeringsfarve2 2 2 5 3 2 2 2" xfId="33652" xr:uid="{00000000-0005-0000-0000-000048570000}"/>
    <cellStyle name="40 % - Markeringsfarve2 2 2 5 3 2 2 3" xfId="48611" xr:uid="{00000000-0005-0000-0000-000049570000}"/>
    <cellStyle name="40 % - Markeringsfarve2 2 2 5 3 2 3" xfId="26650" xr:uid="{00000000-0005-0000-0000-00004A570000}"/>
    <cellStyle name="40 % - Markeringsfarve2 2 2 5 3 2 4" xfId="41614" xr:uid="{00000000-0005-0000-0000-00004B570000}"/>
    <cellStyle name="40 % - Markeringsfarve2 2 2 5 3 3" xfId="14165" xr:uid="{00000000-0005-0000-0000-00004C570000}"/>
    <cellStyle name="40 % - Markeringsfarve2 2 2 5 3 3 2" xfId="30444" xr:uid="{00000000-0005-0000-0000-00004D570000}"/>
    <cellStyle name="40 % - Markeringsfarve2 2 2 5 3 3 3" xfId="45404" xr:uid="{00000000-0005-0000-0000-00004E570000}"/>
    <cellStyle name="40 % - Markeringsfarve2 2 2 5 3 4" xfId="23442" xr:uid="{00000000-0005-0000-0000-00004F570000}"/>
    <cellStyle name="40 % - Markeringsfarve2 2 2 5 3 5" xfId="38407" xr:uid="{00000000-0005-0000-0000-000050570000}"/>
    <cellStyle name="40 % - Markeringsfarve2 2 2 5 4" xfId="8021" xr:uid="{00000000-0005-0000-0000-000051570000}"/>
    <cellStyle name="40 % - Markeringsfarve2 2 2 5 4 2" xfId="15886" xr:uid="{00000000-0005-0000-0000-000052570000}"/>
    <cellStyle name="40 % - Markeringsfarve2 2 2 5 4 2 2" xfId="32162" xr:uid="{00000000-0005-0000-0000-000053570000}"/>
    <cellStyle name="40 % - Markeringsfarve2 2 2 5 4 2 3" xfId="47121" xr:uid="{00000000-0005-0000-0000-000054570000}"/>
    <cellStyle name="40 % - Markeringsfarve2 2 2 5 4 3" xfId="25160" xr:uid="{00000000-0005-0000-0000-000055570000}"/>
    <cellStyle name="40 % - Markeringsfarve2 2 2 5 4 4" xfId="40124" xr:uid="{00000000-0005-0000-0000-000056570000}"/>
    <cellStyle name="40 % - Markeringsfarve2 2 2 5 5" xfId="14163" xr:uid="{00000000-0005-0000-0000-000057570000}"/>
    <cellStyle name="40 % - Markeringsfarve2 2 2 5 5 2" xfId="30442" xr:uid="{00000000-0005-0000-0000-000058570000}"/>
    <cellStyle name="40 % - Markeringsfarve2 2 2 5 5 3" xfId="45402" xr:uid="{00000000-0005-0000-0000-000059570000}"/>
    <cellStyle name="40 % - Markeringsfarve2 2 2 5 6" xfId="23440" xr:uid="{00000000-0005-0000-0000-00005A570000}"/>
    <cellStyle name="40 % - Markeringsfarve2 2 2 5 7" xfId="38405" xr:uid="{00000000-0005-0000-0000-00005B570000}"/>
    <cellStyle name="40 % - Markeringsfarve2 2 2 6" xfId="5681" xr:uid="{00000000-0005-0000-0000-00005C570000}"/>
    <cellStyle name="40 % - Markeringsfarve2 2 2 6 2" xfId="5682" xr:uid="{00000000-0005-0000-0000-00005D570000}"/>
    <cellStyle name="40 % - Markeringsfarve2 2 2 6 2 2" xfId="10350" xr:uid="{00000000-0005-0000-0000-00005E570000}"/>
    <cellStyle name="40 % - Markeringsfarve2 2 2 6 2 2 2" xfId="18205" xr:uid="{00000000-0005-0000-0000-00005F570000}"/>
    <cellStyle name="40 % - Markeringsfarve2 2 2 6 2 2 2 2" xfId="34481" xr:uid="{00000000-0005-0000-0000-000060570000}"/>
    <cellStyle name="40 % - Markeringsfarve2 2 2 6 2 2 2 3" xfId="49440" xr:uid="{00000000-0005-0000-0000-000061570000}"/>
    <cellStyle name="40 % - Markeringsfarve2 2 2 6 2 2 3" xfId="27479" xr:uid="{00000000-0005-0000-0000-000062570000}"/>
    <cellStyle name="40 % - Markeringsfarve2 2 2 6 2 2 4" xfId="42443" xr:uid="{00000000-0005-0000-0000-000063570000}"/>
    <cellStyle name="40 % - Markeringsfarve2 2 2 6 2 3" xfId="14167" xr:uid="{00000000-0005-0000-0000-000064570000}"/>
    <cellStyle name="40 % - Markeringsfarve2 2 2 6 2 3 2" xfId="30446" xr:uid="{00000000-0005-0000-0000-000065570000}"/>
    <cellStyle name="40 % - Markeringsfarve2 2 2 6 2 3 3" xfId="45406" xr:uid="{00000000-0005-0000-0000-000066570000}"/>
    <cellStyle name="40 % - Markeringsfarve2 2 2 6 2 4" xfId="23444" xr:uid="{00000000-0005-0000-0000-000067570000}"/>
    <cellStyle name="40 % - Markeringsfarve2 2 2 6 2 5" xfId="38409" xr:uid="{00000000-0005-0000-0000-000068570000}"/>
    <cellStyle name="40 % - Markeringsfarve2 2 2 6 3" xfId="5683" xr:uid="{00000000-0005-0000-0000-000069570000}"/>
    <cellStyle name="40 % - Markeringsfarve2 2 2 6 3 2" xfId="9628" xr:uid="{00000000-0005-0000-0000-00006A570000}"/>
    <cellStyle name="40 % - Markeringsfarve2 2 2 6 3 2 2" xfId="17491" xr:uid="{00000000-0005-0000-0000-00006B570000}"/>
    <cellStyle name="40 % - Markeringsfarve2 2 2 6 3 2 2 2" xfId="33767" xr:uid="{00000000-0005-0000-0000-00006C570000}"/>
    <cellStyle name="40 % - Markeringsfarve2 2 2 6 3 2 2 3" xfId="48726" xr:uid="{00000000-0005-0000-0000-00006D570000}"/>
    <cellStyle name="40 % - Markeringsfarve2 2 2 6 3 2 3" xfId="26765" xr:uid="{00000000-0005-0000-0000-00006E570000}"/>
    <cellStyle name="40 % - Markeringsfarve2 2 2 6 3 2 4" xfId="41729" xr:uid="{00000000-0005-0000-0000-00006F570000}"/>
    <cellStyle name="40 % - Markeringsfarve2 2 2 6 3 3" xfId="14168" xr:uid="{00000000-0005-0000-0000-000070570000}"/>
    <cellStyle name="40 % - Markeringsfarve2 2 2 6 3 3 2" xfId="30447" xr:uid="{00000000-0005-0000-0000-000071570000}"/>
    <cellStyle name="40 % - Markeringsfarve2 2 2 6 3 3 3" xfId="45407" xr:uid="{00000000-0005-0000-0000-000072570000}"/>
    <cellStyle name="40 % - Markeringsfarve2 2 2 6 3 4" xfId="23445" xr:uid="{00000000-0005-0000-0000-000073570000}"/>
    <cellStyle name="40 % - Markeringsfarve2 2 2 6 3 5" xfId="38410" xr:uid="{00000000-0005-0000-0000-000074570000}"/>
    <cellStyle name="40 % - Markeringsfarve2 2 2 6 4" xfId="8022" xr:uid="{00000000-0005-0000-0000-000075570000}"/>
    <cellStyle name="40 % - Markeringsfarve2 2 2 6 4 2" xfId="15887" xr:uid="{00000000-0005-0000-0000-000076570000}"/>
    <cellStyle name="40 % - Markeringsfarve2 2 2 6 4 2 2" xfId="32163" xr:uid="{00000000-0005-0000-0000-000077570000}"/>
    <cellStyle name="40 % - Markeringsfarve2 2 2 6 4 2 3" xfId="47122" xr:uid="{00000000-0005-0000-0000-000078570000}"/>
    <cellStyle name="40 % - Markeringsfarve2 2 2 6 4 3" xfId="25161" xr:uid="{00000000-0005-0000-0000-000079570000}"/>
    <cellStyle name="40 % - Markeringsfarve2 2 2 6 4 4" xfId="40125" xr:uid="{00000000-0005-0000-0000-00007A570000}"/>
    <cellStyle name="40 % - Markeringsfarve2 2 2 6 5" xfId="14166" xr:uid="{00000000-0005-0000-0000-00007B570000}"/>
    <cellStyle name="40 % - Markeringsfarve2 2 2 6 5 2" xfId="30445" xr:uid="{00000000-0005-0000-0000-00007C570000}"/>
    <cellStyle name="40 % - Markeringsfarve2 2 2 6 5 3" xfId="45405" xr:uid="{00000000-0005-0000-0000-00007D570000}"/>
    <cellStyle name="40 % - Markeringsfarve2 2 2 6 6" xfId="23443" xr:uid="{00000000-0005-0000-0000-00007E570000}"/>
    <cellStyle name="40 % - Markeringsfarve2 2 2 6 7" xfId="38408" xr:uid="{00000000-0005-0000-0000-00007F570000}"/>
    <cellStyle name="40 % - Markeringsfarve2 2 2 7" xfId="5684" xr:uid="{00000000-0005-0000-0000-000080570000}"/>
    <cellStyle name="40 % - Markeringsfarve2 2 2 7 2" xfId="9763" xr:uid="{00000000-0005-0000-0000-000081570000}"/>
    <cellStyle name="40 % - Markeringsfarve2 2 2 7 2 2" xfId="17617" xr:uid="{00000000-0005-0000-0000-000082570000}"/>
    <cellStyle name="40 % - Markeringsfarve2 2 2 7 2 2 2" xfId="33893" xr:uid="{00000000-0005-0000-0000-000083570000}"/>
    <cellStyle name="40 % - Markeringsfarve2 2 2 7 2 2 3" xfId="48852" xr:uid="{00000000-0005-0000-0000-000084570000}"/>
    <cellStyle name="40 % - Markeringsfarve2 2 2 7 2 3" xfId="26891" xr:uid="{00000000-0005-0000-0000-000085570000}"/>
    <cellStyle name="40 % - Markeringsfarve2 2 2 7 2 4" xfId="41855" xr:uid="{00000000-0005-0000-0000-000086570000}"/>
    <cellStyle name="40 % - Markeringsfarve2 2 2 7 3" xfId="14169" xr:uid="{00000000-0005-0000-0000-000087570000}"/>
    <cellStyle name="40 % - Markeringsfarve2 2 2 7 3 2" xfId="30448" xr:uid="{00000000-0005-0000-0000-000088570000}"/>
    <cellStyle name="40 % - Markeringsfarve2 2 2 7 3 3" xfId="45408" xr:uid="{00000000-0005-0000-0000-000089570000}"/>
    <cellStyle name="40 % - Markeringsfarve2 2 2 7 4" xfId="23446" xr:uid="{00000000-0005-0000-0000-00008A570000}"/>
    <cellStyle name="40 % - Markeringsfarve2 2 2 7 5" xfId="38411" xr:uid="{00000000-0005-0000-0000-00008B570000}"/>
    <cellStyle name="40 % - Markeringsfarve2 2 2 8" xfId="5685" xr:uid="{00000000-0005-0000-0000-00008C570000}"/>
    <cellStyle name="40 % - Markeringsfarve2 2 2 8 2" xfId="8991" xr:uid="{00000000-0005-0000-0000-00008D570000}"/>
    <cellStyle name="40 % - Markeringsfarve2 2 2 8 2 2" xfId="16855" xr:uid="{00000000-0005-0000-0000-00008E570000}"/>
    <cellStyle name="40 % - Markeringsfarve2 2 2 8 2 2 2" xfId="33131" xr:uid="{00000000-0005-0000-0000-00008F570000}"/>
    <cellStyle name="40 % - Markeringsfarve2 2 2 8 2 2 3" xfId="48090" xr:uid="{00000000-0005-0000-0000-000090570000}"/>
    <cellStyle name="40 % - Markeringsfarve2 2 2 8 2 3" xfId="26129" xr:uid="{00000000-0005-0000-0000-000091570000}"/>
    <cellStyle name="40 % - Markeringsfarve2 2 2 8 2 4" xfId="41093" xr:uid="{00000000-0005-0000-0000-000092570000}"/>
    <cellStyle name="40 % - Markeringsfarve2 2 2 8 3" xfId="14170" xr:uid="{00000000-0005-0000-0000-000093570000}"/>
    <cellStyle name="40 % - Markeringsfarve2 2 2 8 3 2" xfId="30449" xr:uid="{00000000-0005-0000-0000-000094570000}"/>
    <cellStyle name="40 % - Markeringsfarve2 2 2 8 3 3" xfId="45409" xr:uid="{00000000-0005-0000-0000-000095570000}"/>
    <cellStyle name="40 % - Markeringsfarve2 2 2 8 4" xfId="23447" xr:uid="{00000000-0005-0000-0000-000096570000}"/>
    <cellStyle name="40 % - Markeringsfarve2 2 2 8 5" xfId="38412" xr:uid="{00000000-0005-0000-0000-000097570000}"/>
    <cellStyle name="40 % - Markeringsfarve2 2 2 9" xfId="8017" xr:uid="{00000000-0005-0000-0000-000098570000}"/>
    <cellStyle name="40 % - Markeringsfarve2 2 2 9 2" xfId="15882" xr:uid="{00000000-0005-0000-0000-000099570000}"/>
    <cellStyle name="40 % - Markeringsfarve2 2 2 9 2 2" xfId="32158" xr:uid="{00000000-0005-0000-0000-00009A570000}"/>
    <cellStyle name="40 % - Markeringsfarve2 2 2 9 2 3" xfId="47117" xr:uid="{00000000-0005-0000-0000-00009B570000}"/>
    <cellStyle name="40 % - Markeringsfarve2 2 2 9 3" xfId="25156" xr:uid="{00000000-0005-0000-0000-00009C570000}"/>
    <cellStyle name="40 % - Markeringsfarve2 2 2 9 4" xfId="40120" xr:uid="{00000000-0005-0000-0000-00009D570000}"/>
    <cellStyle name="40 % - Markeringsfarve2 2 3" xfId="5686" xr:uid="{00000000-0005-0000-0000-00009E570000}"/>
    <cellStyle name="40 % - Markeringsfarve2 2 3 10" xfId="14171" xr:uid="{00000000-0005-0000-0000-00009F570000}"/>
    <cellStyle name="40 % - Markeringsfarve2 2 3 10 2" xfId="30450" xr:uid="{00000000-0005-0000-0000-0000A0570000}"/>
    <cellStyle name="40 % - Markeringsfarve2 2 3 10 3" xfId="45410" xr:uid="{00000000-0005-0000-0000-0000A1570000}"/>
    <cellStyle name="40 % - Markeringsfarve2 2 3 11" xfId="23448" xr:uid="{00000000-0005-0000-0000-0000A2570000}"/>
    <cellStyle name="40 % - Markeringsfarve2 2 3 12" xfId="38413" xr:uid="{00000000-0005-0000-0000-0000A3570000}"/>
    <cellStyle name="40 % - Markeringsfarve2 2 3 2" xfId="5687" xr:uid="{00000000-0005-0000-0000-0000A4570000}"/>
    <cellStyle name="40 % - Markeringsfarve2 2 3 2 2" xfId="5688" xr:uid="{00000000-0005-0000-0000-0000A5570000}"/>
    <cellStyle name="40 % - Markeringsfarve2 2 3 2 2 2" xfId="9920" xr:uid="{00000000-0005-0000-0000-0000A6570000}"/>
    <cellStyle name="40 % - Markeringsfarve2 2 3 2 2 2 2" xfId="17775" xr:uid="{00000000-0005-0000-0000-0000A7570000}"/>
    <cellStyle name="40 % - Markeringsfarve2 2 3 2 2 2 2 2" xfId="34051" xr:uid="{00000000-0005-0000-0000-0000A8570000}"/>
    <cellStyle name="40 % - Markeringsfarve2 2 3 2 2 2 2 3" xfId="49010" xr:uid="{00000000-0005-0000-0000-0000A9570000}"/>
    <cellStyle name="40 % - Markeringsfarve2 2 3 2 2 2 3" xfId="27049" xr:uid="{00000000-0005-0000-0000-0000AA570000}"/>
    <cellStyle name="40 % - Markeringsfarve2 2 3 2 2 2 4" xfId="42013" xr:uid="{00000000-0005-0000-0000-0000AB570000}"/>
    <cellStyle name="40 % - Markeringsfarve2 2 3 2 2 3" xfId="14173" xr:uid="{00000000-0005-0000-0000-0000AC570000}"/>
    <cellStyle name="40 % - Markeringsfarve2 2 3 2 2 3 2" xfId="30452" xr:uid="{00000000-0005-0000-0000-0000AD570000}"/>
    <cellStyle name="40 % - Markeringsfarve2 2 3 2 2 3 3" xfId="45412" xr:uid="{00000000-0005-0000-0000-0000AE570000}"/>
    <cellStyle name="40 % - Markeringsfarve2 2 3 2 2 4" xfId="23450" xr:uid="{00000000-0005-0000-0000-0000AF570000}"/>
    <cellStyle name="40 % - Markeringsfarve2 2 3 2 2 5" xfId="38415" xr:uid="{00000000-0005-0000-0000-0000B0570000}"/>
    <cellStyle name="40 % - Markeringsfarve2 2 3 2 3" xfId="5689" xr:uid="{00000000-0005-0000-0000-0000B1570000}"/>
    <cellStyle name="40 % - Markeringsfarve2 2 3 2 3 2" xfId="9151" xr:uid="{00000000-0005-0000-0000-0000B2570000}"/>
    <cellStyle name="40 % - Markeringsfarve2 2 3 2 3 2 2" xfId="17015" xr:uid="{00000000-0005-0000-0000-0000B3570000}"/>
    <cellStyle name="40 % - Markeringsfarve2 2 3 2 3 2 2 2" xfId="33291" xr:uid="{00000000-0005-0000-0000-0000B4570000}"/>
    <cellStyle name="40 % - Markeringsfarve2 2 3 2 3 2 2 3" xfId="48250" xr:uid="{00000000-0005-0000-0000-0000B5570000}"/>
    <cellStyle name="40 % - Markeringsfarve2 2 3 2 3 2 3" xfId="26289" xr:uid="{00000000-0005-0000-0000-0000B6570000}"/>
    <cellStyle name="40 % - Markeringsfarve2 2 3 2 3 2 4" xfId="41253" xr:uid="{00000000-0005-0000-0000-0000B7570000}"/>
    <cellStyle name="40 % - Markeringsfarve2 2 3 2 3 3" xfId="14174" xr:uid="{00000000-0005-0000-0000-0000B8570000}"/>
    <cellStyle name="40 % - Markeringsfarve2 2 3 2 3 3 2" xfId="30453" xr:uid="{00000000-0005-0000-0000-0000B9570000}"/>
    <cellStyle name="40 % - Markeringsfarve2 2 3 2 3 3 3" xfId="45413" xr:uid="{00000000-0005-0000-0000-0000BA570000}"/>
    <cellStyle name="40 % - Markeringsfarve2 2 3 2 3 4" xfId="23451" xr:uid="{00000000-0005-0000-0000-0000BB570000}"/>
    <cellStyle name="40 % - Markeringsfarve2 2 3 2 3 5" xfId="38416" xr:uid="{00000000-0005-0000-0000-0000BC570000}"/>
    <cellStyle name="40 % - Markeringsfarve2 2 3 2 4" xfId="8024" xr:uid="{00000000-0005-0000-0000-0000BD570000}"/>
    <cellStyle name="40 % - Markeringsfarve2 2 3 2 4 2" xfId="15889" xr:uid="{00000000-0005-0000-0000-0000BE570000}"/>
    <cellStyle name="40 % - Markeringsfarve2 2 3 2 4 2 2" xfId="32165" xr:uid="{00000000-0005-0000-0000-0000BF570000}"/>
    <cellStyle name="40 % - Markeringsfarve2 2 3 2 4 2 3" xfId="47124" xr:uid="{00000000-0005-0000-0000-0000C0570000}"/>
    <cellStyle name="40 % - Markeringsfarve2 2 3 2 4 3" xfId="25163" xr:uid="{00000000-0005-0000-0000-0000C1570000}"/>
    <cellStyle name="40 % - Markeringsfarve2 2 3 2 4 4" xfId="40127" xr:uid="{00000000-0005-0000-0000-0000C2570000}"/>
    <cellStyle name="40 % - Markeringsfarve2 2 3 2 5" xfId="14172" xr:uid="{00000000-0005-0000-0000-0000C3570000}"/>
    <cellStyle name="40 % - Markeringsfarve2 2 3 2 5 2" xfId="30451" xr:uid="{00000000-0005-0000-0000-0000C4570000}"/>
    <cellStyle name="40 % - Markeringsfarve2 2 3 2 5 3" xfId="45411" xr:uid="{00000000-0005-0000-0000-0000C5570000}"/>
    <cellStyle name="40 % - Markeringsfarve2 2 3 2 6" xfId="23449" xr:uid="{00000000-0005-0000-0000-0000C6570000}"/>
    <cellStyle name="40 % - Markeringsfarve2 2 3 2 7" xfId="38414" xr:uid="{00000000-0005-0000-0000-0000C7570000}"/>
    <cellStyle name="40 % - Markeringsfarve2 2 3 3" xfId="5690" xr:uid="{00000000-0005-0000-0000-0000C8570000}"/>
    <cellStyle name="40 % - Markeringsfarve2 2 3 3 2" xfId="5691" xr:uid="{00000000-0005-0000-0000-0000C9570000}"/>
    <cellStyle name="40 % - Markeringsfarve2 2 3 3 2 2" xfId="9997" xr:uid="{00000000-0005-0000-0000-0000CA570000}"/>
    <cellStyle name="40 % - Markeringsfarve2 2 3 3 2 2 2" xfId="17852" xr:uid="{00000000-0005-0000-0000-0000CB570000}"/>
    <cellStyle name="40 % - Markeringsfarve2 2 3 3 2 2 2 2" xfId="34128" xr:uid="{00000000-0005-0000-0000-0000CC570000}"/>
    <cellStyle name="40 % - Markeringsfarve2 2 3 3 2 2 2 3" xfId="49087" xr:uid="{00000000-0005-0000-0000-0000CD570000}"/>
    <cellStyle name="40 % - Markeringsfarve2 2 3 3 2 2 3" xfId="27126" xr:uid="{00000000-0005-0000-0000-0000CE570000}"/>
    <cellStyle name="40 % - Markeringsfarve2 2 3 3 2 2 4" xfId="42090" xr:uid="{00000000-0005-0000-0000-0000CF570000}"/>
    <cellStyle name="40 % - Markeringsfarve2 2 3 3 2 3" xfId="14176" xr:uid="{00000000-0005-0000-0000-0000D0570000}"/>
    <cellStyle name="40 % - Markeringsfarve2 2 3 3 2 3 2" xfId="30455" xr:uid="{00000000-0005-0000-0000-0000D1570000}"/>
    <cellStyle name="40 % - Markeringsfarve2 2 3 3 2 3 3" xfId="45415" xr:uid="{00000000-0005-0000-0000-0000D2570000}"/>
    <cellStyle name="40 % - Markeringsfarve2 2 3 3 2 4" xfId="23453" xr:uid="{00000000-0005-0000-0000-0000D3570000}"/>
    <cellStyle name="40 % - Markeringsfarve2 2 3 3 2 5" xfId="38418" xr:uid="{00000000-0005-0000-0000-0000D4570000}"/>
    <cellStyle name="40 % - Markeringsfarve2 2 3 3 3" xfId="5692" xr:uid="{00000000-0005-0000-0000-0000D5570000}"/>
    <cellStyle name="40 % - Markeringsfarve2 2 3 3 3 2" xfId="9228" xr:uid="{00000000-0005-0000-0000-0000D6570000}"/>
    <cellStyle name="40 % - Markeringsfarve2 2 3 3 3 2 2" xfId="17092" xr:uid="{00000000-0005-0000-0000-0000D7570000}"/>
    <cellStyle name="40 % - Markeringsfarve2 2 3 3 3 2 2 2" xfId="33368" xr:uid="{00000000-0005-0000-0000-0000D8570000}"/>
    <cellStyle name="40 % - Markeringsfarve2 2 3 3 3 2 2 3" xfId="48327" xr:uid="{00000000-0005-0000-0000-0000D9570000}"/>
    <cellStyle name="40 % - Markeringsfarve2 2 3 3 3 2 3" xfId="26366" xr:uid="{00000000-0005-0000-0000-0000DA570000}"/>
    <cellStyle name="40 % - Markeringsfarve2 2 3 3 3 2 4" xfId="41330" xr:uid="{00000000-0005-0000-0000-0000DB570000}"/>
    <cellStyle name="40 % - Markeringsfarve2 2 3 3 3 3" xfId="14177" xr:uid="{00000000-0005-0000-0000-0000DC570000}"/>
    <cellStyle name="40 % - Markeringsfarve2 2 3 3 3 3 2" xfId="30456" xr:uid="{00000000-0005-0000-0000-0000DD570000}"/>
    <cellStyle name="40 % - Markeringsfarve2 2 3 3 3 3 3" xfId="45416" xr:uid="{00000000-0005-0000-0000-0000DE570000}"/>
    <cellStyle name="40 % - Markeringsfarve2 2 3 3 3 4" xfId="23454" xr:uid="{00000000-0005-0000-0000-0000DF570000}"/>
    <cellStyle name="40 % - Markeringsfarve2 2 3 3 3 5" xfId="38419" xr:uid="{00000000-0005-0000-0000-0000E0570000}"/>
    <cellStyle name="40 % - Markeringsfarve2 2 3 3 4" xfId="8025" xr:uid="{00000000-0005-0000-0000-0000E1570000}"/>
    <cellStyle name="40 % - Markeringsfarve2 2 3 3 4 2" xfId="15890" xr:uid="{00000000-0005-0000-0000-0000E2570000}"/>
    <cellStyle name="40 % - Markeringsfarve2 2 3 3 4 2 2" xfId="32166" xr:uid="{00000000-0005-0000-0000-0000E3570000}"/>
    <cellStyle name="40 % - Markeringsfarve2 2 3 3 4 2 3" xfId="47125" xr:uid="{00000000-0005-0000-0000-0000E4570000}"/>
    <cellStyle name="40 % - Markeringsfarve2 2 3 3 4 3" xfId="25164" xr:uid="{00000000-0005-0000-0000-0000E5570000}"/>
    <cellStyle name="40 % - Markeringsfarve2 2 3 3 4 4" xfId="40128" xr:uid="{00000000-0005-0000-0000-0000E6570000}"/>
    <cellStyle name="40 % - Markeringsfarve2 2 3 3 5" xfId="14175" xr:uid="{00000000-0005-0000-0000-0000E7570000}"/>
    <cellStyle name="40 % - Markeringsfarve2 2 3 3 5 2" xfId="30454" xr:uid="{00000000-0005-0000-0000-0000E8570000}"/>
    <cellStyle name="40 % - Markeringsfarve2 2 3 3 5 3" xfId="45414" xr:uid="{00000000-0005-0000-0000-0000E9570000}"/>
    <cellStyle name="40 % - Markeringsfarve2 2 3 3 6" xfId="23452" xr:uid="{00000000-0005-0000-0000-0000EA570000}"/>
    <cellStyle name="40 % - Markeringsfarve2 2 3 3 7" xfId="38417" xr:uid="{00000000-0005-0000-0000-0000EB570000}"/>
    <cellStyle name="40 % - Markeringsfarve2 2 3 4" xfId="5693" xr:uid="{00000000-0005-0000-0000-0000EC570000}"/>
    <cellStyle name="40 % - Markeringsfarve2 2 3 4 2" xfId="5694" xr:uid="{00000000-0005-0000-0000-0000ED570000}"/>
    <cellStyle name="40 % - Markeringsfarve2 2 3 4 2 2" xfId="10158" xr:uid="{00000000-0005-0000-0000-0000EE570000}"/>
    <cellStyle name="40 % - Markeringsfarve2 2 3 4 2 2 2" xfId="18013" xr:uid="{00000000-0005-0000-0000-0000EF570000}"/>
    <cellStyle name="40 % - Markeringsfarve2 2 3 4 2 2 2 2" xfId="34289" xr:uid="{00000000-0005-0000-0000-0000F0570000}"/>
    <cellStyle name="40 % - Markeringsfarve2 2 3 4 2 2 2 3" xfId="49248" xr:uid="{00000000-0005-0000-0000-0000F1570000}"/>
    <cellStyle name="40 % - Markeringsfarve2 2 3 4 2 2 3" xfId="27287" xr:uid="{00000000-0005-0000-0000-0000F2570000}"/>
    <cellStyle name="40 % - Markeringsfarve2 2 3 4 2 2 4" xfId="42251" xr:uid="{00000000-0005-0000-0000-0000F3570000}"/>
    <cellStyle name="40 % - Markeringsfarve2 2 3 4 2 3" xfId="14179" xr:uid="{00000000-0005-0000-0000-0000F4570000}"/>
    <cellStyle name="40 % - Markeringsfarve2 2 3 4 2 3 2" xfId="30458" xr:uid="{00000000-0005-0000-0000-0000F5570000}"/>
    <cellStyle name="40 % - Markeringsfarve2 2 3 4 2 3 3" xfId="45418" xr:uid="{00000000-0005-0000-0000-0000F6570000}"/>
    <cellStyle name="40 % - Markeringsfarve2 2 3 4 2 4" xfId="23456" xr:uid="{00000000-0005-0000-0000-0000F7570000}"/>
    <cellStyle name="40 % - Markeringsfarve2 2 3 4 2 5" xfId="38421" xr:uid="{00000000-0005-0000-0000-0000F8570000}"/>
    <cellStyle name="40 % - Markeringsfarve2 2 3 4 3" xfId="5695" xr:uid="{00000000-0005-0000-0000-0000F9570000}"/>
    <cellStyle name="40 % - Markeringsfarve2 2 3 4 3 2" xfId="9435" xr:uid="{00000000-0005-0000-0000-0000FA570000}"/>
    <cellStyle name="40 % - Markeringsfarve2 2 3 4 3 2 2" xfId="17298" xr:uid="{00000000-0005-0000-0000-0000FB570000}"/>
    <cellStyle name="40 % - Markeringsfarve2 2 3 4 3 2 2 2" xfId="33574" xr:uid="{00000000-0005-0000-0000-0000FC570000}"/>
    <cellStyle name="40 % - Markeringsfarve2 2 3 4 3 2 2 3" xfId="48533" xr:uid="{00000000-0005-0000-0000-0000FD570000}"/>
    <cellStyle name="40 % - Markeringsfarve2 2 3 4 3 2 3" xfId="26572" xr:uid="{00000000-0005-0000-0000-0000FE570000}"/>
    <cellStyle name="40 % - Markeringsfarve2 2 3 4 3 2 4" xfId="41536" xr:uid="{00000000-0005-0000-0000-0000FF570000}"/>
    <cellStyle name="40 % - Markeringsfarve2 2 3 4 3 3" xfId="14180" xr:uid="{00000000-0005-0000-0000-000000580000}"/>
    <cellStyle name="40 % - Markeringsfarve2 2 3 4 3 3 2" xfId="30459" xr:uid="{00000000-0005-0000-0000-000001580000}"/>
    <cellStyle name="40 % - Markeringsfarve2 2 3 4 3 3 3" xfId="45419" xr:uid="{00000000-0005-0000-0000-000002580000}"/>
    <cellStyle name="40 % - Markeringsfarve2 2 3 4 3 4" xfId="23457" xr:uid="{00000000-0005-0000-0000-000003580000}"/>
    <cellStyle name="40 % - Markeringsfarve2 2 3 4 3 5" xfId="38422" xr:uid="{00000000-0005-0000-0000-000004580000}"/>
    <cellStyle name="40 % - Markeringsfarve2 2 3 4 4" xfId="8026" xr:uid="{00000000-0005-0000-0000-000005580000}"/>
    <cellStyle name="40 % - Markeringsfarve2 2 3 4 4 2" xfId="15891" xr:uid="{00000000-0005-0000-0000-000006580000}"/>
    <cellStyle name="40 % - Markeringsfarve2 2 3 4 4 2 2" xfId="32167" xr:uid="{00000000-0005-0000-0000-000007580000}"/>
    <cellStyle name="40 % - Markeringsfarve2 2 3 4 4 2 3" xfId="47126" xr:uid="{00000000-0005-0000-0000-000008580000}"/>
    <cellStyle name="40 % - Markeringsfarve2 2 3 4 4 3" xfId="25165" xr:uid="{00000000-0005-0000-0000-000009580000}"/>
    <cellStyle name="40 % - Markeringsfarve2 2 3 4 4 4" xfId="40129" xr:uid="{00000000-0005-0000-0000-00000A580000}"/>
    <cellStyle name="40 % - Markeringsfarve2 2 3 4 5" xfId="14178" xr:uid="{00000000-0005-0000-0000-00000B580000}"/>
    <cellStyle name="40 % - Markeringsfarve2 2 3 4 5 2" xfId="30457" xr:uid="{00000000-0005-0000-0000-00000C580000}"/>
    <cellStyle name="40 % - Markeringsfarve2 2 3 4 5 3" xfId="45417" xr:uid="{00000000-0005-0000-0000-00000D580000}"/>
    <cellStyle name="40 % - Markeringsfarve2 2 3 4 6" xfId="23455" xr:uid="{00000000-0005-0000-0000-00000E580000}"/>
    <cellStyle name="40 % - Markeringsfarve2 2 3 4 7" xfId="38420" xr:uid="{00000000-0005-0000-0000-00000F580000}"/>
    <cellStyle name="40 % - Markeringsfarve2 2 3 5" xfId="5696" xr:uid="{00000000-0005-0000-0000-000010580000}"/>
    <cellStyle name="40 % - Markeringsfarve2 2 3 5 2" xfId="5697" xr:uid="{00000000-0005-0000-0000-000011580000}"/>
    <cellStyle name="40 % - Markeringsfarve2 2 3 5 2 2" xfId="10275" xr:uid="{00000000-0005-0000-0000-000012580000}"/>
    <cellStyle name="40 % - Markeringsfarve2 2 3 5 2 2 2" xfId="18130" xr:uid="{00000000-0005-0000-0000-000013580000}"/>
    <cellStyle name="40 % - Markeringsfarve2 2 3 5 2 2 2 2" xfId="34406" xr:uid="{00000000-0005-0000-0000-000014580000}"/>
    <cellStyle name="40 % - Markeringsfarve2 2 3 5 2 2 2 3" xfId="49365" xr:uid="{00000000-0005-0000-0000-000015580000}"/>
    <cellStyle name="40 % - Markeringsfarve2 2 3 5 2 2 3" xfId="27404" xr:uid="{00000000-0005-0000-0000-000016580000}"/>
    <cellStyle name="40 % - Markeringsfarve2 2 3 5 2 2 4" xfId="42368" xr:uid="{00000000-0005-0000-0000-000017580000}"/>
    <cellStyle name="40 % - Markeringsfarve2 2 3 5 2 3" xfId="14182" xr:uid="{00000000-0005-0000-0000-000018580000}"/>
    <cellStyle name="40 % - Markeringsfarve2 2 3 5 2 3 2" xfId="30461" xr:uid="{00000000-0005-0000-0000-000019580000}"/>
    <cellStyle name="40 % - Markeringsfarve2 2 3 5 2 3 3" xfId="45421" xr:uid="{00000000-0005-0000-0000-00001A580000}"/>
    <cellStyle name="40 % - Markeringsfarve2 2 3 5 2 4" xfId="23459" xr:uid="{00000000-0005-0000-0000-00001B580000}"/>
    <cellStyle name="40 % - Markeringsfarve2 2 3 5 2 5" xfId="38424" xr:uid="{00000000-0005-0000-0000-00001C580000}"/>
    <cellStyle name="40 % - Markeringsfarve2 2 3 5 3" xfId="5698" xr:uid="{00000000-0005-0000-0000-00001D580000}"/>
    <cellStyle name="40 % - Markeringsfarve2 2 3 5 3 2" xfId="9552" xr:uid="{00000000-0005-0000-0000-00001E580000}"/>
    <cellStyle name="40 % - Markeringsfarve2 2 3 5 3 2 2" xfId="17415" xr:uid="{00000000-0005-0000-0000-00001F580000}"/>
    <cellStyle name="40 % - Markeringsfarve2 2 3 5 3 2 2 2" xfId="33691" xr:uid="{00000000-0005-0000-0000-000020580000}"/>
    <cellStyle name="40 % - Markeringsfarve2 2 3 5 3 2 2 3" xfId="48650" xr:uid="{00000000-0005-0000-0000-000021580000}"/>
    <cellStyle name="40 % - Markeringsfarve2 2 3 5 3 2 3" xfId="26689" xr:uid="{00000000-0005-0000-0000-000022580000}"/>
    <cellStyle name="40 % - Markeringsfarve2 2 3 5 3 2 4" xfId="41653" xr:uid="{00000000-0005-0000-0000-000023580000}"/>
    <cellStyle name="40 % - Markeringsfarve2 2 3 5 3 3" xfId="14183" xr:uid="{00000000-0005-0000-0000-000024580000}"/>
    <cellStyle name="40 % - Markeringsfarve2 2 3 5 3 3 2" xfId="30462" xr:uid="{00000000-0005-0000-0000-000025580000}"/>
    <cellStyle name="40 % - Markeringsfarve2 2 3 5 3 3 3" xfId="45422" xr:uid="{00000000-0005-0000-0000-000026580000}"/>
    <cellStyle name="40 % - Markeringsfarve2 2 3 5 3 4" xfId="23460" xr:uid="{00000000-0005-0000-0000-000027580000}"/>
    <cellStyle name="40 % - Markeringsfarve2 2 3 5 3 5" xfId="38425" xr:uid="{00000000-0005-0000-0000-000028580000}"/>
    <cellStyle name="40 % - Markeringsfarve2 2 3 5 4" xfId="8027" xr:uid="{00000000-0005-0000-0000-000029580000}"/>
    <cellStyle name="40 % - Markeringsfarve2 2 3 5 4 2" xfId="15892" xr:uid="{00000000-0005-0000-0000-00002A580000}"/>
    <cellStyle name="40 % - Markeringsfarve2 2 3 5 4 2 2" xfId="32168" xr:uid="{00000000-0005-0000-0000-00002B580000}"/>
    <cellStyle name="40 % - Markeringsfarve2 2 3 5 4 2 3" xfId="47127" xr:uid="{00000000-0005-0000-0000-00002C580000}"/>
    <cellStyle name="40 % - Markeringsfarve2 2 3 5 4 3" xfId="25166" xr:uid="{00000000-0005-0000-0000-00002D580000}"/>
    <cellStyle name="40 % - Markeringsfarve2 2 3 5 4 4" xfId="40130" xr:uid="{00000000-0005-0000-0000-00002E580000}"/>
    <cellStyle name="40 % - Markeringsfarve2 2 3 5 5" xfId="14181" xr:uid="{00000000-0005-0000-0000-00002F580000}"/>
    <cellStyle name="40 % - Markeringsfarve2 2 3 5 5 2" xfId="30460" xr:uid="{00000000-0005-0000-0000-000030580000}"/>
    <cellStyle name="40 % - Markeringsfarve2 2 3 5 5 3" xfId="45420" xr:uid="{00000000-0005-0000-0000-000031580000}"/>
    <cellStyle name="40 % - Markeringsfarve2 2 3 5 6" xfId="23458" xr:uid="{00000000-0005-0000-0000-000032580000}"/>
    <cellStyle name="40 % - Markeringsfarve2 2 3 5 7" xfId="38423" xr:uid="{00000000-0005-0000-0000-000033580000}"/>
    <cellStyle name="40 % - Markeringsfarve2 2 3 6" xfId="5699" xr:uid="{00000000-0005-0000-0000-000034580000}"/>
    <cellStyle name="40 % - Markeringsfarve2 2 3 6 2" xfId="5700" xr:uid="{00000000-0005-0000-0000-000035580000}"/>
    <cellStyle name="40 % - Markeringsfarve2 2 3 6 2 2" xfId="10351" xr:uid="{00000000-0005-0000-0000-000036580000}"/>
    <cellStyle name="40 % - Markeringsfarve2 2 3 6 2 2 2" xfId="18206" xr:uid="{00000000-0005-0000-0000-000037580000}"/>
    <cellStyle name="40 % - Markeringsfarve2 2 3 6 2 2 2 2" xfId="34482" xr:uid="{00000000-0005-0000-0000-000038580000}"/>
    <cellStyle name="40 % - Markeringsfarve2 2 3 6 2 2 2 3" xfId="49441" xr:uid="{00000000-0005-0000-0000-000039580000}"/>
    <cellStyle name="40 % - Markeringsfarve2 2 3 6 2 2 3" xfId="27480" xr:uid="{00000000-0005-0000-0000-00003A580000}"/>
    <cellStyle name="40 % - Markeringsfarve2 2 3 6 2 2 4" xfId="42444" xr:uid="{00000000-0005-0000-0000-00003B580000}"/>
    <cellStyle name="40 % - Markeringsfarve2 2 3 6 2 3" xfId="14185" xr:uid="{00000000-0005-0000-0000-00003C580000}"/>
    <cellStyle name="40 % - Markeringsfarve2 2 3 6 2 3 2" xfId="30464" xr:uid="{00000000-0005-0000-0000-00003D580000}"/>
    <cellStyle name="40 % - Markeringsfarve2 2 3 6 2 3 3" xfId="45424" xr:uid="{00000000-0005-0000-0000-00003E580000}"/>
    <cellStyle name="40 % - Markeringsfarve2 2 3 6 2 4" xfId="23462" xr:uid="{00000000-0005-0000-0000-00003F580000}"/>
    <cellStyle name="40 % - Markeringsfarve2 2 3 6 2 5" xfId="38427" xr:uid="{00000000-0005-0000-0000-000040580000}"/>
    <cellStyle name="40 % - Markeringsfarve2 2 3 6 3" xfId="5701" xr:uid="{00000000-0005-0000-0000-000041580000}"/>
    <cellStyle name="40 % - Markeringsfarve2 2 3 6 3 2" xfId="9629" xr:uid="{00000000-0005-0000-0000-000042580000}"/>
    <cellStyle name="40 % - Markeringsfarve2 2 3 6 3 2 2" xfId="17492" xr:uid="{00000000-0005-0000-0000-000043580000}"/>
    <cellStyle name="40 % - Markeringsfarve2 2 3 6 3 2 2 2" xfId="33768" xr:uid="{00000000-0005-0000-0000-000044580000}"/>
    <cellStyle name="40 % - Markeringsfarve2 2 3 6 3 2 2 3" xfId="48727" xr:uid="{00000000-0005-0000-0000-000045580000}"/>
    <cellStyle name="40 % - Markeringsfarve2 2 3 6 3 2 3" xfId="26766" xr:uid="{00000000-0005-0000-0000-000046580000}"/>
    <cellStyle name="40 % - Markeringsfarve2 2 3 6 3 2 4" xfId="41730" xr:uid="{00000000-0005-0000-0000-000047580000}"/>
    <cellStyle name="40 % - Markeringsfarve2 2 3 6 3 3" xfId="14186" xr:uid="{00000000-0005-0000-0000-000048580000}"/>
    <cellStyle name="40 % - Markeringsfarve2 2 3 6 3 3 2" xfId="30465" xr:uid="{00000000-0005-0000-0000-000049580000}"/>
    <cellStyle name="40 % - Markeringsfarve2 2 3 6 3 3 3" xfId="45425" xr:uid="{00000000-0005-0000-0000-00004A580000}"/>
    <cellStyle name="40 % - Markeringsfarve2 2 3 6 3 4" xfId="23463" xr:uid="{00000000-0005-0000-0000-00004B580000}"/>
    <cellStyle name="40 % - Markeringsfarve2 2 3 6 3 5" xfId="38428" xr:uid="{00000000-0005-0000-0000-00004C580000}"/>
    <cellStyle name="40 % - Markeringsfarve2 2 3 6 4" xfId="8028" xr:uid="{00000000-0005-0000-0000-00004D580000}"/>
    <cellStyle name="40 % - Markeringsfarve2 2 3 6 4 2" xfId="15893" xr:uid="{00000000-0005-0000-0000-00004E580000}"/>
    <cellStyle name="40 % - Markeringsfarve2 2 3 6 4 2 2" xfId="32169" xr:uid="{00000000-0005-0000-0000-00004F580000}"/>
    <cellStyle name="40 % - Markeringsfarve2 2 3 6 4 2 3" xfId="47128" xr:uid="{00000000-0005-0000-0000-000050580000}"/>
    <cellStyle name="40 % - Markeringsfarve2 2 3 6 4 3" xfId="25167" xr:uid="{00000000-0005-0000-0000-000051580000}"/>
    <cellStyle name="40 % - Markeringsfarve2 2 3 6 4 4" xfId="40131" xr:uid="{00000000-0005-0000-0000-000052580000}"/>
    <cellStyle name="40 % - Markeringsfarve2 2 3 6 5" xfId="14184" xr:uid="{00000000-0005-0000-0000-000053580000}"/>
    <cellStyle name="40 % - Markeringsfarve2 2 3 6 5 2" xfId="30463" xr:uid="{00000000-0005-0000-0000-000054580000}"/>
    <cellStyle name="40 % - Markeringsfarve2 2 3 6 5 3" xfId="45423" xr:uid="{00000000-0005-0000-0000-000055580000}"/>
    <cellStyle name="40 % - Markeringsfarve2 2 3 6 6" xfId="23461" xr:uid="{00000000-0005-0000-0000-000056580000}"/>
    <cellStyle name="40 % - Markeringsfarve2 2 3 6 7" xfId="38426" xr:uid="{00000000-0005-0000-0000-000057580000}"/>
    <cellStyle name="40 % - Markeringsfarve2 2 3 7" xfId="5702" xr:uid="{00000000-0005-0000-0000-000058580000}"/>
    <cellStyle name="40 % - Markeringsfarve2 2 3 7 2" xfId="9802" xr:uid="{00000000-0005-0000-0000-000059580000}"/>
    <cellStyle name="40 % - Markeringsfarve2 2 3 7 2 2" xfId="17656" xr:uid="{00000000-0005-0000-0000-00005A580000}"/>
    <cellStyle name="40 % - Markeringsfarve2 2 3 7 2 2 2" xfId="33932" xr:uid="{00000000-0005-0000-0000-00005B580000}"/>
    <cellStyle name="40 % - Markeringsfarve2 2 3 7 2 2 3" xfId="48891" xr:uid="{00000000-0005-0000-0000-00005C580000}"/>
    <cellStyle name="40 % - Markeringsfarve2 2 3 7 2 3" xfId="26930" xr:uid="{00000000-0005-0000-0000-00005D580000}"/>
    <cellStyle name="40 % - Markeringsfarve2 2 3 7 2 4" xfId="41894" xr:uid="{00000000-0005-0000-0000-00005E580000}"/>
    <cellStyle name="40 % - Markeringsfarve2 2 3 7 3" xfId="14187" xr:uid="{00000000-0005-0000-0000-00005F580000}"/>
    <cellStyle name="40 % - Markeringsfarve2 2 3 7 3 2" xfId="30466" xr:uid="{00000000-0005-0000-0000-000060580000}"/>
    <cellStyle name="40 % - Markeringsfarve2 2 3 7 3 3" xfId="45426" xr:uid="{00000000-0005-0000-0000-000061580000}"/>
    <cellStyle name="40 % - Markeringsfarve2 2 3 7 4" xfId="23464" xr:uid="{00000000-0005-0000-0000-000062580000}"/>
    <cellStyle name="40 % - Markeringsfarve2 2 3 7 5" xfId="38429" xr:uid="{00000000-0005-0000-0000-000063580000}"/>
    <cellStyle name="40 % - Markeringsfarve2 2 3 8" xfId="5703" xr:uid="{00000000-0005-0000-0000-000064580000}"/>
    <cellStyle name="40 % - Markeringsfarve2 2 3 8 2" xfId="9030" xr:uid="{00000000-0005-0000-0000-000065580000}"/>
    <cellStyle name="40 % - Markeringsfarve2 2 3 8 2 2" xfId="16894" xr:uid="{00000000-0005-0000-0000-000066580000}"/>
    <cellStyle name="40 % - Markeringsfarve2 2 3 8 2 2 2" xfId="33170" xr:uid="{00000000-0005-0000-0000-000067580000}"/>
    <cellStyle name="40 % - Markeringsfarve2 2 3 8 2 2 3" xfId="48129" xr:uid="{00000000-0005-0000-0000-000068580000}"/>
    <cellStyle name="40 % - Markeringsfarve2 2 3 8 2 3" xfId="26168" xr:uid="{00000000-0005-0000-0000-000069580000}"/>
    <cellStyle name="40 % - Markeringsfarve2 2 3 8 2 4" xfId="41132" xr:uid="{00000000-0005-0000-0000-00006A580000}"/>
    <cellStyle name="40 % - Markeringsfarve2 2 3 8 3" xfId="14188" xr:uid="{00000000-0005-0000-0000-00006B580000}"/>
    <cellStyle name="40 % - Markeringsfarve2 2 3 8 3 2" xfId="30467" xr:uid="{00000000-0005-0000-0000-00006C580000}"/>
    <cellStyle name="40 % - Markeringsfarve2 2 3 8 3 3" xfId="45427" xr:uid="{00000000-0005-0000-0000-00006D580000}"/>
    <cellStyle name="40 % - Markeringsfarve2 2 3 8 4" xfId="23465" xr:uid="{00000000-0005-0000-0000-00006E580000}"/>
    <cellStyle name="40 % - Markeringsfarve2 2 3 8 5" xfId="38430" xr:uid="{00000000-0005-0000-0000-00006F580000}"/>
    <cellStyle name="40 % - Markeringsfarve2 2 3 9" xfId="8023" xr:uid="{00000000-0005-0000-0000-000070580000}"/>
    <cellStyle name="40 % - Markeringsfarve2 2 3 9 2" xfId="15888" xr:uid="{00000000-0005-0000-0000-000071580000}"/>
    <cellStyle name="40 % - Markeringsfarve2 2 3 9 2 2" xfId="32164" xr:uid="{00000000-0005-0000-0000-000072580000}"/>
    <cellStyle name="40 % - Markeringsfarve2 2 3 9 2 3" xfId="47123" xr:uid="{00000000-0005-0000-0000-000073580000}"/>
    <cellStyle name="40 % - Markeringsfarve2 2 3 9 3" xfId="25162" xr:uid="{00000000-0005-0000-0000-000074580000}"/>
    <cellStyle name="40 % - Markeringsfarve2 2 3 9 4" xfId="40126" xr:uid="{00000000-0005-0000-0000-000075580000}"/>
    <cellStyle name="40 % - Markeringsfarve2 2 4" xfId="5704" xr:uid="{00000000-0005-0000-0000-000076580000}"/>
    <cellStyle name="40 % - Markeringsfarve2 2 4 2" xfId="5705" xr:uid="{00000000-0005-0000-0000-000077580000}"/>
    <cellStyle name="40 % - Markeringsfarve2 2 4 2 2" xfId="9842" xr:uid="{00000000-0005-0000-0000-000078580000}"/>
    <cellStyle name="40 % - Markeringsfarve2 2 4 2 2 2" xfId="17697" xr:uid="{00000000-0005-0000-0000-000079580000}"/>
    <cellStyle name="40 % - Markeringsfarve2 2 4 2 2 2 2" xfId="33973" xr:uid="{00000000-0005-0000-0000-00007A580000}"/>
    <cellStyle name="40 % - Markeringsfarve2 2 4 2 2 2 3" xfId="48932" xr:uid="{00000000-0005-0000-0000-00007B580000}"/>
    <cellStyle name="40 % - Markeringsfarve2 2 4 2 2 3" xfId="26971" xr:uid="{00000000-0005-0000-0000-00007C580000}"/>
    <cellStyle name="40 % - Markeringsfarve2 2 4 2 2 4" xfId="41935" xr:uid="{00000000-0005-0000-0000-00007D580000}"/>
    <cellStyle name="40 % - Markeringsfarve2 2 4 2 3" xfId="14190" xr:uid="{00000000-0005-0000-0000-00007E580000}"/>
    <cellStyle name="40 % - Markeringsfarve2 2 4 2 3 2" xfId="30469" xr:uid="{00000000-0005-0000-0000-00007F580000}"/>
    <cellStyle name="40 % - Markeringsfarve2 2 4 2 3 3" xfId="45429" xr:uid="{00000000-0005-0000-0000-000080580000}"/>
    <cellStyle name="40 % - Markeringsfarve2 2 4 2 4" xfId="23467" xr:uid="{00000000-0005-0000-0000-000081580000}"/>
    <cellStyle name="40 % - Markeringsfarve2 2 4 2 5" xfId="38432" xr:uid="{00000000-0005-0000-0000-000082580000}"/>
    <cellStyle name="40 % - Markeringsfarve2 2 4 3" xfId="5706" xr:uid="{00000000-0005-0000-0000-000083580000}"/>
    <cellStyle name="40 % - Markeringsfarve2 2 4 3 2" xfId="9073" xr:uid="{00000000-0005-0000-0000-000084580000}"/>
    <cellStyle name="40 % - Markeringsfarve2 2 4 3 2 2" xfId="16937" xr:uid="{00000000-0005-0000-0000-000085580000}"/>
    <cellStyle name="40 % - Markeringsfarve2 2 4 3 2 2 2" xfId="33213" xr:uid="{00000000-0005-0000-0000-000086580000}"/>
    <cellStyle name="40 % - Markeringsfarve2 2 4 3 2 2 3" xfId="48172" xr:uid="{00000000-0005-0000-0000-000087580000}"/>
    <cellStyle name="40 % - Markeringsfarve2 2 4 3 2 3" xfId="26211" xr:uid="{00000000-0005-0000-0000-000088580000}"/>
    <cellStyle name="40 % - Markeringsfarve2 2 4 3 2 4" xfId="41175" xr:uid="{00000000-0005-0000-0000-000089580000}"/>
    <cellStyle name="40 % - Markeringsfarve2 2 4 3 3" xfId="14191" xr:uid="{00000000-0005-0000-0000-00008A580000}"/>
    <cellStyle name="40 % - Markeringsfarve2 2 4 3 3 2" xfId="30470" xr:uid="{00000000-0005-0000-0000-00008B580000}"/>
    <cellStyle name="40 % - Markeringsfarve2 2 4 3 3 3" xfId="45430" xr:uid="{00000000-0005-0000-0000-00008C580000}"/>
    <cellStyle name="40 % - Markeringsfarve2 2 4 3 4" xfId="23468" xr:uid="{00000000-0005-0000-0000-00008D580000}"/>
    <cellStyle name="40 % - Markeringsfarve2 2 4 3 5" xfId="38433" xr:uid="{00000000-0005-0000-0000-00008E580000}"/>
    <cellStyle name="40 % - Markeringsfarve2 2 4 4" xfId="8029" xr:uid="{00000000-0005-0000-0000-00008F580000}"/>
    <cellStyle name="40 % - Markeringsfarve2 2 4 4 2" xfId="15894" xr:uid="{00000000-0005-0000-0000-000090580000}"/>
    <cellStyle name="40 % - Markeringsfarve2 2 4 4 2 2" xfId="32170" xr:uid="{00000000-0005-0000-0000-000091580000}"/>
    <cellStyle name="40 % - Markeringsfarve2 2 4 4 2 3" xfId="47129" xr:uid="{00000000-0005-0000-0000-000092580000}"/>
    <cellStyle name="40 % - Markeringsfarve2 2 4 4 3" xfId="25168" xr:uid="{00000000-0005-0000-0000-000093580000}"/>
    <cellStyle name="40 % - Markeringsfarve2 2 4 4 4" xfId="40132" xr:uid="{00000000-0005-0000-0000-000094580000}"/>
    <cellStyle name="40 % - Markeringsfarve2 2 4 5" xfId="14189" xr:uid="{00000000-0005-0000-0000-000095580000}"/>
    <cellStyle name="40 % - Markeringsfarve2 2 4 5 2" xfId="30468" xr:uid="{00000000-0005-0000-0000-000096580000}"/>
    <cellStyle name="40 % - Markeringsfarve2 2 4 5 3" xfId="45428" xr:uid="{00000000-0005-0000-0000-000097580000}"/>
    <cellStyle name="40 % - Markeringsfarve2 2 4 6" xfId="23466" xr:uid="{00000000-0005-0000-0000-000098580000}"/>
    <cellStyle name="40 % - Markeringsfarve2 2 4 7" xfId="38431" xr:uid="{00000000-0005-0000-0000-000099580000}"/>
    <cellStyle name="40 % - Markeringsfarve2 2 5" xfId="5707" xr:uid="{00000000-0005-0000-0000-00009A580000}"/>
    <cellStyle name="40 % - Markeringsfarve2 2 5 2" xfId="5708" xr:uid="{00000000-0005-0000-0000-00009B580000}"/>
    <cellStyle name="40 % - Markeringsfarve2 2 5 2 2" xfId="9995" xr:uid="{00000000-0005-0000-0000-00009C580000}"/>
    <cellStyle name="40 % - Markeringsfarve2 2 5 2 2 2" xfId="17850" xr:uid="{00000000-0005-0000-0000-00009D580000}"/>
    <cellStyle name="40 % - Markeringsfarve2 2 5 2 2 2 2" xfId="34126" xr:uid="{00000000-0005-0000-0000-00009E580000}"/>
    <cellStyle name="40 % - Markeringsfarve2 2 5 2 2 2 3" xfId="49085" xr:uid="{00000000-0005-0000-0000-00009F580000}"/>
    <cellStyle name="40 % - Markeringsfarve2 2 5 2 2 3" xfId="27124" xr:uid="{00000000-0005-0000-0000-0000A0580000}"/>
    <cellStyle name="40 % - Markeringsfarve2 2 5 2 2 4" xfId="42088" xr:uid="{00000000-0005-0000-0000-0000A1580000}"/>
    <cellStyle name="40 % - Markeringsfarve2 2 5 2 3" xfId="14193" xr:uid="{00000000-0005-0000-0000-0000A2580000}"/>
    <cellStyle name="40 % - Markeringsfarve2 2 5 2 3 2" xfId="30472" xr:uid="{00000000-0005-0000-0000-0000A3580000}"/>
    <cellStyle name="40 % - Markeringsfarve2 2 5 2 3 3" xfId="45432" xr:uid="{00000000-0005-0000-0000-0000A4580000}"/>
    <cellStyle name="40 % - Markeringsfarve2 2 5 2 4" xfId="23470" xr:uid="{00000000-0005-0000-0000-0000A5580000}"/>
    <cellStyle name="40 % - Markeringsfarve2 2 5 2 5" xfId="38435" xr:uid="{00000000-0005-0000-0000-0000A6580000}"/>
    <cellStyle name="40 % - Markeringsfarve2 2 5 3" xfId="5709" xr:uid="{00000000-0005-0000-0000-0000A7580000}"/>
    <cellStyle name="40 % - Markeringsfarve2 2 5 3 2" xfId="9226" xr:uid="{00000000-0005-0000-0000-0000A8580000}"/>
    <cellStyle name="40 % - Markeringsfarve2 2 5 3 2 2" xfId="17090" xr:uid="{00000000-0005-0000-0000-0000A9580000}"/>
    <cellStyle name="40 % - Markeringsfarve2 2 5 3 2 2 2" xfId="33366" xr:uid="{00000000-0005-0000-0000-0000AA580000}"/>
    <cellStyle name="40 % - Markeringsfarve2 2 5 3 2 2 3" xfId="48325" xr:uid="{00000000-0005-0000-0000-0000AB580000}"/>
    <cellStyle name="40 % - Markeringsfarve2 2 5 3 2 3" xfId="26364" xr:uid="{00000000-0005-0000-0000-0000AC580000}"/>
    <cellStyle name="40 % - Markeringsfarve2 2 5 3 2 4" xfId="41328" xr:uid="{00000000-0005-0000-0000-0000AD580000}"/>
    <cellStyle name="40 % - Markeringsfarve2 2 5 3 3" xfId="14194" xr:uid="{00000000-0005-0000-0000-0000AE580000}"/>
    <cellStyle name="40 % - Markeringsfarve2 2 5 3 3 2" xfId="30473" xr:uid="{00000000-0005-0000-0000-0000AF580000}"/>
    <cellStyle name="40 % - Markeringsfarve2 2 5 3 3 3" xfId="45433" xr:uid="{00000000-0005-0000-0000-0000B0580000}"/>
    <cellStyle name="40 % - Markeringsfarve2 2 5 3 4" xfId="23471" xr:uid="{00000000-0005-0000-0000-0000B1580000}"/>
    <cellStyle name="40 % - Markeringsfarve2 2 5 3 5" xfId="38436" xr:uid="{00000000-0005-0000-0000-0000B2580000}"/>
    <cellStyle name="40 % - Markeringsfarve2 2 5 4" xfId="8030" xr:uid="{00000000-0005-0000-0000-0000B3580000}"/>
    <cellStyle name="40 % - Markeringsfarve2 2 5 4 2" xfId="15895" xr:uid="{00000000-0005-0000-0000-0000B4580000}"/>
    <cellStyle name="40 % - Markeringsfarve2 2 5 4 2 2" xfId="32171" xr:uid="{00000000-0005-0000-0000-0000B5580000}"/>
    <cellStyle name="40 % - Markeringsfarve2 2 5 4 2 3" xfId="47130" xr:uid="{00000000-0005-0000-0000-0000B6580000}"/>
    <cellStyle name="40 % - Markeringsfarve2 2 5 4 3" xfId="25169" xr:uid="{00000000-0005-0000-0000-0000B7580000}"/>
    <cellStyle name="40 % - Markeringsfarve2 2 5 4 4" xfId="40133" xr:uid="{00000000-0005-0000-0000-0000B8580000}"/>
    <cellStyle name="40 % - Markeringsfarve2 2 5 5" xfId="14192" xr:uid="{00000000-0005-0000-0000-0000B9580000}"/>
    <cellStyle name="40 % - Markeringsfarve2 2 5 5 2" xfId="30471" xr:uid="{00000000-0005-0000-0000-0000BA580000}"/>
    <cellStyle name="40 % - Markeringsfarve2 2 5 5 3" xfId="45431" xr:uid="{00000000-0005-0000-0000-0000BB580000}"/>
    <cellStyle name="40 % - Markeringsfarve2 2 5 6" xfId="23469" xr:uid="{00000000-0005-0000-0000-0000BC580000}"/>
    <cellStyle name="40 % - Markeringsfarve2 2 5 7" xfId="38434" xr:uid="{00000000-0005-0000-0000-0000BD580000}"/>
    <cellStyle name="40 % - Markeringsfarve2 2 6" xfId="5710" xr:uid="{00000000-0005-0000-0000-0000BE580000}"/>
    <cellStyle name="40 % - Markeringsfarve2 2 6 2" xfId="5711" xr:uid="{00000000-0005-0000-0000-0000BF580000}"/>
    <cellStyle name="40 % - Markeringsfarve2 2 6 2 2" xfId="10080" xr:uid="{00000000-0005-0000-0000-0000C0580000}"/>
    <cellStyle name="40 % - Markeringsfarve2 2 6 2 2 2" xfId="17935" xr:uid="{00000000-0005-0000-0000-0000C1580000}"/>
    <cellStyle name="40 % - Markeringsfarve2 2 6 2 2 2 2" xfId="34211" xr:uid="{00000000-0005-0000-0000-0000C2580000}"/>
    <cellStyle name="40 % - Markeringsfarve2 2 6 2 2 2 3" xfId="49170" xr:uid="{00000000-0005-0000-0000-0000C3580000}"/>
    <cellStyle name="40 % - Markeringsfarve2 2 6 2 2 3" xfId="27209" xr:uid="{00000000-0005-0000-0000-0000C4580000}"/>
    <cellStyle name="40 % - Markeringsfarve2 2 6 2 2 4" xfId="42173" xr:uid="{00000000-0005-0000-0000-0000C5580000}"/>
    <cellStyle name="40 % - Markeringsfarve2 2 6 2 3" xfId="14196" xr:uid="{00000000-0005-0000-0000-0000C6580000}"/>
    <cellStyle name="40 % - Markeringsfarve2 2 6 2 3 2" xfId="30475" xr:uid="{00000000-0005-0000-0000-0000C7580000}"/>
    <cellStyle name="40 % - Markeringsfarve2 2 6 2 3 3" xfId="45435" xr:uid="{00000000-0005-0000-0000-0000C8580000}"/>
    <cellStyle name="40 % - Markeringsfarve2 2 6 2 4" xfId="23473" xr:uid="{00000000-0005-0000-0000-0000C9580000}"/>
    <cellStyle name="40 % - Markeringsfarve2 2 6 2 5" xfId="38438" xr:uid="{00000000-0005-0000-0000-0000CA580000}"/>
    <cellStyle name="40 % - Markeringsfarve2 2 6 3" xfId="5712" xr:uid="{00000000-0005-0000-0000-0000CB580000}"/>
    <cellStyle name="40 % - Markeringsfarve2 2 6 3 2" xfId="9357" xr:uid="{00000000-0005-0000-0000-0000CC580000}"/>
    <cellStyle name="40 % - Markeringsfarve2 2 6 3 2 2" xfId="17220" xr:uid="{00000000-0005-0000-0000-0000CD580000}"/>
    <cellStyle name="40 % - Markeringsfarve2 2 6 3 2 2 2" xfId="33496" xr:uid="{00000000-0005-0000-0000-0000CE580000}"/>
    <cellStyle name="40 % - Markeringsfarve2 2 6 3 2 2 3" xfId="48455" xr:uid="{00000000-0005-0000-0000-0000CF580000}"/>
    <cellStyle name="40 % - Markeringsfarve2 2 6 3 2 3" xfId="26494" xr:uid="{00000000-0005-0000-0000-0000D0580000}"/>
    <cellStyle name="40 % - Markeringsfarve2 2 6 3 2 4" xfId="41458" xr:uid="{00000000-0005-0000-0000-0000D1580000}"/>
    <cellStyle name="40 % - Markeringsfarve2 2 6 3 3" xfId="14197" xr:uid="{00000000-0005-0000-0000-0000D2580000}"/>
    <cellStyle name="40 % - Markeringsfarve2 2 6 3 3 2" xfId="30476" xr:uid="{00000000-0005-0000-0000-0000D3580000}"/>
    <cellStyle name="40 % - Markeringsfarve2 2 6 3 3 3" xfId="45436" xr:uid="{00000000-0005-0000-0000-0000D4580000}"/>
    <cellStyle name="40 % - Markeringsfarve2 2 6 3 4" xfId="23474" xr:uid="{00000000-0005-0000-0000-0000D5580000}"/>
    <cellStyle name="40 % - Markeringsfarve2 2 6 3 5" xfId="38439" xr:uid="{00000000-0005-0000-0000-0000D6580000}"/>
    <cellStyle name="40 % - Markeringsfarve2 2 6 4" xfId="8031" xr:uid="{00000000-0005-0000-0000-0000D7580000}"/>
    <cellStyle name="40 % - Markeringsfarve2 2 6 4 2" xfId="15896" xr:uid="{00000000-0005-0000-0000-0000D8580000}"/>
    <cellStyle name="40 % - Markeringsfarve2 2 6 4 2 2" xfId="32172" xr:uid="{00000000-0005-0000-0000-0000D9580000}"/>
    <cellStyle name="40 % - Markeringsfarve2 2 6 4 2 3" xfId="47131" xr:uid="{00000000-0005-0000-0000-0000DA580000}"/>
    <cellStyle name="40 % - Markeringsfarve2 2 6 4 3" xfId="25170" xr:uid="{00000000-0005-0000-0000-0000DB580000}"/>
    <cellStyle name="40 % - Markeringsfarve2 2 6 4 4" xfId="40134" xr:uid="{00000000-0005-0000-0000-0000DC580000}"/>
    <cellStyle name="40 % - Markeringsfarve2 2 6 5" xfId="14195" xr:uid="{00000000-0005-0000-0000-0000DD580000}"/>
    <cellStyle name="40 % - Markeringsfarve2 2 6 5 2" xfId="30474" xr:uid="{00000000-0005-0000-0000-0000DE580000}"/>
    <cellStyle name="40 % - Markeringsfarve2 2 6 5 3" xfId="45434" xr:uid="{00000000-0005-0000-0000-0000DF580000}"/>
    <cellStyle name="40 % - Markeringsfarve2 2 6 6" xfId="23472" xr:uid="{00000000-0005-0000-0000-0000E0580000}"/>
    <cellStyle name="40 % - Markeringsfarve2 2 6 7" xfId="38437" xr:uid="{00000000-0005-0000-0000-0000E1580000}"/>
    <cellStyle name="40 % - Markeringsfarve2 2 7" xfId="5713" xr:uid="{00000000-0005-0000-0000-0000E2580000}"/>
    <cellStyle name="40 % - Markeringsfarve2 2 7 2" xfId="5714" xr:uid="{00000000-0005-0000-0000-0000E3580000}"/>
    <cellStyle name="40 % - Markeringsfarve2 2 7 2 2" xfId="10197" xr:uid="{00000000-0005-0000-0000-0000E4580000}"/>
    <cellStyle name="40 % - Markeringsfarve2 2 7 2 2 2" xfId="18052" xr:uid="{00000000-0005-0000-0000-0000E5580000}"/>
    <cellStyle name="40 % - Markeringsfarve2 2 7 2 2 2 2" xfId="34328" xr:uid="{00000000-0005-0000-0000-0000E6580000}"/>
    <cellStyle name="40 % - Markeringsfarve2 2 7 2 2 2 3" xfId="49287" xr:uid="{00000000-0005-0000-0000-0000E7580000}"/>
    <cellStyle name="40 % - Markeringsfarve2 2 7 2 2 3" xfId="27326" xr:uid="{00000000-0005-0000-0000-0000E8580000}"/>
    <cellStyle name="40 % - Markeringsfarve2 2 7 2 2 4" xfId="42290" xr:uid="{00000000-0005-0000-0000-0000E9580000}"/>
    <cellStyle name="40 % - Markeringsfarve2 2 7 2 3" xfId="14199" xr:uid="{00000000-0005-0000-0000-0000EA580000}"/>
    <cellStyle name="40 % - Markeringsfarve2 2 7 2 3 2" xfId="30478" xr:uid="{00000000-0005-0000-0000-0000EB580000}"/>
    <cellStyle name="40 % - Markeringsfarve2 2 7 2 3 3" xfId="45438" xr:uid="{00000000-0005-0000-0000-0000EC580000}"/>
    <cellStyle name="40 % - Markeringsfarve2 2 7 2 4" xfId="23476" xr:uid="{00000000-0005-0000-0000-0000ED580000}"/>
    <cellStyle name="40 % - Markeringsfarve2 2 7 2 5" xfId="38441" xr:uid="{00000000-0005-0000-0000-0000EE580000}"/>
    <cellStyle name="40 % - Markeringsfarve2 2 7 3" xfId="5715" xr:uid="{00000000-0005-0000-0000-0000EF580000}"/>
    <cellStyle name="40 % - Markeringsfarve2 2 7 3 2" xfId="9474" xr:uid="{00000000-0005-0000-0000-0000F0580000}"/>
    <cellStyle name="40 % - Markeringsfarve2 2 7 3 2 2" xfId="17337" xr:uid="{00000000-0005-0000-0000-0000F1580000}"/>
    <cellStyle name="40 % - Markeringsfarve2 2 7 3 2 2 2" xfId="33613" xr:uid="{00000000-0005-0000-0000-0000F2580000}"/>
    <cellStyle name="40 % - Markeringsfarve2 2 7 3 2 2 3" xfId="48572" xr:uid="{00000000-0005-0000-0000-0000F3580000}"/>
    <cellStyle name="40 % - Markeringsfarve2 2 7 3 2 3" xfId="26611" xr:uid="{00000000-0005-0000-0000-0000F4580000}"/>
    <cellStyle name="40 % - Markeringsfarve2 2 7 3 2 4" xfId="41575" xr:uid="{00000000-0005-0000-0000-0000F5580000}"/>
    <cellStyle name="40 % - Markeringsfarve2 2 7 3 3" xfId="14200" xr:uid="{00000000-0005-0000-0000-0000F6580000}"/>
    <cellStyle name="40 % - Markeringsfarve2 2 7 3 3 2" xfId="30479" xr:uid="{00000000-0005-0000-0000-0000F7580000}"/>
    <cellStyle name="40 % - Markeringsfarve2 2 7 3 3 3" xfId="45439" xr:uid="{00000000-0005-0000-0000-0000F8580000}"/>
    <cellStyle name="40 % - Markeringsfarve2 2 7 3 4" xfId="23477" xr:uid="{00000000-0005-0000-0000-0000F9580000}"/>
    <cellStyle name="40 % - Markeringsfarve2 2 7 3 5" xfId="38442" xr:uid="{00000000-0005-0000-0000-0000FA580000}"/>
    <cellStyle name="40 % - Markeringsfarve2 2 7 4" xfId="8032" xr:uid="{00000000-0005-0000-0000-0000FB580000}"/>
    <cellStyle name="40 % - Markeringsfarve2 2 7 4 2" xfId="15897" xr:uid="{00000000-0005-0000-0000-0000FC580000}"/>
    <cellStyle name="40 % - Markeringsfarve2 2 7 4 2 2" xfId="32173" xr:uid="{00000000-0005-0000-0000-0000FD580000}"/>
    <cellStyle name="40 % - Markeringsfarve2 2 7 4 2 3" xfId="47132" xr:uid="{00000000-0005-0000-0000-0000FE580000}"/>
    <cellStyle name="40 % - Markeringsfarve2 2 7 4 3" xfId="25171" xr:uid="{00000000-0005-0000-0000-0000FF580000}"/>
    <cellStyle name="40 % - Markeringsfarve2 2 7 4 4" xfId="40135" xr:uid="{00000000-0005-0000-0000-000000590000}"/>
    <cellStyle name="40 % - Markeringsfarve2 2 7 5" xfId="14198" xr:uid="{00000000-0005-0000-0000-000001590000}"/>
    <cellStyle name="40 % - Markeringsfarve2 2 7 5 2" xfId="30477" xr:uid="{00000000-0005-0000-0000-000002590000}"/>
    <cellStyle name="40 % - Markeringsfarve2 2 7 5 3" xfId="45437" xr:uid="{00000000-0005-0000-0000-000003590000}"/>
    <cellStyle name="40 % - Markeringsfarve2 2 7 6" xfId="23475" xr:uid="{00000000-0005-0000-0000-000004590000}"/>
    <cellStyle name="40 % - Markeringsfarve2 2 7 7" xfId="38440" xr:uid="{00000000-0005-0000-0000-000005590000}"/>
    <cellStyle name="40 % - Markeringsfarve2 2 8" xfId="5716" xr:uid="{00000000-0005-0000-0000-000006590000}"/>
    <cellStyle name="40 % - Markeringsfarve2 2 8 2" xfId="5717" xr:uid="{00000000-0005-0000-0000-000007590000}"/>
    <cellStyle name="40 % - Markeringsfarve2 2 8 2 2" xfId="10349" xr:uid="{00000000-0005-0000-0000-000008590000}"/>
    <cellStyle name="40 % - Markeringsfarve2 2 8 2 2 2" xfId="18204" xr:uid="{00000000-0005-0000-0000-000009590000}"/>
    <cellStyle name="40 % - Markeringsfarve2 2 8 2 2 2 2" xfId="34480" xr:uid="{00000000-0005-0000-0000-00000A590000}"/>
    <cellStyle name="40 % - Markeringsfarve2 2 8 2 2 2 3" xfId="49439" xr:uid="{00000000-0005-0000-0000-00000B590000}"/>
    <cellStyle name="40 % - Markeringsfarve2 2 8 2 2 3" xfId="27478" xr:uid="{00000000-0005-0000-0000-00000C590000}"/>
    <cellStyle name="40 % - Markeringsfarve2 2 8 2 2 4" xfId="42442" xr:uid="{00000000-0005-0000-0000-00000D590000}"/>
    <cellStyle name="40 % - Markeringsfarve2 2 8 2 3" xfId="14202" xr:uid="{00000000-0005-0000-0000-00000E590000}"/>
    <cellStyle name="40 % - Markeringsfarve2 2 8 2 3 2" xfId="30481" xr:uid="{00000000-0005-0000-0000-00000F590000}"/>
    <cellStyle name="40 % - Markeringsfarve2 2 8 2 3 3" xfId="45441" xr:uid="{00000000-0005-0000-0000-000010590000}"/>
    <cellStyle name="40 % - Markeringsfarve2 2 8 2 4" xfId="23479" xr:uid="{00000000-0005-0000-0000-000011590000}"/>
    <cellStyle name="40 % - Markeringsfarve2 2 8 2 5" xfId="38444" xr:uid="{00000000-0005-0000-0000-000012590000}"/>
    <cellStyle name="40 % - Markeringsfarve2 2 8 3" xfId="5718" xr:uid="{00000000-0005-0000-0000-000013590000}"/>
    <cellStyle name="40 % - Markeringsfarve2 2 8 3 2" xfId="9627" xr:uid="{00000000-0005-0000-0000-000014590000}"/>
    <cellStyle name="40 % - Markeringsfarve2 2 8 3 2 2" xfId="17490" xr:uid="{00000000-0005-0000-0000-000015590000}"/>
    <cellStyle name="40 % - Markeringsfarve2 2 8 3 2 2 2" xfId="33766" xr:uid="{00000000-0005-0000-0000-000016590000}"/>
    <cellStyle name="40 % - Markeringsfarve2 2 8 3 2 2 3" xfId="48725" xr:uid="{00000000-0005-0000-0000-000017590000}"/>
    <cellStyle name="40 % - Markeringsfarve2 2 8 3 2 3" xfId="26764" xr:uid="{00000000-0005-0000-0000-000018590000}"/>
    <cellStyle name="40 % - Markeringsfarve2 2 8 3 2 4" xfId="41728" xr:uid="{00000000-0005-0000-0000-000019590000}"/>
    <cellStyle name="40 % - Markeringsfarve2 2 8 3 3" xfId="14203" xr:uid="{00000000-0005-0000-0000-00001A590000}"/>
    <cellStyle name="40 % - Markeringsfarve2 2 8 3 3 2" xfId="30482" xr:uid="{00000000-0005-0000-0000-00001B590000}"/>
    <cellStyle name="40 % - Markeringsfarve2 2 8 3 3 3" xfId="45442" xr:uid="{00000000-0005-0000-0000-00001C590000}"/>
    <cellStyle name="40 % - Markeringsfarve2 2 8 3 4" xfId="23480" xr:uid="{00000000-0005-0000-0000-00001D590000}"/>
    <cellStyle name="40 % - Markeringsfarve2 2 8 3 5" xfId="38445" xr:uid="{00000000-0005-0000-0000-00001E590000}"/>
    <cellStyle name="40 % - Markeringsfarve2 2 8 4" xfId="8033" xr:uid="{00000000-0005-0000-0000-00001F590000}"/>
    <cellStyle name="40 % - Markeringsfarve2 2 8 4 2" xfId="15898" xr:uid="{00000000-0005-0000-0000-000020590000}"/>
    <cellStyle name="40 % - Markeringsfarve2 2 8 4 2 2" xfId="32174" xr:uid="{00000000-0005-0000-0000-000021590000}"/>
    <cellStyle name="40 % - Markeringsfarve2 2 8 4 2 3" xfId="47133" xr:uid="{00000000-0005-0000-0000-000022590000}"/>
    <cellStyle name="40 % - Markeringsfarve2 2 8 4 3" xfId="25172" xr:uid="{00000000-0005-0000-0000-000023590000}"/>
    <cellStyle name="40 % - Markeringsfarve2 2 8 4 4" xfId="40136" xr:uid="{00000000-0005-0000-0000-000024590000}"/>
    <cellStyle name="40 % - Markeringsfarve2 2 8 5" xfId="14201" xr:uid="{00000000-0005-0000-0000-000025590000}"/>
    <cellStyle name="40 % - Markeringsfarve2 2 8 5 2" xfId="30480" xr:uid="{00000000-0005-0000-0000-000026590000}"/>
    <cellStyle name="40 % - Markeringsfarve2 2 8 5 3" xfId="45440" xr:uid="{00000000-0005-0000-0000-000027590000}"/>
    <cellStyle name="40 % - Markeringsfarve2 2 8 6" xfId="23478" xr:uid="{00000000-0005-0000-0000-000028590000}"/>
    <cellStyle name="40 % - Markeringsfarve2 2 8 7" xfId="38443" xr:uid="{00000000-0005-0000-0000-000029590000}"/>
    <cellStyle name="40 % - Markeringsfarve2 2 9" xfId="5719" xr:uid="{00000000-0005-0000-0000-00002A590000}"/>
    <cellStyle name="40 % - Markeringsfarve2 2 9 2" xfId="9724" xr:uid="{00000000-0005-0000-0000-00002B590000}"/>
    <cellStyle name="40 % - Markeringsfarve2 2 9 2 2" xfId="17578" xr:uid="{00000000-0005-0000-0000-00002C590000}"/>
    <cellStyle name="40 % - Markeringsfarve2 2 9 2 2 2" xfId="33854" xr:uid="{00000000-0005-0000-0000-00002D590000}"/>
    <cellStyle name="40 % - Markeringsfarve2 2 9 2 2 3" xfId="48813" xr:uid="{00000000-0005-0000-0000-00002E590000}"/>
    <cellStyle name="40 % - Markeringsfarve2 2 9 2 3" xfId="26852" xr:uid="{00000000-0005-0000-0000-00002F590000}"/>
    <cellStyle name="40 % - Markeringsfarve2 2 9 2 4" xfId="41816" xr:uid="{00000000-0005-0000-0000-000030590000}"/>
    <cellStyle name="40 % - Markeringsfarve2 2 9 3" xfId="14204" xr:uid="{00000000-0005-0000-0000-000031590000}"/>
    <cellStyle name="40 % - Markeringsfarve2 2 9 3 2" xfId="30483" xr:uid="{00000000-0005-0000-0000-000032590000}"/>
    <cellStyle name="40 % - Markeringsfarve2 2 9 3 3" xfId="45443" xr:uid="{00000000-0005-0000-0000-000033590000}"/>
    <cellStyle name="40 % - Markeringsfarve2 2 9 4" xfId="23481" xr:uid="{00000000-0005-0000-0000-000034590000}"/>
    <cellStyle name="40 % - Markeringsfarve2 2 9 5" xfId="38446" xr:uid="{00000000-0005-0000-0000-000035590000}"/>
    <cellStyle name="40 % - Markeringsfarve2 3" xfId="5720" xr:uid="{00000000-0005-0000-0000-000036590000}"/>
    <cellStyle name="40 % - Markeringsfarve2 3 10" xfId="5721" xr:uid="{00000000-0005-0000-0000-000037590000}"/>
    <cellStyle name="40 % - Markeringsfarve2 3 10 2" xfId="8937" xr:uid="{00000000-0005-0000-0000-000038590000}"/>
    <cellStyle name="40 % - Markeringsfarve2 3 10 2 2" xfId="16802" xr:uid="{00000000-0005-0000-0000-000039590000}"/>
    <cellStyle name="40 % - Markeringsfarve2 3 10 2 2 2" xfId="33078" xr:uid="{00000000-0005-0000-0000-00003A590000}"/>
    <cellStyle name="40 % - Markeringsfarve2 3 10 2 2 3" xfId="48037" xr:uid="{00000000-0005-0000-0000-00003B590000}"/>
    <cellStyle name="40 % - Markeringsfarve2 3 10 2 3" xfId="26076" xr:uid="{00000000-0005-0000-0000-00003C590000}"/>
    <cellStyle name="40 % - Markeringsfarve2 3 10 2 4" xfId="41040" xr:uid="{00000000-0005-0000-0000-00003D590000}"/>
    <cellStyle name="40 % - Markeringsfarve2 3 10 3" xfId="14206" xr:uid="{00000000-0005-0000-0000-00003E590000}"/>
    <cellStyle name="40 % - Markeringsfarve2 3 10 3 2" xfId="30485" xr:uid="{00000000-0005-0000-0000-00003F590000}"/>
    <cellStyle name="40 % - Markeringsfarve2 3 10 3 3" xfId="45445" xr:uid="{00000000-0005-0000-0000-000040590000}"/>
    <cellStyle name="40 % - Markeringsfarve2 3 10 4" xfId="23483" xr:uid="{00000000-0005-0000-0000-000041590000}"/>
    <cellStyle name="40 % - Markeringsfarve2 3 10 5" xfId="38448" xr:uid="{00000000-0005-0000-0000-000042590000}"/>
    <cellStyle name="40 % - Markeringsfarve2 3 11" xfId="8034" xr:uid="{00000000-0005-0000-0000-000043590000}"/>
    <cellStyle name="40 % - Markeringsfarve2 3 11 2" xfId="15899" xr:uid="{00000000-0005-0000-0000-000044590000}"/>
    <cellStyle name="40 % - Markeringsfarve2 3 11 2 2" xfId="32175" xr:uid="{00000000-0005-0000-0000-000045590000}"/>
    <cellStyle name="40 % - Markeringsfarve2 3 11 2 3" xfId="47134" xr:uid="{00000000-0005-0000-0000-000046590000}"/>
    <cellStyle name="40 % - Markeringsfarve2 3 11 3" xfId="25173" xr:uid="{00000000-0005-0000-0000-000047590000}"/>
    <cellStyle name="40 % - Markeringsfarve2 3 11 4" xfId="40137" xr:uid="{00000000-0005-0000-0000-000048590000}"/>
    <cellStyle name="40 % - Markeringsfarve2 3 12" xfId="14205" xr:uid="{00000000-0005-0000-0000-000049590000}"/>
    <cellStyle name="40 % - Markeringsfarve2 3 12 2" xfId="30484" xr:uid="{00000000-0005-0000-0000-00004A590000}"/>
    <cellStyle name="40 % - Markeringsfarve2 3 12 3" xfId="45444" xr:uid="{00000000-0005-0000-0000-00004B590000}"/>
    <cellStyle name="40 % - Markeringsfarve2 3 13" xfId="23482" xr:uid="{00000000-0005-0000-0000-00004C590000}"/>
    <cellStyle name="40 % - Markeringsfarve2 3 14" xfId="38447" xr:uid="{00000000-0005-0000-0000-00004D590000}"/>
    <cellStyle name="40 % - Markeringsfarve2 3 2" xfId="5722" xr:uid="{00000000-0005-0000-0000-00004E590000}"/>
    <cellStyle name="40 % - Markeringsfarve2 3 2 10" xfId="14207" xr:uid="{00000000-0005-0000-0000-00004F590000}"/>
    <cellStyle name="40 % - Markeringsfarve2 3 2 10 2" xfId="30486" xr:uid="{00000000-0005-0000-0000-000050590000}"/>
    <cellStyle name="40 % - Markeringsfarve2 3 2 10 3" xfId="45446" xr:uid="{00000000-0005-0000-0000-000051590000}"/>
    <cellStyle name="40 % - Markeringsfarve2 3 2 11" xfId="23484" xr:uid="{00000000-0005-0000-0000-000052590000}"/>
    <cellStyle name="40 % - Markeringsfarve2 3 2 12" xfId="38449" xr:uid="{00000000-0005-0000-0000-000053590000}"/>
    <cellStyle name="40 % - Markeringsfarve2 3 2 2" xfId="5723" xr:uid="{00000000-0005-0000-0000-000054590000}"/>
    <cellStyle name="40 % - Markeringsfarve2 3 2 2 2" xfId="5724" xr:uid="{00000000-0005-0000-0000-000055590000}"/>
    <cellStyle name="40 % - Markeringsfarve2 3 2 2 2 2" xfId="9869" xr:uid="{00000000-0005-0000-0000-000056590000}"/>
    <cellStyle name="40 % - Markeringsfarve2 3 2 2 2 2 2" xfId="17724" xr:uid="{00000000-0005-0000-0000-000057590000}"/>
    <cellStyle name="40 % - Markeringsfarve2 3 2 2 2 2 2 2" xfId="34000" xr:uid="{00000000-0005-0000-0000-000058590000}"/>
    <cellStyle name="40 % - Markeringsfarve2 3 2 2 2 2 2 3" xfId="48959" xr:uid="{00000000-0005-0000-0000-000059590000}"/>
    <cellStyle name="40 % - Markeringsfarve2 3 2 2 2 2 3" xfId="26998" xr:uid="{00000000-0005-0000-0000-00005A590000}"/>
    <cellStyle name="40 % - Markeringsfarve2 3 2 2 2 2 4" xfId="41962" xr:uid="{00000000-0005-0000-0000-00005B590000}"/>
    <cellStyle name="40 % - Markeringsfarve2 3 2 2 2 3" xfId="14209" xr:uid="{00000000-0005-0000-0000-00005C590000}"/>
    <cellStyle name="40 % - Markeringsfarve2 3 2 2 2 3 2" xfId="30488" xr:uid="{00000000-0005-0000-0000-00005D590000}"/>
    <cellStyle name="40 % - Markeringsfarve2 3 2 2 2 3 3" xfId="45448" xr:uid="{00000000-0005-0000-0000-00005E590000}"/>
    <cellStyle name="40 % - Markeringsfarve2 3 2 2 2 4" xfId="23486" xr:uid="{00000000-0005-0000-0000-00005F590000}"/>
    <cellStyle name="40 % - Markeringsfarve2 3 2 2 2 5" xfId="38451" xr:uid="{00000000-0005-0000-0000-000060590000}"/>
    <cellStyle name="40 % - Markeringsfarve2 3 2 2 3" xfId="5725" xr:uid="{00000000-0005-0000-0000-000061590000}"/>
    <cellStyle name="40 % - Markeringsfarve2 3 2 2 3 2" xfId="9100" xr:uid="{00000000-0005-0000-0000-000062590000}"/>
    <cellStyle name="40 % - Markeringsfarve2 3 2 2 3 2 2" xfId="16964" xr:uid="{00000000-0005-0000-0000-000063590000}"/>
    <cellStyle name="40 % - Markeringsfarve2 3 2 2 3 2 2 2" xfId="33240" xr:uid="{00000000-0005-0000-0000-000064590000}"/>
    <cellStyle name="40 % - Markeringsfarve2 3 2 2 3 2 2 3" xfId="48199" xr:uid="{00000000-0005-0000-0000-000065590000}"/>
    <cellStyle name="40 % - Markeringsfarve2 3 2 2 3 2 3" xfId="26238" xr:uid="{00000000-0005-0000-0000-000066590000}"/>
    <cellStyle name="40 % - Markeringsfarve2 3 2 2 3 2 4" xfId="41202" xr:uid="{00000000-0005-0000-0000-000067590000}"/>
    <cellStyle name="40 % - Markeringsfarve2 3 2 2 3 3" xfId="14210" xr:uid="{00000000-0005-0000-0000-000068590000}"/>
    <cellStyle name="40 % - Markeringsfarve2 3 2 2 3 3 2" xfId="30489" xr:uid="{00000000-0005-0000-0000-000069590000}"/>
    <cellStyle name="40 % - Markeringsfarve2 3 2 2 3 3 3" xfId="45449" xr:uid="{00000000-0005-0000-0000-00006A590000}"/>
    <cellStyle name="40 % - Markeringsfarve2 3 2 2 3 4" xfId="23487" xr:uid="{00000000-0005-0000-0000-00006B590000}"/>
    <cellStyle name="40 % - Markeringsfarve2 3 2 2 3 5" xfId="38452" xr:uid="{00000000-0005-0000-0000-00006C590000}"/>
    <cellStyle name="40 % - Markeringsfarve2 3 2 2 4" xfId="8036" xr:uid="{00000000-0005-0000-0000-00006D590000}"/>
    <cellStyle name="40 % - Markeringsfarve2 3 2 2 4 2" xfId="15901" xr:uid="{00000000-0005-0000-0000-00006E590000}"/>
    <cellStyle name="40 % - Markeringsfarve2 3 2 2 4 2 2" xfId="32177" xr:uid="{00000000-0005-0000-0000-00006F590000}"/>
    <cellStyle name="40 % - Markeringsfarve2 3 2 2 4 2 3" xfId="47136" xr:uid="{00000000-0005-0000-0000-000070590000}"/>
    <cellStyle name="40 % - Markeringsfarve2 3 2 2 4 3" xfId="25175" xr:uid="{00000000-0005-0000-0000-000071590000}"/>
    <cellStyle name="40 % - Markeringsfarve2 3 2 2 4 4" xfId="40139" xr:uid="{00000000-0005-0000-0000-000072590000}"/>
    <cellStyle name="40 % - Markeringsfarve2 3 2 2 5" xfId="14208" xr:uid="{00000000-0005-0000-0000-000073590000}"/>
    <cellStyle name="40 % - Markeringsfarve2 3 2 2 5 2" xfId="30487" xr:uid="{00000000-0005-0000-0000-000074590000}"/>
    <cellStyle name="40 % - Markeringsfarve2 3 2 2 5 3" xfId="45447" xr:uid="{00000000-0005-0000-0000-000075590000}"/>
    <cellStyle name="40 % - Markeringsfarve2 3 2 2 6" xfId="23485" xr:uid="{00000000-0005-0000-0000-000076590000}"/>
    <cellStyle name="40 % - Markeringsfarve2 3 2 2 7" xfId="38450" xr:uid="{00000000-0005-0000-0000-000077590000}"/>
    <cellStyle name="40 % - Markeringsfarve2 3 2 3" xfId="5726" xr:uid="{00000000-0005-0000-0000-000078590000}"/>
    <cellStyle name="40 % - Markeringsfarve2 3 2 3 2" xfId="5727" xr:uid="{00000000-0005-0000-0000-000079590000}"/>
    <cellStyle name="40 % - Markeringsfarve2 3 2 3 2 2" xfId="9999" xr:uid="{00000000-0005-0000-0000-00007A590000}"/>
    <cellStyle name="40 % - Markeringsfarve2 3 2 3 2 2 2" xfId="17854" xr:uid="{00000000-0005-0000-0000-00007B590000}"/>
    <cellStyle name="40 % - Markeringsfarve2 3 2 3 2 2 2 2" xfId="34130" xr:uid="{00000000-0005-0000-0000-00007C590000}"/>
    <cellStyle name="40 % - Markeringsfarve2 3 2 3 2 2 2 3" xfId="49089" xr:uid="{00000000-0005-0000-0000-00007D590000}"/>
    <cellStyle name="40 % - Markeringsfarve2 3 2 3 2 2 3" xfId="27128" xr:uid="{00000000-0005-0000-0000-00007E590000}"/>
    <cellStyle name="40 % - Markeringsfarve2 3 2 3 2 2 4" xfId="42092" xr:uid="{00000000-0005-0000-0000-00007F590000}"/>
    <cellStyle name="40 % - Markeringsfarve2 3 2 3 2 3" xfId="14212" xr:uid="{00000000-0005-0000-0000-000080590000}"/>
    <cellStyle name="40 % - Markeringsfarve2 3 2 3 2 3 2" xfId="30491" xr:uid="{00000000-0005-0000-0000-000081590000}"/>
    <cellStyle name="40 % - Markeringsfarve2 3 2 3 2 3 3" xfId="45451" xr:uid="{00000000-0005-0000-0000-000082590000}"/>
    <cellStyle name="40 % - Markeringsfarve2 3 2 3 2 4" xfId="23489" xr:uid="{00000000-0005-0000-0000-000083590000}"/>
    <cellStyle name="40 % - Markeringsfarve2 3 2 3 2 5" xfId="38454" xr:uid="{00000000-0005-0000-0000-000084590000}"/>
    <cellStyle name="40 % - Markeringsfarve2 3 2 3 3" xfId="5728" xr:uid="{00000000-0005-0000-0000-000085590000}"/>
    <cellStyle name="40 % - Markeringsfarve2 3 2 3 3 2" xfId="9230" xr:uid="{00000000-0005-0000-0000-000086590000}"/>
    <cellStyle name="40 % - Markeringsfarve2 3 2 3 3 2 2" xfId="17094" xr:uid="{00000000-0005-0000-0000-000087590000}"/>
    <cellStyle name="40 % - Markeringsfarve2 3 2 3 3 2 2 2" xfId="33370" xr:uid="{00000000-0005-0000-0000-000088590000}"/>
    <cellStyle name="40 % - Markeringsfarve2 3 2 3 3 2 2 3" xfId="48329" xr:uid="{00000000-0005-0000-0000-000089590000}"/>
    <cellStyle name="40 % - Markeringsfarve2 3 2 3 3 2 3" xfId="26368" xr:uid="{00000000-0005-0000-0000-00008A590000}"/>
    <cellStyle name="40 % - Markeringsfarve2 3 2 3 3 2 4" xfId="41332" xr:uid="{00000000-0005-0000-0000-00008B590000}"/>
    <cellStyle name="40 % - Markeringsfarve2 3 2 3 3 3" xfId="14213" xr:uid="{00000000-0005-0000-0000-00008C590000}"/>
    <cellStyle name="40 % - Markeringsfarve2 3 2 3 3 3 2" xfId="30492" xr:uid="{00000000-0005-0000-0000-00008D590000}"/>
    <cellStyle name="40 % - Markeringsfarve2 3 2 3 3 3 3" xfId="45452" xr:uid="{00000000-0005-0000-0000-00008E590000}"/>
    <cellStyle name="40 % - Markeringsfarve2 3 2 3 3 4" xfId="23490" xr:uid="{00000000-0005-0000-0000-00008F590000}"/>
    <cellStyle name="40 % - Markeringsfarve2 3 2 3 3 5" xfId="38455" xr:uid="{00000000-0005-0000-0000-000090590000}"/>
    <cellStyle name="40 % - Markeringsfarve2 3 2 3 4" xfId="8037" xr:uid="{00000000-0005-0000-0000-000091590000}"/>
    <cellStyle name="40 % - Markeringsfarve2 3 2 3 4 2" xfId="15902" xr:uid="{00000000-0005-0000-0000-000092590000}"/>
    <cellStyle name="40 % - Markeringsfarve2 3 2 3 4 2 2" xfId="32178" xr:uid="{00000000-0005-0000-0000-000093590000}"/>
    <cellStyle name="40 % - Markeringsfarve2 3 2 3 4 2 3" xfId="47137" xr:uid="{00000000-0005-0000-0000-000094590000}"/>
    <cellStyle name="40 % - Markeringsfarve2 3 2 3 4 3" xfId="25176" xr:uid="{00000000-0005-0000-0000-000095590000}"/>
    <cellStyle name="40 % - Markeringsfarve2 3 2 3 4 4" xfId="40140" xr:uid="{00000000-0005-0000-0000-000096590000}"/>
    <cellStyle name="40 % - Markeringsfarve2 3 2 3 5" xfId="14211" xr:uid="{00000000-0005-0000-0000-000097590000}"/>
    <cellStyle name="40 % - Markeringsfarve2 3 2 3 5 2" xfId="30490" xr:uid="{00000000-0005-0000-0000-000098590000}"/>
    <cellStyle name="40 % - Markeringsfarve2 3 2 3 5 3" xfId="45450" xr:uid="{00000000-0005-0000-0000-000099590000}"/>
    <cellStyle name="40 % - Markeringsfarve2 3 2 3 6" xfId="23488" xr:uid="{00000000-0005-0000-0000-00009A590000}"/>
    <cellStyle name="40 % - Markeringsfarve2 3 2 3 7" xfId="38453" xr:uid="{00000000-0005-0000-0000-00009B590000}"/>
    <cellStyle name="40 % - Markeringsfarve2 3 2 4" xfId="5729" xr:uid="{00000000-0005-0000-0000-00009C590000}"/>
    <cellStyle name="40 % - Markeringsfarve2 3 2 4 2" xfId="5730" xr:uid="{00000000-0005-0000-0000-00009D590000}"/>
    <cellStyle name="40 % - Markeringsfarve2 3 2 4 2 2" xfId="10107" xr:uid="{00000000-0005-0000-0000-00009E590000}"/>
    <cellStyle name="40 % - Markeringsfarve2 3 2 4 2 2 2" xfId="17962" xr:uid="{00000000-0005-0000-0000-00009F590000}"/>
    <cellStyle name="40 % - Markeringsfarve2 3 2 4 2 2 2 2" xfId="34238" xr:uid="{00000000-0005-0000-0000-0000A0590000}"/>
    <cellStyle name="40 % - Markeringsfarve2 3 2 4 2 2 2 3" xfId="49197" xr:uid="{00000000-0005-0000-0000-0000A1590000}"/>
    <cellStyle name="40 % - Markeringsfarve2 3 2 4 2 2 3" xfId="27236" xr:uid="{00000000-0005-0000-0000-0000A2590000}"/>
    <cellStyle name="40 % - Markeringsfarve2 3 2 4 2 2 4" xfId="42200" xr:uid="{00000000-0005-0000-0000-0000A3590000}"/>
    <cellStyle name="40 % - Markeringsfarve2 3 2 4 2 3" xfId="14215" xr:uid="{00000000-0005-0000-0000-0000A4590000}"/>
    <cellStyle name="40 % - Markeringsfarve2 3 2 4 2 3 2" xfId="30494" xr:uid="{00000000-0005-0000-0000-0000A5590000}"/>
    <cellStyle name="40 % - Markeringsfarve2 3 2 4 2 3 3" xfId="45454" xr:uid="{00000000-0005-0000-0000-0000A6590000}"/>
    <cellStyle name="40 % - Markeringsfarve2 3 2 4 2 4" xfId="23492" xr:uid="{00000000-0005-0000-0000-0000A7590000}"/>
    <cellStyle name="40 % - Markeringsfarve2 3 2 4 2 5" xfId="38457" xr:uid="{00000000-0005-0000-0000-0000A8590000}"/>
    <cellStyle name="40 % - Markeringsfarve2 3 2 4 3" xfId="5731" xr:uid="{00000000-0005-0000-0000-0000A9590000}"/>
    <cellStyle name="40 % - Markeringsfarve2 3 2 4 3 2" xfId="9384" xr:uid="{00000000-0005-0000-0000-0000AA590000}"/>
    <cellStyle name="40 % - Markeringsfarve2 3 2 4 3 2 2" xfId="17247" xr:uid="{00000000-0005-0000-0000-0000AB590000}"/>
    <cellStyle name="40 % - Markeringsfarve2 3 2 4 3 2 2 2" xfId="33523" xr:uid="{00000000-0005-0000-0000-0000AC590000}"/>
    <cellStyle name="40 % - Markeringsfarve2 3 2 4 3 2 2 3" xfId="48482" xr:uid="{00000000-0005-0000-0000-0000AD590000}"/>
    <cellStyle name="40 % - Markeringsfarve2 3 2 4 3 2 3" xfId="26521" xr:uid="{00000000-0005-0000-0000-0000AE590000}"/>
    <cellStyle name="40 % - Markeringsfarve2 3 2 4 3 2 4" xfId="41485" xr:uid="{00000000-0005-0000-0000-0000AF590000}"/>
    <cellStyle name="40 % - Markeringsfarve2 3 2 4 3 3" xfId="14216" xr:uid="{00000000-0005-0000-0000-0000B0590000}"/>
    <cellStyle name="40 % - Markeringsfarve2 3 2 4 3 3 2" xfId="30495" xr:uid="{00000000-0005-0000-0000-0000B1590000}"/>
    <cellStyle name="40 % - Markeringsfarve2 3 2 4 3 3 3" xfId="45455" xr:uid="{00000000-0005-0000-0000-0000B2590000}"/>
    <cellStyle name="40 % - Markeringsfarve2 3 2 4 3 4" xfId="23493" xr:uid="{00000000-0005-0000-0000-0000B3590000}"/>
    <cellStyle name="40 % - Markeringsfarve2 3 2 4 3 5" xfId="38458" xr:uid="{00000000-0005-0000-0000-0000B4590000}"/>
    <cellStyle name="40 % - Markeringsfarve2 3 2 4 4" xfId="8038" xr:uid="{00000000-0005-0000-0000-0000B5590000}"/>
    <cellStyle name="40 % - Markeringsfarve2 3 2 4 4 2" xfId="15903" xr:uid="{00000000-0005-0000-0000-0000B6590000}"/>
    <cellStyle name="40 % - Markeringsfarve2 3 2 4 4 2 2" xfId="32179" xr:uid="{00000000-0005-0000-0000-0000B7590000}"/>
    <cellStyle name="40 % - Markeringsfarve2 3 2 4 4 2 3" xfId="47138" xr:uid="{00000000-0005-0000-0000-0000B8590000}"/>
    <cellStyle name="40 % - Markeringsfarve2 3 2 4 4 3" xfId="25177" xr:uid="{00000000-0005-0000-0000-0000B9590000}"/>
    <cellStyle name="40 % - Markeringsfarve2 3 2 4 4 4" xfId="40141" xr:uid="{00000000-0005-0000-0000-0000BA590000}"/>
    <cellStyle name="40 % - Markeringsfarve2 3 2 4 5" xfId="14214" xr:uid="{00000000-0005-0000-0000-0000BB590000}"/>
    <cellStyle name="40 % - Markeringsfarve2 3 2 4 5 2" xfId="30493" xr:uid="{00000000-0005-0000-0000-0000BC590000}"/>
    <cellStyle name="40 % - Markeringsfarve2 3 2 4 5 3" xfId="45453" xr:uid="{00000000-0005-0000-0000-0000BD590000}"/>
    <cellStyle name="40 % - Markeringsfarve2 3 2 4 6" xfId="23491" xr:uid="{00000000-0005-0000-0000-0000BE590000}"/>
    <cellStyle name="40 % - Markeringsfarve2 3 2 4 7" xfId="38456" xr:uid="{00000000-0005-0000-0000-0000BF590000}"/>
    <cellStyle name="40 % - Markeringsfarve2 3 2 5" xfId="5732" xr:uid="{00000000-0005-0000-0000-0000C0590000}"/>
    <cellStyle name="40 % - Markeringsfarve2 3 2 5 2" xfId="5733" xr:uid="{00000000-0005-0000-0000-0000C1590000}"/>
    <cellStyle name="40 % - Markeringsfarve2 3 2 5 2 2" xfId="10224" xr:uid="{00000000-0005-0000-0000-0000C2590000}"/>
    <cellStyle name="40 % - Markeringsfarve2 3 2 5 2 2 2" xfId="18079" xr:uid="{00000000-0005-0000-0000-0000C3590000}"/>
    <cellStyle name="40 % - Markeringsfarve2 3 2 5 2 2 2 2" xfId="34355" xr:uid="{00000000-0005-0000-0000-0000C4590000}"/>
    <cellStyle name="40 % - Markeringsfarve2 3 2 5 2 2 2 3" xfId="49314" xr:uid="{00000000-0005-0000-0000-0000C5590000}"/>
    <cellStyle name="40 % - Markeringsfarve2 3 2 5 2 2 3" xfId="27353" xr:uid="{00000000-0005-0000-0000-0000C6590000}"/>
    <cellStyle name="40 % - Markeringsfarve2 3 2 5 2 2 4" xfId="42317" xr:uid="{00000000-0005-0000-0000-0000C7590000}"/>
    <cellStyle name="40 % - Markeringsfarve2 3 2 5 2 3" xfId="14218" xr:uid="{00000000-0005-0000-0000-0000C8590000}"/>
    <cellStyle name="40 % - Markeringsfarve2 3 2 5 2 3 2" xfId="30497" xr:uid="{00000000-0005-0000-0000-0000C9590000}"/>
    <cellStyle name="40 % - Markeringsfarve2 3 2 5 2 3 3" xfId="45457" xr:uid="{00000000-0005-0000-0000-0000CA590000}"/>
    <cellStyle name="40 % - Markeringsfarve2 3 2 5 2 4" xfId="23495" xr:uid="{00000000-0005-0000-0000-0000CB590000}"/>
    <cellStyle name="40 % - Markeringsfarve2 3 2 5 2 5" xfId="38460" xr:uid="{00000000-0005-0000-0000-0000CC590000}"/>
    <cellStyle name="40 % - Markeringsfarve2 3 2 5 3" xfId="5734" xr:uid="{00000000-0005-0000-0000-0000CD590000}"/>
    <cellStyle name="40 % - Markeringsfarve2 3 2 5 3 2" xfId="9501" xr:uid="{00000000-0005-0000-0000-0000CE590000}"/>
    <cellStyle name="40 % - Markeringsfarve2 3 2 5 3 2 2" xfId="17364" xr:uid="{00000000-0005-0000-0000-0000CF590000}"/>
    <cellStyle name="40 % - Markeringsfarve2 3 2 5 3 2 2 2" xfId="33640" xr:uid="{00000000-0005-0000-0000-0000D0590000}"/>
    <cellStyle name="40 % - Markeringsfarve2 3 2 5 3 2 2 3" xfId="48599" xr:uid="{00000000-0005-0000-0000-0000D1590000}"/>
    <cellStyle name="40 % - Markeringsfarve2 3 2 5 3 2 3" xfId="26638" xr:uid="{00000000-0005-0000-0000-0000D2590000}"/>
    <cellStyle name="40 % - Markeringsfarve2 3 2 5 3 2 4" xfId="41602" xr:uid="{00000000-0005-0000-0000-0000D3590000}"/>
    <cellStyle name="40 % - Markeringsfarve2 3 2 5 3 3" xfId="14219" xr:uid="{00000000-0005-0000-0000-0000D4590000}"/>
    <cellStyle name="40 % - Markeringsfarve2 3 2 5 3 3 2" xfId="30498" xr:uid="{00000000-0005-0000-0000-0000D5590000}"/>
    <cellStyle name="40 % - Markeringsfarve2 3 2 5 3 3 3" xfId="45458" xr:uid="{00000000-0005-0000-0000-0000D6590000}"/>
    <cellStyle name="40 % - Markeringsfarve2 3 2 5 3 4" xfId="23496" xr:uid="{00000000-0005-0000-0000-0000D7590000}"/>
    <cellStyle name="40 % - Markeringsfarve2 3 2 5 3 5" xfId="38461" xr:uid="{00000000-0005-0000-0000-0000D8590000}"/>
    <cellStyle name="40 % - Markeringsfarve2 3 2 5 4" xfId="8039" xr:uid="{00000000-0005-0000-0000-0000D9590000}"/>
    <cellStyle name="40 % - Markeringsfarve2 3 2 5 4 2" xfId="15904" xr:uid="{00000000-0005-0000-0000-0000DA590000}"/>
    <cellStyle name="40 % - Markeringsfarve2 3 2 5 4 2 2" xfId="32180" xr:uid="{00000000-0005-0000-0000-0000DB590000}"/>
    <cellStyle name="40 % - Markeringsfarve2 3 2 5 4 2 3" xfId="47139" xr:uid="{00000000-0005-0000-0000-0000DC590000}"/>
    <cellStyle name="40 % - Markeringsfarve2 3 2 5 4 3" xfId="25178" xr:uid="{00000000-0005-0000-0000-0000DD590000}"/>
    <cellStyle name="40 % - Markeringsfarve2 3 2 5 4 4" xfId="40142" xr:uid="{00000000-0005-0000-0000-0000DE590000}"/>
    <cellStyle name="40 % - Markeringsfarve2 3 2 5 5" xfId="14217" xr:uid="{00000000-0005-0000-0000-0000DF590000}"/>
    <cellStyle name="40 % - Markeringsfarve2 3 2 5 5 2" xfId="30496" xr:uid="{00000000-0005-0000-0000-0000E0590000}"/>
    <cellStyle name="40 % - Markeringsfarve2 3 2 5 5 3" xfId="45456" xr:uid="{00000000-0005-0000-0000-0000E1590000}"/>
    <cellStyle name="40 % - Markeringsfarve2 3 2 5 6" xfId="23494" xr:uid="{00000000-0005-0000-0000-0000E2590000}"/>
    <cellStyle name="40 % - Markeringsfarve2 3 2 5 7" xfId="38459" xr:uid="{00000000-0005-0000-0000-0000E3590000}"/>
    <cellStyle name="40 % - Markeringsfarve2 3 2 6" xfId="5735" xr:uid="{00000000-0005-0000-0000-0000E4590000}"/>
    <cellStyle name="40 % - Markeringsfarve2 3 2 6 2" xfId="5736" xr:uid="{00000000-0005-0000-0000-0000E5590000}"/>
    <cellStyle name="40 % - Markeringsfarve2 3 2 6 2 2" xfId="10353" xr:uid="{00000000-0005-0000-0000-0000E6590000}"/>
    <cellStyle name="40 % - Markeringsfarve2 3 2 6 2 2 2" xfId="18208" xr:uid="{00000000-0005-0000-0000-0000E7590000}"/>
    <cellStyle name="40 % - Markeringsfarve2 3 2 6 2 2 2 2" xfId="34484" xr:uid="{00000000-0005-0000-0000-0000E8590000}"/>
    <cellStyle name="40 % - Markeringsfarve2 3 2 6 2 2 2 3" xfId="49443" xr:uid="{00000000-0005-0000-0000-0000E9590000}"/>
    <cellStyle name="40 % - Markeringsfarve2 3 2 6 2 2 3" xfId="27482" xr:uid="{00000000-0005-0000-0000-0000EA590000}"/>
    <cellStyle name="40 % - Markeringsfarve2 3 2 6 2 2 4" xfId="42446" xr:uid="{00000000-0005-0000-0000-0000EB590000}"/>
    <cellStyle name="40 % - Markeringsfarve2 3 2 6 2 3" xfId="14221" xr:uid="{00000000-0005-0000-0000-0000EC590000}"/>
    <cellStyle name="40 % - Markeringsfarve2 3 2 6 2 3 2" xfId="30500" xr:uid="{00000000-0005-0000-0000-0000ED590000}"/>
    <cellStyle name="40 % - Markeringsfarve2 3 2 6 2 3 3" xfId="45460" xr:uid="{00000000-0005-0000-0000-0000EE590000}"/>
    <cellStyle name="40 % - Markeringsfarve2 3 2 6 2 4" xfId="23498" xr:uid="{00000000-0005-0000-0000-0000EF590000}"/>
    <cellStyle name="40 % - Markeringsfarve2 3 2 6 2 5" xfId="38463" xr:uid="{00000000-0005-0000-0000-0000F0590000}"/>
    <cellStyle name="40 % - Markeringsfarve2 3 2 6 3" xfId="5737" xr:uid="{00000000-0005-0000-0000-0000F1590000}"/>
    <cellStyle name="40 % - Markeringsfarve2 3 2 6 3 2" xfId="9631" xr:uid="{00000000-0005-0000-0000-0000F2590000}"/>
    <cellStyle name="40 % - Markeringsfarve2 3 2 6 3 2 2" xfId="17494" xr:uid="{00000000-0005-0000-0000-0000F3590000}"/>
    <cellStyle name="40 % - Markeringsfarve2 3 2 6 3 2 2 2" xfId="33770" xr:uid="{00000000-0005-0000-0000-0000F4590000}"/>
    <cellStyle name="40 % - Markeringsfarve2 3 2 6 3 2 2 3" xfId="48729" xr:uid="{00000000-0005-0000-0000-0000F5590000}"/>
    <cellStyle name="40 % - Markeringsfarve2 3 2 6 3 2 3" xfId="26768" xr:uid="{00000000-0005-0000-0000-0000F6590000}"/>
    <cellStyle name="40 % - Markeringsfarve2 3 2 6 3 2 4" xfId="41732" xr:uid="{00000000-0005-0000-0000-0000F7590000}"/>
    <cellStyle name="40 % - Markeringsfarve2 3 2 6 3 3" xfId="14222" xr:uid="{00000000-0005-0000-0000-0000F8590000}"/>
    <cellStyle name="40 % - Markeringsfarve2 3 2 6 3 3 2" xfId="30501" xr:uid="{00000000-0005-0000-0000-0000F9590000}"/>
    <cellStyle name="40 % - Markeringsfarve2 3 2 6 3 3 3" xfId="45461" xr:uid="{00000000-0005-0000-0000-0000FA590000}"/>
    <cellStyle name="40 % - Markeringsfarve2 3 2 6 3 4" xfId="23499" xr:uid="{00000000-0005-0000-0000-0000FB590000}"/>
    <cellStyle name="40 % - Markeringsfarve2 3 2 6 3 5" xfId="38464" xr:uid="{00000000-0005-0000-0000-0000FC590000}"/>
    <cellStyle name="40 % - Markeringsfarve2 3 2 6 4" xfId="8040" xr:uid="{00000000-0005-0000-0000-0000FD590000}"/>
    <cellStyle name="40 % - Markeringsfarve2 3 2 6 4 2" xfId="15905" xr:uid="{00000000-0005-0000-0000-0000FE590000}"/>
    <cellStyle name="40 % - Markeringsfarve2 3 2 6 4 2 2" xfId="32181" xr:uid="{00000000-0005-0000-0000-0000FF590000}"/>
    <cellStyle name="40 % - Markeringsfarve2 3 2 6 4 2 3" xfId="47140" xr:uid="{00000000-0005-0000-0000-0000005A0000}"/>
    <cellStyle name="40 % - Markeringsfarve2 3 2 6 4 3" xfId="25179" xr:uid="{00000000-0005-0000-0000-0000015A0000}"/>
    <cellStyle name="40 % - Markeringsfarve2 3 2 6 4 4" xfId="40143" xr:uid="{00000000-0005-0000-0000-0000025A0000}"/>
    <cellStyle name="40 % - Markeringsfarve2 3 2 6 5" xfId="14220" xr:uid="{00000000-0005-0000-0000-0000035A0000}"/>
    <cellStyle name="40 % - Markeringsfarve2 3 2 6 5 2" xfId="30499" xr:uid="{00000000-0005-0000-0000-0000045A0000}"/>
    <cellStyle name="40 % - Markeringsfarve2 3 2 6 5 3" xfId="45459" xr:uid="{00000000-0005-0000-0000-0000055A0000}"/>
    <cellStyle name="40 % - Markeringsfarve2 3 2 6 6" xfId="23497" xr:uid="{00000000-0005-0000-0000-0000065A0000}"/>
    <cellStyle name="40 % - Markeringsfarve2 3 2 6 7" xfId="38462" xr:uid="{00000000-0005-0000-0000-0000075A0000}"/>
    <cellStyle name="40 % - Markeringsfarve2 3 2 7" xfId="5738" xr:uid="{00000000-0005-0000-0000-0000085A0000}"/>
    <cellStyle name="40 % - Markeringsfarve2 3 2 7 2" xfId="9751" xr:uid="{00000000-0005-0000-0000-0000095A0000}"/>
    <cellStyle name="40 % - Markeringsfarve2 3 2 7 2 2" xfId="17605" xr:uid="{00000000-0005-0000-0000-00000A5A0000}"/>
    <cellStyle name="40 % - Markeringsfarve2 3 2 7 2 2 2" xfId="33881" xr:uid="{00000000-0005-0000-0000-00000B5A0000}"/>
    <cellStyle name="40 % - Markeringsfarve2 3 2 7 2 2 3" xfId="48840" xr:uid="{00000000-0005-0000-0000-00000C5A0000}"/>
    <cellStyle name="40 % - Markeringsfarve2 3 2 7 2 3" xfId="26879" xr:uid="{00000000-0005-0000-0000-00000D5A0000}"/>
    <cellStyle name="40 % - Markeringsfarve2 3 2 7 2 4" xfId="41843" xr:uid="{00000000-0005-0000-0000-00000E5A0000}"/>
    <cellStyle name="40 % - Markeringsfarve2 3 2 7 3" xfId="14223" xr:uid="{00000000-0005-0000-0000-00000F5A0000}"/>
    <cellStyle name="40 % - Markeringsfarve2 3 2 7 3 2" xfId="30502" xr:uid="{00000000-0005-0000-0000-0000105A0000}"/>
    <cellStyle name="40 % - Markeringsfarve2 3 2 7 3 3" xfId="45462" xr:uid="{00000000-0005-0000-0000-0000115A0000}"/>
    <cellStyle name="40 % - Markeringsfarve2 3 2 7 4" xfId="23500" xr:uid="{00000000-0005-0000-0000-0000125A0000}"/>
    <cellStyle name="40 % - Markeringsfarve2 3 2 7 5" xfId="38465" xr:uid="{00000000-0005-0000-0000-0000135A0000}"/>
    <cellStyle name="40 % - Markeringsfarve2 3 2 8" xfId="5739" xr:uid="{00000000-0005-0000-0000-0000145A0000}"/>
    <cellStyle name="40 % - Markeringsfarve2 3 2 8 2" xfId="8979" xr:uid="{00000000-0005-0000-0000-0000155A0000}"/>
    <cellStyle name="40 % - Markeringsfarve2 3 2 8 2 2" xfId="16843" xr:uid="{00000000-0005-0000-0000-0000165A0000}"/>
    <cellStyle name="40 % - Markeringsfarve2 3 2 8 2 2 2" xfId="33119" xr:uid="{00000000-0005-0000-0000-0000175A0000}"/>
    <cellStyle name="40 % - Markeringsfarve2 3 2 8 2 2 3" xfId="48078" xr:uid="{00000000-0005-0000-0000-0000185A0000}"/>
    <cellStyle name="40 % - Markeringsfarve2 3 2 8 2 3" xfId="26117" xr:uid="{00000000-0005-0000-0000-0000195A0000}"/>
    <cellStyle name="40 % - Markeringsfarve2 3 2 8 2 4" xfId="41081" xr:uid="{00000000-0005-0000-0000-00001A5A0000}"/>
    <cellStyle name="40 % - Markeringsfarve2 3 2 8 3" xfId="14224" xr:uid="{00000000-0005-0000-0000-00001B5A0000}"/>
    <cellStyle name="40 % - Markeringsfarve2 3 2 8 3 2" xfId="30503" xr:uid="{00000000-0005-0000-0000-00001C5A0000}"/>
    <cellStyle name="40 % - Markeringsfarve2 3 2 8 3 3" xfId="45463" xr:uid="{00000000-0005-0000-0000-00001D5A0000}"/>
    <cellStyle name="40 % - Markeringsfarve2 3 2 8 4" xfId="23501" xr:uid="{00000000-0005-0000-0000-00001E5A0000}"/>
    <cellStyle name="40 % - Markeringsfarve2 3 2 8 5" xfId="38466" xr:uid="{00000000-0005-0000-0000-00001F5A0000}"/>
    <cellStyle name="40 % - Markeringsfarve2 3 2 9" xfId="8035" xr:uid="{00000000-0005-0000-0000-0000205A0000}"/>
    <cellStyle name="40 % - Markeringsfarve2 3 2 9 2" xfId="15900" xr:uid="{00000000-0005-0000-0000-0000215A0000}"/>
    <cellStyle name="40 % - Markeringsfarve2 3 2 9 2 2" xfId="32176" xr:uid="{00000000-0005-0000-0000-0000225A0000}"/>
    <cellStyle name="40 % - Markeringsfarve2 3 2 9 2 3" xfId="47135" xr:uid="{00000000-0005-0000-0000-0000235A0000}"/>
    <cellStyle name="40 % - Markeringsfarve2 3 2 9 3" xfId="25174" xr:uid="{00000000-0005-0000-0000-0000245A0000}"/>
    <cellStyle name="40 % - Markeringsfarve2 3 2 9 4" xfId="40138" xr:uid="{00000000-0005-0000-0000-0000255A0000}"/>
    <cellStyle name="40 % - Markeringsfarve2 3 3" xfId="5740" xr:uid="{00000000-0005-0000-0000-0000265A0000}"/>
    <cellStyle name="40 % - Markeringsfarve2 3 3 10" xfId="14225" xr:uid="{00000000-0005-0000-0000-0000275A0000}"/>
    <cellStyle name="40 % - Markeringsfarve2 3 3 10 2" xfId="30504" xr:uid="{00000000-0005-0000-0000-0000285A0000}"/>
    <cellStyle name="40 % - Markeringsfarve2 3 3 10 3" xfId="45464" xr:uid="{00000000-0005-0000-0000-0000295A0000}"/>
    <cellStyle name="40 % - Markeringsfarve2 3 3 11" xfId="23502" xr:uid="{00000000-0005-0000-0000-00002A5A0000}"/>
    <cellStyle name="40 % - Markeringsfarve2 3 3 12" xfId="38467" xr:uid="{00000000-0005-0000-0000-00002B5A0000}"/>
    <cellStyle name="40 % - Markeringsfarve2 3 3 2" xfId="5741" xr:uid="{00000000-0005-0000-0000-00002C5A0000}"/>
    <cellStyle name="40 % - Markeringsfarve2 3 3 2 2" xfId="5742" xr:uid="{00000000-0005-0000-0000-00002D5A0000}"/>
    <cellStyle name="40 % - Markeringsfarve2 3 3 2 2 2" xfId="9908" xr:uid="{00000000-0005-0000-0000-00002E5A0000}"/>
    <cellStyle name="40 % - Markeringsfarve2 3 3 2 2 2 2" xfId="17763" xr:uid="{00000000-0005-0000-0000-00002F5A0000}"/>
    <cellStyle name="40 % - Markeringsfarve2 3 3 2 2 2 2 2" xfId="34039" xr:uid="{00000000-0005-0000-0000-0000305A0000}"/>
    <cellStyle name="40 % - Markeringsfarve2 3 3 2 2 2 2 3" xfId="48998" xr:uid="{00000000-0005-0000-0000-0000315A0000}"/>
    <cellStyle name="40 % - Markeringsfarve2 3 3 2 2 2 3" xfId="27037" xr:uid="{00000000-0005-0000-0000-0000325A0000}"/>
    <cellStyle name="40 % - Markeringsfarve2 3 3 2 2 2 4" xfId="42001" xr:uid="{00000000-0005-0000-0000-0000335A0000}"/>
    <cellStyle name="40 % - Markeringsfarve2 3 3 2 2 3" xfId="14227" xr:uid="{00000000-0005-0000-0000-0000345A0000}"/>
    <cellStyle name="40 % - Markeringsfarve2 3 3 2 2 3 2" xfId="30506" xr:uid="{00000000-0005-0000-0000-0000355A0000}"/>
    <cellStyle name="40 % - Markeringsfarve2 3 3 2 2 3 3" xfId="45466" xr:uid="{00000000-0005-0000-0000-0000365A0000}"/>
    <cellStyle name="40 % - Markeringsfarve2 3 3 2 2 4" xfId="23504" xr:uid="{00000000-0005-0000-0000-0000375A0000}"/>
    <cellStyle name="40 % - Markeringsfarve2 3 3 2 2 5" xfId="38469" xr:uid="{00000000-0005-0000-0000-0000385A0000}"/>
    <cellStyle name="40 % - Markeringsfarve2 3 3 2 3" xfId="5743" xr:uid="{00000000-0005-0000-0000-0000395A0000}"/>
    <cellStyle name="40 % - Markeringsfarve2 3 3 2 3 2" xfId="9139" xr:uid="{00000000-0005-0000-0000-00003A5A0000}"/>
    <cellStyle name="40 % - Markeringsfarve2 3 3 2 3 2 2" xfId="17003" xr:uid="{00000000-0005-0000-0000-00003B5A0000}"/>
    <cellStyle name="40 % - Markeringsfarve2 3 3 2 3 2 2 2" xfId="33279" xr:uid="{00000000-0005-0000-0000-00003C5A0000}"/>
    <cellStyle name="40 % - Markeringsfarve2 3 3 2 3 2 2 3" xfId="48238" xr:uid="{00000000-0005-0000-0000-00003D5A0000}"/>
    <cellStyle name="40 % - Markeringsfarve2 3 3 2 3 2 3" xfId="26277" xr:uid="{00000000-0005-0000-0000-00003E5A0000}"/>
    <cellStyle name="40 % - Markeringsfarve2 3 3 2 3 2 4" xfId="41241" xr:uid="{00000000-0005-0000-0000-00003F5A0000}"/>
    <cellStyle name="40 % - Markeringsfarve2 3 3 2 3 3" xfId="14228" xr:uid="{00000000-0005-0000-0000-0000405A0000}"/>
    <cellStyle name="40 % - Markeringsfarve2 3 3 2 3 3 2" xfId="30507" xr:uid="{00000000-0005-0000-0000-0000415A0000}"/>
    <cellStyle name="40 % - Markeringsfarve2 3 3 2 3 3 3" xfId="45467" xr:uid="{00000000-0005-0000-0000-0000425A0000}"/>
    <cellStyle name="40 % - Markeringsfarve2 3 3 2 3 4" xfId="23505" xr:uid="{00000000-0005-0000-0000-0000435A0000}"/>
    <cellStyle name="40 % - Markeringsfarve2 3 3 2 3 5" xfId="38470" xr:uid="{00000000-0005-0000-0000-0000445A0000}"/>
    <cellStyle name="40 % - Markeringsfarve2 3 3 2 4" xfId="8042" xr:uid="{00000000-0005-0000-0000-0000455A0000}"/>
    <cellStyle name="40 % - Markeringsfarve2 3 3 2 4 2" xfId="15907" xr:uid="{00000000-0005-0000-0000-0000465A0000}"/>
    <cellStyle name="40 % - Markeringsfarve2 3 3 2 4 2 2" xfId="32183" xr:uid="{00000000-0005-0000-0000-0000475A0000}"/>
    <cellStyle name="40 % - Markeringsfarve2 3 3 2 4 2 3" xfId="47142" xr:uid="{00000000-0005-0000-0000-0000485A0000}"/>
    <cellStyle name="40 % - Markeringsfarve2 3 3 2 4 3" xfId="25181" xr:uid="{00000000-0005-0000-0000-0000495A0000}"/>
    <cellStyle name="40 % - Markeringsfarve2 3 3 2 4 4" xfId="40145" xr:uid="{00000000-0005-0000-0000-00004A5A0000}"/>
    <cellStyle name="40 % - Markeringsfarve2 3 3 2 5" xfId="14226" xr:uid="{00000000-0005-0000-0000-00004B5A0000}"/>
    <cellStyle name="40 % - Markeringsfarve2 3 3 2 5 2" xfId="30505" xr:uid="{00000000-0005-0000-0000-00004C5A0000}"/>
    <cellStyle name="40 % - Markeringsfarve2 3 3 2 5 3" xfId="45465" xr:uid="{00000000-0005-0000-0000-00004D5A0000}"/>
    <cellStyle name="40 % - Markeringsfarve2 3 3 2 6" xfId="23503" xr:uid="{00000000-0005-0000-0000-00004E5A0000}"/>
    <cellStyle name="40 % - Markeringsfarve2 3 3 2 7" xfId="38468" xr:uid="{00000000-0005-0000-0000-00004F5A0000}"/>
    <cellStyle name="40 % - Markeringsfarve2 3 3 3" xfId="5744" xr:uid="{00000000-0005-0000-0000-0000505A0000}"/>
    <cellStyle name="40 % - Markeringsfarve2 3 3 3 2" xfId="5745" xr:uid="{00000000-0005-0000-0000-0000515A0000}"/>
    <cellStyle name="40 % - Markeringsfarve2 3 3 3 2 2" xfId="10000" xr:uid="{00000000-0005-0000-0000-0000525A0000}"/>
    <cellStyle name="40 % - Markeringsfarve2 3 3 3 2 2 2" xfId="17855" xr:uid="{00000000-0005-0000-0000-0000535A0000}"/>
    <cellStyle name="40 % - Markeringsfarve2 3 3 3 2 2 2 2" xfId="34131" xr:uid="{00000000-0005-0000-0000-0000545A0000}"/>
    <cellStyle name="40 % - Markeringsfarve2 3 3 3 2 2 2 3" xfId="49090" xr:uid="{00000000-0005-0000-0000-0000555A0000}"/>
    <cellStyle name="40 % - Markeringsfarve2 3 3 3 2 2 3" xfId="27129" xr:uid="{00000000-0005-0000-0000-0000565A0000}"/>
    <cellStyle name="40 % - Markeringsfarve2 3 3 3 2 2 4" xfId="42093" xr:uid="{00000000-0005-0000-0000-0000575A0000}"/>
    <cellStyle name="40 % - Markeringsfarve2 3 3 3 2 3" xfId="14230" xr:uid="{00000000-0005-0000-0000-0000585A0000}"/>
    <cellStyle name="40 % - Markeringsfarve2 3 3 3 2 3 2" xfId="30509" xr:uid="{00000000-0005-0000-0000-0000595A0000}"/>
    <cellStyle name="40 % - Markeringsfarve2 3 3 3 2 3 3" xfId="45469" xr:uid="{00000000-0005-0000-0000-00005A5A0000}"/>
    <cellStyle name="40 % - Markeringsfarve2 3 3 3 2 4" xfId="23507" xr:uid="{00000000-0005-0000-0000-00005B5A0000}"/>
    <cellStyle name="40 % - Markeringsfarve2 3 3 3 2 5" xfId="38472" xr:uid="{00000000-0005-0000-0000-00005C5A0000}"/>
    <cellStyle name="40 % - Markeringsfarve2 3 3 3 3" xfId="5746" xr:uid="{00000000-0005-0000-0000-00005D5A0000}"/>
    <cellStyle name="40 % - Markeringsfarve2 3 3 3 3 2" xfId="9231" xr:uid="{00000000-0005-0000-0000-00005E5A0000}"/>
    <cellStyle name="40 % - Markeringsfarve2 3 3 3 3 2 2" xfId="17095" xr:uid="{00000000-0005-0000-0000-00005F5A0000}"/>
    <cellStyle name="40 % - Markeringsfarve2 3 3 3 3 2 2 2" xfId="33371" xr:uid="{00000000-0005-0000-0000-0000605A0000}"/>
    <cellStyle name="40 % - Markeringsfarve2 3 3 3 3 2 2 3" xfId="48330" xr:uid="{00000000-0005-0000-0000-0000615A0000}"/>
    <cellStyle name="40 % - Markeringsfarve2 3 3 3 3 2 3" xfId="26369" xr:uid="{00000000-0005-0000-0000-0000625A0000}"/>
    <cellStyle name="40 % - Markeringsfarve2 3 3 3 3 2 4" xfId="41333" xr:uid="{00000000-0005-0000-0000-0000635A0000}"/>
    <cellStyle name="40 % - Markeringsfarve2 3 3 3 3 3" xfId="14231" xr:uid="{00000000-0005-0000-0000-0000645A0000}"/>
    <cellStyle name="40 % - Markeringsfarve2 3 3 3 3 3 2" xfId="30510" xr:uid="{00000000-0005-0000-0000-0000655A0000}"/>
    <cellStyle name="40 % - Markeringsfarve2 3 3 3 3 3 3" xfId="45470" xr:uid="{00000000-0005-0000-0000-0000665A0000}"/>
    <cellStyle name="40 % - Markeringsfarve2 3 3 3 3 4" xfId="23508" xr:uid="{00000000-0005-0000-0000-0000675A0000}"/>
    <cellStyle name="40 % - Markeringsfarve2 3 3 3 3 5" xfId="38473" xr:uid="{00000000-0005-0000-0000-0000685A0000}"/>
    <cellStyle name="40 % - Markeringsfarve2 3 3 3 4" xfId="8043" xr:uid="{00000000-0005-0000-0000-0000695A0000}"/>
    <cellStyle name="40 % - Markeringsfarve2 3 3 3 4 2" xfId="15908" xr:uid="{00000000-0005-0000-0000-00006A5A0000}"/>
    <cellStyle name="40 % - Markeringsfarve2 3 3 3 4 2 2" xfId="32184" xr:uid="{00000000-0005-0000-0000-00006B5A0000}"/>
    <cellStyle name="40 % - Markeringsfarve2 3 3 3 4 2 3" xfId="47143" xr:uid="{00000000-0005-0000-0000-00006C5A0000}"/>
    <cellStyle name="40 % - Markeringsfarve2 3 3 3 4 3" xfId="25182" xr:uid="{00000000-0005-0000-0000-00006D5A0000}"/>
    <cellStyle name="40 % - Markeringsfarve2 3 3 3 4 4" xfId="40146" xr:uid="{00000000-0005-0000-0000-00006E5A0000}"/>
    <cellStyle name="40 % - Markeringsfarve2 3 3 3 5" xfId="14229" xr:uid="{00000000-0005-0000-0000-00006F5A0000}"/>
    <cellStyle name="40 % - Markeringsfarve2 3 3 3 5 2" xfId="30508" xr:uid="{00000000-0005-0000-0000-0000705A0000}"/>
    <cellStyle name="40 % - Markeringsfarve2 3 3 3 5 3" xfId="45468" xr:uid="{00000000-0005-0000-0000-0000715A0000}"/>
    <cellStyle name="40 % - Markeringsfarve2 3 3 3 6" xfId="23506" xr:uid="{00000000-0005-0000-0000-0000725A0000}"/>
    <cellStyle name="40 % - Markeringsfarve2 3 3 3 7" xfId="38471" xr:uid="{00000000-0005-0000-0000-0000735A0000}"/>
    <cellStyle name="40 % - Markeringsfarve2 3 3 4" xfId="5747" xr:uid="{00000000-0005-0000-0000-0000745A0000}"/>
    <cellStyle name="40 % - Markeringsfarve2 3 3 4 2" xfId="5748" xr:uid="{00000000-0005-0000-0000-0000755A0000}"/>
    <cellStyle name="40 % - Markeringsfarve2 3 3 4 2 2" xfId="10146" xr:uid="{00000000-0005-0000-0000-0000765A0000}"/>
    <cellStyle name="40 % - Markeringsfarve2 3 3 4 2 2 2" xfId="18001" xr:uid="{00000000-0005-0000-0000-0000775A0000}"/>
    <cellStyle name="40 % - Markeringsfarve2 3 3 4 2 2 2 2" xfId="34277" xr:uid="{00000000-0005-0000-0000-0000785A0000}"/>
    <cellStyle name="40 % - Markeringsfarve2 3 3 4 2 2 2 3" xfId="49236" xr:uid="{00000000-0005-0000-0000-0000795A0000}"/>
    <cellStyle name="40 % - Markeringsfarve2 3 3 4 2 2 3" xfId="27275" xr:uid="{00000000-0005-0000-0000-00007A5A0000}"/>
    <cellStyle name="40 % - Markeringsfarve2 3 3 4 2 2 4" xfId="42239" xr:uid="{00000000-0005-0000-0000-00007B5A0000}"/>
    <cellStyle name="40 % - Markeringsfarve2 3 3 4 2 3" xfId="14233" xr:uid="{00000000-0005-0000-0000-00007C5A0000}"/>
    <cellStyle name="40 % - Markeringsfarve2 3 3 4 2 3 2" xfId="30512" xr:uid="{00000000-0005-0000-0000-00007D5A0000}"/>
    <cellStyle name="40 % - Markeringsfarve2 3 3 4 2 3 3" xfId="45472" xr:uid="{00000000-0005-0000-0000-00007E5A0000}"/>
    <cellStyle name="40 % - Markeringsfarve2 3 3 4 2 4" xfId="23510" xr:uid="{00000000-0005-0000-0000-00007F5A0000}"/>
    <cellStyle name="40 % - Markeringsfarve2 3 3 4 2 5" xfId="38475" xr:uid="{00000000-0005-0000-0000-0000805A0000}"/>
    <cellStyle name="40 % - Markeringsfarve2 3 3 4 3" xfId="5749" xr:uid="{00000000-0005-0000-0000-0000815A0000}"/>
    <cellStyle name="40 % - Markeringsfarve2 3 3 4 3 2" xfId="9423" xr:uid="{00000000-0005-0000-0000-0000825A0000}"/>
    <cellStyle name="40 % - Markeringsfarve2 3 3 4 3 2 2" xfId="17286" xr:uid="{00000000-0005-0000-0000-0000835A0000}"/>
    <cellStyle name="40 % - Markeringsfarve2 3 3 4 3 2 2 2" xfId="33562" xr:uid="{00000000-0005-0000-0000-0000845A0000}"/>
    <cellStyle name="40 % - Markeringsfarve2 3 3 4 3 2 2 3" xfId="48521" xr:uid="{00000000-0005-0000-0000-0000855A0000}"/>
    <cellStyle name="40 % - Markeringsfarve2 3 3 4 3 2 3" xfId="26560" xr:uid="{00000000-0005-0000-0000-0000865A0000}"/>
    <cellStyle name="40 % - Markeringsfarve2 3 3 4 3 2 4" xfId="41524" xr:uid="{00000000-0005-0000-0000-0000875A0000}"/>
    <cellStyle name="40 % - Markeringsfarve2 3 3 4 3 3" xfId="14234" xr:uid="{00000000-0005-0000-0000-0000885A0000}"/>
    <cellStyle name="40 % - Markeringsfarve2 3 3 4 3 3 2" xfId="30513" xr:uid="{00000000-0005-0000-0000-0000895A0000}"/>
    <cellStyle name="40 % - Markeringsfarve2 3 3 4 3 3 3" xfId="45473" xr:uid="{00000000-0005-0000-0000-00008A5A0000}"/>
    <cellStyle name="40 % - Markeringsfarve2 3 3 4 3 4" xfId="23511" xr:uid="{00000000-0005-0000-0000-00008B5A0000}"/>
    <cellStyle name="40 % - Markeringsfarve2 3 3 4 3 5" xfId="38476" xr:uid="{00000000-0005-0000-0000-00008C5A0000}"/>
    <cellStyle name="40 % - Markeringsfarve2 3 3 4 4" xfId="8044" xr:uid="{00000000-0005-0000-0000-00008D5A0000}"/>
    <cellStyle name="40 % - Markeringsfarve2 3 3 4 4 2" xfId="15909" xr:uid="{00000000-0005-0000-0000-00008E5A0000}"/>
    <cellStyle name="40 % - Markeringsfarve2 3 3 4 4 2 2" xfId="32185" xr:uid="{00000000-0005-0000-0000-00008F5A0000}"/>
    <cellStyle name="40 % - Markeringsfarve2 3 3 4 4 2 3" xfId="47144" xr:uid="{00000000-0005-0000-0000-0000905A0000}"/>
    <cellStyle name="40 % - Markeringsfarve2 3 3 4 4 3" xfId="25183" xr:uid="{00000000-0005-0000-0000-0000915A0000}"/>
    <cellStyle name="40 % - Markeringsfarve2 3 3 4 4 4" xfId="40147" xr:uid="{00000000-0005-0000-0000-0000925A0000}"/>
    <cellStyle name="40 % - Markeringsfarve2 3 3 4 5" xfId="14232" xr:uid="{00000000-0005-0000-0000-0000935A0000}"/>
    <cellStyle name="40 % - Markeringsfarve2 3 3 4 5 2" xfId="30511" xr:uid="{00000000-0005-0000-0000-0000945A0000}"/>
    <cellStyle name="40 % - Markeringsfarve2 3 3 4 5 3" xfId="45471" xr:uid="{00000000-0005-0000-0000-0000955A0000}"/>
    <cellStyle name="40 % - Markeringsfarve2 3 3 4 6" xfId="23509" xr:uid="{00000000-0005-0000-0000-0000965A0000}"/>
    <cellStyle name="40 % - Markeringsfarve2 3 3 4 7" xfId="38474" xr:uid="{00000000-0005-0000-0000-0000975A0000}"/>
    <cellStyle name="40 % - Markeringsfarve2 3 3 5" xfId="5750" xr:uid="{00000000-0005-0000-0000-0000985A0000}"/>
    <cellStyle name="40 % - Markeringsfarve2 3 3 5 2" xfId="5751" xr:uid="{00000000-0005-0000-0000-0000995A0000}"/>
    <cellStyle name="40 % - Markeringsfarve2 3 3 5 2 2" xfId="10263" xr:uid="{00000000-0005-0000-0000-00009A5A0000}"/>
    <cellStyle name="40 % - Markeringsfarve2 3 3 5 2 2 2" xfId="18118" xr:uid="{00000000-0005-0000-0000-00009B5A0000}"/>
    <cellStyle name="40 % - Markeringsfarve2 3 3 5 2 2 2 2" xfId="34394" xr:uid="{00000000-0005-0000-0000-00009C5A0000}"/>
    <cellStyle name="40 % - Markeringsfarve2 3 3 5 2 2 2 3" xfId="49353" xr:uid="{00000000-0005-0000-0000-00009D5A0000}"/>
    <cellStyle name="40 % - Markeringsfarve2 3 3 5 2 2 3" xfId="27392" xr:uid="{00000000-0005-0000-0000-00009E5A0000}"/>
    <cellStyle name="40 % - Markeringsfarve2 3 3 5 2 2 4" xfId="42356" xr:uid="{00000000-0005-0000-0000-00009F5A0000}"/>
    <cellStyle name="40 % - Markeringsfarve2 3 3 5 2 3" xfId="14236" xr:uid="{00000000-0005-0000-0000-0000A05A0000}"/>
    <cellStyle name="40 % - Markeringsfarve2 3 3 5 2 3 2" xfId="30515" xr:uid="{00000000-0005-0000-0000-0000A15A0000}"/>
    <cellStyle name="40 % - Markeringsfarve2 3 3 5 2 3 3" xfId="45475" xr:uid="{00000000-0005-0000-0000-0000A25A0000}"/>
    <cellStyle name="40 % - Markeringsfarve2 3 3 5 2 4" xfId="23513" xr:uid="{00000000-0005-0000-0000-0000A35A0000}"/>
    <cellStyle name="40 % - Markeringsfarve2 3 3 5 2 5" xfId="38478" xr:uid="{00000000-0005-0000-0000-0000A45A0000}"/>
    <cellStyle name="40 % - Markeringsfarve2 3 3 5 3" xfId="5752" xr:uid="{00000000-0005-0000-0000-0000A55A0000}"/>
    <cellStyle name="40 % - Markeringsfarve2 3 3 5 3 2" xfId="9540" xr:uid="{00000000-0005-0000-0000-0000A65A0000}"/>
    <cellStyle name="40 % - Markeringsfarve2 3 3 5 3 2 2" xfId="17403" xr:uid="{00000000-0005-0000-0000-0000A75A0000}"/>
    <cellStyle name="40 % - Markeringsfarve2 3 3 5 3 2 2 2" xfId="33679" xr:uid="{00000000-0005-0000-0000-0000A85A0000}"/>
    <cellStyle name="40 % - Markeringsfarve2 3 3 5 3 2 2 3" xfId="48638" xr:uid="{00000000-0005-0000-0000-0000A95A0000}"/>
    <cellStyle name="40 % - Markeringsfarve2 3 3 5 3 2 3" xfId="26677" xr:uid="{00000000-0005-0000-0000-0000AA5A0000}"/>
    <cellStyle name="40 % - Markeringsfarve2 3 3 5 3 2 4" xfId="41641" xr:uid="{00000000-0005-0000-0000-0000AB5A0000}"/>
    <cellStyle name="40 % - Markeringsfarve2 3 3 5 3 3" xfId="14237" xr:uid="{00000000-0005-0000-0000-0000AC5A0000}"/>
    <cellStyle name="40 % - Markeringsfarve2 3 3 5 3 3 2" xfId="30516" xr:uid="{00000000-0005-0000-0000-0000AD5A0000}"/>
    <cellStyle name="40 % - Markeringsfarve2 3 3 5 3 3 3" xfId="45476" xr:uid="{00000000-0005-0000-0000-0000AE5A0000}"/>
    <cellStyle name="40 % - Markeringsfarve2 3 3 5 3 4" xfId="23514" xr:uid="{00000000-0005-0000-0000-0000AF5A0000}"/>
    <cellStyle name="40 % - Markeringsfarve2 3 3 5 3 5" xfId="38479" xr:uid="{00000000-0005-0000-0000-0000B05A0000}"/>
    <cellStyle name="40 % - Markeringsfarve2 3 3 5 4" xfId="8045" xr:uid="{00000000-0005-0000-0000-0000B15A0000}"/>
    <cellStyle name="40 % - Markeringsfarve2 3 3 5 4 2" xfId="15910" xr:uid="{00000000-0005-0000-0000-0000B25A0000}"/>
    <cellStyle name="40 % - Markeringsfarve2 3 3 5 4 2 2" xfId="32186" xr:uid="{00000000-0005-0000-0000-0000B35A0000}"/>
    <cellStyle name="40 % - Markeringsfarve2 3 3 5 4 2 3" xfId="47145" xr:uid="{00000000-0005-0000-0000-0000B45A0000}"/>
    <cellStyle name="40 % - Markeringsfarve2 3 3 5 4 3" xfId="25184" xr:uid="{00000000-0005-0000-0000-0000B55A0000}"/>
    <cellStyle name="40 % - Markeringsfarve2 3 3 5 4 4" xfId="40148" xr:uid="{00000000-0005-0000-0000-0000B65A0000}"/>
    <cellStyle name="40 % - Markeringsfarve2 3 3 5 5" xfId="14235" xr:uid="{00000000-0005-0000-0000-0000B75A0000}"/>
    <cellStyle name="40 % - Markeringsfarve2 3 3 5 5 2" xfId="30514" xr:uid="{00000000-0005-0000-0000-0000B85A0000}"/>
    <cellStyle name="40 % - Markeringsfarve2 3 3 5 5 3" xfId="45474" xr:uid="{00000000-0005-0000-0000-0000B95A0000}"/>
    <cellStyle name="40 % - Markeringsfarve2 3 3 5 6" xfId="23512" xr:uid="{00000000-0005-0000-0000-0000BA5A0000}"/>
    <cellStyle name="40 % - Markeringsfarve2 3 3 5 7" xfId="38477" xr:uid="{00000000-0005-0000-0000-0000BB5A0000}"/>
    <cellStyle name="40 % - Markeringsfarve2 3 3 6" xfId="5753" xr:uid="{00000000-0005-0000-0000-0000BC5A0000}"/>
    <cellStyle name="40 % - Markeringsfarve2 3 3 6 2" xfId="5754" xr:uid="{00000000-0005-0000-0000-0000BD5A0000}"/>
    <cellStyle name="40 % - Markeringsfarve2 3 3 6 2 2" xfId="10354" xr:uid="{00000000-0005-0000-0000-0000BE5A0000}"/>
    <cellStyle name="40 % - Markeringsfarve2 3 3 6 2 2 2" xfId="18209" xr:uid="{00000000-0005-0000-0000-0000BF5A0000}"/>
    <cellStyle name="40 % - Markeringsfarve2 3 3 6 2 2 2 2" xfId="34485" xr:uid="{00000000-0005-0000-0000-0000C05A0000}"/>
    <cellStyle name="40 % - Markeringsfarve2 3 3 6 2 2 2 3" xfId="49444" xr:uid="{00000000-0005-0000-0000-0000C15A0000}"/>
    <cellStyle name="40 % - Markeringsfarve2 3 3 6 2 2 3" xfId="27483" xr:uid="{00000000-0005-0000-0000-0000C25A0000}"/>
    <cellStyle name="40 % - Markeringsfarve2 3 3 6 2 2 4" xfId="42447" xr:uid="{00000000-0005-0000-0000-0000C35A0000}"/>
    <cellStyle name="40 % - Markeringsfarve2 3 3 6 2 3" xfId="14239" xr:uid="{00000000-0005-0000-0000-0000C45A0000}"/>
    <cellStyle name="40 % - Markeringsfarve2 3 3 6 2 3 2" xfId="30518" xr:uid="{00000000-0005-0000-0000-0000C55A0000}"/>
    <cellStyle name="40 % - Markeringsfarve2 3 3 6 2 3 3" xfId="45478" xr:uid="{00000000-0005-0000-0000-0000C65A0000}"/>
    <cellStyle name="40 % - Markeringsfarve2 3 3 6 2 4" xfId="23516" xr:uid="{00000000-0005-0000-0000-0000C75A0000}"/>
    <cellStyle name="40 % - Markeringsfarve2 3 3 6 2 5" xfId="38481" xr:uid="{00000000-0005-0000-0000-0000C85A0000}"/>
    <cellStyle name="40 % - Markeringsfarve2 3 3 6 3" xfId="5755" xr:uid="{00000000-0005-0000-0000-0000C95A0000}"/>
    <cellStyle name="40 % - Markeringsfarve2 3 3 6 3 2" xfId="9632" xr:uid="{00000000-0005-0000-0000-0000CA5A0000}"/>
    <cellStyle name="40 % - Markeringsfarve2 3 3 6 3 2 2" xfId="17495" xr:uid="{00000000-0005-0000-0000-0000CB5A0000}"/>
    <cellStyle name="40 % - Markeringsfarve2 3 3 6 3 2 2 2" xfId="33771" xr:uid="{00000000-0005-0000-0000-0000CC5A0000}"/>
    <cellStyle name="40 % - Markeringsfarve2 3 3 6 3 2 2 3" xfId="48730" xr:uid="{00000000-0005-0000-0000-0000CD5A0000}"/>
    <cellStyle name="40 % - Markeringsfarve2 3 3 6 3 2 3" xfId="26769" xr:uid="{00000000-0005-0000-0000-0000CE5A0000}"/>
    <cellStyle name="40 % - Markeringsfarve2 3 3 6 3 2 4" xfId="41733" xr:uid="{00000000-0005-0000-0000-0000CF5A0000}"/>
    <cellStyle name="40 % - Markeringsfarve2 3 3 6 3 3" xfId="14240" xr:uid="{00000000-0005-0000-0000-0000D05A0000}"/>
    <cellStyle name="40 % - Markeringsfarve2 3 3 6 3 3 2" xfId="30519" xr:uid="{00000000-0005-0000-0000-0000D15A0000}"/>
    <cellStyle name="40 % - Markeringsfarve2 3 3 6 3 3 3" xfId="45479" xr:uid="{00000000-0005-0000-0000-0000D25A0000}"/>
    <cellStyle name="40 % - Markeringsfarve2 3 3 6 3 4" xfId="23517" xr:uid="{00000000-0005-0000-0000-0000D35A0000}"/>
    <cellStyle name="40 % - Markeringsfarve2 3 3 6 3 5" xfId="38482" xr:uid="{00000000-0005-0000-0000-0000D45A0000}"/>
    <cellStyle name="40 % - Markeringsfarve2 3 3 6 4" xfId="8046" xr:uid="{00000000-0005-0000-0000-0000D55A0000}"/>
    <cellStyle name="40 % - Markeringsfarve2 3 3 6 4 2" xfId="15911" xr:uid="{00000000-0005-0000-0000-0000D65A0000}"/>
    <cellStyle name="40 % - Markeringsfarve2 3 3 6 4 2 2" xfId="32187" xr:uid="{00000000-0005-0000-0000-0000D75A0000}"/>
    <cellStyle name="40 % - Markeringsfarve2 3 3 6 4 2 3" xfId="47146" xr:uid="{00000000-0005-0000-0000-0000D85A0000}"/>
    <cellStyle name="40 % - Markeringsfarve2 3 3 6 4 3" xfId="25185" xr:uid="{00000000-0005-0000-0000-0000D95A0000}"/>
    <cellStyle name="40 % - Markeringsfarve2 3 3 6 4 4" xfId="40149" xr:uid="{00000000-0005-0000-0000-0000DA5A0000}"/>
    <cellStyle name="40 % - Markeringsfarve2 3 3 6 5" xfId="14238" xr:uid="{00000000-0005-0000-0000-0000DB5A0000}"/>
    <cellStyle name="40 % - Markeringsfarve2 3 3 6 5 2" xfId="30517" xr:uid="{00000000-0005-0000-0000-0000DC5A0000}"/>
    <cellStyle name="40 % - Markeringsfarve2 3 3 6 5 3" xfId="45477" xr:uid="{00000000-0005-0000-0000-0000DD5A0000}"/>
    <cellStyle name="40 % - Markeringsfarve2 3 3 6 6" xfId="23515" xr:uid="{00000000-0005-0000-0000-0000DE5A0000}"/>
    <cellStyle name="40 % - Markeringsfarve2 3 3 6 7" xfId="38480" xr:uid="{00000000-0005-0000-0000-0000DF5A0000}"/>
    <cellStyle name="40 % - Markeringsfarve2 3 3 7" xfId="5756" xr:uid="{00000000-0005-0000-0000-0000E05A0000}"/>
    <cellStyle name="40 % - Markeringsfarve2 3 3 7 2" xfId="9790" xr:uid="{00000000-0005-0000-0000-0000E15A0000}"/>
    <cellStyle name="40 % - Markeringsfarve2 3 3 7 2 2" xfId="17644" xr:uid="{00000000-0005-0000-0000-0000E25A0000}"/>
    <cellStyle name="40 % - Markeringsfarve2 3 3 7 2 2 2" xfId="33920" xr:uid="{00000000-0005-0000-0000-0000E35A0000}"/>
    <cellStyle name="40 % - Markeringsfarve2 3 3 7 2 2 3" xfId="48879" xr:uid="{00000000-0005-0000-0000-0000E45A0000}"/>
    <cellStyle name="40 % - Markeringsfarve2 3 3 7 2 3" xfId="26918" xr:uid="{00000000-0005-0000-0000-0000E55A0000}"/>
    <cellStyle name="40 % - Markeringsfarve2 3 3 7 2 4" xfId="41882" xr:uid="{00000000-0005-0000-0000-0000E65A0000}"/>
    <cellStyle name="40 % - Markeringsfarve2 3 3 7 3" xfId="14241" xr:uid="{00000000-0005-0000-0000-0000E75A0000}"/>
    <cellStyle name="40 % - Markeringsfarve2 3 3 7 3 2" xfId="30520" xr:uid="{00000000-0005-0000-0000-0000E85A0000}"/>
    <cellStyle name="40 % - Markeringsfarve2 3 3 7 3 3" xfId="45480" xr:uid="{00000000-0005-0000-0000-0000E95A0000}"/>
    <cellStyle name="40 % - Markeringsfarve2 3 3 7 4" xfId="23518" xr:uid="{00000000-0005-0000-0000-0000EA5A0000}"/>
    <cellStyle name="40 % - Markeringsfarve2 3 3 7 5" xfId="38483" xr:uid="{00000000-0005-0000-0000-0000EB5A0000}"/>
    <cellStyle name="40 % - Markeringsfarve2 3 3 8" xfId="5757" xr:uid="{00000000-0005-0000-0000-0000EC5A0000}"/>
    <cellStyle name="40 % - Markeringsfarve2 3 3 8 2" xfId="9018" xr:uid="{00000000-0005-0000-0000-0000ED5A0000}"/>
    <cellStyle name="40 % - Markeringsfarve2 3 3 8 2 2" xfId="16882" xr:uid="{00000000-0005-0000-0000-0000EE5A0000}"/>
    <cellStyle name="40 % - Markeringsfarve2 3 3 8 2 2 2" xfId="33158" xr:uid="{00000000-0005-0000-0000-0000EF5A0000}"/>
    <cellStyle name="40 % - Markeringsfarve2 3 3 8 2 2 3" xfId="48117" xr:uid="{00000000-0005-0000-0000-0000F05A0000}"/>
    <cellStyle name="40 % - Markeringsfarve2 3 3 8 2 3" xfId="26156" xr:uid="{00000000-0005-0000-0000-0000F15A0000}"/>
    <cellStyle name="40 % - Markeringsfarve2 3 3 8 2 4" xfId="41120" xr:uid="{00000000-0005-0000-0000-0000F25A0000}"/>
    <cellStyle name="40 % - Markeringsfarve2 3 3 8 3" xfId="14242" xr:uid="{00000000-0005-0000-0000-0000F35A0000}"/>
    <cellStyle name="40 % - Markeringsfarve2 3 3 8 3 2" xfId="30521" xr:uid="{00000000-0005-0000-0000-0000F45A0000}"/>
    <cellStyle name="40 % - Markeringsfarve2 3 3 8 3 3" xfId="45481" xr:uid="{00000000-0005-0000-0000-0000F55A0000}"/>
    <cellStyle name="40 % - Markeringsfarve2 3 3 8 4" xfId="23519" xr:uid="{00000000-0005-0000-0000-0000F65A0000}"/>
    <cellStyle name="40 % - Markeringsfarve2 3 3 8 5" xfId="38484" xr:uid="{00000000-0005-0000-0000-0000F75A0000}"/>
    <cellStyle name="40 % - Markeringsfarve2 3 3 9" xfId="8041" xr:uid="{00000000-0005-0000-0000-0000F85A0000}"/>
    <cellStyle name="40 % - Markeringsfarve2 3 3 9 2" xfId="15906" xr:uid="{00000000-0005-0000-0000-0000F95A0000}"/>
    <cellStyle name="40 % - Markeringsfarve2 3 3 9 2 2" xfId="32182" xr:uid="{00000000-0005-0000-0000-0000FA5A0000}"/>
    <cellStyle name="40 % - Markeringsfarve2 3 3 9 2 3" xfId="47141" xr:uid="{00000000-0005-0000-0000-0000FB5A0000}"/>
    <cellStyle name="40 % - Markeringsfarve2 3 3 9 3" xfId="25180" xr:uid="{00000000-0005-0000-0000-0000FC5A0000}"/>
    <cellStyle name="40 % - Markeringsfarve2 3 3 9 4" xfId="40144" xr:uid="{00000000-0005-0000-0000-0000FD5A0000}"/>
    <cellStyle name="40 % - Markeringsfarve2 3 4" xfId="5758" xr:uid="{00000000-0005-0000-0000-0000FE5A0000}"/>
    <cellStyle name="40 % - Markeringsfarve2 3 4 2" xfId="5759" xr:uid="{00000000-0005-0000-0000-0000FF5A0000}"/>
    <cellStyle name="40 % - Markeringsfarve2 3 4 2 2" xfId="9830" xr:uid="{00000000-0005-0000-0000-0000005B0000}"/>
    <cellStyle name="40 % - Markeringsfarve2 3 4 2 2 2" xfId="17685" xr:uid="{00000000-0005-0000-0000-0000015B0000}"/>
    <cellStyle name="40 % - Markeringsfarve2 3 4 2 2 2 2" xfId="33961" xr:uid="{00000000-0005-0000-0000-0000025B0000}"/>
    <cellStyle name="40 % - Markeringsfarve2 3 4 2 2 2 3" xfId="48920" xr:uid="{00000000-0005-0000-0000-0000035B0000}"/>
    <cellStyle name="40 % - Markeringsfarve2 3 4 2 2 3" xfId="26959" xr:uid="{00000000-0005-0000-0000-0000045B0000}"/>
    <cellStyle name="40 % - Markeringsfarve2 3 4 2 2 4" xfId="41923" xr:uid="{00000000-0005-0000-0000-0000055B0000}"/>
    <cellStyle name="40 % - Markeringsfarve2 3 4 2 3" xfId="14244" xr:uid="{00000000-0005-0000-0000-0000065B0000}"/>
    <cellStyle name="40 % - Markeringsfarve2 3 4 2 3 2" xfId="30523" xr:uid="{00000000-0005-0000-0000-0000075B0000}"/>
    <cellStyle name="40 % - Markeringsfarve2 3 4 2 3 3" xfId="45483" xr:uid="{00000000-0005-0000-0000-0000085B0000}"/>
    <cellStyle name="40 % - Markeringsfarve2 3 4 2 4" xfId="23521" xr:uid="{00000000-0005-0000-0000-0000095B0000}"/>
    <cellStyle name="40 % - Markeringsfarve2 3 4 2 5" xfId="38486" xr:uid="{00000000-0005-0000-0000-00000A5B0000}"/>
    <cellStyle name="40 % - Markeringsfarve2 3 4 3" xfId="5760" xr:uid="{00000000-0005-0000-0000-00000B5B0000}"/>
    <cellStyle name="40 % - Markeringsfarve2 3 4 3 2" xfId="9061" xr:uid="{00000000-0005-0000-0000-00000C5B0000}"/>
    <cellStyle name="40 % - Markeringsfarve2 3 4 3 2 2" xfId="16925" xr:uid="{00000000-0005-0000-0000-00000D5B0000}"/>
    <cellStyle name="40 % - Markeringsfarve2 3 4 3 2 2 2" xfId="33201" xr:uid="{00000000-0005-0000-0000-00000E5B0000}"/>
    <cellStyle name="40 % - Markeringsfarve2 3 4 3 2 2 3" xfId="48160" xr:uid="{00000000-0005-0000-0000-00000F5B0000}"/>
    <cellStyle name="40 % - Markeringsfarve2 3 4 3 2 3" xfId="26199" xr:uid="{00000000-0005-0000-0000-0000105B0000}"/>
    <cellStyle name="40 % - Markeringsfarve2 3 4 3 2 4" xfId="41163" xr:uid="{00000000-0005-0000-0000-0000115B0000}"/>
    <cellStyle name="40 % - Markeringsfarve2 3 4 3 3" xfId="14245" xr:uid="{00000000-0005-0000-0000-0000125B0000}"/>
    <cellStyle name="40 % - Markeringsfarve2 3 4 3 3 2" xfId="30524" xr:uid="{00000000-0005-0000-0000-0000135B0000}"/>
    <cellStyle name="40 % - Markeringsfarve2 3 4 3 3 3" xfId="45484" xr:uid="{00000000-0005-0000-0000-0000145B0000}"/>
    <cellStyle name="40 % - Markeringsfarve2 3 4 3 4" xfId="23522" xr:uid="{00000000-0005-0000-0000-0000155B0000}"/>
    <cellStyle name="40 % - Markeringsfarve2 3 4 3 5" xfId="38487" xr:uid="{00000000-0005-0000-0000-0000165B0000}"/>
    <cellStyle name="40 % - Markeringsfarve2 3 4 4" xfId="8047" xr:uid="{00000000-0005-0000-0000-0000175B0000}"/>
    <cellStyle name="40 % - Markeringsfarve2 3 4 4 2" xfId="15912" xr:uid="{00000000-0005-0000-0000-0000185B0000}"/>
    <cellStyle name="40 % - Markeringsfarve2 3 4 4 2 2" xfId="32188" xr:uid="{00000000-0005-0000-0000-0000195B0000}"/>
    <cellStyle name="40 % - Markeringsfarve2 3 4 4 2 3" xfId="47147" xr:uid="{00000000-0005-0000-0000-00001A5B0000}"/>
    <cellStyle name="40 % - Markeringsfarve2 3 4 4 3" xfId="25186" xr:uid="{00000000-0005-0000-0000-00001B5B0000}"/>
    <cellStyle name="40 % - Markeringsfarve2 3 4 4 4" xfId="40150" xr:uid="{00000000-0005-0000-0000-00001C5B0000}"/>
    <cellStyle name="40 % - Markeringsfarve2 3 4 5" xfId="14243" xr:uid="{00000000-0005-0000-0000-00001D5B0000}"/>
    <cellStyle name="40 % - Markeringsfarve2 3 4 5 2" xfId="30522" xr:uid="{00000000-0005-0000-0000-00001E5B0000}"/>
    <cellStyle name="40 % - Markeringsfarve2 3 4 5 3" xfId="45482" xr:uid="{00000000-0005-0000-0000-00001F5B0000}"/>
    <cellStyle name="40 % - Markeringsfarve2 3 4 6" xfId="23520" xr:uid="{00000000-0005-0000-0000-0000205B0000}"/>
    <cellStyle name="40 % - Markeringsfarve2 3 4 7" xfId="38485" xr:uid="{00000000-0005-0000-0000-0000215B0000}"/>
    <cellStyle name="40 % - Markeringsfarve2 3 5" xfId="5761" xr:uid="{00000000-0005-0000-0000-0000225B0000}"/>
    <cellStyle name="40 % - Markeringsfarve2 3 5 2" xfId="5762" xr:uid="{00000000-0005-0000-0000-0000235B0000}"/>
    <cellStyle name="40 % - Markeringsfarve2 3 5 2 2" xfId="9998" xr:uid="{00000000-0005-0000-0000-0000245B0000}"/>
    <cellStyle name="40 % - Markeringsfarve2 3 5 2 2 2" xfId="17853" xr:uid="{00000000-0005-0000-0000-0000255B0000}"/>
    <cellStyle name="40 % - Markeringsfarve2 3 5 2 2 2 2" xfId="34129" xr:uid="{00000000-0005-0000-0000-0000265B0000}"/>
    <cellStyle name="40 % - Markeringsfarve2 3 5 2 2 2 3" xfId="49088" xr:uid="{00000000-0005-0000-0000-0000275B0000}"/>
    <cellStyle name="40 % - Markeringsfarve2 3 5 2 2 3" xfId="27127" xr:uid="{00000000-0005-0000-0000-0000285B0000}"/>
    <cellStyle name="40 % - Markeringsfarve2 3 5 2 2 4" xfId="42091" xr:uid="{00000000-0005-0000-0000-0000295B0000}"/>
    <cellStyle name="40 % - Markeringsfarve2 3 5 2 3" xfId="14247" xr:uid="{00000000-0005-0000-0000-00002A5B0000}"/>
    <cellStyle name="40 % - Markeringsfarve2 3 5 2 3 2" xfId="30526" xr:uid="{00000000-0005-0000-0000-00002B5B0000}"/>
    <cellStyle name="40 % - Markeringsfarve2 3 5 2 3 3" xfId="45486" xr:uid="{00000000-0005-0000-0000-00002C5B0000}"/>
    <cellStyle name="40 % - Markeringsfarve2 3 5 2 4" xfId="23524" xr:uid="{00000000-0005-0000-0000-00002D5B0000}"/>
    <cellStyle name="40 % - Markeringsfarve2 3 5 2 5" xfId="38489" xr:uid="{00000000-0005-0000-0000-00002E5B0000}"/>
    <cellStyle name="40 % - Markeringsfarve2 3 5 3" xfId="5763" xr:uid="{00000000-0005-0000-0000-00002F5B0000}"/>
    <cellStyle name="40 % - Markeringsfarve2 3 5 3 2" xfId="9229" xr:uid="{00000000-0005-0000-0000-0000305B0000}"/>
    <cellStyle name="40 % - Markeringsfarve2 3 5 3 2 2" xfId="17093" xr:uid="{00000000-0005-0000-0000-0000315B0000}"/>
    <cellStyle name="40 % - Markeringsfarve2 3 5 3 2 2 2" xfId="33369" xr:uid="{00000000-0005-0000-0000-0000325B0000}"/>
    <cellStyle name="40 % - Markeringsfarve2 3 5 3 2 2 3" xfId="48328" xr:uid="{00000000-0005-0000-0000-0000335B0000}"/>
    <cellStyle name="40 % - Markeringsfarve2 3 5 3 2 3" xfId="26367" xr:uid="{00000000-0005-0000-0000-0000345B0000}"/>
    <cellStyle name="40 % - Markeringsfarve2 3 5 3 2 4" xfId="41331" xr:uid="{00000000-0005-0000-0000-0000355B0000}"/>
    <cellStyle name="40 % - Markeringsfarve2 3 5 3 3" xfId="14248" xr:uid="{00000000-0005-0000-0000-0000365B0000}"/>
    <cellStyle name="40 % - Markeringsfarve2 3 5 3 3 2" xfId="30527" xr:uid="{00000000-0005-0000-0000-0000375B0000}"/>
    <cellStyle name="40 % - Markeringsfarve2 3 5 3 3 3" xfId="45487" xr:uid="{00000000-0005-0000-0000-0000385B0000}"/>
    <cellStyle name="40 % - Markeringsfarve2 3 5 3 4" xfId="23525" xr:uid="{00000000-0005-0000-0000-0000395B0000}"/>
    <cellStyle name="40 % - Markeringsfarve2 3 5 3 5" xfId="38490" xr:uid="{00000000-0005-0000-0000-00003A5B0000}"/>
    <cellStyle name="40 % - Markeringsfarve2 3 5 4" xfId="8048" xr:uid="{00000000-0005-0000-0000-00003B5B0000}"/>
    <cellStyle name="40 % - Markeringsfarve2 3 5 4 2" xfId="15913" xr:uid="{00000000-0005-0000-0000-00003C5B0000}"/>
    <cellStyle name="40 % - Markeringsfarve2 3 5 4 2 2" xfId="32189" xr:uid="{00000000-0005-0000-0000-00003D5B0000}"/>
    <cellStyle name="40 % - Markeringsfarve2 3 5 4 2 3" xfId="47148" xr:uid="{00000000-0005-0000-0000-00003E5B0000}"/>
    <cellStyle name="40 % - Markeringsfarve2 3 5 4 3" xfId="25187" xr:uid="{00000000-0005-0000-0000-00003F5B0000}"/>
    <cellStyle name="40 % - Markeringsfarve2 3 5 4 4" xfId="40151" xr:uid="{00000000-0005-0000-0000-0000405B0000}"/>
    <cellStyle name="40 % - Markeringsfarve2 3 5 5" xfId="14246" xr:uid="{00000000-0005-0000-0000-0000415B0000}"/>
    <cellStyle name="40 % - Markeringsfarve2 3 5 5 2" xfId="30525" xr:uid="{00000000-0005-0000-0000-0000425B0000}"/>
    <cellStyle name="40 % - Markeringsfarve2 3 5 5 3" xfId="45485" xr:uid="{00000000-0005-0000-0000-0000435B0000}"/>
    <cellStyle name="40 % - Markeringsfarve2 3 5 6" xfId="23523" xr:uid="{00000000-0005-0000-0000-0000445B0000}"/>
    <cellStyle name="40 % - Markeringsfarve2 3 5 7" xfId="38488" xr:uid="{00000000-0005-0000-0000-0000455B0000}"/>
    <cellStyle name="40 % - Markeringsfarve2 3 6" xfId="5764" xr:uid="{00000000-0005-0000-0000-0000465B0000}"/>
    <cellStyle name="40 % - Markeringsfarve2 3 6 2" xfId="5765" xr:uid="{00000000-0005-0000-0000-0000475B0000}"/>
    <cellStyle name="40 % - Markeringsfarve2 3 6 2 2" xfId="10068" xr:uid="{00000000-0005-0000-0000-0000485B0000}"/>
    <cellStyle name="40 % - Markeringsfarve2 3 6 2 2 2" xfId="17923" xr:uid="{00000000-0005-0000-0000-0000495B0000}"/>
    <cellStyle name="40 % - Markeringsfarve2 3 6 2 2 2 2" xfId="34199" xr:uid="{00000000-0005-0000-0000-00004A5B0000}"/>
    <cellStyle name="40 % - Markeringsfarve2 3 6 2 2 2 3" xfId="49158" xr:uid="{00000000-0005-0000-0000-00004B5B0000}"/>
    <cellStyle name="40 % - Markeringsfarve2 3 6 2 2 3" xfId="27197" xr:uid="{00000000-0005-0000-0000-00004C5B0000}"/>
    <cellStyle name="40 % - Markeringsfarve2 3 6 2 2 4" xfId="42161" xr:uid="{00000000-0005-0000-0000-00004D5B0000}"/>
    <cellStyle name="40 % - Markeringsfarve2 3 6 2 3" xfId="14250" xr:uid="{00000000-0005-0000-0000-00004E5B0000}"/>
    <cellStyle name="40 % - Markeringsfarve2 3 6 2 3 2" xfId="30529" xr:uid="{00000000-0005-0000-0000-00004F5B0000}"/>
    <cellStyle name="40 % - Markeringsfarve2 3 6 2 3 3" xfId="45489" xr:uid="{00000000-0005-0000-0000-0000505B0000}"/>
    <cellStyle name="40 % - Markeringsfarve2 3 6 2 4" xfId="23527" xr:uid="{00000000-0005-0000-0000-0000515B0000}"/>
    <cellStyle name="40 % - Markeringsfarve2 3 6 2 5" xfId="38492" xr:uid="{00000000-0005-0000-0000-0000525B0000}"/>
    <cellStyle name="40 % - Markeringsfarve2 3 6 3" xfId="5766" xr:uid="{00000000-0005-0000-0000-0000535B0000}"/>
    <cellStyle name="40 % - Markeringsfarve2 3 6 3 2" xfId="9345" xr:uid="{00000000-0005-0000-0000-0000545B0000}"/>
    <cellStyle name="40 % - Markeringsfarve2 3 6 3 2 2" xfId="17208" xr:uid="{00000000-0005-0000-0000-0000555B0000}"/>
    <cellStyle name="40 % - Markeringsfarve2 3 6 3 2 2 2" xfId="33484" xr:uid="{00000000-0005-0000-0000-0000565B0000}"/>
    <cellStyle name="40 % - Markeringsfarve2 3 6 3 2 2 3" xfId="48443" xr:uid="{00000000-0005-0000-0000-0000575B0000}"/>
    <cellStyle name="40 % - Markeringsfarve2 3 6 3 2 3" xfId="26482" xr:uid="{00000000-0005-0000-0000-0000585B0000}"/>
    <cellStyle name="40 % - Markeringsfarve2 3 6 3 2 4" xfId="41446" xr:uid="{00000000-0005-0000-0000-0000595B0000}"/>
    <cellStyle name="40 % - Markeringsfarve2 3 6 3 3" xfId="14251" xr:uid="{00000000-0005-0000-0000-00005A5B0000}"/>
    <cellStyle name="40 % - Markeringsfarve2 3 6 3 3 2" xfId="30530" xr:uid="{00000000-0005-0000-0000-00005B5B0000}"/>
    <cellStyle name="40 % - Markeringsfarve2 3 6 3 3 3" xfId="45490" xr:uid="{00000000-0005-0000-0000-00005C5B0000}"/>
    <cellStyle name="40 % - Markeringsfarve2 3 6 3 4" xfId="23528" xr:uid="{00000000-0005-0000-0000-00005D5B0000}"/>
    <cellStyle name="40 % - Markeringsfarve2 3 6 3 5" xfId="38493" xr:uid="{00000000-0005-0000-0000-00005E5B0000}"/>
    <cellStyle name="40 % - Markeringsfarve2 3 6 4" xfId="8049" xr:uid="{00000000-0005-0000-0000-00005F5B0000}"/>
    <cellStyle name="40 % - Markeringsfarve2 3 6 4 2" xfId="15914" xr:uid="{00000000-0005-0000-0000-0000605B0000}"/>
    <cellStyle name="40 % - Markeringsfarve2 3 6 4 2 2" xfId="32190" xr:uid="{00000000-0005-0000-0000-0000615B0000}"/>
    <cellStyle name="40 % - Markeringsfarve2 3 6 4 2 3" xfId="47149" xr:uid="{00000000-0005-0000-0000-0000625B0000}"/>
    <cellStyle name="40 % - Markeringsfarve2 3 6 4 3" xfId="25188" xr:uid="{00000000-0005-0000-0000-0000635B0000}"/>
    <cellStyle name="40 % - Markeringsfarve2 3 6 4 4" xfId="40152" xr:uid="{00000000-0005-0000-0000-0000645B0000}"/>
    <cellStyle name="40 % - Markeringsfarve2 3 6 5" xfId="14249" xr:uid="{00000000-0005-0000-0000-0000655B0000}"/>
    <cellStyle name="40 % - Markeringsfarve2 3 6 5 2" xfId="30528" xr:uid="{00000000-0005-0000-0000-0000665B0000}"/>
    <cellStyle name="40 % - Markeringsfarve2 3 6 5 3" xfId="45488" xr:uid="{00000000-0005-0000-0000-0000675B0000}"/>
    <cellStyle name="40 % - Markeringsfarve2 3 6 6" xfId="23526" xr:uid="{00000000-0005-0000-0000-0000685B0000}"/>
    <cellStyle name="40 % - Markeringsfarve2 3 6 7" xfId="38491" xr:uid="{00000000-0005-0000-0000-0000695B0000}"/>
    <cellStyle name="40 % - Markeringsfarve2 3 7" xfId="5767" xr:uid="{00000000-0005-0000-0000-00006A5B0000}"/>
    <cellStyle name="40 % - Markeringsfarve2 3 7 2" xfId="5768" xr:uid="{00000000-0005-0000-0000-00006B5B0000}"/>
    <cellStyle name="40 % - Markeringsfarve2 3 7 2 2" xfId="10185" xr:uid="{00000000-0005-0000-0000-00006C5B0000}"/>
    <cellStyle name="40 % - Markeringsfarve2 3 7 2 2 2" xfId="18040" xr:uid="{00000000-0005-0000-0000-00006D5B0000}"/>
    <cellStyle name="40 % - Markeringsfarve2 3 7 2 2 2 2" xfId="34316" xr:uid="{00000000-0005-0000-0000-00006E5B0000}"/>
    <cellStyle name="40 % - Markeringsfarve2 3 7 2 2 2 3" xfId="49275" xr:uid="{00000000-0005-0000-0000-00006F5B0000}"/>
    <cellStyle name="40 % - Markeringsfarve2 3 7 2 2 3" xfId="27314" xr:uid="{00000000-0005-0000-0000-0000705B0000}"/>
    <cellStyle name="40 % - Markeringsfarve2 3 7 2 2 4" xfId="42278" xr:uid="{00000000-0005-0000-0000-0000715B0000}"/>
    <cellStyle name="40 % - Markeringsfarve2 3 7 2 3" xfId="14253" xr:uid="{00000000-0005-0000-0000-0000725B0000}"/>
    <cellStyle name="40 % - Markeringsfarve2 3 7 2 3 2" xfId="30532" xr:uid="{00000000-0005-0000-0000-0000735B0000}"/>
    <cellStyle name="40 % - Markeringsfarve2 3 7 2 3 3" xfId="45492" xr:uid="{00000000-0005-0000-0000-0000745B0000}"/>
    <cellStyle name="40 % - Markeringsfarve2 3 7 2 4" xfId="23530" xr:uid="{00000000-0005-0000-0000-0000755B0000}"/>
    <cellStyle name="40 % - Markeringsfarve2 3 7 2 5" xfId="38495" xr:uid="{00000000-0005-0000-0000-0000765B0000}"/>
    <cellStyle name="40 % - Markeringsfarve2 3 7 3" xfId="5769" xr:uid="{00000000-0005-0000-0000-0000775B0000}"/>
    <cellStyle name="40 % - Markeringsfarve2 3 7 3 2" xfId="9462" xr:uid="{00000000-0005-0000-0000-0000785B0000}"/>
    <cellStyle name="40 % - Markeringsfarve2 3 7 3 2 2" xfId="17325" xr:uid="{00000000-0005-0000-0000-0000795B0000}"/>
    <cellStyle name="40 % - Markeringsfarve2 3 7 3 2 2 2" xfId="33601" xr:uid="{00000000-0005-0000-0000-00007A5B0000}"/>
    <cellStyle name="40 % - Markeringsfarve2 3 7 3 2 2 3" xfId="48560" xr:uid="{00000000-0005-0000-0000-00007B5B0000}"/>
    <cellStyle name="40 % - Markeringsfarve2 3 7 3 2 3" xfId="26599" xr:uid="{00000000-0005-0000-0000-00007C5B0000}"/>
    <cellStyle name="40 % - Markeringsfarve2 3 7 3 2 4" xfId="41563" xr:uid="{00000000-0005-0000-0000-00007D5B0000}"/>
    <cellStyle name="40 % - Markeringsfarve2 3 7 3 3" xfId="14254" xr:uid="{00000000-0005-0000-0000-00007E5B0000}"/>
    <cellStyle name="40 % - Markeringsfarve2 3 7 3 3 2" xfId="30533" xr:uid="{00000000-0005-0000-0000-00007F5B0000}"/>
    <cellStyle name="40 % - Markeringsfarve2 3 7 3 3 3" xfId="45493" xr:uid="{00000000-0005-0000-0000-0000805B0000}"/>
    <cellStyle name="40 % - Markeringsfarve2 3 7 3 4" xfId="23531" xr:uid="{00000000-0005-0000-0000-0000815B0000}"/>
    <cellStyle name="40 % - Markeringsfarve2 3 7 3 5" xfId="38496" xr:uid="{00000000-0005-0000-0000-0000825B0000}"/>
    <cellStyle name="40 % - Markeringsfarve2 3 7 4" xfId="8050" xr:uid="{00000000-0005-0000-0000-0000835B0000}"/>
    <cellStyle name="40 % - Markeringsfarve2 3 7 4 2" xfId="15915" xr:uid="{00000000-0005-0000-0000-0000845B0000}"/>
    <cellStyle name="40 % - Markeringsfarve2 3 7 4 2 2" xfId="32191" xr:uid="{00000000-0005-0000-0000-0000855B0000}"/>
    <cellStyle name="40 % - Markeringsfarve2 3 7 4 2 3" xfId="47150" xr:uid="{00000000-0005-0000-0000-0000865B0000}"/>
    <cellStyle name="40 % - Markeringsfarve2 3 7 4 3" xfId="25189" xr:uid="{00000000-0005-0000-0000-0000875B0000}"/>
    <cellStyle name="40 % - Markeringsfarve2 3 7 4 4" xfId="40153" xr:uid="{00000000-0005-0000-0000-0000885B0000}"/>
    <cellStyle name="40 % - Markeringsfarve2 3 7 5" xfId="14252" xr:uid="{00000000-0005-0000-0000-0000895B0000}"/>
    <cellStyle name="40 % - Markeringsfarve2 3 7 5 2" xfId="30531" xr:uid="{00000000-0005-0000-0000-00008A5B0000}"/>
    <cellStyle name="40 % - Markeringsfarve2 3 7 5 3" xfId="45491" xr:uid="{00000000-0005-0000-0000-00008B5B0000}"/>
    <cellStyle name="40 % - Markeringsfarve2 3 7 6" xfId="23529" xr:uid="{00000000-0005-0000-0000-00008C5B0000}"/>
    <cellStyle name="40 % - Markeringsfarve2 3 7 7" xfId="38494" xr:uid="{00000000-0005-0000-0000-00008D5B0000}"/>
    <cellStyle name="40 % - Markeringsfarve2 3 8" xfId="5770" xr:uid="{00000000-0005-0000-0000-00008E5B0000}"/>
    <cellStyle name="40 % - Markeringsfarve2 3 8 2" xfId="5771" xr:uid="{00000000-0005-0000-0000-00008F5B0000}"/>
    <cellStyle name="40 % - Markeringsfarve2 3 8 2 2" xfId="10352" xr:uid="{00000000-0005-0000-0000-0000905B0000}"/>
    <cellStyle name="40 % - Markeringsfarve2 3 8 2 2 2" xfId="18207" xr:uid="{00000000-0005-0000-0000-0000915B0000}"/>
    <cellStyle name="40 % - Markeringsfarve2 3 8 2 2 2 2" xfId="34483" xr:uid="{00000000-0005-0000-0000-0000925B0000}"/>
    <cellStyle name="40 % - Markeringsfarve2 3 8 2 2 2 3" xfId="49442" xr:uid="{00000000-0005-0000-0000-0000935B0000}"/>
    <cellStyle name="40 % - Markeringsfarve2 3 8 2 2 3" xfId="27481" xr:uid="{00000000-0005-0000-0000-0000945B0000}"/>
    <cellStyle name="40 % - Markeringsfarve2 3 8 2 2 4" xfId="42445" xr:uid="{00000000-0005-0000-0000-0000955B0000}"/>
    <cellStyle name="40 % - Markeringsfarve2 3 8 2 3" xfId="14256" xr:uid="{00000000-0005-0000-0000-0000965B0000}"/>
    <cellStyle name="40 % - Markeringsfarve2 3 8 2 3 2" xfId="30535" xr:uid="{00000000-0005-0000-0000-0000975B0000}"/>
    <cellStyle name="40 % - Markeringsfarve2 3 8 2 3 3" xfId="45495" xr:uid="{00000000-0005-0000-0000-0000985B0000}"/>
    <cellStyle name="40 % - Markeringsfarve2 3 8 2 4" xfId="23533" xr:uid="{00000000-0005-0000-0000-0000995B0000}"/>
    <cellStyle name="40 % - Markeringsfarve2 3 8 2 5" xfId="38498" xr:uid="{00000000-0005-0000-0000-00009A5B0000}"/>
    <cellStyle name="40 % - Markeringsfarve2 3 8 3" xfId="5772" xr:uid="{00000000-0005-0000-0000-00009B5B0000}"/>
    <cellStyle name="40 % - Markeringsfarve2 3 8 3 2" xfId="9630" xr:uid="{00000000-0005-0000-0000-00009C5B0000}"/>
    <cellStyle name="40 % - Markeringsfarve2 3 8 3 2 2" xfId="17493" xr:uid="{00000000-0005-0000-0000-00009D5B0000}"/>
    <cellStyle name="40 % - Markeringsfarve2 3 8 3 2 2 2" xfId="33769" xr:uid="{00000000-0005-0000-0000-00009E5B0000}"/>
    <cellStyle name="40 % - Markeringsfarve2 3 8 3 2 2 3" xfId="48728" xr:uid="{00000000-0005-0000-0000-00009F5B0000}"/>
    <cellStyle name="40 % - Markeringsfarve2 3 8 3 2 3" xfId="26767" xr:uid="{00000000-0005-0000-0000-0000A05B0000}"/>
    <cellStyle name="40 % - Markeringsfarve2 3 8 3 2 4" xfId="41731" xr:uid="{00000000-0005-0000-0000-0000A15B0000}"/>
    <cellStyle name="40 % - Markeringsfarve2 3 8 3 3" xfId="14257" xr:uid="{00000000-0005-0000-0000-0000A25B0000}"/>
    <cellStyle name="40 % - Markeringsfarve2 3 8 3 3 2" xfId="30536" xr:uid="{00000000-0005-0000-0000-0000A35B0000}"/>
    <cellStyle name="40 % - Markeringsfarve2 3 8 3 3 3" xfId="45496" xr:uid="{00000000-0005-0000-0000-0000A45B0000}"/>
    <cellStyle name="40 % - Markeringsfarve2 3 8 3 4" xfId="23534" xr:uid="{00000000-0005-0000-0000-0000A55B0000}"/>
    <cellStyle name="40 % - Markeringsfarve2 3 8 3 5" xfId="38499" xr:uid="{00000000-0005-0000-0000-0000A65B0000}"/>
    <cellStyle name="40 % - Markeringsfarve2 3 8 4" xfId="8051" xr:uid="{00000000-0005-0000-0000-0000A75B0000}"/>
    <cellStyle name="40 % - Markeringsfarve2 3 8 4 2" xfId="15916" xr:uid="{00000000-0005-0000-0000-0000A85B0000}"/>
    <cellStyle name="40 % - Markeringsfarve2 3 8 4 2 2" xfId="32192" xr:uid="{00000000-0005-0000-0000-0000A95B0000}"/>
    <cellStyle name="40 % - Markeringsfarve2 3 8 4 2 3" xfId="47151" xr:uid="{00000000-0005-0000-0000-0000AA5B0000}"/>
    <cellStyle name="40 % - Markeringsfarve2 3 8 4 3" xfId="25190" xr:uid="{00000000-0005-0000-0000-0000AB5B0000}"/>
    <cellStyle name="40 % - Markeringsfarve2 3 8 4 4" xfId="40154" xr:uid="{00000000-0005-0000-0000-0000AC5B0000}"/>
    <cellStyle name="40 % - Markeringsfarve2 3 8 5" xfId="14255" xr:uid="{00000000-0005-0000-0000-0000AD5B0000}"/>
    <cellStyle name="40 % - Markeringsfarve2 3 8 5 2" xfId="30534" xr:uid="{00000000-0005-0000-0000-0000AE5B0000}"/>
    <cellStyle name="40 % - Markeringsfarve2 3 8 5 3" xfId="45494" xr:uid="{00000000-0005-0000-0000-0000AF5B0000}"/>
    <cellStyle name="40 % - Markeringsfarve2 3 8 6" xfId="23532" xr:uid="{00000000-0005-0000-0000-0000B05B0000}"/>
    <cellStyle name="40 % - Markeringsfarve2 3 8 7" xfId="38497" xr:uid="{00000000-0005-0000-0000-0000B15B0000}"/>
    <cellStyle name="40 % - Markeringsfarve2 3 9" xfId="5773" xr:uid="{00000000-0005-0000-0000-0000B25B0000}"/>
    <cellStyle name="40 % - Markeringsfarve2 3 9 2" xfId="9712" xr:uid="{00000000-0005-0000-0000-0000B35B0000}"/>
    <cellStyle name="40 % - Markeringsfarve2 3 9 2 2" xfId="17566" xr:uid="{00000000-0005-0000-0000-0000B45B0000}"/>
    <cellStyle name="40 % - Markeringsfarve2 3 9 2 2 2" xfId="33842" xr:uid="{00000000-0005-0000-0000-0000B55B0000}"/>
    <cellStyle name="40 % - Markeringsfarve2 3 9 2 2 3" xfId="48801" xr:uid="{00000000-0005-0000-0000-0000B65B0000}"/>
    <cellStyle name="40 % - Markeringsfarve2 3 9 2 3" xfId="26840" xr:uid="{00000000-0005-0000-0000-0000B75B0000}"/>
    <cellStyle name="40 % - Markeringsfarve2 3 9 2 4" xfId="41804" xr:uid="{00000000-0005-0000-0000-0000B85B0000}"/>
    <cellStyle name="40 % - Markeringsfarve2 3 9 3" xfId="14258" xr:uid="{00000000-0005-0000-0000-0000B95B0000}"/>
    <cellStyle name="40 % - Markeringsfarve2 3 9 3 2" xfId="30537" xr:uid="{00000000-0005-0000-0000-0000BA5B0000}"/>
    <cellStyle name="40 % - Markeringsfarve2 3 9 3 3" xfId="45497" xr:uid="{00000000-0005-0000-0000-0000BB5B0000}"/>
    <cellStyle name="40 % - Markeringsfarve2 3 9 4" xfId="23535" xr:uid="{00000000-0005-0000-0000-0000BC5B0000}"/>
    <cellStyle name="40 % - Markeringsfarve2 3 9 5" xfId="38500" xr:uid="{00000000-0005-0000-0000-0000BD5B0000}"/>
    <cellStyle name="40 % - Markeringsfarve2 4" xfId="5774" xr:uid="{00000000-0005-0000-0000-0000BE5B0000}"/>
    <cellStyle name="40 % - Markeringsfarve2 4 10" xfId="14259" xr:uid="{00000000-0005-0000-0000-0000BF5B0000}"/>
    <cellStyle name="40 % - Markeringsfarve2 4 10 2" xfId="30538" xr:uid="{00000000-0005-0000-0000-0000C05B0000}"/>
    <cellStyle name="40 % - Markeringsfarve2 4 10 3" xfId="45498" xr:uid="{00000000-0005-0000-0000-0000C15B0000}"/>
    <cellStyle name="40 % - Markeringsfarve2 4 11" xfId="23536" xr:uid="{00000000-0005-0000-0000-0000C25B0000}"/>
    <cellStyle name="40 % - Markeringsfarve2 4 12" xfId="38501" xr:uid="{00000000-0005-0000-0000-0000C35B0000}"/>
    <cellStyle name="40 % - Markeringsfarve2 4 2" xfId="5775" xr:uid="{00000000-0005-0000-0000-0000C45B0000}"/>
    <cellStyle name="40 % - Markeringsfarve2 4 2 2" xfId="5776" xr:uid="{00000000-0005-0000-0000-0000C55B0000}"/>
    <cellStyle name="40 % - Markeringsfarve2 4 2 2 2" xfId="9855" xr:uid="{00000000-0005-0000-0000-0000C65B0000}"/>
    <cellStyle name="40 % - Markeringsfarve2 4 2 2 2 2" xfId="17710" xr:uid="{00000000-0005-0000-0000-0000C75B0000}"/>
    <cellStyle name="40 % - Markeringsfarve2 4 2 2 2 2 2" xfId="33986" xr:uid="{00000000-0005-0000-0000-0000C85B0000}"/>
    <cellStyle name="40 % - Markeringsfarve2 4 2 2 2 2 3" xfId="48945" xr:uid="{00000000-0005-0000-0000-0000C95B0000}"/>
    <cellStyle name="40 % - Markeringsfarve2 4 2 2 2 3" xfId="26984" xr:uid="{00000000-0005-0000-0000-0000CA5B0000}"/>
    <cellStyle name="40 % - Markeringsfarve2 4 2 2 2 4" xfId="41948" xr:uid="{00000000-0005-0000-0000-0000CB5B0000}"/>
    <cellStyle name="40 % - Markeringsfarve2 4 2 2 3" xfId="14261" xr:uid="{00000000-0005-0000-0000-0000CC5B0000}"/>
    <cellStyle name="40 % - Markeringsfarve2 4 2 2 3 2" xfId="30540" xr:uid="{00000000-0005-0000-0000-0000CD5B0000}"/>
    <cellStyle name="40 % - Markeringsfarve2 4 2 2 3 3" xfId="45500" xr:uid="{00000000-0005-0000-0000-0000CE5B0000}"/>
    <cellStyle name="40 % - Markeringsfarve2 4 2 2 4" xfId="23538" xr:uid="{00000000-0005-0000-0000-0000CF5B0000}"/>
    <cellStyle name="40 % - Markeringsfarve2 4 2 2 5" xfId="38503" xr:uid="{00000000-0005-0000-0000-0000D05B0000}"/>
    <cellStyle name="40 % - Markeringsfarve2 4 2 3" xfId="5777" xr:uid="{00000000-0005-0000-0000-0000D15B0000}"/>
    <cellStyle name="40 % - Markeringsfarve2 4 2 3 2" xfId="9086" xr:uid="{00000000-0005-0000-0000-0000D25B0000}"/>
    <cellStyle name="40 % - Markeringsfarve2 4 2 3 2 2" xfId="16950" xr:uid="{00000000-0005-0000-0000-0000D35B0000}"/>
    <cellStyle name="40 % - Markeringsfarve2 4 2 3 2 2 2" xfId="33226" xr:uid="{00000000-0005-0000-0000-0000D45B0000}"/>
    <cellStyle name="40 % - Markeringsfarve2 4 2 3 2 2 3" xfId="48185" xr:uid="{00000000-0005-0000-0000-0000D55B0000}"/>
    <cellStyle name="40 % - Markeringsfarve2 4 2 3 2 3" xfId="26224" xr:uid="{00000000-0005-0000-0000-0000D65B0000}"/>
    <cellStyle name="40 % - Markeringsfarve2 4 2 3 2 4" xfId="41188" xr:uid="{00000000-0005-0000-0000-0000D75B0000}"/>
    <cellStyle name="40 % - Markeringsfarve2 4 2 3 3" xfId="14262" xr:uid="{00000000-0005-0000-0000-0000D85B0000}"/>
    <cellStyle name="40 % - Markeringsfarve2 4 2 3 3 2" xfId="30541" xr:uid="{00000000-0005-0000-0000-0000D95B0000}"/>
    <cellStyle name="40 % - Markeringsfarve2 4 2 3 3 3" xfId="45501" xr:uid="{00000000-0005-0000-0000-0000DA5B0000}"/>
    <cellStyle name="40 % - Markeringsfarve2 4 2 3 4" xfId="23539" xr:uid="{00000000-0005-0000-0000-0000DB5B0000}"/>
    <cellStyle name="40 % - Markeringsfarve2 4 2 3 5" xfId="38504" xr:uid="{00000000-0005-0000-0000-0000DC5B0000}"/>
    <cellStyle name="40 % - Markeringsfarve2 4 2 4" xfId="8053" xr:uid="{00000000-0005-0000-0000-0000DD5B0000}"/>
    <cellStyle name="40 % - Markeringsfarve2 4 2 4 2" xfId="15918" xr:uid="{00000000-0005-0000-0000-0000DE5B0000}"/>
    <cellStyle name="40 % - Markeringsfarve2 4 2 4 2 2" xfId="32194" xr:uid="{00000000-0005-0000-0000-0000DF5B0000}"/>
    <cellStyle name="40 % - Markeringsfarve2 4 2 4 2 3" xfId="47153" xr:uid="{00000000-0005-0000-0000-0000E05B0000}"/>
    <cellStyle name="40 % - Markeringsfarve2 4 2 4 3" xfId="25192" xr:uid="{00000000-0005-0000-0000-0000E15B0000}"/>
    <cellStyle name="40 % - Markeringsfarve2 4 2 4 4" xfId="40156" xr:uid="{00000000-0005-0000-0000-0000E25B0000}"/>
    <cellStyle name="40 % - Markeringsfarve2 4 2 5" xfId="14260" xr:uid="{00000000-0005-0000-0000-0000E35B0000}"/>
    <cellStyle name="40 % - Markeringsfarve2 4 2 5 2" xfId="30539" xr:uid="{00000000-0005-0000-0000-0000E45B0000}"/>
    <cellStyle name="40 % - Markeringsfarve2 4 2 5 3" xfId="45499" xr:uid="{00000000-0005-0000-0000-0000E55B0000}"/>
    <cellStyle name="40 % - Markeringsfarve2 4 2 6" xfId="23537" xr:uid="{00000000-0005-0000-0000-0000E65B0000}"/>
    <cellStyle name="40 % - Markeringsfarve2 4 2 7" xfId="38502" xr:uid="{00000000-0005-0000-0000-0000E75B0000}"/>
    <cellStyle name="40 % - Markeringsfarve2 4 3" xfId="5778" xr:uid="{00000000-0005-0000-0000-0000E85B0000}"/>
    <cellStyle name="40 % - Markeringsfarve2 4 3 2" xfId="5779" xr:uid="{00000000-0005-0000-0000-0000E95B0000}"/>
    <cellStyle name="40 % - Markeringsfarve2 4 3 2 2" xfId="10001" xr:uid="{00000000-0005-0000-0000-0000EA5B0000}"/>
    <cellStyle name="40 % - Markeringsfarve2 4 3 2 2 2" xfId="17856" xr:uid="{00000000-0005-0000-0000-0000EB5B0000}"/>
    <cellStyle name="40 % - Markeringsfarve2 4 3 2 2 2 2" xfId="34132" xr:uid="{00000000-0005-0000-0000-0000EC5B0000}"/>
    <cellStyle name="40 % - Markeringsfarve2 4 3 2 2 2 3" xfId="49091" xr:uid="{00000000-0005-0000-0000-0000ED5B0000}"/>
    <cellStyle name="40 % - Markeringsfarve2 4 3 2 2 3" xfId="27130" xr:uid="{00000000-0005-0000-0000-0000EE5B0000}"/>
    <cellStyle name="40 % - Markeringsfarve2 4 3 2 2 4" xfId="42094" xr:uid="{00000000-0005-0000-0000-0000EF5B0000}"/>
    <cellStyle name="40 % - Markeringsfarve2 4 3 2 3" xfId="14264" xr:uid="{00000000-0005-0000-0000-0000F05B0000}"/>
    <cellStyle name="40 % - Markeringsfarve2 4 3 2 3 2" xfId="30543" xr:uid="{00000000-0005-0000-0000-0000F15B0000}"/>
    <cellStyle name="40 % - Markeringsfarve2 4 3 2 3 3" xfId="45503" xr:uid="{00000000-0005-0000-0000-0000F25B0000}"/>
    <cellStyle name="40 % - Markeringsfarve2 4 3 2 4" xfId="23541" xr:uid="{00000000-0005-0000-0000-0000F35B0000}"/>
    <cellStyle name="40 % - Markeringsfarve2 4 3 2 5" xfId="38506" xr:uid="{00000000-0005-0000-0000-0000F45B0000}"/>
    <cellStyle name="40 % - Markeringsfarve2 4 3 3" xfId="5780" xr:uid="{00000000-0005-0000-0000-0000F55B0000}"/>
    <cellStyle name="40 % - Markeringsfarve2 4 3 3 2" xfId="9232" xr:uid="{00000000-0005-0000-0000-0000F65B0000}"/>
    <cellStyle name="40 % - Markeringsfarve2 4 3 3 2 2" xfId="17096" xr:uid="{00000000-0005-0000-0000-0000F75B0000}"/>
    <cellStyle name="40 % - Markeringsfarve2 4 3 3 2 2 2" xfId="33372" xr:uid="{00000000-0005-0000-0000-0000F85B0000}"/>
    <cellStyle name="40 % - Markeringsfarve2 4 3 3 2 2 3" xfId="48331" xr:uid="{00000000-0005-0000-0000-0000F95B0000}"/>
    <cellStyle name="40 % - Markeringsfarve2 4 3 3 2 3" xfId="26370" xr:uid="{00000000-0005-0000-0000-0000FA5B0000}"/>
    <cellStyle name="40 % - Markeringsfarve2 4 3 3 2 4" xfId="41334" xr:uid="{00000000-0005-0000-0000-0000FB5B0000}"/>
    <cellStyle name="40 % - Markeringsfarve2 4 3 3 3" xfId="14265" xr:uid="{00000000-0005-0000-0000-0000FC5B0000}"/>
    <cellStyle name="40 % - Markeringsfarve2 4 3 3 3 2" xfId="30544" xr:uid="{00000000-0005-0000-0000-0000FD5B0000}"/>
    <cellStyle name="40 % - Markeringsfarve2 4 3 3 3 3" xfId="45504" xr:uid="{00000000-0005-0000-0000-0000FE5B0000}"/>
    <cellStyle name="40 % - Markeringsfarve2 4 3 3 4" xfId="23542" xr:uid="{00000000-0005-0000-0000-0000FF5B0000}"/>
    <cellStyle name="40 % - Markeringsfarve2 4 3 3 5" xfId="38507" xr:uid="{00000000-0005-0000-0000-0000005C0000}"/>
    <cellStyle name="40 % - Markeringsfarve2 4 3 4" xfId="8054" xr:uid="{00000000-0005-0000-0000-0000015C0000}"/>
    <cellStyle name="40 % - Markeringsfarve2 4 3 4 2" xfId="15919" xr:uid="{00000000-0005-0000-0000-0000025C0000}"/>
    <cellStyle name="40 % - Markeringsfarve2 4 3 4 2 2" xfId="32195" xr:uid="{00000000-0005-0000-0000-0000035C0000}"/>
    <cellStyle name="40 % - Markeringsfarve2 4 3 4 2 3" xfId="47154" xr:uid="{00000000-0005-0000-0000-0000045C0000}"/>
    <cellStyle name="40 % - Markeringsfarve2 4 3 4 3" xfId="25193" xr:uid="{00000000-0005-0000-0000-0000055C0000}"/>
    <cellStyle name="40 % - Markeringsfarve2 4 3 4 4" xfId="40157" xr:uid="{00000000-0005-0000-0000-0000065C0000}"/>
    <cellStyle name="40 % - Markeringsfarve2 4 3 5" xfId="14263" xr:uid="{00000000-0005-0000-0000-0000075C0000}"/>
    <cellStyle name="40 % - Markeringsfarve2 4 3 5 2" xfId="30542" xr:uid="{00000000-0005-0000-0000-0000085C0000}"/>
    <cellStyle name="40 % - Markeringsfarve2 4 3 5 3" xfId="45502" xr:uid="{00000000-0005-0000-0000-0000095C0000}"/>
    <cellStyle name="40 % - Markeringsfarve2 4 3 6" xfId="23540" xr:uid="{00000000-0005-0000-0000-00000A5C0000}"/>
    <cellStyle name="40 % - Markeringsfarve2 4 3 7" xfId="38505" xr:uid="{00000000-0005-0000-0000-00000B5C0000}"/>
    <cellStyle name="40 % - Markeringsfarve2 4 4" xfId="5781" xr:uid="{00000000-0005-0000-0000-00000C5C0000}"/>
    <cellStyle name="40 % - Markeringsfarve2 4 4 2" xfId="5782" xr:uid="{00000000-0005-0000-0000-00000D5C0000}"/>
    <cellStyle name="40 % - Markeringsfarve2 4 4 2 2" xfId="10093" xr:uid="{00000000-0005-0000-0000-00000E5C0000}"/>
    <cellStyle name="40 % - Markeringsfarve2 4 4 2 2 2" xfId="17948" xr:uid="{00000000-0005-0000-0000-00000F5C0000}"/>
    <cellStyle name="40 % - Markeringsfarve2 4 4 2 2 2 2" xfId="34224" xr:uid="{00000000-0005-0000-0000-0000105C0000}"/>
    <cellStyle name="40 % - Markeringsfarve2 4 4 2 2 2 3" xfId="49183" xr:uid="{00000000-0005-0000-0000-0000115C0000}"/>
    <cellStyle name="40 % - Markeringsfarve2 4 4 2 2 3" xfId="27222" xr:uid="{00000000-0005-0000-0000-0000125C0000}"/>
    <cellStyle name="40 % - Markeringsfarve2 4 4 2 2 4" xfId="42186" xr:uid="{00000000-0005-0000-0000-0000135C0000}"/>
    <cellStyle name="40 % - Markeringsfarve2 4 4 2 3" xfId="14267" xr:uid="{00000000-0005-0000-0000-0000145C0000}"/>
    <cellStyle name="40 % - Markeringsfarve2 4 4 2 3 2" xfId="30546" xr:uid="{00000000-0005-0000-0000-0000155C0000}"/>
    <cellStyle name="40 % - Markeringsfarve2 4 4 2 3 3" xfId="45506" xr:uid="{00000000-0005-0000-0000-0000165C0000}"/>
    <cellStyle name="40 % - Markeringsfarve2 4 4 2 4" xfId="23544" xr:uid="{00000000-0005-0000-0000-0000175C0000}"/>
    <cellStyle name="40 % - Markeringsfarve2 4 4 2 5" xfId="38509" xr:uid="{00000000-0005-0000-0000-0000185C0000}"/>
    <cellStyle name="40 % - Markeringsfarve2 4 4 3" xfId="5783" xr:uid="{00000000-0005-0000-0000-0000195C0000}"/>
    <cellStyle name="40 % - Markeringsfarve2 4 4 3 2" xfId="9370" xr:uid="{00000000-0005-0000-0000-00001A5C0000}"/>
    <cellStyle name="40 % - Markeringsfarve2 4 4 3 2 2" xfId="17233" xr:uid="{00000000-0005-0000-0000-00001B5C0000}"/>
    <cellStyle name="40 % - Markeringsfarve2 4 4 3 2 2 2" xfId="33509" xr:uid="{00000000-0005-0000-0000-00001C5C0000}"/>
    <cellStyle name="40 % - Markeringsfarve2 4 4 3 2 2 3" xfId="48468" xr:uid="{00000000-0005-0000-0000-00001D5C0000}"/>
    <cellStyle name="40 % - Markeringsfarve2 4 4 3 2 3" xfId="26507" xr:uid="{00000000-0005-0000-0000-00001E5C0000}"/>
    <cellStyle name="40 % - Markeringsfarve2 4 4 3 2 4" xfId="41471" xr:uid="{00000000-0005-0000-0000-00001F5C0000}"/>
    <cellStyle name="40 % - Markeringsfarve2 4 4 3 3" xfId="14268" xr:uid="{00000000-0005-0000-0000-0000205C0000}"/>
    <cellStyle name="40 % - Markeringsfarve2 4 4 3 3 2" xfId="30547" xr:uid="{00000000-0005-0000-0000-0000215C0000}"/>
    <cellStyle name="40 % - Markeringsfarve2 4 4 3 3 3" xfId="45507" xr:uid="{00000000-0005-0000-0000-0000225C0000}"/>
    <cellStyle name="40 % - Markeringsfarve2 4 4 3 4" xfId="23545" xr:uid="{00000000-0005-0000-0000-0000235C0000}"/>
    <cellStyle name="40 % - Markeringsfarve2 4 4 3 5" xfId="38510" xr:uid="{00000000-0005-0000-0000-0000245C0000}"/>
    <cellStyle name="40 % - Markeringsfarve2 4 4 4" xfId="8055" xr:uid="{00000000-0005-0000-0000-0000255C0000}"/>
    <cellStyle name="40 % - Markeringsfarve2 4 4 4 2" xfId="15920" xr:uid="{00000000-0005-0000-0000-0000265C0000}"/>
    <cellStyle name="40 % - Markeringsfarve2 4 4 4 2 2" xfId="32196" xr:uid="{00000000-0005-0000-0000-0000275C0000}"/>
    <cellStyle name="40 % - Markeringsfarve2 4 4 4 2 3" xfId="47155" xr:uid="{00000000-0005-0000-0000-0000285C0000}"/>
    <cellStyle name="40 % - Markeringsfarve2 4 4 4 3" xfId="25194" xr:uid="{00000000-0005-0000-0000-0000295C0000}"/>
    <cellStyle name="40 % - Markeringsfarve2 4 4 4 4" xfId="40158" xr:uid="{00000000-0005-0000-0000-00002A5C0000}"/>
    <cellStyle name="40 % - Markeringsfarve2 4 4 5" xfId="14266" xr:uid="{00000000-0005-0000-0000-00002B5C0000}"/>
    <cellStyle name="40 % - Markeringsfarve2 4 4 5 2" xfId="30545" xr:uid="{00000000-0005-0000-0000-00002C5C0000}"/>
    <cellStyle name="40 % - Markeringsfarve2 4 4 5 3" xfId="45505" xr:uid="{00000000-0005-0000-0000-00002D5C0000}"/>
    <cellStyle name="40 % - Markeringsfarve2 4 4 6" xfId="23543" xr:uid="{00000000-0005-0000-0000-00002E5C0000}"/>
    <cellStyle name="40 % - Markeringsfarve2 4 4 7" xfId="38508" xr:uid="{00000000-0005-0000-0000-00002F5C0000}"/>
    <cellStyle name="40 % - Markeringsfarve2 4 5" xfId="5784" xr:uid="{00000000-0005-0000-0000-0000305C0000}"/>
    <cellStyle name="40 % - Markeringsfarve2 4 5 2" xfId="5785" xr:uid="{00000000-0005-0000-0000-0000315C0000}"/>
    <cellStyle name="40 % - Markeringsfarve2 4 5 2 2" xfId="10210" xr:uid="{00000000-0005-0000-0000-0000325C0000}"/>
    <cellStyle name="40 % - Markeringsfarve2 4 5 2 2 2" xfId="18065" xr:uid="{00000000-0005-0000-0000-0000335C0000}"/>
    <cellStyle name="40 % - Markeringsfarve2 4 5 2 2 2 2" xfId="34341" xr:uid="{00000000-0005-0000-0000-0000345C0000}"/>
    <cellStyle name="40 % - Markeringsfarve2 4 5 2 2 2 3" xfId="49300" xr:uid="{00000000-0005-0000-0000-0000355C0000}"/>
    <cellStyle name="40 % - Markeringsfarve2 4 5 2 2 3" xfId="27339" xr:uid="{00000000-0005-0000-0000-0000365C0000}"/>
    <cellStyle name="40 % - Markeringsfarve2 4 5 2 2 4" xfId="42303" xr:uid="{00000000-0005-0000-0000-0000375C0000}"/>
    <cellStyle name="40 % - Markeringsfarve2 4 5 2 3" xfId="14270" xr:uid="{00000000-0005-0000-0000-0000385C0000}"/>
    <cellStyle name="40 % - Markeringsfarve2 4 5 2 3 2" xfId="30549" xr:uid="{00000000-0005-0000-0000-0000395C0000}"/>
    <cellStyle name="40 % - Markeringsfarve2 4 5 2 3 3" xfId="45509" xr:uid="{00000000-0005-0000-0000-00003A5C0000}"/>
    <cellStyle name="40 % - Markeringsfarve2 4 5 2 4" xfId="23547" xr:uid="{00000000-0005-0000-0000-00003B5C0000}"/>
    <cellStyle name="40 % - Markeringsfarve2 4 5 2 5" xfId="38512" xr:uid="{00000000-0005-0000-0000-00003C5C0000}"/>
    <cellStyle name="40 % - Markeringsfarve2 4 5 3" xfId="5786" xr:uid="{00000000-0005-0000-0000-00003D5C0000}"/>
    <cellStyle name="40 % - Markeringsfarve2 4 5 3 2" xfId="9487" xr:uid="{00000000-0005-0000-0000-00003E5C0000}"/>
    <cellStyle name="40 % - Markeringsfarve2 4 5 3 2 2" xfId="17350" xr:uid="{00000000-0005-0000-0000-00003F5C0000}"/>
    <cellStyle name="40 % - Markeringsfarve2 4 5 3 2 2 2" xfId="33626" xr:uid="{00000000-0005-0000-0000-0000405C0000}"/>
    <cellStyle name="40 % - Markeringsfarve2 4 5 3 2 2 3" xfId="48585" xr:uid="{00000000-0005-0000-0000-0000415C0000}"/>
    <cellStyle name="40 % - Markeringsfarve2 4 5 3 2 3" xfId="26624" xr:uid="{00000000-0005-0000-0000-0000425C0000}"/>
    <cellStyle name="40 % - Markeringsfarve2 4 5 3 2 4" xfId="41588" xr:uid="{00000000-0005-0000-0000-0000435C0000}"/>
    <cellStyle name="40 % - Markeringsfarve2 4 5 3 3" xfId="14271" xr:uid="{00000000-0005-0000-0000-0000445C0000}"/>
    <cellStyle name="40 % - Markeringsfarve2 4 5 3 3 2" xfId="30550" xr:uid="{00000000-0005-0000-0000-0000455C0000}"/>
    <cellStyle name="40 % - Markeringsfarve2 4 5 3 3 3" xfId="45510" xr:uid="{00000000-0005-0000-0000-0000465C0000}"/>
    <cellStyle name="40 % - Markeringsfarve2 4 5 3 4" xfId="23548" xr:uid="{00000000-0005-0000-0000-0000475C0000}"/>
    <cellStyle name="40 % - Markeringsfarve2 4 5 3 5" xfId="38513" xr:uid="{00000000-0005-0000-0000-0000485C0000}"/>
    <cellStyle name="40 % - Markeringsfarve2 4 5 4" xfId="8056" xr:uid="{00000000-0005-0000-0000-0000495C0000}"/>
    <cellStyle name="40 % - Markeringsfarve2 4 5 4 2" xfId="15921" xr:uid="{00000000-0005-0000-0000-00004A5C0000}"/>
    <cellStyle name="40 % - Markeringsfarve2 4 5 4 2 2" xfId="32197" xr:uid="{00000000-0005-0000-0000-00004B5C0000}"/>
    <cellStyle name="40 % - Markeringsfarve2 4 5 4 2 3" xfId="47156" xr:uid="{00000000-0005-0000-0000-00004C5C0000}"/>
    <cellStyle name="40 % - Markeringsfarve2 4 5 4 3" xfId="25195" xr:uid="{00000000-0005-0000-0000-00004D5C0000}"/>
    <cellStyle name="40 % - Markeringsfarve2 4 5 4 4" xfId="40159" xr:uid="{00000000-0005-0000-0000-00004E5C0000}"/>
    <cellStyle name="40 % - Markeringsfarve2 4 5 5" xfId="14269" xr:uid="{00000000-0005-0000-0000-00004F5C0000}"/>
    <cellStyle name="40 % - Markeringsfarve2 4 5 5 2" xfId="30548" xr:uid="{00000000-0005-0000-0000-0000505C0000}"/>
    <cellStyle name="40 % - Markeringsfarve2 4 5 5 3" xfId="45508" xr:uid="{00000000-0005-0000-0000-0000515C0000}"/>
    <cellStyle name="40 % - Markeringsfarve2 4 5 6" xfId="23546" xr:uid="{00000000-0005-0000-0000-0000525C0000}"/>
    <cellStyle name="40 % - Markeringsfarve2 4 5 7" xfId="38511" xr:uid="{00000000-0005-0000-0000-0000535C0000}"/>
    <cellStyle name="40 % - Markeringsfarve2 4 6" xfId="5787" xr:uid="{00000000-0005-0000-0000-0000545C0000}"/>
    <cellStyle name="40 % - Markeringsfarve2 4 6 2" xfId="5788" xr:uid="{00000000-0005-0000-0000-0000555C0000}"/>
    <cellStyle name="40 % - Markeringsfarve2 4 6 2 2" xfId="10355" xr:uid="{00000000-0005-0000-0000-0000565C0000}"/>
    <cellStyle name="40 % - Markeringsfarve2 4 6 2 2 2" xfId="18210" xr:uid="{00000000-0005-0000-0000-0000575C0000}"/>
    <cellStyle name="40 % - Markeringsfarve2 4 6 2 2 2 2" xfId="34486" xr:uid="{00000000-0005-0000-0000-0000585C0000}"/>
    <cellStyle name="40 % - Markeringsfarve2 4 6 2 2 2 3" xfId="49445" xr:uid="{00000000-0005-0000-0000-0000595C0000}"/>
    <cellStyle name="40 % - Markeringsfarve2 4 6 2 2 3" xfId="27484" xr:uid="{00000000-0005-0000-0000-00005A5C0000}"/>
    <cellStyle name="40 % - Markeringsfarve2 4 6 2 2 4" xfId="42448" xr:uid="{00000000-0005-0000-0000-00005B5C0000}"/>
    <cellStyle name="40 % - Markeringsfarve2 4 6 2 3" xfId="14273" xr:uid="{00000000-0005-0000-0000-00005C5C0000}"/>
    <cellStyle name="40 % - Markeringsfarve2 4 6 2 3 2" xfId="30552" xr:uid="{00000000-0005-0000-0000-00005D5C0000}"/>
    <cellStyle name="40 % - Markeringsfarve2 4 6 2 3 3" xfId="45512" xr:uid="{00000000-0005-0000-0000-00005E5C0000}"/>
    <cellStyle name="40 % - Markeringsfarve2 4 6 2 4" xfId="23550" xr:uid="{00000000-0005-0000-0000-00005F5C0000}"/>
    <cellStyle name="40 % - Markeringsfarve2 4 6 2 5" xfId="38515" xr:uid="{00000000-0005-0000-0000-0000605C0000}"/>
    <cellStyle name="40 % - Markeringsfarve2 4 6 3" xfId="5789" xr:uid="{00000000-0005-0000-0000-0000615C0000}"/>
    <cellStyle name="40 % - Markeringsfarve2 4 6 3 2" xfId="9633" xr:uid="{00000000-0005-0000-0000-0000625C0000}"/>
    <cellStyle name="40 % - Markeringsfarve2 4 6 3 2 2" xfId="17496" xr:uid="{00000000-0005-0000-0000-0000635C0000}"/>
    <cellStyle name="40 % - Markeringsfarve2 4 6 3 2 2 2" xfId="33772" xr:uid="{00000000-0005-0000-0000-0000645C0000}"/>
    <cellStyle name="40 % - Markeringsfarve2 4 6 3 2 2 3" xfId="48731" xr:uid="{00000000-0005-0000-0000-0000655C0000}"/>
    <cellStyle name="40 % - Markeringsfarve2 4 6 3 2 3" xfId="26770" xr:uid="{00000000-0005-0000-0000-0000665C0000}"/>
    <cellStyle name="40 % - Markeringsfarve2 4 6 3 2 4" xfId="41734" xr:uid="{00000000-0005-0000-0000-0000675C0000}"/>
    <cellStyle name="40 % - Markeringsfarve2 4 6 3 3" xfId="14274" xr:uid="{00000000-0005-0000-0000-0000685C0000}"/>
    <cellStyle name="40 % - Markeringsfarve2 4 6 3 3 2" xfId="30553" xr:uid="{00000000-0005-0000-0000-0000695C0000}"/>
    <cellStyle name="40 % - Markeringsfarve2 4 6 3 3 3" xfId="45513" xr:uid="{00000000-0005-0000-0000-00006A5C0000}"/>
    <cellStyle name="40 % - Markeringsfarve2 4 6 3 4" xfId="23551" xr:uid="{00000000-0005-0000-0000-00006B5C0000}"/>
    <cellStyle name="40 % - Markeringsfarve2 4 6 3 5" xfId="38516" xr:uid="{00000000-0005-0000-0000-00006C5C0000}"/>
    <cellStyle name="40 % - Markeringsfarve2 4 6 4" xfId="8057" xr:uid="{00000000-0005-0000-0000-00006D5C0000}"/>
    <cellStyle name="40 % - Markeringsfarve2 4 6 4 2" xfId="15922" xr:uid="{00000000-0005-0000-0000-00006E5C0000}"/>
    <cellStyle name="40 % - Markeringsfarve2 4 6 4 2 2" xfId="32198" xr:uid="{00000000-0005-0000-0000-00006F5C0000}"/>
    <cellStyle name="40 % - Markeringsfarve2 4 6 4 2 3" xfId="47157" xr:uid="{00000000-0005-0000-0000-0000705C0000}"/>
    <cellStyle name="40 % - Markeringsfarve2 4 6 4 3" xfId="25196" xr:uid="{00000000-0005-0000-0000-0000715C0000}"/>
    <cellStyle name="40 % - Markeringsfarve2 4 6 4 4" xfId="40160" xr:uid="{00000000-0005-0000-0000-0000725C0000}"/>
    <cellStyle name="40 % - Markeringsfarve2 4 6 5" xfId="14272" xr:uid="{00000000-0005-0000-0000-0000735C0000}"/>
    <cellStyle name="40 % - Markeringsfarve2 4 6 5 2" xfId="30551" xr:uid="{00000000-0005-0000-0000-0000745C0000}"/>
    <cellStyle name="40 % - Markeringsfarve2 4 6 5 3" xfId="45511" xr:uid="{00000000-0005-0000-0000-0000755C0000}"/>
    <cellStyle name="40 % - Markeringsfarve2 4 6 6" xfId="23549" xr:uid="{00000000-0005-0000-0000-0000765C0000}"/>
    <cellStyle name="40 % - Markeringsfarve2 4 6 7" xfId="38514" xr:uid="{00000000-0005-0000-0000-0000775C0000}"/>
    <cellStyle name="40 % - Markeringsfarve2 4 7" xfId="5790" xr:uid="{00000000-0005-0000-0000-0000785C0000}"/>
    <cellStyle name="40 % - Markeringsfarve2 4 7 2" xfId="9737" xr:uid="{00000000-0005-0000-0000-0000795C0000}"/>
    <cellStyle name="40 % - Markeringsfarve2 4 7 2 2" xfId="17591" xr:uid="{00000000-0005-0000-0000-00007A5C0000}"/>
    <cellStyle name="40 % - Markeringsfarve2 4 7 2 2 2" xfId="33867" xr:uid="{00000000-0005-0000-0000-00007B5C0000}"/>
    <cellStyle name="40 % - Markeringsfarve2 4 7 2 2 3" xfId="48826" xr:uid="{00000000-0005-0000-0000-00007C5C0000}"/>
    <cellStyle name="40 % - Markeringsfarve2 4 7 2 3" xfId="26865" xr:uid="{00000000-0005-0000-0000-00007D5C0000}"/>
    <cellStyle name="40 % - Markeringsfarve2 4 7 2 4" xfId="41829" xr:uid="{00000000-0005-0000-0000-00007E5C0000}"/>
    <cellStyle name="40 % - Markeringsfarve2 4 7 3" xfId="14275" xr:uid="{00000000-0005-0000-0000-00007F5C0000}"/>
    <cellStyle name="40 % - Markeringsfarve2 4 7 3 2" xfId="30554" xr:uid="{00000000-0005-0000-0000-0000805C0000}"/>
    <cellStyle name="40 % - Markeringsfarve2 4 7 3 3" xfId="45514" xr:uid="{00000000-0005-0000-0000-0000815C0000}"/>
    <cellStyle name="40 % - Markeringsfarve2 4 7 4" xfId="23552" xr:uid="{00000000-0005-0000-0000-0000825C0000}"/>
    <cellStyle name="40 % - Markeringsfarve2 4 7 5" xfId="38517" xr:uid="{00000000-0005-0000-0000-0000835C0000}"/>
    <cellStyle name="40 % - Markeringsfarve2 4 8" xfId="5791" xr:uid="{00000000-0005-0000-0000-0000845C0000}"/>
    <cellStyle name="40 % - Markeringsfarve2 4 8 2" xfId="8965" xr:uid="{00000000-0005-0000-0000-0000855C0000}"/>
    <cellStyle name="40 % - Markeringsfarve2 4 8 2 2" xfId="16829" xr:uid="{00000000-0005-0000-0000-0000865C0000}"/>
    <cellStyle name="40 % - Markeringsfarve2 4 8 2 2 2" xfId="33105" xr:uid="{00000000-0005-0000-0000-0000875C0000}"/>
    <cellStyle name="40 % - Markeringsfarve2 4 8 2 2 3" xfId="48064" xr:uid="{00000000-0005-0000-0000-0000885C0000}"/>
    <cellStyle name="40 % - Markeringsfarve2 4 8 2 3" xfId="26103" xr:uid="{00000000-0005-0000-0000-0000895C0000}"/>
    <cellStyle name="40 % - Markeringsfarve2 4 8 2 4" xfId="41067" xr:uid="{00000000-0005-0000-0000-00008A5C0000}"/>
    <cellStyle name="40 % - Markeringsfarve2 4 8 3" xfId="14276" xr:uid="{00000000-0005-0000-0000-00008B5C0000}"/>
    <cellStyle name="40 % - Markeringsfarve2 4 8 3 2" xfId="30555" xr:uid="{00000000-0005-0000-0000-00008C5C0000}"/>
    <cellStyle name="40 % - Markeringsfarve2 4 8 3 3" xfId="45515" xr:uid="{00000000-0005-0000-0000-00008D5C0000}"/>
    <cellStyle name="40 % - Markeringsfarve2 4 8 4" xfId="23553" xr:uid="{00000000-0005-0000-0000-00008E5C0000}"/>
    <cellStyle name="40 % - Markeringsfarve2 4 8 5" xfId="38518" xr:uid="{00000000-0005-0000-0000-00008F5C0000}"/>
    <cellStyle name="40 % - Markeringsfarve2 4 9" xfId="8052" xr:uid="{00000000-0005-0000-0000-0000905C0000}"/>
    <cellStyle name="40 % - Markeringsfarve2 4 9 2" xfId="15917" xr:uid="{00000000-0005-0000-0000-0000915C0000}"/>
    <cellStyle name="40 % - Markeringsfarve2 4 9 2 2" xfId="32193" xr:uid="{00000000-0005-0000-0000-0000925C0000}"/>
    <cellStyle name="40 % - Markeringsfarve2 4 9 2 3" xfId="47152" xr:uid="{00000000-0005-0000-0000-0000935C0000}"/>
    <cellStyle name="40 % - Markeringsfarve2 4 9 3" xfId="25191" xr:uid="{00000000-0005-0000-0000-0000945C0000}"/>
    <cellStyle name="40 % - Markeringsfarve2 4 9 4" xfId="40155" xr:uid="{00000000-0005-0000-0000-0000955C0000}"/>
    <cellStyle name="40 % - Markeringsfarve2 5" xfId="5792" xr:uid="{00000000-0005-0000-0000-0000965C0000}"/>
    <cellStyle name="40 % - Markeringsfarve2 5 10" xfId="14277" xr:uid="{00000000-0005-0000-0000-0000975C0000}"/>
    <cellStyle name="40 % - Markeringsfarve2 5 10 2" xfId="30556" xr:uid="{00000000-0005-0000-0000-0000985C0000}"/>
    <cellStyle name="40 % - Markeringsfarve2 5 10 3" xfId="45516" xr:uid="{00000000-0005-0000-0000-0000995C0000}"/>
    <cellStyle name="40 % - Markeringsfarve2 5 11" xfId="23554" xr:uid="{00000000-0005-0000-0000-00009A5C0000}"/>
    <cellStyle name="40 % - Markeringsfarve2 5 12" xfId="38519" xr:uid="{00000000-0005-0000-0000-00009B5C0000}"/>
    <cellStyle name="40 % - Markeringsfarve2 5 2" xfId="5793" xr:uid="{00000000-0005-0000-0000-00009C5C0000}"/>
    <cellStyle name="40 % - Markeringsfarve2 5 2 2" xfId="5794" xr:uid="{00000000-0005-0000-0000-00009D5C0000}"/>
    <cellStyle name="40 % - Markeringsfarve2 5 2 2 2" xfId="9894" xr:uid="{00000000-0005-0000-0000-00009E5C0000}"/>
    <cellStyle name="40 % - Markeringsfarve2 5 2 2 2 2" xfId="17749" xr:uid="{00000000-0005-0000-0000-00009F5C0000}"/>
    <cellStyle name="40 % - Markeringsfarve2 5 2 2 2 2 2" xfId="34025" xr:uid="{00000000-0005-0000-0000-0000A05C0000}"/>
    <cellStyle name="40 % - Markeringsfarve2 5 2 2 2 2 3" xfId="48984" xr:uid="{00000000-0005-0000-0000-0000A15C0000}"/>
    <cellStyle name="40 % - Markeringsfarve2 5 2 2 2 3" xfId="27023" xr:uid="{00000000-0005-0000-0000-0000A25C0000}"/>
    <cellStyle name="40 % - Markeringsfarve2 5 2 2 2 4" xfId="41987" xr:uid="{00000000-0005-0000-0000-0000A35C0000}"/>
    <cellStyle name="40 % - Markeringsfarve2 5 2 2 3" xfId="14279" xr:uid="{00000000-0005-0000-0000-0000A45C0000}"/>
    <cellStyle name="40 % - Markeringsfarve2 5 2 2 3 2" xfId="30558" xr:uid="{00000000-0005-0000-0000-0000A55C0000}"/>
    <cellStyle name="40 % - Markeringsfarve2 5 2 2 3 3" xfId="45518" xr:uid="{00000000-0005-0000-0000-0000A65C0000}"/>
    <cellStyle name="40 % - Markeringsfarve2 5 2 2 4" xfId="23556" xr:uid="{00000000-0005-0000-0000-0000A75C0000}"/>
    <cellStyle name="40 % - Markeringsfarve2 5 2 2 5" xfId="38521" xr:uid="{00000000-0005-0000-0000-0000A85C0000}"/>
    <cellStyle name="40 % - Markeringsfarve2 5 2 3" xfId="5795" xr:uid="{00000000-0005-0000-0000-0000A95C0000}"/>
    <cellStyle name="40 % - Markeringsfarve2 5 2 3 2" xfId="9125" xr:uid="{00000000-0005-0000-0000-0000AA5C0000}"/>
    <cellStyle name="40 % - Markeringsfarve2 5 2 3 2 2" xfId="16989" xr:uid="{00000000-0005-0000-0000-0000AB5C0000}"/>
    <cellStyle name="40 % - Markeringsfarve2 5 2 3 2 2 2" xfId="33265" xr:uid="{00000000-0005-0000-0000-0000AC5C0000}"/>
    <cellStyle name="40 % - Markeringsfarve2 5 2 3 2 2 3" xfId="48224" xr:uid="{00000000-0005-0000-0000-0000AD5C0000}"/>
    <cellStyle name="40 % - Markeringsfarve2 5 2 3 2 3" xfId="26263" xr:uid="{00000000-0005-0000-0000-0000AE5C0000}"/>
    <cellStyle name="40 % - Markeringsfarve2 5 2 3 2 4" xfId="41227" xr:uid="{00000000-0005-0000-0000-0000AF5C0000}"/>
    <cellStyle name="40 % - Markeringsfarve2 5 2 3 3" xfId="14280" xr:uid="{00000000-0005-0000-0000-0000B05C0000}"/>
    <cellStyle name="40 % - Markeringsfarve2 5 2 3 3 2" xfId="30559" xr:uid="{00000000-0005-0000-0000-0000B15C0000}"/>
    <cellStyle name="40 % - Markeringsfarve2 5 2 3 3 3" xfId="45519" xr:uid="{00000000-0005-0000-0000-0000B25C0000}"/>
    <cellStyle name="40 % - Markeringsfarve2 5 2 3 4" xfId="23557" xr:uid="{00000000-0005-0000-0000-0000B35C0000}"/>
    <cellStyle name="40 % - Markeringsfarve2 5 2 3 5" xfId="38522" xr:uid="{00000000-0005-0000-0000-0000B45C0000}"/>
    <cellStyle name="40 % - Markeringsfarve2 5 2 4" xfId="8059" xr:uid="{00000000-0005-0000-0000-0000B55C0000}"/>
    <cellStyle name="40 % - Markeringsfarve2 5 2 4 2" xfId="15924" xr:uid="{00000000-0005-0000-0000-0000B65C0000}"/>
    <cellStyle name="40 % - Markeringsfarve2 5 2 4 2 2" xfId="32200" xr:uid="{00000000-0005-0000-0000-0000B75C0000}"/>
    <cellStyle name="40 % - Markeringsfarve2 5 2 4 2 3" xfId="47159" xr:uid="{00000000-0005-0000-0000-0000B85C0000}"/>
    <cellStyle name="40 % - Markeringsfarve2 5 2 4 3" xfId="25198" xr:uid="{00000000-0005-0000-0000-0000B95C0000}"/>
    <cellStyle name="40 % - Markeringsfarve2 5 2 4 4" xfId="40162" xr:uid="{00000000-0005-0000-0000-0000BA5C0000}"/>
    <cellStyle name="40 % - Markeringsfarve2 5 2 5" xfId="14278" xr:uid="{00000000-0005-0000-0000-0000BB5C0000}"/>
    <cellStyle name="40 % - Markeringsfarve2 5 2 5 2" xfId="30557" xr:uid="{00000000-0005-0000-0000-0000BC5C0000}"/>
    <cellStyle name="40 % - Markeringsfarve2 5 2 5 3" xfId="45517" xr:uid="{00000000-0005-0000-0000-0000BD5C0000}"/>
    <cellStyle name="40 % - Markeringsfarve2 5 2 6" xfId="23555" xr:uid="{00000000-0005-0000-0000-0000BE5C0000}"/>
    <cellStyle name="40 % - Markeringsfarve2 5 2 7" xfId="38520" xr:uid="{00000000-0005-0000-0000-0000BF5C0000}"/>
    <cellStyle name="40 % - Markeringsfarve2 5 3" xfId="5796" xr:uid="{00000000-0005-0000-0000-0000C05C0000}"/>
    <cellStyle name="40 % - Markeringsfarve2 5 3 2" xfId="5797" xr:uid="{00000000-0005-0000-0000-0000C15C0000}"/>
    <cellStyle name="40 % - Markeringsfarve2 5 3 2 2" xfId="10002" xr:uid="{00000000-0005-0000-0000-0000C25C0000}"/>
    <cellStyle name="40 % - Markeringsfarve2 5 3 2 2 2" xfId="17857" xr:uid="{00000000-0005-0000-0000-0000C35C0000}"/>
    <cellStyle name="40 % - Markeringsfarve2 5 3 2 2 2 2" xfId="34133" xr:uid="{00000000-0005-0000-0000-0000C45C0000}"/>
    <cellStyle name="40 % - Markeringsfarve2 5 3 2 2 2 3" xfId="49092" xr:uid="{00000000-0005-0000-0000-0000C55C0000}"/>
    <cellStyle name="40 % - Markeringsfarve2 5 3 2 2 3" xfId="27131" xr:uid="{00000000-0005-0000-0000-0000C65C0000}"/>
    <cellStyle name="40 % - Markeringsfarve2 5 3 2 2 4" xfId="42095" xr:uid="{00000000-0005-0000-0000-0000C75C0000}"/>
    <cellStyle name="40 % - Markeringsfarve2 5 3 2 3" xfId="14282" xr:uid="{00000000-0005-0000-0000-0000C85C0000}"/>
    <cellStyle name="40 % - Markeringsfarve2 5 3 2 3 2" xfId="30561" xr:uid="{00000000-0005-0000-0000-0000C95C0000}"/>
    <cellStyle name="40 % - Markeringsfarve2 5 3 2 3 3" xfId="45521" xr:uid="{00000000-0005-0000-0000-0000CA5C0000}"/>
    <cellStyle name="40 % - Markeringsfarve2 5 3 2 4" xfId="23559" xr:uid="{00000000-0005-0000-0000-0000CB5C0000}"/>
    <cellStyle name="40 % - Markeringsfarve2 5 3 2 5" xfId="38524" xr:uid="{00000000-0005-0000-0000-0000CC5C0000}"/>
    <cellStyle name="40 % - Markeringsfarve2 5 3 3" xfId="5798" xr:uid="{00000000-0005-0000-0000-0000CD5C0000}"/>
    <cellStyle name="40 % - Markeringsfarve2 5 3 3 2" xfId="9233" xr:uid="{00000000-0005-0000-0000-0000CE5C0000}"/>
    <cellStyle name="40 % - Markeringsfarve2 5 3 3 2 2" xfId="17097" xr:uid="{00000000-0005-0000-0000-0000CF5C0000}"/>
    <cellStyle name="40 % - Markeringsfarve2 5 3 3 2 2 2" xfId="33373" xr:uid="{00000000-0005-0000-0000-0000D05C0000}"/>
    <cellStyle name="40 % - Markeringsfarve2 5 3 3 2 2 3" xfId="48332" xr:uid="{00000000-0005-0000-0000-0000D15C0000}"/>
    <cellStyle name="40 % - Markeringsfarve2 5 3 3 2 3" xfId="26371" xr:uid="{00000000-0005-0000-0000-0000D25C0000}"/>
    <cellStyle name="40 % - Markeringsfarve2 5 3 3 2 4" xfId="41335" xr:uid="{00000000-0005-0000-0000-0000D35C0000}"/>
    <cellStyle name="40 % - Markeringsfarve2 5 3 3 3" xfId="14283" xr:uid="{00000000-0005-0000-0000-0000D45C0000}"/>
    <cellStyle name="40 % - Markeringsfarve2 5 3 3 3 2" xfId="30562" xr:uid="{00000000-0005-0000-0000-0000D55C0000}"/>
    <cellStyle name="40 % - Markeringsfarve2 5 3 3 3 3" xfId="45522" xr:uid="{00000000-0005-0000-0000-0000D65C0000}"/>
    <cellStyle name="40 % - Markeringsfarve2 5 3 3 4" xfId="23560" xr:uid="{00000000-0005-0000-0000-0000D75C0000}"/>
    <cellStyle name="40 % - Markeringsfarve2 5 3 3 5" xfId="38525" xr:uid="{00000000-0005-0000-0000-0000D85C0000}"/>
    <cellStyle name="40 % - Markeringsfarve2 5 3 4" xfId="8060" xr:uid="{00000000-0005-0000-0000-0000D95C0000}"/>
    <cellStyle name="40 % - Markeringsfarve2 5 3 4 2" xfId="15925" xr:uid="{00000000-0005-0000-0000-0000DA5C0000}"/>
    <cellStyle name="40 % - Markeringsfarve2 5 3 4 2 2" xfId="32201" xr:uid="{00000000-0005-0000-0000-0000DB5C0000}"/>
    <cellStyle name="40 % - Markeringsfarve2 5 3 4 2 3" xfId="47160" xr:uid="{00000000-0005-0000-0000-0000DC5C0000}"/>
    <cellStyle name="40 % - Markeringsfarve2 5 3 4 3" xfId="25199" xr:uid="{00000000-0005-0000-0000-0000DD5C0000}"/>
    <cellStyle name="40 % - Markeringsfarve2 5 3 4 4" xfId="40163" xr:uid="{00000000-0005-0000-0000-0000DE5C0000}"/>
    <cellStyle name="40 % - Markeringsfarve2 5 3 5" xfId="14281" xr:uid="{00000000-0005-0000-0000-0000DF5C0000}"/>
    <cellStyle name="40 % - Markeringsfarve2 5 3 5 2" xfId="30560" xr:uid="{00000000-0005-0000-0000-0000E05C0000}"/>
    <cellStyle name="40 % - Markeringsfarve2 5 3 5 3" xfId="45520" xr:uid="{00000000-0005-0000-0000-0000E15C0000}"/>
    <cellStyle name="40 % - Markeringsfarve2 5 3 6" xfId="23558" xr:uid="{00000000-0005-0000-0000-0000E25C0000}"/>
    <cellStyle name="40 % - Markeringsfarve2 5 3 7" xfId="38523" xr:uid="{00000000-0005-0000-0000-0000E35C0000}"/>
    <cellStyle name="40 % - Markeringsfarve2 5 4" xfId="5799" xr:uid="{00000000-0005-0000-0000-0000E45C0000}"/>
    <cellStyle name="40 % - Markeringsfarve2 5 4 2" xfId="5800" xr:uid="{00000000-0005-0000-0000-0000E55C0000}"/>
    <cellStyle name="40 % - Markeringsfarve2 5 4 2 2" xfId="10132" xr:uid="{00000000-0005-0000-0000-0000E65C0000}"/>
    <cellStyle name="40 % - Markeringsfarve2 5 4 2 2 2" xfId="17987" xr:uid="{00000000-0005-0000-0000-0000E75C0000}"/>
    <cellStyle name="40 % - Markeringsfarve2 5 4 2 2 2 2" xfId="34263" xr:uid="{00000000-0005-0000-0000-0000E85C0000}"/>
    <cellStyle name="40 % - Markeringsfarve2 5 4 2 2 2 3" xfId="49222" xr:uid="{00000000-0005-0000-0000-0000E95C0000}"/>
    <cellStyle name="40 % - Markeringsfarve2 5 4 2 2 3" xfId="27261" xr:uid="{00000000-0005-0000-0000-0000EA5C0000}"/>
    <cellStyle name="40 % - Markeringsfarve2 5 4 2 2 4" xfId="42225" xr:uid="{00000000-0005-0000-0000-0000EB5C0000}"/>
    <cellStyle name="40 % - Markeringsfarve2 5 4 2 3" xfId="14285" xr:uid="{00000000-0005-0000-0000-0000EC5C0000}"/>
    <cellStyle name="40 % - Markeringsfarve2 5 4 2 3 2" xfId="30564" xr:uid="{00000000-0005-0000-0000-0000ED5C0000}"/>
    <cellStyle name="40 % - Markeringsfarve2 5 4 2 3 3" xfId="45524" xr:uid="{00000000-0005-0000-0000-0000EE5C0000}"/>
    <cellStyle name="40 % - Markeringsfarve2 5 4 2 4" xfId="23562" xr:uid="{00000000-0005-0000-0000-0000EF5C0000}"/>
    <cellStyle name="40 % - Markeringsfarve2 5 4 2 5" xfId="38527" xr:uid="{00000000-0005-0000-0000-0000F05C0000}"/>
    <cellStyle name="40 % - Markeringsfarve2 5 4 3" xfId="5801" xr:uid="{00000000-0005-0000-0000-0000F15C0000}"/>
    <cellStyle name="40 % - Markeringsfarve2 5 4 3 2" xfId="9409" xr:uid="{00000000-0005-0000-0000-0000F25C0000}"/>
    <cellStyle name="40 % - Markeringsfarve2 5 4 3 2 2" xfId="17272" xr:uid="{00000000-0005-0000-0000-0000F35C0000}"/>
    <cellStyle name="40 % - Markeringsfarve2 5 4 3 2 2 2" xfId="33548" xr:uid="{00000000-0005-0000-0000-0000F45C0000}"/>
    <cellStyle name="40 % - Markeringsfarve2 5 4 3 2 2 3" xfId="48507" xr:uid="{00000000-0005-0000-0000-0000F55C0000}"/>
    <cellStyle name="40 % - Markeringsfarve2 5 4 3 2 3" xfId="26546" xr:uid="{00000000-0005-0000-0000-0000F65C0000}"/>
    <cellStyle name="40 % - Markeringsfarve2 5 4 3 2 4" xfId="41510" xr:uid="{00000000-0005-0000-0000-0000F75C0000}"/>
    <cellStyle name="40 % - Markeringsfarve2 5 4 3 3" xfId="14286" xr:uid="{00000000-0005-0000-0000-0000F85C0000}"/>
    <cellStyle name="40 % - Markeringsfarve2 5 4 3 3 2" xfId="30565" xr:uid="{00000000-0005-0000-0000-0000F95C0000}"/>
    <cellStyle name="40 % - Markeringsfarve2 5 4 3 3 3" xfId="45525" xr:uid="{00000000-0005-0000-0000-0000FA5C0000}"/>
    <cellStyle name="40 % - Markeringsfarve2 5 4 3 4" xfId="23563" xr:uid="{00000000-0005-0000-0000-0000FB5C0000}"/>
    <cellStyle name="40 % - Markeringsfarve2 5 4 3 5" xfId="38528" xr:uid="{00000000-0005-0000-0000-0000FC5C0000}"/>
    <cellStyle name="40 % - Markeringsfarve2 5 4 4" xfId="8061" xr:uid="{00000000-0005-0000-0000-0000FD5C0000}"/>
    <cellStyle name="40 % - Markeringsfarve2 5 4 4 2" xfId="15926" xr:uid="{00000000-0005-0000-0000-0000FE5C0000}"/>
    <cellStyle name="40 % - Markeringsfarve2 5 4 4 2 2" xfId="32202" xr:uid="{00000000-0005-0000-0000-0000FF5C0000}"/>
    <cellStyle name="40 % - Markeringsfarve2 5 4 4 2 3" xfId="47161" xr:uid="{00000000-0005-0000-0000-0000005D0000}"/>
    <cellStyle name="40 % - Markeringsfarve2 5 4 4 3" xfId="25200" xr:uid="{00000000-0005-0000-0000-0000015D0000}"/>
    <cellStyle name="40 % - Markeringsfarve2 5 4 4 4" xfId="40164" xr:uid="{00000000-0005-0000-0000-0000025D0000}"/>
    <cellStyle name="40 % - Markeringsfarve2 5 4 5" xfId="14284" xr:uid="{00000000-0005-0000-0000-0000035D0000}"/>
    <cellStyle name="40 % - Markeringsfarve2 5 4 5 2" xfId="30563" xr:uid="{00000000-0005-0000-0000-0000045D0000}"/>
    <cellStyle name="40 % - Markeringsfarve2 5 4 5 3" xfId="45523" xr:uid="{00000000-0005-0000-0000-0000055D0000}"/>
    <cellStyle name="40 % - Markeringsfarve2 5 4 6" xfId="23561" xr:uid="{00000000-0005-0000-0000-0000065D0000}"/>
    <cellStyle name="40 % - Markeringsfarve2 5 4 7" xfId="38526" xr:uid="{00000000-0005-0000-0000-0000075D0000}"/>
    <cellStyle name="40 % - Markeringsfarve2 5 5" xfId="5802" xr:uid="{00000000-0005-0000-0000-0000085D0000}"/>
    <cellStyle name="40 % - Markeringsfarve2 5 5 2" xfId="5803" xr:uid="{00000000-0005-0000-0000-0000095D0000}"/>
    <cellStyle name="40 % - Markeringsfarve2 5 5 2 2" xfId="10249" xr:uid="{00000000-0005-0000-0000-00000A5D0000}"/>
    <cellStyle name="40 % - Markeringsfarve2 5 5 2 2 2" xfId="18104" xr:uid="{00000000-0005-0000-0000-00000B5D0000}"/>
    <cellStyle name="40 % - Markeringsfarve2 5 5 2 2 2 2" xfId="34380" xr:uid="{00000000-0005-0000-0000-00000C5D0000}"/>
    <cellStyle name="40 % - Markeringsfarve2 5 5 2 2 2 3" xfId="49339" xr:uid="{00000000-0005-0000-0000-00000D5D0000}"/>
    <cellStyle name="40 % - Markeringsfarve2 5 5 2 2 3" xfId="27378" xr:uid="{00000000-0005-0000-0000-00000E5D0000}"/>
    <cellStyle name="40 % - Markeringsfarve2 5 5 2 2 4" xfId="42342" xr:uid="{00000000-0005-0000-0000-00000F5D0000}"/>
    <cellStyle name="40 % - Markeringsfarve2 5 5 2 3" xfId="14288" xr:uid="{00000000-0005-0000-0000-0000105D0000}"/>
    <cellStyle name="40 % - Markeringsfarve2 5 5 2 3 2" xfId="30567" xr:uid="{00000000-0005-0000-0000-0000115D0000}"/>
    <cellStyle name="40 % - Markeringsfarve2 5 5 2 3 3" xfId="45527" xr:uid="{00000000-0005-0000-0000-0000125D0000}"/>
    <cellStyle name="40 % - Markeringsfarve2 5 5 2 4" xfId="23565" xr:uid="{00000000-0005-0000-0000-0000135D0000}"/>
    <cellStyle name="40 % - Markeringsfarve2 5 5 2 5" xfId="38530" xr:uid="{00000000-0005-0000-0000-0000145D0000}"/>
    <cellStyle name="40 % - Markeringsfarve2 5 5 3" xfId="5804" xr:uid="{00000000-0005-0000-0000-0000155D0000}"/>
    <cellStyle name="40 % - Markeringsfarve2 5 5 3 2" xfId="9526" xr:uid="{00000000-0005-0000-0000-0000165D0000}"/>
    <cellStyle name="40 % - Markeringsfarve2 5 5 3 2 2" xfId="17389" xr:uid="{00000000-0005-0000-0000-0000175D0000}"/>
    <cellStyle name="40 % - Markeringsfarve2 5 5 3 2 2 2" xfId="33665" xr:uid="{00000000-0005-0000-0000-0000185D0000}"/>
    <cellStyle name="40 % - Markeringsfarve2 5 5 3 2 2 3" xfId="48624" xr:uid="{00000000-0005-0000-0000-0000195D0000}"/>
    <cellStyle name="40 % - Markeringsfarve2 5 5 3 2 3" xfId="26663" xr:uid="{00000000-0005-0000-0000-00001A5D0000}"/>
    <cellStyle name="40 % - Markeringsfarve2 5 5 3 2 4" xfId="41627" xr:uid="{00000000-0005-0000-0000-00001B5D0000}"/>
    <cellStyle name="40 % - Markeringsfarve2 5 5 3 3" xfId="14289" xr:uid="{00000000-0005-0000-0000-00001C5D0000}"/>
    <cellStyle name="40 % - Markeringsfarve2 5 5 3 3 2" xfId="30568" xr:uid="{00000000-0005-0000-0000-00001D5D0000}"/>
    <cellStyle name="40 % - Markeringsfarve2 5 5 3 3 3" xfId="45528" xr:uid="{00000000-0005-0000-0000-00001E5D0000}"/>
    <cellStyle name="40 % - Markeringsfarve2 5 5 3 4" xfId="23566" xr:uid="{00000000-0005-0000-0000-00001F5D0000}"/>
    <cellStyle name="40 % - Markeringsfarve2 5 5 3 5" xfId="38531" xr:uid="{00000000-0005-0000-0000-0000205D0000}"/>
    <cellStyle name="40 % - Markeringsfarve2 5 5 4" xfId="8062" xr:uid="{00000000-0005-0000-0000-0000215D0000}"/>
    <cellStyle name="40 % - Markeringsfarve2 5 5 4 2" xfId="15927" xr:uid="{00000000-0005-0000-0000-0000225D0000}"/>
    <cellStyle name="40 % - Markeringsfarve2 5 5 4 2 2" xfId="32203" xr:uid="{00000000-0005-0000-0000-0000235D0000}"/>
    <cellStyle name="40 % - Markeringsfarve2 5 5 4 2 3" xfId="47162" xr:uid="{00000000-0005-0000-0000-0000245D0000}"/>
    <cellStyle name="40 % - Markeringsfarve2 5 5 4 3" xfId="25201" xr:uid="{00000000-0005-0000-0000-0000255D0000}"/>
    <cellStyle name="40 % - Markeringsfarve2 5 5 4 4" xfId="40165" xr:uid="{00000000-0005-0000-0000-0000265D0000}"/>
    <cellStyle name="40 % - Markeringsfarve2 5 5 5" xfId="14287" xr:uid="{00000000-0005-0000-0000-0000275D0000}"/>
    <cellStyle name="40 % - Markeringsfarve2 5 5 5 2" xfId="30566" xr:uid="{00000000-0005-0000-0000-0000285D0000}"/>
    <cellStyle name="40 % - Markeringsfarve2 5 5 5 3" xfId="45526" xr:uid="{00000000-0005-0000-0000-0000295D0000}"/>
    <cellStyle name="40 % - Markeringsfarve2 5 5 6" xfId="23564" xr:uid="{00000000-0005-0000-0000-00002A5D0000}"/>
    <cellStyle name="40 % - Markeringsfarve2 5 5 7" xfId="38529" xr:uid="{00000000-0005-0000-0000-00002B5D0000}"/>
    <cellStyle name="40 % - Markeringsfarve2 5 6" xfId="5805" xr:uid="{00000000-0005-0000-0000-00002C5D0000}"/>
    <cellStyle name="40 % - Markeringsfarve2 5 6 2" xfId="5806" xr:uid="{00000000-0005-0000-0000-00002D5D0000}"/>
    <cellStyle name="40 % - Markeringsfarve2 5 6 2 2" xfId="10356" xr:uid="{00000000-0005-0000-0000-00002E5D0000}"/>
    <cellStyle name="40 % - Markeringsfarve2 5 6 2 2 2" xfId="18211" xr:uid="{00000000-0005-0000-0000-00002F5D0000}"/>
    <cellStyle name="40 % - Markeringsfarve2 5 6 2 2 2 2" xfId="34487" xr:uid="{00000000-0005-0000-0000-0000305D0000}"/>
    <cellStyle name="40 % - Markeringsfarve2 5 6 2 2 2 3" xfId="49446" xr:uid="{00000000-0005-0000-0000-0000315D0000}"/>
    <cellStyle name="40 % - Markeringsfarve2 5 6 2 2 3" xfId="27485" xr:uid="{00000000-0005-0000-0000-0000325D0000}"/>
    <cellStyle name="40 % - Markeringsfarve2 5 6 2 2 4" xfId="42449" xr:uid="{00000000-0005-0000-0000-0000335D0000}"/>
    <cellStyle name="40 % - Markeringsfarve2 5 6 2 3" xfId="14291" xr:uid="{00000000-0005-0000-0000-0000345D0000}"/>
    <cellStyle name="40 % - Markeringsfarve2 5 6 2 3 2" xfId="30570" xr:uid="{00000000-0005-0000-0000-0000355D0000}"/>
    <cellStyle name="40 % - Markeringsfarve2 5 6 2 3 3" xfId="45530" xr:uid="{00000000-0005-0000-0000-0000365D0000}"/>
    <cellStyle name="40 % - Markeringsfarve2 5 6 2 4" xfId="23568" xr:uid="{00000000-0005-0000-0000-0000375D0000}"/>
    <cellStyle name="40 % - Markeringsfarve2 5 6 2 5" xfId="38533" xr:uid="{00000000-0005-0000-0000-0000385D0000}"/>
    <cellStyle name="40 % - Markeringsfarve2 5 6 3" xfId="5807" xr:uid="{00000000-0005-0000-0000-0000395D0000}"/>
    <cellStyle name="40 % - Markeringsfarve2 5 6 3 2" xfId="9634" xr:uid="{00000000-0005-0000-0000-00003A5D0000}"/>
    <cellStyle name="40 % - Markeringsfarve2 5 6 3 2 2" xfId="17497" xr:uid="{00000000-0005-0000-0000-00003B5D0000}"/>
    <cellStyle name="40 % - Markeringsfarve2 5 6 3 2 2 2" xfId="33773" xr:uid="{00000000-0005-0000-0000-00003C5D0000}"/>
    <cellStyle name="40 % - Markeringsfarve2 5 6 3 2 2 3" xfId="48732" xr:uid="{00000000-0005-0000-0000-00003D5D0000}"/>
    <cellStyle name="40 % - Markeringsfarve2 5 6 3 2 3" xfId="26771" xr:uid="{00000000-0005-0000-0000-00003E5D0000}"/>
    <cellStyle name="40 % - Markeringsfarve2 5 6 3 2 4" xfId="41735" xr:uid="{00000000-0005-0000-0000-00003F5D0000}"/>
    <cellStyle name="40 % - Markeringsfarve2 5 6 3 3" xfId="14292" xr:uid="{00000000-0005-0000-0000-0000405D0000}"/>
    <cellStyle name="40 % - Markeringsfarve2 5 6 3 3 2" xfId="30571" xr:uid="{00000000-0005-0000-0000-0000415D0000}"/>
    <cellStyle name="40 % - Markeringsfarve2 5 6 3 3 3" xfId="45531" xr:uid="{00000000-0005-0000-0000-0000425D0000}"/>
    <cellStyle name="40 % - Markeringsfarve2 5 6 3 4" xfId="23569" xr:uid="{00000000-0005-0000-0000-0000435D0000}"/>
    <cellStyle name="40 % - Markeringsfarve2 5 6 3 5" xfId="38534" xr:uid="{00000000-0005-0000-0000-0000445D0000}"/>
    <cellStyle name="40 % - Markeringsfarve2 5 6 4" xfId="8063" xr:uid="{00000000-0005-0000-0000-0000455D0000}"/>
    <cellStyle name="40 % - Markeringsfarve2 5 6 4 2" xfId="15928" xr:uid="{00000000-0005-0000-0000-0000465D0000}"/>
    <cellStyle name="40 % - Markeringsfarve2 5 6 4 2 2" xfId="32204" xr:uid="{00000000-0005-0000-0000-0000475D0000}"/>
    <cellStyle name="40 % - Markeringsfarve2 5 6 4 2 3" xfId="47163" xr:uid="{00000000-0005-0000-0000-0000485D0000}"/>
    <cellStyle name="40 % - Markeringsfarve2 5 6 4 3" xfId="25202" xr:uid="{00000000-0005-0000-0000-0000495D0000}"/>
    <cellStyle name="40 % - Markeringsfarve2 5 6 4 4" xfId="40166" xr:uid="{00000000-0005-0000-0000-00004A5D0000}"/>
    <cellStyle name="40 % - Markeringsfarve2 5 6 5" xfId="14290" xr:uid="{00000000-0005-0000-0000-00004B5D0000}"/>
    <cellStyle name="40 % - Markeringsfarve2 5 6 5 2" xfId="30569" xr:uid="{00000000-0005-0000-0000-00004C5D0000}"/>
    <cellStyle name="40 % - Markeringsfarve2 5 6 5 3" xfId="45529" xr:uid="{00000000-0005-0000-0000-00004D5D0000}"/>
    <cellStyle name="40 % - Markeringsfarve2 5 6 6" xfId="23567" xr:uid="{00000000-0005-0000-0000-00004E5D0000}"/>
    <cellStyle name="40 % - Markeringsfarve2 5 6 7" xfId="38532" xr:uid="{00000000-0005-0000-0000-00004F5D0000}"/>
    <cellStyle name="40 % - Markeringsfarve2 5 7" xfId="5808" xr:uid="{00000000-0005-0000-0000-0000505D0000}"/>
    <cellStyle name="40 % - Markeringsfarve2 5 7 2" xfId="9776" xr:uid="{00000000-0005-0000-0000-0000515D0000}"/>
    <cellStyle name="40 % - Markeringsfarve2 5 7 2 2" xfId="17630" xr:uid="{00000000-0005-0000-0000-0000525D0000}"/>
    <cellStyle name="40 % - Markeringsfarve2 5 7 2 2 2" xfId="33906" xr:uid="{00000000-0005-0000-0000-0000535D0000}"/>
    <cellStyle name="40 % - Markeringsfarve2 5 7 2 2 3" xfId="48865" xr:uid="{00000000-0005-0000-0000-0000545D0000}"/>
    <cellStyle name="40 % - Markeringsfarve2 5 7 2 3" xfId="26904" xr:uid="{00000000-0005-0000-0000-0000555D0000}"/>
    <cellStyle name="40 % - Markeringsfarve2 5 7 2 4" xfId="41868" xr:uid="{00000000-0005-0000-0000-0000565D0000}"/>
    <cellStyle name="40 % - Markeringsfarve2 5 7 3" xfId="14293" xr:uid="{00000000-0005-0000-0000-0000575D0000}"/>
    <cellStyle name="40 % - Markeringsfarve2 5 7 3 2" xfId="30572" xr:uid="{00000000-0005-0000-0000-0000585D0000}"/>
    <cellStyle name="40 % - Markeringsfarve2 5 7 3 3" xfId="45532" xr:uid="{00000000-0005-0000-0000-0000595D0000}"/>
    <cellStyle name="40 % - Markeringsfarve2 5 7 4" xfId="23570" xr:uid="{00000000-0005-0000-0000-00005A5D0000}"/>
    <cellStyle name="40 % - Markeringsfarve2 5 7 5" xfId="38535" xr:uid="{00000000-0005-0000-0000-00005B5D0000}"/>
    <cellStyle name="40 % - Markeringsfarve2 5 8" xfId="5809" xr:uid="{00000000-0005-0000-0000-00005C5D0000}"/>
    <cellStyle name="40 % - Markeringsfarve2 5 8 2" xfId="9004" xr:uid="{00000000-0005-0000-0000-00005D5D0000}"/>
    <cellStyle name="40 % - Markeringsfarve2 5 8 2 2" xfId="16868" xr:uid="{00000000-0005-0000-0000-00005E5D0000}"/>
    <cellStyle name="40 % - Markeringsfarve2 5 8 2 2 2" xfId="33144" xr:uid="{00000000-0005-0000-0000-00005F5D0000}"/>
    <cellStyle name="40 % - Markeringsfarve2 5 8 2 2 3" xfId="48103" xr:uid="{00000000-0005-0000-0000-0000605D0000}"/>
    <cellStyle name="40 % - Markeringsfarve2 5 8 2 3" xfId="26142" xr:uid="{00000000-0005-0000-0000-0000615D0000}"/>
    <cellStyle name="40 % - Markeringsfarve2 5 8 2 4" xfId="41106" xr:uid="{00000000-0005-0000-0000-0000625D0000}"/>
    <cellStyle name="40 % - Markeringsfarve2 5 8 3" xfId="14294" xr:uid="{00000000-0005-0000-0000-0000635D0000}"/>
    <cellStyle name="40 % - Markeringsfarve2 5 8 3 2" xfId="30573" xr:uid="{00000000-0005-0000-0000-0000645D0000}"/>
    <cellStyle name="40 % - Markeringsfarve2 5 8 3 3" xfId="45533" xr:uid="{00000000-0005-0000-0000-0000655D0000}"/>
    <cellStyle name="40 % - Markeringsfarve2 5 8 4" xfId="23571" xr:uid="{00000000-0005-0000-0000-0000665D0000}"/>
    <cellStyle name="40 % - Markeringsfarve2 5 8 5" xfId="38536" xr:uid="{00000000-0005-0000-0000-0000675D0000}"/>
    <cellStyle name="40 % - Markeringsfarve2 5 9" xfId="8058" xr:uid="{00000000-0005-0000-0000-0000685D0000}"/>
    <cellStyle name="40 % - Markeringsfarve2 5 9 2" xfId="15923" xr:uid="{00000000-0005-0000-0000-0000695D0000}"/>
    <cellStyle name="40 % - Markeringsfarve2 5 9 2 2" xfId="32199" xr:uid="{00000000-0005-0000-0000-00006A5D0000}"/>
    <cellStyle name="40 % - Markeringsfarve2 5 9 2 3" xfId="47158" xr:uid="{00000000-0005-0000-0000-00006B5D0000}"/>
    <cellStyle name="40 % - Markeringsfarve2 5 9 3" xfId="25197" xr:uid="{00000000-0005-0000-0000-00006C5D0000}"/>
    <cellStyle name="40 % - Markeringsfarve2 5 9 4" xfId="40161" xr:uid="{00000000-0005-0000-0000-00006D5D0000}"/>
    <cellStyle name="40 % - Markeringsfarve2 6" xfId="5810" xr:uid="{00000000-0005-0000-0000-00006E5D0000}"/>
    <cellStyle name="40 % - Markeringsfarve2 6 2" xfId="5811" xr:uid="{00000000-0005-0000-0000-00006F5D0000}"/>
    <cellStyle name="40 % - Markeringsfarve2 6 2 2" xfId="9816" xr:uid="{00000000-0005-0000-0000-0000705D0000}"/>
    <cellStyle name="40 % - Markeringsfarve2 6 2 2 2" xfId="17671" xr:uid="{00000000-0005-0000-0000-0000715D0000}"/>
    <cellStyle name="40 % - Markeringsfarve2 6 2 2 2 2" xfId="33947" xr:uid="{00000000-0005-0000-0000-0000725D0000}"/>
    <cellStyle name="40 % - Markeringsfarve2 6 2 2 2 3" xfId="48906" xr:uid="{00000000-0005-0000-0000-0000735D0000}"/>
    <cellStyle name="40 % - Markeringsfarve2 6 2 2 3" xfId="26945" xr:uid="{00000000-0005-0000-0000-0000745D0000}"/>
    <cellStyle name="40 % - Markeringsfarve2 6 2 2 4" xfId="41909" xr:uid="{00000000-0005-0000-0000-0000755D0000}"/>
    <cellStyle name="40 % - Markeringsfarve2 6 2 3" xfId="14296" xr:uid="{00000000-0005-0000-0000-0000765D0000}"/>
    <cellStyle name="40 % - Markeringsfarve2 6 2 3 2" xfId="30575" xr:uid="{00000000-0005-0000-0000-0000775D0000}"/>
    <cellStyle name="40 % - Markeringsfarve2 6 2 3 3" xfId="45535" xr:uid="{00000000-0005-0000-0000-0000785D0000}"/>
    <cellStyle name="40 % - Markeringsfarve2 6 2 4" xfId="23573" xr:uid="{00000000-0005-0000-0000-0000795D0000}"/>
    <cellStyle name="40 % - Markeringsfarve2 6 2 5" xfId="38538" xr:uid="{00000000-0005-0000-0000-00007A5D0000}"/>
    <cellStyle name="40 % - Markeringsfarve2 6 3" xfId="5812" xr:uid="{00000000-0005-0000-0000-00007B5D0000}"/>
    <cellStyle name="40 % - Markeringsfarve2 6 3 2" xfId="9047" xr:uid="{00000000-0005-0000-0000-00007C5D0000}"/>
    <cellStyle name="40 % - Markeringsfarve2 6 3 2 2" xfId="16911" xr:uid="{00000000-0005-0000-0000-00007D5D0000}"/>
    <cellStyle name="40 % - Markeringsfarve2 6 3 2 2 2" xfId="33187" xr:uid="{00000000-0005-0000-0000-00007E5D0000}"/>
    <cellStyle name="40 % - Markeringsfarve2 6 3 2 2 3" xfId="48146" xr:uid="{00000000-0005-0000-0000-00007F5D0000}"/>
    <cellStyle name="40 % - Markeringsfarve2 6 3 2 3" xfId="26185" xr:uid="{00000000-0005-0000-0000-0000805D0000}"/>
    <cellStyle name="40 % - Markeringsfarve2 6 3 2 4" xfId="41149" xr:uid="{00000000-0005-0000-0000-0000815D0000}"/>
    <cellStyle name="40 % - Markeringsfarve2 6 3 3" xfId="14297" xr:uid="{00000000-0005-0000-0000-0000825D0000}"/>
    <cellStyle name="40 % - Markeringsfarve2 6 3 3 2" xfId="30576" xr:uid="{00000000-0005-0000-0000-0000835D0000}"/>
    <cellStyle name="40 % - Markeringsfarve2 6 3 3 3" xfId="45536" xr:uid="{00000000-0005-0000-0000-0000845D0000}"/>
    <cellStyle name="40 % - Markeringsfarve2 6 3 4" xfId="23574" xr:uid="{00000000-0005-0000-0000-0000855D0000}"/>
    <cellStyle name="40 % - Markeringsfarve2 6 3 5" xfId="38539" xr:uid="{00000000-0005-0000-0000-0000865D0000}"/>
    <cellStyle name="40 % - Markeringsfarve2 6 4" xfId="8064" xr:uid="{00000000-0005-0000-0000-0000875D0000}"/>
    <cellStyle name="40 % - Markeringsfarve2 6 4 2" xfId="15929" xr:uid="{00000000-0005-0000-0000-0000885D0000}"/>
    <cellStyle name="40 % - Markeringsfarve2 6 4 2 2" xfId="32205" xr:uid="{00000000-0005-0000-0000-0000895D0000}"/>
    <cellStyle name="40 % - Markeringsfarve2 6 4 2 3" xfId="47164" xr:uid="{00000000-0005-0000-0000-00008A5D0000}"/>
    <cellStyle name="40 % - Markeringsfarve2 6 4 3" xfId="25203" xr:uid="{00000000-0005-0000-0000-00008B5D0000}"/>
    <cellStyle name="40 % - Markeringsfarve2 6 4 4" xfId="40167" xr:uid="{00000000-0005-0000-0000-00008C5D0000}"/>
    <cellStyle name="40 % - Markeringsfarve2 6 5" xfId="14295" xr:uid="{00000000-0005-0000-0000-00008D5D0000}"/>
    <cellStyle name="40 % - Markeringsfarve2 6 5 2" xfId="30574" xr:uid="{00000000-0005-0000-0000-00008E5D0000}"/>
    <cellStyle name="40 % - Markeringsfarve2 6 5 3" xfId="45534" xr:uid="{00000000-0005-0000-0000-00008F5D0000}"/>
    <cellStyle name="40 % - Markeringsfarve2 6 6" xfId="23572" xr:uid="{00000000-0005-0000-0000-0000905D0000}"/>
    <cellStyle name="40 % - Markeringsfarve2 6 7" xfId="38537" xr:uid="{00000000-0005-0000-0000-0000915D0000}"/>
    <cellStyle name="40 % - Markeringsfarve2 7" xfId="5813" xr:uid="{00000000-0005-0000-0000-0000925D0000}"/>
    <cellStyle name="40 % - Markeringsfarve2 7 2" xfId="5814" xr:uid="{00000000-0005-0000-0000-0000935D0000}"/>
    <cellStyle name="40 % - Markeringsfarve2 7 2 2" xfId="9994" xr:uid="{00000000-0005-0000-0000-0000945D0000}"/>
    <cellStyle name="40 % - Markeringsfarve2 7 2 2 2" xfId="17849" xr:uid="{00000000-0005-0000-0000-0000955D0000}"/>
    <cellStyle name="40 % - Markeringsfarve2 7 2 2 2 2" xfId="34125" xr:uid="{00000000-0005-0000-0000-0000965D0000}"/>
    <cellStyle name="40 % - Markeringsfarve2 7 2 2 2 3" xfId="49084" xr:uid="{00000000-0005-0000-0000-0000975D0000}"/>
    <cellStyle name="40 % - Markeringsfarve2 7 2 2 3" xfId="27123" xr:uid="{00000000-0005-0000-0000-0000985D0000}"/>
    <cellStyle name="40 % - Markeringsfarve2 7 2 2 4" xfId="42087" xr:uid="{00000000-0005-0000-0000-0000995D0000}"/>
    <cellStyle name="40 % - Markeringsfarve2 7 2 3" xfId="14299" xr:uid="{00000000-0005-0000-0000-00009A5D0000}"/>
    <cellStyle name="40 % - Markeringsfarve2 7 2 3 2" xfId="30578" xr:uid="{00000000-0005-0000-0000-00009B5D0000}"/>
    <cellStyle name="40 % - Markeringsfarve2 7 2 3 3" xfId="45538" xr:uid="{00000000-0005-0000-0000-00009C5D0000}"/>
    <cellStyle name="40 % - Markeringsfarve2 7 2 4" xfId="23576" xr:uid="{00000000-0005-0000-0000-00009D5D0000}"/>
    <cellStyle name="40 % - Markeringsfarve2 7 2 5" xfId="38541" xr:uid="{00000000-0005-0000-0000-00009E5D0000}"/>
    <cellStyle name="40 % - Markeringsfarve2 7 3" xfId="5815" xr:uid="{00000000-0005-0000-0000-00009F5D0000}"/>
    <cellStyle name="40 % - Markeringsfarve2 7 3 2" xfId="9225" xr:uid="{00000000-0005-0000-0000-0000A05D0000}"/>
    <cellStyle name="40 % - Markeringsfarve2 7 3 2 2" xfId="17089" xr:uid="{00000000-0005-0000-0000-0000A15D0000}"/>
    <cellStyle name="40 % - Markeringsfarve2 7 3 2 2 2" xfId="33365" xr:uid="{00000000-0005-0000-0000-0000A25D0000}"/>
    <cellStyle name="40 % - Markeringsfarve2 7 3 2 2 3" xfId="48324" xr:uid="{00000000-0005-0000-0000-0000A35D0000}"/>
    <cellStyle name="40 % - Markeringsfarve2 7 3 2 3" xfId="26363" xr:uid="{00000000-0005-0000-0000-0000A45D0000}"/>
    <cellStyle name="40 % - Markeringsfarve2 7 3 2 4" xfId="41327" xr:uid="{00000000-0005-0000-0000-0000A55D0000}"/>
    <cellStyle name="40 % - Markeringsfarve2 7 3 3" xfId="14300" xr:uid="{00000000-0005-0000-0000-0000A65D0000}"/>
    <cellStyle name="40 % - Markeringsfarve2 7 3 3 2" xfId="30579" xr:uid="{00000000-0005-0000-0000-0000A75D0000}"/>
    <cellStyle name="40 % - Markeringsfarve2 7 3 3 3" xfId="45539" xr:uid="{00000000-0005-0000-0000-0000A85D0000}"/>
    <cellStyle name="40 % - Markeringsfarve2 7 3 4" xfId="23577" xr:uid="{00000000-0005-0000-0000-0000A95D0000}"/>
    <cellStyle name="40 % - Markeringsfarve2 7 3 5" xfId="38542" xr:uid="{00000000-0005-0000-0000-0000AA5D0000}"/>
    <cellStyle name="40 % - Markeringsfarve2 7 4" xfId="8065" xr:uid="{00000000-0005-0000-0000-0000AB5D0000}"/>
    <cellStyle name="40 % - Markeringsfarve2 7 4 2" xfId="15930" xr:uid="{00000000-0005-0000-0000-0000AC5D0000}"/>
    <cellStyle name="40 % - Markeringsfarve2 7 4 2 2" xfId="32206" xr:uid="{00000000-0005-0000-0000-0000AD5D0000}"/>
    <cellStyle name="40 % - Markeringsfarve2 7 4 2 3" xfId="47165" xr:uid="{00000000-0005-0000-0000-0000AE5D0000}"/>
    <cellStyle name="40 % - Markeringsfarve2 7 4 3" xfId="25204" xr:uid="{00000000-0005-0000-0000-0000AF5D0000}"/>
    <cellStyle name="40 % - Markeringsfarve2 7 4 4" xfId="40168" xr:uid="{00000000-0005-0000-0000-0000B05D0000}"/>
    <cellStyle name="40 % - Markeringsfarve2 7 5" xfId="14298" xr:uid="{00000000-0005-0000-0000-0000B15D0000}"/>
    <cellStyle name="40 % - Markeringsfarve2 7 5 2" xfId="30577" xr:uid="{00000000-0005-0000-0000-0000B25D0000}"/>
    <cellStyle name="40 % - Markeringsfarve2 7 5 3" xfId="45537" xr:uid="{00000000-0005-0000-0000-0000B35D0000}"/>
    <cellStyle name="40 % - Markeringsfarve2 7 6" xfId="23575" xr:uid="{00000000-0005-0000-0000-0000B45D0000}"/>
    <cellStyle name="40 % - Markeringsfarve2 7 7" xfId="38540" xr:uid="{00000000-0005-0000-0000-0000B55D0000}"/>
    <cellStyle name="40 % - Markeringsfarve2 8" xfId="5816" xr:uid="{00000000-0005-0000-0000-0000B65D0000}"/>
    <cellStyle name="40 % - Markeringsfarve2 8 2" xfId="5817" xr:uid="{00000000-0005-0000-0000-0000B75D0000}"/>
    <cellStyle name="40 % - Markeringsfarve2 8 2 2" xfId="10054" xr:uid="{00000000-0005-0000-0000-0000B85D0000}"/>
    <cellStyle name="40 % - Markeringsfarve2 8 2 2 2" xfId="17909" xr:uid="{00000000-0005-0000-0000-0000B95D0000}"/>
    <cellStyle name="40 % - Markeringsfarve2 8 2 2 2 2" xfId="34185" xr:uid="{00000000-0005-0000-0000-0000BA5D0000}"/>
    <cellStyle name="40 % - Markeringsfarve2 8 2 2 2 3" xfId="49144" xr:uid="{00000000-0005-0000-0000-0000BB5D0000}"/>
    <cellStyle name="40 % - Markeringsfarve2 8 2 2 3" xfId="27183" xr:uid="{00000000-0005-0000-0000-0000BC5D0000}"/>
    <cellStyle name="40 % - Markeringsfarve2 8 2 2 4" xfId="42147" xr:uid="{00000000-0005-0000-0000-0000BD5D0000}"/>
    <cellStyle name="40 % - Markeringsfarve2 8 2 3" xfId="14302" xr:uid="{00000000-0005-0000-0000-0000BE5D0000}"/>
    <cellStyle name="40 % - Markeringsfarve2 8 2 3 2" xfId="30581" xr:uid="{00000000-0005-0000-0000-0000BF5D0000}"/>
    <cellStyle name="40 % - Markeringsfarve2 8 2 3 3" xfId="45541" xr:uid="{00000000-0005-0000-0000-0000C05D0000}"/>
    <cellStyle name="40 % - Markeringsfarve2 8 2 4" xfId="23579" xr:uid="{00000000-0005-0000-0000-0000C15D0000}"/>
    <cellStyle name="40 % - Markeringsfarve2 8 2 5" xfId="38544" xr:uid="{00000000-0005-0000-0000-0000C25D0000}"/>
    <cellStyle name="40 % - Markeringsfarve2 8 3" xfId="5818" xr:uid="{00000000-0005-0000-0000-0000C35D0000}"/>
    <cellStyle name="40 % - Markeringsfarve2 8 3 2" xfId="9331" xr:uid="{00000000-0005-0000-0000-0000C45D0000}"/>
    <cellStyle name="40 % - Markeringsfarve2 8 3 2 2" xfId="17194" xr:uid="{00000000-0005-0000-0000-0000C55D0000}"/>
    <cellStyle name="40 % - Markeringsfarve2 8 3 2 2 2" xfId="33470" xr:uid="{00000000-0005-0000-0000-0000C65D0000}"/>
    <cellStyle name="40 % - Markeringsfarve2 8 3 2 2 3" xfId="48429" xr:uid="{00000000-0005-0000-0000-0000C75D0000}"/>
    <cellStyle name="40 % - Markeringsfarve2 8 3 2 3" xfId="26468" xr:uid="{00000000-0005-0000-0000-0000C85D0000}"/>
    <cellStyle name="40 % - Markeringsfarve2 8 3 2 4" xfId="41432" xr:uid="{00000000-0005-0000-0000-0000C95D0000}"/>
    <cellStyle name="40 % - Markeringsfarve2 8 3 3" xfId="14303" xr:uid="{00000000-0005-0000-0000-0000CA5D0000}"/>
    <cellStyle name="40 % - Markeringsfarve2 8 3 3 2" xfId="30582" xr:uid="{00000000-0005-0000-0000-0000CB5D0000}"/>
    <cellStyle name="40 % - Markeringsfarve2 8 3 3 3" xfId="45542" xr:uid="{00000000-0005-0000-0000-0000CC5D0000}"/>
    <cellStyle name="40 % - Markeringsfarve2 8 3 4" xfId="23580" xr:uid="{00000000-0005-0000-0000-0000CD5D0000}"/>
    <cellStyle name="40 % - Markeringsfarve2 8 3 5" xfId="38545" xr:uid="{00000000-0005-0000-0000-0000CE5D0000}"/>
    <cellStyle name="40 % - Markeringsfarve2 8 4" xfId="8066" xr:uid="{00000000-0005-0000-0000-0000CF5D0000}"/>
    <cellStyle name="40 % - Markeringsfarve2 8 4 2" xfId="15931" xr:uid="{00000000-0005-0000-0000-0000D05D0000}"/>
    <cellStyle name="40 % - Markeringsfarve2 8 4 2 2" xfId="32207" xr:uid="{00000000-0005-0000-0000-0000D15D0000}"/>
    <cellStyle name="40 % - Markeringsfarve2 8 4 2 3" xfId="47166" xr:uid="{00000000-0005-0000-0000-0000D25D0000}"/>
    <cellStyle name="40 % - Markeringsfarve2 8 4 3" xfId="25205" xr:uid="{00000000-0005-0000-0000-0000D35D0000}"/>
    <cellStyle name="40 % - Markeringsfarve2 8 4 4" xfId="40169" xr:uid="{00000000-0005-0000-0000-0000D45D0000}"/>
    <cellStyle name="40 % - Markeringsfarve2 8 5" xfId="14301" xr:uid="{00000000-0005-0000-0000-0000D55D0000}"/>
    <cellStyle name="40 % - Markeringsfarve2 8 5 2" xfId="30580" xr:uid="{00000000-0005-0000-0000-0000D65D0000}"/>
    <cellStyle name="40 % - Markeringsfarve2 8 5 3" xfId="45540" xr:uid="{00000000-0005-0000-0000-0000D75D0000}"/>
    <cellStyle name="40 % - Markeringsfarve2 8 6" xfId="23578" xr:uid="{00000000-0005-0000-0000-0000D85D0000}"/>
    <cellStyle name="40 % - Markeringsfarve2 8 7" xfId="38543" xr:uid="{00000000-0005-0000-0000-0000D95D0000}"/>
    <cellStyle name="40 % - Markeringsfarve2 9" xfId="5819" xr:uid="{00000000-0005-0000-0000-0000DA5D0000}"/>
    <cellStyle name="40 % - Markeringsfarve2 9 2" xfId="5820" xr:uid="{00000000-0005-0000-0000-0000DB5D0000}"/>
    <cellStyle name="40 % - Markeringsfarve2 9 2 2" xfId="10171" xr:uid="{00000000-0005-0000-0000-0000DC5D0000}"/>
    <cellStyle name="40 % - Markeringsfarve2 9 2 2 2" xfId="18026" xr:uid="{00000000-0005-0000-0000-0000DD5D0000}"/>
    <cellStyle name="40 % - Markeringsfarve2 9 2 2 2 2" xfId="34302" xr:uid="{00000000-0005-0000-0000-0000DE5D0000}"/>
    <cellStyle name="40 % - Markeringsfarve2 9 2 2 2 3" xfId="49261" xr:uid="{00000000-0005-0000-0000-0000DF5D0000}"/>
    <cellStyle name="40 % - Markeringsfarve2 9 2 2 3" xfId="27300" xr:uid="{00000000-0005-0000-0000-0000E05D0000}"/>
    <cellStyle name="40 % - Markeringsfarve2 9 2 2 4" xfId="42264" xr:uid="{00000000-0005-0000-0000-0000E15D0000}"/>
    <cellStyle name="40 % - Markeringsfarve2 9 2 3" xfId="14305" xr:uid="{00000000-0005-0000-0000-0000E25D0000}"/>
    <cellStyle name="40 % - Markeringsfarve2 9 2 3 2" xfId="30584" xr:uid="{00000000-0005-0000-0000-0000E35D0000}"/>
    <cellStyle name="40 % - Markeringsfarve2 9 2 3 3" xfId="45544" xr:uid="{00000000-0005-0000-0000-0000E45D0000}"/>
    <cellStyle name="40 % - Markeringsfarve2 9 2 4" xfId="23582" xr:uid="{00000000-0005-0000-0000-0000E55D0000}"/>
    <cellStyle name="40 % - Markeringsfarve2 9 2 5" xfId="38547" xr:uid="{00000000-0005-0000-0000-0000E65D0000}"/>
    <cellStyle name="40 % - Markeringsfarve2 9 3" xfId="5821" xr:uid="{00000000-0005-0000-0000-0000E75D0000}"/>
    <cellStyle name="40 % - Markeringsfarve2 9 3 2" xfId="9448" xr:uid="{00000000-0005-0000-0000-0000E85D0000}"/>
    <cellStyle name="40 % - Markeringsfarve2 9 3 2 2" xfId="17311" xr:uid="{00000000-0005-0000-0000-0000E95D0000}"/>
    <cellStyle name="40 % - Markeringsfarve2 9 3 2 2 2" xfId="33587" xr:uid="{00000000-0005-0000-0000-0000EA5D0000}"/>
    <cellStyle name="40 % - Markeringsfarve2 9 3 2 2 3" xfId="48546" xr:uid="{00000000-0005-0000-0000-0000EB5D0000}"/>
    <cellStyle name="40 % - Markeringsfarve2 9 3 2 3" xfId="26585" xr:uid="{00000000-0005-0000-0000-0000EC5D0000}"/>
    <cellStyle name="40 % - Markeringsfarve2 9 3 2 4" xfId="41549" xr:uid="{00000000-0005-0000-0000-0000ED5D0000}"/>
    <cellStyle name="40 % - Markeringsfarve2 9 3 3" xfId="14306" xr:uid="{00000000-0005-0000-0000-0000EE5D0000}"/>
    <cellStyle name="40 % - Markeringsfarve2 9 3 3 2" xfId="30585" xr:uid="{00000000-0005-0000-0000-0000EF5D0000}"/>
    <cellStyle name="40 % - Markeringsfarve2 9 3 3 3" xfId="45545" xr:uid="{00000000-0005-0000-0000-0000F05D0000}"/>
    <cellStyle name="40 % - Markeringsfarve2 9 3 4" xfId="23583" xr:uid="{00000000-0005-0000-0000-0000F15D0000}"/>
    <cellStyle name="40 % - Markeringsfarve2 9 3 5" xfId="38548" xr:uid="{00000000-0005-0000-0000-0000F25D0000}"/>
    <cellStyle name="40 % - Markeringsfarve2 9 4" xfId="8067" xr:uid="{00000000-0005-0000-0000-0000F35D0000}"/>
    <cellStyle name="40 % - Markeringsfarve2 9 4 2" xfId="15932" xr:uid="{00000000-0005-0000-0000-0000F45D0000}"/>
    <cellStyle name="40 % - Markeringsfarve2 9 4 2 2" xfId="32208" xr:uid="{00000000-0005-0000-0000-0000F55D0000}"/>
    <cellStyle name="40 % - Markeringsfarve2 9 4 2 3" xfId="47167" xr:uid="{00000000-0005-0000-0000-0000F65D0000}"/>
    <cellStyle name="40 % - Markeringsfarve2 9 4 3" xfId="25206" xr:uid="{00000000-0005-0000-0000-0000F75D0000}"/>
    <cellStyle name="40 % - Markeringsfarve2 9 4 4" xfId="40170" xr:uid="{00000000-0005-0000-0000-0000F85D0000}"/>
    <cellStyle name="40 % - Markeringsfarve2 9 5" xfId="14304" xr:uid="{00000000-0005-0000-0000-0000F95D0000}"/>
    <cellStyle name="40 % - Markeringsfarve2 9 5 2" xfId="30583" xr:uid="{00000000-0005-0000-0000-0000FA5D0000}"/>
    <cellStyle name="40 % - Markeringsfarve2 9 5 3" xfId="45543" xr:uid="{00000000-0005-0000-0000-0000FB5D0000}"/>
    <cellStyle name="40 % - Markeringsfarve2 9 6" xfId="23581" xr:uid="{00000000-0005-0000-0000-0000FC5D0000}"/>
    <cellStyle name="40 % - Markeringsfarve2 9 7" xfId="38546" xr:uid="{00000000-0005-0000-0000-0000FD5D0000}"/>
    <cellStyle name="40 % - Markeringsfarve3 10" xfId="5823" xr:uid="{00000000-0005-0000-0000-0000FE5D0000}"/>
    <cellStyle name="40 % - Markeringsfarve3 10 2" xfId="5824" xr:uid="{00000000-0005-0000-0000-0000FF5D0000}"/>
    <cellStyle name="40 % - Markeringsfarve3 10 2 2" xfId="9699" xr:uid="{00000000-0005-0000-0000-0000005E0000}"/>
    <cellStyle name="40 % - Markeringsfarve3 10 2 2 2" xfId="17553" xr:uid="{00000000-0005-0000-0000-0000015E0000}"/>
    <cellStyle name="40 % - Markeringsfarve3 10 2 2 2 2" xfId="33829" xr:uid="{00000000-0005-0000-0000-0000025E0000}"/>
    <cellStyle name="40 % - Markeringsfarve3 10 2 2 2 3" xfId="48788" xr:uid="{00000000-0005-0000-0000-0000035E0000}"/>
    <cellStyle name="40 % - Markeringsfarve3 10 2 2 3" xfId="26827" xr:uid="{00000000-0005-0000-0000-0000045E0000}"/>
    <cellStyle name="40 % - Markeringsfarve3 10 2 2 4" xfId="41791" xr:uid="{00000000-0005-0000-0000-0000055E0000}"/>
    <cellStyle name="40 % - Markeringsfarve3 10 2 3" xfId="14309" xr:uid="{00000000-0005-0000-0000-0000065E0000}"/>
    <cellStyle name="40 % - Markeringsfarve3 10 2 3 2" xfId="30588" xr:uid="{00000000-0005-0000-0000-0000075E0000}"/>
    <cellStyle name="40 % - Markeringsfarve3 10 2 3 3" xfId="45548" xr:uid="{00000000-0005-0000-0000-0000085E0000}"/>
    <cellStyle name="40 % - Markeringsfarve3 10 2 4" xfId="23586" xr:uid="{00000000-0005-0000-0000-0000095E0000}"/>
    <cellStyle name="40 % - Markeringsfarve3 10 2 5" xfId="38551" xr:uid="{00000000-0005-0000-0000-00000A5E0000}"/>
    <cellStyle name="40 % - Markeringsfarve3 10 3" xfId="5825" xr:uid="{00000000-0005-0000-0000-00000B5E0000}"/>
    <cellStyle name="40 % - Markeringsfarve3 10 3 2" xfId="10613" xr:uid="{00000000-0005-0000-0000-00000C5E0000}"/>
    <cellStyle name="40 % - Markeringsfarve3 10 3 2 2" xfId="18461" xr:uid="{00000000-0005-0000-0000-00000D5E0000}"/>
    <cellStyle name="40 % - Markeringsfarve3 10 3 2 2 2" xfId="34737" xr:uid="{00000000-0005-0000-0000-00000E5E0000}"/>
    <cellStyle name="40 % - Markeringsfarve3 10 3 2 2 3" xfId="49696" xr:uid="{00000000-0005-0000-0000-00000F5E0000}"/>
    <cellStyle name="40 % - Markeringsfarve3 10 3 2 3" xfId="27735" xr:uid="{00000000-0005-0000-0000-0000105E0000}"/>
    <cellStyle name="40 % - Markeringsfarve3 10 3 2 4" xfId="42699" xr:uid="{00000000-0005-0000-0000-0000115E0000}"/>
    <cellStyle name="40 % - Markeringsfarve3 10 3 3" xfId="14310" xr:uid="{00000000-0005-0000-0000-0000125E0000}"/>
    <cellStyle name="40 % - Markeringsfarve3 10 3 3 2" xfId="30589" xr:uid="{00000000-0005-0000-0000-0000135E0000}"/>
    <cellStyle name="40 % - Markeringsfarve3 10 3 3 3" xfId="45549" xr:uid="{00000000-0005-0000-0000-0000145E0000}"/>
    <cellStyle name="40 % - Markeringsfarve3 10 3 4" xfId="23587" xr:uid="{00000000-0005-0000-0000-0000155E0000}"/>
    <cellStyle name="40 % - Markeringsfarve3 10 3 5" xfId="38552" xr:uid="{00000000-0005-0000-0000-0000165E0000}"/>
    <cellStyle name="40 % - Markeringsfarve3 10 4" xfId="8069" xr:uid="{00000000-0005-0000-0000-0000175E0000}"/>
    <cellStyle name="40 % - Markeringsfarve3 10 4 2" xfId="15934" xr:uid="{00000000-0005-0000-0000-0000185E0000}"/>
    <cellStyle name="40 % - Markeringsfarve3 10 4 2 2" xfId="32210" xr:uid="{00000000-0005-0000-0000-0000195E0000}"/>
    <cellStyle name="40 % - Markeringsfarve3 10 4 2 3" xfId="47169" xr:uid="{00000000-0005-0000-0000-00001A5E0000}"/>
    <cellStyle name="40 % - Markeringsfarve3 10 4 3" xfId="25208" xr:uid="{00000000-0005-0000-0000-00001B5E0000}"/>
    <cellStyle name="40 % - Markeringsfarve3 10 4 4" xfId="40172" xr:uid="{00000000-0005-0000-0000-00001C5E0000}"/>
    <cellStyle name="40 % - Markeringsfarve3 10 5" xfId="14308" xr:uid="{00000000-0005-0000-0000-00001D5E0000}"/>
    <cellStyle name="40 % - Markeringsfarve3 10 5 2" xfId="30587" xr:uid="{00000000-0005-0000-0000-00001E5E0000}"/>
    <cellStyle name="40 % - Markeringsfarve3 10 5 3" xfId="45547" xr:uid="{00000000-0005-0000-0000-00001F5E0000}"/>
    <cellStyle name="40 % - Markeringsfarve3 10 6" xfId="23585" xr:uid="{00000000-0005-0000-0000-0000205E0000}"/>
    <cellStyle name="40 % - Markeringsfarve3 10 7" xfId="38550" xr:uid="{00000000-0005-0000-0000-0000215E0000}"/>
    <cellStyle name="40 % - Markeringsfarve3 11" xfId="5826" xr:uid="{00000000-0005-0000-0000-0000225E0000}"/>
    <cellStyle name="40 % - Markeringsfarve3 11 2" xfId="5827" xr:uid="{00000000-0005-0000-0000-0000235E0000}"/>
    <cellStyle name="40 % - Markeringsfarve3 11 2 2" xfId="10845" xr:uid="{00000000-0005-0000-0000-0000245E0000}"/>
    <cellStyle name="40 % - Markeringsfarve3 11 2 2 2" xfId="18683" xr:uid="{00000000-0005-0000-0000-0000255E0000}"/>
    <cellStyle name="40 % - Markeringsfarve3 11 2 2 2 2" xfId="34959" xr:uid="{00000000-0005-0000-0000-0000265E0000}"/>
    <cellStyle name="40 % - Markeringsfarve3 11 2 2 2 3" xfId="49918" xr:uid="{00000000-0005-0000-0000-0000275E0000}"/>
    <cellStyle name="40 % - Markeringsfarve3 11 2 2 3" xfId="27957" xr:uid="{00000000-0005-0000-0000-0000285E0000}"/>
    <cellStyle name="40 % - Markeringsfarve3 11 2 2 4" xfId="42921" xr:uid="{00000000-0005-0000-0000-0000295E0000}"/>
    <cellStyle name="40 % - Markeringsfarve3 11 2 3" xfId="14312" xr:uid="{00000000-0005-0000-0000-00002A5E0000}"/>
    <cellStyle name="40 % - Markeringsfarve3 11 2 3 2" xfId="30591" xr:uid="{00000000-0005-0000-0000-00002B5E0000}"/>
    <cellStyle name="40 % - Markeringsfarve3 11 2 3 3" xfId="45551" xr:uid="{00000000-0005-0000-0000-00002C5E0000}"/>
    <cellStyle name="40 % - Markeringsfarve3 11 2 4" xfId="23589" xr:uid="{00000000-0005-0000-0000-00002D5E0000}"/>
    <cellStyle name="40 % - Markeringsfarve3 11 2 5" xfId="38554" xr:uid="{00000000-0005-0000-0000-00002E5E0000}"/>
    <cellStyle name="40 % - Markeringsfarve3 11 3" xfId="8070" xr:uid="{00000000-0005-0000-0000-00002F5E0000}"/>
    <cellStyle name="40 % - Markeringsfarve3 11 3 2" xfId="15935" xr:uid="{00000000-0005-0000-0000-0000305E0000}"/>
    <cellStyle name="40 % - Markeringsfarve3 11 3 2 2" xfId="32211" xr:uid="{00000000-0005-0000-0000-0000315E0000}"/>
    <cellStyle name="40 % - Markeringsfarve3 11 3 2 3" xfId="47170" xr:uid="{00000000-0005-0000-0000-0000325E0000}"/>
    <cellStyle name="40 % - Markeringsfarve3 11 3 3" xfId="25209" xr:uid="{00000000-0005-0000-0000-0000335E0000}"/>
    <cellStyle name="40 % - Markeringsfarve3 11 3 4" xfId="40173" xr:uid="{00000000-0005-0000-0000-0000345E0000}"/>
    <cellStyle name="40 % - Markeringsfarve3 11 4" xfId="14311" xr:uid="{00000000-0005-0000-0000-0000355E0000}"/>
    <cellStyle name="40 % - Markeringsfarve3 11 4 2" xfId="30590" xr:uid="{00000000-0005-0000-0000-0000365E0000}"/>
    <cellStyle name="40 % - Markeringsfarve3 11 4 3" xfId="45550" xr:uid="{00000000-0005-0000-0000-0000375E0000}"/>
    <cellStyle name="40 % - Markeringsfarve3 11 5" xfId="23588" xr:uid="{00000000-0005-0000-0000-0000385E0000}"/>
    <cellStyle name="40 % - Markeringsfarve3 11 6" xfId="38553" xr:uid="{00000000-0005-0000-0000-0000395E0000}"/>
    <cellStyle name="40 % - Markeringsfarve3 12" xfId="5828" xr:uid="{00000000-0005-0000-0000-00003A5E0000}"/>
    <cellStyle name="40 % - Markeringsfarve3 12 2" xfId="5829" xr:uid="{00000000-0005-0000-0000-00003B5E0000}"/>
    <cellStyle name="40 % - Markeringsfarve3 12 2 2" xfId="10494" xr:uid="{00000000-0005-0000-0000-00003C5E0000}"/>
    <cellStyle name="40 % - Markeringsfarve3 12 2 2 2" xfId="18343" xr:uid="{00000000-0005-0000-0000-00003D5E0000}"/>
    <cellStyle name="40 % - Markeringsfarve3 12 2 2 2 2" xfId="34619" xr:uid="{00000000-0005-0000-0000-00003E5E0000}"/>
    <cellStyle name="40 % - Markeringsfarve3 12 2 2 2 3" xfId="49578" xr:uid="{00000000-0005-0000-0000-00003F5E0000}"/>
    <cellStyle name="40 % - Markeringsfarve3 12 2 2 3" xfId="27617" xr:uid="{00000000-0005-0000-0000-0000405E0000}"/>
    <cellStyle name="40 % - Markeringsfarve3 12 2 2 4" xfId="42581" xr:uid="{00000000-0005-0000-0000-0000415E0000}"/>
    <cellStyle name="40 % - Markeringsfarve3 12 2 3" xfId="14314" xr:uid="{00000000-0005-0000-0000-0000425E0000}"/>
    <cellStyle name="40 % - Markeringsfarve3 12 2 3 2" xfId="30593" xr:uid="{00000000-0005-0000-0000-0000435E0000}"/>
    <cellStyle name="40 % - Markeringsfarve3 12 2 3 3" xfId="45553" xr:uid="{00000000-0005-0000-0000-0000445E0000}"/>
    <cellStyle name="40 % - Markeringsfarve3 12 2 4" xfId="23591" xr:uid="{00000000-0005-0000-0000-0000455E0000}"/>
    <cellStyle name="40 % - Markeringsfarve3 12 2 5" xfId="38556" xr:uid="{00000000-0005-0000-0000-0000465E0000}"/>
    <cellStyle name="40 % - Markeringsfarve3 12 3" xfId="8071" xr:uid="{00000000-0005-0000-0000-0000475E0000}"/>
    <cellStyle name="40 % - Markeringsfarve3 12 3 2" xfId="15936" xr:uid="{00000000-0005-0000-0000-0000485E0000}"/>
    <cellStyle name="40 % - Markeringsfarve3 12 3 2 2" xfId="32212" xr:uid="{00000000-0005-0000-0000-0000495E0000}"/>
    <cellStyle name="40 % - Markeringsfarve3 12 3 2 3" xfId="47171" xr:uid="{00000000-0005-0000-0000-00004A5E0000}"/>
    <cellStyle name="40 % - Markeringsfarve3 12 3 3" xfId="25210" xr:uid="{00000000-0005-0000-0000-00004B5E0000}"/>
    <cellStyle name="40 % - Markeringsfarve3 12 3 4" xfId="40174" xr:uid="{00000000-0005-0000-0000-00004C5E0000}"/>
    <cellStyle name="40 % - Markeringsfarve3 12 4" xfId="14313" xr:uid="{00000000-0005-0000-0000-00004D5E0000}"/>
    <cellStyle name="40 % - Markeringsfarve3 12 4 2" xfId="30592" xr:uid="{00000000-0005-0000-0000-00004E5E0000}"/>
    <cellStyle name="40 % - Markeringsfarve3 12 4 3" xfId="45552" xr:uid="{00000000-0005-0000-0000-00004F5E0000}"/>
    <cellStyle name="40 % - Markeringsfarve3 12 5" xfId="23590" xr:uid="{00000000-0005-0000-0000-0000505E0000}"/>
    <cellStyle name="40 % - Markeringsfarve3 12 6" xfId="38555" xr:uid="{00000000-0005-0000-0000-0000515E0000}"/>
    <cellStyle name="40 % - Markeringsfarve3 13" xfId="5830" xr:uid="{00000000-0005-0000-0000-0000525E0000}"/>
    <cellStyle name="40 % - Markeringsfarve3 13 2" xfId="5831" xr:uid="{00000000-0005-0000-0000-0000535E0000}"/>
    <cellStyle name="40 % - Markeringsfarve3 13 2 2" xfId="10742" xr:uid="{00000000-0005-0000-0000-0000545E0000}"/>
    <cellStyle name="40 % - Markeringsfarve3 13 2 2 2" xfId="18585" xr:uid="{00000000-0005-0000-0000-0000555E0000}"/>
    <cellStyle name="40 % - Markeringsfarve3 13 2 2 2 2" xfId="34861" xr:uid="{00000000-0005-0000-0000-0000565E0000}"/>
    <cellStyle name="40 % - Markeringsfarve3 13 2 2 2 3" xfId="49820" xr:uid="{00000000-0005-0000-0000-0000575E0000}"/>
    <cellStyle name="40 % - Markeringsfarve3 13 2 2 3" xfId="27859" xr:uid="{00000000-0005-0000-0000-0000585E0000}"/>
    <cellStyle name="40 % - Markeringsfarve3 13 2 2 4" xfId="42823" xr:uid="{00000000-0005-0000-0000-0000595E0000}"/>
    <cellStyle name="40 % - Markeringsfarve3 13 2 3" xfId="14316" xr:uid="{00000000-0005-0000-0000-00005A5E0000}"/>
    <cellStyle name="40 % - Markeringsfarve3 13 2 3 2" xfId="30595" xr:uid="{00000000-0005-0000-0000-00005B5E0000}"/>
    <cellStyle name="40 % - Markeringsfarve3 13 2 3 3" xfId="45555" xr:uid="{00000000-0005-0000-0000-00005C5E0000}"/>
    <cellStyle name="40 % - Markeringsfarve3 13 2 4" xfId="23593" xr:uid="{00000000-0005-0000-0000-00005D5E0000}"/>
    <cellStyle name="40 % - Markeringsfarve3 13 2 5" xfId="38558" xr:uid="{00000000-0005-0000-0000-00005E5E0000}"/>
    <cellStyle name="40 % - Markeringsfarve3 13 3" xfId="8068" xr:uid="{00000000-0005-0000-0000-00005F5E0000}"/>
    <cellStyle name="40 % - Markeringsfarve3 13 3 2" xfId="15933" xr:uid="{00000000-0005-0000-0000-0000605E0000}"/>
    <cellStyle name="40 % - Markeringsfarve3 13 3 2 2" xfId="32209" xr:uid="{00000000-0005-0000-0000-0000615E0000}"/>
    <cellStyle name="40 % - Markeringsfarve3 13 3 2 3" xfId="47168" xr:uid="{00000000-0005-0000-0000-0000625E0000}"/>
    <cellStyle name="40 % - Markeringsfarve3 13 3 3" xfId="25207" xr:uid="{00000000-0005-0000-0000-0000635E0000}"/>
    <cellStyle name="40 % - Markeringsfarve3 13 3 4" xfId="40171" xr:uid="{00000000-0005-0000-0000-0000645E0000}"/>
    <cellStyle name="40 % - Markeringsfarve3 13 4" xfId="14315" xr:uid="{00000000-0005-0000-0000-0000655E0000}"/>
    <cellStyle name="40 % - Markeringsfarve3 13 4 2" xfId="30594" xr:uid="{00000000-0005-0000-0000-0000665E0000}"/>
    <cellStyle name="40 % - Markeringsfarve3 13 4 3" xfId="45554" xr:uid="{00000000-0005-0000-0000-0000675E0000}"/>
    <cellStyle name="40 % - Markeringsfarve3 13 5" xfId="23592" xr:uid="{00000000-0005-0000-0000-0000685E0000}"/>
    <cellStyle name="40 % - Markeringsfarve3 13 6" xfId="38557" xr:uid="{00000000-0005-0000-0000-0000695E0000}"/>
    <cellStyle name="40 % - Markeringsfarve3 14" xfId="5832" xr:uid="{00000000-0005-0000-0000-00006A5E0000}"/>
    <cellStyle name="40 % - Markeringsfarve3 14 2" xfId="8921" xr:uid="{00000000-0005-0000-0000-00006B5E0000}"/>
    <cellStyle name="40 % - Markeringsfarve3 14 2 2" xfId="16787" xr:uid="{00000000-0005-0000-0000-00006C5E0000}"/>
    <cellStyle name="40 % - Markeringsfarve3 14 2 2 2" xfId="33063" xr:uid="{00000000-0005-0000-0000-00006D5E0000}"/>
    <cellStyle name="40 % - Markeringsfarve3 14 2 2 3" xfId="48022" xr:uid="{00000000-0005-0000-0000-00006E5E0000}"/>
    <cellStyle name="40 % - Markeringsfarve3 14 2 3" xfId="26061" xr:uid="{00000000-0005-0000-0000-00006F5E0000}"/>
    <cellStyle name="40 % - Markeringsfarve3 14 2 4" xfId="41025" xr:uid="{00000000-0005-0000-0000-0000705E0000}"/>
    <cellStyle name="40 % - Markeringsfarve3 14 3" xfId="14317" xr:uid="{00000000-0005-0000-0000-0000715E0000}"/>
    <cellStyle name="40 % - Markeringsfarve3 14 3 2" xfId="30596" xr:uid="{00000000-0005-0000-0000-0000725E0000}"/>
    <cellStyle name="40 % - Markeringsfarve3 14 3 3" xfId="45556" xr:uid="{00000000-0005-0000-0000-0000735E0000}"/>
    <cellStyle name="40 % - Markeringsfarve3 14 4" xfId="23594" xr:uid="{00000000-0005-0000-0000-0000745E0000}"/>
    <cellStyle name="40 % - Markeringsfarve3 14 5" xfId="38559" xr:uid="{00000000-0005-0000-0000-0000755E0000}"/>
    <cellStyle name="40 % - Markeringsfarve3 15" xfId="5833" xr:uid="{00000000-0005-0000-0000-0000765E0000}"/>
    <cellStyle name="40 % - Markeringsfarve3 15 2" xfId="10621" xr:uid="{00000000-0005-0000-0000-0000775E0000}"/>
    <cellStyle name="40 % - Markeringsfarve3 15 2 2" xfId="18469" xr:uid="{00000000-0005-0000-0000-0000785E0000}"/>
    <cellStyle name="40 % - Markeringsfarve3 15 2 2 2" xfId="34745" xr:uid="{00000000-0005-0000-0000-0000795E0000}"/>
    <cellStyle name="40 % - Markeringsfarve3 15 2 2 3" xfId="49704" xr:uid="{00000000-0005-0000-0000-00007A5E0000}"/>
    <cellStyle name="40 % - Markeringsfarve3 15 2 3" xfId="27743" xr:uid="{00000000-0005-0000-0000-00007B5E0000}"/>
    <cellStyle name="40 % - Markeringsfarve3 15 2 4" xfId="42707" xr:uid="{00000000-0005-0000-0000-00007C5E0000}"/>
    <cellStyle name="40 % - Markeringsfarve3 15 3" xfId="14318" xr:uid="{00000000-0005-0000-0000-00007D5E0000}"/>
    <cellStyle name="40 % - Markeringsfarve3 15 3 2" xfId="30597" xr:uid="{00000000-0005-0000-0000-00007E5E0000}"/>
    <cellStyle name="40 % - Markeringsfarve3 15 3 3" xfId="45557" xr:uid="{00000000-0005-0000-0000-00007F5E0000}"/>
    <cellStyle name="40 % - Markeringsfarve3 15 4" xfId="23595" xr:uid="{00000000-0005-0000-0000-0000805E0000}"/>
    <cellStyle name="40 % - Markeringsfarve3 15 5" xfId="38560" xr:uid="{00000000-0005-0000-0000-0000815E0000}"/>
    <cellStyle name="40 % - Markeringsfarve3 16" xfId="5834" xr:uid="{00000000-0005-0000-0000-0000825E0000}"/>
    <cellStyle name="40 % - Markeringsfarve3 16 2" xfId="10889" xr:uid="{00000000-0005-0000-0000-0000835E0000}"/>
    <cellStyle name="40 % - Markeringsfarve3 16 2 2" xfId="18725" xr:uid="{00000000-0005-0000-0000-0000845E0000}"/>
    <cellStyle name="40 % - Markeringsfarve3 16 2 2 2" xfId="35001" xr:uid="{00000000-0005-0000-0000-0000855E0000}"/>
    <cellStyle name="40 % - Markeringsfarve3 16 2 2 3" xfId="49960" xr:uid="{00000000-0005-0000-0000-0000865E0000}"/>
    <cellStyle name="40 % - Markeringsfarve3 16 2 3" xfId="27999" xr:uid="{00000000-0005-0000-0000-0000875E0000}"/>
    <cellStyle name="40 % - Markeringsfarve3 16 2 4" xfId="42963" xr:uid="{00000000-0005-0000-0000-0000885E0000}"/>
    <cellStyle name="40 % - Markeringsfarve3 16 3" xfId="14319" xr:uid="{00000000-0005-0000-0000-0000895E0000}"/>
    <cellStyle name="40 % - Markeringsfarve3 16 3 2" xfId="30598" xr:uid="{00000000-0005-0000-0000-00008A5E0000}"/>
    <cellStyle name="40 % - Markeringsfarve3 16 3 3" xfId="45558" xr:uid="{00000000-0005-0000-0000-00008B5E0000}"/>
    <cellStyle name="40 % - Markeringsfarve3 16 4" xfId="23596" xr:uid="{00000000-0005-0000-0000-00008C5E0000}"/>
    <cellStyle name="40 % - Markeringsfarve3 16 5" xfId="38561" xr:uid="{00000000-0005-0000-0000-00008D5E0000}"/>
    <cellStyle name="40 % - Markeringsfarve3 17" xfId="7605" xr:uid="{00000000-0005-0000-0000-00008E5E0000}"/>
    <cellStyle name="40 % - Markeringsfarve3 17 2" xfId="15476" xr:uid="{00000000-0005-0000-0000-00008F5E0000}"/>
    <cellStyle name="40 % - Markeringsfarve3 17 2 2" xfId="31752" xr:uid="{00000000-0005-0000-0000-0000905E0000}"/>
    <cellStyle name="40 % - Markeringsfarve3 17 2 3" xfId="46711" xr:uid="{00000000-0005-0000-0000-0000915E0000}"/>
    <cellStyle name="40 % - Markeringsfarve3 17 3" xfId="24750" xr:uid="{00000000-0005-0000-0000-0000925E0000}"/>
    <cellStyle name="40 % - Markeringsfarve3 17 4" xfId="39714" xr:uid="{00000000-0005-0000-0000-0000935E0000}"/>
    <cellStyle name="40 % - Markeringsfarve3 18" xfId="5822" xr:uid="{00000000-0005-0000-0000-0000945E0000}"/>
    <cellStyle name="40 % - Markeringsfarve3 18 2" xfId="14307" xr:uid="{00000000-0005-0000-0000-0000955E0000}"/>
    <cellStyle name="40 % - Markeringsfarve3 18 2 2" xfId="30586" xr:uid="{00000000-0005-0000-0000-0000965E0000}"/>
    <cellStyle name="40 % - Markeringsfarve3 18 2 3" xfId="45546" xr:uid="{00000000-0005-0000-0000-0000975E0000}"/>
    <cellStyle name="40 % - Markeringsfarve3 18 3" xfId="23584" xr:uid="{00000000-0005-0000-0000-0000985E0000}"/>
    <cellStyle name="40 % - Markeringsfarve3 18 4" xfId="38549" xr:uid="{00000000-0005-0000-0000-0000995E0000}"/>
    <cellStyle name="40 % - Markeringsfarve3 2" xfId="5835" xr:uid="{00000000-0005-0000-0000-00009A5E0000}"/>
    <cellStyle name="40 % - Markeringsfarve3 2 10" xfId="5836" xr:uid="{00000000-0005-0000-0000-00009B5E0000}"/>
    <cellStyle name="40 % - Markeringsfarve3 2 10 2" xfId="8953" xr:uid="{00000000-0005-0000-0000-00009C5E0000}"/>
    <cellStyle name="40 % - Markeringsfarve3 2 10 2 2" xfId="16817" xr:uid="{00000000-0005-0000-0000-00009D5E0000}"/>
    <cellStyle name="40 % - Markeringsfarve3 2 10 2 2 2" xfId="33093" xr:uid="{00000000-0005-0000-0000-00009E5E0000}"/>
    <cellStyle name="40 % - Markeringsfarve3 2 10 2 2 3" xfId="48052" xr:uid="{00000000-0005-0000-0000-00009F5E0000}"/>
    <cellStyle name="40 % - Markeringsfarve3 2 10 2 3" xfId="26091" xr:uid="{00000000-0005-0000-0000-0000A05E0000}"/>
    <cellStyle name="40 % - Markeringsfarve3 2 10 2 4" xfId="41055" xr:uid="{00000000-0005-0000-0000-0000A15E0000}"/>
    <cellStyle name="40 % - Markeringsfarve3 2 10 3" xfId="14321" xr:uid="{00000000-0005-0000-0000-0000A25E0000}"/>
    <cellStyle name="40 % - Markeringsfarve3 2 10 3 2" xfId="30600" xr:uid="{00000000-0005-0000-0000-0000A35E0000}"/>
    <cellStyle name="40 % - Markeringsfarve3 2 10 3 3" xfId="45560" xr:uid="{00000000-0005-0000-0000-0000A45E0000}"/>
    <cellStyle name="40 % - Markeringsfarve3 2 10 4" xfId="23598" xr:uid="{00000000-0005-0000-0000-0000A55E0000}"/>
    <cellStyle name="40 % - Markeringsfarve3 2 10 5" xfId="38563" xr:uid="{00000000-0005-0000-0000-0000A65E0000}"/>
    <cellStyle name="40 % - Markeringsfarve3 2 11" xfId="5837" xr:uid="{00000000-0005-0000-0000-0000A75E0000}"/>
    <cellStyle name="40 % - Markeringsfarve3 2 11 2" xfId="10797" xr:uid="{00000000-0005-0000-0000-0000A85E0000}"/>
    <cellStyle name="40 % - Markeringsfarve3 2 11 2 2" xfId="18639" xr:uid="{00000000-0005-0000-0000-0000A95E0000}"/>
    <cellStyle name="40 % - Markeringsfarve3 2 11 2 2 2" xfId="34915" xr:uid="{00000000-0005-0000-0000-0000AA5E0000}"/>
    <cellStyle name="40 % - Markeringsfarve3 2 11 2 2 3" xfId="49874" xr:uid="{00000000-0005-0000-0000-0000AB5E0000}"/>
    <cellStyle name="40 % - Markeringsfarve3 2 11 2 3" xfId="27913" xr:uid="{00000000-0005-0000-0000-0000AC5E0000}"/>
    <cellStyle name="40 % - Markeringsfarve3 2 11 2 4" xfId="42877" xr:uid="{00000000-0005-0000-0000-0000AD5E0000}"/>
    <cellStyle name="40 % - Markeringsfarve3 2 11 3" xfId="14322" xr:uid="{00000000-0005-0000-0000-0000AE5E0000}"/>
    <cellStyle name="40 % - Markeringsfarve3 2 11 3 2" xfId="30601" xr:uid="{00000000-0005-0000-0000-0000AF5E0000}"/>
    <cellStyle name="40 % - Markeringsfarve3 2 11 3 3" xfId="45561" xr:uid="{00000000-0005-0000-0000-0000B05E0000}"/>
    <cellStyle name="40 % - Markeringsfarve3 2 11 4" xfId="23599" xr:uid="{00000000-0005-0000-0000-0000B15E0000}"/>
    <cellStyle name="40 % - Markeringsfarve3 2 11 5" xfId="38564" xr:uid="{00000000-0005-0000-0000-0000B25E0000}"/>
    <cellStyle name="40 % - Markeringsfarve3 2 12" xfId="8072" xr:uid="{00000000-0005-0000-0000-0000B35E0000}"/>
    <cellStyle name="40 % - Markeringsfarve3 2 12 2" xfId="15937" xr:uid="{00000000-0005-0000-0000-0000B45E0000}"/>
    <cellStyle name="40 % - Markeringsfarve3 2 12 2 2" xfId="32213" xr:uid="{00000000-0005-0000-0000-0000B55E0000}"/>
    <cellStyle name="40 % - Markeringsfarve3 2 12 2 3" xfId="47172" xr:uid="{00000000-0005-0000-0000-0000B65E0000}"/>
    <cellStyle name="40 % - Markeringsfarve3 2 12 3" xfId="25211" xr:uid="{00000000-0005-0000-0000-0000B75E0000}"/>
    <cellStyle name="40 % - Markeringsfarve3 2 12 4" xfId="40175" xr:uid="{00000000-0005-0000-0000-0000B85E0000}"/>
    <cellStyle name="40 % - Markeringsfarve3 2 13" xfId="14320" xr:uid="{00000000-0005-0000-0000-0000B95E0000}"/>
    <cellStyle name="40 % - Markeringsfarve3 2 13 2" xfId="30599" xr:uid="{00000000-0005-0000-0000-0000BA5E0000}"/>
    <cellStyle name="40 % - Markeringsfarve3 2 13 3" xfId="45559" xr:uid="{00000000-0005-0000-0000-0000BB5E0000}"/>
    <cellStyle name="40 % - Markeringsfarve3 2 14" xfId="23597" xr:uid="{00000000-0005-0000-0000-0000BC5E0000}"/>
    <cellStyle name="40 % - Markeringsfarve3 2 15" xfId="38562" xr:uid="{00000000-0005-0000-0000-0000BD5E0000}"/>
    <cellStyle name="40 % - Markeringsfarve3 2 2" xfId="5838" xr:uid="{00000000-0005-0000-0000-0000BE5E0000}"/>
    <cellStyle name="40 % - Markeringsfarve3 2 2 10" xfId="8073" xr:uid="{00000000-0005-0000-0000-0000BF5E0000}"/>
    <cellStyle name="40 % - Markeringsfarve3 2 2 10 2" xfId="15938" xr:uid="{00000000-0005-0000-0000-0000C05E0000}"/>
    <cellStyle name="40 % - Markeringsfarve3 2 2 10 2 2" xfId="32214" xr:uid="{00000000-0005-0000-0000-0000C15E0000}"/>
    <cellStyle name="40 % - Markeringsfarve3 2 2 10 2 3" xfId="47173" xr:uid="{00000000-0005-0000-0000-0000C25E0000}"/>
    <cellStyle name="40 % - Markeringsfarve3 2 2 10 3" xfId="25212" xr:uid="{00000000-0005-0000-0000-0000C35E0000}"/>
    <cellStyle name="40 % - Markeringsfarve3 2 2 10 4" xfId="40176" xr:uid="{00000000-0005-0000-0000-0000C45E0000}"/>
    <cellStyle name="40 % - Markeringsfarve3 2 2 11" xfId="14323" xr:uid="{00000000-0005-0000-0000-0000C55E0000}"/>
    <cellStyle name="40 % - Markeringsfarve3 2 2 11 2" xfId="30602" xr:uid="{00000000-0005-0000-0000-0000C65E0000}"/>
    <cellStyle name="40 % - Markeringsfarve3 2 2 11 3" xfId="45562" xr:uid="{00000000-0005-0000-0000-0000C75E0000}"/>
    <cellStyle name="40 % - Markeringsfarve3 2 2 12" xfId="23600" xr:uid="{00000000-0005-0000-0000-0000C85E0000}"/>
    <cellStyle name="40 % - Markeringsfarve3 2 2 13" xfId="38565" xr:uid="{00000000-0005-0000-0000-0000C95E0000}"/>
    <cellStyle name="40 % - Markeringsfarve3 2 2 2" xfId="5839" xr:uid="{00000000-0005-0000-0000-0000CA5E0000}"/>
    <cellStyle name="40 % - Markeringsfarve3 2 2 2 2" xfId="5840" xr:uid="{00000000-0005-0000-0000-0000CB5E0000}"/>
    <cellStyle name="40 % - Markeringsfarve3 2 2 2 2 2" xfId="5841" xr:uid="{00000000-0005-0000-0000-0000CC5E0000}"/>
    <cellStyle name="40 % - Markeringsfarve3 2 2 2 2 2 2" xfId="9883" xr:uid="{00000000-0005-0000-0000-0000CD5E0000}"/>
    <cellStyle name="40 % - Markeringsfarve3 2 2 2 2 2 2 2" xfId="17738" xr:uid="{00000000-0005-0000-0000-0000CE5E0000}"/>
    <cellStyle name="40 % - Markeringsfarve3 2 2 2 2 2 2 2 2" xfId="34014" xr:uid="{00000000-0005-0000-0000-0000CF5E0000}"/>
    <cellStyle name="40 % - Markeringsfarve3 2 2 2 2 2 2 2 3" xfId="48973" xr:uid="{00000000-0005-0000-0000-0000D05E0000}"/>
    <cellStyle name="40 % - Markeringsfarve3 2 2 2 2 2 2 3" xfId="27012" xr:uid="{00000000-0005-0000-0000-0000D15E0000}"/>
    <cellStyle name="40 % - Markeringsfarve3 2 2 2 2 2 2 4" xfId="41976" xr:uid="{00000000-0005-0000-0000-0000D25E0000}"/>
    <cellStyle name="40 % - Markeringsfarve3 2 2 2 2 2 3" xfId="14326" xr:uid="{00000000-0005-0000-0000-0000D35E0000}"/>
    <cellStyle name="40 % - Markeringsfarve3 2 2 2 2 2 3 2" xfId="30605" xr:uid="{00000000-0005-0000-0000-0000D45E0000}"/>
    <cellStyle name="40 % - Markeringsfarve3 2 2 2 2 2 3 3" xfId="45565" xr:uid="{00000000-0005-0000-0000-0000D55E0000}"/>
    <cellStyle name="40 % - Markeringsfarve3 2 2 2 2 2 4" xfId="23603" xr:uid="{00000000-0005-0000-0000-0000D65E0000}"/>
    <cellStyle name="40 % - Markeringsfarve3 2 2 2 2 2 5" xfId="38568" xr:uid="{00000000-0005-0000-0000-0000D75E0000}"/>
    <cellStyle name="40 % - Markeringsfarve3 2 2 2 2 3" xfId="8456" xr:uid="{00000000-0005-0000-0000-0000D85E0000}"/>
    <cellStyle name="40 % - Markeringsfarve3 2 2 2 2 3 2" xfId="16326" xr:uid="{00000000-0005-0000-0000-0000D95E0000}"/>
    <cellStyle name="40 % - Markeringsfarve3 2 2 2 2 3 2 2" xfId="32602" xr:uid="{00000000-0005-0000-0000-0000DA5E0000}"/>
    <cellStyle name="40 % - Markeringsfarve3 2 2 2 2 3 2 3" xfId="47561" xr:uid="{00000000-0005-0000-0000-0000DB5E0000}"/>
    <cellStyle name="40 % - Markeringsfarve3 2 2 2 2 3 3" xfId="25600" xr:uid="{00000000-0005-0000-0000-0000DC5E0000}"/>
    <cellStyle name="40 % - Markeringsfarve3 2 2 2 2 3 4" xfId="40564" xr:uid="{00000000-0005-0000-0000-0000DD5E0000}"/>
    <cellStyle name="40 % - Markeringsfarve3 2 2 2 2 4" xfId="14325" xr:uid="{00000000-0005-0000-0000-0000DE5E0000}"/>
    <cellStyle name="40 % - Markeringsfarve3 2 2 2 2 4 2" xfId="30604" xr:uid="{00000000-0005-0000-0000-0000DF5E0000}"/>
    <cellStyle name="40 % - Markeringsfarve3 2 2 2 2 4 3" xfId="45564" xr:uid="{00000000-0005-0000-0000-0000E05E0000}"/>
    <cellStyle name="40 % - Markeringsfarve3 2 2 2 2 5" xfId="23602" xr:uid="{00000000-0005-0000-0000-0000E15E0000}"/>
    <cellStyle name="40 % - Markeringsfarve3 2 2 2 2 6" xfId="38567" xr:uid="{00000000-0005-0000-0000-0000E25E0000}"/>
    <cellStyle name="40 % - Markeringsfarve3 2 2 2 3" xfId="5842" xr:uid="{00000000-0005-0000-0000-0000E35E0000}"/>
    <cellStyle name="40 % - Markeringsfarve3 2 2 2 3 2" xfId="9114" xr:uid="{00000000-0005-0000-0000-0000E45E0000}"/>
    <cellStyle name="40 % - Markeringsfarve3 2 2 2 3 2 2" xfId="16978" xr:uid="{00000000-0005-0000-0000-0000E55E0000}"/>
    <cellStyle name="40 % - Markeringsfarve3 2 2 2 3 2 2 2" xfId="33254" xr:uid="{00000000-0005-0000-0000-0000E65E0000}"/>
    <cellStyle name="40 % - Markeringsfarve3 2 2 2 3 2 2 3" xfId="48213" xr:uid="{00000000-0005-0000-0000-0000E75E0000}"/>
    <cellStyle name="40 % - Markeringsfarve3 2 2 2 3 2 3" xfId="26252" xr:uid="{00000000-0005-0000-0000-0000E85E0000}"/>
    <cellStyle name="40 % - Markeringsfarve3 2 2 2 3 2 4" xfId="41216" xr:uid="{00000000-0005-0000-0000-0000E95E0000}"/>
    <cellStyle name="40 % - Markeringsfarve3 2 2 2 3 3" xfId="14327" xr:uid="{00000000-0005-0000-0000-0000EA5E0000}"/>
    <cellStyle name="40 % - Markeringsfarve3 2 2 2 3 3 2" xfId="30606" xr:uid="{00000000-0005-0000-0000-0000EB5E0000}"/>
    <cellStyle name="40 % - Markeringsfarve3 2 2 2 3 3 3" xfId="45566" xr:uid="{00000000-0005-0000-0000-0000EC5E0000}"/>
    <cellStyle name="40 % - Markeringsfarve3 2 2 2 3 4" xfId="23604" xr:uid="{00000000-0005-0000-0000-0000ED5E0000}"/>
    <cellStyle name="40 % - Markeringsfarve3 2 2 2 3 5" xfId="38569" xr:uid="{00000000-0005-0000-0000-0000EE5E0000}"/>
    <cellStyle name="40 % - Markeringsfarve3 2 2 2 4" xfId="5843" xr:uid="{00000000-0005-0000-0000-0000EF5E0000}"/>
    <cellStyle name="40 % - Markeringsfarve3 2 2 2 4 2" xfId="8907" xr:uid="{00000000-0005-0000-0000-0000F05E0000}"/>
    <cellStyle name="40 % - Markeringsfarve3 2 2 2 4 2 2" xfId="16773" xr:uid="{00000000-0005-0000-0000-0000F15E0000}"/>
    <cellStyle name="40 % - Markeringsfarve3 2 2 2 4 2 2 2" xfId="33049" xr:uid="{00000000-0005-0000-0000-0000F25E0000}"/>
    <cellStyle name="40 % - Markeringsfarve3 2 2 2 4 2 2 3" xfId="48008" xr:uid="{00000000-0005-0000-0000-0000F35E0000}"/>
    <cellStyle name="40 % - Markeringsfarve3 2 2 2 4 2 3" xfId="26047" xr:uid="{00000000-0005-0000-0000-0000F45E0000}"/>
    <cellStyle name="40 % - Markeringsfarve3 2 2 2 4 2 4" xfId="41011" xr:uid="{00000000-0005-0000-0000-0000F55E0000}"/>
    <cellStyle name="40 % - Markeringsfarve3 2 2 2 4 3" xfId="14328" xr:uid="{00000000-0005-0000-0000-0000F65E0000}"/>
    <cellStyle name="40 % - Markeringsfarve3 2 2 2 4 3 2" xfId="30607" xr:uid="{00000000-0005-0000-0000-0000F75E0000}"/>
    <cellStyle name="40 % - Markeringsfarve3 2 2 2 4 3 3" xfId="45567" xr:uid="{00000000-0005-0000-0000-0000F85E0000}"/>
    <cellStyle name="40 % - Markeringsfarve3 2 2 2 4 4" xfId="23605" xr:uid="{00000000-0005-0000-0000-0000F95E0000}"/>
    <cellStyle name="40 % - Markeringsfarve3 2 2 2 4 5" xfId="38570" xr:uid="{00000000-0005-0000-0000-0000FA5E0000}"/>
    <cellStyle name="40 % - Markeringsfarve3 2 2 2 5" xfId="8074" xr:uid="{00000000-0005-0000-0000-0000FB5E0000}"/>
    <cellStyle name="40 % - Markeringsfarve3 2 2 2 5 2" xfId="15939" xr:uid="{00000000-0005-0000-0000-0000FC5E0000}"/>
    <cellStyle name="40 % - Markeringsfarve3 2 2 2 5 2 2" xfId="32215" xr:uid="{00000000-0005-0000-0000-0000FD5E0000}"/>
    <cellStyle name="40 % - Markeringsfarve3 2 2 2 5 2 3" xfId="47174" xr:uid="{00000000-0005-0000-0000-0000FE5E0000}"/>
    <cellStyle name="40 % - Markeringsfarve3 2 2 2 5 3" xfId="25213" xr:uid="{00000000-0005-0000-0000-0000FF5E0000}"/>
    <cellStyle name="40 % - Markeringsfarve3 2 2 2 5 4" xfId="40177" xr:uid="{00000000-0005-0000-0000-0000005F0000}"/>
    <cellStyle name="40 % - Markeringsfarve3 2 2 2 6" xfId="14324" xr:uid="{00000000-0005-0000-0000-0000015F0000}"/>
    <cellStyle name="40 % - Markeringsfarve3 2 2 2 6 2" xfId="30603" xr:uid="{00000000-0005-0000-0000-0000025F0000}"/>
    <cellStyle name="40 % - Markeringsfarve3 2 2 2 6 3" xfId="45563" xr:uid="{00000000-0005-0000-0000-0000035F0000}"/>
    <cellStyle name="40 % - Markeringsfarve3 2 2 2 7" xfId="23601" xr:uid="{00000000-0005-0000-0000-0000045F0000}"/>
    <cellStyle name="40 % - Markeringsfarve3 2 2 2 8" xfId="38566" xr:uid="{00000000-0005-0000-0000-0000055F0000}"/>
    <cellStyle name="40 % - Markeringsfarve3 2 2 3" xfId="5844" xr:uid="{00000000-0005-0000-0000-0000065F0000}"/>
    <cellStyle name="40 % - Markeringsfarve3 2 2 3 2" xfId="5845" xr:uid="{00000000-0005-0000-0000-0000075F0000}"/>
    <cellStyle name="40 % - Markeringsfarve3 2 2 3 2 2" xfId="5846" xr:uid="{00000000-0005-0000-0000-0000085F0000}"/>
    <cellStyle name="40 % - Markeringsfarve3 2 2 3 2 2 2" xfId="10004" xr:uid="{00000000-0005-0000-0000-0000095F0000}"/>
    <cellStyle name="40 % - Markeringsfarve3 2 2 3 2 2 2 2" xfId="17859" xr:uid="{00000000-0005-0000-0000-00000A5F0000}"/>
    <cellStyle name="40 % - Markeringsfarve3 2 2 3 2 2 2 2 2" xfId="34135" xr:uid="{00000000-0005-0000-0000-00000B5F0000}"/>
    <cellStyle name="40 % - Markeringsfarve3 2 2 3 2 2 2 2 3" xfId="49094" xr:uid="{00000000-0005-0000-0000-00000C5F0000}"/>
    <cellStyle name="40 % - Markeringsfarve3 2 2 3 2 2 2 3" xfId="27133" xr:uid="{00000000-0005-0000-0000-00000D5F0000}"/>
    <cellStyle name="40 % - Markeringsfarve3 2 2 3 2 2 2 4" xfId="42097" xr:uid="{00000000-0005-0000-0000-00000E5F0000}"/>
    <cellStyle name="40 % - Markeringsfarve3 2 2 3 2 2 3" xfId="14331" xr:uid="{00000000-0005-0000-0000-00000F5F0000}"/>
    <cellStyle name="40 % - Markeringsfarve3 2 2 3 2 2 3 2" xfId="30610" xr:uid="{00000000-0005-0000-0000-0000105F0000}"/>
    <cellStyle name="40 % - Markeringsfarve3 2 2 3 2 2 3 3" xfId="45570" xr:uid="{00000000-0005-0000-0000-0000115F0000}"/>
    <cellStyle name="40 % - Markeringsfarve3 2 2 3 2 2 4" xfId="23608" xr:uid="{00000000-0005-0000-0000-0000125F0000}"/>
    <cellStyle name="40 % - Markeringsfarve3 2 2 3 2 2 5" xfId="38573" xr:uid="{00000000-0005-0000-0000-0000135F0000}"/>
    <cellStyle name="40 % - Markeringsfarve3 2 2 3 2 3" xfId="8551" xr:uid="{00000000-0005-0000-0000-0000145F0000}"/>
    <cellStyle name="40 % - Markeringsfarve3 2 2 3 2 3 2" xfId="16421" xr:uid="{00000000-0005-0000-0000-0000155F0000}"/>
    <cellStyle name="40 % - Markeringsfarve3 2 2 3 2 3 2 2" xfId="32697" xr:uid="{00000000-0005-0000-0000-0000165F0000}"/>
    <cellStyle name="40 % - Markeringsfarve3 2 2 3 2 3 2 3" xfId="47656" xr:uid="{00000000-0005-0000-0000-0000175F0000}"/>
    <cellStyle name="40 % - Markeringsfarve3 2 2 3 2 3 3" xfId="25695" xr:uid="{00000000-0005-0000-0000-0000185F0000}"/>
    <cellStyle name="40 % - Markeringsfarve3 2 2 3 2 3 4" xfId="40659" xr:uid="{00000000-0005-0000-0000-0000195F0000}"/>
    <cellStyle name="40 % - Markeringsfarve3 2 2 3 2 4" xfId="14330" xr:uid="{00000000-0005-0000-0000-00001A5F0000}"/>
    <cellStyle name="40 % - Markeringsfarve3 2 2 3 2 4 2" xfId="30609" xr:uid="{00000000-0005-0000-0000-00001B5F0000}"/>
    <cellStyle name="40 % - Markeringsfarve3 2 2 3 2 4 3" xfId="45569" xr:uid="{00000000-0005-0000-0000-00001C5F0000}"/>
    <cellStyle name="40 % - Markeringsfarve3 2 2 3 2 5" xfId="23607" xr:uid="{00000000-0005-0000-0000-00001D5F0000}"/>
    <cellStyle name="40 % - Markeringsfarve3 2 2 3 2 6" xfId="38572" xr:uid="{00000000-0005-0000-0000-00001E5F0000}"/>
    <cellStyle name="40 % - Markeringsfarve3 2 2 3 3" xfId="5847" xr:uid="{00000000-0005-0000-0000-00001F5F0000}"/>
    <cellStyle name="40 % - Markeringsfarve3 2 2 3 3 2" xfId="9235" xr:uid="{00000000-0005-0000-0000-0000205F0000}"/>
    <cellStyle name="40 % - Markeringsfarve3 2 2 3 3 2 2" xfId="17099" xr:uid="{00000000-0005-0000-0000-0000215F0000}"/>
    <cellStyle name="40 % - Markeringsfarve3 2 2 3 3 2 2 2" xfId="33375" xr:uid="{00000000-0005-0000-0000-0000225F0000}"/>
    <cellStyle name="40 % - Markeringsfarve3 2 2 3 3 2 2 3" xfId="48334" xr:uid="{00000000-0005-0000-0000-0000235F0000}"/>
    <cellStyle name="40 % - Markeringsfarve3 2 2 3 3 2 3" xfId="26373" xr:uid="{00000000-0005-0000-0000-0000245F0000}"/>
    <cellStyle name="40 % - Markeringsfarve3 2 2 3 3 2 4" xfId="41337" xr:uid="{00000000-0005-0000-0000-0000255F0000}"/>
    <cellStyle name="40 % - Markeringsfarve3 2 2 3 3 3" xfId="14332" xr:uid="{00000000-0005-0000-0000-0000265F0000}"/>
    <cellStyle name="40 % - Markeringsfarve3 2 2 3 3 3 2" xfId="30611" xr:uid="{00000000-0005-0000-0000-0000275F0000}"/>
    <cellStyle name="40 % - Markeringsfarve3 2 2 3 3 3 3" xfId="45571" xr:uid="{00000000-0005-0000-0000-0000285F0000}"/>
    <cellStyle name="40 % - Markeringsfarve3 2 2 3 3 4" xfId="23609" xr:uid="{00000000-0005-0000-0000-0000295F0000}"/>
    <cellStyle name="40 % - Markeringsfarve3 2 2 3 3 5" xfId="38574" xr:uid="{00000000-0005-0000-0000-00002A5F0000}"/>
    <cellStyle name="40 % - Markeringsfarve3 2 2 3 4" xfId="5848" xr:uid="{00000000-0005-0000-0000-00002B5F0000}"/>
    <cellStyle name="40 % - Markeringsfarve3 2 2 3 4 2" xfId="8908" xr:uid="{00000000-0005-0000-0000-00002C5F0000}"/>
    <cellStyle name="40 % - Markeringsfarve3 2 2 3 4 2 2" xfId="16774" xr:uid="{00000000-0005-0000-0000-00002D5F0000}"/>
    <cellStyle name="40 % - Markeringsfarve3 2 2 3 4 2 2 2" xfId="33050" xr:uid="{00000000-0005-0000-0000-00002E5F0000}"/>
    <cellStyle name="40 % - Markeringsfarve3 2 2 3 4 2 2 3" xfId="48009" xr:uid="{00000000-0005-0000-0000-00002F5F0000}"/>
    <cellStyle name="40 % - Markeringsfarve3 2 2 3 4 2 3" xfId="26048" xr:uid="{00000000-0005-0000-0000-0000305F0000}"/>
    <cellStyle name="40 % - Markeringsfarve3 2 2 3 4 2 4" xfId="41012" xr:uid="{00000000-0005-0000-0000-0000315F0000}"/>
    <cellStyle name="40 % - Markeringsfarve3 2 2 3 4 3" xfId="14333" xr:uid="{00000000-0005-0000-0000-0000325F0000}"/>
    <cellStyle name="40 % - Markeringsfarve3 2 2 3 4 3 2" xfId="30612" xr:uid="{00000000-0005-0000-0000-0000335F0000}"/>
    <cellStyle name="40 % - Markeringsfarve3 2 2 3 4 3 3" xfId="45572" xr:uid="{00000000-0005-0000-0000-0000345F0000}"/>
    <cellStyle name="40 % - Markeringsfarve3 2 2 3 4 4" xfId="23610" xr:uid="{00000000-0005-0000-0000-0000355F0000}"/>
    <cellStyle name="40 % - Markeringsfarve3 2 2 3 4 5" xfId="38575" xr:uid="{00000000-0005-0000-0000-0000365F0000}"/>
    <cellStyle name="40 % - Markeringsfarve3 2 2 3 5" xfId="8075" xr:uid="{00000000-0005-0000-0000-0000375F0000}"/>
    <cellStyle name="40 % - Markeringsfarve3 2 2 3 5 2" xfId="15940" xr:uid="{00000000-0005-0000-0000-0000385F0000}"/>
    <cellStyle name="40 % - Markeringsfarve3 2 2 3 5 2 2" xfId="32216" xr:uid="{00000000-0005-0000-0000-0000395F0000}"/>
    <cellStyle name="40 % - Markeringsfarve3 2 2 3 5 2 3" xfId="47175" xr:uid="{00000000-0005-0000-0000-00003A5F0000}"/>
    <cellStyle name="40 % - Markeringsfarve3 2 2 3 5 3" xfId="25214" xr:uid="{00000000-0005-0000-0000-00003B5F0000}"/>
    <cellStyle name="40 % - Markeringsfarve3 2 2 3 5 4" xfId="40178" xr:uid="{00000000-0005-0000-0000-00003C5F0000}"/>
    <cellStyle name="40 % - Markeringsfarve3 2 2 3 6" xfId="14329" xr:uid="{00000000-0005-0000-0000-00003D5F0000}"/>
    <cellStyle name="40 % - Markeringsfarve3 2 2 3 6 2" xfId="30608" xr:uid="{00000000-0005-0000-0000-00003E5F0000}"/>
    <cellStyle name="40 % - Markeringsfarve3 2 2 3 6 3" xfId="45568" xr:uid="{00000000-0005-0000-0000-00003F5F0000}"/>
    <cellStyle name="40 % - Markeringsfarve3 2 2 3 7" xfId="23606" xr:uid="{00000000-0005-0000-0000-0000405F0000}"/>
    <cellStyle name="40 % - Markeringsfarve3 2 2 3 8" xfId="38571" xr:uid="{00000000-0005-0000-0000-0000415F0000}"/>
    <cellStyle name="40 % - Markeringsfarve3 2 2 4" xfId="5849" xr:uid="{00000000-0005-0000-0000-0000425F0000}"/>
    <cellStyle name="40 % - Markeringsfarve3 2 2 4 2" xfId="5850" xr:uid="{00000000-0005-0000-0000-0000435F0000}"/>
    <cellStyle name="40 % - Markeringsfarve3 2 2 4 2 2" xfId="5851" xr:uid="{00000000-0005-0000-0000-0000445F0000}"/>
    <cellStyle name="40 % - Markeringsfarve3 2 2 4 2 2 2" xfId="10121" xr:uid="{00000000-0005-0000-0000-0000455F0000}"/>
    <cellStyle name="40 % - Markeringsfarve3 2 2 4 2 2 2 2" xfId="17976" xr:uid="{00000000-0005-0000-0000-0000465F0000}"/>
    <cellStyle name="40 % - Markeringsfarve3 2 2 4 2 2 2 2 2" xfId="34252" xr:uid="{00000000-0005-0000-0000-0000475F0000}"/>
    <cellStyle name="40 % - Markeringsfarve3 2 2 4 2 2 2 2 3" xfId="49211" xr:uid="{00000000-0005-0000-0000-0000485F0000}"/>
    <cellStyle name="40 % - Markeringsfarve3 2 2 4 2 2 2 3" xfId="27250" xr:uid="{00000000-0005-0000-0000-0000495F0000}"/>
    <cellStyle name="40 % - Markeringsfarve3 2 2 4 2 2 2 4" xfId="42214" xr:uid="{00000000-0005-0000-0000-00004A5F0000}"/>
    <cellStyle name="40 % - Markeringsfarve3 2 2 4 2 2 3" xfId="14336" xr:uid="{00000000-0005-0000-0000-00004B5F0000}"/>
    <cellStyle name="40 % - Markeringsfarve3 2 2 4 2 2 3 2" xfId="30615" xr:uid="{00000000-0005-0000-0000-00004C5F0000}"/>
    <cellStyle name="40 % - Markeringsfarve3 2 2 4 2 2 3 3" xfId="45575" xr:uid="{00000000-0005-0000-0000-00004D5F0000}"/>
    <cellStyle name="40 % - Markeringsfarve3 2 2 4 2 2 4" xfId="23613" xr:uid="{00000000-0005-0000-0000-00004E5F0000}"/>
    <cellStyle name="40 % - Markeringsfarve3 2 2 4 2 2 5" xfId="38578" xr:uid="{00000000-0005-0000-0000-00004F5F0000}"/>
    <cellStyle name="40 % - Markeringsfarve3 2 2 4 2 3" xfId="8658" xr:uid="{00000000-0005-0000-0000-0000505F0000}"/>
    <cellStyle name="40 % - Markeringsfarve3 2 2 4 2 3 2" xfId="16525" xr:uid="{00000000-0005-0000-0000-0000515F0000}"/>
    <cellStyle name="40 % - Markeringsfarve3 2 2 4 2 3 2 2" xfId="32801" xr:uid="{00000000-0005-0000-0000-0000525F0000}"/>
    <cellStyle name="40 % - Markeringsfarve3 2 2 4 2 3 2 3" xfId="47760" xr:uid="{00000000-0005-0000-0000-0000535F0000}"/>
    <cellStyle name="40 % - Markeringsfarve3 2 2 4 2 3 3" xfId="25799" xr:uid="{00000000-0005-0000-0000-0000545F0000}"/>
    <cellStyle name="40 % - Markeringsfarve3 2 2 4 2 3 4" xfId="40763" xr:uid="{00000000-0005-0000-0000-0000555F0000}"/>
    <cellStyle name="40 % - Markeringsfarve3 2 2 4 2 4" xfId="14335" xr:uid="{00000000-0005-0000-0000-0000565F0000}"/>
    <cellStyle name="40 % - Markeringsfarve3 2 2 4 2 4 2" xfId="30614" xr:uid="{00000000-0005-0000-0000-0000575F0000}"/>
    <cellStyle name="40 % - Markeringsfarve3 2 2 4 2 4 3" xfId="45574" xr:uid="{00000000-0005-0000-0000-0000585F0000}"/>
    <cellStyle name="40 % - Markeringsfarve3 2 2 4 2 5" xfId="23612" xr:uid="{00000000-0005-0000-0000-0000595F0000}"/>
    <cellStyle name="40 % - Markeringsfarve3 2 2 4 2 6" xfId="38577" xr:uid="{00000000-0005-0000-0000-00005A5F0000}"/>
    <cellStyle name="40 % - Markeringsfarve3 2 2 4 3" xfId="5852" xr:uid="{00000000-0005-0000-0000-00005B5F0000}"/>
    <cellStyle name="40 % - Markeringsfarve3 2 2 4 3 2" xfId="9398" xr:uid="{00000000-0005-0000-0000-00005C5F0000}"/>
    <cellStyle name="40 % - Markeringsfarve3 2 2 4 3 2 2" xfId="17261" xr:uid="{00000000-0005-0000-0000-00005D5F0000}"/>
    <cellStyle name="40 % - Markeringsfarve3 2 2 4 3 2 2 2" xfId="33537" xr:uid="{00000000-0005-0000-0000-00005E5F0000}"/>
    <cellStyle name="40 % - Markeringsfarve3 2 2 4 3 2 2 3" xfId="48496" xr:uid="{00000000-0005-0000-0000-00005F5F0000}"/>
    <cellStyle name="40 % - Markeringsfarve3 2 2 4 3 2 3" xfId="26535" xr:uid="{00000000-0005-0000-0000-0000605F0000}"/>
    <cellStyle name="40 % - Markeringsfarve3 2 2 4 3 2 4" xfId="41499" xr:uid="{00000000-0005-0000-0000-0000615F0000}"/>
    <cellStyle name="40 % - Markeringsfarve3 2 2 4 3 3" xfId="14337" xr:uid="{00000000-0005-0000-0000-0000625F0000}"/>
    <cellStyle name="40 % - Markeringsfarve3 2 2 4 3 3 2" xfId="30616" xr:uid="{00000000-0005-0000-0000-0000635F0000}"/>
    <cellStyle name="40 % - Markeringsfarve3 2 2 4 3 3 3" xfId="45576" xr:uid="{00000000-0005-0000-0000-0000645F0000}"/>
    <cellStyle name="40 % - Markeringsfarve3 2 2 4 3 4" xfId="23614" xr:uid="{00000000-0005-0000-0000-0000655F0000}"/>
    <cellStyle name="40 % - Markeringsfarve3 2 2 4 3 5" xfId="38579" xr:uid="{00000000-0005-0000-0000-0000665F0000}"/>
    <cellStyle name="40 % - Markeringsfarve3 2 2 4 4" xfId="5853" xr:uid="{00000000-0005-0000-0000-0000675F0000}"/>
    <cellStyle name="40 % - Markeringsfarve3 2 2 4 4 2" xfId="10747" xr:uid="{00000000-0005-0000-0000-0000685F0000}"/>
    <cellStyle name="40 % - Markeringsfarve3 2 2 4 4 2 2" xfId="18590" xr:uid="{00000000-0005-0000-0000-0000695F0000}"/>
    <cellStyle name="40 % - Markeringsfarve3 2 2 4 4 2 2 2" xfId="34866" xr:uid="{00000000-0005-0000-0000-00006A5F0000}"/>
    <cellStyle name="40 % - Markeringsfarve3 2 2 4 4 2 2 3" xfId="49825" xr:uid="{00000000-0005-0000-0000-00006B5F0000}"/>
    <cellStyle name="40 % - Markeringsfarve3 2 2 4 4 2 3" xfId="27864" xr:uid="{00000000-0005-0000-0000-00006C5F0000}"/>
    <cellStyle name="40 % - Markeringsfarve3 2 2 4 4 2 4" xfId="42828" xr:uid="{00000000-0005-0000-0000-00006D5F0000}"/>
    <cellStyle name="40 % - Markeringsfarve3 2 2 4 4 3" xfId="14338" xr:uid="{00000000-0005-0000-0000-00006E5F0000}"/>
    <cellStyle name="40 % - Markeringsfarve3 2 2 4 4 3 2" xfId="30617" xr:uid="{00000000-0005-0000-0000-00006F5F0000}"/>
    <cellStyle name="40 % - Markeringsfarve3 2 2 4 4 3 3" xfId="45577" xr:uid="{00000000-0005-0000-0000-0000705F0000}"/>
    <cellStyle name="40 % - Markeringsfarve3 2 2 4 4 4" xfId="23615" xr:uid="{00000000-0005-0000-0000-0000715F0000}"/>
    <cellStyle name="40 % - Markeringsfarve3 2 2 4 4 5" xfId="38580" xr:uid="{00000000-0005-0000-0000-0000725F0000}"/>
    <cellStyle name="40 % - Markeringsfarve3 2 2 4 5" xfId="8076" xr:uid="{00000000-0005-0000-0000-0000735F0000}"/>
    <cellStyle name="40 % - Markeringsfarve3 2 2 4 5 2" xfId="15941" xr:uid="{00000000-0005-0000-0000-0000745F0000}"/>
    <cellStyle name="40 % - Markeringsfarve3 2 2 4 5 2 2" xfId="32217" xr:uid="{00000000-0005-0000-0000-0000755F0000}"/>
    <cellStyle name="40 % - Markeringsfarve3 2 2 4 5 2 3" xfId="47176" xr:uid="{00000000-0005-0000-0000-0000765F0000}"/>
    <cellStyle name="40 % - Markeringsfarve3 2 2 4 5 3" xfId="25215" xr:uid="{00000000-0005-0000-0000-0000775F0000}"/>
    <cellStyle name="40 % - Markeringsfarve3 2 2 4 5 4" xfId="40179" xr:uid="{00000000-0005-0000-0000-0000785F0000}"/>
    <cellStyle name="40 % - Markeringsfarve3 2 2 4 6" xfId="14334" xr:uid="{00000000-0005-0000-0000-0000795F0000}"/>
    <cellStyle name="40 % - Markeringsfarve3 2 2 4 6 2" xfId="30613" xr:uid="{00000000-0005-0000-0000-00007A5F0000}"/>
    <cellStyle name="40 % - Markeringsfarve3 2 2 4 6 3" xfId="45573" xr:uid="{00000000-0005-0000-0000-00007B5F0000}"/>
    <cellStyle name="40 % - Markeringsfarve3 2 2 4 7" xfId="23611" xr:uid="{00000000-0005-0000-0000-00007C5F0000}"/>
    <cellStyle name="40 % - Markeringsfarve3 2 2 4 8" xfId="38576" xr:uid="{00000000-0005-0000-0000-00007D5F0000}"/>
    <cellStyle name="40 % - Markeringsfarve3 2 2 5" xfId="5854" xr:uid="{00000000-0005-0000-0000-00007E5F0000}"/>
    <cellStyle name="40 % - Markeringsfarve3 2 2 5 2" xfId="5855" xr:uid="{00000000-0005-0000-0000-00007F5F0000}"/>
    <cellStyle name="40 % - Markeringsfarve3 2 2 5 2 2" xfId="5856" xr:uid="{00000000-0005-0000-0000-0000805F0000}"/>
    <cellStyle name="40 % - Markeringsfarve3 2 2 5 2 2 2" xfId="10238" xr:uid="{00000000-0005-0000-0000-0000815F0000}"/>
    <cellStyle name="40 % - Markeringsfarve3 2 2 5 2 2 2 2" xfId="18093" xr:uid="{00000000-0005-0000-0000-0000825F0000}"/>
    <cellStyle name="40 % - Markeringsfarve3 2 2 5 2 2 2 2 2" xfId="34369" xr:uid="{00000000-0005-0000-0000-0000835F0000}"/>
    <cellStyle name="40 % - Markeringsfarve3 2 2 5 2 2 2 2 3" xfId="49328" xr:uid="{00000000-0005-0000-0000-0000845F0000}"/>
    <cellStyle name="40 % - Markeringsfarve3 2 2 5 2 2 2 3" xfId="27367" xr:uid="{00000000-0005-0000-0000-0000855F0000}"/>
    <cellStyle name="40 % - Markeringsfarve3 2 2 5 2 2 2 4" xfId="42331" xr:uid="{00000000-0005-0000-0000-0000865F0000}"/>
    <cellStyle name="40 % - Markeringsfarve3 2 2 5 2 2 3" xfId="14341" xr:uid="{00000000-0005-0000-0000-0000875F0000}"/>
    <cellStyle name="40 % - Markeringsfarve3 2 2 5 2 2 3 2" xfId="30620" xr:uid="{00000000-0005-0000-0000-0000885F0000}"/>
    <cellStyle name="40 % - Markeringsfarve3 2 2 5 2 2 3 3" xfId="45580" xr:uid="{00000000-0005-0000-0000-0000895F0000}"/>
    <cellStyle name="40 % - Markeringsfarve3 2 2 5 2 2 4" xfId="23618" xr:uid="{00000000-0005-0000-0000-00008A5F0000}"/>
    <cellStyle name="40 % - Markeringsfarve3 2 2 5 2 2 5" xfId="38583" xr:uid="{00000000-0005-0000-0000-00008B5F0000}"/>
    <cellStyle name="40 % - Markeringsfarve3 2 2 5 2 3" xfId="8757" xr:uid="{00000000-0005-0000-0000-00008C5F0000}"/>
    <cellStyle name="40 % - Markeringsfarve3 2 2 5 2 3 2" xfId="16624" xr:uid="{00000000-0005-0000-0000-00008D5F0000}"/>
    <cellStyle name="40 % - Markeringsfarve3 2 2 5 2 3 2 2" xfId="32900" xr:uid="{00000000-0005-0000-0000-00008E5F0000}"/>
    <cellStyle name="40 % - Markeringsfarve3 2 2 5 2 3 2 3" xfId="47859" xr:uid="{00000000-0005-0000-0000-00008F5F0000}"/>
    <cellStyle name="40 % - Markeringsfarve3 2 2 5 2 3 3" xfId="25898" xr:uid="{00000000-0005-0000-0000-0000905F0000}"/>
    <cellStyle name="40 % - Markeringsfarve3 2 2 5 2 3 4" xfId="40862" xr:uid="{00000000-0005-0000-0000-0000915F0000}"/>
    <cellStyle name="40 % - Markeringsfarve3 2 2 5 2 4" xfId="14340" xr:uid="{00000000-0005-0000-0000-0000925F0000}"/>
    <cellStyle name="40 % - Markeringsfarve3 2 2 5 2 4 2" xfId="30619" xr:uid="{00000000-0005-0000-0000-0000935F0000}"/>
    <cellStyle name="40 % - Markeringsfarve3 2 2 5 2 4 3" xfId="45579" xr:uid="{00000000-0005-0000-0000-0000945F0000}"/>
    <cellStyle name="40 % - Markeringsfarve3 2 2 5 2 5" xfId="23617" xr:uid="{00000000-0005-0000-0000-0000955F0000}"/>
    <cellStyle name="40 % - Markeringsfarve3 2 2 5 2 6" xfId="38582" xr:uid="{00000000-0005-0000-0000-0000965F0000}"/>
    <cellStyle name="40 % - Markeringsfarve3 2 2 5 3" xfId="5857" xr:uid="{00000000-0005-0000-0000-0000975F0000}"/>
    <cellStyle name="40 % - Markeringsfarve3 2 2 5 3 2" xfId="9515" xr:uid="{00000000-0005-0000-0000-0000985F0000}"/>
    <cellStyle name="40 % - Markeringsfarve3 2 2 5 3 2 2" xfId="17378" xr:uid="{00000000-0005-0000-0000-0000995F0000}"/>
    <cellStyle name="40 % - Markeringsfarve3 2 2 5 3 2 2 2" xfId="33654" xr:uid="{00000000-0005-0000-0000-00009A5F0000}"/>
    <cellStyle name="40 % - Markeringsfarve3 2 2 5 3 2 2 3" xfId="48613" xr:uid="{00000000-0005-0000-0000-00009B5F0000}"/>
    <cellStyle name="40 % - Markeringsfarve3 2 2 5 3 2 3" xfId="26652" xr:uid="{00000000-0005-0000-0000-00009C5F0000}"/>
    <cellStyle name="40 % - Markeringsfarve3 2 2 5 3 2 4" xfId="41616" xr:uid="{00000000-0005-0000-0000-00009D5F0000}"/>
    <cellStyle name="40 % - Markeringsfarve3 2 2 5 3 3" xfId="14342" xr:uid="{00000000-0005-0000-0000-00009E5F0000}"/>
    <cellStyle name="40 % - Markeringsfarve3 2 2 5 3 3 2" xfId="30621" xr:uid="{00000000-0005-0000-0000-00009F5F0000}"/>
    <cellStyle name="40 % - Markeringsfarve3 2 2 5 3 3 3" xfId="45581" xr:uid="{00000000-0005-0000-0000-0000A05F0000}"/>
    <cellStyle name="40 % - Markeringsfarve3 2 2 5 3 4" xfId="23619" xr:uid="{00000000-0005-0000-0000-0000A15F0000}"/>
    <cellStyle name="40 % - Markeringsfarve3 2 2 5 3 5" xfId="38584" xr:uid="{00000000-0005-0000-0000-0000A25F0000}"/>
    <cellStyle name="40 % - Markeringsfarve3 2 2 5 4" xfId="5858" xr:uid="{00000000-0005-0000-0000-0000A35F0000}"/>
    <cellStyle name="40 % - Markeringsfarve3 2 2 5 4 2" xfId="10976" xr:uid="{00000000-0005-0000-0000-0000A45F0000}"/>
    <cellStyle name="40 % - Markeringsfarve3 2 2 5 4 2 2" xfId="18807" xr:uid="{00000000-0005-0000-0000-0000A55F0000}"/>
    <cellStyle name="40 % - Markeringsfarve3 2 2 5 4 2 2 2" xfId="35083" xr:uid="{00000000-0005-0000-0000-0000A65F0000}"/>
    <cellStyle name="40 % - Markeringsfarve3 2 2 5 4 2 2 3" xfId="50042" xr:uid="{00000000-0005-0000-0000-0000A75F0000}"/>
    <cellStyle name="40 % - Markeringsfarve3 2 2 5 4 2 3" xfId="28081" xr:uid="{00000000-0005-0000-0000-0000A85F0000}"/>
    <cellStyle name="40 % - Markeringsfarve3 2 2 5 4 2 4" xfId="43045" xr:uid="{00000000-0005-0000-0000-0000A95F0000}"/>
    <cellStyle name="40 % - Markeringsfarve3 2 2 5 4 3" xfId="14343" xr:uid="{00000000-0005-0000-0000-0000AA5F0000}"/>
    <cellStyle name="40 % - Markeringsfarve3 2 2 5 4 3 2" xfId="30622" xr:uid="{00000000-0005-0000-0000-0000AB5F0000}"/>
    <cellStyle name="40 % - Markeringsfarve3 2 2 5 4 3 3" xfId="45582" xr:uid="{00000000-0005-0000-0000-0000AC5F0000}"/>
    <cellStyle name="40 % - Markeringsfarve3 2 2 5 4 4" xfId="23620" xr:uid="{00000000-0005-0000-0000-0000AD5F0000}"/>
    <cellStyle name="40 % - Markeringsfarve3 2 2 5 4 5" xfId="38585" xr:uid="{00000000-0005-0000-0000-0000AE5F0000}"/>
    <cellStyle name="40 % - Markeringsfarve3 2 2 5 5" xfId="8077" xr:uid="{00000000-0005-0000-0000-0000AF5F0000}"/>
    <cellStyle name="40 % - Markeringsfarve3 2 2 5 5 2" xfId="15942" xr:uid="{00000000-0005-0000-0000-0000B05F0000}"/>
    <cellStyle name="40 % - Markeringsfarve3 2 2 5 5 2 2" xfId="32218" xr:uid="{00000000-0005-0000-0000-0000B15F0000}"/>
    <cellStyle name="40 % - Markeringsfarve3 2 2 5 5 2 3" xfId="47177" xr:uid="{00000000-0005-0000-0000-0000B25F0000}"/>
    <cellStyle name="40 % - Markeringsfarve3 2 2 5 5 3" xfId="25216" xr:uid="{00000000-0005-0000-0000-0000B35F0000}"/>
    <cellStyle name="40 % - Markeringsfarve3 2 2 5 5 4" xfId="40180" xr:uid="{00000000-0005-0000-0000-0000B45F0000}"/>
    <cellStyle name="40 % - Markeringsfarve3 2 2 5 6" xfId="14339" xr:uid="{00000000-0005-0000-0000-0000B55F0000}"/>
    <cellStyle name="40 % - Markeringsfarve3 2 2 5 6 2" xfId="30618" xr:uid="{00000000-0005-0000-0000-0000B65F0000}"/>
    <cellStyle name="40 % - Markeringsfarve3 2 2 5 6 3" xfId="45578" xr:uid="{00000000-0005-0000-0000-0000B75F0000}"/>
    <cellStyle name="40 % - Markeringsfarve3 2 2 5 7" xfId="23616" xr:uid="{00000000-0005-0000-0000-0000B85F0000}"/>
    <cellStyle name="40 % - Markeringsfarve3 2 2 5 8" xfId="38581" xr:uid="{00000000-0005-0000-0000-0000B95F0000}"/>
    <cellStyle name="40 % - Markeringsfarve3 2 2 6" xfId="5859" xr:uid="{00000000-0005-0000-0000-0000BA5F0000}"/>
    <cellStyle name="40 % - Markeringsfarve3 2 2 6 2" xfId="5860" xr:uid="{00000000-0005-0000-0000-0000BB5F0000}"/>
    <cellStyle name="40 % - Markeringsfarve3 2 2 6 2 2" xfId="5861" xr:uid="{00000000-0005-0000-0000-0000BC5F0000}"/>
    <cellStyle name="40 % - Markeringsfarve3 2 2 6 2 2 2" xfId="10359" xr:uid="{00000000-0005-0000-0000-0000BD5F0000}"/>
    <cellStyle name="40 % - Markeringsfarve3 2 2 6 2 2 2 2" xfId="18214" xr:uid="{00000000-0005-0000-0000-0000BE5F0000}"/>
    <cellStyle name="40 % - Markeringsfarve3 2 2 6 2 2 2 2 2" xfId="34490" xr:uid="{00000000-0005-0000-0000-0000BF5F0000}"/>
    <cellStyle name="40 % - Markeringsfarve3 2 2 6 2 2 2 2 3" xfId="49449" xr:uid="{00000000-0005-0000-0000-0000C05F0000}"/>
    <cellStyle name="40 % - Markeringsfarve3 2 2 6 2 2 2 3" xfId="27488" xr:uid="{00000000-0005-0000-0000-0000C15F0000}"/>
    <cellStyle name="40 % - Markeringsfarve3 2 2 6 2 2 2 4" xfId="42452" xr:uid="{00000000-0005-0000-0000-0000C25F0000}"/>
    <cellStyle name="40 % - Markeringsfarve3 2 2 6 2 2 3" xfId="14346" xr:uid="{00000000-0005-0000-0000-0000C35F0000}"/>
    <cellStyle name="40 % - Markeringsfarve3 2 2 6 2 2 3 2" xfId="30625" xr:uid="{00000000-0005-0000-0000-0000C45F0000}"/>
    <cellStyle name="40 % - Markeringsfarve3 2 2 6 2 2 3 3" xfId="45585" xr:uid="{00000000-0005-0000-0000-0000C55F0000}"/>
    <cellStyle name="40 % - Markeringsfarve3 2 2 6 2 2 4" xfId="23623" xr:uid="{00000000-0005-0000-0000-0000C65F0000}"/>
    <cellStyle name="40 % - Markeringsfarve3 2 2 6 2 2 5" xfId="38588" xr:uid="{00000000-0005-0000-0000-0000C75F0000}"/>
    <cellStyle name="40 % - Markeringsfarve3 2 2 6 2 3" xfId="8853" xr:uid="{00000000-0005-0000-0000-0000C85F0000}"/>
    <cellStyle name="40 % - Markeringsfarve3 2 2 6 2 3 2" xfId="16720" xr:uid="{00000000-0005-0000-0000-0000C95F0000}"/>
    <cellStyle name="40 % - Markeringsfarve3 2 2 6 2 3 2 2" xfId="32996" xr:uid="{00000000-0005-0000-0000-0000CA5F0000}"/>
    <cellStyle name="40 % - Markeringsfarve3 2 2 6 2 3 2 3" xfId="47955" xr:uid="{00000000-0005-0000-0000-0000CB5F0000}"/>
    <cellStyle name="40 % - Markeringsfarve3 2 2 6 2 3 3" xfId="25994" xr:uid="{00000000-0005-0000-0000-0000CC5F0000}"/>
    <cellStyle name="40 % - Markeringsfarve3 2 2 6 2 3 4" xfId="40958" xr:uid="{00000000-0005-0000-0000-0000CD5F0000}"/>
    <cellStyle name="40 % - Markeringsfarve3 2 2 6 2 4" xfId="14345" xr:uid="{00000000-0005-0000-0000-0000CE5F0000}"/>
    <cellStyle name="40 % - Markeringsfarve3 2 2 6 2 4 2" xfId="30624" xr:uid="{00000000-0005-0000-0000-0000CF5F0000}"/>
    <cellStyle name="40 % - Markeringsfarve3 2 2 6 2 4 3" xfId="45584" xr:uid="{00000000-0005-0000-0000-0000D05F0000}"/>
    <cellStyle name="40 % - Markeringsfarve3 2 2 6 2 5" xfId="23622" xr:uid="{00000000-0005-0000-0000-0000D15F0000}"/>
    <cellStyle name="40 % - Markeringsfarve3 2 2 6 2 6" xfId="38587" xr:uid="{00000000-0005-0000-0000-0000D25F0000}"/>
    <cellStyle name="40 % - Markeringsfarve3 2 2 6 3" xfId="5862" xr:uid="{00000000-0005-0000-0000-0000D35F0000}"/>
    <cellStyle name="40 % - Markeringsfarve3 2 2 6 3 2" xfId="9637" xr:uid="{00000000-0005-0000-0000-0000D45F0000}"/>
    <cellStyle name="40 % - Markeringsfarve3 2 2 6 3 2 2" xfId="17500" xr:uid="{00000000-0005-0000-0000-0000D55F0000}"/>
    <cellStyle name="40 % - Markeringsfarve3 2 2 6 3 2 2 2" xfId="33776" xr:uid="{00000000-0005-0000-0000-0000D65F0000}"/>
    <cellStyle name="40 % - Markeringsfarve3 2 2 6 3 2 2 3" xfId="48735" xr:uid="{00000000-0005-0000-0000-0000D75F0000}"/>
    <cellStyle name="40 % - Markeringsfarve3 2 2 6 3 2 3" xfId="26774" xr:uid="{00000000-0005-0000-0000-0000D85F0000}"/>
    <cellStyle name="40 % - Markeringsfarve3 2 2 6 3 2 4" xfId="41738" xr:uid="{00000000-0005-0000-0000-0000D95F0000}"/>
    <cellStyle name="40 % - Markeringsfarve3 2 2 6 3 3" xfId="14347" xr:uid="{00000000-0005-0000-0000-0000DA5F0000}"/>
    <cellStyle name="40 % - Markeringsfarve3 2 2 6 3 3 2" xfId="30626" xr:uid="{00000000-0005-0000-0000-0000DB5F0000}"/>
    <cellStyle name="40 % - Markeringsfarve3 2 2 6 3 3 3" xfId="45586" xr:uid="{00000000-0005-0000-0000-0000DC5F0000}"/>
    <cellStyle name="40 % - Markeringsfarve3 2 2 6 3 4" xfId="23624" xr:uid="{00000000-0005-0000-0000-0000DD5F0000}"/>
    <cellStyle name="40 % - Markeringsfarve3 2 2 6 3 5" xfId="38589" xr:uid="{00000000-0005-0000-0000-0000DE5F0000}"/>
    <cellStyle name="40 % - Markeringsfarve3 2 2 6 4" xfId="5863" xr:uid="{00000000-0005-0000-0000-0000DF5F0000}"/>
    <cellStyle name="40 % - Markeringsfarve3 2 2 6 4 2" xfId="10696" xr:uid="{00000000-0005-0000-0000-0000E05F0000}"/>
    <cellStyle name="40 % - Markeringsfarve3 2 2 6 4 2 2" xfId="18540" xr:uid="{00000000-0005-0000-0000-0000E15F0000}"/>
    <cellStyle name="40 % - Markeringsfarve3 2 2 6 4 2 2 2" xfId="34816" xr:uid="{00000000-0005-0000-0000-0000E25F0000}"/>
    <cellStyle name="40 % - Markeringsfarve3 2 2 6 4 2 2 3" xfId="49775" xr:uid="{00000000-0005-0000-0000-0000E35F0000}"/>
    <cellStyle name="40 % - Markeringsfarve3 2 2 6 4 2 3" xfId="27814" xr:uid="{00000000-0005-0000-0000-0000E45F0000}"/>
    <cellStyle name="40 % - Markeringsfarve3 2 2 6 4 2 4" xfId="42778" xr:uid="{00000000-0005-0000-0000-0000E55F0000}"/>
    <cellStyle name="40 % - Markeringsfarve3 2 2 6 4 3" xfId="14348" xr:uid="{00000000-0005-0000-0000-0000E65F0000}"/>
    <cellStyle name="40 % - Markeringsfarve3 2 2 6 4 3 2" xfId="30627" xr:uid="{00000000-0005-0000-0000-0000E75F0000}"/>
    <cellStyle name="40 % - Markeringsfarve3 2 2 6 4 3 3" xfId="45587" xr:uid="{00000000-0005-0000-0000-0000E85F0000}"/>
    <cellStyle name="40 % - Markeringsfarve3 2 2 6 4 4" xfId="23625" xr:uid="{00000000-0005-0000-0000-0000E95F0000}"/>
    <cellStyle name="40 % - Markeringsfarve3 2 2 6 4 5" xfId="38590" xr:uid="{00000000-0005-0000-0000-0000EA5F0000}"/>
    <cellStyle name="40 % - Markeringsfarve3 2 2 6 5" xfId="8078" xr:uid="{00000000-0005-0000-0000-0000EB5F0000}"/>
    <cellStyle name="40 % - Markeringsfarve3 2 2 6 5 2" xfId="15943" xr:uid="{00000000-0005-0000-0000-0000EC5F0000}"/>
    <cellStyle name="40 % - Markeringsfarve3 2 2 6 5 2 2" xfId="32219" xr:uid="{00000000-0005-0000-0000-0000ED5F0000}"/>
    <cellStyle name="40 % - Markeringsfarve3 2 2 6 5 2 3" xfId="47178" xr:uid="{00000000-0005-0000-0000-0000EE5F0000}"/>
    <cellStyle name="40 % - Markeringsfarve3 2 2 6 5 3" xfId="25217" xr:uid="{00000000-0005-0000-0000-0000EF5F0000}"/>
    <cellStyle name="40 % - Markeringsfarve3 2 2 6 5 4" xfId="40181" xr:uid="{00000000-0005-0000-0000-0000F05F0000}"/>
    <cellStyle name="40 % - Markeringsfarve3 2 2 6 6" xfId="14344" xr:uid="{00000000-0005-0000-0000-0000F15F0000}"/>
    <cellStyle name="40 % - Markeringsfarve3 2 2 6 6 2" xfId="30623" xr:uid="{00000000-0005-0000-0000-0000F25F0000}"/>
    <cellStyle name="40 % - Markeringsfarve3 2 2 6 6 3" xfId="45583" xr:uid="{00000000-0005-0000-0000-0000F35F0000}"/>
    <cellStyle name="40 % - Markeringsfarve3 2 2 6 7" xfId="23621" xr:uid="{00000000-0005-0000-0000-0000F45F0000}"/>
    <cellStyle name="40 % - Markeringsfarve3 2 2 6 8" xfId="38586" xr:uid="{00000000-0005-0000-0000-0000F55F0000}"/>
    <cellStyle name="40 % - Markeringsfarve3 2 2 7" xfId="5864" xr:uid="{00000000-0005-0000-0000-0000F65F0000}"/>
    <cellStyle name="40 % - Markeringsfarve3 2 2 7 2" xfId="5865" xr:uid="{00000000-0005-0000-0000-0000F75F0000}"/>
    <cellStyle name="40 % - Markeringsfarve3 2 2 7 2 2" xfId="9765" xr:uid="{00000000-0005-0000-0000-0000F85F0000}"/>
    <cellStyle name="40 % - Markeringsfarve3 2 2 7 2 2 2" xfId="17619" xr:uid="{00000000-0005-0000-0000-0000F95F0000}"/>
    <cellStyle name="40 % - Markeringsfarve3 2 2 7 2 2 2 2" xfId="33895" xr:uid="{00000000-0005-0000-0000-0000FA5F0000}"/>
    <cellStyle name="40 % - Markeringsfarve3 2 2 7 2 2 2 3" xfId="48854" xr:uid="{00000000-0005-0000-0000-0000FB5F0000}"/>
    <cellStyle name="40 % - Markeringsfarve3 2 2 7 2 2 3" xfId="26893" xr:uid="{00000000-0005-0000-0000-0000FC5F0000}"/>
    <cellStyle name="40 % - Markeringsfarve3 2 2 7 2 2 4" xfId="41857" xr:uid="{00000000-0005-0000-0000-0000FD5F0000}"/>
    <cellStyle name="40 % - Markeringsfarve3 2 2 7 2 3" xfId="14350" xr:uid="{00000000-0005-0000-0000-0000FE5F0000}"/>
    <cellStyle name="40 % - Markeringsfarve3 2 2 7 2 3 2" xfId="30629" xr:uid="{00000000-0005-0000-0000-0000FF5F0000}"/>
    <cellStyle name="40 % - Markeringsfarve3 2 2 7 2 3 3" xfId="45589" xr:uid="{00000000-0005-0000-0000-000000600000}"/>
    <cellStyle name="40 % - Markeringsfarve3 2 2 7 2 4" xfId="23627" xr:uid="{00000000-0005-0000-0000-000001600000}"/>
    <cellStyle name="40 % - Markeringsfarve3 2 2 7 2 5" xfId="38592" xr:uid="{00000000-0005-0000-0000-000002600000}"/>
    <cellStyle name="40 % - Markeringsfarve3 2 2 7 3" xfId="8357" xr:uid="{00000000-0005-0000-0000-000003600000}"/>
    <cellStyle name="40 % - Markeringsfarve3 2 2 7 3 2" xfId="16227" xr:uid="{00000000-0005-0000-0000-000004600000}"/>
    <cellStyle name="40 % - Markeringsfarve3 2 2 7 3 2 2" xfId="32503" xr:uid="{00000000-0005-0000-0000-000005600000}"/>
    <cellStyle name="40 % - Markeringsfarve3 2 2 7 3 2 3" xfId="47462" xr:uid="{00000000-0005-0000-0000-000006600000}"/>
    <cellStyle name="40 % - Markeringsfarve3 2 2 7 3 3" xfId="25501" xr:uid="{00000000-0005-0000-0000-000007600000}"/>
    <cellStyle name="40 % - Markeringsfarve3 2 2 7 3 4" xfId="40465" xr:uid="{00000000-0005-0000-0000-000008600000}"/>
    <cellStyle name="40 % - Markeringsfarve3 2 2 7 4" xfId="14349" xr:uid="{00000000-0005-0000-0000-000009600000}"/>
    <cellStyle name="40 % - Markeringsfarve3 2 2 7 4 2" xfId="30628" xr:uid="{00000000-0005-0000-0000-00000A600000}"/>
    <cellStyle name="40 % - Markeringsfarve3 2 2 7 4 3" xfId="45588" xr:uid="{00000000-0005-0000-0000-00000B600000}"/>
    <cellStyle name="40 % - Markeringsfarve3 2 2 7 5" xfId="23626" xr:uid="{00000000-0005-0000-0000-00000C600000}"/>
    <cellStyle name="40 % - Markeringsfarve3 2 2 7 6" xfId="38591" xr:uid="{00000000-0005-0000-0000-00000D600000}"/>
    <cellStyle name="40 % - Markeringsfarve3 2 2 8" xfId="5866" xr:uid="{00000000-0005-0000-0000-00000E600000}"/>
    <cellStyle name="40 % - Markeringsfarve3 2 2 8 2" xfId="8993" xr:uid="{00000000-0005-0000-0000-00000F600000}"/>
    <cellStyle name="40 % - Markeringsfarve3 2 2 8 2 2" xfId="16857" xr:uid="{00000000-0005-0000-0000-000010600000}"/>
    <cellStyle name="40 % - Markeringsfarve3 2 2 8 2 2 2" xfId="33133" xr:uid="{00000000-0005-0000-0000-000011600000}"/>
    <cellStyle name="40 % - Markeringsfarve3 2 2 8 2 2 3" xfId="48092" xr:uid="{00000000-0005-0000-0000-000012600000}"/>
    <cellStyle name="40 % - Markeringsfarve3 2 2 8 2 3" xfId="26131" xr:uid="{00000000-0005-0000-0000-000013600000}"/>
    <cellStyle name="40 % - Markeringsfarve3 2 2 8 2 4" xfId="41095" xr:uid="{00000000-0005-0000-0000-000014600000}"/>
    <cellStyle name="40 % - Markeringsfarve3 2 2 8 3" xfId="14351" xr:uid="{00000000-0005-0000-0000-000015600000}"/>
    <cellStyle name="40 % - Markeringsfarve3 2 2 8 3 2" xfId="30630" xr:uid="{00000000-0005-0000-0000-000016600000}"/>
    <cellStyle name="40 % - Markeringsfarve3 2 2 8 3 3" xfId="45590" xr:uid="{00000000-0005-0000-0000-000017600000}"/>
    <cellStyle name="40 % - Markeringsfarve3 2 2 8 4" xfId="23628" xr:uid="{00000000-0005-0000-0000-000018600000}"/>
    <cellStyle name="40 % - Markeringsfarve3 2 2 8 5" xfId="38593" xr:uid="{00000000-0005-0000-0000-000019600000}"/>
    <cellStyle name="40 % - Markeringsfarve3 2 2 9" xfId="5867" xr:uid="{00000000-0005-0000-0000-00001A600000}"/>
    <cellStyle name="40 % - Markeringsfarve3 2 2 9 2" xfId="10448" xr:uid="{00000000-0005-0000-0000-00001B600000}"/>
    <cellStyle name="40 % - Markeringsfarve3 2 2 9 2 2" xfId="18300" xr:uid="{00000000-0005-0000-0000-00001C600000}"/>
    <cellStyle name="40 % - Markeringsfarve3 2 2 9 2 2 2" xfId="34576" xr:uid="{00000000-0005-0000-0000-00001D600000}"/>
    <cellStyle name="40 % - Markeringsfarve3 2 2 9 2 2 3" xfId="49535" xr:uid="{00000000-0005-0000-0000-00001E600000}"/>
    <cellStyle name="40 % - Markeringsfarve3 2 2 9 2 3" xfId="27574" xr:uid="{00000000-0005-0000-0000-00001F600000}"/>
    <cellStyle name="40 % - Markeringsfarve3 2 2 9 2 4" xfId="42538" xr:uid="{00000000-0005-0000-0000-000020600000}"/>
    <cellStyle name="40 % - Markeringsfarve3 2 2 9 3" xfId="14352" xr:uid="{00000000-0005-0000-0000-000021600000}"/>
    <cellStyle name="40 % - Markeringsfarve3 2 2 9 3 2" xfId="30631" xr:uid="{00000000-0005-0000-0000-000022600000}"/>
    <cellStyle name="40 % - Markeringsfarve3 2 2 9 3 3" xfId="45591" xr:uid="{00000000-0005-0000-0000-000023600000}"/>
    <cellStyle name="40 % - Markeringsfarve3 2 2 9 4" xfId="23629" xr:uid="{00000000-0005-0000-0000-000024600000}"/>
    <cellStyle name="40 % - Markeringsfarve3 2 2 9 5" xfId="38594" xr:uid="{00000000-0005-0000-0000-000025600000}"/>
    <cellStyle name="40 % - Markeringsfarve3 2 3" xfId="5868" xr:uid="{00000000-0005-0000-0000-000026600000}"/>
    <cellStyle name="40 % - Markeringsfarve3 2 3 10" xfId="8079" xr:uid="{00000000-0005-0000-0000-000027600000}"/>
    <cellStyle name="40 % - Markeringsfarve3 2 3 10 2" xfId="15944" xr:uid="{00000000-0005-0000-0000-000028600000}"/>
    <cellStyle name="40 % - Markeringsfarve3 2 3 10 2 2" xfId="32220" xr:uid="{00000000-0005-0000-0000-000029600000}"/>
    <cellStyle name="40 % - Markeringsfarve3 2 3 10 2 3" xfId="47179" xr:uid="{00000000-0005-0000-0000-00002A600000}"/>
    <cellStyle name="40 % - Markeringsfarve3 2 3 10 3" xfId="25218" xr:uid="{00000000-0005-0000-0000-00002B600000}"/>
    <cellStyle name="40 % - Markeringsfarve3 2 3 10 4" xfId="40182" xr:uid="{00000000-0005-0000-0000-00002C600000}"/>
    <cellStyle name="40 % - Markeringsfarve3 2 3 11" xfId="14353" xr:uid="{00000000-0005-0000-0000-00002D600000}"/>
    <cellStyle name="40 % - Markeringsfarve3 2 3 11 2" xfId="30632" xr:uid="{00000000-0005-0000-0000-00002E600000}"/>
    <cellStyle name="40 % - Markeringsfarve3 2 3 11 3" xfId="45592" xr:uid="{00000000-0005-0000-0000-00002F600000}"/>
    <cellStyle name="40 % - Markeringsfarve3 2 3 12" xfId="23630" xr:uid="{00000000-0005-0000-0000-000030600000}"/>
    <cellStyle name="40 % - Markeringsfarve3 2 3 13" xfId="38595" xr:uid="{00000000-0005-0000-0000-000031600000}"/>
    <cellStyle name="40 % - Markeringsfarve3 2 3 2" xfId="5869" xr:uid="{00000000-0005-0000-0000-000032600000}"/>
    <cellStyle name="40 % - Markeringsfarve3 2 3 2 2" xfId="5870" xr:uid="{00000000-0005-0000-0000-000033600000}"/>
    <cellStyle name="40 % - Markeringsfarve3 2 3 2 2 2" xfId="5871" xr:uid="{00000000-0005-0000-0000-000034600000}"/>
    <cellStyle name="40 % - Markeringsfarve3 2 3 2 2 2 2" xfId="9922" xr:uid="{00000000-0005-0000-0000-000035600000}"/>
    <cellStyle name="40 % - Markeringsfarve3 2 3 2 2 2 2 2" xfId="17777" xr:uid="{00000000-0005-0000-0000-000036600000}"/>
    <cellStyle name="40 % - Markeringsfarve3 2 3 2 2 2 2 2 2" xfId="34053" xr:uid="{00000000-0005-0000-0000-000037600000}"/>
    <cellStyle name="40 % - Markeringsfarve3 2 3 2 2 2 2 2 3" xfId="49012" xr:uid="{00000000-0005-0000-0000-000038600000}"/>
    <cellStyle name="40 % - Markeringsfarve3 2 3 2 2 2 2 3" xfId="27051" xr:uid="{00000000-0005-0000-0000-000039600000}"/>
    <cellStyle name="40 % - Markeringsfarve3 2 3 2 2 2 2 4" xfId="42015" xr:uid="{00000000-0005-0000-0000-00003A600000}"/>
    <cellStyle name="40 % - Markeringsfarve3 2 3 2 2 2 3" xfId="14356" xr:uid="{00000000-0005-0000-0000-00003B600000}"/>
    <cellStyle name="40 % - Markeringsfarve3 2 3 2 2 2 3 2" xfId="30635" xr:uid="{00000000-0005-0000-0000-00003C600000}"/>
    <cellStyle name="40 % - Markeringsfarve3 2 3 2 2 2 3 3" xfId="45595" xr:uid="{00000000-0005-0000-0000-00003D600000}"/>
    <cellStyle name="40 % - Markeringsfarve3 2 3 2 2 2 4" xfId="23633" xr:uid="{00000000-0005-0000-0000-00003E600000}"/>
    <cellStyle name="40 % - Markeringsfarve3 2 3 2 2 2 5" xfId="38598" xr:uid="{00000000-0005-0000-0000-00003F600000}"/>
    <cellStyle name="40 % - Markeringsfarve3 2 3 2 2 3" xfId="8489" xr:uid="{00000000-0005-0000-0000-000040600000}"/>
    <cellStyle name="40 % - Markeringsfarve3 2 3 2 2 3 2" xfId="16359" xr:uid="{00000000-0005-0000-0000-000041600000}"/>
    <cellStyle name="40 % - Markeringsfarve3 2 3 2 2 3 2 2" xfId="32635" xr:uid="{00000000-0005-0000-0000-000042600000}"/>
    <cellStyle name="40 % - Markeringsfarve3 2 3 2 2 3 2 3" xfId="47594" xr:uid="{00000000-0005-0000-0000-000043600000}"/>
    <cellStyle name="40 % - Markeringsfarve3 2 3 2 2 3 3" xfId="25633" xr:uid="{00000000-0005-0000-0000-000044600000}"/>
    <cellStyle name="40 % - Markeringsfarve3 2 3 2 2 3 4" xfId="40597" xr:uid="{00000000-0005-0000-0000-000045600000}"/>
    <cellStyle name="40 % - Markeringsfarve3 2 3 2 2 4" xfId="14355" xr:uid="{00000000-0005-0000-0000-000046600000}"/>
    <cellStyle name="40 % - Markeringsfarve3 2 3 2 2 4 2" xfId="30634" xr:uid="{00000000-0005-0000-0000-000047600000}"/>
    <cellStyle name="40 % - Markeringsfarve3 2 3 2 2 4 3" xfId="45594" xr:uid="{00000000-0005-0000-0000-000048600000}"/>
    <cellStyle name="40 % - Markeringsfarve3 2 3 2 2 5" xfId="23632" xr:uid="{00000000-0005-0000-0000-000049600000}"/>
    <cellStyle name="40 % - Markeringsfarve3 2 3 2 2 6" xfId="38597" xr:uid="{00000000-0005-0000-0000-00004A600000}"/>
    <cellStyle name="40 % - Markeringsfarve3 2 3 2 3" xfId="5872" xr:uid="{00000000-0005-0000-0000-00004B600000}"/>
    <cellStyle name="40 % - Markeringsfarve3 2 3 2 3 2" xfId="9153" xr:uid="{00000000-0005-0000-0000-00004C600000}"/>
    <cellStyle name="40 % - Markeringsfarve3 2 3 2 3 2 2" xfId="17017" xr:uid="{00000000-0005-0000-0000-00004D600000}"/>
    <cellStyle name="40 % - Markeringsfarve3 2 3 2 3 2 2 2" xfId="33293" xr:uid="{00000000-0005-0000-0000-00004E600000}"/>
    <cellStyle name="40 % - Markeringsfarve3 2 3 2 3 2 2 3" xfId="48252" xr:uid="{00000000-0005-0000-0000-00004F600000}"/>
    <cellStyle name="40 % - Markeringsfarve3 2 3 2 3 2 3" xfId="26291" xr:uid="{00000000-0005-0000-0000-000050600000}"/>
    <cellStyle name="40 % - Markeringsfarve3 2 3 2 3 2 4" xfId="41255" xr:uid="{00000000-0005-0000-0000-000051600000}"/>
    <cellStyle name="40 % - Markeringsfarve3 2 3 2 3 3" xfId="14357" xr:uid="{00000000-0005-0000-0000-000052600000}"/>
    <cellStyle name="40 % - Markeringsfarve3 2 3 2 3 3 2" xfId="30636" xr:uid="{00000000-0005-0000-0000-000053600000}"/>
    <cellStyle name="40 % - Markeringsfarve3 2 3 2 3 3 3" xfId="45596" xr:uid="{00000000-0005-0000-0000-000054600000}"/>
    <cellStyle name="40 % - Markeringsfarve3 2 3 2 3 4" xfId="23634" xr:uid="{00000000-0005-0000-0000-000055600000}"/>
    <cellStyle name="40 % - Markeringsfarve3 2 3 2 3 5" xfId="38599" xr:uid="{00000000-0005-0000-0000-000056600000}"/>
    <cellStyle name="40 % - Markeringsfarve3 2 3 2 4" xfId="5873" xr:uid="{00000000-0005-0000-0000-000057600000}"/>
    <cellStyle name="40 % - Markeringsfarve3 2 3 2 4 2" xfId="10643" xr:uid="{00000000-0005-0000-0000-000058600000}"/>
    <cellStyle name="40 % - Markeringsfarve3 2 3 2 4 2 2" xfId="18490" xr:uid="{00000000-0005-0000-0000-000059600000}"/>
    <cellStyle name="40 % - Markeringsfarve3 2 3 2 4 2 2 2" xfId="34766" xr:uid="{00000000-0005-0000-0000-00005A600000}"/>
    <cellStyle name="40 % - Markeringsfarve3 2 3 2 4 2 2 3" xfId="49725" xr:uid="{00000000-0005-0000-0000-00005B600000}"/>
    <cellStyle name="40 % - Markeringsfarve3 2 3 2 4 2 3" xfId="27764" xr:uid="{00000000-0005-0000-0000-00005C600000}"/>
    <cellStyle name="40 % - Markeringsfarve3 2 3 2 4 2 4" xfId="42728" xr:uid="{00000000-0005-0000-0000-00005D600000}"/>
    <cellStyle name="40 % - Markeringsfarve3 2 3 2 4 3" xfId="14358" xr:uid="{00000000-0005-0000-0000-00005E600000}"/>
    <cellStyle name="40 % - Markeringsfarve3 2 3 2 4 3 2" xfId="30637" xr:uid="{00000000-0005-0000-0000-00005F600000}"/>
    <cellStyle name="40 % - Markeringsfarve3 2 3 2 4 3 3" xfId="45597" xr:uid="{00000000-0005-0000-0000-000060600000}"/>
    <cellStyle name="40 % - Markeringsfarve3 2 3 2 4 4" xfId="23635" xr:uid="{00000000-0005-0000-0000-000061600000}"/>
    <cellStyle name="40 % - Markeringsfarve3 2 3 2 4 5" xfId="38600" xr:uid="{00000000-0005-0000-0000-000062600000}"/>
    <cellStyle name="40 % - Markeringsfarve3 2 3 2 5" xfId="8080" xr:uid="{00000000-0005-0000-0000-000063600000}"/>
    <cellStyle name="40 % - Markeringsfarve3 2 3 2 5 2" xfId="15945" xr:uid="{00000000-0005-0000-0000-000064600000}"/>
    <cellStyle name="40 % - Markeringsfarve3 2 3 2 5 2 2" xfId="32221" xr:uid="{00000000-0005-0000-0000-000065600000}"/>
    <cellStyle name="40 % - Markeringsfarve3 2 3 2 5 2 3" xfId="47180" xr:uid="{00000000-0005-0000-0000-000066600000}"/>
    <cellStyle name="40 % - Markeringsfarve3 2 3 2 5 3" xfId="25219" xr:uid="{00000000-0005-0000-0000-000067600000}"/>
    <cellStyle name="40 % - Markeringsfarve3 2 3 2 5 4" xfId="40183" xr:uid="{00000000-0005-0000-0000-000068600000}"/>
    <cellStyle name="40 % - Markeringsfarve3 2 3 2 6" xfId="14354" xr:uid="{00000000-0005-0000-0000-000069600000}"/>
    <cellStyle name="40 % - Markeringsfarve3 2 3 2 6 2" xfId="30633" xr:uid="{00000000-0005-0000-0000-00006A600000}"/>
    <cellStyle name="40 % - Markeringsfarve3 2 3 2 6 3" xfId="45593" xr:uid="{00000000-0005-0000-0000-00006B600000}"/>
    <cellStyle name="40 % - Markeringsfarve3 2 3 2 7" xfId="23631" xr:uid="{00000000-0005-0000-0000-00006C600000}"/>
    <cellStyle name="40 % - Markeringsfarve3 2 3 2 8" xfId="38596" xr:uid="{00000000-0005-0000-0000-00006D600000}"/>
    <cellStyle name="40 % - Markeringsfarve3 2 3 3" xfId="5874" xr:uid="{00000000-0005-0000-0000-00006E600000}"/>
    <cellStyle name="40 % - Markeringsfarve3 2 3 3 2" xfId="5875" xr:uid="{00000000-0005-0000-0000-00006F600000}"/>
    <cellStyle name="40 % - Markeringsfarve3 2 3 3 2 2" xfId="5876" xr:uid="{00000000-0005-0000-0000-000070600000}"/>
    <cellStyle name="40 % - Markeringsfarve3 2 3 3 2 2 2" xfId="10005" xr:uid="{00000000-0005-0000-0000-000071600000}"/>
    <cellStyle name="40 % - Markeringsfarve3 2 3 3 2 2 2 2" xfId="17860" xr:uid="{00000000-0005-0000-0000-000072600000}"/>
    <cellStyle name="40 % - Markeringsfarve3 2 3 3 2 2 2 2 2" xfId="34136" xr:uid="{00000000-0005-0000-0000-000073600000}"/>
    <cellStyle name="40 % - Markeringsfarve3 2 3 3 2 2 2 2 3" xfId="49095" xr:uid="{00000000-0005-0000-0000-000074600000}"/>
    <cellStyle name="40 % - Markeringsfarve3 2 3 3 2 2 2 3" xfId="27134" xr:uid="{00000000-0005-0000-0000-000075600000}"/>
    <cellStyle name="40 % - Markeringsfarve3 2 3 3 2 2 2 4" xfId="42098" xr:uid="{00000000-0005-0000-0000-000076600000}"/>
    <cellStyle name="40 % - Markeringsfarve3 2 3 3 2 2 3" xfId="14361" xr:uid="{00000000-0005-0000-0000-000077600000}"/>
    <cellStyle name="40 % - Markeringsfarve3 2 3 3 2 2 3 2" xfId="30640" xr:uid="{00000000-0005-0000-0000-000078600000}"/>
    <cellStyle name="40 % - Markeringsfarve3 2 3 3 2 2 3 3" xfId="45600" xr:uid="{00000000-0005-0000-0000-000079600000}"/>
    <cellStyle name="40 % - Markeringsfarve3 2 3 3 2 2 4" xfId="23638" xr:uid="{00000000-0005-0000-0000-00007A600000}"/>
    <cellStyle name="40 % - Markeringsfarve3 2 3 3 2 2 5" xfId="38603" xr:uid="{00000000-0005-0000-0000-00007B600000}"/>
    <cellStyle name="40 % - Markeringsfarve3 2 3 3 2 3" xfId="8552" xr:uid="{00000000-0005-0000-0000-00007C600000}"/>
    <cellStyle name="40 % - Markeringsfarve3 2 3 3 2 3 2" xfId="16422" xr:uid="{00000000-0005-0000-0000-00007D600000}"/>
    <cellStyle name="40 % - Markeringsfarve3 2 3 3 2 3 2 2" xfId="32698" xr:uid="{00000000-0005-0000-0000-00007E600000}"/>
    <cellStyle name="40 % - Markeringsfarve3 2 3 3 2 3 2 3" xfId="47657" xr:uid="{00000000-0005-0000-0000-00007F600000}"/>
    <cellStyle name="40 % - Markeringsfarve3 2 3 3 2 3 3" xfId="25696" xr:uid="{00000000-0005-0000-0000-000080600000}"/>
    <cellStyle name="40 % - Markeringsfarve3 2 3 3 2 3 4" xfId="40660" xr:uid="{00000000-0005-0000-0000-000081600000}"/>
    <cellStyle name="40 % - Markeringsfarve3 2 3 3 2 4" xfId="14360" xr:uid="{00000000-0005-0000-0000-000082600000}"/>
    <cellStyle name="40 % - Markeringsfarve3 2 3 3 2 4 2" xfId="30639" xr:uid="{00000000-0005-0000-0000-000083600000}"/>
    <cellStyle name="40 % - Markeringsfarve3 2 3 3 2 4 3" xfId="45599" xr:uid="{00000000-0005-0000-0000-000084600000}"/>
    <cellStyle name="40 % - Markeringsfarve3 2 3 3 2 5" xfId="23637" xr:uid="{00000000-0005-0000-0000-000085600000}"/>
    <cellStyle name="40 % - Markeringsfarve3 2 3 3 2 6" xfId="38602" xr:uid="{00000000-0005-0000-0000-000086600000}"/>
    <cellStyle name="40 % - Markeringsfarve3 2 3 3 3" xfId="5877" xr:uid="{00000000-0005-0000-0000-000087600000}"/>
    <cellStyle name="40 % - Markeringsfarve3 2 3 3 3 2" xfId="9236" xr:uid="{00000000-0005-0000-0000-000088600000}"/>
    <cellStyle name="40 % - Markeringsfarve3 2 3 3 3 2 2" xfId="17100" xr:uid="{00000000-0005-0000-0000-000089600000}"/>
    <cellStyle name="40 % - Markeringsfarve3 2 3 3 3 2 2 2" xfId="33376" xr:uid="{00000000-0005-0000-0000-00008A600000}"/>
    <cellStyle name="40 % - Markeringsfarve3 2 3 3 3 2 2 3" xfId="48335" xr:uid="{00000000-0005-0000-0000-00008B600000}"/>
    <cellStyle name="40 % - Markeringsfarve3 2 3 3 3 2 3" xfId="26374" xr:uid="{00000000-0005-0000-0000-00008C600000}"/>
    <cellStyle name="40 % - Markeringsfarve3 2 3 3 3 2 4" xfId="41338" xr:uid="{00000000-0005-0000-0000-00008D600000}"/>
    <cellStyle name="40 % - Markeringsfarve3 2 3 3 3 3" xfId="14362" xr:uid="{00000000-0005-0000-0000-00008E600000}"/>
    <cellStyle name="40 % - Markeringsfarve3 2 3 3 3 3 2" xfId="30641" xr:uid="{00000000-0005-0000-0000-00008F600000}"/>
    <cellStyle name="40 % - Markeringsfarve3 2 3 3 3 3 3" xfId="45601" xr:uid="{00000000-0005-0000-0000-000090600000}"/>
    <cellStyle name="40 % - Markeringsfarve3 2 3 3 3 4" xfId="23639" xr:uid="{00000000-0005-0000-0000-000091600000}"/>
    <cellStyle name="40 % - Markeringsfarve3 2 3 3 3 5" xfId="38604" xr:uid="{00000000-0005-0000-0000-000092600000}"/>
    <cellStyle name="40 % - Markeringsfarve3 2 3 3 4" xfId="5878" xr:uid="{00000000-0005-0000-0000-000093600000}"/>
    <cellStyle name="40 % - Markeringsfarve3 2 3 3 4 2" xfId="10878" xr:uid="{00000000-0005-0000-0000-000094600000}"/>
    <cellStyle name="40 % - Markeringsfarve3 2 3 3 4 2 2" xfId="18715" xr:uid="{00000000-0005-0000-0000-000095600000}"/>
    <cellStyle name="40 % - Markeringsfarve3 2 3 3 4 2 2 2" xfId="34991" xr:uid="{00000000-0005-0000-0000-000096600000}"/>
    <cellStyle name="40 % - Markeringsfarve3 2 3 3 4 2 2 3" xfId="49950" xr:uid="{00000000-0005-0000-0000-000097600000}"/>
    <cellStyle name="40 % - Markeringsfarve3 2 3 3 4 2 3" xfId="27989" xr:uid="{00000000-0005-0000-0000-000098600000}"/>
    <cellStyle name="40 % - Markeringsfarve3 2 3 3 4 2 4" xfId="42953" xr:uid="{00000000-0005-0000-0000-000099600000}"/>
    <cellStyle name="40 % - Markeringsfarve3 2 3 3 4 3" xfId="14363" xr:uid="{00000000-0005-0000-0000-00009A600000}"/>
    <cellStyle name="40 % - Markeringsfarve3 2 3 3 4 3 2" xfId="30642" xr:uid="{00000000-0005-0000-0000-00009B600000}"/>
    <cellStyle name="40 % - Markeringsfarve3 2 3 3 4 3 3" xfId="45602" xr:uid="{00000000-0005-0000-0000-00009C600000}"/>
    <cellStyle name="40 % - Markeringsfarve3 2 3 3 4 4" xfId="23640" xr:uid="{00000000-0005-0000-0000-00009D600000}"/>
    <cellStyle name="40 % - Markeringsfarve3 2 3 3 4 5" xfId="38605" xr:uid="{00000000-0005-0000-0000-00009E600000}"/>
    <cellStyle name="40 % - Markeringsfarve3 2 3 3 5" xfId="8081" xr:uid="{00000000-0005-0000-0000-00009F600000}"/>
    <cellStyle name="40 % - Markeringsfarve3 2 3 3 5 2" xfId="15946" xr:uid="{00000000-0005-0000-0000-0000A0600000}"/>
    <cellStyle name="40 % - Markeringsfarve3 2 3 3 5 2 2" xfId="32222" xr:uid="{00000000-0005-0000-0000-0000A1600000}"/>
    <cellStyle name="40 % - Markeringsfarve3 2 3 3 5 2 3" xfId="47181" xr:uid="{00000000-0005-0000-0000-0000A2600000}"/>
    <cellStyle name="40 % - Markeringsfarve3 2 3 3 5 3" xfId="25220" xr:uid="{00000000-0005-0000-0000-0000A3600000}"/>
    <cellStyle name="40 % - Markeringsfarve3 2 3 3 5 4" xfId="40184" xr:uid="{00000000-0005-0000-0000-0000A4600000}"/>
    <cellStyle name="40 % - Markeringsfarve3 2 3 3 6" xfId="14359" xr:uid="{00000000-0005-0000-0000-0000A5600000}"/>
    <cellStyle name="40 % - Markeringsfarve3 2 3 3 6 2" xfId="30638" xr:uid="{00000000-0005-0000-0000-0000A6600000}"/>
    <cellStyle name="40 % - Markeringsfarve3 2 3 3 6 3" xfId="45598" xr:uid="{00000000-0005-0000-0000-0000A7600000}"/>
    <cellStyle name="40 % - Markeringsfarve3 2 3 3 7" xfId="23636" xr:uid="{00000000-0005-0000-0000-0000A8600000}"/>
    <cellStyle name="40 % - Markeringsfarve3 2 3 3 8" xfId="38601" xr:uid="{00000000-0005-0000-0000-0000A9600000}"/>
    <cellStyle name="40 % - Markeringsfarve3 2 3 4" xfId="5879" xr:uid="{00000000-0005-0000-0000-0000AA600000}"/>
    <cellStyle name="40 % - Markeringsfarve3 2 3 4 2" xfId="5880" xr:uid="{00000000-0005-0000-0000-0000AB600000}"/>
    <cellStyle name="40 % - Markeringsfarve3 2 3 4 2 2" xfId="5881" xr:uid="{00000000-0005-0000-0000-0000AC600000}"/>
    <cellStyle name="40 % - Markeringsfarve3 2 3 4 2 2 2" xfId="10160" xr:uid="{00000000-0005-0000-0000-0000AD600000}"/>
    <cellStyle name="40 % - Markeringsfarve3 2 3 4 2 2 2 2" xfId="18015" xr:uid="{00000000-0005-0000-0000-0000AE600000}"/>
    <cellStyle name="40 % - Markeringsfarve3 2 3 4 2 2 2 2 2" xfId="34291" xr:uid="{00000000-0005-0000-0000-0000AF600000}"/>
    <cellStyle name="40 % - Markeringsfarve3 2 3 4 2 2 2 2 3" xfId="49250" xr:uid="{00000000-0005-0000-0000-0000B0600000}"/>
    <cellStyle name="40 % - Markeringsfarve3 2 3 4 2 2 2 3" xfId="27289" xr:uid="{00000000-0005-0000-0000-0000B1600000}"/>
    <cellStyle name="40 % - Markeringsfarve3 2 3 4 2 2 2 4" xfId="42253" xr:uid="{00000000-0005-0000-0000-0000B2600000}"/>
    <cellStyle name="40 % - Markeringsfarve3 2 3 4 2 2 3" xfId="14366" xr:uid="{00000000-0005-0000-0000-0000B3600000}"/>
    <cellStyle name="40 % - Markeringsfarve3 2 3 4 2 2 3 2" xfId="30645" xr:uid="{00000000-0005-0000-0000-0000B4600000}"/>
    <cellStyle name="40 % - Markeringsfarve3 2 3 4 2 2 3 3" xfId="45605" xr:uid="{00000000-0005-0000-0000-0000B5600000}"/>
    <cellStyle name="40 % - Markeringsfarve3 2 3 4 2 2 4" xfId="23643" xr:uid="{00000000-0005-0000-0000-0000B6600000}"/>
    <cellStyle name="40 % - Markeringsfarve3 2 3 4 2 2 5" xfId="38608" xr:uid="{00000000-0005-0000-0000-0000B7600000}"/>
    <cellStyle name="40 % - Markeringsfarve3 2 3 4 2 3" xfId="8691" xr:uid="{00000000-0005-0000-0000-0000B8600000}"/>
    <cellStyle name="40 % - Markeringsfarve3 2 3 4 2 3 2" xfId="16558" xr:uid="{00000000-0005-0000-0000-0000B9600000}"/>
    <cellStyle name="40 % - Markeringsfarve3 2 3 4 2 3 2 2" xfId="32834" xr:uid="{00000000-0005-0000-0000-0000BA600000}"/>
    <cellStyle name="40 % - Markeringsfarve3 2 3 4 2 3 2 3" xfId="47793" xr:uid="{00000000-0005-0000-0000-0000BB600000}"/>
    <cellStyle name="40 % - Markeringsfarve3 2 3 4 2 3 3" xfId="25832" xr:uid="{00000000-0005-0000-0000-0000BC600000}"/>
    <cellStyle name="40 % - Markeringsfarve3 2 3 4 2 3 4" xfId="40796" xr:uid="{00000000-0005-0000-0000-0000BD600000}"/>
    <cellStyle name="40 % - Markeringsfarve3 2 3 4 2 4" xfId="14365" xr:uid="{00000000-0005-0000-0000-0000BE600000}"/>
    <cellStyle name="40 % - Markeringsfarve3 2 3 4 2 4 2" xfId="30644" xr:uid="{00000000-0005-0000-0000-0000BF600000}"/>
    <cellStyle name="40 % - Markeringsfarve3 2 3 4 2 4 3" xfId="45604" xr:uid="{00000000-0005-0000-0000-0000C0600000}"/>
    <cellStyle name="40 % - Markeringsfarve3 2 3 4 2 5" xfId="23642" xr:uid="{00000000-0005-0000-0000-0000C1600000}"/>
    <cellStyle name="40 % - Markeringsfarve3 2 3 4 2 6" xfId="38607" xr:uid="{00000000-0005-0000-0000-0000C2600000}"/>
    <cellStyle name="40 % - Markeringsfarve3 2 3 4 3" xfId="5882" xr:uid="{00000000-0005-0000-0000-0000C3600000}"/>
    <cellStyle name="40 % - Markeringsfarve3 2 3 4 3 2" xfId="9437" xr:uid="{00000000-0005-0000-0000-0000C4600000}"/>
    <cellStyle name="40 % - Markeringsfarve3 2 3 4 3 2 2" xfId="17300" xr:uid="{00000000-0005-0000-0000-0000C5600000}"/>
    <cellStyle name="40 % - Markeringsfarve3 2 3 4 3 2 2 2" xfId="33576" xr:uid="{00000000-0005-0000-0000-0000C6600000}"/>
    <cellStyle name="40 % - Markeringsfarve3 2 3 4 3 2 2 3" xfId="48535" xr:uid="{00000000-0005-0000-0000-0000C7600000}"/>
    <cellStyle name="40 % - Markeringsfarve3 2 3 4 3 2 3" xfId="26574" xr:uid="{00000000-0005-0000-0000-0000C8600000}"/>
    <cellStyle name="40 % - Markeringsfarve3 2 3 4 3 2 4" xfId="41538" xr:uid="{00000000-0005-0000-0000-0000C9600000}"/>
    <cellStyle name="40 % - Markeringsfarve3 2 3 4 3 3" xfId="14367" xr:uid="{00000000-0005-0000-0000-0000CA600000}"/>
    <cellStyle name="40 % - Markeringsfarve3 2 3 4 3 3 2" xfId="30646" xr:uid="{00000000-0005-0000-0000-0000CB600000}"/>
    <cellStyle name="40 % - Markeringsfarve3 2 3 4 3 3 3" xfId="45606" xr:uid="{00000000-0005-0000-0000-0000CC600000}"/>
    <cellStyle name="40 % - Markeringsfarve3 2 3 4 3 4" xfId="23644" xr:uid="{00000000-0005-0000-0000-0000CD600000}"/>
    <cellStyle name="40 % - Markeringsfarve3 2 3 4 3 5" xfId="38609" xr:uid="{00000000-0005-0000-0000-0000CE600000}"/>
    <cellStyle name="40 % - Markeringsfarve3 2 3 4 4" xfId="5883" xr:uid="{00000000-0005-0000-0000-0000CF600000}"/>
    <cellStyle name="40 % - Markeringsfarve3 2 3 4 4 2" xfId="10602" xr:uid="{00000000-0005-0000-0000-0000D0600000}"/>
    <cellStyle name="40 % - Markeringsfarve3 2 3 4 4 2 2" xfId="18450" xr:uid="{00000000-0005-0000-0000-0000D1600000}"/>
    <cellStyle name="40 % - Markeringsfarve3 2 3 4 4 2 2 2" xfId="34726" xr:uid="{00000000-0005-0000-0000-0000D2600000}"/>
    <cellStyle name="40 % - Markeringsfarve3 2 3 4 4 2 2 3" xfId="49685" xr:uid="{00000000-0005-0000-0000-0000D3600000}"/>
    <cellStyle name="40 % - Markeringsfarve3 2 3 4 4 2 3" xfId="27724" xr:uid="{00000000-0005-0000-0000-0000D4600000}"/>
    <cellStyle name="40 % - Markeringsfarve3 2 3 4 4 2 4" xfId="42688" xr:uid="{00000000-0005-0000-0000-0000D5600000}"/>
    <cellStyle name="40 % - Markeringsfarve3 2 3 4 4 3" xfId="14368" xr:uid="{00000000-0005-0000-0000-0000D6600000}"/>
    <cellStyle name="40 % - Markeringsfarve3 2 3 4 4 3 2" xfId="30647" xr:uid="{00000000-0005-0000-0000-0000D7600000}"/>
    <cellStyle name="40 % - Markeringsfarve3 2 3 4 4 3 3" xfId="45607" xr:uid="{00000000-0005-0000-0000-0000D8600000}"/>
    <cellStyle name="40 % - Markeringsfarve3 2 3 4 4 4" xfId="23645" xr:uid="{00000000-0005-0000-0000-0000D9600000}"/>
    <cellStyle name="40 % - Markeringsfarve3 2 3 4 4 5" xfId="38610" xr:uid="{00000000-0005-0000-0000-0000DA600000}"/>
    <cellStyle name="40 % - Markeringsfarve3 2 3 4 5" xfId="8082" xr:uid="{00000000-0005-0000-0000-0000DB600000}"/>
    <cellStyle name="40 % - Markeringsfarve3 2 3 4 5 2" xfId="15947" xr:uid="{00000000-0005-0000-0000-0000DC600000}"/>
    <cellStyle name="40 % - Markeringsfarve3 2 3 4 5 2 2" xfId="32223" xr:uid="{00000000-0005-0000-0000-0000DD600000}"/>
    <cellStyle name="40 % - Markeringsfarve3 2 3 4 5 2 3" xfId="47182" xr:uid="{00000000-0005-0000-0000-0000DE600000}"/>
    <cellStyle name="40 % - Markeringsfarve3 2 3 4 5 3" xfId="25221" xr:uid="{00000000-0005-0000-0000-0000DF600000}"/>
    <cellStyle name="40 % - Markeringsfarve3 2 3 4 5 4" xfId="40185" xr:uid="{00000000-0005-0000-0000-0000E0600000}"/>
    <cellStyle name="40 % - Markeringsfarve3 2 3 4 6" xfId="14364" xr:uid="{00000000-0005-0000-0000-0000E1600000}"/>
    <cellStyle name="40 % - Markeringsfarve3 2 3 4 6 2" xfId="30643" xr:uid="{00000000-0005-0000-0000-0000E2600000}"/>
    <cellStyle name="40 % - Markeringsfarve3 2 3 4 6 3" xfId="45603" xr:uid="{00000000-0005-0000-0000-0000E3600000}"/>
    <cellStyle name="40 % - Markeringsfarve3 2 3 4 7" xfId="23641" xr:uid="{00000000-0005-0000-0000-0000E4600000}"/>
    <cellStyle name="40 % - Markeringsfarve3 2 3 4 8" xfId="38606" xr:uid="{00000000-0005-0000-0000-0000E5600000}"/>
    <cellStyle name="40 % - Markeringsfarve3 2 3 5" xfId="5884" xr:uid="{00000000-0005-0000-0000-0000E6600000}"/>
    <cellStyle name="40 % - Markeringsfarve3 2 3 5 2" xfId="5885" xr:uid="{00000000-0005-0000-0000-0000E7600000}"/>
    <cellStyle name="40 % - Markeringsfarve3 2 3 5 2 2" xfId="5886" xr:uid="{00000000-0005-0000-0000-0000E8600000}"/>
    <cellStyle name="40 % - Markeringsfarve3 2 3 5 2 2 2" xfId="10277" xr:uid="{00000000-0005-0000-0000-0000E9600000}"/>
    <cellStyle name="40 % - Markeringsfarve3 2 3 5 2 2 2 2" xfId="18132" xr:uid="{00000000-0005-0000-0000-0000EA600000}"/>
    <cellStyle name="40 % - Markeringsfarve3 2 3 5 2 2 2 2 2" xfId="34408" xr:uid="{00000000-0005-0000-0000-0000EB600000}"/>
    <cellStyle name="40 % - Markeringsfarve3 2 3 5 2 2 2 2 3" xfId="49367" xr:uid="{00000000-0005-0000-0000-0000EC600000}"/>
    <cellStyle name="40 % - Markeringsfarve3 2 3 5 2 2 2 3" xfId="27406" xr:uid="{00000000-0005-0000-0000-0000ED600000}"/>
    <cellStyle name="40 % - Markeringsfarve3 2 3 5 2 2 2 4" xfId="42370" xr:uid="{00000000-0005-0000-0000-0000EE600000}"/>
    <cellStyle name="40 % - Markeringsfarve3 2 3 5 2 2 3" xfId="14371" xr:uid="{00000000-0005-0000-0000-0000EF600000}"/>
    <cellStyle name="40 % - Markeringsfarve3 2 3 5 2 2 3 2" xfId="30650" xr:uid="{00000000-0005-0000-0000-0000F0600000}"/>
    <cellStyle name="40 % - Markeringsfarve3 2 3 5 2 2 3 3" xfId="45610" xr:uid="{00000000-0005-0000-0000-0000F1600000}"/>
    <cellStyle name="40 % - Markeringsfarve3 2 3 5 2 2 4" xfId="23648" xr:uid="{00000000-0005-0000-0000-0000F2600000}"/>
    <cellStyle name="40 % - Markeringsfarve3 2 3 5 2 2 5" xfId="38613" xr:uid="{00000000-0005-0000-0000-0000F3600000}"/>
    <cellStyle name="40 % - Markeringsfarve3 2 3 5 2 3" xfId="8790" xr:uid="{00000000-0005-0000-0000-0000F4600000}"/>
    <cellStyle name="40 % - Markeringsfarve3 2 3 5 2 3 2" xfId="16657" xr:uid="{00000000-0005-0000-0000-0000F5600000}"/>
    <cellStyle name="40 % - Markeringsfarve3 2 3 5 2 3 2 2" xfId="32933" xr:uid="{00000000-0005-0000-0000-0000F6600000}"/>
    <cellStyle name="40 % - Markeringsfarve3 2 3 5 2 3 2 3" xfId="47892" xr:uid="{00000000-0005-0000-0000-0000F7600000}"/>
    <cellStyle name="40 % - Markeringsfarve3 2 3 5 2 3 3" xfId="25931" xr:uid="{00000000-0005-0000-0000-0000F8600000}"/>
    <cellStyle name="40 % - Markeringsfarve3 2 3 5 2 3 4" xfId="40895" xr:uid="{00000000-0005-0000-0000-0000F9600000}"/>
    <cellStyle name="40 % - Markeringsfarve3 2 3 5 2 4" xfId="14370" xr:uid="{00000000-0005-0000-0000-0000FA600000}"/>
    <cellStyle name="40 % - Markeringsfarve3 2 3 5 2 4 2" xfId="30649" xr:uid="{00000000-0005-0000-0000-0000FB600000}"/>
    <cellStyle name="40 % - Markeringsfarve3 2 3 5 2 4 3" xfId="45609" xr:uid="{00000000-0005-0000-0000-0000FC600000}"/>
    <cellStyle name="40 % - Markeringsfarve3 2 3 5 2 5" xfId="23647" xr:uid="{00000000-0005-0000-0000-0000FD600000}"/>
    <cellStyle name="40 % - Markeringsfarve3 2 3 5 2 6" xfId="38612" xr:uid="{00000000-0005-0000-0000-0000FE600000}"/>
    <cellStyle name="40 % - Markeringsfarve3 2 3 5 3" xfId="5887" xr:uid="{00000000-0005-0000-0000-0000FF600000}"/>
    <cellStyle name="40 % - Markeringsfarve3 2 3 5 3 2" xfId="9554" xr:uid="{00000000-0005-0000-0000-000000610000}"/>
    <cellStyle name="40 % - Markeringsfarve3 2 3 5 3 2 2" xfId="17417" xr:uid="{00000000-0005-0000-0000-000001610000}"/>
    <cellStyle name="40 % - Markeringsfarve3 2 3 5 3 2 2 2" xfId="33693" xr:uid="{00000000-0005-0000-0000-000002610000}"/>
    <cellStyle name="40 % - Markeringsfarve3 2 3 5 3 2 2 3" xfId="48652" xr:uid="{00000000-0005-0000-0000-000003610000}"/>
    <cellStyle name="40 % - Markeringsfarve3 2 3 5 3 2 3" xfId="26691" xr:uid="{00000000-0005-0000-0000-000004610000}"/>
    <cellStyle name="40 % - Markeringsfarve3 2 3 5 3 2 4" xfId="41655" xr:uid="{00000000-0005-0000-0000-000005610000}"/>
    <cellStyle name="40 % - Markeringsfarve3 2 3 5 3 3" xfId="14372" xr:uid="{00000000-0005-0000-0000-000006610000}"/>
    <cellStyle name="40 % - Markeringsfarve3 2 3 5 3 3 2" xfId="30651" xr:uid="{00000000-0005-0000-0000-000007610000}"/>
    <cellStyle name="40 % - Markeringsfarve3 2 3 5 3 3 3" xfId="45611" xr:uid="{00000000-0005-0000-0000-000008610000}"/>
    <cellStyle name="40 % - Markeringsfarve3 2 3 5 3 4" xfId="23649" xr:uid="{00000000-0005-0000-0000-000009610000}"/>
    <cellStyle name="40 % - Markeringsfarve3 2 3 5 3 5" xfId="38614" xr:uid="{00000000-0005-0000-0000-00000A610000}"/>
    <cellStyle name="40 % - Markeringsfarve3 2 3 5 4" xfId="5888" xr:uid="{00000000-0005-0000-0000-00000B610000}"/>
    <cellStyle name="40 % - Markeringsfarve3 2 3 5 4 2" xfId="10842" xr:uid="{00000000-0005-0000-0000-00000C610000}"/>
    <cellStyle name="40 % - Markeringsfarve3 2 3 5 4 2 2" xfId="18680" xr:uid="{00000000-0005-0000-0000-00000D610000}"/>
    <cellStyle name="40 % - Markeringsfarve3 2 3 5 4 2 2 2" xfId="34956" xr:uid="{00000000-0005-0000-0000-00000E610000}"/>
    <cellStyle name="40 % - Markeringsfarve3 2 3 5 4 2 2 3" xfId="49915" xr:uid="{00000000-0005-0000-0000-00000F610000}"/>
    <cellStyle name="40 % - Markeringsfarve3 2 3 5 4 2 3" xfId="27954" xr:uid="{00000000-0005-0000-0000-000010610000}"/>
    <cellStyle name="40 % - Markeringsfarve3 2 3 5 4 2 4" xfId="42918" xr:uid="{00000000-0005-0000-0000-000011610000}"/>
    <cellStyle name="40 % - Markeringsfarve3 2 3 5 4 3" xfId="14373" xr:uid="{00000000-0005-0000-0000-000012610000}"/>
    <cellStyle name="40 % - Markeringsfarve3 2 3 5 4 3 2" xfId="30652" xr:uid="{00000000-0005-0000-0000-000013610000}"/>
    <cellStyle name="40 % - Markeringsfarve3 2 3 5 4 3 3" xfId="45612" xr:uid="{00000000-0005-0000-0000-000014610000}"/>
    <cellStyle name="40 % - Markeringsfarve3 2 3 5 4 4" xfId="23650" xr:uid="{00000000-0005-0000-0000-000015610000}"/>
    <cellStyle name="40 % - Markeringsfarve3 2 3 5 4 5" xfId="38615" xr:uid="{00000000-0005-0000-0000-000016610000}"/>
    <cellStyle name="40 % - Markeringsfarve3 2 3 5 5" xfId="8083" xr:uid="{00000000-0005-0000-0000-000017610000}"/>
    <cellStyle name="40 % - Markeringsfarve3 2 3 5 5 2" xfId="15948" xr:uid="{00000000-0005-0000-0000-000018610000}"/>
    <cellStyle name="40 % - Markeringsfarve3 2 3 5 5 2 2" xfId="32224" xr:uid="{00000000-0005-0000-0000-000019610000}"/>
    <cellStyle name="40 % - Markeringsfarve3 2 3 5 5 2 3" xfId="47183" xr:uid="{00000000-0005-0000-0000-00001A610000}"/>
    <cellStyle name="40 % - Markeringsfarve3 2 3 5 5 3" xfId="25222" xr:uid="{00000000-0005-0000-0000-00001B610000}"/>
    <cellStyle name="40 % - Markeringsfarve3 2 3 5 5 4" xfId="40186" xr:uid="{00000000-0005-0000-0000-00001C610000}"/>
    <cellStyle name="40 % - Markeringsfarve3 2 3 5 6" xfId="14369" xr:uid="{00000000-0005-0000-0000-00001D610000}"/>
    <cellStyle name="40 % - Markeringsfarve3 2 3 5 6 2" xfId="30648" xr:uid="{00000000-0005-0000-0000-00001E610000}"/>
    <cellStyle name="40 % - Markeringsfarve3 2 3 5 6 3" xfId="45608" xr:uid="{00000000-0005-0000-0000-00001F610000}"/>
    <cellStyle name="40 % - Markeringsfarve3 2 3 5 7" xfId="23646" xr:uid="{00000000-0005-0000-0000-000020610000}"/>
    <cellStyle name="40 % - Markeringsfarve3 2 3 5 8" xfId="38611" xr:uid="{00000000-0005-0000-0000-000021610000}"/>
    <cellStyle name="40 % - Markeringsfarve3 2 3 6" xfId="5889" xr:uid="{00000000-0005-0000-0000-000022610000}"/>
    <cellStyle name="40 % - Markeringsfarve3 2 3 6 2" xfId="5890" xr:uid="{00000000-0005-0000-0000-000023610000}"/>
    <cellStyle name="40 % - Markeringsfarve3 2 3 6 2 2" xfId="5891" xr:uid="{00000000-0005-0000-0000-000024610000}"/>
    <cellStyle name="40 % - Markeringsfarve3 2 3 6 2 2 2" xfId="10360" xr:uid="{00000000-0005-0000-0000-000025610000}"/>
    <cellStyle name="40 % - Markeringsfarve3 2 3 6 2 2 2 2" xfId="18215" xr:uid="{00000000-0005-0000-0000-000026610000}"/>
    <cellStyle name="40 % - Markeringsfarve3 2 3 6 2 2 2 2 2" xfId="34491" xr:uid="{00000000-0005-0000-0000-000027610000}"/>
    <cellStyle name="40 % - Markeringsfarve3 2 3 6 2 2 2 2 3" xfId="49450" xr:uid="{00000000-0005-0000-0000-000028610000}"/>
    <cellStyle name="40 % - Markeringsfarve3 2 3 6 2 2 2 3" xfId="27489" xr:uid="{00000000-0005-0000-0000-000029610000}"/>
    <cellStyle name="40 % - Markeringsfarve3 2 3 6 2 2 2 4" xfId="42453" xr:uid="{00000000-0005-0000-0000-00002A610000}"/>
    <cellStyle name="40 % - Markeringsfarve3 2 3 6 2 2 3" xfId="14376" xr:uid="{00000000-0005-0000-0000-00002B610000}"/>
    <cellStyle name="40 % - Markeringsfarve3 2 3 6 2 2 3 2" xfId="30655" xr:uid="{00000000-0005-0000-0000-00002C610000}"/>
    <cellStyle name="40 % - Markeringsfarve3 2 3 6 2 2 3 3" xfId="45615" xr:uid="{00000000-0005-0000-0000-00002D610000}"/>
    <cellStyle name="40 % - Markeringsfarve3 2 3 6 2 2 4" xfId="23653" xr:uid="{00000000-0005-0000-0000-00002E610000}"/>
    <cellStyle name="40 % - Markeringsfarve3 2 3 6 2 2 5" xfId="38618" xr:uid="{00000000-0005-0000-0000-00002F610000}"/>
    <cellStyle name="40 % - Markeringsfarve3 2 3 6 2 3" xfId="8854" xr:uid="{00000000-0005-0000-0000-000030610000}"/>
    <cellStyle name="40 % - Markeringsfarve3 2 3 6 2 3 2" xfId="16721" xr:uid="{00000000-0005-0000-0000-000031610000}"/>
    <cellStyle name="40 % - Markeringsfarve3 2 3 6 2 3 2 2" xfId="32997" xr:uid="{00000000-0005-0000-0000-000032610000}"/>
    <cellStyle name="40 % - Markeringsfarve3 2 3 6 2 3 2 3" xfId="47956" xr:uid="{00000000-0005-0000-0000-000033610000}"/>
    <cellStyle name="40 % - Markeringsfarve3 2 3 6 2 3 3" xfId="25995" xr:uid="{00000000-0005-0000-0000-000034610000}"/>
    <cellStyle name="40 % - Markeringsfarve3 2 3 6 2 3 4" xfId="40959" xr:uid="{00000000-0005-0000-0000-000035610000}"/>
    <cellStyle name="40 % - Markeringsfarve3 2 3 6 2 4" xfId="14375" xr:uid="{00000000-0005-0000-0000-000036610000}"/>
    <cellStyle name="40 % - Markeringsfarve3 2 3 6 2 4 2" xfId="30654" xr:uid="{00000000-0005-0000-0000-000037610000}"/>
    <cellStyle name="40 % - Markeringsfarve3 2 3 6 2 4 3" xfId="45614" xr:uid="{00000000-0005-0000-0000-000038610000}"/>
    <cellStyle name="40 % - Markeringsfarve3 2 3 6 2 5" xfId="23652" xr:uid="{00000000-0005-0000-0000-000039610000}"/>
    <cellStyle name="40 % - Markeringsfarve3 2 3 6 2 6" xfId="38617" xr:uid="{00000000-0005-0000-0000-00003A610000}"/>
    <cellStyle name="40 % - Markeringsfarve3 2 3 6 3" xfId="5892" xr:uid="{00000000-0005-0000-0000-00003B610000}"/>
    <cellStyle name="40 % - Markeringsfarve3 2 3 6 3 2" xfId="9638" xr:uid="{00000000-0005-0000-0000-00003C610000}"/>
    <cellStyle name="40 % - Markeringsfarve3 2 3 6 3 2 2" xfId="17501" xr:uid="{00000000-0005-0000-0000-00003D610000}"/>
    <cellStyle name="40 % - Markeringsfarve3 2 3 6 3 2 2 2" xfId="33777" xr:uid="{00000000-0005-0000-0000-00003E610000}"/>
    <cellStyle name="40 % - Markeringsfarve3 2 3 6 3 2 2 3" xfId="48736" xr:uid="{00000000-0005-0000-0000-00003F610000}"/>
    <cellStyle name="40 % - Markeringsfarve3 2 3 6 3 2 3" xfId="26775" xr:uid="{00000000-0005-0000-0000-000040610000}"/>
    <cellStyle name="40 % - Markeringsfarve3 2 3 6 3 2 4" xfId="41739" xr:uid="{00000000-0005-0000-0000-000041610000}"/>
    <cellStyle name="40 % - Markeringsfarve3 2 3 6 3 3" xfId="14377" xr:uid="{00000000-0005-0000-0000-000042610000}"/>
    <cellStyle name="40 % - Markeringsfarve3 2 3 6 3 3 2" xfId="30656" xr:uid="{00000000-0005-0000-0000-000043610000}"/>
    <cellStyle name="40 % - Markeringsfarve3 2 3 6 3 3 3" xfId="45616" xr:uid="{00000000-0005-0000-0000-000044610000}"/>
    <cellStyle name="40 % - Markeringsfarve3 2 3 6 3 4" xfId="23654" xr:uid="{00000000-0005-0000-0000-000045610000}"/>
    <cellStyle name="40 % - Markeringsfarve3 2 3 6 3 5" xfId="38619" xr:uid="{00000000-0005-0000-0000-000046610000}"/>
    <cellStyle name="40 % - Markeringsfarve3 2 3 6 4" xfId="5893" xr:uid="{00000000-0005-0000-0000-000047610000}"/>
    <cellStyle name="40 % - Markeringsfarve3 2 3 6 4 2" xfId="10491" xr:uid="{00000000-0005-0000-0000-000048610000}"/>
    <cellStyle name="40 % - Markeringsfarve3 2 3 6 4 2 2" xfId="18340" xr:uid="{00000000-0005-0000-0000-000049610000}"/>
    <cellStyle name="40 % - Markeringsfarve3 2 3 6 4 2 2 2" xfId="34616" xr:uid="{00000000-0005-0000-0000-00004A610000}"/>
    <cellStyle name="40 % - Markeringsfarve3 2 3 6 4 2 2 3" xfId="49575" xr:uid="{00000000-0005-0000-0000-00004B610000}"/>
    <cellStyle name="40 % - Markeringsfarve3 2 3 6 4 2 3" xfId="27614" xr:uid="{00000000-0005-0000-0000-00004C610000}"/>
    <cellStyle name="40 % - Markeringsfarve3 2 3 6 4 2 4" xfId="42578" xr:uid="{00000000-0005-0000-0000-00004D610000}"/>
    <cellStyle name="40 % - Markeringsfarve3 2 3 6 4 3" xfId="14378" xr:uid="{00000000-0005-0000-0000-00004E610000}"/>
    <cellStyle name="40 % - Markeringsfarve3 2 3 6 4 3 2" xfId="30657" xr:uid="{00000000-0005-0000-0000-00004F610000}"/>
    <cellStyle name="40 % - Markeringsfarve3 2 3 6 4 3 3" xfId="45617" xr:uid="{00000000-0005-0000-0000-000050610000}"/>
    <cellStyle name="40 % - Markeringsfarve3 2 3 6 4 4" xfId="23655" xr:uid="{00000000-0005-0000-0000-000051610000}"/>
    <cellStyle name="40 % - Markeringsfarve3 2 3 6 4 5" xfId="38620" xr:uid="{00000000-0005-0000-0000-000052610000}"/>
    <cellStyle name="40 % - Markeringsfarve3 2 3 6 5" xfId="8084" xr:uid="{00000000-0005-0000-0000-000053610000}"/>
    <cellStyle name="40 % - Markeringsfarve3 2 3 6 5 2" xfId="15949" xr:uid="{00000000-0005-0000-0000-000054610000}"/>
    <cellStyle name="40 % - Markeringsfarve3 2 3 6 5 2 2" xfId="32225" xr:uid="{00000000-0005-0000-0000-000055610000}"/>
    <cellStyle name="40 % - Markeringsfarve3 2 3 6 5 2 3" xfId="47184" xr:uid="{00000000-0005-0000-0000-000056610000}"/>
    <cellStyle name="40 % - Markeringsfarve3 2 3 6 5 3" xfId="25223" xr:uid="{00000000-0005-0000-0000-000057610000}"/>
    <cellStyle name="40 % - Markeringsfarve3 2 3 6 5 4" xfId="40187" xr:uid="{00000000-0005-0000-0000-000058610000}"/>
    <cellStyle name="40 % - Markeringsfarve3 2 3 6 6" xfId="14374" xr:uid="{00000000-0005-0000-0000-000059610000}"/>
    <cellStyle name="40 % - Markeringsfarve3 2 3 6 6 2" xfId="30653" xr:uid="{00000000-0005-0000-0000-00005A610000}"/>
    <cellStyle name="40 % - Markeringsfarve3 2 3 6 6 3" xfId="45613" xr:uid="{00000000-0005-0000-0000-00005B610000}"/>
    <cellStyle name="40 % - Markeringsfarve3 2 3 6 7" xfId="23651" xr:uid="{00000000-0005-0000-0000-00005C610000}"/>
    <cellStyle name="40 % - Markeringsfarve3 2 3 6 8" xfId="38616" xr:uid="{00000000-0005-0000-0000-00005D610000}"/>
    <cellStyle name="40 % - Markeringsfarve3 2 3 7" xfId="5894" xr:uid="{00000000-0005-0000-0000-00005E610000}"/>
    <cellStyle name="40 % - Markeringsfarve3 2 3 7 2" xfId="5895" xr:uid="{00000000-0005-0000-0000-00005F610000}"/>
    <cellStyle name="40 % - Markeringsfarve3 2 3 7 2 2" xfId="9804" xr:uid="{00000000-0005-0000-0000-000060610000}"/>
    <cellStyle name="40 % - Markeringsfarve3 2 3 7 2 2 2" xfId="17658" xr:uid="{00000000-0005-0000-0000-000061610000}"/>
    <cellStyle name="40 % - Markeringsfarve3 2 3 7 2 2 2 2" xfId="33934" xr:uid="{00000000-0005-0000-0000-000062610000}"/>
    <cellStyle name="40 % - Markeringsfarve3 2 3 7 2 2 2 3" xfId="48893" xr:uid="{00000000-0005-0000-0000-000063610000}"/>
    <cellStyle name="40 % - Markeringsfarve3 2 3 7 2 2 3" xfId="26932" xr:uid="{00000000-0005-0000-0000-000064610000}"/>
    <cellStyle name="40 % - Markeringsfarve3 2 3 7 2 2 4" xfId="41896" xr:uid="{00000000-0005-0000-0000-000065610000}"/>
    <cellStyle name="40 % - Markeringsfarve3 2 3 7 2 3" xfId="14380" xr:uid="{00000000-0005-0000-0000-000066610000}"/>
    <cellStyle name="40 % - Markeringsfarve3 2 3 7 2 3 2" xfId="30659" xr:uid="{00000000-0005-0000-0000-000067610000}"/>
    <cellStyle name="40 % - Markeringsfarve3 2 3 7 2 3 3" xfId="45619" xr:uid="{00000000-0005-0000-0000-000068610000}"/>
    <cellStyle name="40 % - Markeringsfarve3 2 3 7 2 4" xfId="23657" xr:uid="{00000000-0005-0000-0000-000069610000}"/>
    <cellStyle name="40 % - Markeringsfarve3 2 3 7 2 5" xfId="38622" xr:uid="{00000000-0005-0000-0000-00006A610000}"/>
    <cellStyle name="40 % - Markeringsfarve3 2 3 7 3" xfId="8390" xr:uid="{00000000-0005-0000-0000-00006B610000}"/>
    <cellStyle name="40 % - Markeringsfarve3 2 3 7 3 2" xfId="16260" xr:uid="{00000000-0005-0000-0000-00006C610000}"/>
    <cellStyle name="40 % - Markeringsfarve3 2 3 7 3 2 2" xfId="32536" xr:uid="{00000000-0005-0000-0000-00006D610000}"/>
    <cellStyle name="40 % - Markeringsfarve3 2 3 7 3 2 3" xfId="47495" xr:uid="{00000000-0005-0000-0000-00006E610000}"/>
    <cellStyle name="40 % - Markeringsfarve3 2 3 7 3 3" xfId="25534" xr:uid="{00000000-0005-0000-0000-00006F610000}"/>
    <cellStyle name="40 % - Markeringsfarve3 2 3 7 3 4" xfId="40498" xr:uid="{00000000-0005-0000-0000-000070610000}"/>
    <cellStyle name="40 % - Markeringsfarve3 2 3 7 4" xfId="14379" xr:uid="{00000000-0005-0000-0000-000071610000}"/>
    <cellStyle name="40 % - Markeringsfarve3 2 3 7 4 2" xfId="30658" xr:uid="{00000000-0005-0000-0000-000072610000}"/>
    <cellStyle name="40 % - Markeringsfarve3 2 3 7 4 3" xfId="45618" xr:uid="{00000000-0005-0000-0000-000073610000}"/>
    <cellStyle name="40 % - Markeringsfarve3 2 3 7 5" xfId="23656" xr:uid="{00000000-0005-0000-0000-000074610000}"/>
    <cellStyle name="40 % - Markeringsfarve3 2 3 7 6" xfId="38621" xr:uid="{00000000-0005-0000-0000-000075610000}"/>
    <cellStyle name="40 % - Markeringsfarve3 2 3 8" xfId="5896" xr:uid="{00000000-0005-0000-0000-000076610000}"/>
    <cellStyle name="40 % - Markeringsfarve3 2 3 8 2" xfId="9032" xr:uid="{00000000-0005-0000-0000-000077610000}"/>
    <cellStyle name="40 % - Markeringsfarve3 2 3 8 2 2" xfId="16896" xr:uid="{00000000-0005-0000-0000-000078610000}"/>
    <cellStyle name="40 % - Markeringsfarve3 2 3 8 2 2 2" xfId="33172" xr:uid="{00000000-0005-0000-0000-000079610000}"/>
    <cellStyle name="40 % - Markeringsfarve3 2 3 8 2 2 3" xfId="48131" xr:uid="{00000000-0005-0000-0000-00007A610000}"/>
    <cellStyle name="40 % - Markeringsfarve3 2 3 8 2 3" xfId="26170" xr:uid="{00000000-0005-0000-0000-00007B610000}"/>
    <cellStyle name="40 % - Markeringsfarve3 2 3 8 2 4" xfId="41134" xr:uid="{00000000-0005-0000-0000-00007C610000}"/>
    <cellStyle name="40 % - Markeringsfarve3 2 3 8 3" xfId="14381" xr:uid="{00000000-0005-0000-0000-00007D610000}"/>
    <cellStyle name="40 % - Markeringsfarve3 2 3 8 3 2" xfId="30660" xr:uid="{00000000-0005-0000-0000-00007E610000}"/>
    <cellStyle name="40 % - Markeringsfarve3 2 3 8 3 3" xfId="45620" xr:uid="{00000000-0005-0000-0000-00007F610000}"/>
    <cellStyle name="40 % - Markeringsfarve3 2 3 8 4" xfId="23658" xr:uid="{00000000-0005-0000-0000-000080610000}"/>
    <cellStyle name="40 % - Markeringsfarve3 2 3 8 5" xfId="38623" xr:uid="{00000000-0005-0000-0000-000081610000}"/>
    <cellStyle name="40 % - Markeringsfarve3 2 3 9" xfId="5897" xr:uid="{00000000-0005-0000-0000-000082610000}"/>
    <cellStyle name="40 % - Markeringsfarve3 2 3 9 2" xfId="10920" xr:uid="{00000000-0005-0000-0000-000083610000}"/>
    <cellStyle name="40 % - Markeringsfarve3 2 3 9 2 2" xfId="18755" xr:uid="{00000000-0005-0000-0000-000084610000}"/>
    <cellStyle name="40 % - Markeringsfarve3 2 3 9 2 2 2" xfId="35031" xr:uid="{00000000-0005-0000-0000-000085610000}"/>
    <cellStyle name="40 % - Markeringsfarve3 2 3 9 2 2 3" xfId="49990" xr:uid="{00000000-0005-0000-0000-000086610000}"/>
    <cellStyle name="40 % - Markeringsfarve3 2 3 9 2 3" xfId="28029" xr:uid="{00000000-0005-0000-0000-000087610000}"/>
    <cellStyle name="40 % - Markeringsfarve3 2 3 9 2 4" xfId="42993" xr:uid="{00000000-0005-0000-0000-000088610000}"/>
    <cellStyle name="40 % - Markeringsfarve3 2 3 9 3" xfId="14382" xr:uid="{00000000-0005-0000-0000-000089610000}"/>
    <cellStyle name="40 % - Markeringsfarve3 2 3 9 3 2" xfId="30661" xr:uid="{00000000-0005-0000-0000-00008A610000}"/>
    <cellStyle name="40 % - Markeringsfarve3 2 3 9 3 3" xfId="45621" xr:uid="{00000000-0005-0000-0000-00008B610000}"/>
    <cellStyle name="40 % - Markeringsfarve3 2 3 9 4" xfId="23659" xr:uid="{00000000-0005-0000-0000-00008C610000}"/>
    <cellStyle name="40 % - Markeringsfarve3 2 3 9 5" xfId="38624" xr:uid="{00000000-0005-0000-0000-00008D610000}"/>
    <cellStyle name="40 % - Markeringsfarve3 2 4" xfId="5898" xr:uid="{00000000-0005-0000-0000-00008E610000}"/>
    <cellStyle name="40 % - Markeringsfarve3 2 4 2" xfId="5899" xr:uid="{00000000-0005-0000-0000-00008F610000}"/>
    <cellStyle name="40 % - Markeringsfarve3 2 4 2 2" xfId="5900" xr:uid="{00000000-0005-0000-0000-000090610000}"/>
    <cellStyle name="40 % - Markeringsfarve3 2 4 2 2 2" xfId="9844" xr:uid="{00000000-0005-0000-0000-000091610000}"/>
    <cellStyle name="40 % - Markeringsfarve3 2 4 2 2 2 2" xfId="17699" xr:uid="{00000000-0005-0000-0000-000092610000}"/>
    <cellStyle name="40 % - Markeringsfarve3 2 4 2 2 2 2 2" xfId="33975" xr:uid="{00000000-0005-0000-0000-000093610000}"/>
    <cellStyle name="40 % - Markeringsfarve3 2 4 2 2 2 2 3" xfId="48934" xr:uid="{00000000-0005-0000-0000-000094610000}"/>
    <cellStyle name="40 % - Markeringsfarve3 2 4 2 2 2 3" xfId="26973" xr:uid="{00000000-0005-0000-0000-000095610000}"/>
    <cellStyle name="40 % - Markeringsfarve3 2 4 2 2 2 4" xfId="41937" xr:uid="{00000000-0005-0000-0000-000096610000}"/>
    <cellStyle name="40 % - Markeringsfarve3 2 4 2 2 3" xfId="14385" xr:uid="{00000000-0005-0000-0000-000097610000}"/>
    <cellStyle name="40 % - Markeringsfarve3 2 4 2 2 3 2" xfId="30664" xr:uid="{00000000-0005-0000-0000-000098610000}"/>
    <cellStyle name="40 % - Markeringsfarve3 2 4 2 2 3 3" xfId="45624" xr:uid="{00000000-0005-0000-0000-000099610000}"/>
    <cellStyle name="40 % - Markeringsfarve3 2 4 2 2 4" xfId="23662" xr:uid="{00000000-0005-0000-0000-00009A610000}"/>
    <cellStyle name="40 % - Markeringsfarve3 2 4 2 2 5" xfId="38627" xr:uid="{00000000-0005-0000-0000-00009B610000}"/>
    <cellStyle name="40 % - Markeringsfarve3 2 4 2 3" xfId="8423" xr:uid="{00000000-0005-0000-0000-00009C610000}"/>
    <cellStyle name="40 % - Markeringsfarve3 2 4 2 3 2" xfId="16293" xr:uid="{00000000-0005-0000-0000-00009D610000}"/>
    <cellStyle name="40 % - Markeringsfarve3 2 4 2 3 2 2" xfId="32569" xr:uid="{00000000-0005-0000-0000-00009E610000}"/>
    <cellStyle name="40 % - Markeringsfarve3 2 4 2 3 2 3" xfId="47528" xr:uid="{00000000-0005-0000-0000-00009F610000}"/>
    <cellStyle name="40 % - Markeringsfarve3 2 4 2 3 3" xfId="25567" xr:uid="{00000000-0005-0000-0000-0000A0610000}"/>
    <cellStyle name="40 % - Markeringsfarve3 2 4 2 3 4" xfId="40531" xr:uid="{00000000-0005-0000-0000-0000A1610000}"/>
    <cellStyle name="40 % - Markeringsfarve3 2 4 2 4" xfId="14384" xr:uid="{00000000-0005-0000-0000-0000A2610000}"/>
    <cellStyle name="40 % - Markeringsfarve3 2 4 2 4 2" xfId="30663" xr:uid="{00000000-0005-0000-0000-0000A3610000}"/>
    <cellStyle name="40 % - Markeringsfarve3 2 4 2 4 3" xfId="45623" xr:uid="{00000000-0005-0000-0000-0000A4610000}"/>
    <cellStyle name="40 % - Markeringsfarve3 2 4 2 5" xfId="23661" xr:uid="{00000000-0005-0000-0000-0000A5610000}"/>
    <cellStyle name="40 % - Markeringsfarve3 2 4 2 6" xfId="38626" xr:uid="{00000000-0005-0000-0000-0000A6610000}"/>
    <cellStyle name="40 % - Markeringsfarve3 2 4 3" xfId="5901" xr:uid="{00000000-0005-0000-0000-0000A7610000}"/>
    <cellStyle name="40 % - Markeringsfarve3 2 4 3 2" xfId="9075" xr:uid="{00000000-0005-0000-0000-0000A8610000}"/>
    <cellStyle name="40 % - Markeringsfarve3 2 4 3 2 2" xfId="16939" xr:uid="{00000000-0005-0000-0000-0000A9610000}"/>
    <cellStyle name="40 % - Markeringsfarve3 2 4 3 2 2 2" xfId="33215" xr:uid="{00000000-0005-0000-0000-0000AA610000}"/>
    <cellStyle name="40 % - Markeringsfarve3 2 4 3 2 2 3" xfId="48174" xr:uid="{00000000-0005-0000-0000-0000AB610000}"/>
    <cellStyle name="40 % - Markeringsfarve3 2 4 3 2 3" xfId="26213" xr:uid="{00000000-0005-0000-0000-0000AC610000}"/>
    <cellStyle name="40 % - Markeringsfarve3 2 4 3 2 4" xfId="41177" xr:uid="{00000000-0005-0000-0000-0000AD610000}"/>
    <cellStyle name="40 % - Markeringsfarve3 2 4 3 3" xfId="14386" xr:uid="{00000000-0005-0000-0000-0000AE610000}"/>
    <cellStyle name="40 % - Markeringsfarve3 2 4 3 3 2" xfId="30665" xr:uid="{00000000-0005-0000-0000-0000AF610000}"/>
    <cellStyle name="40 % - Markeringsfarve3 2 4 3 3 3" xfId="45625" xr:uid="{00000000-0005-0000-0000-0000B0610000}"/>
    <cellStyle name="40 % - Markeringsfarve3 2 4 3 4" xfId="23663" xr:uid="{00000000-0005-0000-0000-0000B1610000}"/>
    <cellStyle name="40 % - Markeringsfarve3 2 4 3 5" xfId="38628" xr:uid="{00000000-0005-0000-0000-0000B2610000}"/>
    <cellStyle name="40 % - Markeringsfarve3 2 4 4" xfId="5902" xr:uid="{00000000-0005-0000-0000-0000B3610000}"/>
    <cellStyle name="40 % - Markeringsfarve3 2 4 4 2" xfId="10787" xr:uid="{00000000-0005-0000-0000-0000B4610000}"/>
    <cellStyle name="40 % - Markeringsfarve3 2 4 4 2 2" xfId="18629" xr:uid="{00000000-0005-0000-0000-0000B5610000}"/>
    <cellStyle name="40 % - Markeringsfarve3 2 4 4 2 2 2" xfId="34905" xr:uid="{00000000-0005-0000-0000-0000B6610000}"/>
    <cellStyle name="40 % - Markeringsfarve3 2 4 4 2 2 3" xfId="49864" xr:uid="{00000000-0005-0000-0000-0000B7610000}"/>
    <cellStyle name="40 % - Markeringsfarve3 2 4 4 2 3" xfId="27903" xr:uid="{00000000-0005-0000-0000-0000B8610000}"/>
    <cellStyle name="40 % - Markeringsfarve3 2 4 4 2 4" xfId="42867" xr:uid="{00000000-0005-0000-0000-0000B9610000}"/>
    <cellStyle name="40 % - Markeringsfarve3 2 4 4 3" xfId="14387" xr:uid="{00000000-0005-0000-0000-0000BA610000}"/>
    <cellStyle name="40 % - Markeringsfarve3 2 4 4 3 2" xfId="30666" xr:uid="{00000000-0005-0000-0000-0000BB610000}"/>
    <cellStyle name="40 % - Markeringsfarve3 2 4 4 3 3" xfId="45626" xr:uid="{00000000-0005-0000-0000-0000BC610000}"/>
    <cellStyle name="40 % - Markeringsfarve3 2 4 4 4" xfId="23664" xr:uid="{00000000-0005-0000-0000-0000BD610000}"/>
    <cellStyle name="40 % - Markeringsfarve3 2 4 4 5" xfId="38629" xr:uid="{00000000-0005-0000-0000-0000BE610000}"/>
    <cellStyle name="40 % - Markeringsfarve3 2 4 5" xfId="8085" xr:uid="{00000000-0005-0000-0000-0000BF610000}"/>
    <cellStyle name="40 % - Markeringsfarve3 2 4 5 2" xfId="15950" xr:uid="{00000000-0005-0000-0000-0000C0610000}"/>
    <cellStyle name="40 % - Markeringsfarve3 2 4 5 2 2" xfId="32226" xr:uid="{00000000-0005-0000-0000-0000C1610000}"/>
    <cellStyle name="40 % - Markeringsfarve3 2 4 5 2 3" xfId="47185" xr:uid="{00000000-0005-0000-0000-0000C2610000}"/>
    <cellStyle name="40 % - Markeringsfarve3 2 4 5 3" xfId="25224" xr:uid="{00000000-0005-0000-0000-0000C3610000}"/>
    <cellStyle name="40 % - Markeringsfarve3 2 4 5 4" xfId="40188" xr:uid="{00000000-0005-0000-0000-0000C4610000}"/>
    <cellStyle name="40 % - Markeringsfarve3 2 4 6" xfId="14383" xr:uid="{00000000-0005-0000-0000-0000C5610000}"/>
    <cellStyle name="40 % - Markeringsfarve3 2 4 6 2" xfId="30662" xr:uid="{00000000-0005-0000-0000-0000C6610000}"/>
    <cellStyle name="40 % - Markeringsfarve3 2 4 6 3" xfId="45622" xr:uid="{00000000-0005-0000-0000-0000C7610000}"/>
    <cellStyle name="40 % - Markeringsfarve3 2 4 7" xfId="23660" xr:uid="{00000000-0005-0000-0000-0000C8610000}"/>
    <cellStyle name="40 % - Markeringsfarve3 2 4 8" xfId="38625" xr:uid="{00000000-0005-0000-0000-0000C9610000}"/>
    <cellStyle name="40 % - Markeringsfarve3 2 5" xfId="5903" xr:uid="{00000000-0005-0000-0000-0000CA610000}"/>
    <cellStyle name="40 % - Markeringsfarve3 2 5 2" xfId="5904" xr:uid="{00000000-0005-0000-0000-0000CB610000}"/>
    <cellStyle name="40 % - Markeringsfarve3 2 5 2 2" xfId="5905" xr:uid="{00000000-0005-0000-0000-0000CC610000}"/>
    <cellStyle name="40 % - Markeringsfarve3 2 5 2 2 2" xfId="10003" xr:uid="{00000000-0005-0000-0000-0000CD610000}"/>
    <cellStyle name="40 % - Markeringsfarve3 2 5 2 2 2 2" xfId="17858" xr:uid="{00000000-0005-0000-0000-0000CE610000}"/>
    <cellStyle name="40 % - Markeringsfarve3 2 5 2 2 2 2 2" xfId="34134" xr:uid="{00000000-0005-0000-0000-0000CF610000}"/>
    <cellStyle name="40 % - Markeringsfarve3 2 5 2 2 2 2 3" xfId="49093" xr:uid="{00000000-0005-0000-0000-0000D0610000}"/>
    <cellStyle name="40 % - Markeringsfarve3 2 5 2 2 2 3" xfId="27132" xr:uid="{00000000-0005-0000-0000-0000D1610000}"/>
    <cellStyle name="40 % - Markeringsfarve3 2 5 2 2 2 4" xfId="42096" xr:uid="{00000000-0005-0000-0000-0000D2610000}"/>
    <cellStyle name="40 % - Markeringsfarve3 2 5 2 2 3" xfId="14390" xr:uid="{00000000-0005-0000-0000-0000D3610000}"/>
    <cellStyle name="40 % - Markeringsfarve3 2 5 2 2 3 2" xfId="30669" xr:uid="{00000000-0005-0000-0000-0000D4610000}"/>
    <cellStyle name="40 % - Markeringsfarve3 2 5 2 2 3 3" xfId="45629" xr:uid="{00000000-0005-0000-0000-0000D5610000}"/>
    <cellStyle name="40 % - Markeringsfarve3 2 5 2 2 4" xfId="23667" xr:uid="{00000000-0005-0000-0000-0000D6610000}"/>
    <cellStyle name="40 % - Markeringsfarve3 2 5 2 2 5" xfId="38632" xr:uid="{00000000-0005-0000-0000-0000D7610000}"/>
    <cellStyle name="40 % - Markeringsfarve3 2 5 2 3" xfId="8550" xr:uid="{00000000-0005-0000-0000-0000D8610000}"/>
    <cellStyle name="40 % - Markeringsfarve3 2 5 2 3 2" xfId="16420" xr:uid="{00000000-0005-0000-0000-0000D9610000}"/>
    <cellStyle name="40 % - Markeringsfarve3 2 5 2 3 2 2" xfId="32696" xr:uid="{00000000-0005-0000-0000-0000DA610000}"/>
    <cellStyle name="40 % - Markeringsfarve3 2 5 2 3 2 3" xfId="47655" xr:uid="{00000000-0005-0000-0000-0000DB610000}"/>
    <cellStyle name="40 % - Markeringsfarve3 2 5 2 3 3" xfId="25694" xr:uid="{00000000-0005-0000-0000-0000DC610000}"/>
    <cellStyle name="40 % - Markeringsfarve3 2 5 2 3 4" xfId="40658" xr:uid="{00000000-0005-0000-0000-0000DD610000}"/>
    <cellStyle name="40 % - Markeringsfarve3 2 5 2 4" xfId="14389" xr:uid="{00000000-0005-0000-0000-0000DE610000}"/>
    <cellStyle name="40 % - Markeringsfarve3 2 5 2 4 2" xfId="30668" xr:uid="{00000000-0005-0000-0000-0000DF610000}"/>
    <cellStyle name="40 % - Markeringsfarve3 2 5 2 4 3" xfId="45628" xr:uid="{00000000-0005-0000-0000-0000E0610000}"/>
    <cellStyle name="40 % - Markeringsfarve3 2 5 2 5" xfId="23666" xr:uid="{00000000-0005-0000-0000-0000E1610000}"/>
    <cellStyle name="40 % - Markeringsfarve3 2 5 2 6" xfId="38631" xr:uid="{00000000-0005-0000-0000-0000E2610000}"/>
    <cellStyle name="40 % - Markeringsfarve3 2 5 3" xfId="5906" xr:uid="{00000000-0005-0000-0000-0000E3610000}"/>
    <cellStyle name="40 % - Markeringsfarve3 2 5 3 2" xfId="9234" xr:uid="{00000000-0005-0000-0000-0000E4610000}"/>
    <cellStyle name="40 % - Markeringsfarve3 2 5 3 2 2" xfId="17098" xr:uid="{00000000-0005-0000-0000-0000E5610000}"/>
    <cellStyle name="40 % - Markeringsfarve3 2 5 3 2 2 2" xfId="33374" xr:uid="{00000000-0005-0000-0000-0000E6610000}"/>
    <cellStyle name="40 % - Markeringsfarve3 2 5 3 2 2 3" xfId="48333" xr:uid="{00000000-0005-0000-0000-0000E7610000}"/>
    <cellStyle name="40 % - Markeringsfarve3 2 5 3 2 3" xfId="26372" xr:uid="{00000000-0005-0000-0000-0000E8610000}"/>
    <cellStyle name="40 % - Markeringsfarve3 2 5 3 2 4" xfId="41336" xr:uid="{00000000-0005-0000-0000-0000E9610000}"/>
    <cellStyle name="40 % - Markeringsfarve3 2 5 3 3" xfId="14391" xr:uid="{00000000-0005-0000-0000-0000EA610000}"/>
    <cellStyle name="40 % - Markeringsfarve3 2 5 3 3 2" xfId="30670" xr:uid="{00000000-0005-0000-0000-0000EB610000}"/>
    <cellStyle name="40 % - Markeringsfarve3 2 5 3 3 3" xfId="45630" xr:uid="{00000000-0005-0000-0000-0000EC610000}"/>
    <cellStyle name="40 % - Markeringsfarve3 2 5 3 4" xfId="23668" xr:uid="{00000000-0005-0000-0000-0000ED610000}"/>
    <cellStyle name="40 % - Markeringsfarve3 2 5 3 5" xfId="38633" xr:uid="{00000000-0005-0000-0000-0000EE610000}"/>
    <cellStyle name="40 % - Markeringsfarve3 2 5 4" xfId="5907" xr:uid="{00000000-0005-0000-0000-0000EF610000}"/>
    <cellStyle name="40 % - Markeringsfarve3 2 5 4 2" xfId="10437" xr:uid="{00000000-0005-0000-0000-0000F0610000}"/>
    <cellStyle name="40 % - Markeringsfarve3 2 5 4 2 2" xfId="18289" xr:uid="{00000000-0005-0000-0000-0000F1610000}"/>
    <cellStyle name="40 % - Markeringsfarve3 2 5 4 2 2 2" xfId="34565" xr:uid="{00000000-0005-0000-0000-0000F2610000}"/>
    <cellStyle name="40 % - Markeringsfarve3 2 5 4 2 2 3" xfId="49524" xr:uid="{00000000-0005-0000-0000-0000F3610000}"/>
    <cellStyle name="40 % - Markeringsfarve3 2 5 4 2 3" xfId="27563" xr:uid="{00000000-0005-0000-0000-0000F4610000}"/>
    <cellStyle name="40 % - Markeringsfarve3 2 5 4 2 4" xfId="42527" xr:uid="{00000000-0005-0000-0000-0000F5610000}"/>
    <cellStyle name="40 % - Markeringsfarve3 2 5 4 3" xfId="14392" xr:uid="{00000000-0005-0000-0000-0000F6610000}"/>
    <cellStyle name="40 % - Markeringsfarve3 2 5 4 3 2" xfId="30671" xr:uid="{00000000-0005-0000-0000-0000F7610000}"/>
    <cellStyle name="40 % - Markeringsfarve3 2 5 4 3 3" xfId="45631" xr:uid="{00000000-0005-0000-0000-0000F8610000}"/>
    <cellStyle name="40 % - Markeringsfarve3 2 5 4 4" xfId="23669" xr:uid="{00000000-0005-0000-0000-0000F9610000}"/>
    <cellStyle name="40 % - Markeringsfarve3 2 5 4 5" xfId="38634" xr:uid="{00000000-0005-0000-0000-0000FA610000}"/>
    <cellStyle name="40 % - Markeringsfarve3 2 5 5" xfId="8086" xr:uid="{00000000-0005-0000-0000-0000FB610000}"/>
    <cellStyle name="40 % - Markeringsfarve3 2 5 5 2" xfId="15951" xr:uid="{00000000-0005-0000-0000-0000FC610000}"/>
    <cellStyle name="40 % - Markeringsfarve3 2 5 5 2 2" xfId="32227" xr:uid="{00000000-0005-0000-0000-0000FD610000}"/>
    <cellStyle name="40 % - Markeringsfarve3 2 5 5 2 3" xfId="47186" xr:uid="{00000000-0005-0000-0000-0000FE610000}"/>
    <cellStyle name="40 % - Markeringsfarve3 2 5 5 3" xfId="25225" xr:uid="{00000000-0005-0000-0000-0000FF610000}"/>
    <cellStyle name="40 % - Markeringsfarve3 2 5 5 4" xfId="40189" xr:uid="{00000000-0005-0000-0000-000000620000}"/>
    <cellStyle name="40 % - Markeringsfarve3 2 5 6" xfId="14388" xr:uid="{00000000-0005-0000-0000-000001620000}"/>
    <cellStyle name="40 % - Markeringsfarve3 2 5 6 2" xfId="30667" xr:uid="{00000000-0005-0000-0000-000002620000}"/>
    <cellStyle name="40 % - Markeringsfarve3 2 5 6 3" xfId="45627" xr:uid="{00000000-0005-0000-0000-000003620000}"/>
    <cellStyle name="40 % - Markeringsfarve3 2 5 7" xfId="23665" xr:uid="{00000000-0005-0000-0000-000004620000}"/>
    <cellStyle name="40 % - Markeringsfarve3 2 5 8" xfId="38630" xr:uid="{00000000-0005-0000-0000-000005620000}"/>
    <cellStyle name="40 % - Markeringsfarve3 2 6" xfId="5908" xr:uid="{00000000-0005-0000-0000-000006620000}"/>
    <cellStyle name="40 % - Markeringsfarve3 2 6 2" xfId="5909" xr:uid="{00000000-0005-0000-0000-000007620000}"/>
    <cellStyle name="40 % - Markeringsfarve3 2 6 2 2" xfId="5910" xr:uid="{00000000-0005-0000-0000-000008620000}"/>
    <cellStyle name="40 % - Markeringsfarve3 2 6 2 2 2" xfId="10082" xr:uid="{00000000-0005-0000-0000-000009620000}"/>
    <cellStyle name="40 % - Markeringsfarve3 2 6 2 2 2 2" xfId="17937" xr:uid="{00000000-0005-0000-0000-00000A620000}"/>
    <cellStyle name="40 % - Markeringsfarve3 2 6 2 2 2 2 2" xfId="34213" xr:uid="{00000000-0005-0000-0000-00000B620000}"/>
    <cellStyle name="40 % - Markeringsfarve3 2 6 2 2 2 2 3" xfId="49172" xr:uid="{00000000-0005-0000-0000-00000C620000}"/>
    <cellStyle name="40 % - Markeringsfarve3 2 6 2 2 2 3" xfId="27211" xr:uid="{00000000-0005-0000-0000-00000D620000}"/>
    <cellStyle name="40 % - Markeringsfarve3 2 6 2 2 2 4" xfId="42175" xr:uid="{00000000-0005-0000-0000-00000E620000}"/>
    <cellStyle name="40 % - Markeringsfarve3 2 6 2 2 3" xfId="14395" xr:uid="{00000000-0005-0000-0000-00000F620000}"/>
    <cellStyle name="40 % - Markeringsfarve3 2 6 2 2 3 2" xfId="30674" xr:uid="{00000000-0005-0000-0000-000010620000}"/>
    <cellStyle name="40 % - Markeringsfarve3 2 6 2 2 3 3" xfId="45634" xr:uid="{00000000-0005-0000-0000-000011620000}"/>
    <cellStyle name="40 % - Markeringsfarve3 2 6 2 2 4" xfId="23672" xr:uid="{00000000-0005-0000-0000-000012620000}"/>
    <cellStyle name="40 % - Markeringsfarve3 2 6 2 2 5" xfId="38637" xr:uid="{00000000-0005-0000-0000-000013620000}"/>
    <cellStyle name="40 % - Markeringsfarve3 2 6 2 3" xfId="8625" xr:uid="{00000000-0005-0000-0000-000014620000}"/>
    <cellStyle name="40 % - Markeringsfarve3 2 6 2 3 2" xfId="16492" xr:uid="{00000000-0005-0000-0000-000015620000}"/>
    <cellStyle name="40 % - Markeringsfarve3 2 6 2 3 2 2" xfId="32768" xr:uid="{00000000-0005-0000-0000-000016620000}"/>
    <cellStyle name="40 % - Markeringsfarve3 2 6 2 3 2 3" xfId="47727" xr:uid="{00000000-0005-0000-0000-000017620000}"/>
    <cellStyle name="40 % - Markeringsfarve3 2 6 2 3 3" xfId="25766" xr:uid="{00000000-0005-0000-0000-000018620000}"/>
    <cellStyle name="40 % - Markeringsfarve3 2 6 2 3 4" xfId="40730" xr:uid="{00000000-0005-0000-0000-000019620000}"/>
    <cellStyle name="40 % - Markeringsfarve3 2 6 2 4" xfId="14394" xr:uid="{00000000-0005-0000-0000-00001A620000}"/>
    <cellStyle name="40 % - Markeringsfarve3 2 6 2 4 2" xfId="30673" xr:uid="{00000000-0005-0000-0000-00001B620000}"/>
    <cellStyle name="40 % - Markeringsfarve3 2 6 2 4 3" xfId="45633" xr:uid="{00000000-0005-0000-0000-00001C620000}"/>
    <cellStyle name="40 % - Markeringsfarve3 2 6 2 5" xfId="23671" xr:uid="{00000000-0005-0000-0000-00001D620000}"/>
    <cellStyle name="40 % - Markeringsfarve3 2 6 2 6" xfId="38636" xr:uid="{00000000-0005-0000-0000-00001E620000}"/>
    <cellStyle name="40 % - Markeringsfarve3 2 6 3" xfId="5911" xr:uid="{00000000-0005-0000-0000-00001F620000}"/>
    <cellStyle name="40 % - Markeringsfarve3 2 6 3 2" xfId="9359" xr:uid="{00000000-0005-0000-0000-000020620000}"/>
    <cellStyle name="40 % - Markeringsfarve3 2 6 3 2 2" xfId="17222" xr:uid="{00000000-0005-0000-0000-000021620000}"/>
    <cellStyle name="40 % - Markeringsfarve3 2 6 3 2 2 2" xfId="33498" xr:uid="{00000000-0005-0000-0000-000022620000}"/>
    <cellStyle name="40 % - Markeringsfarve3 2 6 3 2 2 3" xfId="48457" xr:uid="{00000000-0005-0000-0000-000023620000}"/>
    <cellStyle name="40 % - Markeringsfarve3 2 6 3 2 3" xfId="26496" xr:uid="{00000000-0005-0000-0000-000024620000}"/>
    <cellStyle name="40 % - Markeringsfarve3 2 6 3 2 4" xfId="41460" xr:uid="{00000000-0005-0000-0000-000025620000}"/>
    <cellStyle name="40 % - Markeringsfarve3 2 6 3 3" xfId="14396" xr:uid="{00000000-0005-0000-0000-000026620000}"/>
    <cellStyle name="40 % - Markeringsfarve3 2 6 3 3 2" xfId="30675" xr:uid="{00000000-0005-0000-0000-000027620000}"/>
    <cellStyle name="40 % - Markeringsfarve3 2 6 3 3 3" xfId="45635" xr:uid="{00000000-0005-0000-0000-000028620000}"/>
    <cellStyle name="40 % - Markeringsfarve3 2 6 3 4" xfId="23673" xr:uid="{00000000-0005-0000-0000-000029620000}"/>
    <cellStyle name="40 % - Markeringsfarve3 2 6 3 5" xfId="38638" xr:uid="{00000000-0005-0000-0000-00002A620000}"/>
    <cellStyle name="40 % - Markeringsfarve3 2 6 4" xfId="5912" xr:uid="{00000000-0005-0000-0000-00002B620000}"/>
    <cellStyle name="40 % - Markeringsfarve3 2 6 4 2" xfId="10772" xr:uid="{00000000-0005-0000-0000-00002C620000}"/>
    <cellStyle name="40 % - Markeringsfarve3 2 6 4 2 2" xfId="18614" xr:uid="{00000000-0005-0000-0000-00002D620000}"/>
    <cellStyle name="40 % - Markeringsfarve3 2 6 4 2 2 2" xfId="34890" xr:uid="{00000000-0005-0000-0000-00002E620000}"/>
    <cellStyle name="40 % - Markeringsfarve3 2 6 4 2 2 3" xfId="49849" xr:uid="{00000000-0005-0000-0000-00002F620000}"/>
    <cellStyle name="40 % - Markeringsfarve3 2 6 4 2 3" xfId="27888" xr:uid="{00000000-0005-0000-0000-000030620000}"/>
    <cellStyle name="40 % - Markeringsfarve3 2 6 4 2 4" xfId="42852" xr:uid="{00000000-0005-0000-0000-000031620000}"/>
    <cellStyle name="40 % - Markeringsfarve3 2 6 4 3" xfId="14397" xr:uid="{00000000-0005-0000-0000-000032620000}"/>
    <cellStyle name="40 % - Markeringsfarve3 2 6 4 3 2" xfId="30676" xr:uid="{00000000-0005-0000-0000-000033620000}"/>
    <cellStyle name="40 % - Markeringsfarve3 2 6 4 3 3" xfId="45636" xr:uid="{00000000-0005-0000-0000-000034620000}"/>
    <cellStyle name="40 % - Markeringsfarve3 2 6 4 4" xfId="23674" xr:uid="{00000000-0005-0000-0000-000035620000}"/>
    <cellStyle name="40 % - Markeringsfarve3 2 6 4 5" xfId="38639" xr:uid="{00000000-0005-0000-0000-000036620000}"/>
    <cellStyle name="40 % - Markeringsfarve3 2 6 5" xfId="8087" xr:uid="{00000000-0005-0000-0000-000037620000}"/>
    <cellStyle name="40 % - Markeringsfarve3 2 6 5 2" xfId="15952" xr:uid="{00000000-0005-0000-0000-000038620000}"/>
    <cellStyle name="40 % - Markeringsfarve3 2 6 5 2 2" xfId="32228" xr:uid="{00000000-0005-0000-0000-000039620000}"/>
    <cellStyle name="40 % - Markeringsfarve3 2 6 5 2 3" xfId="47187" xr:uid="{00000000-0005-0000-0000-00003A620000}"/>
    <cellStyle name="40 % - Markeringsfarve3 2 6 5 3" xfId="25226" xr:uid="{00000000-0005-0000-0000-00003B620000}"/>
    <cellStyle name="40 % - Markeringsfarve3 2 6 5 4" xfId="40190" xr:uid="{00000000-0005-0000-0000-00003C620000}"/>
    <cellStyle name="40 % - Markeringsfarve3 2 6 6" xfId="14393" xr:uid="{00000000-0005-0000-0000-00003D620000}"/>
    <cellStyle name="40 % - Markeringsfarve3 2 6 6 2" xfId="30672" xr:uid="{00000000-0005-0000-0000-00003E620000}"/>
    <cellStyle name="40 % - Markeringsfarve3 2 6 6 3" xfId="45632" xr:uid="{00000000-0005-0000-0000-00003F620000}"/>
    <cellStyle name="40 % - Markeringsfarve3 2 6 7" xfId="23670" xr:uid="{00000000-0005-0000-0000-000040620000}"/>
    <cellStyle name="40 % - Markeringsfarve3 2 6 8" xfId="38635" xr:uid="{00000000-0005-0000-0000-000041620000}"/>
    <cellStyle name="40 % - Markeringsfarve3 2 7" xfId="5913" xr:uid="{00000000-0005-0000-0000-000042620000}"/>
    <cellStyle name="40 % - Markeringsfarve3 2 7 2" xfId="5914" xr:uid="{00000000-0005-0000-0000-000043620000}"/>
    <cellStyle name="40 % - Markeringsfarve3 2 7 2 2" xfId="5915" xr:uid="{00000000-0005-0000-0000-000044620000}"/>
    <cellStyle name="40 % - Markeringsfarve3 2 7 2 2 2" xfId="10199" xr:uid="{00000000-0005-0000-0000-000045620000}"/>
    <cellStyle name="40 % - Markeringsfarve3 2 7 2 2 2 2" xfId="18054" xr:uid="{00000000-0005-0000-0000-000046620000}"/>
    <cellStyle name="40 % - Markeringsfarve3 2 7 2 2 2 2 2" xfId="34330" xr:uid="{00000000-0005-0000-0000-000047620000}"/>
    <cellStyle name="40 % - Markeringsfarve3 2 7 2 2 2 2 3" xfId="49289" xr:uid="{00000000-0005-0000-0000-000048620000}"/>
    <cellStyle name="40 % - Markeringsfarve3 2 7 2 2 2 3" xfId="27328" xr:uid="{00000000-0005-0000-0000-000049620000}"/>
    <cellStyle name="40 % - Markeringsfarve3 2 7 2 2 2 4" xfId="42292" xr:uid="{00000000-0005-0000-0000-00004A620000}"/>
    <cellStyle name="40 % - Markeringsfarve3 2 7 2 2 3" xfId="14400" xr:uid="{00000000-0005-0000-0000-00004B620000}"/>
    <cellStyle name="40 % - Markeringsfarve3 2 7 2 2 3 2" xfId="30679" xr:uid="{00000000-0005-0000-0000-00004C620000}"/>
    <cellStyle name="40 % - Markeringsfarve3 2 7 2 2 3 3" xfId="45639" xr:uid="{00000000-0005-0000-0000-00004D620000}"/>
    <cellStyle name="40 % - Markeringsfarve3 2 7 2 2 4" xfId="23677" xr:uid="{00000000-0005-0000-0000-00004E620000}"/>
    <cellStyle name="40 % - Markeringsfarve3 2 7 2 2 5" xfId="38642" xr:uid="{00000000-0005-0000-0000-00004F620000}"/>
    <cellStyle name="40 % - Markeringsfarve3 2 7 2 3" xfId="8724" xr:uid="{00000000-0005-0000-0000-000050620000}"/>
    <cellStyle name="40 % - Markeringsfarve3 2 7 2 3 2" xfId="16591" xr:uid="{00000000-0005-0000-0000-000051620000}"/>
    <cellStyle name="40 % - Markeringsfarve3 2 7 2 3 2 2" xfId="32867" xr:uid="{00000000-0005-0000-0000-000052620000}"/>
    <cellStyle name="40 % - Markeringsfarve3 2 7 2 3 2 3" xfId="47826" xr:uid="{00000000-0005-0000-0000-000053620000}"/>
    <cellStyle name="40 % - Markeringsfarve3 2 7 2 3 3" xfId="25865" xr:uid="{00000000-0005-0000-0000-000054620000}"/>
    <cellStyle name="40 % - Markeringsfarve3 2 7 2 3 4" xfId="40829" xr:uid="{00000000-0005-0000-0000-000055620000}"/>
    <cellStyle name="40 % - Markeringsfarve3 2 7 2 4" xfId="14399" xr:uid="{00000000-0005-0000-0000-000056620000}"/>
    <cellStyle name="40 % - Markeringsfarve3 2 7 2 4 2" xfId="30678" xr:uid="{00000000-0005-0000-0000-000057620000}"/>
    <cellStyle name="40 % - Markeringsfarve3 2 7 2 4 3" xfId="45638" xr:uid="{00000000-0005-0000-0000-000058620000}"/>
    <cellStyle name="40 % - Markeringsfarve3 2 7 2 5" xfId="23676" xr:uid="{00000000-0005-0000-0000-000059620000}"/>
    <cellStyle name="40 % - Markeringsfarve3 2 7 2 6" xfId="38641" xr:uid="{00000000-0005-0000-0000-00005A620000}"/>
    <cellStyle name="40 % - Markeringsfarve3 2 7 3" xfId="5916" xr:uid="{00000000-0005-0000-0000-00005B620000}"/>
    <cellStyle name="40 % - Markeringsfarve3 2 7 3 2" xfId="9476" xr:uid="{00000000-0005-0000-0000-00005C620000}"/>
    <cellStyle name="40 % - Markeringsfarve3 2 7 3 2 2" xfId="17339" xr:uid="{00000000-0005-0000-0000-00005D620000}"/>
    <cellStyle name="40 % - Markeringsfarve3 2 7 3 2 2 2" xfId="33615" xr:uid="{00000000-0005-0000-0000-00005E620000}"/>
    <cellStyle name="40 % - Markeringsfarve3 2 7 3 2 2 3" xfId="48574" xr:uid="{00000000-0005-0000-0000-00005F620000}"/>
    <cellStyle name="40 % - Markeringsfarve3 2 7 3 2 3" xfId="26613" xr:uid="{00000000-0005-0000-0000-000060620000}"/>
    <cellStyle name="40 % - Markeringsfarve3 2 7 3 2 4" xfId="41577" xr:uid="{00000000-0005-0000-0000-000061620000}"/>
    <cellStyle name="40 % - Markeringsfarve3 2 7 3 3" xfId="14401" xr:uid="{00000000-0005-0000-0000-000062620000}"/>
    <cellStyle name="40 % - Markeringsfarve3 2 7 3 3 2" xfId="30680" xr:uid="{00000000-0005-0000-0000-000063620000}"/>
    <cellStyle name="40 % - Markeringsfarve3 2 7 3 3 3" xfId="45640" xr:uid="{00000000-0005-0000-0000-000064620000}"/>
    <cellStyle name="40 % - Markeringsfarve3 2 7 3 4" xfId="23678" xr:uid="{00000000-0005-0000-0000-000065620000}"/>
    <cellStyle name="40 % - Markeringsfarve3 2 7 3 5" xfId="38643" xr:uid="{00000000-0005-0000-0000-000066620000}"/>
    <cellStyle name="40 % - Markeringsfarve3 2 7 4" xfId="5917" xr:uid="{00000000-0005-0000-0000-000067620000}"/>
    <cellStyle name="40 % - Markeringsfarve3 2 7 4 2" xfId="10978" xr:uid="{00000000-0005-0000-0000-000068620000}"/>
    <cellStyle name="40 % - Markeringsfarve3 2 7 4 2 2" xfId="18809" xr:uid="{00000000-0005-0000-0000-000069620000}"/>
    <cellStyle name="40 % - Markeringsfarve3 2 7 4 2 2 2" xfId="35085" xr:uid="{00000000-0005-0000-0000-00006A620000}"/>
    <cellStyle name="40 % - Markeringsfarve3 2 7 4 2 2 3" xfId="50044" xr:uid="{00000000-0005-0000-0000-00006B620000}"/>
    <cellStyle name="40 % - Markeringsfarve3 2 7 4 2 3" xfId="28083" xr:uid="{00000000-0005-0000-0000-00006C620000}"/>
    <cellStyle name="40 % - Markeringsfarve3 2 7 4 2 4" xfId="43047" xr:uid="{00000000-0005-0000-0000-00006D620000}"/>
    <cellStyle name="40 % - Markeringsfarve3 2 7 4 3" xfId="14402" xr:uid="{00000000-0005-0000-0000-00006E620000}"/>
    <cellStyle name="40 % - Markeringsfarve3 2 7 4 3 2" xfId="30681" xr:uid="{00000000-0005-0000-0000-00006F620000}"/>
    <cellStyle name="40 % - Markeringsfarve3 2 7 4 3 3" xfId="45641" xr:uid="{00000000-0005-0000-0000-000070620000}"/>
    <cellStyle name="40 % - Markeringsfarve3 2 7 4 4" xfId="23679" xr:uid="{00000000-0005-0000-0000-000071620000}"/>
    <cellStyle name="40 % - Markeringsfarve3 2 7 4 5" xfId="38644" xr:uid="{00000000-0005-0000-0000-000072620000}"/>
    <cellStyle name="40 % - Markeringsfarve3 2 7 5" xfId="8088" xr:uid="{00000000-0005-0000-0000-000073620000}"/>
    <cellStyle name="40 % - Markeringsfarve3 2 7 5 2" xfId="15953" xr:uid="{00000000-0005-0000-0000-000074620000}"/>
    <cellStyle name="40 % - Markeringsfarve3 2 7 5 2 2" xfId="32229" xr:uid="{00000000-0005-0000-0000-000075620000}"/>
    <cellStyle name="40 % - Markeringsfarve3 2 7 5 2 3" xfId="47188" xr:uid="{00000000-0005-0000-0000-000076620000}"/>
    <cellStyle name="40 % - Markeringsfarve3 2 7 5 3" xfId="25227" xr:uid="{00000000-0005-0000-0000-000077620000}"/>
    <cellStyle name="40 % - Markeringsfarve3 2 7 5 4" xfId="40191" xr:uid="{00000000-0005-0000-0000-000078620000}"/>
    <cellStyle name="40 % - Markeringsfarve3 2 7 6" xfId="14398" xr:uid="{00000000-0005-0000-0000-000079620000}"/>
    <cellStyle name="40 % - Markeringsfarve3 2 7 6 2" xfId="30677" xr:uid="{00000000-0005-0000-0000-00007A620000}"/>
    <cellStyle name="40 % - Markeringsfarve3 2 7 6 3" xfId="45637" xr:uid="{00000000-0005-0000-0000-00007B620000}"/>
    <cellStyle name="40 % - Markeringsfarve3 2 7 7" xfId="23675" xr:uid="{00000000-0005-0000-0000-00007C620000}"/>
    <cellStyle name="40 % - Markeringsfarve3 2 7 8" xfId="38640" xr:uid="{00000000-0005-0000-0000-00007D620000}"/>
    <cellStyle name="40 % - Markeringsfarve3 2 8" xfId="5918" xr:uid="{00000000-0005-0000-0000-00007E620000}"/>
    <cellStyle name="40 % - Markeringsfarve3 2 8 2" xfId="5919" xr:uid="{00000000-0005-0000-0000-00007F620000}"/>
    <cellStyle name="40 % - Markeringsfarve3 2 8 2 2" xfId="5920" xr:uid="{00000000-0005-0000-0000-000080620000}"/>
    <cellStyle name="40 % - Markeringsfarve3 2 8 2 2 2" xfId="10358" xr:uid="{00000000-0005-0000-0000-000081620000}"/>
    <cellStyle name="40 % - Markeringsfarve3 2 8 2 2 2 2" xfId="18213" xr:uid="{00000000-0005-0000-0000-000082620000}"/>
    <cellStyle name="40 % - Markeringsfarve3 2 8 2 2 2 2 2" xfId="34489" xr:uid="{00000000-0005-0000-0000-000083620000}"/>
    <cellStyle name="40 % - Markeringsfarve3 2 8 2 2 2 2 3" xfId="49448" xr:uid="{00000000-0005-0000-0000-000084620000}"/>
    <cellStyle name="40 % - Markeringsfarve3 2 8 2 2 2 3" xfId="27487" xr:uid="{00000000-0005-0000-0000-000085620000}"/>
    <cellStyle name="40 % - Markeringsfarve3 2 8 2 2 2 4" xfId="42451" xr:uid="{00000000-0005-0000-0000-000086620000}"/>
    <cellStyle name="40 % - Markeringsfarve3 2 8 2 2 3" xfId="14405" xr:uid="{00000000-0005-0000-0000-000087620000}"/>
    <cellStyle name="40 % - Markeringsfarve3 2 8 2 2 3 2" xfId="30684" xr:uid="{00000000-0005-0000-0000-000088620000}"/>
    <cellStyle name="40 % - Markeringsfarve3 2 8 2 2 3 3" xfId="45644" xr:uid="{00000000-0005-0000-0000-000089620000}"/>
    <cellStyle name="40 % - Markeringsfarve3 2 8 2 2 4" xfId="23682" xr:uid="{00000000-0005-0000-0000-00008A620000}"/>
    <cellStyle name="40 % - Markeringsfarve3 2 8 2 2 5" xfId="38647" xr:uid="{00000000-0005-0000-0000-00008B620000}"/>
    <cellStyle name="40 % - Markeringsfarve3 2 8 2 3" xfId="8852" xr:uid="{00000000-0005-0000-0000-00008C620000}"/>
    <cellStyle name="40 % - Markeringsfarve3 2 8 2 3 2" xfId="16719" xr:uid="{00000000-0005-0000-0000-00008D620000}"/>
    <cellStyle name="40 % - Markeringsfarve3 2 8 2 3 2 2" xfId="32995" xr:uid="{00000000-0005-0000-0000-00008E620000}"/>
    <cellStyle name="40 % - Markeringsfarve3 2 8 2 3 2 3" xfId="47954" xr:uid="{00000000-0005-0000-0000-00008F620000}"/>
    <cellStyle name="40 % - Markeringsfarve3 2 8 2 3 3" xfId="25993" xr:uid="{00000000-0005-0000-0000-000090620000}"/>
    <cellStyle name="40 % - Markeringsfarve3 2 8 2 3 4" xfId="40957" xr:uid="{00000000-0005-0000-0000-000091620000}"/>
    <cellStyle name="40 % - Markeringsfarve3 2 8 2 4" xfId="14404" xr:uid="{00000000-0005-0000-0000-000092620000}"/>
    <cellStyle name="40 % - Markeringsfarve3 2 8 2 4 2" xfId="30683" xr:uid="{00000000-0005-0000-0000-000093620000}"/>
    <cellStyle name="40 % - Markeringsfarve3 2 8 2 4 3" xfId="45643" xr:uid="{00000000-0005-0000-0000-000094620000}"/>
    <cellStyle name="40 % - Markeringsfarve3 2 8 2 5" xfId="23681" xr:uid="{00000000-0005-0000-0000-000095620000}"/>
    <cellStyle name="40 % - Markeringsfarve3 2 8 2 6" xfId="38646" xr:uid="{00000000-0005-0000-0000-000096620000}"/>
    <cellStyle name="40 % - Markeringsfarve3 2 8 3" xfId="5921" xr:uid="{00000000-0005-0000-0000-000097620000}"/>
    <cellStyle name="40 % - Markeringsfarve3 2 8 3 2" xfId="9636" xr:uid="{00000000-0005-0000-0000-000098620000}"/>
    <cellStyle name="40 % - Markeringsfarve3 2 8 3 2 2" xfId="17499" xr:uid="{00000000-0005-0000-0000-000099620000}"/>
    <cellStyle name="40 % - Markeringsfarve3 2 8 3 2 2 2" xfId="33775" xr:uid="{00000000-0005-0000-0000-00009A620000}"/>
    <cellStyle name="40 % - Markeringsfarve3 2 8 3 2 2 3" xfId="48734" xr:uid="{00000000-0005-0000-0000-00009B620000}"/>
    <cellStyle name="40 % - Markeringsfarve3 2 8 3 2 3" xfId="26773" xr:uid="{00000000-0005-0000-0000-00009C620000}"/>
    <cellStyle name="40 % - Markeringsfarve3 2 8 3 2 4" xfId="41737" xr:uid="{00000000-0005-0000-0000-00009D620000}"/>
    <cellStyle name="40 % - Markeringsfarve3 2 8 3 3" xfId="14406" xr:uid="{00000000-0005-0000-0000-00009E620000}"/>
    <cellStyle name="40 % - Markeringsfarve3 2 8 3 3 2" xfId="30685" xr:uid="{00000000-0005-0000-0000-00009F620000}"/>
    <cellStyle name="40 % - Markeringsfarve3 2 8 3 3 3" xfId="45645" xr:uid="{00000000-0005-0000-0000-0000A0620000}"/>
    <cellStyle name="40 % - Markeringsfarve3 2 8 3 4" xfId="23683" xr:uid="{00000000-0005-0000-0000-0000A1620000}"/>
    <cellStyle name="40 % - Markeringsfarve3 2 8 3 5" xfId="38648" xr:uid="{00000000-0005-0000-0000-0000A2620000}"/>
    <cellStyle name="40 % - Markeringsfarve3 2 8 4" xfId="5922" xr:uid="{00000000-0005-0000-0000-0000A3620000}"/>
    <cellStyle name="40 % - Markeringsfarve3 2 8 4 2" xfId="10698" xr:uid="{00000000-0005-0000-0000-0000A4620000}"/>
    <cellStyle name="40 % - Markeringsfarve3 2 8 4 2 2" xfId="18542" xr:uid="{00000000-0005-0000-0000-0000A5620000}"/>
    <cellStyle name="40 % - Markeringsfarve3 2 8 4 2 2 2" xfId="34818" xr:uid="{00000000-0005-0000-0000-0000A6620000}"/>
    <cellStyle name="40 % - Markeringsfarve3 2 8 4 2 2 3" xfId="49777" xr:uid="{00000000-0005-0000-0000-0000A7620000}"/>
    <cellStyle name="40 % - Markeringsfarve3 2 8 4 2 3" xfId="27816" xr:uid="{00000000-0005-0000-0000-0000A8620000}"/>
    <cellStyle name="40 % - Markeringsfarve3 2 8 4 2 4" xfId="42780" xr:uid="{00000000-0005-0000-0000-0000A9620000}"/>
    <cellStyle name="40 % - Markeringsfarve3 2 8 4 3" xfId="14407" xr:uid="{00000000-0005-0000-0000-0000AA620000}"/>
    <cellStyle name="40 % - Markeringsfarve3 2 8 4 3 2" xfId="30686" xr:uid="{00000000-0005-0000-0000-0000AB620000}"/>
    <cellStyle name="40 % - Markeringsfarve3 2 8 4 3 3" xfId="45646" xr:uid="{00000000-0005-0000-0000-0000AC620000}"/>
    <cellStyle name="40 % - Markeringsfarve3 2 8 4 4" xfId="23684" xr:uid="{00000000-0005-0000-0000-0000AD620000}"/>
    <cellStyle name="40 % - Markeringsfarve3 2 8 4 5" xfId="38649" xr:uid="{00000000-0005-0000-0000-0000AE620000}"/>
    <cellStyle name="40 % - Markeringsfarve3 2 8 5" xfId="8089" xr:uid="{00000000-0005-0000-0000-0000AF620000}"/>
    <cellStyle name="40 % - Markeringsfarve3 2 8 5 2" xfId="15954" xr:uid="{00000000-0005-0000-0000-0000B0620000}"/>
    <cellStyle name="40 % - Markeringsfarve3 2 8 5 2 2" xfId="32230" xr:uid="{00000000-0005-0000-0000-0000B1620000}"/>
    <cellStyle name="40 % - Markeringsfarve3 2 8 5 2 3" xfId="47189" xr:uid="{00000000-0005-0000-0000-0000B2620000}"/>
    <cellStyle name="40 % - Markeringsfarve3 2 8 5 3" xfId="25228" xr:uid="{00000000-0005-0000-0000-0000B3620000}"/>
    <cellStyle name="40 % - Markeringsfarve3 2 8 5 4" xfId="40192" xr:uid="{00000000-0005-0000-0000-0000B4620000}"/>
    <cellStyle name="40 % - Markeringsfarve3 2 8 6" xfId="14403" xr:uid="{00000000-0005-0000-0000-0000B5620000}"/>
    <cellStyle name="40 % - Markeringsfarve3 2 8 6 2" xfId="30682" xr:uid="{00000000-0005-0000-0000-0000B6620000}"/>
    <cellStyle name="40 % - Markeringsfarve3 2 8 6 3" xfId="45642" xr:uid="{00000000-0005-0000-0000-0000B7620000}"/>
    <cellStyle name="40 % - Markeringsfarve3 2 8 7" xfId="23680" xr:uid="{00000000-0005-0000-0000-0000B8620000}"/>
    <cellStyle name="40 % - Markeringsfarve3 2 8 8" xfId="38645" xr:uid="{00000000-0005-0000-0000-0000B9620000}"/>
    <cellStyle name="40 % - Markeringsfarve3 2 9" xfId="5923" xr:uid="{00000000-0005-0000-0000-0000BA620000}"/>
    <cellStyle name="40 % - Markeringsfarve3 2 9 2" xfId="5924" xr:uid="{00000000-0005-0000-0000-0000BB620000}"/>
    <cellStyle name="40 % - Markeringsfarve3 2 9 2 2" xfId="9726" xr:uid="{00000000-0005-0000-0000-0000BC620000}"/>
    <cellStyle name="40 % - Markeringsfarve3 2 9 2 2 2" xfId="17580" xr:uid="{00000000-0005-0000-0000-0000BD620000}"/>
    <cellStyle name="40 % - Markeringsfarve3 2 9 2 2 2 2" xfId="33856" xr:uid="{00000000-0005-0000-0000-0000BE620000}"/>
    <cellStyle name="40 % - Markeringsfarve3 2 9 2 2 2 3" xfId="48815" xr:uid="{00000000-0005-0000-0000-0000BF620000}"/>
    <cellStyle name="40 % - Markeringsfarve3 2 9 2 2 3" xfId="26854" xr:uid="{00000000-0005-0000-0000-0000C0620000}"/>
    <cellStyle name="40 % - Markeringsfarve3 2 9 2 2 4" xfId="41818" xr:uid="{00000000-0005-0000-0000-0000C1620000}"/>
    <cellStyle name="40 % - Markeringsfarve3 2 9 2 3" xfId="14409" xr:uid="{00000000-0005-0000-0000-0000C2620000}"/>
    <cellStyle name="40 % - Markeringsfarve3 2 9 2 3 2" xfId="30688" xr:uid="{00000000-0005-0000-0000-0000C3620000}"/>
    <cellStyle name="40 % - Markeringsfarve3 2 9 2 3 3" xfId="45648" xr:uid="{00000000-0005-0000-0000-0000C4620000}"/>
    <cellStyle name="40 % - Markeringsfarve3 2 9 2 4" xfId="23686" xr:uid="{00000000-0005-0000-0000-0000C5620000}"/>
    <cellStyle name="40 % - Markeringsfarve3 2 9 2 5" xfId="38651" xr:uid="{00000000-0005-0000-0000-0000C6620000}"/>
    <cellStyle name="40 % - Markeringsfarve3 2 9 3" xfId="8324" xr:uid="{00000000-0005-0000-0000-0000C7620000}"/>
    <cellStyle name="40 % - Markeringsfarve3 2 9 3 2" xfId="16194" xr:uid="{00000000-0005-0000-0000-0000C8620000}"/>
    <cellStyle name="40 % - Markeringsfarve3 2 9 3 2 2" xfId="32470" xr:uid="{00000000-0005-0000-0000-0000C9620000}"/>
    <cellStyle name="40 % - Markeringsfarve3 2 9 3 2 3" xfId="47429" xr:uid="{00000000-0005-0000-0000-0000CA620000}"/>
    <cellStyle name="40 % - Markeringsfarve3 2 9 3 3" xfId="25468" xr:uid="{00000000-0005-0000-0000-0000CB620000}"/>
    <cellStyle name="40 % - Markeringsfarve3 2 9 3 4" xfId="40432" xr:uid="{00000000-0005-0000-0000-0000CC620000}"/>
    <cellStyle name="40 % - Markeringsfarve3 2 9 4" xfId="14408" xr:uid="{00000000-0005-0000-0000-0000CD620000}"/>
    <cellStyle name="40 % - Markeringsfarve3 2 9 4 2" xfId="30687" xr:uid="{00000000-0005-0000-0000-0000CE620000}"/>
    <cellStyle name="40 % - Markeringsfarve3 2 9 4 3" xfId="45647" xr:uid="{00000000-0005-0000-0000-0000CF620000}"/>
    <cellStyle name="40 % - Markeringsfarve3 2 9 5" xfId="23685" xr:uid="{00000000-0005-0000-0000-0000D0620000}"/>
    <cellStyle name="40 % - Markeringsfarve3 2 9 6" xfId="38650" xr:uid="{00000000-0005-0000-0000-0000D1620000}"/>
    <cellStyle name="40 % - Markeringsfarve3 3" xfId="5925" xr:uid="{00000000-0005-0000-0000-0000D2620000}"/>
    <cellStyle name="40 % - Markeringsfarve3 3 10" xfId="5926" xr:uid="{00000000-0005-0000-0000-0000D3620000}"/>
    <cellStyle name="40 % - Markeringsfarve3 3 10 2" xfId="8939" xr:uid="{00000000-0005-0000-0000-0000D4620000}"/>
    <cellStyle name="40 % - Markeringsfarve3 3 10 2 2" xfId="16804" xr:uid="{00000000-0005-0000-0000-0000D5620000}"/>
    <cellStyle name="40 % - Markeringsfarve3 3 10 2 2 2" xfId="33080" xr:uid="{00000000-0005-0000-0000-0000D6620000}"/>
    <cellStyle name="40 % - Markeringsfarve3 3 10 2 2 3" xfId="48039" xr:uid="{00000000-0005-0000-0000-0000D7620000}"/>
    <cellStyle name="40 % - Markeringsfarve3 3 10 2 3" xfId="26078" xr:uid="{00000000-0005-0000-0000-0000D8620000}"/>
    <cellStyle name="40 % - Markeringsfarve3 3 10 2 4" xfId="41042" xr:uid="{00000000-0005-0000-0000-0000D9620000}"/>
    <cellStyle name="40 % - Markeringsfarve3 3 10 3" xfId="14411" xr:uid="{00000000-0005-0000-0000-0000DA620000}"/>
    <cellStyle name="40 % - Markeringsfarve3 3 10 3 2" xfId="30690" xr:uid="{00000000-0005-0000-0000-0000DB620000}"/>
    <cellStyle name="40 % - Markeringsfarve3 3 10 3 3" xfId="45650" xr:uid="{00000000-0005-0000-0000-0000DC620000}"/>
    <cellStyle name="40 % - Markeringsfarve3 3 10 4" xfId="23688" xr:uid="{00000000-0005-0000-0000-0000DD620000}"/>
    <cellStyle name="40 % - Markeringsfarve3 3 10 5" xfId="38653" xr:uid="{00000000-0005-0000-0000-0000DE620000}"/>
    <cellStyle name="40 % - Markeringsfarve3 3 11" xfId="5927" xr:uid="{00000000-0005-0000-0000-0000DF620000}"/>
    <cellStyle name="40 % - Markeringsfarve3 3 11 2" xfId="10946" xr:uid="{00000000-0005-0000-0000-0000E0620000}"/>
    <cellStyle name="40 % - Markeringsfarve3 3 11 2 2" xfId="18780" xr:uid="{00000000-0005-0000-0000-0000E1620000}"/>
    <cellStyle name="40 % - Markeringsfarve3 3 11 2 2 2" xfId="35056" xr:uid="{00000000-0005-0000-0000-0000E2620000}"/>
    <cellStyle name="40 % - Markeringsfarve3 3 11 2 2 3" xfId="50015" xr:uid="{00000000-0005-0000-0000-0000E3620000}"/>
    <cellStyle name="40 % - Markeringsfarve3 3 11 2 3" xfId="28054" xr:uid="{00000000-0005-0000-0000-0000E4620000}"/>
    <cellStyle name="40 % - Markeringsfarve3 3 11 2 4" xfId="43018" xr:uid="{00000000-0005-0000-0000-0000E5620000}"/>
    <cellStyle name="40 % - Markeringsfarve3 3 11 3" xfId="14412" xr:uid="{00000000-0005-0000-0000-0000E6620000}"/>
    <cellStyle name="40 % - Markeringsfarve3 3 11 3 2" xfId="30691" xr:uid="{00000000-0005-0000-0000-0000E7620000}"/>
    <cellStyle name="40 % - Markeringsfarve3 3 11 3 3" xfId="45651" xr:uid="{00000000-0005-0000-0000-0000E8620000}"/>
    <cellStyle name="40 % - Markeringsfarve3 3 11 4" xfId="23689" xr:uid="{00000000-0005-0000-0000-0000E9620000}"/>
    <cellStyle name="40 % - Markeringsfarve3 3 11 5" xfId="38654" xr:uid="{00000000-0005-0000-0000-0000EA620000}"/>
    <cellStyle name="40 % - Markeringsfarve3 3 12" xfId="8090" xr:uid="{00000000-0005-0000-0000-0000EB620000}"/>
    <cellStyle name="40 % - Markeringsfarve3 3 12 2" xfId="15955" xr:uid="{00000000-0005-0000-0000-0000EC620000}"/>
    <cellStyle name="40 % - Markeringsfarve3 3 12 2 2" xfId="32231" xr:uid="{00000000-0005-0000-0000-0000ED620000}"/>
    <cellStyle name="40 % - Markeringsfarve3 3 12 2 3" xfId="47190" xr:uid="{00000000-0005-0000-0000-0000EE620000}"/>
    <cellStyle name="40 % - Markeringsfarve3 3 12 3" xfId="25229" xr:uid="{00000000-0005-0000-0000-0000EF620000}"/>
    <cellStyle name="40 % - Markeringsfarve3 3 12 4" xfId="40193" xr:uid="{00000000-0005-0000-0000-0000F0620000}"/>
    <cellStyle name="40 % - Markeringsfarve3 3 13" xfId="14410" xr:uid="{00000000-0005-0000-0000-0000F1620000}"/>
    <cellStyle name="40 % - Markeringsfarve3 3 13 2" xfId="30689" xr:uid="{00000000-0005-0000-0000-0000F2620000}"/>
    <cellStyle name="40 % - Markeringsfarve3 3 13 3" xfId="45649" xr:uid="{00000000-0005-0000-0000-0000F3620000}"/>
    <cellStyle name="40 % - Markeringsfarve3 3 14" xfId="23687" xr:uid="{00000000-0005-0000-0000-0000F4620000}"/>
    <cellStyle name="40 % - Markeringsfarve3 3 15" xfId="38652" xr:uid="{00000000-0005-0000-0000-0000F5620000}"/>
    <cellStyle name="40 % - Markeringsfarve3 3 2" xfId="5928" xr:uid="{00000000-0005-0000-0000-0000F6620000}"/>
    <cellStyle name="40 % - Markeringsfarve3 3 2 10" xfId="8091" xr:uid="{00000000-0005-0000-0000-0000F7620000}"/>
    <cellStyle name="40 % - Markeringsfarve3 3 2 10 2" xfId="15956" xr:uid="{00000000-0005-0000-0000-0000F8620000}"/>
    <cellStyle name="40 % - Markeringsfarve3 3 2 10 2 2" xfId="32232" xr:uid="{00000000-0005-0000-0000-0000F9620000}"/>
    <cellStyle name="40 % - Markeringsfarve3 3 2 10 2 3" xfId="47191" xr:uid="{00000000-0005-0000-0000-0000FA620000}"/>
    <cellStyle name="40 % - Markeringsfarve3 3 2 10 3" xfId="25230" xr:uid="{00000000-0005-0000-0000-0000FB620000}"/>
    <cellStyle name="40 % - Markeringsfarve3 3 2 10 4" xfId="40194" xr:uid="{00000000-0005-0000-0000-0000FC620000}"/>
    <cellStyle name="40 % - Markeringsfarve3 3 2 11" xfId="14413" xr:uid="{00000000-0005-0000-0000-0000FD620000}"/>
    <cellStyle name="40 % - Markeringsfarve3 3 2 11 2" xfId="30692" xr:uid="{00000000-0005-0000-0000-0000FE620000}"/>
    <cellStyle name="40 % - Markeringsfarve3 3 2 11 3" xfId="45652" xr:uid="{00000000-0005-0000-0000-0000FF620000}"/>
    <cellStyle name="40 % - Markeringsfarve3 3 2 12" xfId="23690" xr:uid="{00000000-0005-0000-0000-000000630000}"/>
    <cellStyle name="40 % - Markeringsfarve3 3 2 13" xfId="38655" xr:uid="{00000000-0005-0000-0000-000001630000}"/>
    <cellStyle name="40 % - Markeringsfarve3 3 2 2" xfId="5929" xr:uid="{00000000-0005-0000-0000-000002630000}"/>
    <cellStyle name="40 % - Markeringsfarve3 3 2 2 2" xfId="5930" xr:uid="{00000000-0005-0000-0000-000003630000}"/>
    <cellStyle name="40 % - Markeringsfarve3 3 2 2 2 2" xfId="5931" xr:uid="{00000000-0005-0000-0000-000004630000}"/>
    <cellStyle name="40 % - Markeringsfarve3 3 2 2 2 2 2" xfId="9871" xr:uid="{00000000-0005-0000-0000-000005630000}"/>
    <cellStyle name="40 % - Markeringsfarve3 3 2 2 2 2 2 2" xfId="17726" xr:uid="{00000000-0005-0000-0000-000006630000}"/>
    <cellStyle name="40 % - Markeringsfarve3 3 2 2 2 2 2 2 2" xfId="34002" xr:uid="{00000000-0005-0000-0000-000007630000}"/>
    <cellStyle name="40 % - Markeringsfarve3 3 2 2 2 2 2 2 3" xfId="48961" xr:uid="{00000000-0005-0000-0000-000008630000}"/>
    <cellStyle name="40 % - Markeringsfarve3 3 2 2 2 2 2 3" xfId="27000" xr:uid="{00000000-0005-0000-0000-000009630000}"/>
    <cellStyle name="40 % - Markeringsfarve3 3 2 2 2 2 2 4" xfId="41964" xr:uid="{00000000-0005-0000-0000-00000A630000}"/>
    <cellStyle name="40 % - Markeringsfarve3 3 2 2 2 2 3" xfId="14416" xr:uid="{00000000-0005-0000-0000-00000B630000}"/>
    <cellStyle name="40 % - Markeringsfarve3 3 2 2 2 2 3 2" xfId="30695" xr:uid="{00000000-0005-0000-0000-00000C630000}"/>
    <cellStyle name="40 % - Markeringsfarve3 3 2 2 2 2 3 3" xfId="45655" xr:uid="{00000000-0005-0000-0000-00000D630000}"/>
    <cellStyle name="40 % - Markeringsfarve3 3 2 2 2 2 4" xfId="23693" xr:uid="{00000000-0005-0000-0000-00000E630000}"/>
    <cellStyle name="40 % - Markeringsfarve3 3 2 2 2 2 5" xfId="38658" xr:uid="{00000000-0005-0000-0000-00000F630000}"/>
    <cellStyle name="40 % - Markeringsfarve3 3 2 2 2 3" xfId="8446" xr:uid="{00000000-0005-0000-0000-000010630000}"/>
    <cellStyle name="40 % - Markeringsfarve3 3 2 2 2 3 2" xfId="16316" xr:uid="{00000000-0005-0000-0000-000011630000}"/>
    <cellStyle name="40 % - Markeringsfarve3 3 2 2 2 3 2 2" xfId="32592" xr:uid="{00000000-0005-0000-0000-000012630000}"/>
    <cellStyle name="40 % - Markeringsfarve3 3 2 2 2 3 2 3" xfId="47551" xr:uid="{00000000-0005-0000-0000-000013630000}"/>
    <cellStyle name="40 % - Markeringsfarve3 3 2 2 2 3 3" xfId="25590" xr:uid="{00000000-0005-0000-0000-000014630000}"/>
    <cellStyle name="40 % - Markeringsfarve3 3 2 2 2 3 4" xfId="40554" xr:uid="{00000000-0005-0000-0000-000015630000}"/>
    <cellStyle name="40 % - Markeringsfarve3 3 2 2 2 4" xfId="14415" xr:uid="{00000000-0005-0000-0000-000016630000}"/>
    <cellStyle name="40 % - Markeringsfarve3 3 2 2 2 4 2" xfId="30694" xr:uid="{00000000-0005-0000-0000-000017630000}"/>
    <cellStyle name="40 % - Markeringsfarve3 3 2 2 2 4 3" xfId="45654" xr:uid="{00000000-0005-0000-0000-000018630000}"/>
    <cellStyle name="40 % - Markeringsfarve3 3 2 2 2 5" xfId="23692" xr:uid="{00000000-0005-0000-0000-000019630000}"/>
    <cellStyle name="40 % - Markeringsfarve3 3 2 2 2 6" xfId="38657" xr:uid="{00000000-0005-0000-0000-00001A630000}"/>
    <cellStyle name="40 % - Markeringsfarve3 3 2 2 3" xfId="5932" xr:uid="{00000000-0005-0000-0000-00001B630000}"/>
    <cellStyle name="40 % - Markeringsfarve3 3 2 2 3 2" xfId="9102" xr:uid="{00000000-0005-0000-0000-00001C630000}"/>
    <cellStyle name="40 % - Markeringsfarve3 3 2 2 3 2 2" xfId="16966" xr:uid="{00000000-0005-0000-0000-00001D630000}"/>
    <cellStyle name="40 % - Markeringsfarve3 3 2 2 3 2 2 2" xfId="33242" xr:uid="{00000000-0005-0000-0000-00001E630000}"/>
    <cellStyle name="40 % - Markeringsfarve3 3 2 2 3 2 2 3" xfId="48201" xr:uid="{00000000-0005-0000-0000-00001F630000}"/>
    <cellStyle name="40 % - Markeringsfarve3 3 2 2 3 2 3" xfId="26240" xr:uid="{00000000-0005-0000-0000-000020630000}"/>
    <cellStyle name="40 % - Markeringsfarve3 3 2 2 3 2 4" xfId="41204" xr:uid="{00000000-0005-0000-0000-000021630000}"/>
    <cellStyle name="40 % - Markeringsfarve3 3 2 2 3 3" xfId="14417" xr:uid="{00000000-0005-0000-0000-000022630000}"/>
    <cellStyle name="40 % - Markeringsfarve3 3 2 2 3 3 2" xfId="30696" xr:uid="{00000000-0005-0000-0000-000023630000}"/>
    <cellStyle name="40 % - Markeringsfarve3 3 2 2 3 3 3" xfId="45656" xr:uid="{00000000-0005-0000-0000-000024630000}"/>
    <cellStyle name="40 % - Markeringsfarve3 3 2 2 3 4" xfId="23694" xr:uid="{00000000-0005-0000-0000-000025630000}"/>
    <cellStyle name="40 % - Markeringsfarve3 3 2 2 3 5" xfId="38659" xr:uid="{00000000-0005-0000-0000-000026630000}"/>
    <cellStyle name="40 % - Markeringsfarve3 3 2 2 4" xfId="5933" xr:uid="{00000000-0005-0000-0000-000027630000}"/>
    <cellStyle name="40 % - Markeringsfarve3 3 2 2 4 2" xfId="10904" xr:uid="{00000000-0005-0000-0000-000028630000}"/>
    <cellStyle name="40 % - Markeringsfarve3 3 2 2 4 2 2" xfId="18740" xr:uid="{00000000-0005-0000-0000-000029630000}"/>
    <cellStyle name="40 % - Markeringsfarve3 3 2 2 4 2 2 2" xfId="35016" xr:uid="{00000000-0005-0000-0000-00002A630000}"/>
    <cellStyle name="40 % - Markeringsfarve3 3 2 2 4 2 2 3" xfId="49975" xr:uid="{00000000-0005-0000-0000-00002B630000}"/>
    <cellStyle name="40 % - Markeringsfarve3 3 2 2 4 2 3" xfId="28014" xr:uid="{00000000-0005-0000-0000-00002C630000}"/>
    <cellStyle name="40 % - Markeringsfarve3 3 2 2 4 2 4" xfId="42978" xr:uid="{00000000-0005-0000-0000-00002D630000}"/>
    <cellStyle name="40 % - Markeringsfarve3 3 2 2 4 3" xfId="14418" xr:uid="{00000000-0005-0000-0000-00002E630000}"/>
    <cellStyle name="40 % - Markeringsfarve3 3 2 2 4 3 2" xfId="30697" xr:uid="{00000000-0005-0000-0000-00002F630000}"/>
    <cellStyle name="40 % - Markeringsfarve3 3 2 2 4 3 3" xfId="45657" xr:uid="{00000000-0005-0000-0000-000030630000}"/>
    <cellStyle name="40 % - Markeringsfarve3 3 2 2 4 4" xfId="23695" xr:uid="{00000000-0005-0000-0000-000031630000}"/>
    <cellStyle name="40 % - Markeringsfarve3 3 2 2 4 5" xfId="38660" xr:uid="{00000000-0005-0000-0000-000032630000}"/>
    <cellStyle name="40 % - Markeringsfarve3 3 2 2 5" xfId="8092" xr:uid="{00000000-0005-0000-0000-000033630000}"/>
    <cellStyle name="40 % - Markeringsfarve3 3 2 2 5 2" xfId="15957" xr:uid="{00000000-0005-0000-0000-000034630000}"/>
    <cellStyle name="40 % - Markeringsfarve3 3 2 2 5 2 2" xfId="32233" xr:uid="{00000000-0005-0000-0000-000035630000}"/>
    <cellStyle name="40 % - Markeringsfarve3 3 2 2 5 2 3" xfId="47192" xr:uid="{00000000-0005-0000-0000-000036630000}"/>
    <cellStyle name="40 % - Markeringsfarve3 3 2 2 5 3" xfId="25231" xr:uid="{00000000-0005-0000-0000-000037630000}"/>
    <cellStyle name="40 % - Markeringsfarve3 3 2 2 5 4" xfId="40195" xr:uid="{00000000-0005-0000-0000-000038630000}"/>
    <cellStyle name="40 % - Markeringsfarve3 3 2 2 6" xfId="14414" xr:uid="{00000000-0005-0000-0000-000039630000}"/>
    <cellStyle name="40 % - Markeringsfarve3 3 2 2 6 2" xfId="30693" xr:uid="{00000000-0005-0000-0000-00003A630000}"/>
    <cellStyle name="40 % - Markeringsfarve3 3 2 2 6 3" xfId="45653" xr:uid="{00000000-0005-0000-0000-00003B630000}"/>
    <cellStyle name="40 % - Markeringsfarve3 3 2 2 7" xfId="23691" xr:uid="{00000000-0005-0000-0000-00003C630000}"/>
    <cellStyle name="40 % - Markeringsfarve3 3 2 2 8" xfId="38656" xr:uid="{00000000-0005-0000-0000-00003D630000}"/>
    <cellStyle name="40 % - Markeringsfarve3 3 2 3" xfId="5934" xr:uid="{00000000-0005-0000-0000-00003E630000}"/>
    <cellStyle name="40 % - Markeringsfarve3 3 2 3 2" xfId="5935" xr:uid="{00000000-0005-0000-0000-00003F630000}"/>
    <cellStyle name="40 % - Markeringsfarve3 3 2 3 2 2" xfId="5936" xr:uid="{00000000-0005-0000-0000-000040630000}"/>
    <cellStyle name="40 % - Markeringsfarve3 3 2 3 2 2 2" xfId="10007" xr:uid="{00000000-0005-0000-0000-000041630000}"/>
    <cellStyle name="40 % - Markeringsfarve3 3 2 3 2 2 2 2" xfId="17862" xr:uid="{00000000-0005-0000-0000-000042630000}"/>
    <cellStyle name="40 % - Markeringsfarve3 3 2 3 2 2 2 2 2" xfId="34138" xr:uid="{00000000-0005-0000-0000-000043630000}"/>
    <cellStyle name="40 % - Markeringsfarve3 3 2 3 2 2 2 2 3" xfId="49097" xr:uid="{00000000-0005-0000-0000-000044630000}"/>
    <cellStyle name="40 % - Markeringsfarve3 3 2 3 2 2 2 3" xfId="27136" xr:uid="{00000000-0005-0000-0000-000045630000}"/>
    <cellStyle name="40 % - Markeringsfarve3 3 2 3 2 2 2 4" xfId="42100" xr:uid="{00000000-0005-0000-0000-000046630000}"/>
    <cellStyle name="40 % - Markeringsfarve3 3 2 3 2 2 3" xfId="14421" xr:uid="{00000000-0005-0000-0000-000047630000}"/>
    <cellStyle name="40 % - Markeringsfarve3 3 2 3 2 2 3 2" xfId="30700" xr:uid="{00000000-0005-0000-0000-000048630000}"/>
    <cellStyle name="40 % - Markeringsfarve3 3 2 3 2 2 3 3" xfId="45660" xr:uid="{00000000-0005-0000-0000-000049630000}"/>
    <cellStyle name="40 % - Markeringsfarve3 3 2 3 2 2 4" xfId="23698" xr:uid="{00000000-0005-0000-0000-00004A630000}"/>
    <cellStyle name="40 % - Markeringsfarve3 3 2 3 2 2 5" xfId="38663" xr:uid="{00000000-0005-0000-0000-00004B630000}"/>
    <cellStyle name="40 % - Markeringsfarve3 3 2 3 2 3" xfId="8554" xr:uid="{00000000-0005-0000-0000-00004C630000}"/>
    <cellStyle name="40 % - Markeringsfarve3 3 2 3 2 3 2" xfId="16424" xr:uid="{00000000-0005-0000-0000-00004D630000}"/>
    <cellStyle name="40 % - Markeringsfarve3 3 2 3 2 3 2 2" xfId="32700" xr:uid="{00000000-0005-0000-0000-00004E630000}"/>
    <cellStyle name="40 % - Markeringsfarve3 3 2 3 2 3 2 3" xfId="47659" xr:uid="{00000000-0005-0000-0000-00004F630000}"/>
    <cellStyle name="40 % - Markeringsfarve3 3 2 3 2 3 3" xfId="25698" xr:uid="{00000000-0005-0000-0000-000050630000}"/>
    <cellStyle name="40 % - Markeringsfarve3 3 2 3 2 3 4" xfId="40662" xr:uid="{00000000-0005-0000-0000-000051630000}"/>
    <cellStyle name="40 % - Markeringsfarve3 3 2 3 2 4" xfId="14420" xr:uid="{00000000-0005-0000-0000-000052630000}"/>
    <cellStyle name="40 % - Markeringsfarve3 3 2 3 2 4 2" xfId="30699" xr:uid="{00000000-0005-0000-0000-000053630000}"/>
    <cellStyle name="40 % - Markeringsfarve3 3 2 3 2 4 3" xfId="45659" xr:uid="{00000000-0005-0000-0000-000054630000}"/>
    <cellStyle name="40 % - Markeringsfarve3 3 2 3 2 5" xfId="23697" xr:uid="{00000000-0005-0000-0000-000055630000}"/>
    <cellStyle name="40 % - Markeringsfarve3 3 2 3 2 6" xfId="38662" xr:uid="{00000000-0005-0000-0000-000056630000}"/>
    <cellStyle name="40 % - Markeringsfarve3 3 2 3 3" xfId="5937" xr:uid="{00000000-0005-0000-0000-000057630000}"/>
    <cellStyle name="40 % - Markeringsfarve3 3 2 3 3 2" xfId="9238" xr:uid="{00000000-0005-0000-0000-000058630000}"/>
    <cellStyle name="40 % - Markeringsfarve3 3 2 3 3 2 2" xfId="17102" xr:uid="{00000000-0005-0000-0000-000059630000}"/>
    <cellStyle name="40 % - Markeringsfarve3 3 2 3 3 2 2 2" xfId="33378" xr:uid="{00000000-0005-0000-0000-00005A630000}"/>
    <cellStyle name="40 % - Markeringsfarve3 3 2 3 3 2 2 3" xfId="48337" xr:uid="{00000000-0005-0000-0000-00005B630000}"/>
    <cellStyle name="40 % - Markeringsfarve3 3 2 3 3 2 3" xfId="26376" xr:uid="{00000000-0005-0000-0000-00005C630000}"/>
    <cellStyle name="40 % - Markeringsfarve3 3 2 3 3 2 4" xfId="41340" xr:uid="{00000000-0005-0000-0000-00005D630000}"/>
    <cellStyle name="40 % - Markeringsfarve3 3 2 3 3 3" xfId="14422" xr:uid="{00000000-0005-0000-0000-00005E630000}"/>
    <cellStyle name="40 % - Markeringsfarve3 3 2 3 3 3 2" xfId="30701" xr:uid="{00000000-0005-0000-0000-00005F630000}"/>
    <cellStyle name="40 % - Markeringsfarve3 3 2 3 3 3 3" xfId="45661" xr:uid="{00000000-0005-0000-0000-000060630000}"/>
    <cellStyle name="40 % - Markeringsfarve3 3 2 3 3 4" xfId="23699" xr:uid="{00000000-0005-0000-0000-000061630000}"/>
    <cellStyle name="40 % - Markeringsfarve3 3 2 3 3 5" xfId="38664" xr:uid="{00000000-0005-0000-0000-000062630000}"/>
    <cellStyle name="40 % - Markeringsfarve3 3 2 3 4" xfId="5938" xr:uid="{00000000-0005-0000-0000-000063630000}"/>
    <cellStyle name="40 % - Markeringsfarve3 3 2 3 4 2" xfId="10629" xr:uid="{00000000-0005-0000-0000-000064630000}"/>
    <cellStyle name="40 % - Markeringsfarve3 3 2 3 4 2 2" xfId="18477" xr:uid="{00000000-0005-0000-0000-000065630000}"/>
    <cellStyle name="40 % - Markeringsfarve3 3 2 3 4 2 2 2" xfId="34753" xr:uid="{00000000-0005-0000-0000-000066630000}"/>
    <cellStyle name="40 % - Markeringsfarve3 3 2 3 4 2 2 3" xfId="49712" xr:uid="{00000000-0005-0000-0000-000067630000}"/>
    <cellStyle name="40 % - Markeringsfarve3 3 2 3 4 2 3" xfId="27751" xr:uid="{00000000-0005-0000-0000-000068630000}"/>
    <cellStyle name="40 % - Markeringsfarve3 3 2 3 4 2 4" xfId="42715" xr:uid="{00000000-0005-0000-0000-000069630000}"/>
    <cellStyle name="40 % - Markeringsfarve3 3 2 3 4 3" xfId="14423" xr:uid="{00000000-0005-0000-0000-00006A630000}"/>
    <cellStyle name="40 % - Markeringsfarve3 3 2 3 4 3 2" xfId="30702" xr:uid="{00000000-0005-0000-0000-00006B630000}"/>
    <cellStyle name="40 % - Markeringsfarve3 3 2 3 4 3 3" xfId="45662" xr:uid="{00000000-0005-0000-0000-00006C630000}"/>
    <cellStyle name="40 % - Markeringsfarve3 3 2 3 4 4" xfId="23700" xr:uid="{00000000-0005-0000-0000-00006D630000}"/>
    <cellStyle name="40 % - Markeringsfarve3 3 2 3 4 5" xfId="38665" xr:uid="{00000000-0005-0000-0000-00006E630000}"/>
    <cellStyle name="40 % - Markeringsfarve3 3 2 3 5" xfId="8093" xr:uid="{00000000-0005-0000-0000-00006F630000}"/>
    <cellStyle name="40 % - Markeringsfarve3 3 2 3 5 2" xfId="15958" xr:uid="{00000000-0005-0000-0000-000070630000}"/>
    <cellStyle name="40 % - Markeringsfarve3 3 2 3 5 2 2" xfId="32234" xr:uid="{00000000-0005-0000-0000-000071630000}"/>
    <cellStyle name="40 % - Markeringsfarve3 3 2 3 5 2 3" xfId="47193" xr:uid="{00000000-0005-0000-0000-000072630000}"/>
    <cellStyle name="40 % - Markeringsfarve3 3 2 3 5 3" xfId="25232" xr:uid="{00000000-0005-0000-0000-000073630000}"/>
    <cellStyle name="40 % - Markeringsfarve3 3 2 3 5 4" xfId="40196" xr:uid="{00000000-0005-0000-0000-000074630000}"/>
    <cellStyle name="40 % - Markeringsfarve3 3 2 3 6" xfId="14419" xr:uid="{00000000-0005-0000-0000-000075630000}"/>
    <cellStyle name="40 % - Markeringsfarve3 3 2 3 6 2" xfId="30698" xr:uid="{00000000-0005-0000-0000-000076630000}"/>
    <cellStyle name="40 % - Markeringsfarve3 3 2 3 6 3" xfId="45658" xr:uid="{00000000-0005-0000-0000-000077630000}"/>
    <cellStyle name="40 % - Markeringsfarve3 3 2 3 7" xfId="23696" xr:uid="{00000000-0005-0000-0000-000078630000}"/>
    <cellStyle name="40 % - Markeringsfarve3 3 2 3 8" xfId="38661" xr:uid="{00000000-0005-0000-0000-000079630000}"/>
    <cellStyle name="40 % - Markeringsfarve3 3 2 4" xfId="5939" xr:uid="{00000000-0005-0000-0000-00007A630000}"/>
    <cellStyle name="40 % - Markeringsfarve3 3 2 4 2" xfId="5940" xr:uid="{00000000-0005-0000-0000-00007B630000}"/>
    <cellStyle name="40 % - Markeringsfarve3 3 2 4 2 2" xfId="5941" xr:uid="{00000000-0005-0000-0000-00007C630000}"/>
    <cellStyle name="40 % - Markeringsfarve3 3 2 4 2 2 2" xfId="10109" xr:uid="{00000000-0005-0000-0000-00007D630000}"/>
    <cellStyle name="40 % - Markeringsfarve3 3 2 4 2 2 2 2" xfId="17964" xr:uid="{00000000-0005-0000-0000-00007E630000}"/>
    <cellStyle name="40 % - Markeringsfarve3 3 2 4 2 2 2 2 2" xfId="34240" xr:uid="{00000000-0005-0000-0000-00007F630000}"/>
    <cellStyle name="40 % - Markeringsfarve3 3 2 4 2 2 2 2 3" xfId="49199" xr:uid="{00000000-0005-0000-0000-000080630000}"/>
    <cellStyle name="40 % - Markeringsfarve3 3 2 4 2 2 2 3" xfId="27238" xr:uid="{00000000-0005-0000-0000-000081630000}"/>
    <cellStyle name="40 % - Markeringsfarve3 3 2 4 2 2 2 4" xfId="42202" xr:uid="{00000000-0005-0000-0000-000082630000}"/>
    <cellStyle name="40 % - Markeringsfarve3 3 2 4 2 2 3" xfId="14426" xr:uid="{00000000-0005-0000-0000-000083630000}"/>
    <cellStyle name="40 % - Markeringsfarve3 3 2 4 2 2 3 2" xfId="30705" xr:uid="{00000000-0005-0000-0000-000084630000}"/>
    <cellStyle name="40 % - Markeringsfarve3 3 2 4 2 2 3 3" xfId="45665" xr:uid="{00000000-0005-0000-0000-000085630000}"/>
    <cellStyle name="40 % - Markeringsfarve3 3 2 4 2 2 4" xfId="23703" xr:uid="{00000000-0005-0000-0000-000086630000}"/>
    <cellStyle name="40 % - Markeringsfarve3 3 2 4 2 2 5" xfId="38668" xr:uid="{00000000-0005-0000-0000-000087630000}"/>
    <cellStyle name="40 % - Markeringsfarve3 3 2 4 2 3" xfId="8648" xr:uid="{00000000-0005-0000-0000-000088630000}"/>
    <cellStyle name="40 % - Markeringsfarve3 3 2 4 2 3 2" xfId="16515" xr:uid="{00000000-0005-0000-0000-000089630000}"/>
    <cellStyle name="40 % - Markeringsfarve3 3 2 4 2 3 2 2" xfId="32791" xr:uid="{00000000-0005-0000-0000-00008A630000}"/>
    <cellStyle name="40 % - Markeringsfarve3 3 2 4 2 3 2 3" xfId="47750" xr:uid="{00000000-0005-0000-0000-00008B630000}"/>
    <cellStyle name="40 % - Markeringsfarve3 3 2 4 2 3 3" xfId="25789" xr:uid="{00000000-0005-0000-0000-00008C630000}"/>
    <cellStyle name="40 % - Markeringsfarve3 3 2 4 2 3 4" xfId="40753" xr:uid="{00000000-0005-0000-0000-00008D630000}"/>
    <cellStyle name="40 % - Markeringsfarve3 3 2 4 2 4" xfId="14425" xr:uid="{00000000-0005-0000-0000-00008E630000}"/>
    <cellStyle name="40 % - Markeringsfarve3 3 2 4 2 4 2" xfId="30704" xr:uid="{00000000-0005-0000-0000-00008F630000}"/>
    <cellStyle name="40 % - Markeringsfarve3 3 2 4 2 4 3" xfId="45664" xr:uid="{00000000-0005-0000-0000-000090630000}"/>
    <cellStyle name="40 % - Markeringsfarve3 3 2 4 2 5" xfId="23702" xr:uid="{00000000-0005-0000-0000-000091630000}"/>
    <cellStyle name="40 % - Markeringsfarve3 3 2 4 2 6" xfId="38667" xr:uid="{00000000-0005-0000-0000-000092630000}"/>
    <cellStyle name="40 % - Markeringsfarve3 3 2 4 3" xfId="5942" xr:uid="{00000000-0005-0000-0000-000093630000}"/>
    <cellStyle name="40 % - Markeringsfarve3 3 2 4 3 2" xfId="9386" xr:uid="{00000000-0005-0000-0000-000094630000}"/>
    <cellStyle name="40 % - Markeringsfarve3 3 2 4 3 2 2" xfId="17249" xr:uid="{00000000-0005-0000-0000-000095630000}"/>
    <cellStyle name="40 % - Markeringsfarve3 3 2 4 3 2 2 2" xfId="33525" xr:uid="{00000000-0005-0000-0000-000096630000}"/>
    <cellStyle name="40 % - Markeringsfarve3 3 2 4 3 2 2 3" xfId="48484" xr:uid="{00000000-0005-0000-0000-000097630000}"/>
    <cellStyle name="40 % - Markeringsfarve3 3 2 4 3 2 3" xfId="26523" xr:uid="{00000000-0005-0000-0000-000098630000}"/>
    <cellStyle name="40 % - Markeringsfarve3 3 2 4 3 2 4" xfId="41487" xr:uid="{00000000-0005-0000-0000-000099630000}"/>
    <cellStyle name="40 % - Markeringsfarve3 3 2 4 3 3" xfId="14427" xr:uid="{00000000-0005-0000-0000-00009A630000}"/>
    <cellStyle name="40 % - Markeringsfarve3 3 2 4 3 3 2" xfId="30706" xr:uid="{00000000-0005-0000-0000-00009B630000}"/>
    <cellStyle name="40 % - Markeringsfarve3 3 2 4 3 3 3" xfId="45666" xr:uid="{00000000-0005-0000-0000-00009C630000}"/>
    <cellStyle name="40 % - Markeringsfarve3 3 2 4 3 4" xfId="23704" xr:uid="{00000000-0005-0000-0000-00009D630000}"/>
    <cellStyle name="40 % - Markeringsfarve3 3 2 4 3 5" xfId="38669" xr:uid="{00000000-0005-0000-0000-00009E630000}"/>
    <cellStyle name="40 % - Markeringsfarve3 3 2 4 4" xfId="5943" xr:uid="{00000000-0005-0000-0000-00009F630000}"/>
    <cellStyle name="40 % - Markeringsfarve3 3 2 4 4 2" xfId="10844" xr:uid="{00000000-0005-0000-0000-0000A0630000}"/>
    <cellStyle name="40 % - Markeringsfarve3 3 2 4 4 2 2" xfId="18682" xr:uid="{00000000-0005-0000-0000-0000A1630000}"/>
    <cellStyle name="40 % - Markeringsfarve3 3 2 4 4 2 2 2" xfId="34958" xr:uid="{00000000-0005-0000-0000-0000A2630000}"/>
    <cellStyle name="40 % - Markeringsfarve3 3 2 4 4 2 2 3" xfId="49917" xr:uid="{00000000-0005-0000-0000-0000A3630000}"/>
    <cellStyle name="40 % - Markeringsfarve3 3 2 4 4 2 3" xfId="27956" xr:uid="{00000000-0005-0000-0000-0000A4630000}"/>
    <cellStyle name="40 % - Markeringsfarve3 3 2 4 4 2 4" xfId="42920" xr:uid="{00000000-0005-0000-0000-0000A5630000}"/>
    <cellStyle name="40 % - Markeringsfarve3 3 2 4 4 3" xfId="14428" xr:uid="{00000000-0005-0000-0000-0000A6630000}"/>
    <cellStyle name="40 % - Markeringsfarve3 3 2 4 4 3 2" xfId="30707" xr:uid="{00000000-0005-0000-0000-0000A7630000}"/>
    <cellStyle name="40 % - Markeringsfarve3 3 2 4 4 3 3" xfId="45667" xr:uid="{00000000-0005-0000-0000-0000A8630000}"/>
    <cellStyle name="40 % - Markeringsfarve3 3 2 4 4 4" xfId="23705" xr:uid="{00000000-0005-0000-0000-0000A9630000}"/>
    <cellStyle name="40 % - Markeringsfarve3 3 2 4 4 5" xfId="38670" xr:uid="{00000000-0005-0000-0000-0000AA630000}"/>
    <cellStyle name="40 % - Markeringsfarve3 3 2 4 5" xfId="8094" xr:uid="{00000000-0005-0000-0000-0000AB630000}"/>
    <cellStyle name="40 % - Markeringsfarve3 3 2 4 5 2" xfId="15959" xr:uid="{00000000-0005-0000-0000-0000AC630000}"/>
    <cellStyle name="40 % - Markeringsfarve3 3 2 4 5 2 2" xfId="32235" xr:uid="{00000000-0005-0000-0000-0000AD630000}"/>
    <cellStyle name="40 % - Markeringsfarve3 3 2 4 5 2 3" xfId="47194" xr:uid="{00000000-0005-0000-0000-0000AE630000}"/>
    <cellStyle name="40 % - Markeringsfarve3 3 2 4 5 3" xfId="25233" xr:uid="{00000000-0005-0000-0000-0000AF630000}"/>
    <cellStyle name="40 % - Markeringsfarve3 3 2 4 5 4" xfId="40197" xr:uid="{00000000-0005-0000-0000-0000B0630000}"/>
    <cellStyle name="40 % - Markeringsfarve3 3 2 4 6" xfId="14424" xr:uid="{00000000-0005-0000-0000-0000B1630000}"/>
    <cellStyle name="40 % - Markeringsfarve3 3 2 4 6 2" xfId="30703" xr:uid="{00000000-0005-0000-0000-0000B2630000}"/>
    <cellStyle name="40 % - Markeringsfarve3 3 2 4 6 3" xfId="45663" xr:uid="{00000000-0005-0000-0000-0000B3630000}"/>
    <cellStyle name="40 % - Markeringsfarve3 3 2 4 7" xfId="23701" xr:uid="{00000000-0005-0000-0000-0000B4630000}"/>
    <cellStyle name="40 % - Markeringsfarve3 3 2 4 8" xfId="38666" xr:uid="{00000000-0005-0000-0000-0000B5630000}"/>
    <cellStyle name="40 % - Markeringsfarve3 3 2 5" xfId="5944" xr:uid="{00000000-0005-0000-0000-0000B6630000}"/>
    <cellStyle name="40 % - Markeringsfarve3 3 2 5 2" xfId="5945" xr:uid="{00000000-0005-0000-0000-0000B7630000}"/>
    <cellStyle name="40 % - Markeringsfarve3 3 2 5 2 2" xfId="5946" xr:uid="{00000000-0005-0000-0000-0000B8630000}"/>
    <cellStyle name="40 % - Markeringsfarve3 3 2 5 2 2 2" xfId="10226" xr:uid="{00000000-0005-0000-0000-0000B9630000}"/>
    <cellStyle name="40 % - Markeringsfarve3 3 2 5 2 2 2 2" xfId="18081" xr:uid="{00000000-0005-0000-0000-0000BA630000}"/>
    <cellStyle name="40 % - Markeringsfarve3 3 2 5 2 2 2 2 2" xfId="34357" xr:uid="{00000000-0005-0000-0000-0000BB630000}"/>
    <cellStyle name="40 % - Markeringsfarve3 3 2 5 2 2 2 2 3" xfId="49316" xr:uid="{00000000-0005-0000-0000-0000BC630000}"/>
    <cellStyle name="40 % - Markeringsfarve3 3 2 5 2 2 2 3" xfId="27355" xr:uid="{00000000-0005-0000-0000-0000BD630000}"/>
    <cellStyle name="40 % - Markeringsfarve3 3 2 5 2 2 2 4" xfId="42319" xr:uid="{00000000-0005-0000-0000-0000BE630000}"/>
    <cellStyle name="40 % - Markeringsfarve3 3 2 5 2 2 3" xfId="14431" xr:uid="{00000000-0005-0000-0000-0000BF630000}"/>
    <cellStyle name="40 % - Markeringsfarve3 3 2 5 2 2 3 2" xfId="30710" xr:uid="{00000000-0005-0000-0000-0000C0630000}"/>
    <cellStyle name="40 % - Markeringsfarve3 3 2 5 2 2 3 3" xfId="45670" xr:uid="{00000000-0005-0000-0000-0000C1630000}"/>
    <cellStyle name="40 % - Markeringsfarve3 3 2 5 2 2 4" xfId="23708" xr:uid="{00000000-0005-0000-0000-0000C2630000}"/>
    <cellStyle name="40 % - Markeringsfarve3 3 2 5 2 2 5" xfId="38673" xr:uid="{00000000-0005-0000-0000-0000C3630000}"/>
    <cellStyle name="40 % - Markeringsfarve3 3 2 5 2 3" xfId="8747" xr:uid="{00000000-0005-0000-0000-0000C4630000}"/>
    <cellStyle name="40 % - Markeringsfarve3 3 2 5 2 3 2" xfId="16614" xr:uid="{00000000-0005-0000-0000-0000C5630000}"/>
    <cellStyle name="40 % - Markeringsfarve3 3 2 5 2 3 2 2" xfId="32890" xr:uid="{00000000-0005-0000-0000-0000C6630000}"/>
    <cellStyle name="40 % - Markeringsfarve3 3 2 5 2 3 2 3" xfId="47849" xr:uid="{00000000-0005-0000-0000-0000C7630000}"/>
    <cellStyle name="40 % - Markeringsfarve3 3 2 5 2 3 3" xfId="25888" xr:uid="{00000000-0005-0000-0000-0000C8630000}"/>
    <cellStyle name="40 % - Markeringsfarve3 3 2 5 2 3 4" xfId="40852" xr:uid="{00000000-0005-0000-0000-0000C9630000}"/>
    <cellStyle name="40 % - Markeringsfarve3 3 2 5 2 4" xfId="14430" xr:uid="{00000000-0005-0000-0000-0000CA630000}"/>
    <cellStyle name="40 % - Markeringsfarve3 3 2 5 2 4 2" xfId="30709" xr:uid="{00000000-0005-0000-0000-0000CB630000}"/>
    <cellStyle name="40 % - Markeringsfarve3 3 2 5 2 4 3" xfId="45669" xr:uid="{00000000-0005-0000-0000-0000CC630000}"/>
    <cellStyle name="40 % - Markeringsfarve3 3 2 5 2 5" xfId="23707" xr:uid="{00000000-0005-0000-0000-0000CD630000}"/>
    <cellStyle name="40 % - Markeringsfarve3 3 2 5 2 6" xfId="38672" xr:uid="{00000000-0005-0000-0000-0000CE630000}"/>
    <cellStyle name="40 % - Markeringsfarve3 3 2 5 3" xfId="5947" xr:uid="{00000000-0005-0000-0000-0000CF630000}"/>
    <cellStyle name="40 % - Markeringsfarve3 3 2 5 3 2" xfId="9503" xr:uid="{00000000-0005-0000-0000-0000D0630000}"/>
    <cellStyle name="40 % - Markeringsfarve3 3 2 5 3 2 2" xfId="17366" xr:uid="{00000000-0005-0000-0000-0000D1630000}"/>
    <cellStyle name="40 % - Markeringsfarve3 3 2 5 3 2 2 2" xfId="33642" xr:uid="{00000000-0005-0000-0000-0000D2630000}"/>
    <cellStyle name="40 % - Markeringsfarve3 3 2 5 3 2 2 3" xfId="48601" xr:uid="{00000000-0005-0000-0000-0000D3630000}"/>
    <cellStyle name="40 % - Markeringsfarve3 3 2 5 3 2 3" xfId="26640" xr:uid="{00000000-0005-0000-0000-0000D4630000}"/>
    <cellStyle name="40 % - Markeringsfarve3 3 2 5 3 2 4" xfId="41604" xr:uid="{00000000-0005-0000-0000-0000D5630000}"/>
    <cellStyle name="40 % - Markeringsfarve3 3 2 5 3 3" xfId="14432" xr:uid="{00000000-0005-0000-0000-0000D6630000}"/>
    <cellStyle name="40 % - Markeringsfarve3 3 2 5 3 3 2" xfId="30711" xr:uid="{00000000-0005-0000-0000-0000D7630000}"/>
    <cellStyle name="40 % - Markeringsfarve3 3 2 5 3 3 3" xfId="45671" xr:uid="{00000000-0005-0000-0000-0000D8630000}"/>
    <cellStyle name="40 % - Markeringsfarve3 3 2 5 3 4" xfId="23709" xr:uid="{00000000-0005-0000-0000-0000D9630000}"/>
    <cellStyle name="40 % - Markeringsfarve3 3 2 5 3 5" xfId="38674" xr:uid="{00000000-0005-0000-0000-0000DA630000}"/>
    <cellStyle name="40 % - Markeringsfarve3 3 2 5 4" xfId="5948" xr:uid="{00000000-0005-0000-0000-0000DB630000}"/>
    <cellStyle name="40 % - Markeringsfarve3 3 2 5 4 2" xfId="10493" xr:uid="{00000000-0005-0000-0000-0000DC630000}"/>
    <cellStyle name="40 % - Markeringsfarve3 3 2 5 4 2 2" xfId="18342" xr:uid="{00000000-0005-0000-0000-0000DD630000}"/>
    <cellStyle name="40 % - Markeringsfarve3 3 2 5 4 2 2 2" xfId="34618" xr:uid="{00000000-0005-0000-0000-0000DE630000}"/>
    <cellStyle name="40 % - Markeringsfarve3 3 2 5 4 2 2 3" xfId="49577" xr:uid="{00000000-0005-0000-0000-0000DF630000}"/>
    <cellStyle name="40 % - Markeringsfarve3 3 2 5 4 2 3" xfId="27616" xr:uid="{00000000-0005-0000-0000-0000E0630000}"/>
    <cellStyle name="40 % - Markeringsfarve3 3 2 5 4 2 4" xfId="42580" xr:uid="{00000000-0005-0000-0000-0000E1630000}"/>
    <cellStyle name="40 % - Markeringsfarve3 3 2 5 4 3" xfId="14433" xr:uid="{00000000-0005-0000-0000-0000E2630000}"/>
    <cellStyle name="40 % - Markeringsfarve3 3 2 5 4 3 2" xfId="30712" xr:uid="{00000000-0005-0000-0000-0000E3630000}"/>
    <cellStyle name="40 % - Markeringsfarve3 3 2 5 4 3 3" xfId="45672" xr:uid="{00000000-0005-0000-0000-0000E4630000}"/>
    <cellStyle name="40 % - Markeringsfarve3 3 2 5 4 4" xfId="23710" xr:uid="{00000000-0005-0000-0000-0000E5630000}"/>
    <cellStyle name="40 % - Markeringsfarve3 3 2 5 4 5" xfId="38675" xr:uid="{00000000-0005-0000-0000-0000E6630000}"/>
    <cellStyle name="40 % - Markeringsfarve3 3 2 5 5" xfId="8095" xr:uid="{00000000-0005-0000-0000-0000E7630000}"/>
    <cellStyle name="40 % - Markeringsfarve3 3 2 5 5 2" xfId="15960" xr:uid="{00000000-0005-0000-0000-0000E8630000}"/>
    <cellStyle name="40 % - Markeringsfarve3 3 2 5 5 2 2" xfId="32236" xr:uid="{00000000-0005-0000-0000-0000E9630000}"/>
    <cellStyle name="40 % - Markeringsfarve3 3 2 5 5 2 3" xfId="47195" xr:uid="{00000000-0005-0000-0000-0000EA630000}"/>
    <cellStyle name="40 % - Markeringsfarve3 3 2 5 5 3" xfId="25234" xr:uid="{00000000-0005-0000-0000-0000EB630000}"/>
    <cellStyle name="40 % - Markeringsfarve3 3 2 5 5 4" xfId="40198" xr:uid="{00000000-0005-0000-0000-0000EC630000}"/>
    <cellStyle name="40 % - Markeringsfarve3 3 2 5 6" xfId="14429" xr:uid="{00000000-0005-0000-0000-0000ED630000}"/>
    <cellStyle name="40 % - Markeringsfarve3 3 2 5 6 2" xfId="30708" xr:uid="{00000000-0005-0000-0000-0000EE630000}"/>
    <cellStyle name="40 % - Markeringsfarve3 3 2 5 6 3" xfId="45668" xr:uid="{00000000-0005-0000-0000-0000EF630000}"/>
    <cellStyle name="40 % - Markeringsfarve3 3 2 5 7" xfId="23706" xr:uid="{00000000-0005-0000-0000-0000F0630000}"/>
    <cellStyle name="40 % - Markeringsfarve3 3 2 5 8" xfId="38671" xr:uid="{00000000-0005-0000-0000-0000F1630000}"/>
    <cellStyle name="40 % - Markeringsfarve3 3 2 6" xfId="5949" xr:uid="{00000000-0005-0000-0000-0000F2630000}"/>
    <cellStyle name="40 % - Markeringsfarve3 3 2 6 2" xfId="5950" xr:uid="{00000000-0005-0000-0000-0000F3630000}"/>
    <cellStyle name="40 % - Markeringsfarve3 3 2 6 2 2" xfId="5951" xr:uid="{00000000-0005-0000-0000-0000F4630000}"/>
    <cellStyle name="40 % - Markeringsfarve3 3 2 6 2 2 2" xfId="10362" xr:uid="{00000000-0005-0000-0000-0000F5630000}"/>
    <cellStyle name="40 % - Markeringsfarve3 3 2 6 2 2 2 2" xfId="18217" xr:uid="{00000000-0005-0000-0000-0000F6630000}"/>
    <cellStyle name="40 % - Markeringsfarve3 3 2 6 2 2 2 2 2" xfId="34493" xr:uid="{00000000-0005-0000-0000-0000F7630000}"/>
    <cellStyle name="40 % - Markeringsfarve3 3 2 6 2 2 2 2 3" xfId="49452" xr:uid="{00000000-0005-0000-0000-0000F8630000}"/>
    <cellStyle name="40 % - Markeringsfarve3 3 2 6 2 2 2 3" xfId="27491" xr:uid="{00000000-0005-0000-0000-0000F9630000}"/>
    <cellStyle name="40 % - Markeringsfarve3 3 2 6 2 2 2 4" xfId="42455" xr:uid="{00000000-0005-0000-0000-0000FA630000}"/>
    <cellStyle name="40 % - Markeringsfarve3 3 2 6 2 2 3" xfId="14436" xr:uid="{00000000-0005-0000-0000-0000FB630000}"/>
    <cellStyle name="40 % - Markeringsfarve3 3 2 6 2 2 3 2" xfId="30715" xr:uid="{00000000-0005-0000-0000-0000FC630000}"/>
    <cellStyle name="40 % - Markeringsfarve3 3 2 6 2 2 3 3" xfId="45675" xr:uid="{00000000-0005-0000-0000-0000FD630000}"/>
    <cellStyle name="40 % - Markeringsfarve3 3 2 6 2 2 4" xfId="23713" xr:uid="{00000000-0005-0000-0000-0000FE630000}"/>
    <cellStyle name="40 % - Markeringsfarve3 3 2 6 2 2 5" xfId="38678" xr:uid="{00000000-0005-0000-0000-0000FF630000}"/>
    <cellStyle name="40 % - Markeringsfarve3 3 2 6 2 3" xfId="8856" xr:uid="{00000000-0005-0000-0000-000000640000}"/>
    <cellStyle name="40 % - Markeringsfarve3 3 2 6 2 3 2" xfId="16723" xr:uid="{00000000-0005-0000-0000-000001640000}"/>
    <cellStyle name="40 % - Markeringsfarve3 3 2 6 2 3 2 2" xfId="32999" xr:uid="{00000000-0005-0000-0000-000002640000}"/>
    <cellStyle name="40 % - Markeringsfarve3 3 2 6 2 3 2 3" xfId="47958" xr:uid="{00000000-0005-0000-0000-000003640000}"/>
    <cellStyle name="40 % - Markeringsfarve3 3 2 6 2 3 3" xfId="25997" xr:uid="{00000000-0005-0000-0000-000004640000}"/>
    <cellStyle name="40 % - Markeringsfarve3 3 2 6 2 3 4" xfId="40961" xr:uid="{00000000-0005-0000-0000-000005640000}"/>
    <cellStyle name="40 % - Markeringsfarve3 3 2 6 2 4" xfId="14435" xr:uid="{00000000-0005-0000-0000-000006640000}"/>
    <cellStyle name="40 % - Markeringsfarve3 3 2 6 2 4 2" xfId="30714" xr:uid="{00000000-0005-0000-0000-000007640000}"/>
    <cellStyle name="40 % - Markeringsfarve3 3 2 6 2 4 3" xfId="45674" xr:uid="{00000000-0005-0000-0000-000008640000}"/>
    <cellStyle name="40 % - Markeringsfarve3 3 2 6 2 5" xfId="23712" xr:uid="{00000000-0005-0000-0000-000009640000}"/>
    <cellStyle name="40 % - Markeringsfarve3 3 2 6 2 6" xfId="38677" xr:uid="{00000000-0005-0000-0000-00000A640000}"/>
    <cellStyle name="40 % - Markeringsfarve3 3 2 6 3" xfId="5952" xr:uid="{00000000-0005-0000-0000-00000B640000}"/>
    <cellStyle name="40 % - Markeringsfarve3 3 2 6 3 2" xfId="9640" xr:uid="{00000000-0005-0000-0000-00000C640000}"/>
    <cellStyle name="40 % - Markeringsfarve3 3 2 6 3 2 2" xfId="17503" xr:uid="{00000000-0005-0000-0000-00000D640000}"/>
    <cellStyle name="40 % - Markeringsfarve3 3 2 6 3 2 2 2" xfId="33779" xr:uid="{00000000-0005-0000-0000-00000E640000}"/>
    <cellStyle name="40 % - Markeringsfarve3 3 2 6 3 2 2 3" xfId="48738" xr:uid="{00000000-0005-0000-0000-00000F640000}"/>
    <cellStyle name="40 % - Markeringsfarve3 3 2 6 3 2 3" xfId="26777" xr:uid="{00000000-0005-0000-0000-000010640000}"/>
    <cellStyle name="40 % - Markeringsfarve3 3 2 6 3 2 4" xfId="41741" xr:uid="{00000000-0005-0000-0000-000011640000}"/>
    <cellStyle name="40 % - Markeringsfarve3 3 2 6 3 3" xfId="14437" xr:uid="{00000000-0005-0000-0000-000012640000}"/>
    <cellStyle name="40 % - Markeringsfarve3 3 2 6 3 3 2" xfId="30716" xr:uid="{00000000-0005-0000-0000-000013640000}"/>
    <cellStyle name="40 % - Markeringsfarve3 3 2 6 3 3 3" xfId="45676" xr:uid="{00000000-0005-0000-0000-000014640000}"/>
    <cellStyle name="40 % - Markeringsfarve3 3 2 6 3 4" xfId="23714" xr:uid="{00000000-0005-0000-0000-000015640000}"/>
    <cellStyle name="40 % - Markeringsfarve3 3 2 6 3 5" xfId="38679" xr:uid="{00000000-0005-0000-0000-000016640000}"/>
    <cellStyle name="40 % - Markeringsfarve3 3 2 6 4" xfId="5953" xr:uid="{00000000-0005-0000-0000-000017640000}"/>
    <cellStyle name="40 % - Markeringsfarve3 3 2 6 4 2" xfId="10815" xr:uid="{00000000-0005-0000-0000-000018640000}"/>
    <cellStyle name="40 % - Markeringsfarve3 3 2 6 4 2 2" xfId="18656" xr:uid="{00000000-0005-0000-0000-000019640000}"/>
    <cellStyle name="40 % - Markeringsfarve3 3 2 6 4 2 2 2" xfId="34932" xr:uid="{00000000-0005-0000-0000-00001A640000}"/>
    <cellStyle name="40 % - Markeringsfarve3 3 2 6 4 2 2 3" xfId="49891" xr:uid="{00000000-0005-0000-0000-00001B640000}"/>
    <cellStyle name="40 % - Markeringsfarve3 3 2 6 4 2 3" xfId="27930" xr:uid="{00000000-0005-0000-0000-00001C640000}"/>
    <cellStyle name="40 % - Markeringsfarve3 3 2 6 4 2 4" xfId="42894" xr:uid="{00000000-0005-0000-0000-00001D640000}"/>
    <cellStyle name="40 % - Markeringsfarve3 3 2 6 4 3" xfId="14438" xr:uid="{00000000-0005-0000-0000-00001E640000}"/>
    <cellStyle name="40 % - Markeringsfarve3 3 2 6 4 3 2" xfId="30717" xr:uid="{00000000-0005-0000-0000-00001F640000}"/>
    <cellStyle name="40 % - Markeringsfarve3 3 2 6 4 3 3" xfId="45677" xr:uid="{00000000-0005-0000-0000-000020640000}"/>
    <cellStyle name="40 % - Markeringsfarve3 3 2 6 4 4" xfId="23715" xr:uid="{00000000-0005-0000-0000-000021640000}"/>
    <cellStyle name="40 % - Markeringsfarve3 3 2 6 4 5" xfId="38680" xr:uid="{00000000-0005-0000-0000-000022640000}"/>
    <cellStyle name="40 % - Markeringsfarve3 3 2 6 5" xfId="8096" xr:uid="{00000000-0005-0000-0000-000023640000}"/>
    <cellStyle name="40 % - Markeringsfarve3 3 2 6 5 2" xfId="15961" xr:uid="{00000000-0005-0000-0000-000024640000}"/>
    <cellStyle name="40 % - Markeringsfarve3 3 2 6 5 2 2" xfId="32237" xr:uid="{00000000-0005-0000-0000-000025640000}"/>
    <cellStyle name="40 % - Markeringsfarve3 3 2 6 5 2 3" xfId="47196" xr:uid="{00000000-0005-0000-0000-000026640000}"/>
    <cellStyle name="40 % - Markeringsfarve3 3 2 6 5 3" xfId="25235" xr:uid="{00000000-0005-0000-0000-000027640000}"/>
    <cellStyle name="40 % - Markeringsfarve3 3 2 6 5 4" xfId="40199" xr:uid="{00000000-0005-0000-0000-000028640000}"/>
    <cellStyle name="40 % - Markeringsfarve3 3 2 6 6" xfId="14434" xr:uid="{00000000-0005-0000-0000-000029640000}"/>
    <cellStyle name="40 % - Markeringsfarve3 3 2 6 6 2" xfId="30713" xr:uid="{00000000-0005-0000-0000-00002A640000}"/>
    <cellStyle name="40 % - Markeringsfarve3 3 2 6 6 3" xfId="45673" xr:uid="{00000000-0005-0000-0000-00002B640000}"/>
    <cellStyle name="40 % - Markeringsfarve3 3 2 6 7" xfId="23711" xr:uid="{00000000-0005-0000-0000-00002C640000}"/>
    <cellStyle name="40 % - Markeringsfarve3 3 2 6 8" xfId="38676" xr:uid="{00000000-0005-0000-0000-00002D640000}"/>
    <cellStyle name="40 % - Markeringsfarve3 3 2 7" xfId="5954" xr:uid="{00000000-0005-0000-0000-00002E640000}"/>
    <cellStyle name="40 % - Markeringsfarve3 3 2 7 2" xfId="5955" xr:uid="{00000000-0005-0000-0000-00002F640000}"/>
    <cellStyle name="40 % - Markeringsfarve3 3 2 7 2 2" xfId="9753" xr:uid="{00000000-0005-0000-0000-000030640000}"/>
    <cellStyle name="40 % - Markeringsfarve3 3 2 7 2 2 2" xfId="17607" xr:uid="{00000000-0005-0000-0000-000031640000}"/>
    <cellStyle name="40 % - Markeringsfarve3 3 2 7 2 2 2 2" xfId="33883" xr:uid="{00000000-0005-0000-0000-000032640000}"/>
    <cellStyle name="40 % - Markeringsfarve3 3 2 7 2 2 2 3" xfId="48842" xr:uid="{00000000-0005-0000-0000-000033640000}"/>
    <cellStyle name="40 % - Markeringsfarve3 3 2 7 2 2 3" xfId="26881" xr:uid="{00000000-0005-0000-0000-000034640000}"/>
    <cellStyle name="40 % - Markeringsfarve3 3 2 7 2 2 4" xfId="41845" xr:uid="{00000000-0005-0000-0000-000035640000}"/>
    <cellStyle name="40 % - Markeringsfarve3 3 2 7 2 3" xfId="14440" xr:uid="{00000000-0005-0000-0000-000036640000}"/>
    <cellStyle name="40 % - Markeringsfarve3 3 2 7 2 3 2" xfId="30719" xr:uid="{00000000-0005-0000-0000-000037640000}"/>
    <cellStyle name="40 % - Markeringsfarve3 3 2 7 2 3 3" xfId="45679" xr:uid="{00000000-0005-0000-0000-000038640000}"/>
    <cellStyle name="40 % - Markeringsfarve3 3 2 7 2 4" xfId="23717" xr:uid="{00000000-0005-0000-0000-000039640000}"/>
    <cellStyle name="40 % - Markeringsfarve3 3 2 7 2 5" xfId="38682" xr:uid="{00000000-0005-0000-0000-00003A640000}"/>
    <cellStyle name="40 % - Markeringsfarve3 3 2 7 3" xfId="8347" xr:uid="{00000000-0005-0000-0000-00003B640000}"/>
    <cellStyle name="40 % - Markeringsfarve3 3 2 7 3 2" xfId="16217" xr:uid="{00000000-0005-0000-0000-00003C640000}"/>
    <cellStyle name="40 % - Markeringsfarve3 3 2 7 3 2 2" xfId="32493" xr:uid="{00000000-0005-0000-0000-00003D640000}"/>
    <cellStyle name="40 % - Markeringsfarve3 3 2 7 3 2 3" xfId="47452" xr:uid="{00000000-0005-0000-0000-00003E640000}"/>
    <cellStyle name="40 % - Markeringsfarve3 3 2 7 3 3" xfId="25491" xr:uid="{00000000-0005-0000-0000-00003F640000}"/>
    <cellStyle name="40 % - Markeringsfarve3 3 2 7 3 4" xfId="40455" xr:uid="{00000000-0005-0000-0000-000040640000}"/>
    <cellStyle name="40 % - Markeringsfarve3 3 2 7 4" xfId="14439" xr:uid="{00000000-0005-0000-0000-000041640000}"/>
    <cellStyle name="40 % - Markeringsfarve3 3 2 7 4 2" xfId="30718" xr:uid="{00000000-0005-0000-0000-000042640000}"/>
    <cellStyle name="40 % - Markeringsfarve3 3 2 7 4 3" xfId="45678" xr:uid="{00000000-0005-0000-0000-000043640000}"/>
    <cellStyle name="40 % - Markeringsfarve3 3 2 7 5" xfId="23716" xr:uid="{00000000-0005-0000-0000-000044640000}"/>
    <cellStyle name="40 % - Markeringsfarve3 3 2 7 6" xfId="38681" xr:uid="{00000000-0005-0000-0000-000045640000}"/>
    <cellStyle name="40 % - Markeringsfarve3 3 2 8" xfId="5956" xr:uid="{00000000-0005-0000-0000-000046640000}"/>
    <cellStyle name="40 % - Markeringsfarve3 3 2 8 2" xfId="8981" xr:uid="{00000000-0005-0000-0000-000047640000}"/>
    <cellStyle name="40 % - Markeringsfarve3 3 2 8 2 2" xfId="16845" xr:uid="{00000000-0005-0000-0000-000048640000}"/>
    <cellStyle name="40 % - Markeringsfarve3 3 2 8 2 2 2" xfId="33121" xr:uid="{00000000-0005-0000-0000-000049640000}"/>
    <cellStyle name="40 % - Markeringsfarve3 3 2 8 2 2 3" xfId="48080" xr:uid="{00000000-0005-0000-0000-00004A640000}"/>
    <cellStyle name="40 % - Markeringsfarve3 3 2 8 2 3" xfId="26119" xr:uid="{00000000-0005-0000-0000-00004B640000}"/>
    <cellStyle name="40 % - Markeringsfarve3 3 2 8 2 4" xfId="41083" xr:uid="{00000000-0005-0000-0000-00004C640000}"/>
    <cellStyle name="40 % - Markeringsfarve3 3 2 8 3" xfId="14441" xr:uid="{00000000-0005-0000-0000-00004D640000}"/>
    <cellStyle name="40 % - Markeringsfarve3 3 2 8 3 2" xfId="30720" xr:uid="{00000000-0005-0000-0000-00004E640000}"/>
    <cellStyle name="40 % - Markeringsfarve3 3 2 8 3 3" xfId="45680" xr:uid="{00000000-0005-0000-0000-00004F640000}"/>
    <cellStyle name="40 % - Markeringsfarve3 3 2 8 4" xfId="23718" xr:uid="{00000000-0005-0000-0000-000050640000}"/>
    <cellStyle name="40 % - Markeringsfarve3 3 2 8 5" xfId="38683" xr:uid="{00000000-0005-0000-0000-000051640000}"/>
    <cellStyle name="40 % - Markeringsfarve3 3 2 9" xfId="5957" xr:uid="{00000000-0005-0000-0000-000052640000}"/>
    <cellStyle name="40 % - Markeringsfarve3 3 2 9 2" xfId="10670" xr:uid="{00000000-0005-0000-0000-000053640000}"/>
    <cellStyle name="40 % - Markeringsfarve3 3 2 9 2 2" xfId="18516" xr:uid="{00000000-0005-0000-0000-000054640000}"/>
    <cellStyle name="40 % - Markeringsfarve3 3 2 9 2 2 2" xfId="34792" xr:uid="{00000000-0005-0000-0000-000055640000}"/>
    <cellStyle name="40 % - Markeringsfarve3 3 2 9 2 2 3" xfId="49751" xr:uid="{00000000-0005-0000-0000-000056640000}"/>
    <cellStyle name="40 % - Markeringsfarve3 3 2 9 2 3" xfId="27790" xr:uid="{00000000-0005-0000-0000-000057640000}"/>
    <cellStyle name="40 % - Markeringsfarve3 3 2 9 2 4" xfId="42754" xr:uid="{00000000-0005-0000-0000-000058640000}"/>
    <cellStyle name="40 % - Markeringsfarve3 3 2 9 3" xfId="14442" xr:uid="{00000000-0005-0000-0000-000059640000}"/>
    <cellStyle name="40 % - Markeringsfarve3 3 2 9 3 2" xfId="30721" xr:uid="{00000000-0005-0000-0000-00005A640000}"/>
    <cellStyle name="40 % - Markeringsfarve3 3 2 9 3 3" xfId="45681" xr:uid="{00000000-0005-0000-0000-00005B640000}"/>
    <cellStyle name="40 % - Markeringsfarve3 3 2 9 4" xfId="23719" xr:uid="{00000000-0005-0000-0000-00005C640000}"/>
    <cellStyle name="40 % - Markeringsfarve3 3 2 9 5" xfId="38684" xr:uid="{00000000-0005-0000-0000-00005D640000}"/>
    <cellStyle name="40 % - Markeringsfarve3 3 3" xfId="5958" xr:uid="{00000000-0005-0000-0000-00005E640000}"/>
    <cellStyle name="40 % - Markeringsfarve3 3 3 10" xfId="8097" xr:uid="{00000000-0005-0000-0000-00005F640000}"/>
    <cellStyle name="40 % - Markeringsfarve3 3 3 10 2" xfId="15962" xr:uid="{00000000-0005-0000-0000-000060640000}"/>
    <cellStyle name="40 % - Markeringsfarve3 3 3 10 2 2" xfId="32238" xr:uid="{00000000-0005-0000-0000-000061640000}"/>
    <cellStyle name="40 % - Markeringsfarve3 3 3 10 2 3" xfId="47197" xr:uid="{00000000-0005-0000-0000-000062640000}"/>
    <cellStyle name="40 % - Markeringsfarve3 3 3 10 3" xfId="25236" xr:uid="{00000000-0005-0000-0000-000063640000}"/>
    <cellStyle name="40 % - Markeringsfarve3 3 3 10 4" xfId="40200" xr:uid="{00000000-0005-0000-0000-000064640000}"/>
    <cellStyle name="40 % - Markeringsfarve3 3 3 11" xfId="14443" xr:uid="{00000000-0005-0000-0000-000065640000}"/>
    <cellStyle name="40 % - Markeringsfarve3 3 3 11 2" xfId="30722" xr:uid="{00000000-0005-0000-0000-000066640000}"/>
    <cellStyle name="40 % - Markeringsfarve3 3 3 11 3" xfId="45682" xr:uid="{00000000-0005-0000-0000-000067640000}"/>
    <cellStyle name="40 % - Markeringsfarve3 3 3 12" xfId="23720" xr:uid="{00000000-0005-0000-0000-000068640000}"/>
    <cellStyle name="40 % - Markeringsfarve3 3 3 13" xfId="38685" xr:uid="{00000000-0005-0000-0000-000069640000}"/>
    <cellStyle name="40 % - Markeringsfarve3 3 3 2" xfId="5959" xr:uid="{00000000-0005-0000-0000-00006A640000}"/>
    <cellStyle name="40 % - Markeringsfarve3 3 3 2 2" xfId="5960" xr:uid="{00000000-0005-0000-0000-00006B640000}"/>
    <cellStyle name="40 % - Markeringsfarve3 3 3 2 2 2" xfId="5961" xr:uid="{00000000-0005-0000-0000-00006C640000}"/>
    <cellStyle name="40 % - Markeringsfarve3 3 3 2 2 2 2" xfId="9910" xr:uid="{00000000-0005-0000-0000-00006D640000}"/>
    <cellStyle name="40 % - Markeringsfarve3 3 3 2 2 2 2 2" xfId="17765" xr:uid="{00000000-0005-0000-0000-00006E640000}"/>
    <cellStyle name="40 % - Markeringsfarve3 3 3 2 2 2 2 2 2" xfId="34041" xr:uid="{00000000-0005-0000-0000-00006F640000}"/>
    <cellStyle name="40 % - Markeringsfarve3 3 3 2 2 2 2 2 3" xfId="49000" xr:uid="{00000000-0005-0000-0000-000070640000}"/>
    <cellStyle name="40 % - Markeringsfarve3 3 3 2 2 2 2 3" xfId="27039" xr:uid="{00000000-0005-0000-0000-000071640000}"/>
    <cellStyle name="40 % - Markeringsfarve3 3 3 2 2 2 2 4" xfId="42003" xr:uid="{00000000-0005-0000-0000-000072640000}"/>
    <cellStyle name="40 % - Markeringsfarve3 3 3 2 2 2 3" xfId="14446" xr:uid="{00000000-0005-0000-0000-000073640000}"/>
    <cellStyle name="40 % - Markeringsfarve3 3 3 2 2 2 3 2" xfId="30725" xr:uid="{00000000-0005-0000-0000-000074640000}"/>
    <cellStyle name="40 % - Markeringsfarve3 3 3 2 2 2 3 3" xfId="45685" xr:uid="{00000000-0005-0000-0000-000075640000}"/>
    <cellStyle name="40 % - Markeringsfarve3 3 3 2 2 2 4" xfId="23723" xr:uid="{00000000-0005-0000-0000-000076640000}"/>
    <cellStyle name="40 % - Markeringsfarve3 3 3 2 2 2 5" xfId="38688" xr:uid="{00000000-0005-0000-0000-000077640000}"/>
    <cellStyle name="40 % - Markeringsfarve3 3 3 2 2 3" xfId="8479" xr:uid="{00000000-0005-0000-0000-000078640000}"/>
    <cellStyle name="40 % - Markeringsfarve3 3 3 2 2 3 2" xfId="16349" xr:uid="{00000000-0005-0000-0000-000079640000}"/>
    <cellStyle name="40 % - Markeringsfarve3 3 3 2 2 3 2 2" xfId="32625" xr:uid="{00000000-0005-0000-0000-00007A640000}"/>
    <cellStyle name="40 % - Markeringsfarve3 3 3 2 2 3 2 3" xfId="47584" xr:uid="{00000000-0005-0000-0000-00007B640000}"/>
    <cellStyle name="40 % - Markeringsfarve3 3 3 2 2 3 3" xfId="25623" xr:uid="{00000000-0005-0000-0000-00007C640000}"/>
    <cellStyle name="40 % - Markeringsfarve3 3 3 2 2 3 4" xfId="40587" xr:uid="{00000000-0005-0000-0000-00007D640000}"/>
    <cellStyle name="40 % - Markeringsfarve3 3 3 2 2 4" xfId="14445" xr:uid="{00000000-0005-0000-0000-00007E640000}"/>
    <cellStyle name="40 % - Markeringsfarve3 3 3 2 2 4 2" xfId="30724" xr:uid="{00000000-0005-0000-0000-00007F640000}"/>
    <cellStyle name="40 % - Markeringsfarve3 3 3 2 2 4 3" xfId="45684" xr:uid="{00000000-0005-0000-0000-000080640000}"/>
    <cellStyle name="40 % - Markeringsfarve3 3 3 2 2 5" xfId="23722" xr:uid="{00000000-0005-0000-0000-000081640000}"/>
    <cellStyle name="40 % - Markeringsfarve3 3 3 2 2 6" xfId="38687" xr:uid="{00000000-0005-0000-0000-000082640000}"/>
    <cellStyle name="40 % - Markeringsfarve3 3 3 2 3" xfId="5962" xr:uid="{00000000-0005-0000-0000-000083640000}"/>
    <cellStyle name="40 % - Markeringsfarve3 3 3 2 3 2" xfId="9141" xr:uid="{00000000-0005-0000-0000-000084640000}"/>
    <cellStyle name="40 % - Markeringsfarve3 3 3 2 3 2 2" xfId="17005" xr:uid="{00000000-0005-0000-0000-000085640000}"/>
    <cellStyle name="40 % - Markeringsfarve3 3 3 2 3 2 2 2" xfId="33281" xr:uid="{00000000-0005-0000-0000-000086640000}"/>
    <cellStyle name="40 % - Markeringsfarve3 3 3 2 3 2 2 3" xfId="48240" xr:uid="{00000000-0005-0000-0000-000087640000}"/>
    <cellStyle name="40 % - Markeringsfarve3 3 3 2 3 2 3" xfId="26279" xr:uid="{00000000-0005-0000-0000-000088640000}"/>
    <cellStyle name="40 % - Markeringsfarve3 3 3 2 3 2 4" xfId="41243" xr:uid="{00000000-0005-0000-0000-000089640000}"/>
    <cellStyle name="40 % - Markeringsfarve3 3 3 2 3 3" xfId="14447" xr:uid="{00000000-0005-0000-0000-00008A640000}"/>
    <cellStyle name="40 % - Markeringsfarve3 3 3 2 3 3 2" xfId="30726" xr:uid="{00000000-0005-0000-0000-00008B640000}"/>
    <cellStyle name="40 % - Markeringsfarve3 3 3 2 3 3 3" xfId="45686" xr:uid="{00000000-0005-0000-0000-00008C640000}"/>
    <cellStyle name="40 % - Markeringsfarve3 3 3 2 3 4" xfId="23724" xr:uid="{00000000-0005-0000-0000-00008D640000}"/>
    <cellStyle name="40 % - Markeringsfarve3 3 3 2 3 5" xfId="38689" xr:uid="{00000000-0005-0000-0000-00008E640000}"/>
    <cellStyle name="40 % - Markeringsfarve3 3 3 2 4" xfId="5963" xr:uid="{00000000-0005-0000-0000-00008F640000}"/>
    <cellStyle name="40 % - Markeringsfarve3 3 3 2 4 2" xfId="10419" xr:uid="{00000000-0005-0000-0000-000090640000}"/>
    <cellStyle name="40 % - Markeringsfarve3 3 3 2 4 2 2" xfId="18271" xr:uid="{00000000-0005-0000-0000-000091640000}"/>
    <cellStyle name="40 % - Markeringsfarve3 3 3 2 4 2 2 2" xfId="34547" xr:uid="{00000000-0005-0000-0000-000092640000}"/>
    <cellStyle name="40 % - Markeringsfarve3 3 3 2 4 2 2 3" xfId="49506" xr:uid="{00000000-0005-0000-0000-000093640000}"/>
    <cellStyle name="40 % - Markeringsfarve3 3 3 2 4 2 3" xfId="27545" xr:uid="{00000000-0005-0000-0000-000094640000}"/>
    <cellStyle name="40 % - Markeringsfarve3 3 3 2 4 2 4" xfId="42509" xr:uid="{00000000-0005-0000-0000-000095640000}"/>
    <cellStyle name="40 % - Markeringsfarve3 3 3 2 4 3" xfId="14448" xr:uid="{00000000-0005-0000-0000-000096640000}"/>
    <cellStyle name="40 % - Markeringsfarve3 3 3 2 4 3 2" xfId="30727" xr:uid="{00000000-0005-0000-0000-000097640000}"/>
    <cellStyle name="40 % - Markeringsfarve3 3 3 2 4 3 3" xfId="45687" xr:uid="{00000000-0005-0000-0000-000098640000}"/>
    <cellStyle name="40 % - Markeringsfarve3 3 3 2 4 4" xfId="23725" xr:uid="{00000000-0005-0000-0000-000099640000}"/>
    <cellStyle name="40 % - Markeringsfarve3 3 3 2 4 5" xfId="38690" xr:uid="{00000000-0005-0000-0000-00009A640000}"/>
    <cellStyle name="40 % - Markeringsfarve3 3 3 2 5" xfId="8098" xr:uid="{00000000-0005-0000-0000-00009B640000}"/>
    <cellStyle name="40 % - Markeringsfarve3 3 3 2 5 2" xfId="15963" xr:uid="{00000000-0005-0000-0000-00009C640000}"/>
    <cellStyle name="40 % - Markeringsfarve3 3 3 2 5 2 2" xfId="32239" xr:uid="{00000000-0005-0000-0000-00009D640000}"/>
    <cellStyle name="40 % - Markeringsfarve3 3 3 2 5 2 3" xfId="47198" xr:uid="{00000000-0005-0000-0000-00009E640000}"/>
    <cellStyle name="40 % - Markeringsfarve3 3 3 2 5 3" xfId="25237" xr:uid="{00000000-0005-0000-0000-00009F640000}"/>
    <cellStyle name="40 % - Markeringsfarve3 3 3 2 5 4" xfId="40201" xr:uid="{00000000-0005-0000-0000-0000A0640000}"/>
    <cellStyle name="40 % - Markeringsfarve3 3 3 2 6" xfId="14444" xr:uid="{00000000-0005-0000-0000-0000A1640000}"/>
    <cellStyle name="40 % - Markeringsfarve3 3 3 2 6 2" xfId="30723" xr:uid="{00000000-0005-0000-0000-0000A2640000}"/>
    <cellStyle name="40 % - Markeringsfarve3 3 3 2 6 3" xfId="45683" xr:uid="{00000000-0005-0000-0000-0000A3640000}"/>
    <cellStyle name="40 % - Markeringsfarve3 3 3 2 7" xfId="23721" xr:uid="{00000000-0005-0000-0000-0000A4640000}"/>
    <cellStyle name="40 % - Markeringsfarve3 3 3 2 8" xfId="38686" xr:uid="{00000000-0005-0000-0000-0000A5640000}"/>
    <cellStyle name="40 % - Markeringsfarve3 3 3 3" xfId="5964" xr:uid="{00000000-0005-0000-0000-0000A6640000}"/>
    <cellStyle name="40 % - Markeringsfarve3 3 3 3 2" xfId="5965" xr:uid="{00000000-0005-0000-0000-0000A7640000}"/>
    <cellStyle name="40 % - Markeringsfarve3 3 3 3 2 2" xfId="5966" xr:uid="{00000000-0005-0000-0000-0000A8640000}"/>
    <cellStyle name="40 % - Markeringsfarve3 3 3 3 2 2 2" xfId="10008" xr:uid="{00000000-0005-0000-0000-0000A9640000}"/>
    <cellStyle name="40 % - Markeringsfarve3 3 3 3 2 2 2 2" xfId="17863" xr:uid="{00000000-0005-0000-0000-0000AA640000}"/>
    <cellStyle name="40 % - Markeringsfarve3 3 3 3 2 2 2 2 2" xfId="34139" xr:uid="{00000000-0005-0000-0000-0000AB640000}"/>
    <cellStyle name="40 % - Markeringsfarve3 3 3 3 2 2 2 2 3" xfId="49098" xr:uid="{00000000-0005-0000-0000-0000AC640000}"/>
    <cellStyle name="40 % - Markeringsfarve3 3 3 3 2 2 2 3" xfId="27137" xr:uid="{00000000-0005-0000-0000-0000AD640000}"/>
    <cellStyle name="40 % - Markeringsfarve3 3 3 3 2 2 2 4" xfId="42101" xr:uid="{00000000-0005-0000-0000-0000AE640000}"/>
    <cellStyle name="40 % - Markeringsfarve3 3 3 3 2 2 3" xfId="14451" xr:uid="{00000000-0005-0000-0000-0000AF640000}"/>
    <cellStyle name="40 % - Markeringsfarve3 3 3 3 2 2 3 2" xfId="30730" xr:uid="{00000000-0005-0000-0000-0000B0640000}"/>
    <cellStyle name="40 % - Markeringsfarve3 3 3 3 2 2 3 3" xfId="45690" xr:uid="{00000000-0005-0000-0000-0000B1640000}"/>
    <cellStyle name="40 % - Markeringsfarve3 3 3 3 2 2 4" xfId="23728" xr:uid="{00000000-0005-0000-0000-0000B2640000}"/>
    <cellStyle name="40 % - Markeringsfarve3 3 3 3 2 2 5" xfId="38693" xr:uid="{00000000-0005-0000-0000-0000B3640000}"/>
    <cellStyle name="40 % - Markeringsfarve3 3 3 3 2 3" xfId="8555" xr:uid="{00000000-0005-0000-0000-0000B4640000}"/>
    <cellStyle name="40 % - Markeringsfarve3 3 3 3 2 3 2" xfId="16425" xr:uid="{00000000-0005-0000-0000-0000B5640000}"/>
    <cellStyle name="40 % - Markeringsfarve3 3 3 3 2 3 2 2" xfId="32701" xr:uid="{00000000-0005-0000-0000-0000B6640000}"/>
    <cellStyle name="40 % - Markeringsfarve3 3 3 3 2 3 2 3" xfId="47660" xr:uid="{00000000-0005-0000-0000-0000B7640000}"/>
    <cellStyle name="40 % - Markeringsfarve3 3 3 3 2 3 3" xfId="25699" xr:uid="{00000000-0005-0000-0000-0000B8640000}"/>
    <cellStyle name="40 % - Markeringsfarve3 3 3 3 2 3 4" xfId="40663" xr:uid="{00000000-0005-0000-0000-0000B9640000}"/>
    <cellStyle name="40 % - Markeringsfarve3 3 3 3 2 4" xfId="14450" xr:uid="{00000000-0005-0000-0000-0000BA640000}"/>
    <cellStyle name="40 % - Markeringsfarve3 3 3 3 2 4 2" xfId="30729" xr:uid="{00000000-0005-0000-0000-0000BB640000}"/>
    <cellStyle name="40 % - Markeringsfarve3 3 3 3 2 4 3" xfId="45689" xr:uid="{00000000-0005-0000-0000-0000BC640000}"/>
    <cellStyle name="40 % - Markeringsfarve3 3 3 3 2 5" xfId="23727" xr:uid="{00000000-0005-0000-0000-0000BD640000}"/>
    <cellStyle name="40 % - Markeringsfarve3 3 3 3 2 6" xfId="38692" xr:uid="{00000000-0005-0000-0000-0000BE640000}"/>
    <cellStyle name="40 % - Markeringsfarve3 3 3 3 3" xfId="5967" xr:uid="{00000000-0005-0000-0000-0000BF640000}"/>
    <cellStyle name="40 % - Markeringsfarve3 3 3 3 3 2" xfId="9239" xr:uid="{00000000-0005-0000-0000-0000C0640000}"/>
    <cellStyle name="40 % - Markeringsfarve3 3 3 3 3 2 2" xfId="17103" xr:uid="{00000000-0005-0000-0000-0000C1640000}"/>
    <cellStyle name="40 % - Markeringsfarve3 3 3 3 3 2 2 2" xfId="33379" xr:uid="{00000000-0005-0000-0000-0000C2640000}"/>
    <cellStyle name="40 % - Markeringsfarve3 3 3 3 3 2 2 3" xfId="48338" xr:uid="{00000000-0005-0000-0000-0000C3640000}"/>
    <cellStyle name="40 % - Markeringsfarve3 3 3 3 3 2 3" xfId="26377" xr:uid="{00000000-0005-0000-0000-0000C4640000}"/>
    <cellStyle name="40 % - Markeringsfarve3 3 3 3 3 2 4" xfId="41341" xr:uid="{00000000-0005-0000-0000-0000C5640000}"/>
    <cellStyle name="40 % - Markeringsfarve3 3 3 3 3 3" xfId="14452" xr:uid="{00000000-0005-0000-0000-0000C6640000}"/>
    <cellStyle name="40 % - Markeringsfarve3 3 3 3 3 3 2" xfId="30731" xr:uid="{00000000-0005-0000-0000-0000C7640000}"/>
    <cellStyle name="40 % - Markeringsfarve3 3 3 3 3 3 3" xfId="45691" xr:uid="{00000000-0005-0000-0000-0000C8640000}"/>
    <cellStyle name="40 % - Markeringsfarve3 3 3 3 3 4" xfId="23729" xr:uid="{00000000-0005-0000-0000-0000C9640000}"/>
    <cellStyle name="40 % - Markeringsfarve3 3 3 3 3 5" xfId="38694" xr:uid="{00000000-0005-0000-0000-0000CA640000}"/>
    <cellStyle name="40 % - Markeringsfarve3 3 3 3 4" xfId="5968" xr:uid="{00000000-0005-0000-0000-0000CB640000}"/>
    <cellStyle name="40 % - Markeringsfarve3 3 3 3 4 2" xfId="10760" xr:uid="{00000000-0005-0000-0000-0000CC640000}"/>
    <cellStyle name="40 % - Markeringsfarve3 3 3 3 4 2 2" xfId="18603" xr:uid="{00000000-0005-0000-0000-0000CD640000}"/>
    <cellStyle name="40 % - Markeringsfarve3 3 3 3 4 2 2 2" xfId="34879" xr:uid="{00000000-0005-0000-0000-0000CE640000}"/>
    <cellStyle name="40 % - Markeringsfarve3 3 3 3 4 2 2 3" xfId="49838" xr:uid="{00000000-0005-0000-0000-0000CF640000}"/>
    <cellStyle name="40 % - Markeringsfarve3 3 3 3 4 2 3" xfId="27877" xr:uid="{00000000-0005-0000-0000-0000D0640000}"/>
    <cellStyle name="40 % - Markeringsfarve3 3 3 3 4 2 4" xfId="42841" xr:uid="{00000000-0005-0000-0000-0000D1640000}"/>
    <cellStyle name="40 % - Markeringsfarve3 3 3 3 4 3" xfId="14453" xr:uid="{00000000-0005-0000-0000-0000D2640000}"/>
    <cellStyle name="40 % - Markeringsfarve3 3 3 3 4 3 2" xfId="30732" xr:uid="{00000000-0005-0000-0000-0000D3640000}"/>
    <cellStyle name="40 % - Markeringsfarve3 3 3 3 4 3 3" xfId="45692" xr:uid="{00000000-0005-0000-0000-0000D4640000}"/>
    <cellStyle name="40 % - Markeringsfarve3 3 3 3 4 4" xfId="23730" xr:uid="{00000000-0005-0000-0000-0000D5640000}"/>
    <cellStyle name="40 % - Markeringsfarve3 3 3 3 4 5" xfId="38695" xr:uid="{00000000-0005-0000-0000-0000D6640000}"/>
    <cellStyle name="40 % - Markeringsfarve3 3 3 3 5" xfId="8099" xr:uid="{00000000-0005-0000-0000-0000D7640000}"/>
    <cellStyle name="40 % - Markeringsfarve3 3 3 3 5 2" xfId="15964" xr:uid="{00000000-0005-0000-0000-0000D8640000}"/>
    <cellStyle name="40 % - Markeringsfarve3 3 3 3 5 2 2" xfId="32240" xr:uid="{00000000-0005-0000-0000-0000D9640000}"/>
    <cellStyle name="40 % - Markeringsfarve3 3 3 3 5 2 3" xfId="47199" xr:uid="{00000000-0005-0000-0000-0000DA640000}"/>
    <cellStyle name="40 % - Markeringsfarve3 3 3 3 5 3" xfId="25238" xr:uid="{00000000-0005-0000-0000-0000DB640000}"/>
    <cellStyle name="40 % - Markeringsfarve3 3 3 3 5 4" xfId="40202" xr:uid="{00000000-0005-0000-0000-0000DC640000}"/>
    <cellStyle name="40 % - Markeringsfarve3 3 3 3 6" xfId="14449" xr:uid="{00000000-0005-0000-0000-0000DD640000}"/>
    <cellStyle name="40 % - Markeringsfarve3 3 3 3 6 2" xfId="30728" xr:uid="{00000000-0005-0000-0000-0000DE640000}"/>
    <cellStyle name="40 % - Markeringsfarve3 3 3 3 6 3" xfId="45688" xr:uid="{00000000-0005-0000-0000-0000DF640000}"/>
    <cellStyle name="40 % - Markeringsfarve3 3 3 3 7" xfId="23726" xr:uid="{00000000-0005-0000-0000-0000E0640000}"/>
    <cellStyle name="40 % - Markeringsfarve3 3 3 3 8" xfId="38691" xr:uid="{00000000-0005-0000-0000-0000E1640000}"/>
    <cellStyle name="40 % - Markeringsfarve3 3 3 4" xfId="5969" xr:uid="{00000000-0005-0000-0000-0000E2640000}"/>
    <cellStyle name="40 % - Markeringsfarve3 3 3 4 2" xfId="5970" xr:uid="{00000000-0005-0000-0000-0000E3640000}"/>
    <cellStyle name="40 % - Markeringsfarve3 3 3 4 2 2" xfId="5971" xr:uid="{00000000-0005-0000-0000-0000E4640000}"/>
    <cellStyle name="40 % - Markeringsfarve3 3 3 4 2 2 2" xfId="10148" xr:uid="{00000000-0005-0000-0000-0000E5640000}"/>
    <cellStyle name="40 % - Markeringsfarve3 3 3 4 2 2 2 2" xfId="18003" xr:uid="{00000000-0005-0000-0000-0000E6640000}"/>
    <cellStyle name="40 % - Markeringsfarve3 3 3 4 2 2 2 2 2" xfId="34279" xr:uid="{00000000-0005-0000-0000-0000E7640000}"/>
    <cellStyle name="40 % - Markeringsfarve3 3 3 4 2 2 2 2 3" xfId="49238" xr:uid="{00000000-0005-0000-0000-0000E8640000}"/>
    <cellStyle name="40 % - Markeringsfarve3 3 3 4 2 2 2 3" xfId="27277" xr:uid="{00000000-0005-0000-0000-0000E9640000}"/>
    <cellStyle name="40 % - Markeringsfarve3 3 3 4 2 2 2 4" xfId="42241" xr:uid="{00000000-0005-0000-0000-0000EA640000}"/>
    <cellStyle name="40 % - Markeringsfarve3 3 3 4 2 2 3" xfId="14456" xr:uid="{00000000-0005-0000-0000-0000EB640000}"/>
    <cellStyle name="40 % - Markeringsfarve3 3 3 4 2 2 3 2" xfId="30735" xr:uid="{00000000-0005-0000-0000-0000EC640000}"/>
    <cellStyle name="40 % - Markeringsfarve3 3 3 4 2 2 3 3" xfId="45695" xr:uid="{00000000-0005-0000-0000-0000ED640000}"/>
    <cellStyle name="40 % - Markeringsfarve3 3 3 4 2 2 4" xfId="23733" xr:uid="{00000000-0005-0000-0000-0000EE640000}"/>
    <cellStyle name="40 % - Markeringsfarve3 3 3 4 2 2 5" xfId="38698" xr:uid="{00000000-0005-0000-0000-0000EF640000}"/>
    <cellStyle name="40 % - Markeringsfarve3 3 3 4 2 3" xfId="8681" xr:uid="{00000000-0005-0000-0000-0000F0640000}"/>
    <cellStyle name="40 % - Markeringsfarve3 3 3 4 2 3 2" xfId="16548" xr:uid="{00000000-0005-0000-0000-0000F1640000}"/>
    <cellStyle name="40 % - Markeringsfarve3 3 3 4 2 3 2 2" xfId="32824" xr:uid="{00000000-0005-0000-0000-0000F2640000}"/>
    <cellStyle name="40 % - Markeringsfarve3 3 3 4 2 3 2 3" xfId="47783" xr:uid="{00000000-0005-0000-0000-0000F3640000}"/>
    <cellStyle name="40 % - Markeringsfarve3 3 3 4 2 3 3" xfId="25822" xr:uid="{00000000-0005-0000-0000-0000F4640000}"/>
    <cellStyle name="40 % - Markeringsfarve3 3 3 4 2 3 4" xfId="40786" xr:uid="{00000000-0005-0000-0000-0000F5640000}"/>
    <cellStyle name="40 % - Markeringsfarve3 3 3 4 2 4" xfId="14455" xr:uid="{00000000-0005-0000-0000-0000F6640000}"/>
    <cellStyle name="40 % - Markeringsfarve3 3 3 4 2 4 2" xfId="30734" xr:uid="{00000000-0005-0000-0000-0000F7640000}"/>
    <cellStyle name="40 % - Markeringsfarve3 3 3 4 2 4 3" xfId="45694" xr:uid="{00000000-0005-0000-0000-0000F8640000}"/>
    <cellStyle name="40 % - Markeringsfarve3 3 3 4 2 5" xfId="23732" xr:uid="{00000000-0005-0000-0000-0000F9640000}"/>
    <cellStyle name="40 % - Markeringsfarve3 3 3 4 2 6" xfId="38697" xr:uid="{00000000-0005-0000-0000-0000FA640000}"/>
    <cellStyle name="40 % - Markeringsfarve3 3 3 4 3" xfId="5972" xr:uid="{00000000-0005-0000-0000-0000FB640000}"/>
    <cellStyle name="40 % - Markeringsfarve3 3 3 4 3 2" xfId="9425" xr:uid="{00000000-0005-0000-0000-0000FC640000}"/>
    <cellStyle name="40 % - Markeringsfarve3 3 3 4 3 2 2" xfId="17288" xr:uid="{00000000-0005-0000-0000-0000FD640000}"/>
    <cellStyle name="40 % - Markeringsfarve3 3 3 4 3 2 2 2" xfId="33564" xr:uid="{00000000-0005-0000-0000-0000FE640000}"/>
    <cellStyle name="40 % - Markeringsfarve3 3 3 4 3 2 2 3" xfId="48523" xr:uid="{00000000-0005-0000-0000-0000FF640000}"/>
    <cellStyle name="40 % - Markeringsfarve3 3 3 4 3 2 3" xfId="26562" xr:uid="{00000000-0005-0000-0000-000000650000}"/>
    <cellStyle name="40 % - Markeringsfarve3 3 3 4 3 2 4" xfId="41526" xr:uid="{00000000-0005-0000-0000-000001650000}"/>
    <cellStyle name="40 % - Markeringsfarve3 3 3 4 3 3" xfId="14457" xr:uid="{00000000-0005-0000-0000-000002650000}"/>
    <cellStyle name="40 % - Markeringsfarve3 3 3 4 3 3 2" xfId="30736" xr:uid="{00000000-0005-0000-0000-000003650000}"/>
    <cellStyle name="40 % - Markeringsfarve3 3 3 4 3 3 3" xfId="45696" xr:uid="{00000000-0005-0000-0000-000004650000}"/>
    <cellStyle name="40 % - Markeringsfarve3 3 3 4 3 4" xfId="23734" xr:uid="{00000000-0005-0000-0000-000005650000}"/>
    <cellStyle name="40 % - Markeringsfarve3 3 3 4 3 5" xfId="38699" xr:uid="{00000000-0005-0000-0000-000006650000}"/>
    <cellStyle name="40 % - Markeringsfarve3 3 3 4 4" xfId="5973" xr:uid="{00000000-0005-0000-0000-000007650000}"/>
    <cellStyle name="40 % - Markeringsfarve3 3 3 4 4 2" xfId="10977" xr:uid="{00000000-0005-0000-0000-000008650000}"/>
    <cellStyle name="40 % - Markeringsfarve3 3 3 4 4 2 2" xfId="18808" xr:uid="{00000000-0005-0000-0000-000009650000}"/>
    <cellStyle name="40 % - Markeringsfarve3 3 3 4 4 2 2 2" xfId="35084" xr:uid="{00000000-0005-0000-0000-00000A650000}"/>
    <cellStyle name="40 % - Markeringsfarve3 3 3 4 4 2 2 3" xfId="50043" xr:uid="{00000000-0005-0000-0000-00000B650000}"/>
    <cellStyle name="40 % - Markeringsfarve3 3 3 4 4 2 3" xfId="28082" xr:uid="{00000000-0005-0000-0000-00000C650000}"/>
    <cellStyle name="40 % - Markeringsfarve3 3 3 4 4 2 4" xfId="43046" xr:uid="{00000000-0005-0000-0000-00000D650000}"/>
    <cellStyle name="40 % - Markeringsfarve3 3 3 4 4 3" xfId="14458" xr:uid="{00000000-0005-0000-0000-00000E650000}"/>
    <cellStyle name="40 % - Markeringsfarve3 3 3 4 4 3 2" xfId="30737" xr:uid="{00000000-0005-0000-0000-00000F650000}"/>
    <cellStyle name="40 % - Markeringsfarve3 3 3 4 4 3 3" xfId="45697" xr:uid="{00000000-0005-0000-0000-000010650000}"/>
    <cellStyle name="40 % - Markeringsfarve3 3 3 4 4 4" xfId="23735" xr:uid="{00000000-0005-0000-0000-000011650000}"/>
    <cellStyle name="40 % - Markeringsfarve3 3 3 4 4 5" xfId="38700" xr:uid="{00000000-0005-0000-0000-000012650000}"/>
    <cellStyle name="40 % - Markeringsfarve3 3 3 4 5" xfId="8100" xr:uid="{00000000-0005-0000-0000-000013650000}"/>
    <cellStyle name="40 % - Markeringsfarve3 3 3 4 5 2" xfId="15965" xr:uid="{00000000-0005-0000-0000-000014650000}"/>
    <cellStyle name="40 % - Markeringsfarve3 3 3 4 5 2 2" xfId="32241" xr:uid="{00000000-0005-0000-0000-000015650000}"/>
    <cellStyle name="40 % - Markeringsfarve3 3 3 4 5 2 3" xfId="47200" xr:uid="{00000000-0005-0000-0000-000016650000}"/>
    <cellStyle name="40 % - Markeringsfarve3 3 3 4 5 3" xfId="25239" xr:uid="{00000000-0005-0000-0000-000017650000}"/>
    <cellStyle name="40 % - Markeringsfarve3 3 3 4 5 4" xfId="40203" xr:uid="{00000000-0005-0000-0000-000018650000}"/>
    <cellStyle name="40 % - Markeringsfarve3 3 3 4 6" xfId="14454" xr:uid="{00000000-0005-0000-0000-000019650000}"/>
    <cellStyle name="40 % - Markeringsfarve3 3 3 4 6 2" xfId="30733" xr:uid="{00000000-0005-0000-0000-00001A650000}"/>
    <cellStyle name="40 % - Markeringsfarve3 3 3 4 6 3" xfId="45693" xr:uid="{00000000-0005-0000-0000-00001B650000}"/>
    <cellStyle name="40 % - Markeringsfarve3 3 3 4 7" xfId="23731" xr:uid="{00000000-0005-0000-0000-00001C650000}"/>
    <cellStyle name="40 % - Markeringsfarve3 3 3 4 8" xfId="38696" xr:uid="{00000000-0005-0000-0000-00001D650000}"/>
    <cellStyle name="40 % - Markeringsfarve3 3 3 5" xfId="5974" xr:uid="{00000000-0005-0000-0000-00001E650000}"/>
    <cellStyle name="40 % - Markeringsfarve3 3 3 5 2" xfId="5975" xr:uid="{00000000-0005-0000-0000-00001F650000}"/>
    <cellStyle name="40 % - Markeringsfarve3 3 3 5 2 2" xfId="5976" xr:uid="{00000000-0005-0000-0000-000020650000}"/>
    <cellStyle name="40 % - Markeringsfarve3 3 3 5 2 2 2" xfId="10265" xr:uid="{00000000-0005-0000-0000-000021650000}"/>
    <cellStyle name="40 % - Markeringsfarve3 3 3 5 2 2 2 2" xfId="18120" xr:uid="{00000000-0005-0000-0000-000022650000}"/>
    <cellStyle name="40 % - Markeringsfarve3 3 3 5 2 2 2 2 2" xfId="34396" xr:uid="{00000000-0005-0000-0000-000023650000}"/>
    <cellStyle name="40 % - Markeringsfarve3 3 3 5 2 2 2 2 3" xfId="49355" xr:uid="{00000000-0005-0000-0000-000024650000}"/>
    <cellStyle name="40 % - Markeringsfarve3 3 3 5 2 2 2 3" xfId="27394" xr:uid="{00000000-0005-0000-0000-000025650000}"/>
    <cellStyle name="40 % - Markeringsfarve3 3 3 5 2 2 2 4" xfId="42358" xr:uid="{00000000-0005-0000-0000-000026650000}"/>
    <cellStyle name="40 % - Markeringsfarve3 3 3 5 2 2 3" xfId="14461" xr:uid="{00000000-0005-0000-0000-000027650000}"/>
    <cellStyle name="40 % - Markeringsfarve3 3 3 5 2 2 3 2" xfId="30740" xr:uid="{00000000-0005-0000-0000-000028650000}"/>
    <cellStyle name="40 % - Markeringsfarve3 3 3 5 2 2 3 3" xfId="45700" xr:uid="{00000000-0005-0000-0000-000029650000}"/>
    <cellStyle name="40 % - Markeringsfarve3 3 3 5 2 2 4" xfId="23738" xr:uid="{00000000-0005-0000-0000-00002A650000}"/>
    <cellStyle name="40 % - Markeringsfarve3 3 3 5 2 2 5" xfId="38703" xr:uid="{00000000-0005-0000-0000-00002B650000}"/>
    <cellStyle name="40 % - Markeringsfarve3 3 3 5 2 3" xfId="8780" xr:uid="{00000000-0005-0000-0000-00002C650000}"/>
    <cellStyle name="40 % - Markeringsfarve3 3 3 5 2 3 2" xfId="16647" xr:uid="{00000000-0005-0000-0000-00002D650000}"/>
    <cellStyle name="40 % - Markeringsfarve3 3 3 5 2 3 2 2" xfId="32923" xr:uid="{00000000-0005-0000-0000-00002E650000}"/>
    <cellStyle name="40 % - Markeringsfarve3 3 3 5 2 3 2 3" xfId="47882" xr:uid="{00000000-0005-0000-0000-00002F650000}"/>
    <cellStyle name="40 % - Markeringsfarve3 3 3 5 2 3 3" xfId="25921" xr:uid="{00000000-0005-0000-0000-000030650000}"/>
    <cellStyle name="40 % - Markeringsfarve3 3 3 5 2 3 4" xfId="40885" xr:uid="{00000000-0005-0000-0000-000031650000}"/>
    <cellStyle name="40 % - Markeringsfarve3 3 3 5 2 4" xfId="14460" xr:uid="{00000000-0005-0000-0000-000032650000}"/>
    <cellStyle name="40 % - Markeringsfarve3 3 3 5 2 4 2" xfId="30739" xr:uid="{00000000-0005-0000-0000-000033650000}"/>
    <cellStyle name="40 % - Markeringsfarve3 3 3 5 2 4 3" xfId="45699" xr:uid="{00000000-0005-0000-0000-000034650000}"/>
    <cellStyle name="40 % - Markeringsfarve3 3 3 5 2 5" xfId="23737" xr:uid="{00000000-0005-0000-0000-000035650000}"/>
    <cellStyle name="40 % - Markeringsfarve3 3 3 5 2 6" xfId="38702" xr:uid="{00000000-0005-0000-0000-000036650000}"/>
    <cellStyle name="40 % - Markeringsfarve3 3 3 5 3" xfId="5977" xr:uid="{00000000-0005-0000-0000-000037650000}"/>
    <cellStyle name="40 % - Markeringsfarve3 3 3 5 3 2" xfId="9542" xr:uid="{00000000-0005-0000-0000-000038650000}"/>
    <cellStyle name="40 % - Markeringsfarve3 3 3 5 3 2 2" xfId="17405" xr:uid="{00000000-0005-0000-0000-000039650000}"/>
    <cellStyle name="40 % - Markeringsfarve3 3 3 5 3 2 2 2" xfId="33681" xr:uid="{00000000-0005-0000-0000-00003A650000}"/>
    <cellStyle name="40 % - Markeringsfarve3 3 3 5 3 2 2 3" xfId="48640" xr:uid="{00000000-0005-0000-0000-00003B650000}"/>
    <cellStyle name="40 % - Markeringsfarve3 3 3 5 3 2 3" xfId="26679" xr:uid="{00000000-0005-0000-0000-00003C650000}"/>
    <cellStyle name="40 % - Markeringsfarve3 3 3 5 3 2 4" xfId="41643" xr:uid="{00000000-0005-0000-0000-00003D650000}"/>
    <cellStyle name="40 % - Markeringsfarve3 3 3 5 3 3" xfId="14462" xr:uid="{00000000-0005-0000-0000-00003E650000}"/>
    <cellStyle name="40 % - Markeringsfarve3 3 3 5 3 3 2" xfId="30741" xr:uid="{00000000-0005-0000-0000-00003F650000}"/>
    <cellStyle name="40 % - Markeringsfarve3 3 3 5 3 3 3" xfId="45701" xr:uid="{00000000-0005-0000-0000-000040650000}"/>
    <cellStyle name="40 % - Markeringsfarve3 3 3 5 3 4" xfId="23739" xr:uid="{00000000-0005-0000-0000-000041650000}"/>
    <cellStyle name="40 % - Markeringsfarve3 3 3 5 3 5" xfId="38704" xr:uid="{00000000-0005-0000-0000-000042650000}"/>
    <cellStyle name="40 % - Markeringsfarve3 3 3 5 4" xfId="5978" xr:uid="{00000000-0005-0000-0000-000043650000}"/>
    <cellStyle name="40 % - Markeringsfarve3 3 3 5 4 2" xfId="10697" xr:uid="{00000000-0005-0000-0000-000044650000}"/>
    <cellStyle name="40 % - Markeringsfarve3 3 3 5 4 2 2" xfId="18541" xr:uid="{00000000-0005-0000-0000-000045650000}"/>
    <cellStyle name="40 % - Markeringsfarve3 3 3 5 4 2 2 2" xfId="34817" xr:uid="{00000000-0005-0000-0000-000046650000}"/>
    <cellStyle name="40 % - Markeringsfarve3 3 3 5 4 2 2 3" xfId="49776" xr:uid="{00000000-0005-0000-0000-000047650000}"/>
    <cellStyle name="40 % - Markeringsfarve3 3 3 5 4 2 3" xfId="27815" xr:uid="{00000000-0005-0000-0000-000048650000}"/>
    <cellStyle name="40 % - Markeringsfarve3 3 3 5 4 2 4" xfId="42779" xr:uid="{00000000-0005-0000-0000-000049650000}"/>
    <cellStyle name="40 % - Markeringsfarve3 3 3 5 4 3" xfId="14463" xr:uid="{00000000-0005-0000-0000-00004A650000}"/>
    <cellStyle name="40 % - Markeringsfarve3 3 3 5 4 3 2" xfId="30742" xr:uid="{00000000-0005-0000-0000-00004B650000}"/>
    <cellStyle name="40 % - Markeringsfarve3 3 3 5 4 3 3" xfId="45702" xr:uid="{00000000-0005-0000-0000-00004C650000}"/>
    <cellStyle name="40 % - Markeringsfarve3 3 3 5 4 4" xfId="23740" xr:uid="{00000000-0005-0000-0000-00004D650000}"/>
    <cellStyle name="40 % - Markeringsfarve3 3 3 5 4 5" xfId="38705" xr:uid="{00000000-0005-0000-0000-00004E650000}"/>
    <cellStyle name="40 % - Markeringsfarve3 3 3 5 5" xfId="8101" xr:uid="{00000000-0005-0000-0000-00004F650000}"/>
    <cellStyle name="40 % - Markeringsfarve3 3 3 5 5 2" xfId="15966" xr:uid="{00000000-0005-0000-0000-000050650000}"/>
    <cellStyle name="40 % - Markeringsfarve3 3 3 5 5 2 2" xfId="32242" xr:uid="{00000000-0005-0000-0000-000051650000}"/>
    <cellStyle name="40 % - Markeringsfarve3 3 3 5 5 2 3" xfId="47201" xr:uid="{00000000-0005-0000-0000-000052650000}"/>
    <cellStyle name="40 % - Markeringsfarve3 3 3 5 5 3" xfId="25240" xr:uid="{00000000-0005-0000-0000-000053650000}"/>
    <cellStyle name="40 % - Markeringsfarve3 3 3 5 5 4" xfId="40204" xr:uid="{00000000-0005-0000-0000-000054650000}"/>
    <cellStyle name="40 % - Markeringsfarve3 3 3 5 6" xfId="14459" xr:uid="{00000000-0005-0000-0000-000055650000}"/>
    <cellStyle name="40 % - Markeringsfarve3 3 3 5 6 2" xfId="30738" xr:uid="{00000000-0005-0000-0000-000056650000}"/>
    <cellStyle name="40 % - Markeringsfarve3 3 3 5 6 3" xfId="45698" xr:uid="{00000000-0005-0000-0000-000057650000}"/>
    <cellStyle name="40 % - Markeringsfarve3 3 3 5 7" xfId="23736" xr:uid="{00000000-0005-0000-0000-000058650000}"/>
    <cellStyle name="40 % - Markeringsfarve3 3 3 5 8" xfId="38701" xr:uid="{00000000-0005-0000-0000-000059650000}"/>
    <cellStyle name="40 % - Markeringsfarve3 3 3 6" xfId="5979" xr:uid="{00000000-0005-0000-0000-00005A650000}"/>
    <cellStyle name="40 % - Markeringsfarve3 3 3 6 2" xfId="5980" xr:uid="{00000000-0005-0000-0000-00005B650000}"/>
    <cellStyle name="40 % - Markeringsfarve3 3 3 6 2 2" xfId="5981" xr:uid="{00000000-0005-0000-0000-00005C650000}"/>
    <cellStyle name="40 % - Markeringsfarve3 3 3 6 2 2 2" xfId="10363" xr:uid="{00000000-0005-0000-0000-00005D650000}"/>
    <cellStyle name="40 % - Markeringsfarve3 3 3 6 2 2 2 2" xfId="18218" xr:uid="{00000000-0005-0000-0000-00005E650000}"/>
    <cellStyle name="40 % - Markeringsfarve3 3 3 6 2 2 2 2 2" xfId="34494" xr:uid="{00000000-0005-0000-0000-00005F650000}"/>
    <cellStyle name="40 % - Markeringsfarve3 3 3 6 2 2 2 2 3" xfId="49453" xr:uid="{00000000-0005-0000-0000-000060650000}"/>
    <cellStyle name="40 % - Markeringsfarve3 3 3 6 2 2 2 3" xfId="27492" xr:uid="{00000000-0005-0000-0000-000061650000}"/>
    <cellStyle name="40 % - Markeringsfarve3 3 3 6 2 2 2 4" xfId="42456" xr:uid="{00000000-0005-0000-0000-000062650000}"/>
    <cellStyle name="40 % - Markeringsfarve3 3 3 6 2 2 3" xfId="14466" xr:uid="{00000000-0005-0000-0000-000063650000}"/>
    <cellStyle name="40 % - Markeringsfarve3 3 3 6 2 2 3 2" xfId="30745" xr:uid="{00000000-0005-0000-0000-000064650000}"/>
    <cellStyle name="40 % - Markeringsfarve3 3 3 6 2 2 3 3" xfId="45705" xr:uid="{00000000-0005-0000-0000-000065650000}"/>
    <cellStyle name="40 % - Markeringsfarve3 3 3 6 2 2 4" xfId="23743" xr:uid="{00000000-0005-0000-0000-000066650000}"/>
    <cellStyle name="40 % - Markeringsfarve3 3 3 6 2 2 5" xfId="38708" xr:uid="{00000000-0005-0000-0000-000067650000}"/>
    <cellStyle name="40 % - Markeringsfarve3 3 3 6 2 3" xfId="8857" xr:uid="{00000000-0005-0000-0000-000068650000}"/>
    <cellStyle name="40 % - Markeringsfarve3 3 3 6 2 3 2" xfId="16724" xr:uid="{00000000-0005-0000-0000-000069650000}"/>
    <cellStyle name="40 % - Markeringsfarve3 3 3 6 2 3 2 2" xfId="33000" xr:uid="{00000000-0005-0000-0000-00006A650000}"/>
    <cellStyle name="40 % - Markeringsfarve3 3 3 6 2 3 2 3" xfId="47959" xr:uid="{00000000-0005-0000-0000-00006B650000}"/>
    <cellStyle name="40 % - Markeringsfarve3 3 3 6 2 3 3" xfId="25998" xr:uid="{00000000-0005-0000-0000-00006C650000}"/>
    <cellStyle name="40 % - Markeringsfarve3 3 3 6 2 3 4" xfId="40962" xr:uid="{00000000-0005-0000-0000-00006D650000}"/>
    <cellStyle name="40 % - Markeringsfarve3 3 3 6 2 4" xfId="14465" xr:uid="{00000000-0005-0000-0000-00006E650000}"/>
    <cellStyle name="40 % - Markeringsfarve3 3 3 6 2 4 2" xfId="30744" xr:uid="{00000000-0005-0000-0000-00006F650000}"/>
    <cellStyle name="40 % - Markeringsfarve3 3 3 6 2 4 3" xfId="45704" xr:uid="{00000000-0005-0000-0000-000070650000}"/>
    <cellStyle name="40 % - Markeringsfarve3 3 3 6 2 5" xfId="23742" xr:uid="{00000000-0005-0000-0000-000071650000}"/>
    <cellStyle name="40 % - Markeringsfarve3 3 3 6 2 6" xfId="38707" xr:uid="{00000000-0005-0000-0000-000072650000}"/>
    <cellStyle name="40 % - Markeringsfarve3 3 3 6 3" xfId="5982" xr:uid="{00000000-0005-0000-0000-000073650000}"/>
    <cellStyle name="40 % - Markeringsfarve3 3 3 6 3 2" xfId="9641" xr:uid="{00000000-0005-0000-0000-000074650000}"/>
    <cellStyle name="40 % - Markeringsfarve3 3 3 6 3 2 2" xfId="17504" xr:uid="{00000000-0005-0000-0000-000075650000}"/>
    <cellStyle name="40 % - Markeringsfarve3 3 3 6 3 2 2 2" xfId="33780" xr:uid="{00000000-0005-0000-0000-000076650000}"/>
    <cellStyle name="40 % - Markeringsfarve3 3 3 6 3 2 2 3" xfId="48739" xr:uid="{00000000-0005-0000-0000-000077650000}"/>
    <cellStyle name="40 % - Markeringsfarve3 3 3 6 3 2 3" xfId="26778" xr:uid="{00000000-0005-0000-0000-000078650000}"/>
    <cellStyle name="40 % - Markeringsfarve3 3 3 6 3 2 4" xfId="41742" xr:uid="{00000000-0005-0000-0000-000079650000}"/>
    <cellStyle name="40 % - Markeringsfarve3 3 3 6 3 3" xfId="14467" xr:uid="{00000000-0005-0000-0000-00007A650000}"/>
    <cellStyle name="40 % - Markeringsfarve3 3 3 6 3 3 2" xfId="30746" xr:uid="{00000000-0005-0000-0000-00007B650000}"/>
    <cellStyle name="40 % - Markeringsfarve3 3 3 6 3 3 3" xfId="45706" xr:uid="{00000000-0005-0000-0000-00007C650000}"/>
    <cellStyle name="40 % - Markeringsfarve3 3 3 6 3 4" xfId="23744" xr:uid="{00000000-0005-0000-0000-00007D650000}"/>
    <cellStyle name="40 % - Markeringsfarve3 3 3 6 3 5" xfId="38709" xr:uid="{00000000-0005-0000-0000-00007E650000}"/>
    <cellStyle name="40 % - Markeringsfarve3 3 3 6 4" xfId="5983" xr:uid="{00000000-0005-0000-0000-00007F650000}"/>
    <cellStyle name="40 % - Markeringsfarve3 3 3 6 4 2" xfId="10933" xr:uid="{00000000-0005-0000-0000-000080650000}"/>
    <cellStyle name="40 % - Markeringsfarve3 3 3 6 4 2 2" xfId="18768" xr:uid="{00000000-0005-0000-0000-000081650000}"/>
    <cellStyle name="40 % - Markeringsfarve3 3 3 6 4 2 2 2" xfId="35044" xr:uid="{00000000-0005-0000-0000-000082650000}"/>
    <cellStyle name="40 % - Markeringsfarve3 3 3 6 4 2 2 3" xfId="50003" xr:uid="{00000000-0005-0000-0000-000083650000}"/>
    <cellStyle name="40 % - Markeringsfarve3 3 3 6 4 2 3" xfId="28042" xr:uid="{00000000-0005-0000-0000-000084650000}"/>
    <cellStyle name="40 % - Markeringsfarve3 3 3 6 4 2 4" xfId="43006" xr:uid="{00000000-0005-0000-0000-000085650000}"/>
    <cellStyle name="40 % - Markeringsfarve3 3 3 6 4 3" xfId="14468" xr:uid="{00000000-0005-0000-0000-000086650000}"/>
    <cellStyle name="40 % - Markeringsfarve3 3 3 6 4 3 2" xfId="30747" xr:uid="{00000000-0005-0000-0000-000087650000}"/>
    <cellStyle name="40 % - Markeringsfarve3 3 3 6 4 3 3" xfId="45707" xr:uid="{00000000-0005-0000-0000-000088650000}"/>
    <cellStyle name="40 % - Markeringsfarve3 3 3 6 4 4" xfId="23745" xr:uid="{00000000-0005-0000-0000-000089650000}"/>
    <cellStyle name="40 % - Markeringsfarve3 3 3 6 4 5" xfId="38710" xr:uid="{00000000-0005-0000-0000-00008A650000}"/>
    <cellStyle name="40 % - Markeringsfarve3 3 3 6 5" xfId="8102" xr:uid="{00000000-0005-0000-0000-00008B650000}"/>
    <cellStyle name="40 % - Markeringsfarve3 3 3 6 5 2" xfId="15967" xr:uid="{00000000-0005-0000-0000-00008C650000}"/>
    <cellStyle name="40 % - Markeringsfarve3 3 3 6 5 2 2" xfId="32243" xr:uid="{00000000-0005-0000-0000-00008D650000}"/>
    <cellStyle name="40 % - Markeringsfarve3 3 3 6 5 2 3" xfId="47202" xr:uid="{00000000-0005-0000-0000-00008E650000}"/>
    <cellStyle name="40 % - Markeringsfarve3 3 3 6 5 3" xfId="25241" xr:uid="{00000000-0005-0000-0000-00008F650000}"/>
    <cellStyle name="40 % - Markeringsfarve3 3 3 6 5 4" xfId="40205" xr:uid="{00000000-0005-0000-0000-000090650000}"/>
    <cellStyle name="40 % - Markeringsfarve3 3 3 6 6" xfId="14464" xr:uid="{00000000-0005-0000-0000-000091650000}"/>
    <cellStyle name="40 % - Markeringsfarve3 3 3 6 6 2" xfId="30743" xr:uid="{00000000-0005-0000-0000-000092650000}"/>
    <cellStyle name="40 % - Markeringsfarve3 3 3 6 6 3" xfId="45703" xr:uid="{00000000-0005-0000-0000-000093650000}"/>
    <cellStyle name="40 % - Markeringsfarve3 3 3 6 7" xfId="23741" xr:uid="{00000000-0005-0000-0000-000094650000}"/>
    <cellStyle name="40 % - Markeringsfarve3 3 3 6 8" xfId="38706" xr:uid="{00000000-0005-0000-0000-000095650000}"/>
    <cellStyle name="40 % - Markeringsfarve3 3 3 7" xfId="5984" xr:uid="{00000000-0005-0000-0000-000096650000}"/>
    <cellStyle name="40 % - Markeringsfarve3 3 3 7 2" xfId="5985" xr:uid="{00000000-0005-0000-0000-000097650000}"/>
    <cellStyle name="40 % - Markeringsfarve3 3 3 7 2 2" xfId="9792" xr:uid="{00000000-0005-0000-0000-000098650000}"/>
    <cellStyle name="40 % - Markeringsfarve3 3 3 7 2 2 2" xfId="17646" xr:uid="{00000000-0005-0000-0000-000099650000}"/>
    <cellStyle name="40 % - Markeringsfarve3 3 3 7 2 2 2 2" xfId="33922" xr:uid="{00000000-0005-0000-0000-00009A650000}"/>
    <cellStyle name="40 % - Markeringsfarve3 3 3 7 2 2 2 3" xfId="48881" xr:uid="{00000000-0005-0000-0000-00009B650000}"/>
    <cellStyle name="40 % - Markeringsfarve3 3 3 7 2 2 3" xfId="26920" xr:uid="{00000000-0005-0000-0000-00009C650000}"/>
    <cellStyle name="40 % - Markeringsfarve3 3 3 7 2 2 4" xfId="41884" xr:uid="{00000000-0005-0000-0000-00009D650000}"/>
    <cellStyle name="40 % - Markeringsfarve3 3 3 7 2 3" xfId="14470" xr:uid="{00000000-0005-0000-0000-00009E650000}"/>
    <cellStyle name="40 % - Markeringsfarve3 3 3 7 2 3 2" xfId="30749" xr:uid="{00000000-0005-0000-0000-00009F650000}"/>
    <cellStyle name="40 % - Markeringsfarve3 3 3 7 2 3 3" xfId="45709" xr:uid="{00000000-0005-0000-0000-0000A0650000}"/>
    <cellStyle name="40 % - Markeringsfarve3 3 3 7 2 4" xfId="23747" xr:uid="{00000000-0005-0000-0000-0000A1650000}"/>
    <cellStyle name="40 % - Markeringsfarve3 3 3 7 2 5" xfId="38712" xr:uid="{00000000-0005-0000-0000-0000A2650000}"/>
    <cellStyle name="40 % - Markeringsfarve3 3 3 7 3" xfId="8380" xr:uid="{00000000-0005-0000-0000-0000A3650000}"/>
    <cellStyle name="40 % - Markeringsfarve3 3 3 7 3 2" xfId="16250" xr:uid="{00000000-0005-0000-0000-0000A4650000}"/>
    <cellStyle name="40 % - Markeringsfarve3 3 3 7 3 2 2" xfId="32526" xr:uid="{00000000-0005-0000-0000-0000A5650000}"/>
    <cellStyle name="40 % - Markeringsfarve3 3 3 7 3 2 3" xfId="47485" xr:uid="{00000000-0005-0000-0000-0000A6650000}"/>
    <cellStyle name="40 % - Markeringsfarve3 3 3 7 3 3" xfId="25524" xr:uid="{00000000-0005-0000-0000-0000A7650000}"/>
    <cellStyle name="40 % - Markeringsfarve3 3 3 7 3 4" xfId="40488" xr:uid="{00000000-0005-0000-0000-0000A8650000}"/>
    <cellStyle name="40 % - Markeringsfarve3 3 3 7 4" xfId="14469" xr:uid="{00000000-0005-0000-0000-0000A9650000}"/>
    <cellStyle name="40 % - Markeringsfarve3 3 3 7 4 2" xfId="30748" xr:uid="{00000000-0005-0000-0000-0000AA650000}"/>
    <cellStyle name="40 % - Markeringsfarve3 3 3 7 4 3" xfId="45708" xr:uid="{00000000-0005-0000-0000-0000AB650000}"/>
    <cellStyle name="40 % - Markeringsfarve3 3 3 7 5" xfId="23746" xr:uid="{00000000-0005-0000-0000-0000AC650000}"/>
    <cellStyle name="40 % - Markeringsfarve3 3 3 7 6" xfId="38711" xr:uid="{00000000-0005-0000-0000-0000AD650000}"/>
    <cellStyle name="40 % - Markeringsfarve3 3 3 8" xfId="5986" xr:uid="{00000000-0005-0000-0000-0000AE650000}"/>
    <cellStyle name="40 % - Markeringsfarve3 3 3 8 2" xfId="9020" xr:uid="{00000000-0005-0000-0000-0000AF650000}"/>
    <cellStyle name="40 % - Markeringsfarve3 3 3 8 2 2" xfId="16884" xr:uid="{00000000-0005-0000-0000-0000B0650000}"/>
    <cellStyle name="40 % - Markeringsfarve3 3 3 8 2 2 2" xfId="33160" xr:uid="{00000000-0005-0000-0000-0000B1650000}"/>
    <cellStyle name="40 % - Markeringsfarve3 3 3 8 2 2 3" xfId="48119" xr:uid="{00000000-0005-0000-0000-0000B2650000}"/>
    <cellStyle name="40 % - Markeringsfarve3 3 3 8 2 3" xfId="26158" xr:uid="{00000000-0005-0000-0000-0000B3650000}"/>
    <cellStyle name="40 % - Markeringsfarve3 3 3 8 2 4" xfId="41122" xr:uid="{00000000-0005-0000-0000-0000B4650000}"/>
    <cellStyle name="40 % - Markeringsfarve3 3 3 8 3" xfId="14471" xr:uid="{00000000-0005-0000-0000-0000B5650000}"/>
    <cellStyle name="40 % - Markeringsfarve3 3 3 8 3 2" xfId="30750" xr:uid="{00000000-0005-0000-0000-0000B6650000}"/>
    <cellStyle name="40 % - Markeringsfarve3 3 3 8 3 3" xfId="45710" xr:uid="{00000000-0005-0000-0000-0000B7650000}"/>
    <cellStyle name="40 % - Markeringsfarve3 3 3 8 4" xfId="23748" xr:uid="{00000000-0005-0000-0000-0000B8650000}"/>
    <cellStyle name="40 % - Markeringsfarve3 3 3 8 5" xfId="38713" xr:uid="{00000000-0005-0000-0000-0000B9650000}"/>
    <cellStyle name="40 % - Markeringsfarve3 3 3 9" xfId="5987" xr:uid="{00000000-0005-0000-0000-0000BA650000}"/>
    <cellStyle name="40 % - Markeringsfarve3 3 3 9 2" xfId="10466" xr:uid="{00000000-0005-0000-0000-0000BB650000}"/>
    <cellStyle name="40 % - Markeringsfarve3 3 3 9 2 2" xfId="18317" xr:uid="{00000000-0005-0000-0000-0000BC650000}"/>
    <cellStyle name="40 % - Markeringsfarve3 3 3 9 2 2 2" xfId="34593" xr:uid="{00000000-0005-0000-0000-0000BD650000}"/>
    <cellStyle name="40 % - Markeringsfarve3 3 3 9 2 2 3" xfId="49552" xr:uid="{00000000-0005-0000-0000-0000BE650000}"/>
    <cellStyle name="40 % - Markeringsfarve3 3 3 9 2 3" xfId="27591" xr:uid="{00000000-0005-0000-0000-0000BF650000}"/>
    <cellStyle name="40 % - Markeringsfarve3 3 3 9 2 4" xfId="42555" xr:uid="{00000000-0005-0000-0000-0000C0650000}"/>
    <cellStyle name="40 % - Markeringsfarve3 3 3 9 3" xfId="14472" xr:uid="{00000000-0005-0000-0000-0000C1650000}"/>
    <cellStyle name="40 % - Markeringsfarve3 3 3 9 3 2" xfId="30751" xr:uid="{00000000-0005-0000-0000-0000C2650000}"/>
    <cellStyle name="40 % - Markeringsfarve3 3 3 9 3 3" xfId="45711" xr:uid="{00000000-0005-0000-0000-0000C3650000}"/>
    <cellStyle name="40 % - Markeringsfarve3 3 3 9 4" xfId="23749" xr:uid="{00000000-0005-0000-0000-0000C4650000}"/>
    <cellStyle name="40 % - Markeringsfarve3 3 3 9 5" xfId="38714" xr:uid="{00000000-0005-0000-0000-0000C5650000}"/>
    <cellStyle name="40 % - Markeringsfarve3 3 4" xfId="5988" xr:uid="{00000000-0005-0000-0000-0000C6650000}"/>
    <cellStyle name="40 % - Markeringsfarve3 3 4 2" xfId="5989" xr:uid="{00000000-0005-0000-0000-0000C7650000}"/>
    <cellStyle name="40 % - Markeringsfarve3 3 4 2 2" xfId="5990" xr:uid="{00000000-0005-0000-0000-0000C8650000}"/>
    <cellStyle name="40 % - Markeringsfarve3 3 4 2 2 2" xfId="9832" xr:uid="{00000000-0005-0000-0000-0000C9650000}"/>
    <cellStyle name="40 % - Markeringsfarve3 3 4 2 2 2 2" xfId="17687" xr:uid="{00000000-0005-0000-0000-0000CA650000}"/>
    <cellStyle name="40 % - Markeringsfarve3 3 4 2 2 2 2 2" xfId="33963" xr:uid="{00000000-0005-0000-0000-0000CB650000}"/>
    <cellStyle name="40 % - Markeringsfarve3 3 4 2 2 2 2 3" xfId="48922" xr:uid="{00000000-0005-0000-0000-0000CC650000}"/>
    <cellStyle name="40 % - Markeringsfarve3 3 4 2 2 2 3" xfId="26961" xr:uid="{00000000-0005-0000-0000-0000CD650000}"/>
    <cellStyle name="40 % - Markeringsfarve3 3 4 2 2 2 4" xfId="41925" xr:uid="{00000000-0005-0000-0000-0000CE650000}"/>
    <cellStyle name="40 % - Markeringsfarve3 3 4 2 2 3" xfId="14475" xr:uid="{00000000-0005-0000-0000-0000CF650000}"/>
    <cellStyle name="40 % - Markeringsfarve3 3 4 2 2 3 2" xfId="30754" xr:uid="{00000000-0005-0000-0000-0000D0650000}"/>
    <cellStyle name="40 % - Markeringsfarve3 3 4 2 2 3 3" xfId="45714" xr:uid="{00000000-0005-0000-0000-0000D1650000}"/>
    <cellStyle name="40 % - Markeringsfarve3 3 4 2 2 4" xfId="23752" xr:uid="{00000000-0005-0000-0000-0000D2650000}"/>
    <cellStyle name="40 % - Markeringsfarve3 3 4 2 2 5" xfId="38717" xr:uid="{00000000-0005-0000-0000-0000D3650000}"/>
    <cellStyle name="40 % - Markeringsfarve3 3 4 2 3" xfId="8413" xr:uid="{00000000-0005-0000-0000-0000D4650000}"/>
    <cellStyle name="40 % - Markeringsfarve3 3 4 2 3 2" xfId="16283" xr:uid="{00000000-0005-0000-0000-0000D5650000}"/>
    <cellStyle name="40 % - Markeringsfarve3 3 4 2 3 2 2" xfId="32559" xr:uid="{00000000-0005-0000-0000-0000D6650000}"/>
    <cellStyle name="40 % - Markeringsfarve3 3 4 2 3 2 3" xfId="47518" xr:uid="{00000000-0005-0000-0000-0000D7650000}"/>
    <cellStyle name="40 % - Markeringsfarve3 3 4 2 3 3" xfId="25557" xr:uid="{00000000-0005-0000-0000-0000D8650000}"/>
    <cellStyle name="40 % - Markeringsfarve3 3 4 2 3 4" xfId="40521" xr:uid="{00000000-0005-0000-0000-0000D9650000}"/>
    <cellStyle name="40 % - Markeringsfarve3 3 4 2 4" xfId="14474" xr:uid="{00000000-0005-0000-0000-0000DA650000}"/>
    <cellStyle name="40 % - Markeringsfarve3 3 4 2 4 2" xfId="30753" xr:uid="{00000000-0005-0000-0000-0000DB650000}"/>
    <cellStyle name="40 % - Markeringsfarve3 3 4 2 4 3" xfId="45713" xr:uid="{00000000-0005-0000-0000-0000DC650000}"/>
    <cellStyle name="40 % - Markeringsfarve3 3 4 2 5" xfId="23751" xr:uid="{00000000-0005-0000-0000-0000DD650000}"/>
    <cellStyle name="40 % - Markeringsfarve3 3 4 2 6" xfId="38716" xr:uid="{00000000-0005-0000-0000-0000DE650000}"/>
    <cellStyle name="40 % - Markeringsfarve3 3 4 3" xfId="5991" xr:uid="{00000000-0005-0000-0000-0000DF650000}"/>
    <cellStyle name="40 % - Markeringsfarve3 3 4 3 2" xfId="9063" xr:uid="{00000000-0005-0000-0000-0000E0650000}"/>
    <cellStyle name="40 % - Markeringsfarve3 3 4 3 2 2" xfId="16927" xr:uid="{00000000-0005-0000-0000-0000E1650000}"/>
    <cellStyle name="40 % - Markeringsfarve3 3 4 3 2 2 2" xfId="33203" xr:uid="{00000000-0005-0000-0000-0000E2650000}"/>
    <cellStyle name="40 % - Markeringsfarve3 3 4 3 2 2 3" xfId="48162" xr:uid="{00000000-0005-0000-0000-0000E3650000}"/>
    <cellStyle name="40 % - Markeringsfarve3 3 4 3 2 3" xfId="26201" xr:uid="{00000000-0005-0000-0000-0000E4650000}"/>
    <cellStyle name="40 % - Markeringsfarve3 3 4 3 2 4" xfId="41165" xr:uid="{00000000-0005-0000-0000-0000E5650000}"/>
    <cellStyle name="40 % - Markeringsfarve3 3 4 3 3" xfId="14476" xr:uid="{00000000-0005-0000-0000-0000E6650000}"/>
    <cellStyle name="40 % - Markeringsfarve3 3 4 3 3 2" xfId="30755" xr:uid="{00000000-0005-0000-0000-0000E7650000}"/>
    <cellStyle name="40 % - Markeringsfarve3 3 4 3 3 3" xfId="45715" xr:uid="{00000000-0005-0000-0000-0000E8650000}"/>
    <cellStyle name="40 % - Markeringsfarve3 3 4 3 4" xfId="23753" xr:uid="{00000000-0005-0000-0000-0000E9650000}"/>
    <cellStyle name="40 % - Markeringsfarve3 3 4 3 5" xfId="38718" xr:uid="{00000000-0005-0000-0000-0000EA650000}"/>
    <cellStyle name="40 % - Markeringsfarve3 3 4 4" xfId="5992" xr:uid="{00000000-0005-0000-0000-0000EB650000}"/>
    <cellStyle name="40 % - Markeringsfarve3 3 4 4 2" xfId="10657" xr:uid="{00000000-0005-0000-0000-0000EC650000}"/>
    <cellStyle name="40 % - Markeringsfarve3 3 4 4 2 2" xfId="18504" xr:uid="{00000000-0005-0000-0000-0000ED650000}"/>
    <cellStyle name="40 % - Markeringsfarve3 3 4 4 2 2 2" xfId="34780" xr:uid="{00000000-0005-0000-0000-0000EE650000}"/>
    <cellStyle name="40 % - Markeringsfarve3 3 4 4 2 2 3" xfId="49739" xr:uid="{00000000-0005-0000-0000-0000EF650000}"/>
    <cellStyle name="40 % - Markeringsfarve3 3 4 4 2 3" xfId="27778" xr:uid="{00000000-0005-0000-0000-0000F0650000}"/>
    <cellStyle name="40 % - Markeringsfarve3 3 4 4 2 4" xfId="42742" xr:uid="{00000000-0005-0000-0000-0000F1650000}"/>
    <cellStyle name="40 % - Markeringsfarve3 3 4 4 3" xfId="14477" xr:uid="{00000000-0005-0000-0000-0000F2650000}"/>
    <cellStyle name="40 % - Markeringsfarve3 3 4 4 3 2" xfId="30756" xr:uid="{00000000-0005-0000-0000-0000F3650000}"/>
    <cellStyle name="40 % - Markeringsfarve3 3 4 4 3 3" xfId="45716" xr:uid="{00000000-0005-0000-0000-0000F4650000}"/>
    <cellStyle name="40 % - Markeringsfarve3 3 4 4 4" xfId="23754" xr:uid="{00000000-0005-0000-0000-0000F5650000}"/>
    <cellStyle name="40 % - Markeringsfarve3 3 4 4 5" xfId="38719" xr:uid="{00000000-0005-0000-0000-0000F6650000}"/>
    <cellStyle name="40 % - Markeringsfarve3 3 4 5" xfId="8103" xr:uid="{00000000-0005-0000-0000-0000F7650000}"/>
    <cellStyle name="40 % - Markeringsfarve3 3 4 5 2" xfId="15968" xr:uid="{00000000-0005-0000-0000-0000F8650000}"/>
    <cellStyle name="40 % - Markeringsfarve3 3 4 5 2 2" xfId="32244" xr:uid="{00000000-0005-0000-0000-0000F9650000}"/>
    <cellStyle name="40 % - Markeringsfarve3 3 4 5 2 3" xfId="47203" xr:uid="{00000000-0005-0000-0000-0000FA650000}"/>
    <cellStyle name="40 % - Markeringsfarve3 3 4 5 3" xfId="25242" xr:uid="{00000000-0005-0000-0000-0000FB650000}"/>
    <cellStyle name="40 % - Markeringsfarve3 3 4 5 4" xfId="40206" xr:uid="{00000000-0005-0000-0000-0000FC650000}"/>
    <cellStyle name="40 % - Markeringsfarve3 3 4 6" xfId="14473" xr:uid="{00000000-0005-0000-0000-0000FD650000}"/>
    <cellStyle name="40 % - Markeringsfarve3 3 4 6 2" xfId="30752" xr:uid="{00000000-0005-0000-0000-0000FE650000}"/>
    <cellStyle name="40 % - Markeringsfarve3 3 4 6 3" xfId="45712" xr:uid="{00000000-0005-0000-0000-0000FF650000}"/>
    <cellStyle name="40 % - Markeringsfarve3 3 4 7" xfId="23750" xr:uid="{00000000-0005-0000-0000-000000660000}"/>
    <cellStyle name="40 % - Markeringsfarve3 3 4 8" xfId="38715" xr:uid="{00000000-0005-0000-0000-000001660000}"/>
    <cellStyle name="40 % - Markeringsfarve3 3 5" xfId="5993" xr:uid="{00000000-0005-0000-0000-000002660000}"/>
    <cellStyle name="40 % - Markeringsfarve3 3 5 2" xfId="5994" xr:uid="{00000000-0005-0000-0000-000003660000}"/>
    <cellStyle name="40 % - Markeringsfarve3 3 5 2 2" xfId="5995" xr:uid="{00000000-0005-0000-0000-000004660000}"/>
    <cellStyle name="40 % - Markeringsfarve3 3 5 2 2 2" xfId="10006" xr:uid="{00000000-0005-0000-0000-000005660000}"/>
    <cellStyle name="40 % - Markeringsfarve3 3 5 2 2 2 2" xfId="17861" xr:uid="{00000000-0005-0000-0000-000006660000}"/>
    <cellStyle name="40 % - Markeringsfarve3 3 5 2 2 2 2 2" xfId="34137" xr:uid="{00000000-0005-0000-0000-000007660000}"/>
    <cellStyle name="40 % - Markeringsfarve3 3 5 2 2 2 2 3" xfId="49096" xr:uid="{00000000-0005-0000-0000-000008660000}"/>
    <cellStyle name="40 % - Markeringsfarve3 3 5 2 2 2 3" xfId="27135" xr:uid="{00000000-0005-0000-0000-000009660000}"/>
    <cellStyle name="40 % - Markeringsfarve3 3 5 2 2 2 4" xfId="42099" xr:uid="{00000000-0005-0000-0000-00000A660000}"/>
    <cellStyle name="40 % - Markeringsfarve3 3 5 2 2 3" xfId="14480" xr:uid="{00000000-0005-0000-0000-00000B660000}"/>
    <cellStyle name="40 % - Markeringsfarve3 3 5 2 2 3 2" xfId="30759" xr:uid="{00000000-0005-0000-0000-00000C660000}"/>
    <cellStyle name="40 % - Markeringsfarve3 3 5 2 2 3 3" xfId="45719" xr:uid="{00000000-0005-0000-0000-00000D660000}"/>
    <cellStyle name="40 % - Markeringsfarve3 3 5 2 2 4" xfId="23757" xr:uid="{00000000-0005-0000-0000-00000E660000}"/>
    <cellStyle name="40 % - Markeringsfarve3 3 5 2 2 5" xfId="38722" xr:uid="{00000000-0005-0000-0000-00000F660000}"/>
    <cellStyle name="40 % - Markeringsfarve3 3 5 2 3" xfId="8553" xr:uid="{00000000-0005-0000-0000-000010660000}"/>
    <cellStyle name="40 % - Markeringsfarve3 3 5 2 3 2" xfId="16423" xr:uid="{00000000-0005-0000-0000-000011660000}"/>
    <cellStyle name="40 % - Markeringsfarve3 3 5 2 3 2 2" xfId="32699" xr:uid="{00000000-0005-0000-0000-000012660000}"/>
    <cellStyle name="40 % - Markeringsfarve3 3 5 2 3 2 3" xfId="47658" xr:uid="{00000000-0005-0000-0000-000013660000}"/>
    <cellStyle name="40 % - Markeringsfarve3 3 5 2 3 3" xfId="25697" xr:uid="{00000000-0005-0000-0000-000014660000}"/>
    <cellStyle name="40 % - Markeringsfarve3 3 5 2 3 4" xfId="40661" xr:uid="{00000000-0005-0000-0000-000015660000}"/>
    <cellStyle name="40 % - Markeringsfarve3 3 5 2 4" xfId="14479" xr:uid="{00000000-0005-0000-0000-000016660000}"/>
    <cellStyle name="40 % - Markeringsfarve3 3 5 2 4 2" xfId="30758" xr:uid="{00000000-0005-0000-0000-000017660000}"/>
    <cellStyle name="40 % - Markeringsfarve3 3 5 2 4 3" xfId="45718" xr:uid="{00000000-0005-0000-0000-000018660000}"/>
    <cellStyle name="40 % - Markeringsfarve3 3 5 2 5" xfId="23756" xr:uid="{00000000-0005-0000-0000-000019660000}"/>
    <cellStyle name="40 % - Markeringsfarve3 3 5 2 6" xfId="38721" xr:uid="{00000000-0005-0000-0000-00001A660000}"/>
    <cellStyle name="40 % - Markeringsfarve3 3 5 3" xfId="5996" xr:uid="{00000000-0005-0000-0000-00001B660000}"/>
    <cellStyle name="40 % - Markeringsfarve3 3 5 3 2" xfId="9237" xr:uid="{00000000-0005-0000-0000-00001C660000}"/>
    <cellStyle name="40 % - Markeringsfarve3 3 5 3 2 2" xfId="17101" xr:uid="{00000000-0005-0000-0000-00001D660000}"/>
    <cellStyle name="40 % - Markeringsfarve3 3 5 3 2 2 2" xfId="33377" xr:uid="{00000000-0005-0000-0000-00001E660000}"/>
    <cellStyle name="40 % - Markeringsfarve3 3 5 3 2 2 3" xfId="48336" xr:uid="{00000000-0005-0000-0000-00001F660000}"/>
    <cellStyle name="40 % - Markeringsfarve3 3 5 3 2 3" xfId="26375" xr:uid="{00000000-0005-0000-0000-000020660000}"/>
    <cellStyle name="40 % - Markeringsfarve3 3 5 3 2 4" xfId="41339" xr:uid="{00000000-0005-0000-0000-000021660000}"/>
    <cellStyle name="40 % - Markeringsfarve3 3 5 3 3" xfId="14481" xr:uid="{00000000-0005-0000-0000-000022660000}"/>
    <cellStyle name="40 % - Markeringsfarve3 3 5 3 3 2" xfId="30760" xr:uid="{00000000-0005-0000-0000-000023660000}"/>
    <cellStyle name="40 % - Markeringsfarve3 3 5 3 3 3" xfId="45720" xr:uid="{00000000-0005-0000-0000-000024660000}"/>
    <cellStyle name="40 % - Markeringsfarve3 3 5 3 4" xfId="23758" xr:uid="{00000000-0005-0000-0000-000025660000}"/>
    <cellStyle name="40 % - Markeringsfarve3 3 5 3 5" xfId="38723" xr:uid="{00000000-0005-0000-0000-000026660000}"/>
    <cellStyle name="40 % - Markeringsfarve3 3 5 4" xfId="5997" xr:uid="{00000000-0005-0000-0000-000027660000}"/>
    <cellStyle name="40 % - Markeringsfarve3 3 5 4 2" xfId="10892" xr:uid="{00000000-0005-0000-0000-000028660000}"/>
    <cellStyle name="40 % - Markeringsfarve3 3 5 4 2 2" xfId="18728" xr:uid="{00000000-0005-0000-0000-000029660000}"/>
    <cellStyle name="40 % - Markeringsfarve3 3 5 4 2 2 2" xfId="35004" xr:uid="{00000000-0005-0000-0000-00002A660000}"/>
    <cellStyle name="40 % - Markeringsfarve3 3 5 4 2 2 3" xfId="49963" xr:uid="{00000000-0005-0000-0000-00002B660000}"/>
    <cellStyle name="40 % - Markeringsfarve3 3 5 4 2 3" xfId="28002" xr:uid="{00000000-0005-0000-0000-00002C660000}"/>
    <cellStyle name="40 % - Markeringsfarve3 3 5 4 2 4" xfId="42966" xr:uid="{00000000-0005-0000-0000-00002D660000}"/>
    <cellStyle name="40 % - Markeringsfarve3 3 5 4 3" xfId="14482" xr:uid="{00000000-0005-0000-0000-00002E660000}"/>
    <cellStyle name="40 % - Markeringsfarve3 3 5 4 3 2" xfId="30761" xr:uid="{00000000-0005-0000-0000-00002F660000}"/>
    <cellStyle name="40 % - Markeringsfarve3 3 5 4 3 3" xfId="45721" xr:uid="{00000000-0005-0000-0000-000030660000}"/>
    <cellStyle name="40 % - Markeringsfarve3 3 5 4 4" xfId="23759" xr:uid="{00000000-0005-0000-0000-000031660000}"/>
    <cellStyle name="40 % - Markeringsfarve3 3 5 4 5" xfId="38724" xr:uid="{00000000-0005-0000-0000-000032660000}"/>
    <cellStyle name="40 % - Markeringsfarve3 3 5 5" xfId="8104" xr:uid="{00000000-0005-0000-0000-000033660000}"/>
    <cellStyle name="40 % - Markeringsfarve3 3 5 5 2" xfId="15969" xr:uid="{00000000-0005-0000-0000-000034660000}"/>
    <cellStyle name="40 % - Markeringsfarve3 3 5 5 2 2" xfId="32245" xr:uid="{00000000-0005-0000-0000-000035660000}"/>
    <cellStyle name="40 % - Markeringsfarve3 3 5 5 2 3" xfId="47204" xr:uid="{00000000-0005-0000-0000-000036660000}"/>
    <cellStyle name="40 % - Markeringsfarve3 3 5 5 3" xfId="25243" xr:uid="{00000000-0005-0000-0000-000037660000}"/>
    <cellStyle name="40 % - Markeringsfarve3 3 5 5 4" xfId="40207" xr:uid="{00000000-0005-0000-0000-000038660000}"/>
    <cellStyle name="40 % - Markeringsfarve3 3 5 6" xfId="14478" xr:uid="{00000000-0005-0000-0000-000039660000}"/>
    <cellStyle name="40 % - Markeringsfarve3 3 5 6 2" xfId="30757" xr:uid="{00000000-0005-0000-0000-00003A660000}"/>
    <cellStyle name="40 % - Markeringsfarve3 3 5 6 3" xfId="45717" xr:uid="{00000000-0005-0000-0000-00003B660000}"/>
    <cellStyle name="40 % - Markeringsfarve3 3 5 7" xfId="23755" xr:uid="{00000000-0005-0000-0000-00003C660000}"/>
    <cellStyle name="40 % - Markeringsfarve3 3 5 8" xfId="38720" xr:uid="{00000000-0005-0000-0000-00003D660000}"/>
    <cellStyle name="40 % - Markeringsfarve3 3 6" xfId="5998" xr:uid="{00000000-0005-0000-0000-00003E660000}"/>
    <cellStyle name="40 % - Markeringsfarve3 3 6 2" xfId="5999" xr:uid="{00000000-0005-0000-0000-00003F660000}"/>
    <cellStyle name="40 % - Markeringsfarve3 3 6 2 2" xfId="6000" xr:uid="{00000000-0005-0000-0000-000040660000}"/>
    <cellStyle name="40 % - Markeringsfarve3 3 6 2 2 2" xfId="10070" xr:uid="{00000000-0005-0000-0000-000041660000}"/>
    <cellStyle name="40 % - Markeringsfarve3 3 6 2 2 2 2" xfId="17925" xr:uid="{00000000-0005-0000-0000-000042660000}"/>
    <cellStyle name="40 % - Markeringsfarve3 3 6 2 2 2 2 2" xfId="34201" xr:uid="{00000000-0005-0000-0000-000043660000}"/>
    <cellStyle name="40 % - Markeringsfarve3 3 6 2 2 2 2 3" xfId="49160" xr:uid="{00000000-0005-0000-0000-000044660000}"/>
    <cellStyle name="40 % - Markeringsfarve3 3 6 2 2 2 3" xfId="27199" xr:uid="{00000000-0005-0000-0000-000045660000}"/>
    <cellStyle name="40 % - Markeringsfarve3 3 6 2 2 2 4" xfId="42163" xr:uid="{00000000-0005-0000-0000-000046660000}"/>
    <cellStyle name="40 % - Markeringsfarve3 3 6 2 2 3" xfId="14485" xr:uid="{00000000-0005-0000-0000-000047660000}"/>
    <cellStyle name="40 % - Markeringsfarve3 3 6 2 2 3 2" xfId="30764" xr:uid="{00000000-0005-0000-0000-000048660000}"/>
    <cellStyle name="40 % - Markeringsfarve3 3 6 2 2 3 3" xfId="45724" xr:uid="{00000000-0005-0000-0000-000049660000}"/>
    <cellStyle name="40 % - Markeringsfarve3 3 6 2 2 4" xfId="23762" xr:uid="{00000000-0005-0000-0000-00004A660000}"/>
    <cellStyle name="40 % - Markeringsfarve3 3 6 2 2 5" xfId="38727" xr:uid="{00000000-0005-0000-0000-00004B660000}"/>
    <cellStyle name="40 % - Markeringsfarve3 3 6 2 3" xfId="8615" xr:uid="{00000000-0005-0000-0000-00004C660000}"/>
    <cellStyle name="40 % - Markeringsfarve3 3 6 2 3 2" xfId="16482" xr:uid="{00000000-0005-0000-0000-00004D660000}"/>
    <cellStyle name="40 % - Markeringsfarve3 3 6 2 3 2 2" xfId="32758" xr:uid="{00000000-0005-0000-0000-00004E660000}"/>
    <cellStyle name="40 % - Markeringsfarve3 3 6 2 3 2 3" xfId="47717" xr:uid="{00000000-0005-0000-0000-00004F660000}"/>
    <cellStyle name="40 % - Markeringsfarve3 3 6 2 3 3" xfId="25756" xr:uid="{00000000-0005-0000-0000-000050660000}"/>
    <cellStyle name="40 % - Markeringsfarve3 3 6 2 3 4" xfId="40720" xr:uid="{00000000-0005-0000-0000-000051660000}"/>
    <cellStyle name="40 % - Markeringsfarve3 3 6 2 4" xfId="14484" xr:uid="{00000000-0005-0000-0000-000052660000}"/>
    <cellStyle name="40 % - Markeringsfarve3 3 6 2 4 2" xfId="30763" xr:uid="{00000000-0005-0000-0000-000053660000}"/>
    <cellStyle name="40 % - Markeringsfarve3 3 6 2 4 3" xfId="45723" xr:uid="{00000000-0005-0000-0000-000054660000}"/>
    <cellStyle name="40 % - Markeringsfarve3 3 6 2 5" xfId="23761" xr:uid="{00000000-0005-0000-0000-000055660000}"/>
    <cellStyle name="40 % - Markeringsfarve3 3 6 2 6" xfId="38726" xr:uid="{00000000-0005-0000-0000-000056660000}"/>
    <cellStyle name="40 % - Markeringsfarve3 3 6 3" xfId="6001" xr:uid="{00000000-0005-0000-0000-000057660000}"/>
    <cellStyle name="40 % - Markeringsfarve3 3 6 3 2" xfId="9347" xr:uid="{00000000-0005-0000-0000-000058660000}"/>
    <cellStyle name="40 % - Markeringsfarve3 3 6 3 2 2" xfId="17210" xr:uid="{00000000-0005-0000-0000-000059660000}"/>
    <cellStyle name="40 % - Markeringsfarve3 3 6 3 2 2 2" xfId="33486" xr:uid="{00000000-0005-0000-0000-00005A660000}"/>
    <cellStyle name="40 % - Markeringsfarve3 3 6 3 2 2 3" xfId="48445" xr:uid="{00000000-0005-0000-0000-00005B660000}"/>
    <cellStyle name="40 % - Markeringsfarve3 3 6 3 2 3" xfId="26484" xr:uid="{00000000-0005-0000-0000-00005C660000}"/>
    <cellStyle name="40 % - Markeringsfarve3 3 6 3 2 4" xfId="41448" xr:uid="{00000000-0005-0000-0000-00005D660000}"/>
    <cellStyle name="40 % - Markeringsfarve3 3 6 3 3" xfId="14486" xr:uid="{00000000-0005-0000-0000-00005E660000}"/>
    <cellStyle name="40 % - Markeringsfarve3 3 6 3 3 2" xfId="30765" xr:uid="{00000000-0005-0000-0000-00005F660000}"/>
    <cellStyle name="40 % - Markeringsfarve3 3 6 3 3 3" xfId="45725" xr:uid="{00000000-0005-0000-0000-000060660000}"/>
    <cellStyle name="40 % - Markeringsfarve3 3 6 3 4" xfId="23763" xr:uid="{00000000-0005-0000-0000-000061660000}"/>
    <cellStyle name="40 % - Markeringsfarve3 3 6 3 5" xfId="38728" xr:uid="{00000000-0005-0000-0000-000062660000}"/>
    <cellStyle name="40 % - Markeringsfarve3 3 6 4" xfId="6002" xr:uid="{00000000-0005-0000-0000-000063660000}"/>
    <cellStyle name="40 % - Markeringsfarve3 3 6 4 2" xfId="10616" xr:uid="{00000000-0005-0000-0000-000064660000}"/>
    <cellStyle name="40 % - Markeringsfarve3 3 6 4 2 2" xfId="18464" xr:uid="{00000000-0005-0000-0000-000065660000}"/>
    <cellStyle name="40 % - Markeringsfarve3 3 6 4 2 2 2" xfId="34740" xr:uid="{00000000-0005-0000-0000-000066660000}"/>
    <cellStyle name="40 % - Markeringsfarve3 3 6 4 2 2 3" xfId="49699" xr:uid="{00000000-0005-0000-0000-000067660000}"/>
    <cellStyle name="40 % - Markeringsfarve3 3 6 4 2 3" xfId="27738" xr:uid="{00000000-0005-0000-0000-000068660000}"/>
    <cellStyle name="40 % - Markeringsfarve3 3 6 4 2 4" xfId="42702" xr:uid="{00000000-0005-0000-0000-000069660000}"/>
    <cellStyle name="40 % - Markeringsfarve3 3 6 4 3" xfId="14487" xr:uid="{00000000-0005-0000-0000-00006A660000}"/>
    <cellStyle name="40 % - Markeringsfarve3 3 6 4 3 2" xfId="30766" xr:uid="{00000000-0005-0000-0000-00006B660000}"/>
    <cellStyle name="40 % - Markeringsfarve3 3 6 4 3 3" xfId="45726" xr:uid="{00000000-0005-0000-0000-00006C660000}"/>
    <cellStyle name="40 % - Markeringsfarve3 3 6 4 4" xfId="23764" xr:uid="{00000000-0005-0000-0000-00006D660000}"/>
    <cellStyle name="40 % - Markeringsfarve3 3 6 4 5" xfId="38729" xr:uid="{00000000-0005-0000-0000-00006E660000}"/>
    <cellStyle name="40 % - Markeringsfarve3 3 6 5" xfId="8105" xr:uid="{00000000-0005-0000-0000-00006F660000}"/>
    <cellStyle name="40 % - Markeringsfarve3 3 6 5 2" xfId="15970" xr:uid="{00000000-0005-0000-0000-000070660000}"/>
    <cellStyle name="40 % - Markeringsfarve3 3 6 5 2 2" xfId="32246" xr:uid="{00000000-0005-0000-0000-000071660000}"/>
    <cellStyle name="40 % - Markeringsfarve3 3 6 5 2 3" xfId="47205" xr:uid="{00000000-0005-0000-0000-000072660000}"/>
    <cellStyle name="40 % - Markeringsfarve3 3 6 5 3" xfId="25244" xr:uid="{00000000-0005-0000-0000-000073660000}"/>
    <cellStyle name="40 % - Markeringsfarve3 3 6 5 4" xfId="40208" xr:uid="{00000000-0005-0000-0000-000074660000}"/>
    <cellStyle name="40 % - Markeringsfarve3 3 6 6" xfId="14483" xr:uid="{00000000-0005-0000-0000-000075660000}"/>
    <cellStyle name="40 % - Markeringsfarve3 3 6 6 2" xfId="30762" xr:uid="{00000000-0005-0000-0000-000076660000}"/>
    <cellStyle name="40 % - Markeringsfarve3 3 6 6 3" xfId="45722" xr:uid="{00000000-0005-0000-0000-000077660000}"/>
    <cellStyle name="40 % - Markeringsfarve3 3 6 7" xfId="23760" xr:uid="{00000000-0005-0000-0000-000078660000}"/>
    <cellStyle name="40 % - Markeringsfarve3 3 6 8" xfId="38725" xr:uid="{00000000-0005-0000-0000-000079660000}"/>
    <cellStyle name="40 % - Markeringsfarve3 3 7" xfId="6003" xr:uid="{00000000-0005-0000-0000-00007A660000}"/>
    <cellStyle name="40 % - Markeringsfarve3 3 7 2" xfId="6004" xr:uid="{00000000-0005-0000-0000-00007B660000}"/>
    <cellStyle name="40 % - Markeringsfarve3 3 7 2 2" xfId="6005" xr:uid="{00000000-0005-0000-0000-00007C660000}"/>
    <cellStyle name="40 % - Markeringsfarve3 3 7 2 2 2" xfId="10187" xr:uid="{00000000-0005-0000-0000-00007D660000}"/>
    <cellStyle name="40 % - Markeringsfarve3 3 7 2 2 2 2" xfId="18042" xr:uid="{00000000-0005-0000-0000-00007E660000}"/>
    <cellStyle name="40 % - Markeringsfarve3 3 7 2 2 2 2 2" xfId="34318" xr:uid="{00000000-0005-0000-0000-00007F660000}"/>
    <cellStyle name="40 % - Markeringsfarve3 3 7 2 2 2 2 3" xfId="49277" xr:uid="{00000000-0005-0000-0000-000080660000}"/>
    <cellStyle name="40 % - Markeringsfarve3 3 7 2 2 2 3" xfId="27316" xr:uid="{00000000-0005-0000-0000-000081660000}"/>
    <cellStyle name="40 % - Markeringsfarve3 3 7 2 2 2 4" xfId="42280" xr:uid="{00000000-0005-0000-0000-000082660000}"/>
    <cellStyle name="40 % - Markeringsfarve3 3 7 2 2 3" xfId="14490" xr:uid="{00000000-0005-0000-0000-000083660000}"/>
    <cellStyle name="40 % - Markeringsfarve3 3 7 2 2 3 2" xfId="30769" xr:uid="{00000000-0005-0000-0000-000084660000}"/>
    <cellStyle name="40 % - Markeringsfarve3 3 7 2 2 3 3" xfId="45729" xr:uid="{00000000-0005-0000-0000-000085660000}"/>
    <cellStyle name="40 % - Markeringsfarve3 3 7 2 2 4" xfId="23767" xr:uid="{00000000-0005-0000-0000-000086660000}"/>
    <cellStyle name="40 % - Markeringsfarve3 3 7 2 2 5" xfId="38732" xr:uid="{00000000-0005-0000-0000-000087660000}"/>
    <cellStyle name="40 % - Markeringsfarve3 3 7 2 3" xfId="8714" xr:uid="{00000000-0005-0000-0000-000088660000}"/>
    <cellStyle name="40 % - Markeringsfarve3 3 7 2 3 2" xfId="16581" xr:uid="{00000000-0005-0000-0000-000089660000}"/>
    <cellStyle name="40 % - Markeringsfarve3 3 7 2 3 2 2" xfId="32857" xr:uid="{00000000-0005-0000-0000-00008A660000}"/>
    <cellStyle name="40 % - Markeringsfarve3 3 7 2 3 2 3" xfId="47816" xr:uid="{00000000-0005-0000-0000-00008B660000}"/>
    <cellStyle name="40 % - Markeringsfarve3 3 7 2 3 3" xfId="25855" xr:uid="{00000000-0005-0000-0000-00008C660000}"/>
    <cellStyle name="40 % - Markeringsfarve3 3 7 2 3 4" xfId="40819" xr:uid="{00000000-0005-0000-0000-00008D660000}"/>
    <cellStyle name="40 % - Markeringsfarve3 3 7 2 4" xfId="14489" xr:uid="{00000000-0005-0000-0000-00008E660000}"/>
    <cellStyle name="40 % - Markeringsfarve3 3 7 2 4 2" xfId="30768" xr:uid="{00000000-0005-0000-0000-00008F660000}"/>
    <cellStyle name="40 % - Markeringsfarve3 3 7 2 4 3" xfId="45728" xr:uid="{00000000-0005-0000-0000-000090660000}"/>
    <cellStyle name="40 % - Markeringsfarve3 3 7 2 5" xfId="23766" xr:uid="{00000000-0005-0000-0000-000091660000}"/>
    <cellStyle name="40 % - Markeringsfarve3 3 7 2 6" xfId="38731" xr:uid="{00000000-0005-0000-0000-000092660000}"/>
    <cellStyle name="40 % - Markeringsfarve3 3 7 3" xfId="6006" xr:uid="{00000000-0005-0000-0000-000093660000}"/>
    <cellStyle name="40 % - Markeringsfarve3 3 7 3 2" xfId="9464" xr:uid="{00000000-0005-0000-0000-000094660000}"/>
    <cellStyle name="40 % - Markeringsfarve3 3 7 3 2 2" xfId="17327" xr:uid="{00000000-0005-0000-0000-000095660000}"/>
    <cellStyle name="40 % - Markeringsfarve3 3 7 3 2 2 2" xfId="33603" xr:uid="{00000000-0005-0000-0000-000096660000}"/>
    <cellStyle name="40 % - Markeringsfarve3 3 7 3 2 2 3" xfId="48562" xr:uid="{00000000-0005-0000-0000-000097660000}"/>
    <cellStyle name="40 % - Markeringsfarve3 3 7 3 2 3" xfId="26601" xr:uid="{00000000-0005-0000-0000-000098660000}"/>
    <cellStyle name="40 % - Markeringsfarve3 3 7 3 2 4" xfId="41565" xr:uid="{00000000-0005-0000-0000-000099660000}"/>
    <cellStyle name="40 % - Markeringsfarve3 3 7 3 3" xfId="14491" xr:uid="{00000000-0005-0000-0000-00009A660000}"/>
    <cellStyle name="40 % - Markeringsfarve3 3 7 3 3 2" xfId="30770" xr:uid="{00000000-0005-0000-0000-00009B660000}"/>
    <cellStyle name="40 % - Markeringsfarve3 3 7 3 3 3" xfId="45730" xr:uid="{00000000-0005-0000-0000-00009C660000}"/>
    <cellStyle name="40 % - Markeringsfarve3 3 7 3 4" xfId="23768" xr:uid="{00000000-0005-0000-0000-00009D660000}"/>
    <cellStyle name="40 % - Markeringsfarve3 3 7 3 5" xfId="38733" xr:uid="{00000000-0005-0000-0000-00009E660000}"/>
    <cellStyle name="40 % - Markeringsfarve3 3 7 4" xfId="6007" xr:uid="{00000000-0005-0000-0000-00009F660000}"/>
    <cellStyle name="40 % - Markeringsfarve3 3 7 4 2" xfId="10843" xr:uid="{00000000-0005-0000-0000-0000A0660000}"/>
    <cellStyle name="40 % - Markeringsfarve3 3 7 4 2 2" xfId="18681" xr:uid="{00000000-0005-0000-0000-0000A1660000}"/>
    <cellStyle name="40 % - Markeringsfarve3 3 7 4 2 2 2" xfId="34957" xr:uid="{00000000-0005-0000-0000-0000A2660000}"/>
    <cellStyle name="40 % - Markeringsfarve3 3 7 4 2 2 3" xfId="49916" xr:uid="{00000000-0005-0000-0000-0000A3660000}"/>
    <cellStyle name="40 % - Markeringsfarve3 3 7 4 2 3" xfId="27955" xr:uid="{00000000-0005-0000-0000-0000A4660000}"/>
    <cellStyle name="40 % - Markeringsfarve3 3 7 4 2 4" xfId="42919" xr:uid="{00000000-0005-0000-0000-0000A5660000}"/>
    <cellStyle name="40 % - Markeringsfarve3 3 7 4 3" xfId="14492" xr:uid="{00000000-0005-0000-0000-0000A6660000}"/>
    <cellStyle name="40 % - Markeringsfarve3 3 7 4 3 2" xfId="30771" xr:uid="{00000000-0005-0000-0000-0000A7660000}"/>
    <cellStyle name="40 % - Markeringsfarve3 3 7 4 3 3" xfId="45731" xr:uid="{00000000-0005-0000-0000-0000A8660000}"/>
    <cellStyle name="40 % - Markeringsfarve3 3 7 4 4" xfId="23769" xr:uid="{00000000-0005-0000-0000-0000A9660000}"/>
    <cellStyle name="40 % - Markeringsfarve3 3 7 4 5" xfId="38734" xr:uid="{00000000-0005-0000-0000-0000AA660000}"/>
    <cellStyle name="40 % - Markeringsfarve3 3 7 5" xfId="8106" xr:uid="{00000000-0005-0000-0000-0000AB660000}"/>
    <cellStyle name="40 % - Markeringsfarve3 3 7 5 2" xfId="15971" xr:uid="{00000000-0005-0000-0000-0000AC660000}"/>
    <cellStyle name="40 % - Markeringsfarve3 3 7 5 2 2" xfId="32247" xr:uid="{00000000-0005-0000-0000-0000AD660000}"/>
    <cellStyle name="40 % - Markeringsfarve3 3 7 5 2 3" xfId="47206" xr:uid="{00000000-0005-0000-0000-0000AE660000}"/>
    <cellStyle name="40 % - Markeringsfarve3 3 7 5 3" xfId="25245" xr:uid="{00000000-0005-0000-0000-0000AF660000}"/>
    <cellStyle name="40 % - Markeringsfarve3 3 7 5 4" xfId="40209" xr:uid="{00000000-0005-0000-0000-0000B0660000}"/>
    <cellStyle name="40 % - Markeringsfarve3 3 7 6" xfId="14488" xr:uid="{00000000-0005-0000-0000-0000B1660000}"/>
    <cellStyle name="40 % - Markeringsfarve3 3 7 6 2" xfId="30767" xr:uid="{00000000-0005-0000-0000-0000B2660000}"/>
    <cellStyle name="40 % - Markeringsfarve3 3 7 6 3" xfId="45727" xr:uid="{00000000-0005-0000-0000-0000B3660000}"/>
    <cellStyle name="40 % - Markeringsfarve3 3 7 7" xfId="23765" xr:uid="{00000000-0005-0000-0000-0000B4660000}"/>
    <cellStyle name="40 % - Markeringsfarve3 3 7 8" xfId="38730" xr:uid="{00000000-0005-0000-0000-0000B5660000}"/>
    <cellStyle name="40 % - Markeringsfarve3 3 8" xfId="6008" xr:uid="{00000000-0005-0000-0000-0000B6660000}"/>
    <cellStyle name="40 % - Markeringsfarve3 3 8 2" xfId="6009" xr:uid="{00000000-0005-0000-0000-0000B7660000}"/>
    <cellStyle name="40 % - Markeringsfarve3 3 8 2 2" xfId="6010" xr:uid="{00000000-0005-0000-0000-0000B8660000}"/>
    <cellStyle name="40 % - Markeringsfarve3 3 8 2 2 2" xfId="10361" xr:uid="{00000000-0005-0000-0000-0000B9660000}"/>
    <cellStyle name="40 % - Markeringsfarve3 3 8 2 2 2 2" xfId="18216" xr:uid="{00000000-0005-0000-0000-0000BA660000}"/>
    <cellStyle name="40 % - Markeringsfarve3 3 8 2 2 2 2 2" xfId="34492" xr:uid="{00000000-0005-0000-0000-0000BB660000}"/>
    <cellStyle name="40 % - Markeringsfarve3 3 8 2 2 2 2 3" xfId="49451" xr:uid="{00000000-0005-0000-0000-0000BC660000}"/>
    <cellStyle name="40 % - Markeringsfarve3 3 8 2 2 2 3" xfId="27490" xr:uid="{00000000-0005-0000-0000-0000BD660000}"/>
    <cellStyle name="40 % - Markeringsfarve3 3 8 2 2 2 4" xfId="42454" xr:uid="{00000000-0005-0000-0000-0000BE660000}"/>
    <cellStyle name="40 % - Markeringsfarve3 3 8 2 2 3" xfId="14495" xr:uid="{00000000-0005-0000-0000-0000BF660000}"/>
    <cellStyle name="40 % - Markeringsfarve3 3 8 2 2 3 2" xfId="30774" xr:uid="{00000000-0005-0000-0000-0000C0660000}"/>
    <cellStyle name="40 % - Markeringsfarve3 3 8 2 2 3 3" xfId="45734" xr:uid="{00000000-0005-0000-0000-0000C1660000}"/>
    <cellStyle name="40 % - Markeringsfarve3 3 8 2 2 4" xfId="23772" xr:uid="{00000000-0005-0000-0000-0000C2660000}"/>
    <cellStyle name="40 % - Markeringsfarve3 3 8 2 2 5" xfId="38737" xr:uid="{00000000-0005-0000-0000-0000C3660000}"/>
    <cellStyle name="40 % - Markeringsfarve3 3 8 2 3" xfId="8855" xr:uid="{00000000-0005-0000-0000-0000C4660000}"/>
    <cellStyle name="40 % - Markeringsfarve3 3 8 2 3 2" xfId="16722" xr:uid="{00000000-0005-0000-0000-0000C5660000}"/>
    <cellStyle name="40 % - Markeringsfarve3 3 8 2 3 2 2" xfId="32998" xr:uid="{00000000-0005-0000-0000-0000C6660000}"/>
    <cellStyle name="40 % - Markeringsfarve3 3 8 2 3 2 3" xfId="47957" xr:uid="{00000000-0005-0000-0000-0000C7660000}"/>
    <cellStyle name="40 % - Markeringsfarve3 3 8 2 3 3" xfId="25996" xr:uid="{00000000-0005-0000-0000-0000C8660000}"/>
    <cellStyle name="40 % - Markeringsfarve3 3 8 2 3 4" xfId="40960" xr:uid="{00000000-0005-0000-0000-0000C9660000}"/>
    <cellStyle name="40 % - Markeringsfarve3 3 8 2 4" xfId="14494" xr:uid="{00000000-0005-0000-0000-0000CA660000}"/>
    <cellStyle name="40 % - Markeringsfarve3 3 8 2 4 2" xfId="30773" xr:uid="{00000000-0005-0000-0000-0000CB660000}"/>
    <cellStyle name="40 % - Markeringsfarve3 3 8 2 4 3" xfId="45733" xr:uid="{00000000-0005-0000-0000-0000CC660000}"/>
    <cellStyle name="40 % - Markeringsfarve3 3 8 2 5" xfId="23771" xr:uid="{00000000-0005-0000-0000-0000CD660000}"/>
    <cellStyle name="40 % - Markeringsfarve3 3 8 2 6" xfId="38736" xr:uid="{00000000-0005-0000-0000-0000CE660000}"/>
    <cellStyle name="40 % - Markeringsfarve3 3 8 3" xfId="6011" xr:uid="{00000000-0005-0000-0000-0000CF660000}"/>
    <cellStyle name="40 % - Markeringsfarve3 3 8 3 2" xfId="9639" xr:uid="{00000000-0005-0000-0000-0000D0660000}"/>
    <cellStyle name="40 % - Markeringsfarve3 3 8 3 2 2" xfId="17502" xr:uid="{00000000-0005-0000-0000-0000D1660000}"/>
    <cellStyle name="40 % - Markeringsfarve3 3 8 3 2 2 2" xfId="33778" xr:uid="{00000000-0005-0000-0000-0000D2660000}"/>
    <cellStyle name="40 % - Markeringsfarve3 3 8 3 2 2 3" xfId="48737" xr:uid="{00000000-0005-0000-0000-0000D3660000}"/>
    <cellStyle name="40 % - Markeringsfarve3 3 8 3 2 3" xfId="26776" xr:uid="{00000000-0005-0000-0000-0000D4660000}"/>
    <cellStyle name="40 % - Markeringsfarve3 3 8 3 2 4" xfId="41740" xr:uid="{00000000-0005-0000-0000-0000D5660000}"/>
    <cellStyle name="40 % - Markeringsfarve3 3 8 3 3" xfId="14496" xr:uid="{00000000-0005-0000-0000-0000D6660000}"/>
    <cellStyle name="40 % - Markeringsfarve3 3 8 3 3 2" xfId="30775" xr:uid="{00000000-0005-0000-0000-0000D7660000}"/>
    <cellStyle name="40 % - Markeringsfarve3 3 8 3 3 3" xfId="45735" xr:uid="{00000000-0005-0000-0000-0000D8660000}"/>
    <cellStyle name="40 % - Markeringsfarve3 3 8 3 4" xfId="23773" xr:uid="{00000000-0005-0000-0000-0000D9660000}"/>
    <cellStyle name="40 % - Markeringsfarve3 3 8 3 5" xfId="38738" xr:uid="{00000000-0005-0000-0000-0000DA660000}"/>
    <cellStyle name="40 % - Markeringsfarve3 3 8 4" xfId="6012" xr:uid="{00000000-0005-0000-0000-0000DB660000}"/>
    <cellStyle name="40 % - Markeringsfarve3 3 8 4 2" xfId="10492" xr:uid="{00000000-0005-0000-0000-0000DC660000}"/>
    <cellStyle name="40 % - Markeringsfarve3 3 8 4 2 2" xfId="18341" xr:uid="{00000000-0005-0000-0000-0000DD660000}"/>
    <cellStyle name="40 % - Markeringsfarve3 3 8 4 2 2 2" xfId="34617" xr:uid="{00000000-0005-0000-0000-0000DE660000}"/>
    <cellStyle name="40 % - Markeringsfarve3 3 8 4 2 2 3" xfId="49576" xr:uid="{00000000-0005-0000-0000-0000DF660000}"/>
    <cellStyle name="40 % - Markeringsfarve3 3 8 4 2 3" xfId="27615" xr:uid="{00000000-0005-0000-0000-0000E0660000}"/>
    <cellStyle name="40 % - Markeringsfarve3 3 8 4 2 4" xfId="42579" xr:uid="{00000000-0005-0000-0000-0000E1660000}"/>
    <cellStyle name="40 % - Markeringsfarve3 3 8 4 3" xfId="14497" xr:uid="{00000000-0005-0000-0000-0000E2660000}"/>
    <cellStyle name="40 % - Markeringsfarve3 3 8 4 3 2" xfId="30776" xr:uid="{00000000-0005-0000-0000-0000E3660000}"/>
    <cellStyle name="40 % - Markeringsfarve3 3 8 4 3 3" xfId="45736" xr:uid="{00000000-0005-0000-0000-0000E4660000}"/>
    <cellStyle name="40 % - Markeringsfarve3 3 8 4 4" xfId="23774" xr:uid="{00000000-0005-0000-0000-0000E5660000}"/>
    <cellStyle name="40 % - Markeringsfarve3 3 8 4 5" xfId="38739" xr:uid="{00000000-0005-0000-0000-0000E6660000}"/>
    <cellStyle name="40 % - Markeringsfarve3 3 8 5" xfId="8107" xr:uid="{00000000-0005-0000-0000-0000E7660000}"/>
    <cellStyle name="40 % - Markeringsfarve3 3 8 5 2" xfId="15972" xr:uid="{00000000-0005-0000-0000-0000E8660000}"/>
    <cellStyle name="40 % - Markeringsfarve3 3 8 5 2 2" xfId="32248" xr:uid="{00000000-0005-0000-0000-0000E9660000}"/>
    <cellStyle name="40 % - Markeringsfarve3 3 8 5 2 3" xfId="47207" xr:uid="{00000000-0005-0000-0000-0000EA660000}"/>
    <cellStyle name="40 % - Markeringsfarve3 3 8 5 3" xfId="25246" xr:uid="{00000000-0005-0000-0000-0000EB660000}"/>
    <cellStyle name="40 % - Markeringsfarve3 3 8 5 4" xfId="40210" xr:uid="{00000000-0005-0000-0000-0000EC660000}"/>
    <cellStyle name="40 % - Markeringsfarve3 3 8 6" xfId="14493" xr:uid="{00000000-0005-0000-0000-0000ED660000}"/>
    <cellStyle name="40 % - Markeringsfarve3 3 8 6 2" xfId="30772" xr:uid="{00000000-0005-0000-0000-0000EE660000}"/>
    <cellStyle name="40 % - Markeringsfarve3 3 8 6 3" xfId="45732" xr:uid="{00000000-0005-0000-0000-0000EF660000}"/>
    <cellStyle name="40 % - Markeringsfarve3 3 8 7" xfId="23770" xr:uid="{00000000-0005-0000-0000-0000F0660000}"/>
    <cellStyle name="40 % - Markeringsfarve3 3 8 8" xfId="38735" xr:uid="{00000000-0005-0000-0000-0000F1660000}"/>
    <cellStyle name="40 % - Markeringsfarve3 3 9" xfId="6013" xr:uid="{00000000-0005-0000-0000-0000F2660000}"/>
    <cellStyle name="40 % - Markeringsfarve3 3 9 2" xfId="6014" xr:uid="{00000000-0005-0000-0000-0000F3660000}"/>
    <cellStyle name="40 % - Markeringsfarve3 3 9 2 2" xfId="9714" xr:uid="{00000000-0005-0000-0000-0000F4660000}"/>
    <cellStyle name="40 % - Markeringsfarve3 3 9 2 2 2" xfId="17568" xr:uid="{00000000-0005-0000-0000-0000F5660000}"/>
    <cellStyle name="40 % - Markeringsfarve3 3 9 2 2 2 2" xfId="33844" xr:uid="{00000000-0005-0000-0000-0000F6660000}"/>
    <cellStyle name="40 % - Markeringsfarve3 3 9 2 2 2 3" xfId="48803" xr:uid="{00000000-0005-0000-0000-0000F7660000}"/>
    <cellStyle name="40 % - Markeringsfarve3 3 9 2 2 3" xfId="26842" xr:uid="{00000000-0005-0000-0000-0000F8660000}"/>
    <cellStyle name="40 % - Markeringsfarve3 3 9 2 2 4" xfId="41806" xr:uid="{00000000-0005-0000-0000-0000F9660000}"/>
    <cellStyle name="40 % - Markeringsfarve3 3 9 2 3" xfId="14499" xr:uid="{00000000-0005-0000-0000-0000FA660000}"/>
    <cellStyle name="40 % - Markeringsfarve3 3 9 2 3 2" xfId="30778" xr:uid="{00000000-0005-0000-0000-0000FB660000}"/>
    <cellStyle name="40 % - Markeringsfarve3 3 9 2 3 3" xfId="45738" xr:uid="{00000000-0005-0000-0000-0000FC660000}"/>
    <cellStyle name="40 % - Markeringsfarve3 3 9 2 4" xfId="23776" xr:uid="{00000000-0005-0000-0000-0000FD660000}"/>
    <cellStyle name="40 % - Markeringsfarve3 3 9 2 5" xfId="38741" xr:uid="{00000000-0005-0000-0000-0000FE660000}"/>
    <cellStyle name="40 % - Markeringsfarve3 3 9 3" xfId="8314" xr:uid="{00000000-0005-0000-0000-0000FF660000}"/>
    <cellStyle name="40 % - Markeringsfarve3 3 9 3 2" xfId="16184" xr:uid="{00000000-0005-0000-0000-000000670000}"/>
    <cellStyle name="40 % - Markeringsfarve3 3 9 3 2 2" xfId="32460" xr:uid="{00000000-0005-0000-0000-000001670000}"/>
    <cellStyle name="40 % - Markeringsfarve3 3 9 3 2 3" xfId="47419" xr:uid="{00000000-0005-0000-0000-000002670000}"/>
    <cellStyle name="40 % - Markeringsfarve3 3 9 3 3" xfId="25458" xr:uid="{00000000-0005-0000-0000-000003670000}"/>
    <cellStyle name="40 % - Markeringsfarve3 3 9 3 4" xfId="40422" xr:uid="{00000000-0005-0000-0000-000004670000}"/>
    <cellStyle name="40 % - Markeringsfarve3 3 9 4" xfId="14498" xr:uid="{00000000-0005-0000-0000-000005670000}"/>
    <cellStyle name="40 % - Markeringsfarve3 3 9 4 2" xfId="30777" xr:uid="{00000000-0005-0000-0000-000006670000}"/>
    <cellStyle name="40 % - Markeringsfarve3 3 9 4 3" xfId="45737" xr:uid="{00000000-0005-0000-0000-000007670000}"/>
    <cellStyle name="40 % - Markeringsfarve3 3 9 5" xfId="23775" xr:uid="{00000000-0005-0000-0000-000008670000}"/>
    <cellStyle name="40 % - Markeringsfarve3 3 9 6" xfId="38740" xr:uid="{00000000-0005-0000-0000-000009670000}"/>
    <cellStyle name="40 % - Markeringsfarve3 4" xfId="6015" xr:uid="{00000000-0005-0000-0000-00000A670000}"/>
    <cellStyle name="40 % - Markeringsfarve3 4 10" xfId="8108" xr:uid="{00000000-0005-0000-0000-00000B670000}"/>
    <cellStyle name="40 % - Markeringsfarve3 4 10 2" xfId="15973" xr:uid="{00000000-0005-0000-0000-00000C670000}"/>
    <cellStyle name="40 % - Markeringsfarve3 4 10 2 2" xfId="32249" xr:uid="{00000000-0005-0000-0000-00000D670000}"/>
    <cellStyle name="40 % - Markeringsfarve3 4 10 2 3" xfId="47208" xr:uid="{00000000-0005-0000-0000-00000E670000}"/>
    <cellStyle name="40 % - Markeringsfarve3 4 10 3" xfId="25247" xr:uid="{00000000-0005-0000-0000-00000F670000}"/>
    <cellStyle name="40 % - Markeringsfarve3 4 10 4" xfId="40211" xr:uid="{00000000-0005-0000-0000-000010670000}"/>
    <cellStyle name="40 % - Markeringsfarve3 4 11" xfId="14500" xr:uid="{00000000-0005-0000-0000-000011670000}"/>
    <cellStyle name="40 % - Markeringsfarve3 4 11 2" xfId="30779" xr:uid="{00000000-0005-0000-0000-000012670000}"/>
    <cellStyle name="40 % - Markeringsfarve3 4 11 3" xfId="45739" xr:uid="{00000000-0005-0000-0000-000013670000}"/>
    <cellStyle name="40 % - Markeringsfarve3 4 12" xfId="23777" xr:uid="{00000000-0005-0000-0000-000014670000}"/>
    <cellStyle name="40 % - Markeringsfarve3 4 13" xfId="38742" xr:uid="{00000000-0005-0000-0000-000015670000}"/>
    <cellStyle name="40 % - Markeringsfarve3 4 2" xfId="6016" xr:uid="{00000000-0005-0000-0000-000016670000}"/>
    <cellStyle name="40 % - Markeringsfarve3 4 2 2" xfId="6017" xr:uid="{00000000-0005-0000-0000-000017670000}"/>
    <cellStyle name="40 % - Markeringsfarve3 4 2 2 2" xfId="6018" xr:uid="{00000000-0005-0000-0000-000018670000}"/>
    <cellStyle name="40 % - Markeringsfarve3 4 2 2 2 2" xfId="9857" xr:uid="{00000000-0005-0000-0000-000019670000}"/>
    <cellStyle name="40 % - Markeringsfarve3 4 2 2 2 2 2" xfId="17712" xr:uid="{00000000-0005-0000-0000-00001A670000}"/>
    <cellStyle name="40 % - Markeringsfarve3 4 2 2 2 2 2 2" xfId="33988" xr:uid="{00000000-0005-0000-0000-00001B670000}"/>
    <cellStyle name="40 % - Markeringsfarve3 4 2 2 2 2 2 3" xfId="48947" xr:uid="{00000000-0005-0000-0000-00001C670000}"/>
    <cellStyle name="40 % - Markeringsfarve3 4 2 2 2 2 3" xfId="26986" xr:uid="{00000000-0005-0000-0000-00001D670000}"/>
    <cellStyle name="40 % - Markeringsfarve3 4 2 2 2 2 4" xfId="41950" xr:uid="{00000000-0005-0000-0000-00001E670000}"/>
    <cellStyle name="40 % - Markeringsfarve3 4 2 2 2 3" xfId="14503" xr:uid="{00000000-0005-0000-0000-00001F670000}"/>
    <cellStyle name="40 % - Markeringsfarve3 4 2 2 2 3 2" xfId="30782" xr:uid="{00000000-0005-0000-0000-000020670000}"/>
    <cellStyle name="40 % - Markeringsfarve3 4 2 2 2 3 3" xfId="45742" xr:uid="{00000000-0005-0000-0000-000021670000}"/>
    <cellStyle name="40 % - Markeringsfarve3 4 2 2 2 4" xfId="23780" xr:uid="{00000000-0005-0000-0000-000022670000}"/>
    <cellStyle name="40 % - Markeringsfarve3 4 2 2 2 5" xfId="38745" xr:uid="{00000000-0005-0000-0000-000023670000}"/>
    <cellStyle name="40 % - Markeringsfarve3 4 2 2 3" xfId="8434" xr:uid="{00000000-0005-0000-0000-000024670000}"/>
    <cellStyle name="40 % - Markeringsfarve3 4 2 2 3 2" xfId="16304" xr:uid="{00000000-0005-0000-0000-000025670000}"/>
    <cellStyle name="40 % - Markeringsfarve3 4 2 2 3 2 2" xfId="32580" xr:uid="{00000000-0005-0000-0000-000026670000}"/>
    <cellStyle name="40 % - Markeringsfarve3 4 2 2 3 2 3" xfId="47539" xr:uid="{00000000-0005-0000-0000-000027670000}"/>
    <cellStyle name="40 % - Markeringsfarve3 4 2 2 3 3" xfId="25578" xr:uid="{00000000-0005-0000-0000-000028670000}"/>
    <cellStyle name="40 % - Markeringsfarve3 4 2 2 3 4" xfId="40542" xr:uid="{00000000-0005-0000-0000-000029670000}"/>
    <cellStyle name="40 % - Markeringsfarve3 4 2 2 4" xfId="14502" xr:uid="{00000000-0005-0000-0000-00002A670000}"/>
    <cellStyle name="40 % - Markeringsfarve3 4 2 2 4 2" xfId="30781" xr:uid="{00000000-0005-0000-0000-00002B670000}"/>
    <cellStyle name="40 % - Markeringsfarve3 4 2 2 4 3" xfId="45741" xr:uid="{00000000-0005-0000-0000-00002C670000}"/>
    <cellStyle name="40 % - Markeringsfarve3 4 2 2 5" xfId="23779" xr:uid="{00000000-0005-0000-0000-00002D670000}"/>
    <cellStyle name="40 % - Markeringsfarve3 4 2 2 6" xfId="38744" xr:uid="{00000000-0005-0000-0000-00002E670000}"/>
    <cellStyle name="40 % - Markeringsfarve3 4 2 3" xfId="6019" xr:uid="{00000000-0005-0000-0000-00002F670000}"/>
    <cellStyle name="40 % - Markeringsfarve3 4 2 3 2" xfId="9088" xr:uid="{00000000-0005-0000-0000-000030670000}"/>
    <cellStyle name="40 % - Markeringsfarve3 4 2 3 2 2" xfId="16952" xr:uid="{00000000-0005-0000-0000-000031670000}"/>
    <cellStyle name="40 % - Markeringsfarve3 4 2 3 2 2 2" xfId="33228" xr:uid="{00000000-0005-0000-0000-000032670000}"/>
    <cellStyle name="40 % - Markeringsfarve3 4 2 3 2 2 3" xfId="48187" xr:uid="{00000000-0005-0000-0000-000033670000}"/>
    <cellStyle name="40 % - Markeringsfarve3 4 2 3 2 3" xfId="26226" xr:uid="{00000000-0005-0000-0000-000034670000}"/>
    <cellStyle name="40 % - Markeringsfarve3 4 2 3 2 4" xfId="41190" xr:uid="{00000000-0005-0000-0000-000035670000}"/>
    <cellStyle name="40 % - Markeringsfarve3 4 2 3 3" xfId="14504" xr:uid="{00000000-0005-0000-0000-000036670000}"/>
    <cellStyle name="40 % - Markeringsfarve3 4 2 3 3 2" xfId="30783" xr:uid="{00000000-0005-0000-0000-000037670000}"/>
    <cellStyle name="40 % - Markeringsfarve3 4 2 3 3 3" xfId="45743" xr:uid="{00000000-0005-0000-0000-000038670000}"/>
    <cellStyle name="40 % - Markeringsfarve3 4 2 3 4" xfId="23781" xr:uid="{00000000-0005-0000-0000-000039670000}"/>
    <cellStyle name="40 % - Markeringsfarve3 4 2 3 5" xfId="38746" xr:uid="{00000000-0005-0000-0000-00003A670000}"/>
    <cellStyle name="40 % - Markeringsfarve3 4 2 4" xfId="6020" xr:uid="{00000000-0005-0000-0000-00003B670000}"/>
    <cellStyle name="40 % - Markeringsfarve3 4 2 4 2" xfId="10452" xr:uid="{00000000-0005-0000-0000-00003C670000}"/>
    <cellStyle name="40 % - Markeringsfarve3 4 2 4 2 2" xfId="18304" xr:uid="{00000000-0005-0000-0000-00003D670000}"/>
    <cellStyle name="40 % - Markeringsfarve3 4 2 4 2 2 2" xfId="34580" xr:uid="{00000000-0005-0000-0000-00003E670000}"/>
    <cellStyle name="40 % - Markeringsfarve3 4 2 4 2 2 3" xfId="49539" xr:uid="{00000000-0005-0000-0000-00003F670000}"/>
    <cellStyle name="40 % - Markeringsfarve3 4 2 4 2 3" xfId="27578" xr:uid="{00000000-0005-0000-0000-000040670000}"/>
    <cellStyle name="40 % - Markeringsfarve3 4 2 4 2 4" xfId="42542" xr:uid="{00000000-0005-0000-0000-000041670000}"/>
    <cellStyle name="40 % - Markeringsfarve3 4 2 4 3" xfId="14505" xr:uid="{00000000-0005-0000-0000-000042670000}"/>
    <cellStyle name="40 % - Markeringsfarve3 4 2 4 3 2" xfId="30784" xr:uid="{00000000-0005-0000-0000-000043670000}"/>
    <cellStyle name="40 % - Markeringsfarve3 4 2 4 3 3" xfId="45744" xr:uid="{00000000-0005-0000-0000-000044670000}"/>
    <cellStyle name="40 % - Markeringsfarve3 4 2 4 4" xfId="23782" xr:uid="{00000000-0005-0000-0000-000045670000}"/>
    <cellStyle name="40 % - Markeringsfarve3 4 2 4 5" xfId="38747" xr:uid="{00000000-0005-0000-0000-000046670000}"/>
    <cellStyle name="40 % - Markeringsfarve3 4 2 5" xfId="8109" xr:uid="{00000000-0005-0000-0000-000047670000}"/>
    <cellStyle name="40 % - Markeringsfarve3 4 2 5 2" xfId="15974" xr:uid="{00000000-0005-0000-0000-000048670000}"/>
    <cellStyle name="40 % - Markeringsfarve3 4 2 5 2 2" xfId="32250" xr:uid="{00000000-0005-0000-0000-000049670000}"/>
    <cellStyle name="40 % - Markeringsfarve3 4 2 5 2 3" xfId="47209" xr:uid="{00000000-0005-0000-0000-00004A670000}"/>
    <cellStyle name="40 % - Markeringsfarve3 4 2 5 3" xfId="25248" xr:uid="{00000000-0005-0000-0000-00004B670000}"/>
    <cellStyle name="40 % - Markeringsfarve3 4 2 5 4" xfId="40212" xr:uid="{00000000-0005-0000-0000-00004C670000}"/>
    <cellStyle name="40 % - Markeringsfarve3 4 2 6" xfId="14501" xr:uid="{00000000-0005-0000-0000-00004D670000}"/>
    <cellStyle name="40 % - Markeringsfarve3 4 2 6 2" xfId="30780" xr:uid="{00000000-0005-0000-0000-00004E670000}"/>
    <cellStyle name="40 % - Markeringsfarve3 4 2 6 3" xfId="45740" xr:uid="{00000000-0005-0000-0000-00004F670000}"/>
    <cellStyle name="40 % - Markeringsfarve3 4 2 7" xfId="23778" xr:uid="{00000000-0005-0000-0000-000050670000}"/>
    <cellStyle name="40 % - Markeringsfarve3 4 2 8" xfId="38743" xr:uid="{00000000-0005-0000-0000-000051670000}"/>
    <cellStyle name="40 % - Markeringsfarve3 4 3" xfId="6021" xr:uid="{00000000-0005-0000-0000-000052670000}"/>
    <cellStyle name="40 % - Markeringsfarve3 4 3 2" xfId="6022" xr:uid="{00000000-0005-0000-0000-000053670000}"/>
    <cellStyle name="40 % - Markeringsfarve3 4 3 2 2" xfId="6023" xr:uid="{00000000-0005-0000-0000-000054670000}"/>
    <cellStyle name="40 % - Markeringsfarve3 4 3 2 2 2" xfId="10009" xr:uid="{00000000-0005-0000-0000-000055670000}"/>
    <cellStyle name="40 % - Markeringsfarve3 4 3 2 2 2 2" xfId="17864" xr:uid="{00000000-0005-0000-0000-000056670000}"/>
    <cellStyle name="40 % - Markeringsfarve3 4 3 2 2 2 2 2" xfId="34140" xr:uid="{00000000-0005-0000-0000-000057670000}"/>
    <cellStyle name="40 % - Markeringsfarve3 4 3 2 2 2 2 3" xfId="49099" xr:uid="{00000000-0005-0000-0000-000058670000}"/>
    <cellStyle name="40 % - Markeringsfarve3 4 3 2 2 2 3" xfId="27138" xr:uid="{00000000-0005-0000-0000-000059670000}"/>
    <cellStyle name="40 % - Markeringsfarve3 4 3 2 2 2 4" xfId="42102" xr:uid="{00000000-0005-0000-0000-00005A670000}"/>
    <cellStyle name="40 % - Markeringsfarve3 4 3 2 2 3" xfId="14508" xr:uid="{00000000-0005-0000-0000-00005B670000}"/>
    <cellStyle name="40 % - Markeringsfarve3 4 3 2 2 3 2" xfId="30787" xr:uid="{00000000-0005-0000-0000-00005C670000}"/>
    <cellStyle name="40 % - Markeringsfarve3 4 3 2 2 3 3" xfId="45747" xr:uid="{00000000-0005-0000-0000-00005D670000}"/>
    <cellStyle name="40 % - Markeringsfarve3 4 3 2 2 4" xfId="23785" xr:uid="{00000000-0005-0000-0000-00005E670000}"/>
    <cellStyle name="40 % - Markeringsfarve3 4 3 2 2 5" xfId="38750" xr:uid="{00000000-0005-0000-0000-00005F670000}"/>
    <cellStyle name="40 % - Markeringsfarve3 4 3 2 3" xfId="8556" xr:uid="{00000000-0005-0000-0000-000060670000}"/>
    <cellStyle name="40 % - Markeringsfarve3 4 3 2 3 2" xfId="16426" xr:uid="{00000000-0005-0000-0000-000061670000}"/>
    <cellStyle name="40 % - Markeringsfarve3 4 3 2 3 2 2" xfId="32702" xr:uid="{00000000-0005-0000-0000-000062670000}"/>
    <cellStyle name="40 % - Markeringsfarve3 4 3 2 3 2 3" xfId="47661" xr:uid="{00000000-0005-0000-0000-000063670000}"/>
    <cellStyle name="40 % - Markeringsfarve3 4 3 2 3 3" xfId="25700" xr:uid="{00000000-0005-0000-0000-000064670000}"/>
    <cellStyle name="40 % - Markeringsfarve3 4 3 2 3 4" xfId="40664" xr:uid="{00000000-0005-0000-0000-000065670000}"/>
    <cellStyle name="40 % - Markeringsfarve3 4 3 2 4" xfId="14507" xr:uid="{00000000-0005-0000-0000-000066670000}"/>
    <cellStyle name="40 % - Markeringsfarve3 4 3 2 4 2" xfId="30786" xr:uid="{00000000-0005-0000-0000-000067670000}"/>
    <cellStyle name="40 % - Markeringsfarve3 4 3 2 4 3" xfId="45746" xr:uid="{00000000-0005-0000-0000-000068670000}"/>
    <cellStyle name="40 % - Markeringsfarve3 4 3 2 5" xfId="23784" xr:uid="{00000000-0005-0000-0000-000069670000}"/>
    <cellStyle name="40 % - Markeringsfarve3 4 3 2 6" xfId="38749" xr:uid="{00000000-0005-0000-0000-00006A670000}"/>
    <cellStyle name="40 % - Markeringsfarve3 4 3 3" xfId="6024" xr:uid="{00000000-0005-0000-0000-00006B670000}"/>
    <cellStyle name="40 % - Markeringsfarve3 4 3 3 2" xfId="9240" xr:uid="{00000000-0005-0000-0000-00006C670000}"/>
    <cellStyle name="40 % - Markeringsfarve3 4 3 3 2 2" xfId="17104" xr:uid="{00000000-0005-0000-0000-00006D670000}"/>
    <cellStyle name="40 % - Markeringsfarve3 4 3 3 2 2 2" xfId="33380" xr:uid="{00000000-0005-0000-0000-00006E670000}"/>
    <cellStyle name="40 % - Markeringsfarve3 4 3 3 2 2 3" xfId="48339" xr:uid="{00000000-0005-0000-0000-00006F670000}"/>
    <cellStyle name="40 % - Markeringsfarve3 4 3 3 2 3" xfId="26378" xr:uid="{00000000-0005-0000-0000-000070670000}"/>
    <cellStyle name="40 % - Markeringsfarve3 4 3 3 2 4" xfId="41342" xr:uid="{00000000-0005-0000-0000-000071670000}"/>
    <cellStyle name="40 % - Markeringsfarve3 4 3 3 3" xfId="14509" xr:uid="{00000000-0005-0000-0000-000072670000}"/>
    <cellStyle name="40 % - Markeringsfarve3 4 3 3 3 2" xfId="30788" xr:uid="{00000000-0005-0000-0000-000073670000}"/>
    <cellStyle name="40 % - Markeringsfarve3 4 3 3 3 3" xfId="45748" xr:uid="{00000000-0005-0000-0000-000074670000}"/>
    <cellStyle name="40 % - Markeringsfarve3 4 3 3 4" xfId="23786" xr:uid="{00000000-0005-0000-0000-000075670000}"/>
    <cellStyle name="40 % - Markeringsfarve3 4 3 3 5" xfId="38751" xr:uid="{00000000-0005-0000-0000-000076670000}"/>
    <cellStyle name="40 % - Markeringsfarve3 4 3 4" xfId="6025" xr:uid="{00000000-0005-0000-0000-000077670000}"/>
    <cellStyle name="40 % - Markeringsfarve3 4 3 4 2" xfId="9270" xr:uid="{00000000-0005-0000-0000-000078670000}"/>
    <cellStyle name="40 % - Markeringsfarve3 4 3 4 2 2" xfId="17134" xr:uid="{00000000-0005-0000-0000-000079670000}"/>
    <cellStyle name="40 % - Markeringsfarve3 4 3 4 2 2 2" xfId="33410" xr:uid="{00000000-0005-0000-0000-00007A670000}"/>
    <cellStyle name="40 % - Markeringsfarve3 4 3 4 2 2 3" xfId="48369" xr:uid="{00000000-0005-0000-0000-00007B670000}"/>
    <cellStyle name="40 % - Markeringsfarve3 4 3 4 2 3" xfId="26408" xr:uid="{00000000-0005-0000-0000-00007C670000}"/>
    <cellStyle name="40 % - Markeringsfarve3 4 3 4 2 4" xfId="41372" xr:uid="{00000000-0005-0000-0000-00007D670000}"/>
    <cellStyle name="40 % - Markeringsfarve3 4 3 4 3" xfId="14510" xr:uid="{00000000-0005-0000-0000-00007E670000}"/>
    <cellStyle name="40 % - Markeringsfarve3 4 3 4 3 2" xfId="30789" xr:uid="{00000000-0005-0000-0000-00007F670000}"/>
    <cellStyle name="40 % - Markeringsfarve3 4 3 4 3 3" xfId="45749" xr:uid="{00000000-0005-0000-0000-000080670000}"/>
    <cellStyle name="40 % - Markeringsfarve3 4 3 4 4" xfId="23787" xr:uid="{00000000-0005-0000-0000-000081670000}"/>
    <cellStyle name="40 % - Markeringsfarve3 4 3 4 5" xfId="38752" xr:uid="{00000000-0005-0000-0000-000082670000}"/>
    <cellStyle name="40 % - Markeringsfarve3 4 3 5" xfId="8110" xr:uid="{00000000-0005-0000-0000-000083670000}"/>
    <cellStyle name="40 % - Markeringsfarve3 4 3 5 2" xfId="15975" xr:uid="{00000000-0005-0000-0000-000084670000}"/>
    <cellStyle name="40 % - Markeringsfarve3 4 3 5 2 2" xfId="32251" xr:uid="{00000000-0005-0000-0000-000085670000}"/>
    <cellStyle name="40 % - Markeringsfarve3 4 3 5 2 3" xfId="47210" xr:uid="{00000000-0005-0000-0000-000086670000}"/>
    <cellStyle name="40 % - Markeringsfarve3 4 3 5 3" xfId="25249" xr:uid="{00000000-0005-0000-0000-000087670000}"/>
    <cellStyle name="40 % - Markeringsfarve3 4 3 5 4" xfId="40213" xr:uid="{00000000-0005-0000-0000-000088670000}"/>
    <cellStyle name="40 % - Markeringsfarve3 4 3 6" xfId="14506" xr:uid="{00000000-0005-0000-0000-000089670000}"/>
    <cellStyle name="40 % - Markeringsfarve3 4 3 6 2" xfId="30785" xr:uid="{00000000-0005-0000-0000-00008A670000}"/>
    <cellStyle name="40 % - Markeringsfarve3 4 3 6 3" xfId="45745" xr:uid="{00000000-0005-0000-0000-00008B670000}"/>
    <cellStyle name="40 % - Markeringsfarve3 4 3 7" xfId="23783" xr:uid="{00000000-0005-0000-0000-00008C670000}"/>
    <cellStyle name="40 % - Markeringsfarve3 4 3 8" xfId="38748" xr:uid="{00000000-0005-0000-0000-00008D670000}"/>
    <cellStyle name="40 % - Markeringsfarve3 4 4" xfId="6026" xr:uid="{00000000-0005-0000-0000-00008E670000}"/>
    <cellStyle name="40 % - Markeringsfarve3 4 4 2" xfId="6027" xr:uid="{00000000-0005-0000-0000-00008F670000}"/>
    <cellStyle name="40 % - Markeringsfarve3 4 4 2 2" xfId="6028" xr:uid="{00000000-0005-0000-0000-000090670000}"/>
    <cellStyle name="40 % - Markeringsfarve3 4 4 2 2 2" xfId="10095" xr:uid="{00000000-0005-0000-0000-000091670000}"/>
    <cellStyle name="40 % - Markeringsfarve3 4 4 2 2 2 2" xfId="17950" xr:uid="{00000000-0005-0000-0000-000092670000}"/>
    <cellStyle name="40 % - Markeringsfarve3 4 4 2 2 2 2 2" xfId="34226" xr:uid="{00000000-0005-0000-0000-000093670000}"/>
    <cellStyle name="40 % - Markeringsfarve3 4 4 2 2 2 2 3" xfId="49185" xr:uid="{00000000-0005-0000-0000-000094670000}"/>
    <cellStyle name="40 % - Markeringsfarve3 4 4 2 2 2 3" xfId="27224" xr:uid="{00000000-0005-0000-0000-000095670000}"/>
    <cellStyle name="40 % - Markeringsfarve3 4 4 2 2 2 4" xfId="42188" xr:uid="{00000000-0005-0000-0000-000096670000}"/>
    <cellStyle name="40 % - Markeringsfarve3 4 4 2 2 3" xfId="14513" xr:uid="{00000000-0005-0000-0000-000097670000}"/>
    <cellStyle name="40 % - Markeringsfarve3 4 4 2 2 3 2" xfId="30792" xr:uid="{00000000-0005-0000-0000-000098670000}"/>
    <cellStyle name="40 % - Markeringsfarve3 4 4 2 2 3 3" xfId="45752" xr:uid="{00000000-0005-0000-0000-000099670000}"/>
    <cellStyle name="40 % - Markeringsfarve3 4 4 2 2 4" xfId="23790" xr:uid="{00000000-0005-0000-0000-00009A670000}"/>
    <cellStyle name="40 % - Markeringsfarve3 4 4 2 2 5" xfId="38755" xr:uid="{00000000-0005-0000-0000-00009B670000}"/>
    <cellStyle name="40 % - Markeringsfarve3 4 4 2 3" xfId="8636" xr:uid="{00000000-0005-0000-0000-00009C670000}"/>
    <cellStyle name="40 % - Markeringsfarve3 4 4 2 3 2" xfId="16503" xr:uid="{00000000-0005-0000-0000-00009D670000}"/>
    <cellStyle name="40 % - Markeringsfarve3 4 4 2 3 2 2" xfId="32779" xr:uid="{00000000-0005-0000-0000-00009E670000}"/>
    <cellStyle name="40 % - Markeringsfarve3 4 4 2 3 2 3" xfId="47738" xr:uid="{00000000-0005-0000-0000-00009F670000}"/>
    <cellStyle name="40 % - Markeringsfarve3 4 4 2 3 3" xfId="25777" xr:uid="{00000000-0005-0000-0000-0000A0670000}"/>
    <cellStyle name="40 % - Markeringsfarve3 4 4 2 3 4" xfId="40741" xr:uid="{00000000-0005-0000-0000-0000A1670000}"/>
    <cellStyle name="40 % - Markeringsfarve3 4 4 2 4" xfId="14512" xr:uid="{00000000-0005-0000-0000-0000A2670000}"/>
    <cellStyle name="40 % - Markeringsfarve3 4 4 2 4 2" xfId="30791" xr:uid="{00000000-0005-0000-0000-0000A3670000}"/>
    <cellStyle name="40 % - Markeringsfarve3 4 4 2 4 3" xfId="45751" xr:uid="{00000000-0005-0000-0000-0000A4670000}"/>
    <cellStyle name="40 % - Markeringsfarve3 4 4 2 5" xfId="23789" xr:uid="{00000000-0005-0000-0000-0000A5670000}"/>
    <cellStyle name="40 % - Markeringsfarve3 4 4 2 6" xfId="38754" xr:uid="{00000000-0005-0000-0000-0000A6670000}"/>
    <cellStyle name="40 % - Markeringsfarve3 4 4 3" xfId="6029" xr:uid="{00000000-0005-0000-0000-0000A7670000}"/>
    <cellStyle name="40 % - Markeringsfarve3 4 4 3 2" xfId="9372" xr:uid="{00000000-0005-0000-0000-0000A8670000}"/>
    <cellStyle name="40 % - Markeringsfarve3 4 4 3 2 2" xfId="17235" xr:uid="{00000000-0005-0000-0000-0000A9670000}"/>
    <cellStyle name="40 % - Markeringsfarve3 4 4 3 2 2 2" xfId="33511" xr:uid="{00000000-0005-0000-0000-0000AA670000}"/>
    <cellStyle name="40 % - Markeringsfarve3 4 4 3 2 2 3" xfId="48470" xr:uid="{00000000-0005-0000-0000-0000AB670000}"/>
    <cellStyle name="40 % - Markeringsfarve3 4 4 3 2 3" xfId="26509" xr:uid="{00000000-0005-0000-0000-0000AC670000}"/>
    <cellStyle name="40 % - Markeringsfarve3 4 4 3 2 4" xfId="41473" xr:uid="{00000000-0005-0000-0000-0000AD670000}"/>
    <cellStyle name="40 % - Markeringsfarve3 4 4 3 3" xfId="14514" xr:uid="{00000000-0005-0000-0000-0000AE670000}"/>
    <cellStyle name="40 % - Markeringsfarve3 4 4 3 3 2" xfId="30793" xr:uid="{00000000-0005-0000-0000-0000AF670000}"/>
    <cellStyle name="40 % - Markeringsfarve3 4 4 3 3 3" xfId="45753" xr:uid="{00000000-0005-0000-0000-0000B0670000}"/>
    <cellStyle name="40 % - Markeringsfarve3 4 4 3 4" xfId="23791" xr:uid="{00000000-0005-0000-0000-0000B1670000}"/>
    <cellStyle name="40 % - Markeringsfarve3 4 4 3 5" xfId="38756" xr:uid="{00000000-0005-0000-0000-0000B2670000}"/>
    <cellStyle name="40 % - Markeringsfarve3 4 4 4" xfId="6030" xr:uid="{00000000-0005-0000-0000-0000B3670000}"/>
    <cellStyle name="40 % - Markeringsfarve3 4 4 4 2" xfId="9283" xr:uid="{00000000-0005-0000-0000-0000B4670000}"/>
    <cellStyle name="40 % - Markeringsfarve3 4 4 4 2 2" xfId="17147" xr:uid="{00000000-0005-0000-0000-0000B5670000}"/>
    <cellStyle name="40 % - Markeringsfarve3 4 4 4 2 2 2" xfId="33423" xr:uid="{00000000-0005-0000-0000-0000B6670000}"/>
    <cellStyle name="40 % - Markeringsfarve3 4 4 4 2 2 3" xfId="48382" xr:uid="{00000000-0005-0000-0000-0000B7670000}"/>
    <cellStyle name="40 % - Markeringsfarve3 4 4 4 2 3" xfId="26421" xr:uid="{00000000-0005-0000-0000-0000B8670000}"/>
    <cellStyle name="40 % - Markeringsfarve3 4 4 4 2 4" xfId="41385" xr:uid="{00000000-0005-0000-0000-0000B9670000}"/>
    <cellStyle name="40 % - Markeringsfarve3 4 4 4 3" xfId="14515" xr:uid="{00000000-0005-0000-0000-0000BA670000}"/>
    <cellStyle name="40 % - Markeringsfarve3 4 4 4 3 2" xfId="30794" xr:uid="{00000000-0005-0000-0000-0000BB670000}"/>
    <cellStyle name="40 % - Markeringsfarve3 4 4 4 3 3" xfId="45754" xr:uid="{00000000-0005-0000-0000-0000BC670000}"/>
    <cellStyle name="40 % - Markeringsfarve3 4 4 4 4" xfId="23792" xr:uid="{00000000-0005-0000-0000-0000BD670000}"/>
    <cellStyle name="40 % - Markeringsfarve3 4 4 4 5" xfId="38757" xr:uid="{00000000-0005-0000-0000-0000BE670000}"/>
    <cellStyle name="40 % - Markeringsfarve3 4 4 5" xfId="8111" xr:uid="{00000000-0005-0000-0000-0000BF670000}"/>
    <cellStyle name="40 % - Markeringsfarve3 4 4 5 2" xfId="15976" xr:uid="{00000000-0005-0000-0000-0000C0670000}"/>
    <cellStyle name="40 % - Markeringsfarve3 4 4 5 2 2" xfId="32252" xr:uid="{00000000-0005-0000-0000-0000C1670000}"/>
    <cellStyle name="40 % - Markeringsfarve3 4 4 5 2 3" xfId="47211" xr:uid="{00000000-0005-0000-0000-0000C2670000}"/>
    <cellStyle name="40 % - Markeringsfarve3 4 4 5 3" xfId="25250" xr:uid="{00000000-0005-0000-0000-0000C3670000}"/>
    <cellStyle name="40 % - Markeringsfarve3 4 4 5 4" xfId="40214" xr:uid="{00000000-0005-0000-0000-0000C4670000}"/>
    <cellStyle name="40 % - Markeringsfarve3 4 4 6" xfId="14511" xr:uid="{00000000-0005-0000-0000-0000C5670000}"/>
    <cellStyle name="40 % - Markeringsfarve3 4 4 6 2" xfId="30790" xr:uid="{00000000-0005-0000-0000-0000C6670000}"/>
    <cellStyle name="40 % - Markeringsfarve3 4 4 6 3" xfId="45750" xr:uid="{00000000-0005-0000-0000-0000C7670000}"/>
    <cellStyle name="40 % - Markeringsfarve3 4 4 7" xfId="23788" xr:uid="{00000000-0005-0000-0000-0000C8670000}"/>
    <cellStyle name="40 % - Markeringsfarve3 4 4 8" xfId="38753" xr:uid="{00000000-0005-0000-0000-0000C9670000}"/>
    <cellStyle name="40 % - Markeringsfarve3 4 5" xfId="6031" xr:uid="{00000000-0005-0000-0000-0000CA670000}"/>
    <cellStyle name="40 % - Markeringsfarve3 4 5 2" xfId="6032" xr:uid="{00000000-0005-0000-0000-0000CB670000}"/>
    <cellStyle name="40 % - Markeringsfarve3 4 5 2 2" xfId="6033" xr:uid="{00000000-0005-0000-0000-0000CC670000}"/>
    <cellStyle name="40 % - Markeringsfarve3 4 5 2 2 2" xfId="10212" xr:uid="{00000000-0005-0000-0000-0000CD670000}"/>
    <cellStyle name="40 % - Markeringsfarve3 4 5 2 2 2 2" xfId="18067" xr:uid="{00000000-0005-0000-0000-0000CE670000}"/>
    <cellStyle name="40 % - Markeringsfarve3 4 5 2 2 2 2 2" xfId="34343" xr:uid="{00000000-0005-0000-0000-0000CF670000}"/>
    <cellStyle name="40 % - Markeringsfarve3 4 5 2 2 2 2 3" xfId="49302" xr:uid="{00000000-0005-0000-0000-0000D0670000}"/>
    <cellStyle name="40 % - Markeringsfarve3 4 5 2 2 2 3" xfId="27341" xr:uid="{00000000-0005-0000-0000-0000D1670000}"/>
    <cellStyle name="40 % - Markeringsfarve3 4 5 2 2 2 4" xfId="42305" xr:uid="{00000000-0005-0000-0000-0000D2670000}"/>
    <cellStyle name="40 % - Markeringsfarve3 4 5 2 2 3" xfId="14518" xr:uid="{00000000-0005-0000-0000-0000D3670000}"/>
    <cellStyle name="40 % - Markeringsfarve3 4 5 2 2 3 2" xfId="30797" xr:uid="{00000000-0005-0000-0000-0000D4670000}"/>
    <cellStyle name="40 % - Markeringsfarve3 4 5 2 2 3 3" xfId="45757" xr:uid="{00000000-0005-0000-0000-0000D5670000}"/>
    <cellStyle name="40 % - Markeringsfarve3 4 5 2 2 4" xfId="23795" xr:uid="{00000000-0005-0000-0000-0000D6670000}"/>
    <cellStyle name="40 % - Markeringsfarve3 4 5 2 2 5" xfId="38760" xr:uid="{00000000-0005-0000-0000-0000D7670000}"/>
    <cellStyle name="40 % - Markeringsfarve3 4 5 2 3" xfId="8735" xr:uid="{00000000-0005-0000-0000-0000D8670000}"/>
    <cellStyle name="40 % - Markeringsfarve3 4 5 2 3 2" xfId="16602" xr:uid="{00000000-0005-0000-0000-0000D9670000}"/>
    <cellStyle name="40 % - Markeringsfarve3 4 5 2 3 2 2" xfId="32878" xr:uid="{00000000-0005-0000-0000-0000DA670000}"/>
    <cellStyle name="40 % - Markeringsfarve3 4 5 2 3 2 3" xfId="47837" xr:uid="{00000000-0005-0000-0000-0000DB670000}"/>
    <cellStyle name="40 % - Markeringsfarve3 4 5 2 3 3" xfId="25876" xr:uid="{00000000-0005-0000-0000-0000DC670000}"/>
    <cellStyle name="40 % - Markeringsfarve3 4 5 2 3 4" xfId="40840" xr:uid="{00000000-0005-0000-0000-0000DD670000}"/>
    <cellStyle name="40 % - Markeringsfarve3 4 5 2 4" xfId="14517" xr:uid="{00000000-0005-0000-0000-0000DE670000}"/>
    <cellStyle name="40 % - Markeringsfarve3 4 5 2 4 2" xfId="30796" xr:uid="{00000000-0005-0000-0000-0000DF670000}"/>
    <cellStyle name="40 % - Markeringsfarve3 4 5 2 4 3" xfId="45756" xr:uid="{00000000-0005-0000-0000-0000E0670000}"/>
    <cellStyle name="40 % - Markeringsfarve3 4 5 2 5" xfId="23794" xr:uid="{00000000-0005-0000-0000-0000E1670000}"/>
    <cellStyle name="40 % - Markeringsfarve3 4 5 2 6" xfId="38759" xr:uid="{00000000-0005-0000-0000-0000E2670000}"/>
    <cellStyle name="40 % - Markeringsfarve3 4 5 3" xfId="6034" xr:uid="{00000000-0005-0000-0000-0000E3670000}"/>
    <cellStyle name="40 % - Markeringsfarve3 4 5 3 2" xfId="9489" xr:uid="{00000000-0005-0000-0000-0000E4670000}"/>
    <cellStyle name="40 % - Markeringsfarve3 4 5 3 2 2" xfId="17352" xr:uid="{00000000-0005-0000-0000-0000E5670000}"/>
    <cellStyle name="40 % - Markeringsfarve3 4 5 3 2 2 2" xfId="33628" xr:uid="{00000000-0005-0000-0000-0000E6670000}"/>
    <cellStyle name="40 % - Markeringsfarve3 4 5 3 2 2 3" xfId="48587" xr:uid="{00000000-0005-0000-0000-0000E7670000}"/>
    <cellStyle name="40 % - Markeringsfarve3 4 5 3 2 3" xfId="26626" xr:uid="{00000000-0005-0000-0000-0000E8670000}"/>
    <cellStyle name="40 % - Markeringsfarve3 4 5 3 2 4" xfId="41590" xr:uid="{00000000-0005-0000-0000-0000E9670000}"/>
    <cellStyle name="40 % - Markeringsfarve3 4 5 3 3" xfId="14519" xr:uid="{00000000-0005-0000-0000-0000EA670000}"/>
    <cellStyle name="40 % - Markeringsfarve3 4 5 3 3 2" xfId="30798" xr:uid="{00000000-0005-0000-0000-0000EB670000}"/>
    <cellStyle name="40 % - Markeringsfarve3 4 5 3 3 3" xfId="45758" xr:uid="{00000000-0005-0000-0000-0000EC670000}"/>
    <cellStyle name="40 % - Markeringsfarve3 4 5 3 4" xfId="23796" xr:uid="{00000000-0005-0000-0000-0000ED670000}"/>
    <cellStyle name="40 % - Markeringsfarve3 4 5 3 5" xfId="38761" xr:uid="{00000000-0005-0000-0000-0000EE670000}"/>
    <cellStyle name="40 % - Markeringsfarve3 4 5 4" xfId="6035" xr:uid="{00000000-0005-0000-0000-0000EF670000}"/>
    <cellStyle name="40 % - Markeringsfarve3 4 5 4 2" xfId="10732" xr:uid="{00000000-0005-0000-0000-0000F0670000}"/>
    <cellStyle name="40 % - Markeringsfarve3 4 5 4 2 2" xfId="18576" xr:uid="{00000000-0005-0000-0000-0000F1670000}"/>
    <cellStyle name="40 % - Markeringsfarve3 4 5 4 2 2 2" xfId="34852" xr:uid="{00000000-0005-0000-0000-0000F2670000}"/>
    <cellStyle name="40 % - Markeringsfarve3 4 5 4 2 2 3" xfId="49811" xr:uid="{00000000-0005-0000-0000-0000F3670000}"/>
    <cellStyle name="40 % - Markeringsfarve3 4 5 4 2 3" xfId="27850" xr:uid="{00000000-0005-0000-0000-0000F4670000}"/>
    <cellStyle name="40 % - Markeringsfarve3 4 5 4 2 4" xfId="42814" xr:uid="{00000000-0005-0000-0000-0000F5670000}"/>
    <cellStyle name="40 % - Markeringsfarve3 4 5 4 3" xfId="14520" xr:uid="{00000000-0005-0000-0000-0000F6670000}"/>
    <cellStyle name="40 % - Markeringsfarve3 4 5 4 3 2" xfId="30799" xr:uid="{00000000-0005-0000-0000-0000F7670000}"/>
    <cellStyle name="40 % - Markeringsfarve3 4 5 4 3 3" xfId="45759" xr:uid="{00000000-0005-0000-0000-0000F8670000}"/>
    <cellStyle name="40 % - Markeringsfarve3 4 5 4 4" xfId="23797" xr:uid="{00000000-0005-0000-0000-0000F9670000}"/>
    <cellStyle name="40 % - Markeringsfarve3 4 5 4 5" xfId="38762" xr:uid="{00000000-0005-0000-0000-0000FA670000}"/>
    <cellStyle name="40 % - Markeringsfarve3 4 5 5" xfId="8112" xr:uid="{00000000-0005-0000-0000-0000FB670000}"/>
    <cellStyle name="40 % - Markeringsfarve3 4 5 5 2" xfId="15977" xr:uid="{00000000-0005-0000-0000-0000FC670000}"/>
    <cellStyle name="40 % - Markeringsfarve3 4 5 5 2 2" xfId="32253" xr:uid="{00000000-0005-0000-0000-0000FD670000}"/>
    <cellStyle name="40 % - Markeringsfarve3 4 5 5 2 3" xfId="47212" xr:uid="{00000000-0005-0000-0000-0000FE670000}"/>
    <cellStyle name="40 % - Markeringsfarve3 4 5 5 3" xfId="25251" xr:uid="{00000000-0005-0000-0000-0000FF670000}"/>
    <cellStyle name="40 % - Markeringsfarve3 4 5 5 4" xfId="40215" xr:uid="{00000000-0005-0000-0000-000000680000}"/>
    <cellStyle name="40 % - Markeringsfarve3 4 5 6" xfId="14516" xr:uid="{00000000-0005-0000-0000-000001680000}"/>
    <cellStyle name="40 % - Markeringsfarve3 4 5 6 2" xfId="30795" xr:uid="{00000000-0005-0000-0000-000002680000}"/>
    <cellStyle name="40 % - Markeringsfarve3 4 5 6 3" xfId="45755" xr:uid="{00000000-0005-0000-0000-000003680000}"/>
    <cellStyle name="40 % - Markeringsfarve3 4 5 7" xfId="23793" xr:uid="{00000000-0005-0000-0000-000004680000}"/>
    <cellStyle name="40 % - Markeringsfarve3 4 5 8" xfId="38758" xr:uid="{00000000-0005-0000-0000-000005680000}"/>
    <cellStyle name="40 % - Markeringsfarve3 4 6" xfId="6036" xr:uid="{00000000-0005-0000-0000-000006680000}"/>
    <cellStyle name="40 % - Markeringsfarve3 4 6 2" xfId="6037" xr:uid="{00000000-0005-0000-0000-000007680000}"/>
    <cellStyle name="40 % - Markeringsfarve3 4 6 2 2" xfId="6038" xr:uid="{00000000-0005-0000-0000-000008680000}"/>
    <cellStyle name="40 % - Markeringsfarve3 4 6 2 2 2" xfId="10364" xr:uid="{00000000-0005-0000-0000-000009680000}"/>
    <cellStyle name="40 % - Markeringsfarve3 4 6 2 2 2 2" xfId="18219" xr:uid="{00000000-0005-0000-0000-00000A680000}"/>
    <cellStyle name="40 % - Markeringsfarve3 4 6 2 2 2 2 2" xfId="34495" xr:uid="{00000000-0005-0000-0000-00000B680000}"/>
    <cellStyle name="40 % - Markeringsfarve3 4 6 2 2 2 2 3" xfId="49454" xr:uid="{00000000-0005-0000-0000-00000C680000}"/>
    <cellStyle name="40 % - Markeringsfarve3 4 6 2 2 2 3" xfId="27493" xr:uid="{00000000-0005-0000-0000-00000D680000}"/>
    <cellStyle name="40 % - Markeringsfarve3 4 6 2 2 2 4" xfId="42457" xr:uid="{00000000-0005-0000-0000-00000E680000}"/>
    <cellStyle name="40 % - Markeringsfarve3 4 6 2 2 3" xfId="14523" xr:uid="{00000000-0005-0000-0000-00000F680000}"/>
    <cellStyle name="40 % - Markeringsfarve3 4 6 2 2 3 2" xfId="30802" xr:uid="{00000000-0005-0000-0000-000010680000}"/>
    <cellStyle name="40 % - Markeringsfarve3 4 6 2 2 3 3" xfId="45762" xr:uid="{00000000-0005-0000-0000-000011680000}"/>
    <cellStyle name="40 % - Markeringsfarve3 4 6 2 2 4" xfId="23800" xr:uid="{00000000-0005-0000-0000-000012680000}"/>
    <cellStyle name="40 % - Markeringsfarve3 4 6 2 2 5" xfId="38765" xr:uid="{00000000-0005-0000-0000-000013680000}"/>
    <cellStyle name="40 % - Markeringsfarve3 4 6 2 3" xfId="8858" xr:uid="{00000000-0005-0000-0000-000014680000}"/>
    <cellStyle name="40 % - Markeringsfarve3 4 6 2 3 2" xfId="16725" xr:uid="{00000000-0005-0000-0000-000015680000}"/>
    <cellStyle name="40 % - Markeringsfarve3 4 6 2 3 2 2" xfId="33001" xr:uid="{00000000-0005-0000-0000-000016680000}"/>
    <cellStyle name="40 % - Markeringsfarve3 4 6 2 3 2 3" xfId="47960" xr:uid="{00000000-0005-0000-0000-000017680000}"/>
    <cellStyle name="40 % - Markeringsfarve3 4 6 2 3 3" xfId="25999" xr:uid="{00000000-0005-0000-0000-000018680000}"/>
    <cellStyle name="40 % - Markeringsfarve3 4 6 2 3 4" xfId="40963" xr:uid="{00000000-0005-0000-0000-000019680000}"/>
    <cellStyle name="40 % - Markeringsfarve3 4 6 2 4" xfId="14522" xr:uid="{00000000-0005-0000-0000-00001A680000}"/>
    <cellStyle name="40 % - Markeringsfarve3 4 6 2 4 2" xfId="30801" xr:uid="{00000000-0005-0000-0000-00001B680000}"/>
    <cellStyle name="40 % - Markeringsfarve3 4 6 2 4 3" xfId="45761" xr:uid="{00000000-0005-0000-0000-00001C680000}"/>
    <cellStyle name="40 % - Markeringsfarve3 4 6 2 5" xfId="23799" xr:uid="{00000000-0005-0000-0000-00001D680000}"/>
    <cellStyle name="40 % - Markeringsfarve3 4 6 2 6" xfId="38764" xr:uid="{00000000-0005-0000-0000-00001E680000}"/>
    <cellStyle name="40 % - Markeringsfarve3 4 6 3" xfId="6039" xr:uid="{00000000-0005-0000-0000-00001F680000}"/>
    <cellStyle name="40 % - Markeringsfarve3 4 6 3 2" xfId="9642" xr:uid="{00000000-0005-0000-0000-000020680000}"/>
    <cellStyle name="40 % - Markeringsfarve3 4 6 3 2 2" xfId="17505" xr:uid="{00000000-0005-0000-0000-000021680000}"/>
    <cellStyle name="40 % - Markeringsfarve3 4 6 3 2 2 2" xfId="33781" xr:uid="{00000000-0005-0000-0000-000022680000}"/>
    <cellStyle name="40 % - Markeringsfarve3 4 6 3 2 2 3" xfId="48740" xr:uid="{00000000-0005-0000-0000-000023680000}"/>
    <cellStyle name="40 % - Markeringsfarve3 4 6 3 2 3" xfId="26779" xr:uid="{00000000-0005-0000-0000-000024680000}"/>
    <cellStyle name="40 % - Markeringsfarve3 4 6 3 2 4" xfId="41743" xr:uid="{00000000-0005-0000-0000-000025680000}"/>
    <cellStyle name="40 % - Markeringsfarve3 4 6 3 3" xfId="14524" xr:uid="{00000000-0005-0000-0000-000026680000}"/>
    <cellStyle name="40 % - Markeringsfarve3 4 6 3 3 2" xfId="30803" xr:uid="{00000000-0005-0000-0000-000027680000}"/>
    <cellStyle name="40 % - Markeringsfarve3 4 6 3 3 3" xfId="45763" xr:uid="{00000000-0005-0000-0000-000028680000}"/>
    <cellStyle name="40 % - Markeringsfarve3 4 6 3 4" xfId="23801" xr:uid="{00000000-0005-0000-0000-000029680000}"/>
    <cellStyle name="40 % - Markeringsfarve3 4 6 3 5" xfId="38766" xr:uid="{00000000-0005-0000-0000-00002A680000}"/>
    <cellStyle name="40 % - Markeringsfarve3 4 6 4" xfId="6040" xr:uid="{00000000-0005-0000-0000-00002B680000}"/>
    <cellStyle name="40 % - Markeringsfarve3 4 6 4 2" xfId="10975" xr:uid="{00000000-0005-0000-0000-00002C680000}"/>
    <cellStyle name="40 % - Markeringsfarve3 4 6 4 2 2" xfId="18806" xr:uid="{00000000-0005-0000-0000-00002D680000}"/>
    <cellStyle name="40 % - Markeringsfarve3 4 6 4 2 2 2" xfId="35082" xr:uid="{00000000-0005-0000-0000-00002E680000}"/>
    <cellStyle name="40 % - Markeringsfarve3 4 6 4 2 2 3" xfId="50041" xr:uid="{00000000-0005-0000-0000-00002F680000}"/>
    <cellStyle name="40 % - Markeringsfarve3 4 6 4 2 3" xfId="28080" xr:uid="{00000000-0005-0000-0000-000030680000}"/>
    <cellStyle name="40 % - Markeringsfarve3 4 6 4 2 4" xfId="43044" xr:uid="{00000000-0005-0000-0000-000031680000}"/>
    <cellStyle name="40 % - Markeringsfarve3 4 6 4 3" xfId="14525" xr:uid="{00000000-0005-0000-0000-000032680000}"/>
    <cellStyle name="40 % - Markeringsfarve3 4 6 4 3 2" xfId="30804" xr:uid="{00000000-0005-0000-0000-000033680000}"/>
    <cellStyle name="40 % - Markeringsfarve3 4 6 4 3 3" xfId="45764" xr:uid="{00000000-0005-0000-0000-000034680000}"/>
    <cellStyle name="40 % - Markeringsfarve3 4 6 4 4" xfId="23802" xr:uid="{00000000-0005-0000-0000-000035680000}"/>
    <cellStyle name="40 % - Markeringsfarve3 4 6 4 5" xfId="38767" xr:uid="{00000000-0005-0000-0000-000036680000}"/>
    <cellStyle name="40 % - Markeringsfarve3 4 6 5" xfId="8113" xr:uid="{00000000-0005-0000-0000-000037680000}"/>
    <cellStyle name="40 % - Markeringsfarve3 4 6 5 2" xfId="15978" xr:uid="{00000000-0005-0000-0000-000038680000}"/>
    <cellStyle name="40 % - Markeringsfarve3 4 6 5 2 2" xfId="32254" xr:uid="{00000000-0005-0000-0000-000039680000}"/>
    <cellStyle name="40 % - Markeringsfarve3 4 6 5 2 3" xfId="47213" xr:uid="{00000000-0005-0000-0000-00003A680000}"/>
    <cellStyle name="40 % - Markeringsfarve3 4 6 5 3" xfId="25252" xr:uid="{00000000-0005-0000-0000-00003B680000}"/>
    <cellStyle name="40 % - Markeringsfarve3 4 6 5 4" xfId="40216" xr:uid="{00000000-0005-0000-0000-00003C680000}"/>
    <cellStyle name="40 % - Markeringsfarve3 4 6 6" xfId="14521" xr:uid="{00000000-0005-0000-0000-00003D680000}"/>
    <cellStyle name="40 % - Markeringsfarve3 4 6 6 2" xfId="30800" xr:uid="{00000000-0005-0000-0000-00003E680000}"/>
    <cellStyle name="40 % - Markeringsfarve3 4 6 6 3" xfId="45760" xr:uid="{00000000-0005-0000-0000-00003F680000}"/>
    <cellStyle name="40 % - Markeringsfarve3 4 6 7" xfId="23798" xr:uid="{00000000-0005-0000-0000-000040680000}"/>
    <cellStyle name="40 % - Markeringsfarve3 4 6 8" xfId="38763" xr:uid="{00000000-0005-0000-0000-000041680000}"/>
    <cellStyle name="40 % - Markeringsfarve3 4 7" xfId="6041" xr:uid="{00000000-0005-0000-0000-000042680000}"/>
    <cellStyle name="40 % - Markeringsfarve3 4 7 2" xfId="6042" xr:uid="{00000000-0005-0000-0000-000043680000}"/>
    <cellStyle name="40 % - Markeringsfarve3 4 7 2 2" xfId="9739" xr:uid="{00000000-0005-0000-0000-000044680000}"/>
    <cellStyle name="40 % - Markeringsfarve3 4 7 2 2 2" xfId="17593" xr:uid="{00000000-0005-0000-0000-000045680000}"/>
    <cellStyle name="40 % - Markeringsfarve3 4 7 2 2 2 2" xfId="33869" xr:uid="{00000000-0005-0000-0000-000046680000}"/>
    <cellStyle name="40 % - Markeringsfarve3 4 7 2 2 2 3" xfId="48828" xr:uid="{00000000-0005-0000-0000-000047680000}"/>
    <cellStyle name="40 % - Markeringsfarve3 4 7 2 2 3" xfId="26867" xr:uid="{00000000-0005-0000-0000-000048680000}"/>
    <cellStyle name="40 % - Markeringsfarve3 4 7 2 2 4" xfId="41831" xr:uid="{00000000-0005-0000-0000-000049680000}"/>
    <cellStyle name="40 % - Markeringsfarve3 4 7 2 3" xfId="14527" xr:uid="{00000000-0005-0000-0000-00004A680000}"/>
    <cellStyle name="40 % - Markeringsfarve3 4 7 2 3 2" xfId="30806" xr:uid="{00000000-0005-0000-0000-00004B680000}"/>
    <cellStyle name="40 % - Markeringsfarve3 4 7 2 3 3" xfId="45766" xr:uid="{00000000-0005-0000-0000-00004C680000}"/>
    <cellStyle name="40 % - Markeringsfarve3 4 7 2 4" xfId="23804" xr:uid="{00000000-0005-0000-0000-00004D680000}"/>
    <cellStyle name="40 % - Markeringsfarve3 4 7 2 5" xfId="38769" xr:uid="{00000000-0005-0000-0000-00004E680000}"/>
    <cellStyle name="40 % - Markeringsfarve3 4 7 3" xfId="8335" xr:uid="{00000000-0005-0000-0000-00004F680000}"/>
    <cellStyle name="40 % - Markeringsfarve3 4 7 3 2" xfId="16205" xr:uid="{00000000-0005-0000-0000-000050680000}"/>
    <cellStyle name="40 % - Markeringsfarve3 4 7 3 2 2" xfId="32481" xr:uid="{00000000-0005-0000-0000-000051680000}"/>
    <cellStyle name="40 % - Markeringsfarve3 4 7 3 2 3" xfId="47440" xr:uid="{00000000-0005-0000-0000-000052680000}"/>
    <cellStyle name="40 % - Markeringsfarve3 4 7 3 3" xfId="25479" xr:uid="{00000000-0005-0000-0000-000053680000}"/>
    <cellStyle name="40 % - Markeringsfarve3 4 7 3 4" xfId="40443" xr:uid="{00000000-0005-0000-0000-000054680000}"/>
    <cellStyle name="40 % - Markeringsfarve3 4 7 4" xfId="14526" xr:uid="{00000000-0005-0000-0000-000055680000}"/>
    <cellStyle name="40 % - Markeringsfarve3 4 7 4 2" xfId="30805" xr:uid="{00000000-0005-0000-0000-000056680000}"/>
    <cellStyle name="40 % - Markeringsfarve3 4 7 4 3" xfId="45765" xr:uid="{00000000-0005-0000-0000-000057680000}"/>
    <cellStyle name="40 % - Markeringsfarve3 4 7 5" xfId="23803" xr:uid="{00000000-0005-0000-0000-000058680000}"/>
    <cellStyle name="40 % - Markeringsfarve3 4 7 6" xfId="38768" xr:uid="{00000000-0005-0000-0000-000059680000}"/>
    <cellStyle name="40 % - Markeringsfarve3 4 8" xfId="6043" xr:uid="{00000000-0005-0000-0000-00005A680000}"/>
    <cellStyle name="40 % - Markeringsfarve3 4 8 2" xfId="8967" xr:uid="{00000000-0005-0000-0000-00005B680000}"/>
    <cellStyle name="40 % - Markeringsfarve3 4 8 2 2" xfId="16831" xr:uid="{00000000-0005-0000-0000-00005C680000}"/>
    <cellStyle name="40 % - Markeringsfarve3 4 8 2 2 2" xfId="33107" xr:uid="{00000000-0005-0000-0000-00005D680000}"/>
    <cellStyle name="40 % - Markeringsfarve3 4 8 2 2 3" xfId="48066" xr:uid="{00000000-0005-0000-0000-00005E680000}"/>
    <cellStyle name="40 % - Markeringsfarve3 4 8 2 3" xfId="26105" xr:uid="{00000000-0005-0000-0000-00005F680000}"/>
    <cellStyle name="40 % - Markeringsfarve3 4 8 2 4" xfId="41069" xr:uid="{00000000-0005-0000-0000-000060680000}"/>
    <cellStyle name="40 % - Markeringsfarve3 4 8 3" xfId="14528" xr:uid="{00000000-0005-0000-0000-000061680000}"/>
    <cellStyle name="40 % - Markeringsfarve3 4 8 3 2" xfId="30807" xr:uid="{00000000-0005-0000-0000-000062680000}"/>
    <cellStyle name="40 % - Markeringsfarve3 4 8 3 3" xfId="45767" xr:uid="{00000000-0005-0000-0000-000063680000}"/>
    <cellStyle name="40 % - Markeringsfarve3 4 8 4" xfId="23805" xr:uid="{00000000-0005-0000-0000-000064680000}"/>
    <cellStyle name="40 % - Markeringsfarve3 4 8 5" xfId="38770" xr:uid="{00000000-0005-0000-0000-000065680000}"/>
    <cellStyle name="40 % - Markeringsfarve3 4 9" xfId="6044" xr:uid="{00000000-0005-0000-0000-000066680000}"/>
    <cellStyle name="40 % - Markeringsfarve3 4 9 2" xfId="10800" xr:uid="{00000000-0005-0000-0000-000067680000}"/>
    <cellStyle name="40 % - Markeringsfarve3 4 9 2 2" xfId="18642" xr:uid="{00000000-0005-0000-0000-000068680000}"/>
    <cellStyle name="40 % - Markeringsfarve3 4 9 2 2 2" xfId="34918" xr:uid="{00000000-0005-0000-0000-000069680000}"/>
    <cellStyle name="40 % - Markeringsfarve3 4 9 2 2 3" xfId="49877" xr:uid="{00000000-0005-0000-0000-00006A680000}"/>
    <cellStyle name="40 % - Markeringsfarve3 4 9 2 3" xfId="27916" xr:uid="{00000000-0005-0000-0000-00006B680000}"/>
    <cellStyle name="40 % - Markeringsfarve3 4 9 2 4" xfId="42880" xr:uid="{00000000-0005-0000-0000-00006C680000}"/>
    <cellStyle name="40 % - Markeringsfarve3 4 9 3" xfId="14529" xr:uid="{00000000-0005-0000-0000-00006D680000}"/>
    <cellStyle name="40 % - Markeringsfarve3 4 9 3 2" xfId="30808" xr:uid="{00000000-0005-0000-0000-00006E680000}"/>
    <cellStyle name="40 % - Markeringsfarve3 4 9 3 3" xfId="45768" xr:uid="{00000000-0005-0000-0000-00006F680000}"/>
    <cellStyle name="40 % - Markeringsfarve3 4 9 4" xfId="23806" xr:uid="{00000000-0005-0000-0000-000070680000}"/>
    <cellStyle name="40 % - Markeringsfarve3 4 9 5" xfId="38771" xr:uid="{00000000-0005-0000-0000-000071680000}"/>
    <cellStyle name="40 % - Markeringsfarve3 5" xfId="6045" xr:uid="{00000000-0005-0000-0000-000072680000}"/>
    <cellStyle name="40 % - Markeringsfarve3 5 10" xfId="8114" xr:uid="{00000000-0005-0000-0000-000073680000}"/>
    <cellStyle name="40 % - Markeringsfarve3 5 10 2" xfId="15979" xr:uid="{00000000-0005-0000-0000-000074680000}"/>
    <cellStyle name="40 % - Markeringsfarve3 5 10 2 2" xfId="32255" xr:uid="{00000000-0005-0000-0000-000075680000}"/>
    <cellStyle name="40 % - Markeringsfarve3 5 10 2 3" xfId="47214" xr:uid="{00000000-0005-0000-0000-000076680000}"/>
    <cellStyle name="40 % - Markeringsfarve3 5 10 3" xfId="25253" xr:uid="{00000000-0005-0000-0000-000077680000}"/>
    <cellStyle name="40 % - Markeringsfarve3 5 10 4" xfId="40217" xr:uid="{00000000-0005-0000-0000-000078680000}"/>
    <cellStyle name="40 % - Markeringsfarve3 5 11" xfId="14530" xr:uid="{00000000-0005-0000-0000-000079680000}"/>
    <cellStyle name="40 % - Markeringsfarve3 5 11 2" xfId="30809" xr:uid="{00000000-0005-0000-0000-00007A680000}"/>
    <cellStyle name="40 % - Markeringsfarve3 5 11 3" xfId="45769" xr:uid="{00000000-0005-0000-0000-00007B680000}"/>
    <cellStyle name="40 % - Markeringsfarve3 5 12" xfId="23807" xr:uid="{00000000-0005-0000-0000-00007C680000}"/>
    <cellStyle name="40 % - Markeringsfarve3 5 13" xfId="38772" xr:uid="{00000000-0005-0000-0000-00007D680000}"/>
    <cellStyle name="40 % - Markeringsfarve3 5 2" xfId="6046" xr:uid="{00000000-0005-0000-0000-00007E680000}"/>
    <cellStyle name="40 % - Markeringsfarve3 5 2 2" xfId="6047" xr:uid="{00000000-0005-0000-0000-00007F680000}"/>
    <cellStyle name="40 % - Markeringsfarve3 5 2 2 2" xfId="6048" xr:uid="{00000000-0005-0000-0000-000080680000}"/>
    <cellStyle name="40 % - Markeringsfarve3 5 2 2 2 2" xfId="9896" xr:uid="{00000000-0005-0000-0000-000081680000}"/>
    <cellStyle name="40 % - Markeringsfarve3 5 2 2 2 2 2" xfId="17751" xr:uid="{00000000-0005-0000-0000-000082680000}"/>
    <cellStyle name="40 % - Markeringsfarve3 5 2 2 2 2 2 2" xfId="34027" xr:uid="{00000000-0005-0000-0000-000083680000}"/>
    <cellStyle name="40 % - Markeringsfarve3 5 2 2 2 2 2 3" xfId="48986" xr:uid="{00000000-0005-0000-0000-000084680000}"/>
    <cellStyle name="40 % - Markeringsfarve3 5 2 2 2 2 3" xfId="27025" xr:uid="{00000000-0005-0000-0000-000085680000}"/>
    <cellStyle name="40 % - Markeringsfarve3 5 2 2 2 2 4" xfId="41989" xr:uid="{00000000-0005-0000-0000-000086680000}"/>
    <cellStyle name="40 % - Markeringsfarve3 5 2 2 2 3" xfId="14533" xr:uid="{00000000-0005-0000-0000-000087680000}"/>
    <cellStyle name="40 % - Markeringsfarve3 5 2 2 2 3 2" xfId="30812" xr:uid="{00000000-0005-0000-0000-000088680000}"/>
    <cellStyle name="40 % - Markeringsfarve3 5 2 2 2 3 3" xfId="45772" xr:uid="{00000000-0005-0000-0000-000089680000}"/>
    <cellStyle name="40 % - Markeringsfarve3 5 2 2 2 4" xfId="23810" xr:uid="{00000000-0005-0000-0000-00008A680000}"/>
    <cellStyle name="40 % - Markeringsfarve3 5 2 2 2 5" xfId="38775" xr:uid="{00000000-0005-0000-0000-00008B680000}"/>
    <cellStyle name="40 % - Markeringsfarve3 5 2 2 3" xfId="8467" xr:uid="{00000000-0005-0000-0000-00008C680000}"/>
    <cellStyle name="40 % - Markeringsfarve3 5 2 2 3 2" xfId="16337" xr:uid="{00000000-0005-0000-0000-00008D680000}"/>
    <cellStyle name="40 % - Markeringsfarve3 5 2 2 3 2 2" xfId="32613" xr:uid="{00000000-0005-0000-0000-00008E680000}"/>
    <cellStyle name="40 % - Markeringsfarve3 5 2 2 3 2 3" xfId="47572" xr:uid="{00000000-0005-0000-0000-00008F680000}"/>
    <cellStyle name="40 % - Markeringsfarve3 5 2 2 3 3" xfId="25611" xr:uid="{00000000-0005-0000-0000-000090680000}"/>
    <cellStyle name="40 % - Markeringsfarve3 5 2 2 3 4" xfId="40575" xr:uid="{00000000-0005-0000-0000-000091680000}"/>
    <cellStyle name="40 % - Markeringsfarve3 5 2 2 4" xfId="14532" xr:uid="{00000000-0005-0000-0000-000092680000}"/>
    <cellStyle name="40 % - Markeringsfarve3 5 2 2 4 2" xfId="30811" xr:uid="{00000000-0005-0000-0000-000093680000}"/>
    <cellStyle name="40 % - Markeringsfarve3 5 2 2 4 3" xfId="45771" xr:uid="{00000000-0005-0000-0000-000094680000}"/>
    <cellStyle name="40 % - Markeringsfarve3 5 2 2 5" xfId="23809" xr:uid="{00000000-0005-0000-0000-000095680000}"/>
    <cellStyle name="40 % - Markeringsfarve3 5 2 2 6" xfId="38774" xr:uid="{00000000-0005-0000-0000-000096680000}"/>
    <cellStyle name="40 % - Markeringsfarve3 5 2 3" xfId="6049" xr:uid="{00000000-0005-0000-0000-000097680000}"/>
    <cellStyle name="40 % - Markeringsfarve3 5 2 3 2" xfId="9127" xr:uid="{00000000-0005-0000-0000-000098680000}"/>
    <cellStyle name="40 % - Markeringsfarve3 5 2 3 2 2" xfId="16991" xr:uid="{00000000-0005-0000-0000-000099680000}"/>
    <cellStyle name="40 % - Markeringsfarve3 5 2 3 2 2 2" xfId="33267" xr:uid="{00000000-0005-0000-0000-00009A680000}"/>
    <cellStyle name="40 % - Markeringsfarve3 5 2 3 2 2 3" xfId="48226" xr:uid="{00000000-0005-0000-0000-00009B680000}"/>
    <cellStyle name="40 % - Markeringsfarve3 5 2 3 2 3" xfId="26265" xr:uid="{00000000-0005-0000-0000-00009C680000}"/>
    <cellStyle name="40 % - Markeringsfarve3 5 2 3 2 4" xfId="41229" xr:uid="{00000000-0005-0000-0000-00009D680000}"/>
    <cellStyle name="40 % - Markeringsfarve3 5 2 3 3" xfId="14534" xr:uid="{00000000-0005-0000-0000-00009E680000}"/>
    <cellStyle name="40 % - Markeringsfarve3 5 2 3 3 2" xfId="30813" xr:uid="{00000000-0005-0000-0000-00009F680000}"/>
    <cellStyle name="40 % - Markeringsfarve3 5 2 3 3 3" xfId="45773" xr:uid="{00000000-0005-0000-0000-0000A0680000}"/>
    <cellStyle name="40 % - Markeringsfarve3 5 2 3 4" xfId="23811" xr:uid="{00000000-0005-0000-0000-0000A1680000}"/>
    <cellStyle name="40 % - Markeringsfarve3 5 2 3 5" xfId="38776" xr:uid="{00000000-0005-0000-0000-0000A2680000}"/>
    <cellStyle name="40 % - Markeringsfarve3 5 2 4" xfId="6050" xr:uid="{00000000-0005-0000-0000-0000A3680000}"/>
    <cellStyle name="40 % - Markeringsfarve3 5 2 4 2" xfId="9296" xr:uid="{00000000-0005-0000-0000-0000A4680000}"/>
    <cellStyle name="40 % - Markeringsfarve3 5 2 4 2 2" xfId="17159" xr:uid="{00000000-0005-0000-0000-0000A5680000}"/>
    <cellStyle name="40 % - Markeringsfarve3 5 2 4 2 2 2" xfId="33435" xr:uid="{00000000-0005-0000-0000-0000A6680000}"/>
    <cellStyle name="40 % - Markeringsfarve3 5 2 4 2 2 3" xfId="48394" xr:uid="{00000000-0005-0000-0000-0000A7680000}"/>
    <cellStyle name="40 % - Markeringsfarve3 5 2 4 2 3" xfId="26433" xr:uid="{00000000-0005-0000-0000-0000A8680000}"/>
    <cellStyle name="40 % - Markeringsfarve3 5 2 4 2 4" xfId="41397" xr:uid="{00000000-0005-0000-0000-0000A9680000}"/>
    <cellStyle name="40 % - Markeringsfarve3 5 2 4 3" xfId="14535" xr:uid="{00000000-0005-0000-0000-0000AA680000}"/>
    <cellStyle name="40 % - Markeringsfarve3 5 2 4 3 2" xfId="30814" xr:uid="{00000000-0005-0000-0000-0000AB680000}"/>
    <cellStyle name="40 % - Markeringsfarve3 5 2 4 3 3" xfId="45774" xr:uid="{00000000-0005-0000-0000-0000AC680000}"/>
    <cellStyle name="40 % - Markeringsfarve3 5 2 4 4" xfId="23812" xr:uid="{00000000-0005-0000-0000-0000AD680000}"/>
    <cellStyle name="40 % - Markeringsfarve3 5 2 4 5" xfId="38777" xr:uid="{00000000-0005-0000-0000-0000AE680000}"/>
    <cellStyle name="40 % - Markeringsfarve3 5 2 5" xfId="8115" xr:uid="{00000000-0005-0000-0000-0000AF680000}"/>
    <cellStyle name="40 % - Markeringsfarve3 5 2 5 2" xfId="15980" xr:uid="{00000000-0005-0000-0000-0000B0680000}"/>
    <cellStyle name="40 % - Markeringsfarve3 5 2 5 2 2" xfId="32256" xr:uid="{00000000-0005-0000-0000-0000B1680000}"/>
    <cellStyle name="40 % - Markeringsfarve3 5 2 5 2 3" xfId="47215" xr:uid="{00000000-0005-0000-0000-0000B2680000}"/>
    <cellStyle name="40 % - Markeringsfarve3 5 2 5 3" xfId="25254" xr:uid="{00000000-0005-0000-0000-0000B3680000}"/>
    <cellStyle name="40 % - Markeringsfarve3 5 2 5 4" xfId="40218" xr:uid="{00000000-0005-0000-0000-0000B4680000}"/>
    <cellStyle name="40 % - Markeringsfarve3 5 2 6" xfId="14531" xr:uid="{00000000-0005-0000-0000-0000B5680000}"/>
    <cellStyle name="40 % - Markeringsfarve3 5 2 6 2" xfId="30810" xr:uid="{00000000-0005-0000-0000-0000B6680000}"/>
    <cellStyle name="40 % - Markeringsfarve3 5 2 6 3" xfId="45770" xr:uid="{00000000-0005-0000-0000-0000B7680000}"/>
    <cellStyle name="40 % - Markeringsfarve3 5 2 7" xfId="23808" xr:uid="{00000000-0005-0000-0000-0000B8680000}"/>
    <cellStyle name="40 % - Markeringsfarve3 5 2 8" xfId="38773" xr:uid="{00000000-0005-0000-0000-0000B9680000}"/>
    <cellStyle name="40 % - Markeringsfarve3 5 3" xfId="6051" xr:uid="{00000000-0005-0000-0000-0000BA680000}"/>
    <cellStyle name="40 % - Markeringsfarve3 5 3 2" xfId="6052" xr:uid="{00000000-0005-0000-0000-0000BB680000}"/>
    <cellStyle name="40 % - Markeringsfarve3 5 3 2 2" xfId="6053" xr:uid="{00000000-0005-0000-0000-0000BC680000}"/>
    <cellStyle name="40 % - Markeringsfarve3 5 3 2 2 2" xfId="10010" xr:uid="{00000000-0005-0000-0000-0000BD680000}"/>
    <cellStyle name="40 % - Markeringsfarve3 5 3 2 2 2 2" xfId="17865" xr:uid="{00000000-0005-0000-0000-0000BE680000}"/>
    <cellStyle name="40 % - Markeringsfarve3 5 3 2 2 2 2 2" xfId="34141" xr:uid="{00000000-0005-0000-0000-0000BF680000}"/>
    <cellStyle name="40 % - Markeringsfarve3 5 3 2 2 2 2 3" xfId="49100" xr:uid="{00000000-0005-0000-0000-0000C0680000}"/>
    <cellStyle name="40 % - Markeringsfarve3 5 3 2 2 2 3" xfId="27139" xr:uid="{00000000-0005-0000-0000-0000C1680000}"/>
    <cellStyle name="40 % - Markeringsfarve3 5 3 2 2 2 4" xfId="42103" xr:uid="{00000000-0005-0000-0000-0000C2680000}"/>
    <cellStyle name="40 % - Markeringsfarve3 5 3 2 2 3" xfId="14538" xr:uid="{00000000-0005-0000-0000-0000C3680000}"/>
    <cellStyle name="40 % - Markeringsfarve3 5 3 2 2 3 2" xfId="30817" xr:uid="{00000000-0005-0000-0000-0000C4680000}"/>
    <cellStyle name="40 % - Markeringsfarve3 5 3 2 2 3 3" xfId="45777" xr:uid="{00000000-0005-0000-0000-0000C5680000}"/>
    <cellStyle name="40 % - Markeringsfarve3 5 3 2 2 4" xfId="23815" xr:uid="{00000000-0005-0000-0000-0000C6680000}"/>
    <cellStyle name="40 % - Markeringsfarve3 5 3 2 2 5" xfId="38780" xr:uid="{00000000-0005-0000-0000-0000C7680000}"/>
    <cellStyle name="40 % - Markeringsfarve3 5 3 2 3" xfId="8557" xr:uid="{00000000-0005-0000-0000-0000C8680000}"/>
    <cellStyle name="40 % - Markeringsfarve3 5 3 2 3 2" xfId="16427" xr:uid="{00000000-0005-0000-0000-0000C9680000}"/>
    <cellStyle name="40 % - Markeringsfarve3 5 3 2 3 2 2" xfId="32703" xr:uid="{00000000-0005-0000-0000-0000CA680000}"/>
    <cellStyle name="40 % - Markeringsfarve3 5 3 2 3 2 3" xfId="47662" xr:uid="{00000000-0005-0000-0000-0000CB680000}"/>
    <cellStyle name="40 % - Markeringsfarve3 5 3 2 3 3" xfId="25701" xr:uid="{00000000-0005-0000-0000-0000CC680000}"/>
    <cellStyle name="40 % - Markeringsfarve3 5 3 2 3 4" xfId="40665" xr:uid="{00000000-0005-0000-0000-0000CD680000}"/>
    <cellStyle name="40 % - Markeringsfarve3 5 3 2 4" xfId="14537" xr:uid="{00000000-0005-0000-0000-0000CE680000}"/>
    <cellStyle name="40 % - Markeringsfarve3 5 3 2 4 2" xfId="30816" xr:uid="{00000000-0005-0000-0000-0000CF680000}"/>
    <cellStyle name="40 % - Markeringsfarve3 5 3 2 4 3" xfId="45776" xr:uid="{00000000-0005-0000-0000-0000D0680000}"/>
    <cellStyle name="40 % - Markeringsfarve3 5 3 2 5" xfId="23814" xr:uid="{00000000-0005-0000-0000-0000D1680000}"/>
    <cellStyle name="40 % - Markeringsfarve3 5 3 2 6" xfId="38779" xr:uid="{00000000-0005-0000-0000-0000D2680000}"/>
    <cellStyle name="40 % - Markeringsfarve3 5 3 3" xfId="6054" xr:uid="{00000000-0005-0000-0000-0000D3680000}"/>
    <cellStyle name="40 % - Markeringsfarve3 5 3 3 2" xfId="9241" xr:uid="{00000000-0005-0000-0000-0000D4680000}"/>
    <cellStyle name="40 % - Markeringsfarve3 5 3 3 2 2" xfId="17105" xr:uid="{00000000-0005-0000-0000-0000D5680000}"/>
    <cellStyle name="40 % - Markeringsfarve3 5 3 3 2 2 2" xfId="33381" xr:uid="{00000000-0005-0000-0000-0000D6680000}"/>
    <cellStyle name="40 % - Markeringsfarve3 5 3 3 2 2 3" xfId="48340" xr:uid="{00000000-0005-0000-0000-0000D7680000}"/>
    <cellStyle name="40 % - Markeringsfarve3 5 3 3 2 3" xfId="26379" xr:uid="{00000000-0005-0000-0000-0000D8680000}"/>
    <cellStyle name="40 % - Markeringsfarve3 5 3 3 2 4" xfId="41343" xr:uid="{00000000-0005-0000-0000-0000D9680000}"/>
    <cellStyle name="40 % - Markeringsfarve3 5 3 3 3" xfId="14539" xr:uid="{00000000-0005-0000-0000-0000DA680000}"/>
    <cellStyle name="40 % - Markeringsfarve3 5 3 3 3 2" xfId="30818" xr:uid="{00000000-0005-0000-0000-0000DB680000}"/>
    <cellStyle name="40 % - Markeringsfarve3 5 3 3 3 3" xfId="45778" xr:uid="{00000000-0005-0000-0000-0000DC680000}"/>
    <cellStyle name="40 % - Markeringsfarve3 5 3 3 4" xfId="23816" xr:uid="{00000000-0005-0000-0000-0000DD680000}"/>
    <cellStyle name="40 % - Markeringsfarve3 5 3 3 5" xfId="38781" xr:uid="{00000000-0005-0000-0000-0000DE680000}"/>
    <cellStyle name="40 % - Markeringsfarve3 5 3 4" xfId="6055" xr:uid="{00000000-0005-0000-0000-0000DF680000}"/>
    <cellStyle name="40 % - Markeringsfarve3 5 3 4 2" xfId="10907" xr:uid="{00000000-0005-0000-0000-0000E0680000}"/>
    <cellStyle name="40 % - Markeringsfarve3 5 3 4 2 2" xfId="18743" xr:uid="{00000000-0005-0000-0000-0000E1680000}"/>
    <cellStyle name="40 % - Markeringsfarve3 5 3 4 2 2 2" xfId="35019" xr:uid="{00000000-0005-0000-0000-0000E2680000}"/>
    <cellStyle name="40 % - Markeringsfarve3 5 3 4 2 2 3" xfId="49978" xr:uid="{00000000-0005-0000-0000-0000E3680000}"/>
    <cellStyle name="40 % - Markeringsfarve3 5 3 4 2 3" xfId="28017" xr:uid="{00000000-0005-0000-0000-0000E4680000}"/>
    <cellStyle name="40 % - Markeringsfarve3 5 3 4 2 4" xfId="42981" xr:uid="{00000000-0005-0000-0000-0000E5680000}"/>
    <cellStyle name="40 % - Markeringsfarve3 5 3 4 3" xfId="14540" xr:uid="{00000000-0005-0000-0000-0000E6680000}"/>
    <cellStyle name="40 % - Markeringsfarve3 5 3 4 3 2" xfId="30819" xr:uid="{00000000-0005-0000-0000-0000E7680000}"/>
    <cellStyle name="40 % - Markeringsfarve3 5 3 4 3 3" xfId="45779" xr:uid="{00000000-0005-0000-0000-0000E8680000}"/>
    <cellStyle name="40 % - Markeringsfarve3 5 3 4 4" xfId="23817" xr:uid="{00000000-0005-0000-0000-0000E9680000}"/>
    <cellStyle name="40 % - Markeringsfarve3 5 3 4 5" xfId="38782" xr:uid="{00000000-0005-0000-0000-0000EA680000}"/>
    <cellStyle name="40 % - Markeringsfarve3 5 3 5" xfId="8116" xr:uid="{00000000-0005-0000-0000-0000EB680000}"/>
    <cellStyle name="40 % - Markeringsfarve3 5 3 5 2" xfId="15981" xr:uid="{00000000-0005-0000-0000-0000EC680000}"/>
    <cellStyle name="40 % - Markeringsfarve3 5 3 5 2 2" xfId="32257" xr:uid="{00000000-0005-0000-0000-0000ED680000}"/>
    <cellStyle name="40 % - Markeringsfarve3 5 3 5 2 3" xfId="47216" xr:uid="{00000000-0005-0000-0000-0000EE680000}"/>
    <cellStyle name="40 % - Markeringsfarve3 5 3 5 3" xfId="25255" xr:uid="{00000000-0005-0000-0000-0000EF680000}"/>
    <cellStyle name="40 % - Markeringsfarve3 5 3 5 4" xfId="40219" xr:uid="{00000000-0005-0000-0000-0000F0680000}"/>
    <cellStyle name="40 % - Markeringsfarve3 5 3 6" xfId="14536" xr:uid="{00000000-0005-0000-0000-0000F1680000}"/>
    <cellStyle name="40 % - Markeringsfarve3 5 3 6 2" xfId="30815" xr:uid="{00000000-0005-0000-0000-0000F2680000}"/>
    <cellStyle name="40 % - Markeringsfarve3 5 3 6 3" xfId="45775" xr:uid="{00000000-0005-0000-0000-0000F3680000}"/>
    <cellStyle name="40 % - Markeringsfarve3 5 3 7" xfId="23813" xr:uid="{00000000-0005-0000-0000-0000F4680000}"/>
    <cellStyle name="40 % - Markeringsfarve3 5 3 8" xfId="38778" xr:uid="{00000000-0005-0000-0000-0000F5680000}"/>
    <cellStyle name="40 % - Markeringsfarve3 5 4" xfId="6056" xr:uid="{00000000-0005-0000-0000-0000F6680000}"/>
    <cellStyle name="40 % - Markeringsfarve3 5 4 2" xfId="6057" xr:uid="{00000000-0005-0000-0000-0000F7680000}"/>
    <cellStyle name="40 % - Markeringsfarve3 5 4 2 2" xfId="6058" xr:uid="{00000000-0005-0000-0000-0000F8680000}"/>
    <cellStyle name="40 % - Markeringsfarve3 5 4 2 2 2" xfId="10134" xr:uid="{00000000-0005-0000-0000-0000F9680000}"/>
    <cellStyle name="40 % - Markeringsfarve3 5 4 2 2 2 2" xfId="17989" xr:uid="{00000000-0005-0000-0000-0000FA680000}"/>
    <cellStyle name="40 % - Markeringsfarve3 5 4 2 2 2 2 2" xfId="34265" xr:uid="{00000000-0005-0000-0000-0000FB680000}"/>
    <cellStyle name="40 % - Markeringsfarve3 5 4 2 2 2 2 3" xfId="49224" xr:uid="{00000000-0005-0000-0000-0000FC680000}"/>
    <cellStyle name="40 % - Markeringsfarve3 5 4 2 2 2 3" xfId="27263" xr:uid="{00000000-0005-0000-0000-0000FD680000}"/>
    <cellStyle name="40 % - Markeringsfarve3 5 4 2 2 2 4" xfId="42227" xr:uid="{00000000-0005-0000-0000-0000FE680000}"/>
    <cellStyle name="40 % - Markeringsfarve3 5 4 2 2 3" xfId="14543" xr:uid="{00000000-0005-0000-0000-0000FF680000}"/>
    <cellStyle name="40 % - Markeringsfarve3 5 4 2 2 3 2" xfId="30822" xr:uid="{00000000-0005-0000-0000-000000690000}"/>
    <cellStyle name="40 % - Markeringsfarve3 5 4 2 2 3 3" xfId="45782" xr:uid="{00000000-0005-0000-0000-000001690000}"/>
    <cellStyle name="40 % - Markeringsfarve3 5 4 2 2 4" xfId="23820" xr:uid="{00000000-0005-0000-0000-000002690000}"/>
    <cellStyle name="40 % - Markeringsfarve3 5 4 2 2 5" xfId="38785" xr:uid="{00000000-0005-0000-0000-000003690000}"/>
    <cellStyle name="40 % - Markeringsfarve3 5 4 2 3" xfId="8669" xr:uid="{00000000-0005-0000-0000-000004690000}"/>
    <cellStyle name="40 % - Markeringsfarve3 5 4 2 3 2" xfId="16536" xr:uid="{00000000-0005-0000-0000-000005690000}"/>
    <cellStyle name="40 % - Markeringsfarve3 5 4 2 3 2 2" xfId="32812" xr:uid="{00000000-0005-0000-0000-000006690000}"/>
    <cellStyle name="40 % - Markeringsfarve3 5 4 2 3 2 3" xfId="47771" xr:uid="{00000000-0005-0000-0000-000007690000}"/>
    <cellStyle name="40 % - Markeringsfarve3 5 4 2 3 3" xfId="25810" xr:uid="{00000000-0005-0000-0000-000008690000}"/>
    <cellStyle name="40 % - Markeringsfarve3 5 4 2 3 4" xfId="40774" xr:uid="{00000000-0005-0000-0000-000009690000}"/>
    <cellStyle name="40 % - Markeringsfarve3 5 4 2 4" xfId="14542" xr:uid="{00000000-0005-0000-0000-00000A690000}"/>
    <cellStyle name="40 % - Markeringsfarve3 5 4 2 4 2" xfId="30821" xr:uid="{00000000-0005-0000-0000-00000B690000}"/>
    <cellStyle name="40 % - Markeringsfarve3 5 4 2 4 3" xfId="45781" xr:uid="{00000000-0005-0000-0000-00000C690000}"/>
    <cellStyle name="40 % - Markeringsfarve3 5 4 2 5" xfId="23819" xr:uid="{00000000-0005-0000-0000-00000D690000}"/>
    <cellStyle name="40 % - Markeringsfarve3 5 4 2 6" xfId="38784" xr:uid="{00000000-0005-0000-0000-00000E690000}"/>
    <cellStyle name="40 % - Markeringsfarve3 5 4 3" xfId="6059" xr:uid="{00000000-0005-0000-0000-00000F690000}"/>
    <cellStyle name="40 % - Markeringsfarve3 5 4 3 2" xfId="9411" xr:uid="{00000000-0005-0000-0000-000010690000}"/>
    <cellStyle name="40 % - Markeringsfarve3 5 4 3 2 2" xfId="17274" xr:uid="{00000000-0005-0000-0000-000011690000}"/>
    <cellStyle name="40 % - Markeringsfarve3 5 4 3 2 2 2" xfId="33550" xr:uid="{00000000-0005-0000-0000-000012690000}"/>
    <cellStyle name="40 % - Markeringsfarve3 5 4 3 2 2 3" xfId="48509" xr:uid="{00000000-0005-0000-0000-000013690000}"/>
    <cellStyle name="40 % - Markeringsfarve3 5 4 3 2 3" xfId="26548" xr:uid="{00000000-0005-0000-0000-000014690000}"/>
    <cellStyle name="40 % - Markeringsfarve3 5 4 3 2 4" xfId="41512" xr:uid="{00000000-0005-0000-0000-000015690000}"/>
    <cellStyle name="40 % - Markeringsfarve3 5 4 3 3" xfId="14544" xr:uid="{00000000-0005-0000-0000-000016690000}"/>
    <cellStyle name="40 % - Markeringsfarve3 5 4 3 3 2" xfId="30823" xr:uid="{00000000-0005-0000-0000-000017690000}"/>
    <cellStyle name="40 % - Markeringsfarve3 5 4 3 3 3" xfId="45783" xr:uid="{00000000-0005-0000-0000-000018690000}"/>
    <cellStyle name="40 % - Markeringsfarve3 5 4 3 4" xfId="23821" xr:uid="{00000000-0005-0000-0000-000019690000}"/>
    <cellStyle name="40 % - Markeringsfarve3 5 4 3 5" xfId="38786" xr:uid="{00000000-0005-0000-0000-00001A690000}"/>
    <cellStyle name="40 % - Markeringsfarve3 5 4 4" xfId="6060" xr:uid="{00000000-0005-0000-0000-00001B690000}"/>
    <cellStyle name="40 % - Markeringsfarve3 5 4 4 2" xfId="10632" xr:uid="{00000000-0005-0000-0000-00001C690000}"/>
    <cellStyle name="40 % - Markeringsfarve3 5 4 4 2 2" xfId="18480" xr:uid="{00000000-0005-0000-0000-00001D690000}"/>
    <cellStyle name="40 % - Markeringsfarve3 5 4 4 2 2 2" xfId="34756" xr:uid="{00000000-0005-0000-0000-00001E690000}"/>
    <cellStyle name="40 % - Markeringsfarve3 5 4 4 2 2 3" xfId="49715" xr:uid="{00000000-0005-0000-0000-00001F690000}"/>
    <cellStyle name="40 % - Markeringsfarve3 5 4 4 2 3" xfId="27754" xr:uid="{00000000-0005-0000-0000-000020690000}"/>
    <cellStyle name="40 % - Markeringsfarve3 5 4 4 2 4" xfId="42718" xr:uid="{00000000-0005-0000-0000-000021690000}"/>
    <cellStyle name="40 % - Markeringsfarve3 5 4 4 3" xfId="14545" xr:uid="{00000000-0005-0000-0000-000022690000}"/>
    <cellStyle name="40 % - Markeringsfarve3 5 4 4 3 2" xfId="30824" xr:uid="{00000000-0005-0000-0000-000023690000}"/>
    <cellStyle name="40 % - Markeringsfarve3 5 4 4 3 3" xfId="45784" xr:uid="{00000000-0005-0000-0000-000024690000}"/>
    <cellStyle name="40 % - Markeringsfarve3 5 4 4 4" xfId="23822" xr:uid="{00000000-0005-0000-0000-000025690000}"/>
    <cellStyle name="40 % - Markeringsfarve3 5 4 4 5" xfId="38787" xr:uid="{00000000-0005-0000-0000-000026690000}"/>
    <cellStyle name="40 % - Markeringsfarve3 5 4 5" xfId="8117" xr:uid="{00000000-0005-0000-0000-000027690000}"/>
    <cellStyle name="40 % - Markeringsfarve3 5 4 5 2" xfId="15982" xr:uid="{00000000-0005-0000-0000-000028690000}"/>
    <cellStyle name="40 % - Markeringsfarve3 5 4 5 2 2" xfId="32258" xr:uid="{00000000-0005-0000-0000-000029690000}"/>
    <cellStyle name="40 % - Markeringsfarve3 5 4 5 2 3" xfId="47217" xr:uid="{00000000-0005-0000-0000-00002A690000}"/>
    <cellStyle name="40 % - Markeringsfarve3 5 4 5 3" xfId="25256" xr:uid="{00000000-0005-0000-0000-00002B690000}"/>
    <cellStyle name="40 % - Markeringsfarve3 5 4 5 4" xfId="40220" xr:uid="{00000000-0005-0000-0000-00002C690000}"/>
    <cellStyle name="40 % - Markeringsfarve3 5 4 6" xfId="14541" xr:uid="{00000000-0005-0000-0000-00002D690000}"/>
    <cellStyle name="40 % - Markeringsfarve3 5 4 6 2" xfId="30820" xr:uid="{00000000-0005-0000-0000-00002E690000}"/>
    <cellStyle name="40 % - Markeringsfarve3 5 4 6 3" xfId="45780" xr:uid="{00000000-0005-0000-0000-00002F690000}"/>
    <cellStyle name="40 % - Markeringsfarve3 5 4 7" xfId="23818" xr:uid="{00000000-0005-0000-0000-000030690000}"/>
    <cellStyle name="40 % - Markeringsfarve3 5 4 8" xfId="38783" xr:uid="{00000000-0005-0000-0000-000031690000}"/>
    <cellStyle name="40 % - Markeringsfarve3 5 5" xfId="6061" xr:uid="{00000000-0005-0000-0000-000032690000}"/>
    <cellStyle name="40 % - Markeringsfarve3 5 5 2" xfId="6062" xr:uid="{00000000-0005-0000-0000-000033690000}"/>
    <cellStyle name="40 % - Markeringsfarve3 5 5 2 2" xfId="6063" xr:uid="{00000000-0005-0000-0000-000034690000}"/>
    <cellStyle name="40 % - Markeringsfarve3 5 5 2 2 2" xfId="10251" xr:uid="{00000000-0005-0000-0000-000035690000}"/>
    <cellStyle name="40 % - Markeringsfarve3 5 5 2 2 2 2" xfId="18106" xr:uid="{00000000-0005-0000-0000-000036690000}"/>
    <cellStyle name="40 % - Markeringsfarve3 5 5 2 2 2 2 2" xfId="34382" xr:uid="{00000000-0005-0000-0000-000037690000}"/>
    <cellStyle name="40 % - Markeringsfarve3 5 5 2 2 2 2 3" xfId="49341" xr:uid="{00000000-0005-0000-0000-000038690000}"/>
    <cellStyle name="40 % - Markeringsfarve3 5 5 2 2 2 3" xfId="27380" xr:uid="{00000000-0005-0000-0000-000039690000}"/>
    <cellStyle name="40 % - Markeringsfarve3 5 5 2 2 2 4" xfId="42344" xr:uid="{00000000-0005-0000-0000-00003A690000}"/>
    <cellStyle name="40 % - Markeringsfarve3 5 5 2 2 3" xfId="14548" xr:uid="{00000000-0005-0000-0000-00003B690000}"/>
    <cellStyle name="40 % - Markeringsfarve3 5 5 2 2 3 2" xfId="30827" xr:uid="{00000000-0005-0000-0000-00003C690000}"/>
    <cellStyle name="40 % - Markeringsfarve3 5 5 2 2 3 3" xfId="45787" xr:uid="{00000000-0005-0000-0000-00003D690000}"/>
    <cellStyle name="40 % - Markeringsfarve3 5 5 2 2 4" xfId="23825" xr:uid="{00000000-0005-0000-0000-00003E690000}"/>
    <cellStyle name="40 % - Markeringsfarve3 5 5 2 2 5" xfId="38790" xr:uid="{00000000-0005-0000-0000-00003F690000}"/>
    <cellStyle name="40 % - Markeringsfarve3 5 5 2 3" xfId="8768" xr:uid="{00000000-0005-0000-0000-000040690000}"/>
    <cellStyle name="40 % - Markeringsfarve3 5 5 2 3 2" xfId="16635" xr:uid="{00000000-0005-0000-0000-000041690000}"/>
    <cellStyle name="40 % - Markeringsfarve3 5 5 2 3 2 2" xfId="32911" xr:uid="{00000000-0005-0000-0000-000042690000}"/>
    <cellStyle name="40 % - Markeringsfarve3 5 5 2 3 2 3" xfId="47870" xr:uid="{00000000-0005-0000-0000-000043690000}"/>
    <cellStyle name="40 % - Markeringsfarve3 5 5 2 3 3" xfId="25909" xr:uid="{00000000-0005-0000-0000-000044690000}"/>
    <cellStyle name="40 % - Markeringsfarve3 5 5 2 3 4" xfId="40873" xr:uid="{00000000-0005-0000-0000-000045690000}"/>
    <cellStyle name="40 % - Markeringsfarve3 5 5 2 4" xfId="14547" xr:uid="{00000000-0005-0000-0000-000046690000}"/>
    <cellStyle name="40 % - Markeringsfarve3 5 5 2 4 2" xfId="30826" xr:uid="{00000000-0005-0000-0000-000047690000}"/>
    <cellStyle name="40 % - Markeringsfarve3 5 5 2 4 3" xfId="45786" xr:uid="{00000000-0005-0000-0000-000048690000}"/>
    <cellStyle name="40 % - Markeringsfarve3 5 5 2 5" xfId="23824" xr:uid="{00000000-0005-0000-0000-000049690000}"/>
    <cellStyle name="40 % - Markeringsfarve3 5 5 2 6" xfId="38789" xr:uid="{00000000-0005-0000-0000-00004A690000}"/>
    <cellStyle name="40 % - Markeringsfarve3 5 5 3" xfId="6064" xr:uid="{00000000-0005-0000-0000-00004B690000}"/>
    <cellStyle name="40 % - Markeringsfarve3 5 5 3 2" xfId="9528" xr:uid="{00000000-0005-0000-0000-00004C690000}"/>
    <cellStyle name="40 % - Markeringsfarve3 5 5 3 2 2" xfId="17391" xr:uid="{00000000-0005-0000-0000-00004D690000}"/>
    <cellStyle name="40 % - Markeringsfarve3 5 5 3 2 2 2" xfId="33667" xr:uid="{00000000-0005-0000-0000-00004E690000}"/>
    <cellStyle name="40 % - Markeringsfarve3 5 5 3 2 2 3" xfId="48626" xr:uid="{00000000-0005-0000-0000-00004F690000}"/>
    <cellStyle name="40 % - Markeringsfarve3 5 5 3 2 3" xfId="26665" xr:uid="{00000000-0005-0000-0000-000050690000}"/>
    <cellStyle name="40 % - Markeringsfarve3 5 5 3 2 4" xfId="41629" xr:uid="{00000000-0005-0000-0000-000051690000}"/>
    <cellStyle name="40 % - Markeringsfarve3 5 5 3 3" xfId="14549" xr:uid="{00000000-0005-0000-0000-000052690000}"/>
    <cellStyle name="40 % - Markeringsfarve3 5 5 3 3 2" xfId="30828" xr:uid="{00000000-0005-0000-0000-000053690000}"/>
    <cellStyle name="40 % - Markeringsfarve3 5 5 3 3 3" xfId="45788" xr:uid="{00000000-0005-0000-0000-000054690000}"/>
    <cellStyle name="40 % - Markeringsfarve3 5 5 3 4" xfId="23826" xr:uid="{00000000-0005-0000-0000-000055690000}"/>
    <cellStyle name="40 % - Markeringsfarve3 5 5 3 5" xfId="38791" xr:uid="{00000000-0005-0000-0000-000056690000}"/>
    <cellStyle name="40 % - Markeringsfarve3 5 5 4" xfId="6065" xr:uid="{00000000-0005-0000-0000-000057690000}"/>
    <cellStyle name="40 % - Markeringsfarve3 5 5 4 2" xfId="10868" xr:uid="{00000000-0005-0000-0000-000058690000}"/>
    <cellStyle name="40 % - Markeringsfarve3 5 5 4 2 2" xfId="18706" xr:uid="{00000000-0005-0000-0000-000059690000}"/>
    <cellStyle name="40 % - Markeringsfarve3 5 5 4 2 2 2" xfId="34982" xr:uid="{00000000-0005-0000-0000-00005A690000}"/>
    <cellStyle name="40 % - Markeringsfarve3 5 5 4 2 2 3" xfId="49941" xr:uid="{00000000-0005-0000-0000-00005B690000}"/>
    <cellStyle name="40 % - Markeringsfarve3 5 5 4 2 3" xfId="27980" xr:uid="{00000000-0005-0000-0000-00005C690000}"/>
    <cellStyle name="40 % - Markeringsfarve3 5 5 4 2 4" xfId="42944" xr:uid="{00000000-0005-0000-0000-00005D690000}"/>
    <cellStyle name="40 % - Markeringsfarve3 5 5 4 3" xfId="14550" xr:uid="{00000000-0005-0000-0000-00005E690000}"/>
    <cellStyle name="40 % - Markeringsfarve3 5 5 4 3 2" xfId="30829" xr:uid="{00000000-0005-0000-0000-00005F690000}"/>
    <cellStyle name="40 % - Markeringsfarve3 5 5 4 3 3" xfId="45789" xr:uid="{00000000-0005-0000-0000-000060690000}"/>
    <cellStyle name="40 % - Markeringsfarve3 5 5 4 4" xfId="23827" xr:uid="{00000000-0005-0000-0000-000061690000}"/>
    <cellStyle name="40 % - Markeringsfarve3 5 5 4 5" xfId="38792" xr:uid="{00000000-0005-0000-0000-000062690000}"/>
    <cellStyle name="40 % - Markeringsfarve3 5 5 5" xfId="8118" xr:uid="{00000000-0005-0000-0000-000063690000}"/>
    <cellStyle name="40 % - Markeringsfarve3 5 5 5 2" xfId="15983" xr:uid="{00000000-0005-0000-0000-000064690000}"/>
    <cellStyle name="40 % - Markeringsfarve3 5 5 5 2 2" xfId="32259" xr:uid="{00000000-0005-0000-0000-000065690000}"/>
    <cellStyle name="40 % - Markeringsfarve3 5 5 5 2 3" xfId="47218" xr:uid="{00000000-0005-0000-0000-000066690000}"/>
    <cellStyle name="40 % - Markeringsfarve3 5 5 5 3" xfId="25257" xr:uid="{00000000-0005-0000-0000-000067690000}"/>
    <cellStyle name="40 % - Markeringsfarve3 5 5 5 4" xfId="40221" xr:uid="{00000000-0005-0000-0000-000068690000}"/>
    <cellStyle name="40 % - Markeringsfarve3 5 5 6" xfId="14546" xr:uid="{00000000-0005-0000-0000-000069690000}"/>
    <cellStyle name="40 % - Markeringsfarve3 5 5 6 2" xfId="30825" xr:uid="{00000000-0005-0000-0000-00006A690000}"/>
    <cellStyle name="40 % - Markeringsfarve3 5 5 6 3" xfId="45785" xr:uid="{00000000-0005-0000-0000-00006B690000}"/>
    <cellStyle name="40 % - Markeringsfarve3 5 5 7" xfId="23823" xr:uid="{00000000-0005-0000-0000-00006C690000}"/>
    <cellStyle name="40 % - Markeringsfarve3 5 5 8" xfId="38788" xr:uid="{00000000-0005-0000-0000-00006D690000}"/>
    <cellStyle name="40 % - Markeringsfarve3 5 6" xfId="6066" xr:uid="{00000000-0005-0000-0000-00006E690000}"/>
    <cellStyle name="40 % - Markeringsfarve3 5 6 2" xfId="6067" xr:uid="{00000000-0005-0000-0000-00006F690000}"/>
    <cellStyle name="40 % - Markeringsfarve3 5 6 2 2" xfId="6068" xr:uid="{00000000-0005-0000-0000-000070690000}"/>
    <cellStyle name="40 % - Markeringsfarve3 5 6 2 2 2" xfId="10365" xr:uid="{00000000-0005-0000-0000-000071690000}"/>
    <cellStyle name="40 % - Markeringsfarve3 5 6 2 2 2 2" xfId="18220" xr:uid="{00000000-0005-0000-0000-000072690000}"/>
    <cellStyle name="40 % - Markeringsfarve3 5 6 2 2 2 2 2" xfId="34496" xr:uid="{00000000-0005-0000-0000-000073690000}"/>
    <cellStyle name="40 % - Markeringsfarve3 5 6 2 2 2 2 3" xfId="49455" xr:uid="{00000000-0005-0000-0000-000074690000}"/>
    <cellStyle name="40 % - Markeringsfarve3 5 6 2 2 2 3" xfId="27494" xr:uid="{00000000-0005-0000-0000-000075690000}"/>
    <cellStyle name="40 % - Markeringsfarve3 5 6 2 2 2 4" xfId="42458" xr:uid="{00000000-0005-0000-0000-000076690000}"/>
    <cellStyle name="40 % - Markeringsfarve3 5 6 2 2 3" xfId="14553" xr:uid="{00000000-0005-0000-0000-000077690000}"/>
    <cellStyle name="40 % - Markeringsfarve3 5 6 2 2 3 2" xfId="30832" xr:uid="{00000000-0005-0000-0000-000078690000}"/>
    <cellStyle name="40 % - Markeringsfarve3 5 6 2 2 3 3" xfId="45792" xr:uid="{00000000-0005-0000-0000-000079690000}"/>
    <cellStyle name="40 % - Markeringsfarve3 5 6 2 2 4" xfId="23830" xr:uid="{00000000-0005-0000-0000-00007A690000}"/>
    <cellStyle name="40 % - Markeringsfarve3 5 6 2 2 5" xfId="38795" xr:uid="{00000000-0005-0000-0000-00007B690000}"/>
    <cellStyle name="40 % - Markeringsfarve3 5 6 2 3" xfId="8859" xr:uid="{00000000-0005-0000-0000-00007C690000}"/>
    <cellStyle name="40 % - Markeringsfarve3 5 6 2 3 2" xfId="16726" xr:uid="{00000000-0005-0000-0000-00007D690000}"/>
    <cellStyle name="40 % - Markeringsfarve3 5 6 2 3 2 2" xfId="33002" xr:uid="{00000000-0005-0000-0000-00007E690000}"/>
    <cellStyle name="40 % - Markeringsfarve3 5 6 2 3 2 3" xfId="47961" xr:uid="{00000000-0005-0000-0000-00007F690000}"/>
    <cellStyle name="40 % - Markeringsfarve3 5 6 2 3 3" xfId="26000" xr:uid="{00000000-0005-0000-0000-000080690000}"/>
    <cellStyle name="40 % - Markeringsfarve3 5 6 2 3 4" xfId="40964" xr:uid="{00000000-0005-0000-0000-000081690000}"/>
    <cellStyle name="40 % - Markeringsfarve3 5 6 2 4" xfId="14552" xr:uid="{00000000-0005-0000-0000-000082690000}"/>
    <cellStyle name="40 % - Markeringsfarve3 5 6 2 4 2" xfId="30831" xr:uid="{00000000-0005-0000-0000-000083690000}"/>
    <cellStyle name="40 % - Markeringsfarve3 5 6 2 4 3" xfId="45791" xr:uid="{00000000-0005-0000-0000-000084690000}"/>
    <cellStyle name="40 % - Markeringsfarve3 5 6 2 5" xfId="23829" xr:uid="{00000000-0005-0000-0000-000085690000}"/>
    <cellStyle name="40 % - Markeringsfarve3 5 6 2 6" xfId="38794" xr:uid="{00000000-0005-0000-0000-000086690000}"/>
    <cellStyle name="40 % - Markeringsfarve3 5 6 3" xfId="6069" xr:uid="{00000000-0005-0000-0000-000087690000}"/>
    <cellStyle name="40 % - Markeringsfarve3 5 6 3 2" xfId="9643" xr:uid="{00000000-0005-0000-0000-000088690000}"/>
    <cellStyle name="40 % - Markeringsfarve3 5 6 3 2 2" xfId="17506" xr:uid="{00000000-0005-0000-0000-000089690000}"/>
    <cellStyle name="40 % - Markeringsfarve3 5 6 3 2 2 2" xfId="33782" xr:uid="{00000000-0005-0000-0000-00008A690000}"/>
    <cellStyle name="40 % - Markeringsfarve3 5 6 3 2 2 3" xfId="48741" xr:uid="{00000000-0005-0000-0000-00008B690000}"/>
    <cellStyle name="40 % - Markeringsfarve3 5 6 3 2 3" xfId="26780" xr:uid="{00000000-0005-0000-0000-00008C690000}"/>
    <cellStyle name="40 % - Markeringsfarve3 5 6 3 2 4" xfId="41744" xr:uid="{00000000-0005-0000-0000-00008D690000}"/>
    <cellStyle name="40 % - Markeringsfarve3 5 6 3 3" xfId="14554" xr:uid="{00000000-0005-0000-0000-00008E690000}"/>
    <cellStyle name="40 % - Markeringsfarve3 5 6 3 3 2" xfId="30833" xr:uid="{00000000-0005-0000-0000-00008F690000}"/>
    <cellStyle name="40 % - Markeringsfarve3 5 6 3 3 3" xfId="45793" xr:uid="{00000000-0005-0000-0000-000090690000}"/>
    <cellStyle name="40 % - Markeringsfarve3 5 6 3 4" xfId="23831" xr:uid="{00000000-0005-0000-0000-000091690000}"/>
    <cellStyle name="40 % - Markeringsfarve3 5 6 3 5" xfId="38796" xr:uid="{00000000-0005-0000-0000-000092690000}"/>
    <cellStyle name="40 % - Markeringsfarve3 5 6 4" xfId="6070" xr:uid="{00000000-0005-0000-0000-000093690000}"/>
    <cellStyle name="40 % - Markeringsfarve3 5 6 4 2" xfId="10590" xr:uid="{00000000-0005-0000-0000-000094690000}"/>
    <cellStyle name="40 % - Markeringsfarve3 5 6 4 2 2" xfId="18439" xr:uid="{00000000-0005-0000-0000-000095690000}"/>
    <cellStyle name="40 % - Markeringsfarve3 5 6 4 2 2 2" xfId="34715" xr:uid="{00000000-0005-0000-0000-000096690000}"/>
    <cellStyle name="40 % - Markeringsfarve3 5 6 4 2 2 3" xfId="49674" xr:uid="{00000000-0005-0000-0000-000097690000}"/>
    <cellStyle name="40 % - Markeringsfarve3 5 6 4 2 3" xfId="27713" xr:uid="{00000000-0005-0000-0000-000098690000}"/>
    <cellStyle name="40 % - Markeringsfarve3 5 6 4 2 4" xfId="42677" xr:uid="{00000000-0005-0000-0000-000099690000}"/>
    <cellStyle name="40 % - Markeringsfarve3 5 6 4 3" xfId="14555" xr:uid="{00000000-0005-0000-0000-00009A690000}"/>
    <cellStyle name="40 % - Markeringsfarve3 5 6 4 3 2" xfId="30834" xr:uid="{00000000-0005-0000-0000-00009B690000}"/>
    <cellStyle name="40 % - Markeringsfarve3 5 6 4 3 3" xfId="45794" xr:uid="{00000000-0005-0000-0000-00009C690000}"/>
    <cellStyle name="40 % - Markeringsfarve3 5 6 4 4" xfId="23832" xr:uid="{00000000-0005-0000-0000-00009D690000}"/>
    <cellStyle name="40 % - Markeringsfarve3 5 6 4 5" xfId="38797" xr:uid="{00000000-0005-0000-0000-00009E690000}"/>
    <cellStyle name="40 % - Markeringsfarve3 5 6 5" xfId="8119" xr:uid="{00000000-0005-0000-0000-00009F690000}"/>
    <cellStyle name="40 % - Markeringsfarve3 5 6 5 2" xfId="15984" xr:uid="{00000000-0005-0000-0000-0000A0690000}"/>
    <cellStyle name="40 % - Markeringsfarve3 5 6 5 2 2" xfId="32260" xr:uid="{00000000-0005-0000-0000-0000A1690000}"/>
    <cellStyle name="40 % - Markeringsfarve3 5 6 5 2 3" xfId="47219" xr:uid="{00000000-0005-0000-0000-0000A2690000}"/>
    <cellStyle name="40 % - Markeringsfarve3 5 6 5 3" xfId="25258" xr:uid="{00000000-0005-0000-0000-0000A3690000}"/>
    <cellStyle name="40 % - Markeringsfarve3 5 6 5 4" xfId="40222" xr:uid="{00000000-0005-0000-0000-0000A4690000}"/>
    <cellStyle name="40 % - Markeringsfarve3 5 6 6" xfId="14551" xr:uid="{00000000-0005-0000-0000-0000A5690000}"/>
    <cellStyle name="40 % - Markeringsfarve3 5 6 6 2" xfId="30830" xr:uid="{00000000-0005-0000-0000-0000A6690000}"/>
    <cellStyle name="40 % - Markeringsfarve3 5 6 6 3" xfId="45790" xr:uid="{00000000-0005-0000-0000-0000A7690000}"/>
    <cellStyle name="40 % - Markeringsfarve3 5 6 7" xfId="23828" xr:uid="{00000000-0005-0000-0000-0000A8690000}"/>
    <cellStyle name="40 % - Markeringsfarve3 5 6 8" xfId="38793" xr:uid="{00000000-0005-0000-0000-0000A9690000}"/>
    <cellStyle name="40 % - Markeringsfarve3 5 7" xfId="6071" xr:uid="{00000000-0005-0000-0000-0000AA690000}"/>
    <cellStyle name="40 % - Markeringsfarve3 5 7 2" xfId="6072" xr:uid="{00000000-0005-0000-0000-0000AB690000}"/>
    <cellStyle name="40 % - Markeringsfarve3 5 7 2 2" xfId="9778" xr:uid="{00000000-0005-0000-0000-0000AC690000}"/>
    <cellStyle name="40 % - Markeringsfarve3 5 7 2 2 2" xfId="17632" xr:uid="{00000000-0005-0000-0000-0000AD690000}"/>
    <cellStyle name="40 % - Markeringsfarve3 5 7 2 2 2 2" xfId="33908" xr:uid="{00000000-0005-0000-0000-0000AE690000}"/>
    <cellStyle name="40 % - Markeringsfarve3 5 7 2 2 2 3" xfId="48867" xr:uid="{00000000-0005-0000-0000-0000AF690000}"/>
    <cellStyle name="40 % - Markeringsfarve3 5 7 2 2 3" xfId="26906" xr:uid="{00000000-0005-0000-0000-0000B0690000}"/>
    <cellStyle name="40 % - Markeringsfarve3 5 7 2 2 4" xfId="41870" xr:uid="{00000000-0005-0000-0000-0000B1690000}"/>
    <cellStyle name="40 % - Markeringsfarve3 5 7 2 3" xfId="14557" xr:uid="{00000000-0005-0000-0000-0000B2690000}"/>
    <cellStyle name="40 % - Markeringsfarve3 5 7 2 3 2" xfId="30836" xr:uid="{00000000-0005-0000-0000-0000B3690000}"/>
    <cellStyle name="40 % - Markeringsfarve3 5 7 2 3 3" xfId="45796" xr:uid="{00000000-0005-0000-0000-0000B4690000}"/>
    <cellStyle name="40 % - Markeringsfarve3 5 7 2 4" xfId="23834" xr:uid="{00000000-0005-0000-0000-0000B5690000}"/>
    <cellStyle name="40 % - Markeringsfarve3 5 7 2 5" xfId="38799" xr:uid="{00000000-0005-0000-0000-0000B6690000}"/>
    <cellStyle name="40 % - Markeringsfarve3 5 7 3" xfId="8368" xr:uid="{00000000-0005-0000-0000-0000B7690000}"/>
    <cellStyle name="40 % - Markeringsfarve3 5 7 3 2" xfId="16238" xr:uid="{00000000-0005-0000-0000-0000B8690000}"/>
    <cellStyle name="40 % - Markeringsfarve3 5 7 3 2 2" xfId="32514" xr:uid="{00000000-0005-0000-0000-0000B9690000}"/>
    <cellStyle name="40 % - Markeringsfarve3 5 7 3 2 3" xfId="47473" xr:uid="{00000000-0005-0000-0000-0000BA690000}"/>
    <cellStyle name="40 % - Markeringsfarve3 5 7 3 3" xfId="25512" xr:uid="{00000000-0005-0000-0000-0000BB690000}"/>
    <cellStyle name="40 % - Markeringsfarve3 5 7 3 4" xfId="40476" xr:uid="{00000000-0005-0000-0000-0000BC690000}"/>
    <cellStyle name="40 % - Markeringsfarve3 5 7 4" xfId="14556" xr:uid="{00000000-0005-0000-0000-0000BD690000}"/>
    <cellStyle name="40 % - Markeringsfarve3 5 7 4 2" xfId="30835" xr:uid="{00000000-0005-0000-0000-0000BE690000}"/>
    <cellStyle name="40 % - Markeringsfarve3 5 7 4 3" xfId="45795" xr:uid="{00000000-0005-0000-0000-0000BF690000}"/>
    <cellStyle name="40 % - Markeringsfarve3 5 7 5" xfId="23833" xr:uid="{00000000-0005-0000-0000-0000C0690000}"/>
    <cellStyle name="40 % - Markeringsfarve3 5 7 6" xfId="38798" xr:uid="{00000000-0005-0000-0000-0000C1690000}"/>
    <cellStyle name="40 % - Markeringsfarve3 5 8" xfId="6073" xr:uid="{00000000-0005-0000-0000-0000C2690000}"/>
    <cellStyle name="40 % - Markeringsfarve3 5 8 2" xfId="9006" xr:uid="{00000000-0005-0000-0000-0000C3690000}"/>
    <cellStyle name="40 % - Markeringsfarve3 5 8 2 2" xfId="16870" xr:uid="{00000000-0005-0000-0000-0000C4690000}"/>
    <cellStyle name="40 % - Markeringsfarve3 5 8 2 2 2" xfId="33146" xr:uid="{00000000-0005-0000-0000-0000C5690000}"/>
    <cellStyle name="40 % - Markeringsfarve3 5 8 2 2 3" xfId="48105" xr:uid="{00000000-0005-0000-0000-0000C6690000}"/>
    <cellStyle name="40 % - Markeringsfarve3 5 8 2 3" xfId="26144" xr:uid="{00000000-0005-0000-0000-0000C7690000}"/>
    <cellStyle name="40 % - Markeringsfarve3 5 8 2 4" xfId="41108" xr:uid="{00000000-0005-0000-0000-0000C8690000}"/>
    <cellStyle name="40 % - Markeringsfarve3 5 8 3" xfId="14558" xr:uid="{00000000-0005-0000-0000-0000C9690000}"/>
    <cellStyle name="40 % - Markeringsfarve3 5 8 3 2" xfId="30837" xr:uid="{00000000-0005-0000-0000-0000CA690000}"/>
    <cellStyle name="40 % - Markeringsfarve3 5 8 3 3" xfId="45797" xr:uid="{00000000-0005-0000-0000-0000CB690000}"/>
    <cellStyle name="40 % - Markeringsfarve3 5 8 4" xfId="23835" xr:uid="{00000000-0005-0000-0000-0000CC690000}"/>
    <cellStyle name="40 % - Markeringsfarve3 5 8 5" xfId="38800" xr:uid="{00000000-0005-0000-0000-0000CD690000}"/>
    <cellStyle name="40 % - Markeringsfarve3 5 9" xfId="6074" xr:uid="{00000000-0005-0000-0000-0000CE690000}"/>
    <cellStyle name="40 % - Markeringsfarve3 5 9 2" xfId="10695" xr:uid="{00000000-0005-0000-0000-0000CF690000}"/>
    <cellStyle name="40 % - Markeringsfarve3 5 9 2 2" xfId="18539" xr:uid="{00000000-0005-0000-0000-0000D0690000}"/>
    <cellStyle name="40 % - Markeringsfarve3 5 9 2 2 2" xfId="34815" xr:uid="{00000000-0005-0000-0000-0000D1690000}"/>
    <cellStyle name="40 % - Markeringsfarve3 5 9 2 2 3" xfId="49774" xr:uid="{00000000-0005-0000-0000-0000D2690000}"/>
    <cellStyle name="40 % - Markeringsfarve3 5 9 2 3" xfId="27813" xr:uid="{00000000-0005-0000-0000-0000D3690000}"/>
    <cellStyle name="40 % - Markeringsfarve3 5 9 2 4" xfId="42777" xr:uid="{00000000-0005-0000-0000-0000D4690000}"/>
    <cellStyle name="40 % - Markeringsfarve3 5 9 3" xfId="14559" xr:uid="{00000000-0005-0000-0000-0000D5690000}"/>
    <cellStyle name="40 % - Markeringsfarve3 5 9 3 2" xfId="30838" xr:uid="{00000000-0005-0000-0000-0000D6690000}"/>
    <cellStyle name="40 % - Markeringsfarve3 5 9 3 3" xfId="45798" xr:uid="{00000000-0005-0000-0000-0000D7690000}"/>
    <cellStyle name="40 % - Markeringsfarve3 5 9 4" xfId="23836" xr:uid="{00000000-0005-0000-0000-0000D8690000}"/>
    <cellStyle name="40 % - Markeringsfarve3 5 9 5" xfId="38801" xr:uid="{00000000-0005-0000-0000-0000D9690000}"/>
    <cellStyle name="40 % - Markeringsfarve3 6" xfId="6075" xr:uid="{00000000-0005-0000-0000-0000DA690000}"/>
    <cellStyle name="40 % - Markeringsfarve3 6 2" xfId="6076" xr:uid="{00000000-0005-0000-0000-0000DB690000}"/>
    <cellStyle name="40 % - Markeringsfarve3 6 2 2" xfId="6077" xr:uid="{00000000-0005-0000-0000-0000DC690000}"/>
    <cellStyle name="40 % - Markeringsfarve3 6 2 2 2" xfId="6078" xr:uid="{00000000-0005-0000-0000-0000DD690000}"/>
    <cellStyle name="40 % - Markeringsfarve3 6 2 2 2 2" xfId="10011" xr:uid="{00000000-0005-0000-0000-0000DE690000}"/>
    <cellStyle name="40 % - Markeringsfarve3 6 2 2 2 2 2" xfId="17866" xr:uid="{00000000-0005-0000-0000-0000DF690000}"/>
    <cellStyle name="40 % - Markeringsfarve3 6 2 2 2 2 2 2" xfId="34142" xr:uid="{00000000-0005-0000-0000-0000E0690000}"/>
    <cellStyle name="40 % - Markeringsfarve3 6 2 2 2 2 2 3" xfId="49101" xr:uid="{00000000-0005-0000-0000-0000E1690000}"/>
    <cellStyle name="40 % - Markeringsfarve3 6 2 2 2 2 3" xfId="27140" xr:uid="{00000000-0005-0000-0000-0000E2690000}"/>
    <cellStyle name="40 % - Markeringsfarve3 6 2 2 2 2 4" xfId="42104" xr:uid="{00000000-0005-0000-0000-0000E3690000}"/>
    <cellStyle name="40 % - Markeringsfarve3 6 2 2 2 3" xfId="14563" xr:uid="{00000000-0005-0000-0000-0000E4690000}"/>
    <cellStyle name="40 % - Markeringsfarve3 6 2 2 2 3 2" xfId="30842" xr:uid="{00000000-0005-0000-0000-0000E5690000}"/>
    <cellStyle name="40 % - Markeringsfarve3 6 2 2 2 3 3" xfId="45802" xr:uid="{00000000-0005-0000-0000-0000E6690000}"/>
    <cellStyle name="40 % - Markeringsfarve3 6 2 2 2 4" xfId="23840" xr:uid="{00000000-0005-0000-0000-0000E7690000}"/>
    <cellStyle name="40 % - Markeringsfarve3 6 2 2 2 5" xfId="38805" xr:uid="{00000000-0005-0000-0000-0000E8690000}"/>
    <cellStyle name="40 % - Markeringsfarve3 6 2 2 3" xfId="8558" xr:uid="{00000000-0005-0000-0000-0000E9690000}"/>
    <cellStyle name="40 % - Markeringsfarve3 6 2 2 3 2" xfId="16428" xr:uid="{00000000-0005-0000-0000-0000EA690000}"/>
    <cellStyle name="40 % - Markeringsfarve3 6 2 2 3 2 2" xfId="32704" xr:uid="{00000000-0005-0000-0000-0000EB690000}"/>
    <cellStyle name="40 % - Markeringsfarve3 6 2 2 3 2 3" xfId="47663" xr:uid="{00000000-0005-0000-0000-0000EC690000}"/>
    <cellStyle name="40 % - Markeringsfarve3 6 2 2 3 3" xfId="25702" xr:uid="{00000000-0005-0000-0000-0000ED690000}"/>
    <cellStyle name="40 % - Markeringsfarve3 6 2 2 3 4" xfId="40666" xr:uid="{00000000-0005-0000-0000-0000EE690000}"/>
    <cellStyle name="40 % - Markeringsfarve3 6 2 2 4" xfId="14562" xr:uid="{00000000-0005-0000-0000-0000EF690000}"/>
    <cellStyle name="40 % - Markeringsfarve3 6 2 2 4 2" xfId="30841" xr:uid="{00000000-0005-0000-0000-0000F0690000}"/>
    <cellStyle name="40 % - Markeringsfarve3 6 2 2 4 3" xfId="45801" xr:uid="{00000000-0005-0000-0000-0000F1690000}"/>
    <cellStyle name="40 % - Markeringsfarve3 6 2 2 5" xfId="23839" xr:uid="{00000000-0005-0000-0000-0000F2690000}"/>
    <cellStyle name="40 % - Markeringsfarve3 6 2 2 6" xfId="38804" xr:uid="{00000000-0005-0000-0000-0000F3690000}"/>
    <cellStyle name="40 % - Markeringsfarve3 6 2 3" xfId="6079" xr:uid="{00000000-0005-0000-0000-0000F4690000}"/>
    <cellStyle name="40 % - Markeringsfarve3 6 2 3 2" xfId="9242" xr:uid="{00000000-0005-0000-0000-0000F5690000}"/>
    <cellStyle name="40 % - Markeringsfarve3 6 2 3 2 2" xfId="17106" xr:uid="{00000000-0005-0000-0000-0000F6690000}"/>
    <cellStyle name="40 % - Markeringsfarve3 6 2 3 2 2 2" xfId="33382" xr:uid="{00000000-0005-0000-0000-0000F7690000}"/>
    <cellStyle name="40 % - Markeringsfarve3 6 2 3 2 2 3" xfId="48341" xr:uid="{00000000-0005-0000-0000-0000F8690000}"/>
    <cellStyle name="40 % - Markeringsfarve3 6 2 3 2 3" xfId="26380" xr:uid="{00000000-0005-0000-0000-0000F9690000}"/>
    <cellStyle name="40 % - Markeringsfarve3 6 2 3 2 4" xfId="41344" xr:uid="{00000000-0005-0000-0000-0000FA690000}"/>
    <cellStyle name="40 % - Markeringsfarve3 6 2 3 3" xfId="14564" xr:uid="{00000000-0005-0000-0000-0000FB690000}"/>
    <cellStyle name="40 % - Markeringsfarve3 6 2 3 3 2" xfId="30843" xr:uid="{00000000-0005-0000-0000-0000FC690000}"/>
    <cellStyle name="40 % - Markeringsfarve3 6 2 3 3 3" xfId="45803" xr:uid="{00000000-0005-0000-0000-0000FD690000}"/>
    <cellStyle name="40 % - Markeringsfarve3 6 2 3 4" xfId="23841" xr:uid="{00000000-0005-0000-0000-0000FE690000}"/>
    <cellStyle name="40 % - Markeringsfarve3 6 2 3 5" xfId="38806" xr:uid="{00000000-0005-0000-0000-0000FF690000}"/>
    <cellStyle name="40 % - Markeringsfarve3 6 2 4" xfId="6080" xr:uid="{00000000-0005-0000-0000-0000006A0000}"/>
    <cellStyle name="40 % - Markeringsfarve3 6 2 4 2" xfId="10482" xr:uid="{00000000-0005-0000-0000-0000016A0000}"/>
    <cellStyle name="40 % - Markeringsfarve3 6 2 4 2 2" xfId="18331" xr:uid="{00000000-0005-0000-0000-0000026A0000}"/>
    <cellStyle name="40 % - Markeringsfarve3 6 2 4 2 2 2" xfId="34607" xr:uid="{00000000-0005-0000-0000-0000036A0000}"/>
    <cellStyle name="40 % - Markeringsfarve3 6 2 4 2 2 3" xfId="49566" xr:uid="{00000000-0005-0000-0000-0000046A0000}"/>
    <cellStyle name="40 % - Markeringsfarve3 6 2 4 2 3" xfId="27605" xr:uid="{00000000-0005-0000-0000-0000056A0000}"/>
    <cellStyle name="40 % - Markeringsfarve3 6 2 4 2 4" xfId="42569" xr:uid="{00000000-0005-0000-0000-0000066A0000}"/>
    <cellStyle name="40 % - Markeringsfarve3 6 2 4 3" xfId="14565" xr:uid="{00000000-0005-0000-0000-0000076A0000}"/>
    <cellStyle name="40 % - Markeringsfarve3 6 2 4 3 2" xfId="30844" xr:uid="{00000000-0005-0000-0000-0000086A0000}"/>
    <cellStyle name="40 % - Markeringsfarve3 6 2 4 3 3" xfId="45804" xr:uid="{00000000-0005-0000-0000-0000096A0000}"/>
    <cellStyle name="40 % - Markeringsfarve3 6 2 4 4" xfId="23842" xr:uid="{00000000-0005-0000-0000-00000A6A0000}"/>
    <cellStyle name="40 % - Markeringsfarve3 6 2 4 5" xfId="38807" xr:uid="{00000000-0005-0000-0000-00000B6A0000}"/>
    <cellStyle name="40 % - Markeringsfarve3 6 2 5" xfId="8121" xr:uid="{00000000-0005-0000-0000-00000C6A0000}"/>
    <cellStyle name="40 % - Markeringsfarve3 6 2 5 2" xfId="15986" xr:uid="{00000000-0005-0000-0000-00000D6A0000}"/>
    <cellStyle name="40 % - Markeringsfarve3 6 2 5 2 2" xfId="32262" xr:uid="{00000000-0005-0000-0000-00000E6A0000}"/>
    <cellStyle name="40 % - Markeringsfarve3 6 2 5 2 3" xfId="47221" xr:uid="{00000000-0005-0000-0000-00000F6A0000}"/>
    <cellStyle name="40 % - Markeringsfarve3 6 2 5 3" xfId="25260" xr:uid="{00000000-0005-0000-0000-0000106A0000}"/>
    <cellStyle name="40 % - Markeringsfarve3 6 2 5 4" xfId="40224" xr:uid="{00000000-0005-0000-0000-0000116A0000}"/>
    <cellStyle name="40 % - Markeringsfarve3 6 2 6" xfId="14561" xr:uid="{00000000-0005-0000-0000-0000126A0000}"/>
    <cellStyle name="40 % - Markeringsfarve3 6 2 6 2" xfId="30840" xr:uid="{00000000-0005-0000-0000-0000136A0000}"/>
    <cellStyle name="40 % - Markeringsfarve3 6 2 6 3" xfId="45800" xr:uid="{00000000-0005-0000-0000-0000146A0000}"/>
    <cellStyle name="40 % - Markeringsfarve3 6 2 7" xfId="23838" xr:uid="{00000000-0005-0000-0000-0000156A0000}"/>
    <cellStyle name="40 % - Markeringsfarve3 6 2 8" xfId="38803" xr:uid="{00000000-0005-0000-0000-0000166A0000}"/>
    <cellStyle name="40 % - Markeringsfarve3 6 3" xfId="6081" xr:uid="{00000000-0005-0000-0000-0000176A0000}"/>
    <cellStyle name="40 % - Markeringsfarve3 6 3 2" xfId="6082" xr:uid="{00000000-0005-0000-0000-0000186A0000}"/>
    <cellStyle name="40 % - Markeringsfarve3 6 3 2 2" xfId="9818" xr:uid="{00000000-0005-0000-0000-0000196A0000}"/>
    <cellStyle name="40 % - Markeringsfarve3 6 3 2 2 2" xfId="17673" xr:uid="{00000000-0005-0000-0000-00001A6A0000}"/>
    <cellStyle name="40 % - Markeringsfarve3 6 3 2 2 2 2" xfId="33949" xr:uid="{00000000-0005-0000-0000-00001B6A0000}"/>
    <cellStyle name="40 % - Markeringsfarve3 6 3 2 2 2 3" xfId="48908" xr:uid="{00000000-0005-0000-0000-00001C6A0000}"/>
    <cellStyle name="40 % - Markeringsfarve3 6 3 2 2 3" xfId="26947" xr:uid="{00000000-0005-0000-0000-00001D6A0000}"/>
    <cellStyle name="40 % - Markeringsfarve3 6 3 2 2 4" xfId="41911" xr:uid="{00000000-0005-0000-0000-00001E6A0000}"/>
    <cellStyle name="40 % - Markeringsfarve3 6 3 2 3" xfId="14567" xr:uid="{00000000-0005-0000-0000-00001F6A0000}"/>
    <cellStyle name="40 % - Markeringsfarve3 6 3 2 3 2" xfId="30846" xr:uid="{00000000-0005-0000-0000-0000206A0000}"/>
    <cellStyle name="40 % - Markeringsfarve3 6 3 2 3 3" xfId="45806" xr:uid="{00000000-0005-0000-0000-0000216A0000}"/>
    <cellStyle name="40 % - Markeringsfarve3 6 3 2 4" xfId="23844" xr:uid="{00000000-0005-0000-0000-0000226A0000}"/>
    <cellStyle name="40 % - Markeringsfarve3 6 3 2 5" xfId="38809" xr:uid="{00000000-0005-0000-0000-0000236A0000}"/>
    <cellStyle name="40 % - Markeringsfarve3 6 3 3" xfId="8401" xr:uid="{00000000-0005-0000-0000-0000246A0000}"/>
    <cellStyle name="40 % - Markeringsfarve3 6 3 3 2" xfId="16271" xr:uid="{00000000-0005-0000-0000-0000256A0000}"/>
    <cellStyle name="40 % - Markeringsfarve3 6 3 3 2 2" xfId="32547" xr:uid="{00000000-0005-0000-0000-0000266A0000}"/>
    <cellStyle name="40 % - Markeringsfarve3 6 3 3 2 3" xfId="47506" xr:uid="{00000000-0005-0000-0000-0000276A0000}"/>
    <cellStyle name="40 % - Markeringsfarve3 6 3 3 3" xfId="25545" xr:uid="{00000000-0005-0000-0000-0000286A0000}"/>
    <cellStyle name="40 % - Markeringsfarve3 6 3 3 4" xfId="40509" xr:uid="{00000000-0005-0000-0000-0000296A0000}"/>
    <cellStyle name="40 % - Markeringsfarve3 6 3 4" xfId="14566" xr:uid="{00000000-0005-0000-0000-00002A6A0000}"/>
    <cellStyle name="40 % - Markeringsfarve3 6 3 4 2" xfId="30845" xr:uid="{00000000-0005-0000-0000-00002B6A0000}"/>
    <cellStyle name="40 % - Markeringsfarve3 6 3 4 3" xfId="45805" xr:uid="{00000000-0005-0000-0000-00002C6A0000}"/>
    <cellStyle name="40 % - Markeringsfarve3 6 3 5" xfId="23843" xr:uid="{00000000-0005-0000-0000-00002D6A0000}"/>
    <cellStyle name="40 % - Markeringsfarve3 6 3 6" xfId="38808" xr:uid="{00000000-0005-0000-0000-00002E6A0000}"/>
    <cellStyle name="40 % - Markeringsfarve3 6 4" xfId="6083" xr:uid="{00000000-0005-0000-0000-00002F6A0000}"/>
    <cellStyle name="40 % - Markeringsfarve3 6 4 2" xfId="9049" xr:uid="{00000000-0005-0000-0000-0000306A0000}"/>
    <cellStyle name="40 % - Markeringsfarve3 6 4 2 2" xfId="16913" xr:uid="{00000000-0005-0000-0000-0000316A0000}"/>
    <cellStyle name="40 % - Markeringsfarve3 6 4 2 2 2" xfId="33189" xr:uid="{00000000-0005-0000-0000-0000326A0000}"/>
    <cellStyle name="40 % - Markeringsfarve3 6 4 2 2 3" xfId="48148" xr:uid="{00000000-0005-0000-0000-0000336A0000}"/>
    <cellStyle name="40 % - Markeringsfarve3 6 4 2 3" xfId="26187" xr:uid="{00000000-0005-0000-0000-0000346A0000}"/>
    <cellStyle name="40 % - Markeringsfarve3 6 4 2 4" xfId="41151" xr:uid="{00000000-0005-0000-0000-0000356A0000}"/>
    <cellStyle name="40 % - Markeringsfarve3 6 4 3" xfId="14568" xr:uid="{00000000-0005-0000-0000-0000366A0000}"/>
    <cellStyle name="40 % - Markeringsfarve3 6 4 3 2" xfId="30847" xr:uid="{00000000-0005-0000-0000-0000376A0000}"/>
    <cellStyle name="40 % - Markeringsfarve3 6 4 3 3" xfId="45807" xr:uid="{00000000-0005-0000-0000-0000386A0000}"/>
    <cellStyle name="40 % - Markeringsfarve3 6 4 4" xfId="23845" xr:uid="{00000000-0005-0000-0000-0000396A0000}"/>
    <cellStyle name="40 % - Markeringsfarve3 6 4 5" xfId="38810" xr:uid="{00000000-0005-0000-0000-00003A6A0000}"/>
    <cellStyle name="40 % - Markeringsfarve3 6 5" xfId="6084" xr:uid="{00000000-0005-0000-0000-00003B6A0000}"/>
    <cellStyle name="40 % - Markeringsfarve3 6 5 2" xfId="10832" xr:uid="{00000000-0005-0000-0000-00003C6A0000}"/>
    <cellStyle name="40 % - Markeringsfarve3 6 5 2 2" xfId="18670" xr:uid="{00000000-0005-0000-0000-00003D6A0000}"/>
    <cellStyle name="40 % - Markeringsfarve3 6 5 2 2 2" xfId="34946" xr:uid="{00000000-0005-0000-0000-00003E6A0000}"/>
    <cellStyle name="40 % - Markeringsfarve3 6 5 2 2 3" xfId="49905" xr:uid="{00000000-0005-0000-0000-00003F6A0000}"/>
    <cellStyle name="40 % - Markeringsfarve3 6 5 2 3" xfId="27944" xr:uid="{00000000-0005-0000-0000-0000406A0000}"/>
    <cellStyle name="40 % - Markeringsfarve3 6 5 2 4" xfId="42908" xr:uid="{00000000-0005-0000-0000-0000416A0000}"/>
    <cellStyle name="40 % - Markeringsfarve3 6 5 3" xfId="14569" xr:uid="{00000000-0005-0000-0000-0000426A0000}"/>
    <cellStyle name="40 % - Markeringsfarve3 6 5 3 2" xfId="30848" xr:uid="{00000000-0005-0000-0000-0000436A0000}"/>
    <cellStyle name="40 % - Markeringsfarve3 6 5 3 3" xfId="45808" xr:uid="{00000000-0005-0000-0000-0000446A0000}"/>
    <cellStyle name="40 % - Markeringsfarve3 6 5 4" xfId="23846" xr:uid="{00000000-0005-0000-0000-0000456A0000}"/>
    <cellStyle name="40 % - Markeringsfarve3 6 5 5" xfId="38811" xr:uid="{00000000-0005-0000-0000-0000466A0000}"/>
    <cellStyle name="40 % - Markeringsfarve3 6 6" xfId="8120" xr:uid="{00000000-0005-0000-0000-0000476A0000}"/>
    <cellStyle name="40 % - Markeringsfarve3 6 6 2" xfId="15985" xr:uid="{00000000-0005-0000-0000-0000486A0000}"/>
    <cellStyle name="40 % - Markeringsfarve3 6 6 2 2" xfId="32261" xr:uid="{00000000-0005-0000-0000-0000496A0000}"/>
    <cellStyle name="40 % - Markeringsfarve3 6 6 2 3" xfId="47220" xr:uid="{00000000-0005-0000-0000-00004A6A0000}"/>
    <cellStyle name="40 % - Markeringsfarve3 6 6 3" xfId="25259" xr:uid="{00000000-0005-0000-0000-00004B6A0000}"/>
    <cellStyle name="40 % - Markeringsfarve3 6 6 4" xfId="40223" xr:uid="{00000000-0005-0000-0000-00004C6A0000}"/>
    <cellStyle name="40 % - Markeringsfarve3 6 7" xfId="14560" xr:uid="{00000000-0005-0000-0000-00004D6A0000}"/>
    <cellStyle name="40 % - Markeringsfarve3 6 7 2" xfId="30839" xr:uid="{00000000-0005-0000-0000-00004E6A0000}"/>
    <cellStyle name="40 % - Markeringsfarve3 6 7 3" xfId="45799" xr:uid="{00000000-0005-0000-0000-00004F6A0000}"/>
    <cellStyle name="40 % - Markeringsfarve3 6 8" xfId="23837" xr:uid="{00000000-0005-0000-0000-0000506A0000}"/>
    <cellStyle name="40 % - Markeringsfarve3 6 9" xfId="38802" xr:uid="{00000000-0005-0000-0000-0000516A0000}"/>
    <cellStyle name="40 % - Markeringsfarve3 7" xfId="6085" xr:uid="{00000000-0005-0000-0000-0000526A0000}"/>
    <cellStyle name="40 % - Markeringsfarve3 7 2" xfId="6086" xr:uid="{00000000-0005-0000-0000-0000536A0000}"/>
    <cellStyle name="40 % - Markeringsfarve3 7 2 2" xfId="6087" xr:uid="{00000000-0005-0000-0000-0000546A0000}"/>
    <cellStyle name="40 % - Markeringsfarve3 7 2 2 2" xfId="10056" xr:uid="{00000000-0005-0000-0000-0000556A0000}"/>
    <cellStyle name="40 % - Markeringsfarve3 7 2 2 2 2" xfId="17911" xr:uid="{00000000-0005-0000-0000-0000566A0000}"/>
    <cellStyle name="40 % - Markeringsfarve3 7 2 2 2 2 2" xfId="34187" xr:uid="{00000000-0005-0000-0000-0000576A0000}"/>
    <cellStyle name="40 % - Markeringsfarve3 7 2 2 2 2 3" xfId="49146" xr:uid="{00000000-0005-0000-0000-0000586A0000}"/>
    <cellStyle name="40 % - Markeringsfarve3 7 2 2 2 3" xfId="27185" xr:uid="{00000000-0005-0000-0000-0000596A0000}"/>
    <cellStyle name="40 % - Markeringsfarve3 7 2 2 2 4" xfId="42149" xr:uid="{00000000-0005-0000-0000-00005A6A0000}"/>
    <cellStyle name="40 % - Markeringsfarve3 7 2 2 3" xfId="14572" xr:uid="{00000000-0005-0000-0000-00005B6A0000}"/>
    <cellStyle name="40 % - Markeringsfarve3 7 2 2 3 2" xfId="30851" xr:uid="{00000000-0005-0000-0000-00005C6A0000}"/>
    <cellStyle name="40 % - Markeringsfarve3 7 2 2 3 3" xfId="45811" xr:uid="{00000000-0005-0000-0000-00005D6A0000}"/>
    <cellStyle name="40 % - Markeringsfarve3 7 2 2 4" xfId="23849" xr:uid="{00000000-0005-0000-0000-00005E6A0000}"/>
    <cellStyle name="40 % - Markeringsfarve3 7 2 2 5" xfId="38814" xr:uid="{00000000-0005-0000-0000-00005F6A0000}"/>
    <cellStyle name="40 % - Markeringsfarve3 7 2 3" xfId="8603" xr:uid="{00000000-0005-0000-0000-0000606A0000}"/>
    <cellStyle name="40 % - Markeringsfarve3 7 2 3 2" xfId="16470" xr:uid="{00000000-0005-0000-0000-0000616A0000}"/>
    <cellStyle name="40 % - Markeringsfarve3 7 2 3 2 2" xfId="32746" xr:uid="{00000000-0005-0000-0000-0000626A0000}"/>
    <cellStyle name="40 % - Markeringsfarve3 7 2 3 2 3" xfId="47705" xr:uid="{00000000-0005-0000-0000-0000636A0000}"/>
    <cellStyle name="40 % - Markeringsfarve3 7 2 3 3" xfId="25744" xr:uid="{00000000-0005-0000-0000-0000646A0000}"/>
    <cellStyle name="40 % - Markeringsfarve3 7 2 3 4" xfId="40708" xr:uid="{00000000-0005-0000-0000-0000656A0000}"/>
    <cellStyle name="40 % - Markeringsfarve3 7 2 4" xfId="14571" xr:uid="{00000000-0005-0000-0000-0000666A0000}"/>
    <cellStyle name="40 % - Markeringsfarve3 7 2 4 2" xfId="30850" xr:uid="{00000000-0005-0000-0000-0000676A0000}"/>
    <cellStyle name="40 % - Markeringsfarve3 7 2 4 3" xfId="45810" xr:uid="{00000000-0005-0000-0000-0000686A0000}"/>
    <cellStyle name="40 % - Markeringsfarve3 7 2 5" xfId="23848" xr:uid="{00000000-0005-0000-0000-0000696A0000}"/>
    <cellStyle name="40 % - Markeringsfarve3 7 2 6" xfId="38813" xr:uid="{00000000-0005-0000-0000-00006A6A0000}"/>
    <cellStyle name="40 % - Markeringsfarve3 7 3" xfId="6088" xr:uid="{00000000-0005-0000-0000-00006B6A0000}"/>
    <cellStyle name="40 % - Markeringsfarve3 7 3 2" xfId="9333" xr:uid="{00000000-0005-0000-0000-00006C6A0000}"/>
    <cellStyle name="40 % - Markeringsfarve3 7 3 2 2" xfId="17196" xr:uid="{00000000-0005-0000-0000-00006D6A0000}"/>
    <cellStyle name="40 % - Markeringsfarve3 7 3 2 2 2" xfId="33472" xr:uid="{00000000-0005-0000-0000-00006E6A0000}"/>
    <cellStyle name="40 % - Markeringsfarve3 7 3 2 2 3" xfId="48431" xr:uid="{00000000-0005-0000-0000-00006F6A0000}"/>
    <cellStyle name="40 % - Markeringsfarve3 7 3 2 3" xfId="26470" xr:uid="{00000000-0005-0000-0000-0000706A0000}"/>
    <cellStyle name="40 % - Markeringsfarve3 7 3 2 4" xfId="41434" xr:uid="{00000000-0005-0000-0000-0000716A0000}"/>
    <cellStyle name="40 % - Markeringsfarve3 7 3 3" xfId="14573" xr:uid="{00000000-0005-0000-0000-0000726A0000}"/>
    <cellStyle name="40 % - Markeringsfarve3 7 3 3 2" xfId="30852" xr:uid="{00000000-0005-0000-0000-0000736A0000}"/>
    <cellStyle name="40 % - Markeringsfarve3 7 3 3 3" xfId="45812" xr:uid="{00000000-0005-0000-0000-0000746A0000}"/>
    <cellStyle name="40 % - Markeringsfarve3 7 3 4" xfId="23850" xr:uid="{00000000-0005-0000-0000-0000756A0000}"/>
    <cellStyle name="40 % - Markeringsfarve3 7 3 5" xfId="38815" xr:uid="{00000000-0005-0000-0000-0000766A0000}"/>
    <cellStyle name="40 % - Markeringsfarve3 7 4" xfId="6089" xr:uid="{00000000-0005-0000-0000-0000776A0000}"/>
    <cellStyle name="40 % - Markeringsfarve3 7 4 2" xfId="10777" xr:uid="{00000000-0005-0000-0000-0000786A0000}"/>
    <cellStyle name="40 % - Markeringsfarve3 7 4 2 2" xfId="18619" xr:uid="{00000000-0005-0000-0000-0000796A0000}"/>
    <cellStyle name="40 % - Markeringsfarve3 7 4 2 2 2" xfId="34895" xr:uid="{00000000-0005-0000-0000-00007A6A0000}"/>
    <cellStyle name="40 % - Markeringsfarve3 7 4 2 2 3" xfId="49854" xr:uid="{00000000-0005-0000-0000-00007B6A0000}"/>
    <cellStyle name="40 % - Markeringsfarve3 7 4 2 3" xfId="27893" xr:uid="{00000000-0005-0000-0000-00007C6A0000}"/>
    <cellStyle name="40 % - Markeringsfarve3 7 4 2 4" xfId="42857" xr:uid="{00000000-0005-0000-0000-00007D6A0000}"/>
    <cellStyle name="40 % - Markeringsfarve3 7 4 3" xfId="14574" xr:uid="{00000000-0005-0000-0000-00007E6A0000}"/>
    <cellStyle name="40 % - Markeringsfarve3 7 4 3 2" xfId="30853" xr:uid="{00000000-0005-0000-0000-00007F6A0000}"/>
    <cellStyle name="40 % - Markeringsfarve3 7 4 3 3" xfId="45813" xr:uid="{00000000-0005-0000-0000-0000806A0000}"/>
    <cellStyle name="40 % - Markeringsfarve3 7 4 4" xfId="23851" xr:uid="{00000000-0005-0000-0000-0000816A0000}"/>
    <cellStyle name="40 % - Markeringsfarve3 7 4 5" xfId="38816" xr:uid="{00000000-0005-0000-0000-0000826A0000}"/>
    <cellStyle name="40 % - Markeringsfarve3 7 5" xfId="8122" xr:uid="{00000000-0005-0000-0000-0000836A0000}"/>
    <cellStyle name="40 % - Markeringsfarve3 7 5 2" xfId="15987" xr:uid="{00000000-0005-0000-0000-0000846A0000}"/>
    <cellStyle name="40 % - Markeringsfarve3 7 5 2 2" xfId="32263" xr:uid="{00000000-0005-0000-0000-0000856A0000}"/>
    <cellStyle name="40 % - Markeringsfarve3 7 5 2 3" xfId="47222" xr:uid="{00000000-0005-0000-0000-0000866A0000}"/>
    <cellStyle name="40 % - Markeringsfarve3 7 5 3" xfId="25261" xr:uid="{00000000-0005-0000-0000-0000876A0000}"/>
    <cellStyle name="40 % - Markeringsfarve3 7 5 4" xfId="40225" xr:uid="{00000000-0005-0000-0000-0000886A0000}"/>
    <cellStyle name="40 % - Markeringsfarve3 7 6" xfId="14570" xr:uid="{00000000-0005-0000-0000-0000896A0000}"/>
    <cellStyle name="40 % - Markeringsfarve3 7 6 2" xfId="30849" xr:uid="{00000000-0005-0000-0000-00008A6A0000}"/>
    <cellStyle name="40 % - Markeringsfarve3 7 6 3" xfId="45809" xr:uid="{00000000-0005-0000-0000-00008B6A0000}"/>
    <cellStyle name="40 % - Markeringsfarve3 7 7" xfId="23847" xr:uid="{00000000-0005-0000-0000-00008C6A0000}"/>
    <cellStyle name="40 % - Markeringsfarve3 7 8" xfId="38812" xr:uid="{00000000-0005-0000-0000-00008D6A0000}"/>
    <cellStyle name="40 % - Markeringsfarve3 8" xfId="6090" xr:uid="{00000000-0005-0000-0000-00008E6A0000}"/>
    <cellStyle name="40 % - Markeringsfarve3 8 2" xfId="6091" xr:uid="{00000000-0005-0000-0000-00008F6A0000}"/>
    <cellStyle name="40 % - Markeringsfarve3 8 2 2" xfId="6092" xr:uid="{00000000-0005-0000-0000-0000906A0000}"/>
    <cellStyle name="40 % - Markeringsfarve3 8 2 2 2" xfId="10173" xr:uid="{00000000-0005-0000-0000-0000916A0000}"/>
    <cellStyle name="40 % - Markeringsfarve3 8 2 2 2 2" xfId="18028" xr:uid="{00000000-0005-0000-0000-0000926A0000}"/>
    <cellStyle name="40 % - Markeringsfarve3 8 2 2 2 2 2" xfId="34304" xr:uid="{00000000-0005-0000-0000-0000936A0000}"/>
    <cellStyle name="40 % - Markeringsfarve3 8 2 2 2 2 3" xfId="49263" xr:uid="{00000000-0005-0000-0000-0000946A0000}"/>
    <cellStyle name="40 % - Markeringsfarve3 8 2 2 2 3" xfId="27302" xr:uid="{00000000-0005-0000-0000-0000956A0000}"/>
    <cellStyle name="40 % - Markeringsfarve3 8 2 2 2 4" xfId="42266" xr:uid="{00000000-0005-0000-0000-0000966A0000}"/>
    <cellStyle name="40 % - Markeringsfarve3 8 2 2 3" xfId="14577" xr:uid="{00000000-0005-0000-0000-0000976A0000}"/>
    <cellStyle name="40 % - Markeringsfarve3 8 2 2 3 2" xfId="30856" xr:uid="{00000000-0005-0000-0000-0000986A0000}"/>
    <cellStyle name="40 % - Markeringsfarve3 8 2 2 3 3" xfId="45816" xr:uid="{00000000-0005-0000-0000-0000996A0000}"/>
    <cellStyle name="40 % - Markeringsfarve3 8 2 2 4" xfId="23854" xr:uid="{00000000-0005-0000-0000-00009A6A0000}"/>
    <cellStyle name="40 % - Markeringsfarve3 8 2 2 5" xfId="38819" xr:uid="{00000000-0005-0000-0000-00009B6A0000}"/>
    <cellStyle name="40 % - Markeringsfarve3 8 2 3" xfId="8702" xr:uid="{00000000-0005-0000-0000-00009C6A0000}"/>
    <cellStyle name="40 % - Markeringsfarve3 8 2 3 2" xfId="16569" xr:uid="{00000000-0005-0000-0000-00009D6A0000}"/>
    <cellStyle name="40 % - Markeringsfarve3 8 2 3 2 2" xfId="32845" xr:uid="{00000000-0005-0000-0000-00009E6A0000}"/>
    <cellStyle name="40 % - Markeringsfarve3 8 2 3 2 3" xfId="47804" xr:uid="{00000000-0005-0000-0000-00009F6A0000}"/>
    <cellStyle name="40 % - Markeringsfarve3 8 2 3 3" xfId="25843" xr:uid="{00000000-0005-0000-0000-0000A06A0000}"/>
    <cellStyle name="40 % - Markeringsfarve3 8 2 3 4" xfId="40807" xr:uid="{00000000-0005-0000-0000-0000A16A0000}"/>
    <cellStyle name="40 % - Markeringsfarve3 8 2 4" xfId="14576" xr:uid="{00000000-0005-0000-0000-0000A26A0000}"/>
    <cellStyle name="40 % - Markeringsfarve3 8 2 4 2" xfId="30855" xr:uid="{00000000-0005-0000-0000-0000A36A0000}"/>
    <cellStyle name="40 % - Markeringsfarve3 8 2 4 3" xfId="45815" xr:uid="{00000000-0005-0000-0000-0000A46A0000}"/>
    <cellStyle name="40 % - Markeringsfarve3 8 2 5" xfId="23853" xr:uid="{00000000-0005-0000-0000-0000A56A0000}"/>
    <cellStyle name="40 % - Markeringsfarve3 8 2 6" xfId="38818" xr:uid="{00000000-0005-0000-0000-0000A66A0000}"/>
    <cellStyle name="40 % - Markeringsfarve3 8 3" xfId="6093" xr:uid="{00000000-0005-0000-0000-0000A76A0000}"/>
    <cellStyle name="40 % - Markeringsfarve3 8 3 2" xfId="9450" xr:uid="{00000000-0005-0000-0000-0000A86A0000}"/>
    <cellStyle name="40 % - Markeringsfarve3 8 3 2 2" xfId="17313" xr:uid="{00000000-0005-0000-0000-0000A96A0000}"/>
    <cellStyle name="40 % - Markeringsfarve3 8 3 2 2 2" xfId="33589" xr:uid="{00000000-0005-0000-0000-0000AA6A0000}"/>
    <cellStyle name="40 % - Markeringsfarve3 8 3 2 2 3" xfId="48548" xr:uid="{00000000-0005-0000-0000-0000AB6A0000}"/>
    <cellStyle name="40 % - Markeringsfarve3 8 3 2 3" xfId="26587" xr:uid="{00000000-0005-0000-0000-0000AC6A0000}"/>
    <cellStyle name="40 % - Markeringsfarve3 8 3 2 4" xfId="41551" xr:uid="{00000000-0005-0000-0000-0000AD6A0000}"/>
    <cellStyle name="40 % - Markeringsfarve3 8 3 3" xfId="14578" xr:uid="{00000000-0005-0000-0000-0000AE6A0000}"/>
    <cellStyle name="40 % - Markeringsfarve3 8 3 3 2" xfId="30857" xr:uid="{00000000-0005-0000-0000-0000AF6A0000}"/>
    <cellStyle name="40 % - Markeringsfarve3 8 3 3 3" xfId="45817" xr:uid="{00000000-0005-0000-0000-0000B06A0000}"/>
    <cellStyle name="40 % - Markeringsfarve3 8 3 4" xfId="23855" xr:uid="{00000000-0005-0000-0000-0000B16A0000}"/>
    <cellStyle name="40 % - Markeringsfarve3 8 3 5" xfId="38820" xr:uid="{00000000-0005-0000-0000-0000B26A0000}"/>
    <cellStyle name="40 % - Markeringsfarve3 8 4" xfId="6094" xr:uid="{00000000-0005-0000-0000-0000B36A0000}"/>
    <cellStyle name="40 % - Markeringsfarve3 8 4 2" xfId="10426" xr:uid="{00000000-0005-0000-0000-0000B46A0000}"/>
    <cellStyle name="40 % - Markeringsfarve3 8 4 2 2" xfId="18278" xr:uid="{00000000-0005-0000-0000-0000B56A0000}"/>
    <cellStyle name="40 % - Markeringsfarve3 8 4 2 2 2" xfId="34554" xr:uid="{00000000-0005-0000-0000-0000B66A0000}"/>
    <cellStyle name="40 % - Markeringsfarve3 8 4 2 2 3" xfId="49513" xr:uid="{00000000-0005-0000-0000-0000B76A0000}"/>
    <cellStyle name="40 % - Markeringsfarve3 8 4 2 3" xfId="27552" xr:uid="{00000000-0005-0000-0000-0000B86A0000}"/>
    <cellStyle name="40 % - Markeringsfarve3 8 4 2 4" xfId="42516" xr:uid="{00000000-0005-0000-0000-0000B96A0000}"/>
    <cellStyle name="40 % - Markeringsfarve3 8 4 3" xfId="14579" xr:uid="{00000000-0005-0000-0000-0000BA6A0000}"/>
    <cellStyle name="40 % - Markeringsfarve3 8 4 3 2" xfId="30858" xr:uid="{00000000-0005-0000-0000-0000BB6A0000}"/>
    <cellStyle name="40 % - Markeringsfarve3 8 4 3 3" xfId="45818" xr:uid="{00000000-0005-0000-0000-0000BC6A0000}"/>
    <cellStyle name="40 % - Markeringsfarve3 8 4 4" xfId="23856" xr:uid="{00000000-0005-0000-0000-0000BD6A0000}"/>
    <cellStyle name="40 % - Markeringsfarve3 8 4 5" xfId="38821" xr:uid="{00000000-0005-0000-0000-0000BE6A0000}"/>
    <cellStyle name="40 % - Markeringsfarve3 8 5" xfId="8123" xr:uid="{00000000-0005-0000-0000-0000BF6A0000}"/>
    <cellStyle name="40 % - Markeringsfarve3 8 5 2" xfId="15988" xr:uid="{00000000-0005-0000-0000-0000C06A0000}"/>
    <cellStyle name="40 % - Markeringsfarve3 8 5 2 2" xfId="32264" xr:uid="{00000000-0005-0000-0000-0000C16A0000}"/>
    <cellStyle name="40 % - Markeringsfarve3 8 5 2 3" xfId="47223" xr:uid="{00000000-0005-0000-0000-0000C26A0000}"/>
    <cellStyle name="40 % - Markeringsfarve3 8 5 3" xfId="25262" xr:uid="{00000000-0005-0000-0000-0000C36A0000}"/>
    <cellStyle name="40 % - Markeringsfarve3 8 5 4" xfId="40226" xr:uid="{00000000-0005-0000-0000-0000C46A0000}"/>
    <cellStyle name="40 % - Markeringsfarve3 8 6" xfId="14575" xr:uid="{00000000-0005-0000-0000-0000C56A0000}"/>
    <cellStyle name="40 % - Markeringsfarve3 8 6 2" xfId="30854" xr:uid="{00000000-0005-0000-0000-0000C66A0000}"/>
    <cellStyle name="40 % - Markeringsfarve3 8 6 3" xfId="45814" xr:uid="{00000000-0005-0000-0000-0000C76A0000}"/>
    <cellStyle name="40 % - Markeringsfarve3 8 7" xfId="23852" xr:uid="{00000000-0005-0000-0000-0000C86A0000}"/>
    <cellStyle name="40 % - Markeringsfarve3 8 8" xfId="38817" xr:uid="{00000000-0005-0000-0000-0000C96A0000}"/>
    <cellStyle name="40 % - Markeringsfarve3 9" xfId="6095" xr:uid="{00000000-0005-0000-0000-0000CA6A0000}"/>
    <cellStyle name="40 % - Markeringsfarve3 9 2" xfId="6096" xr:uid="{00000000-0005-0000-0000-0000CB6A0000}"/>
    <cellStyle name="40 % - Markeringsfarve3 9 2 2" xfId="6097" xr:uid="{00000000-0005-0000-0000-0000CC6A0000}"/>
    <cellStyle name="40 % - Markeringsfarve3 9 2 2 2" xfId="10357" xr:uid="{00000000-0005-0000-0000-0000CD6A0000}"/>
    <cellStyle name="40 % - Markeringsfarve3 9 2 2 2 2" xfId="18212" xr:uid="{00000000-0005-0000-0000-0000CE6A0000}"/>
    <cellStyle name="40 % - Markeringsfarve3 9 2 2 2 2 2" xfId="34488" xr:uid="{00000000-0005-0000-0000-0000CF6A0000}"/>
    <cellStyle name="40 % - Markeringsfarve3 9 2 2 2 2 3" xfId="49447" xr:uid="{00000000-0005-0000-0000-0000D06A0000}"/>
    <cellStyle name="40 % - Markeringsfarve3 9 2 2 2 3" xfId="27486" xr:uid="{00000000-0005-0000-0000-0000D16A0000}"/>
    <cellStyle name="40 % - Markeringsfarve3 9 2 2 2 4" xfId="42450" xr:uid="{00000000-0005-0000-0000-0000D26A0000}"/>
    <cellStyle name="40 % - Markeringsfarve3 9 2 2 3" xfId="14582" xr:uid="{00000000-0005-0000-0000-0000D36A0000}"/>
    <cellStyle name="40 % - Markeringsfarve3 9 2 2 3 2" xfId="30861" xr:uid="{00000000-0005-0000-0000-0000D46A0000}"/>
    <cellStyle name="40 % - Markeringsfarve3 9 2 2 3 3" xfId="45821" xr:uid="{00000000-0005-0000-0000-0000D56A0000}"/>
    <cellStyle name="40 % - Markeringsfarve3 9 2 2 4" xfId="23859" xr:uid="{00000000-0005-0000-0000-0000D66A0000}"/>
    <cellStyle name="40 % - Markeringsfarve3 9 2 2 5" xfId="38824" xr:uid="{00000000-0005-0000-0000-0000D76A0000}"/>
    <cellStyle name="40 % - Markeringsfarve3 9 2 3" xfId="8851" xr:uid="{00000000-0005-0000-0000-0000D86A0000}"/>
    <cellStyle name="40 % - Markeringsfarve3 9 2 3 2" xfId="16718" xr:uid="{00000000-0005-0000-0000-0000D96A0000}"/>
    <cellStyle name="40 % - Markeringsfarve3 9 2 3 2 2" xfId="32994" xr:uid="{00000000-0005-0000-0000-0000DA6A0000}"/>
    <cellStyle name="40 % - Markeringsfarve3 9 2 3 2 3" xfId="47953" xr:uid="{00000000-0005-0000-0000-0000DB6A0000}"/>
    <cellStyle name="40 % - Markeringsfarve3 9 2 3 3" xfId="25992" xr:uid="{00000000-0005-0000-0000-0000DC6A0000}"/>
    <cellStyle name="40 % - Markeringsfarve3 9 2 3 4" xfId="40956" xr:uid="{00000000-0005-0000-0000-0000DD6A0000}"/>
    <cellStyle name="40 % - Markeringsfarve3 9 2 4" xfId="14581" xr:uid="{00000000-0005-0000-0000-0000DE6A0000}"/>
    <cellStyle name="40 % - Markeringsfarve3 9 2 4 2" xfId="30860" xr:uid="{00000000-0005-0000-0000-0000DF6A0000}"/>
    <cellStyle name="40 % - Markeringsfarve3 9 2 4 3" xfId="45820" xr:uid="{00000000-0005-0000-0000-0000E06A0000}"/>
    <cellStyle name="40 % - Markeringsfarve3 9 2 5" xfId="23858" xr:uid="{00000000-0005-0000-0000-0000E16A0000}"/>
    <cellStyle name="40 % - Markeringsfarve3 9 2 6" xfId="38823" xr:uid="{00000000-0005-0000-0000-0000E26A0000}"/>
    <cellStyle name="40 % - Markeringsfarve3 9 3" xfId="6098" xr:uid="{00000000-0005-0000-0000-0000E36A0000}"/>
    <cellStyle name="40 % - Markeringsfarve3 9 3 2" xfId="9635" xr:uid="{00000000-0005-0000-0000-0000E46A0000}"/>
    <cellStyle name="40 % - Markeringsfarve3 9 3 2 2" xfId="17498" xr:uid="{00000000-0005-0000-0000-0000E56A0000}"/>
    <cellStyle name="40 % - Markeringsfarve3 9 3 2 2 2" xfId="33774" xr:uid="{00000000-0005-0000-0000-0000E66A0000}"/>
    <cellStyle name="40 % - Markeringsfarve3 9 3 2 2 3" xfId="48733" xr:uid="{00000000-0005-0000-0000-0000E76A0000}"/>
    <cellStyle name="40 % - Markeringsfarve3 9 3 2 3" xfId="26772" xr:uid="{00000000-0005-0000-0000-0000E86A0000}"/>
    <cellStyle name="40 % - Markeringsfarve3 9 3 2 4" xfId="41736" xr:uid="{00000000-0005-0000-0000-0000E96A0000}"/>
    <cellStyle name="40 % - Markeringsfarve3 9 3 3" xfId="14583" xr:uid="{00000000-0005-0000-0000-0000EA6A0000}"/>
    <cellStyle name="40 % - Markeringsfarve3 9 3 3 2" xfId="30862" xr:uid="{00000000-0005-0000-0000-0000EB6A0000}"/>
    <cellStyle name="40 % - Markeringsfarve3 9 3 3 3" xfId="45822" xr:uid="{00000000-0005-0000-0000-0000EC6A0000}"/>
    <cellStyle name="40 % - Markeringsfarve3 9 3 4" xfId="23860" xr:uid="{00000000-0005-0000-0000-0000ED6A0000}"/>
    <cellStyle name="40 % - Markeringsfarve3 9 3 5" xfId="38825" xr:uid="{00000000-0005-0000-0000-0000EE6A0000}"/>
    <cellStyle name="40 % - Markeringsfarve3 9 4" xfId="6099" xr:uid="{00000000-0005-0000-0000-0000EF6A0000}"/>
    <cellStyle name="40 % - Markeringsfarve3 9 4 2" xfId="10763" xr:uid="{00000000-0005-0000-0000-0000F06A0000}"/>
    <cellStyle name="40 % - Markeringsfarve3 9 4 2 2" xfId="18606" xr:uid="{00000000-0005-0000-0000-0000F16A0000}"/>
    <cellStyle name="40 % - Markeringsfarve3 9 4 2 2 2" xfId="34882" xr:uid="{00000000-0005-0000-0000-0000F26A0000}"/>
    <cellStyle name="40 % - Markeringsfarve3 9 4 2 2 3" xfId="49841" xr:uid="{00000000-0005-0000-0000-0000F36A0000}"/>
    <cellStyle name="40 % - Markeringsfarve3 9 4 2 3" xfId="27880" xr:uid="{00000000-0005-0000-0000-0000F46A0000}"/>
    <cellStyle name="40 % - Markeringsfarve3 9 4 2 4" xfId="42844" xr:uid="{00000000-0005-0000-0000-0000F56A0000}"/>
    <cellStyle name="40 % - Markeringsfarve3 9 4 3" xfId="14584" xr:uid="{00000000-0005-0000-0000-0000F66A0000}"/>
    <cellStyle name="40 % - Markeringsfarve3 9 4 3 2" xfId="30863" xr:uid="{00000000-0005-0000-0000-0000F76A0000}"/>
    <cellStyle name="40 % - Markeringsfarve3 9 4 3 3" xfId="45823" xr:uid="{00000000-0005-0000-0000-0000F86A0000}"/>
    <cellStyle name="40 % - Markeringsfarve3 9 4 4" xfId="23861" xr:uid="{00000000-0005-0000-0000-0000F96A0000}"/>
    <cellStyle name="40 % - Markeringsfarve3 9 4 5" xfId="38826" xr:uid="{00000000-0005-0000-0000-0000FA6A0000}"/>
    <cellStyle name="40 % - Markeringsfarve3 9 5" xfId="8124" xr:uid="{00000000-0005-0000-0000-0000FB6A0000}"/>
    <cellStyle name="40 % - Markeringsfarve3 9 5 2" xfId="15989" xr:uid="{00000000-0005-0000-0000-0000FC6A0000}"/>
    <cellStyle name="40 % - Markeringsfarve3 9 5 2 2" xfId="32265" xr:uid="{00000000-0005-0000-0000-0000FD6A0000}"/>
    <cellStyle name="40 % - Markeringsfarve3 9 5 2 3" xfId="47224" xr:uid="{00000000-0005-0000-0000-0000FE6A0000}"/>
    <cellStyle name="40 % - Markeringsfarve3 9 5 3" xfId="25263" xr:uid="{00000000-0005-0000-0000-0000FF6A0000}"/>
    <cellStyle name="40 % - Markeringsfarve3 9 5 4" xfId="40227" xr:uid="{00000000-0005-0000-0000-0000006B0000}"/>
    <cellStyle name="40 % - Markeringsfarve3 9 6" xfId="14580" xr:uid="{00000000-0005-0000-0000-0000016B0000}"/>
    <cellStyle name="40 % - Markeringsfarve3 9 6 2" xfId="30859" xr:uid="{00000000-0005-0000-0000-0000026B0000}"/>
    <cellStyle name="40 % - Markeringsfarve3 9 6 3" xfId="45819" xr:uid="{00000000-0005-0000-0000-0000036B0000}"/>
    <cellStyle name="40 % - Markeringsfarve3 9 7" xfId="23857" xr:uid="{00000000-0005-0000-0000-0000046B0000}"/>
    <cellStyle name="40 % - Markeringsfarve3 9 8" xfId="38822" xr:uid="{00000000-0005-0000-0000-0000056B0000}"/>
    <cellStyle name="40 % - Markeringsfarve4 10" xfId="6101" xr:uid="{00000000-0005-0000-0000-0000066B0000}"/>
    <cellStyle name="40 % - Markeringsfarve4 10 2" xfId="6102" xr:uid="{00000000-0005-0000-0000-0000076B0000}"/>
    <cellStyle name="40 % - Markeringsfarve4 10 2 2" xfId="6103" xr:uid="{00000000-0005-0000-0000-0000086B0000}"/>
    <cellStyle name="40 % - Markeringsfarve4 10 2 2 2" xfId="10366" xr:uid="{00000000-0005-0000-0000-0000096B0000}"/>
    <cellStyle name="40 % - Markeringsfarve4 10 2 2 2 2" xfId="18221" xr:uid="{00000000-0005-0000-0000-00000A6B0000}"/>
    <cellStyle name="40 % - Markeringsfarve4 10 2 2 2 2 2" xfId="34497" xr:uid="{00000000-0005-0000-0000-00000B6B0000}"/>
    <cellStyle name="40 % - Markeringsfarve4 10 2 2 2 2 3" xfId="49456" xr:uid="{00000000-0005-0000-0000-00000C6B0000}"/>
    <cellStyle name="40 % - Markeringsfarve4 10 2 2 2 3" xfId="27495" xr:uid="{00000000-0005-0000-0000-00000D6B0000}"/>
    <cellStyle name="40 % - Markeringsfarve4 10 2 2 2 4" xfId="42459" xr:uid="{00000000-0005-0000-0000-00000E6B0000}"/>
    <cellStyle name="40 % - Markeringsfarve4 10 2 2 3" xfId="14588" xr:uid="{00000000-0005-0000-0000-00000F6B0000}"/>
    <cellStyle name="40 % - Markeringsfarve4 10 2 2 3 2" xfId="30867" xr:uid="{00000000-0005-0000-0000-0000106B0000}"/>
    <cellStyle name="40 % - Markeringsfarve4 10 2 2 3 3" xfId="45827" xr:uid="{00000000-0005-0000-0000-0000116B0000}"/>
    <cellStyle name="40 % - Markeringsfarve4 10 2 2 4" xfId="23865" xr:uid="{00000000-0005-0000-0000-0000126B0000}"/>
    <cellStyle name="40 % - Markeringsfarve4 10 2 2 5" xfId="38830" xr:uid="{00000000-0005-0000-0000-0000136B0000}"/>
    <cellStyle name="40 % - Markeringsfarve4 10 2 3" xfId="8860" xr:uid="{00000000-0005-0000-0000-0000146B0000}"/>
    <cellStyle name="40 % - Markeringsfarve4 10 2 3 2" xfId="16727" xr:uid="{00000000-0005-0000-0000-0000156B0000}"/>
    <cellStyle name="40 % - Markeringsfarve4 10 2 3 2 2" xfId="33003" xr:uid="{00000000-0005-0000-0000-0000166B0000}"/>
    <cellStyle name="40 % - Markeringsfarve4 10 2 3 2 3" xfId="47962" xr:uid="{00000000-0005-0000-0000-0000176B0000}"/>
    <cellStyle name="40 % - Markeringsfarve4 10 2 3 3" xfId="26001" xr:uid="{00000000-0005-0000-0000-0000186B0000}"/>
    <cellStyle name="40 % - Markeringsfarve4 10 2 3 4" xfId="40965" xr:uid="{00000000-0005-0000-0000-0000196B0000}"/>
    <cellStyle name="40 % - Markeringsfarve4 10 2 4" xfId="14587" xr:uid="{00000000-0005-0000-0000-00001A6B0000}"/>
    <cellStyle name="40 % - Markeringsfarve4 10 2 4 2" xfId="30866" xr:uid="{00000000-0005-0000-0000-00001B6B0000}"/>
    <cellStyle name="40 % - Markeringsfarve4 10 2 4 3" xfId="45826" xr:uid="{00000000-0005-0000-0000-00001C6B0000}"/>
    <cellStyle name="40 % - Markeringsfarve4 10 2 5" xfId="23864" xr:uid="{00000000-0005-0000-0000-00001D6B0000}"/>
    <cellStyle name="40 % - Markeringsfarve4 10 2 6" xfId="38829" xr:uid="{00000000-0005-0000-0000-00001E6B0000}"/>
    <cellStyle name="40 % - Markeringsfarve4 10 3" xfId="6104" xr:uid="{00000000-0005-0000-0000-00001F6B0000}"/>
    <cellStyle name="40 % - Markeringsfarve4 10 3 2" xfId="9644" xr:uid="{00000000-0005-0000-0000-0000206B0000}"/>
    <cellStyle name="40 % - Markeringsfarve4 10 3 2 2" xfId="17507" xr:uid="{00000000-0005-0000-0000-0000216B0000}"/>
    <cellStyle name="40 % - Markeringsfarve4 10 3 2 2 2" xfId="33783" xr:uid="{00000000-0005-0000-0000-0000226B0000}"/>
    <cellStyle name="40 % - Markeringsfarve4 10 3 2 2 3" xfId="48742" xr:uid="{00000000-0005-0000-0000-0000236B0000}"/>
    <cellStyle name="40 % - Markeringsfarve4 10 3 2 3" xfId="26781" xr:uid="{00000000-0005-0000-0000-0000246B0000}"/>
    <cellStyle name="40 % - Markeringsfarve4 10 3 2 4" xfId="41745" xr:uid="{00000000-0005-0000-0000-0000256B0000}"/>
    <cellStyle name="40 % - Markeringsfarve4 10 3 3" xfId="14589" xr:uid="{00000000-0005-0000-0000-0000266B0000}"/>
    <cellStyle name="40 % - Markeringsfarve4 10 3 3 2" xfId="30868" xr:uid="{00000000-0005-0000-0000-0000276B0000}"/>
    <cellStyle name="40 % - Markeringsfarve4 10 3 3 3" xfId="45828" xr:uid="{00000000-0005-0000-0000-0000286B0000}"/>
    <cellStyle name="40 % - Markeringsfarve4 10 3 4" xfId="23866" xr:uid="{00000000-0005-0000-0000-0000296B0000}"/>
    <cellStyle name="40 % - Markeringsfarve4 10 3 5" xfId="38831" xr:uid="{00000000-0005-0000-0000-00002A6B0000}"/>
    <cellStyle name="40 % - Markeringsfarve4 10 4" xfId="6105" xr:uid="{00000000-0005-0000-0000-00002B6B0000}"/>
    <cellStyle name="40 % - Markeringsfarve4 10 4 2" xfId="10694" xr:uid="{00000000-0005-0000-0000-00002C6B0000}"/>
    <cellStyle name="40 % - Markeringsfarve4 10 4 2 2" xfId="18538" xr:uid="{00000000-0005-0000-0000-00002D6B0000}"/>
    <cellStyle name="40 % - Markeringsfarve4 10 4 2 2 2" xfId="34814" xr:uid="{00000000-0005-0000-0000-00002E6B0000}"/>
    <cellStyle name="40 % - Markeringsfarve4 10 4 2 2 3" xfId="49773" xr:uid="{00000000-0005-0000-0000-00002F6B0000}"/>
    <cellStyle name="40 % - Markeringsfarve4 10 4 2 3" xfId="27812" xr:uid="{00000000-0005-0000-0000-0000306B0000}"/>
    <cellStyle name="40 % - Markeringsfarve4 10 4 2 4" xfId="42776" xr:uid="{00000000-0005-0000-0000-0000316B0000}"/>
    <cellStyle name="40 % - Markeringsfarve4 10 4 3" xfId="14590" xr:uid="{00000000-0005-0000-0000-0000326B0000}"/>
    <cellStyle name="40 % - Markeringsfarve4 10 4 3 2" xfId="30869" xr:uid="{00000000-0005-0000-0000-0000336B0000}"/>
    <cellStyle name="40 % - Markeringsfarve4 10 4 3 3" xfId="45829" xr:uid="{00000000-0005-0000-0000-0000346B0000}"/>
    <cellStyle name="40 % - Markeringsfarve4 10 4 4" xfId="23867" xr:uid="{00000000-0005-0000-0000-0000356B0000}"/>
    <cellStyle name="40 % - Markeringsfarve4 10 4 5" xfId="38832" xr:uid="{00000000-0005-0000-0000-0000366B0000}"/>
    <cellStyle name="40 % - Markeringsfarve4 10 5" xfId="8126" xr:uid="{00000000-0005-0000-0000-0000376B0000}"/>
    <cellStyle name="40 % - Markeringsfarve4 10 5 2" xfId="15991" xr:uid="{00000000-0005-0000-0000-0000386B0000}"/>
    <cellStyle name="40 % - Markeringsfarve4 10 5 2 2" xfId="32267" xr:uid="{00000000-0005-0000-0000-0000396B0000}"/>
    <cellStyle name="40 % - Markeringsfarve4 10 5 2 3" xfId="47226" xr:uid="{00000000-0005-0000-0000-00003A6B0000}"/>
    <cellStyle name="40 % - Markeringsfarve4 10 5 3" xfId="25265" xr:uid="{00000000-0005-0000-0000-00003B6B0000}"/>
    <cellStyle name="40 % - Markeringsfarve4 10 5 4" xfId="40229" xr:uid="{00000000-0005-0000-0000-00003C6B0000}"/>
    <cellStyle name="40 % - Markeringsfarve4 10 6" xfId="14586" xr:uid="{00000000-0005-0000-0000-00003D6B0000}"/>
    <cellStyle name="40 % - Markeringsfarve4 10 6 2" xfId="30865" xr:uid="{00000000-0005-0000-0000-00003E6B0000}"/>
    <cellStyle name="40 % - Markeringsfarve4 10 6 3" xfId="45825" xr:uid="{00000000-0005-0000-0000-00003F6B0000}"/>
    <cellStyle name="40 % - Markeringsfarve4 10 7" xfId="23863" xr:uid="{00000000-0005-0000-0000-0000406B0000}"/>
    <cellStyle name="40 % - Markeringsfarve4 10 8" xfId="38828" xr:uid="{00000000-0005-0000-0000-0000416B0000}"/>
    <cellStyle name="40 % - Markeringsfarve4 11" xfId="6106" xr:uid="{00000000-0005-0000-0000-0000426B0000}"/>
    <cellStyle name="40 % - Markeringsfarve4 11 2" xfId="6107" xr:uid="{00000000-0005-0000-0000-0000436B0000}"/>
    <cellStyle name="40 % - Markeringsfarve4 11 2 2" xfId="9701" xr:uid="{00000000-0005-0000-0000-0000446B0000}"/>
    <cellStyle name="40 % - Markeringsfarve4 11 2 2 2" xfId="17555" xr:uid="{00000000-0005-0000-0000-0000456B0000}"/>
    <cellStyle name="40 % - Markeringsfarve4 11 2 2 2 2" xfId="33831" xr:uid="{00000000-0005-0000-0000-0000466B0000}"/>
    <cellStyle name="40 % - Markeringsfarve4 11 2 2 2 3" xfId="48790" xr:uid="{00000000-0005-0000-0000-0000476B0000}"/>
    <cellStyle name="40 % - Markeringsfarve4 11 2 2 3" xfId="26829" xr:uid="{00000000-0005-0000-0000-0000486B0000}"/>
    <cellStyle name="40 % - Markeringsfarve4 11 2 2 4" xfId="41793" xr:uid="{00000000-0005-0000-0000-0000496B0000}"/>
    <cellStyle name="40 % - Markeringsfarve4 11 2 3" xfId="14592" xr:uid="{00000000-0005-0000-0000-00004A6B0000}"/>
    <cellStyle name="40 % - Markeringsfarve4 11 2 3 2" xfId="30871" xr:uid="{00000000-0005-0000-0000-00004B6B0000}"/>
    <cellStyle name="40 % - Markeringsfarve4 11 2 3 3" xfId="45831" xr:uid="{00000000-0005-0000-0000-00004C6B0000}"/>
    <cellStyle name="40 % - Markeringsfarve4 11 2 4" xfId="23869" xr:uid="{00000000-0005-0000-0000-00004D6B0000}"/>
    <cellStyle name="40 % - Markeringsfarve4 11 2 5" xfId="38834" xr:uid="{00000000-0005-0000-0000-00004E6B0000}"/>
    <cellStyle name="40 % - Markeringsfarve4 11 3" xfId="6108" xr:uid="{00000000-0005-0000-0000-00004F6B0000}"/>
    <cellStyle name="40 % - Markeringsfarve4 11 3 2" xfId="10936" xr:uid="{00000000-0005-0000-0000-0000506B0000}"/>
    <cellStyle name="40 % - Markeringsfarve4 11 3 2 2" xfId="18771" xr:uid="{00000000-0005-0000-0000-0000516B0000}"/>
    <cellStyle name="40 % - Markeringsfarve4 11 3 2 2 2" xfId="35047" xr:uid="{00000000-0005-0000-0000-0000526B0000}"/>
    <cellStyle name="40 % - Markeringsfarve4 11 3 2 2 3" xfId="50006" xr:uid="{00000000-0005-0000-0000-0000536B0000}"/>
    <cellStyle name="40 % - Markeringsfarve4 11 3 2 3" xfId="28045" xr:uid="{00000000-0005-0000-0000-0000546B0000}"/>
    <cellStyle name="40 % - Markeringsfarve4 11 3 2 4" xfId="43009" xr:uid="{00000000-0005-0000-0000-0000556B0000}"/>
    <cellStyle name="40 % - Markeringsfarve4 11 3 3" xfId="14593" xr:uid="{00000000-0005-0000-0000-0000566B0000}"/>
    <cellStyle name="40 % - Markeringsfarve4 11 3 3 2" xfId="30872" xr:uid="{00000000-0005-0000-0000-0000576B0000}"/>
    <cellStyle name="40 % - Markeringsfarve4 11 3 3 3" xfId="45832" xr:uid="{00000000-0005-0000-0000-0000586B0000}"/>
    <cellStyle name="40 % - Markeringsfarve4 11 3 4" xfId="23870" xr:uid="{00000000-0005-0000-0000-0000596B0000}"/>
    <cellStyle name="40 % - Markeringsfarve4 11 3 5" xfId="38835" xr:uid="{00000000-0005-0000-0000-00005A6B0000}"/>
    <cellStyle name="40 % - Markeringsfarve4 11 4" xfId="8127" xr:uid="{00000000-0005-0000-0000-00005B6B0000}"/>
    <cellStyle name="40 % - Markeringsfarve4 11 4 2" xfId="15992" xr:uid="{00000000-0005-0000-0000-00005C6B0000}"/>
    <cellStyle name="40 % - Markeringsfarve4 11 4 2 2" xfId="32268" xr:uid="{00000000-0005-0000-0000-00005D6B0000}"/>
    <cellStyle name="40 % - Markeringsfarve4 11 4 2 3" xfId="47227" xr:uid="{00000000-0005-0000-0000-00005E6B0000}"/>
    <cellStyle name="40 % - Markeringsfarve4 11 4 3" xfId="25266" xr:uid="{00000000-0005-0000-0000-00005F6B0000}"/>
    <cellStyle name="40 % - Markeringsfarve4 11 4 4" xfId="40230" xr:uid="{00000000-0005-0000-0000-0000606B0000}"/>
    <cellStyle name="40 % - Markeringsfarve4 11 5" xfId="14591" xr:uid="{00000000-0005-0000-0000-0000616B0000}"/>
    <cellStyle name="40 % - Markeringsfarve4 11 5 2" xfId="30870" xr:uid="{00000000-0005-0000-0000-0000626B0000}"/>
    <cellStyle name="40 % - Markeringsfarve4 11 5 3" xfId="45830" xr:uid="{00000000-0005-0000-0000-0000636B0000}"/>
    <cellStyle name="40 % - Markeringsfarve4 11 6" xfId="23868" xr:uid="{00000000-0005-0000-0000-0000646B0000}"/>
    <cellStyle name="40 % - Markeringsfarve4 11 7" xfId="38833" xr:uid="{00000000-0005-0000-0000-0000656B0000}"/>
    <cellStyle name="40 % - Markeringsfarve4 12" xfId="6109" xr:uid="{00000000-0005-0000-0000-0000666B0000}"/>
    <cellStyle name="40 % - Markeringsfarve4 12 2" xfId="6110" xr:uid="{00000000-0005-0000-0000-0000676B0000}"/>
    <cellStyle name="40 % - Markeringsfarve4 12 2 2" xfId="10660" xr:uid="{00000000-0005-0000-0000-0000686B0000}"/>
    <cellStyle name="40 % - Markeringsfarve4 12 2 2 2" xfId="18507" xr:uid="{00000000-0005-0000-0000-0000696B0000}"/>
    <cellStyle name="40 % - Markeringsfarve4 12 2 2 2 2" xfId="34783" xr:uid="{00000000-0005-0000-0000-00006A6B0000}"/>
    <cellStyle name="40 % - Markeringsfarve4 12 2 2 2 3" xfId="49742" xr:uid="{00000000-0005-0000-0000-00006B6B0000}"/>
    <cellStyle name="40 % - Markeringsfarve4 12 2 2 3" xfId="27781" xr:uid="{00000000-0005-0000-0000-00006C6B0000}"/>
    <cellStyle name="40 % - Markeringsfarve4 12 2 2 4" xfId="42745" xr:uid="{00000000-0005-0000-0000-00006D6B0000}"/>
    <cellStyle name="40 % - Markeringsfarve4 12 2 3" xfId="14595" xr:uid="{00000000-0005-0000-0000-00006E6B0000}"/>
    <cellStyle name="40 % - Markeringsfarve4 12 2 3 2" xfId="30874" xr:uid="{00000000-0005-0000-0000-00006F6B0000}"/>
    <cellStyle name="40 % - Markeringsfarve4 12 2 3 3" xfId="45834" xr:uid="{00000000-0005-0000-0000-0000706B0000}"/>
    <cellStyle name="40 % - Markeringsfarve4 12 2 4" xfId="23872" xr:uid="{00000000-0005-0000-0000-0000716B0000}"/>
    <cellStyle name="40 % - Markeringsfarve4 12 2 5" xfId="38837" xr:uid="{00000000-0005-0000-0000-0000726B0000}"/>
    <cellStyle name="40 % - Markeringsfarve4 12 3" xfId="8128" xr:uid="{00000000-0005-0000-0000-0000736B0000}"/>
    <cellStyle name="40 % - Markeringsfarve4 12 3 2" xfId="15993" xr:uid="{00000000-0005-0000-0000-0000746B0000}"/>
    <cellStyle name="40 % - Markeringsfarve4 12 3 2 2" xfId="32269" xr:uid="{00000000-0005-0000-0000-0000756B0000}"/>
    <cellStyle name="40 % - Markeringsfarve4 12 3 2 3" xfId="47228" xr:uid="{00000000-0005-0000-0000-0000766B0000}"/>
    <cellStyle name="40 % - Markeringsfarve4 12 3 3" xfId="25267" xr:uid="{00000000-0005-0000-0000-0000776B0000}"/>
    <cellStyle name="40 % - Markeringsfarve4 12 3 4" xfId="40231" xr:uid="{00000000-0005-0000-0000-0000786B0000}"/>
    <cellStyle name="40 % - Markeringsfarve4 12 4" xfId="14594" xr:uid="{00000000-0005-0000-0000-0000796B0000}"/>
    <cellStyle name="40 % - Markeringsfarve4 12 4 2" xfId="30873" xr:uid="{00000000-0005-0000-0000-00007A6B0000}"/>
    <cellStyle name="40 % - Markeringsfarve4 12 4 3" xfId="45833" xr:uid="{00000000-0005-0000-0000-00007B6B0000}"/>
    <cellStyle name="40 % - Markeringsfarve4 12 5" xfId="23871" xr:uid="{00000000-0005-0000-0000-00007C6B0000}"/>
    <cellStyle name="40 % - Markeringsfarve4 12 6" xfId="38836" xr:uid="{00000000-0005-0000-0000-00007D6B0000}"/>
    <cellStyle name="40 % - Markeringsfarve4 13" xfId="6111" xr:uid="{00000000-0005-0000-0000-00007E6B0000}"/>
    <cellStyle name="40 % - Markeringsfarve4 13 2" xfId="6112" xr:uid="{00000000-0005-0000-0000-00007F6B0000}"/>
    <cellStyle name="40 % - Markeringsfarve4 13 2 2" xfId="10895" xr:uid="{00000000-0005-0000-0000-0000806B0000}"/>
    <cellStyle name="40 % - Markeringsfarve4 13 2 2 2" xfId="18731" xr:uid="{00000000-0005-0000-0000-0000816B0000}"/>
    <cellStyle name="40 % - Markeringsfarve4 13 2 2 2 2" xfId="35007" xr:uid="{00000000-0005-0000-0000-0000826B0000}"/>
    <cellStyle name="40 % - Markeringsfarve4 13 2 2 2 3" xfId="49966" xr:uid="{00000000-0005-0000-0000-0000836B0000}"/>
    <cellStyle name="40 % - Markeringsfarve4 13 2 2 3" xfId="28005" xr:uid="{00000000-0005-0000-0000-0000846B0000}"/>
    <cellStyle name="40 % - Markeringsfarve4 13 2 2 4" xfId="42969" xr:uid="{00000000-0005-0000-0000-0000856B0000}"/>
    <cellStyle name="40 % - Markeringsfarve4 13 2 3" xfId="14597" xr:uid="{00000000-0005-0000-0000-0000866B0000}"/>
    <cellStyle name="40 % - Markeringsfarve4 13 2 3 2" xfId="30876" xr:uid="{00000000-0005-0000-0000-0000876B0000}"/>
    <cellStyle name="40 % - Markeringsfarve4 13 2 3 3" xfId="45836" xr:uid="{00000000-0005-0000-0000-0000886B0000}"/>
    <cellStyle name="40 % - Markeringsfarve4 13 2 4" xfId="23874" xr:uid="{00000000-0005-0000-0000-0000896B0000}"/>
    <cellStyle name="40 % - Markeringsfarve4 13 2 5" xfId="38839" xr:uid="{00000000-0005-0000-0000-00008A6B0000}"/>
    <cellStyle name="40 % - Markeringsfarve4 13 3" xfId="8129" xr:uid="{00000000-0005-0000-0000-00008B6B0000}"/>
    <cellStyle name="40 % - Markeringsfarve4 13 3 2" xfId="15994" xr:uid="{00000000-0005-0000-0000-00008C6B0000}"/>
    <cellStyle name="40 % - Markeringsfarve4 13 3 2 2" xfId="32270" xr:uid="{00000000-0005-0000-0000-00008D6B0000}"/>
    <cellStyle name="40 % - Markeringsfarve4 13 3 2 3" xfId="47229" xr:uid="{00000000-0005-0000-0000-00008E6B0000}"/>
    <cellStyle name="40 % - Markeringsfarve4 13 3 3" xfId="25268" xr:uid="{00000000-0005-0000-0000-00008F6B0000}"/>
    <cellStyle name="40 % - Markeringsfarve4 13 3 4" xfId="40232" xr:uid="{00000000-0005-0000-0000-0000906B0000}"/>
    <cellStyle name="40 % - Markeringsfarve4 13 4" xfId="14596" xr:uid="{00000000-0005-0000-0000-0000916B0000}"/>
    <cellStyle name="40 % - Markeringsfarve4 13 4 2" xfId="30875" xr:uid="{00000000-0005-0000-0000-0000926B0000}"/>
    <cellStyle name="40 % - Markeringsfarve4 13 4 3" xfId="45835" xr:uid="{00000000-0005-0000-0000-0000936B0000}"/>
    <cellStyle name="40 % - Markeringsfarve4 13 5" xfId="23873" xr:uid="{00000000-0005-0000-0000-0000946B0000}"/>
    <cellStyle name="40 % - Markeringsfarve4 13 6" xfId="38838" xr:uid="{00000000-0005-0000-0000-0000956B0000}"/>
    <cellStyle name="40 % - Markeringsfarve4 14" xfId="6113" xr:uid="{00000000-0005-0000-0000-0000966B0000}"/>
    <cellStyle name="40 % - Markeringsfarve4 14 2" xfId="6114" xr:uid="{00000000-0005-0000-0000-0000976B0000}"/>
    <cellStyle name="40 % - Markeringsfarve4 14 2 2" xfId="10955" xr:uid="{00000000-0005-0000-0000-0000986B0000}"/>
    <cellStyle name="40 % - Markeringsfarve4 14 2 2 2" xfId="18789" xr:uid="{00000000-0005-0000-0000-0000996B0000}"/>
    <cellStyle name="40 % - Markeringsfarve4 14 2 2 2 2" xfId="35065" xr:uid="{00000000-0005-0000-0000-00009A6B0000}"/>
    <cellStyle name="40 % - Markeringsfarve4 14 2 2 2 3" xfId="50024" xr:uid="{00000000-0005-0000-0000-00009B6B0000}"/>
    <cellStyle name="40 % - Markeringsfarve4 14 2 2 3" xfId="28063" xr:uid="{00000000-0005-0000-0000-00009C6B0000}"/>
    <cellStyle name="40 % - Markeringsfarve4 14 2 2 4" xfId="43027" xr:uid="{00000000-0005-0000-0000-00009D6B0000}"/>
    <cellStyle name="40 % - Markeringsfarve4 14 2 3" xfId="14599" xr:uid="{00000000-0005-0000-0000-00009E6B0000}"/>
    <cellStyle name="40 % - Markeringsfarve4 14 2 3 2" xfId="30878" xr:uid="{00000000-0005-0000-0000-00009F6B0000}"/>
    <cellStyle name="40 % - Markeringsfarve4 14 2 3 3" xfId="45838" xr:uid="{00000000-0005-0000-0000-0000A06B0000}"/>
    <cellStyle name="40 % - Markeringsfarve4 14 2 4" xfId="23876" xr:uid="{00000000-0005-0000-0000-0000A16B0000}"/>
    <cellStyle name="40 % - Markeringsfarve4 14 2 5" xfId="38841" xr:uid="{00000000-0005-0000-0000-0000A26B0000}"/>
    <cellStyle name="40 % - Markeringsfarve4 14 3" xfId="8125" xr:uid="{00000000-0005-0000-0000-0000A36B0000}"/>
    <cellStyle name="40 % - Markeringsfarve4 14 3 2" xfId="15990" xr:uid="{00000000-0005-0000-0000-0000A46B0000}"/>
    <cellStyle name="40 % - Markeringsfarve4 14 3 2 2" xfId="32266" xr:uid="{00000000-0005-0000-0000-0000A56B0000}"/>
    <cellStyle name="40 % - Markeringsfarve4 14 3 2 3" xfId="47225" xr:uid="{00000000-0005-0000-0000-0000A66B0000}"/>
    <cellStyle name="40 % - Markeringsfarve4 14 3 3" xfId="25264" xr:uid="{00000000-0005-0000-0000-0000A76B0000}"/>
    <cellStyle name="40 % - Markeringsfarve4 14 3 4" xfId="40228" xr:uid="{00000000-0005-0000-0000-0000A86B0000}"/>
    <cellStyle name="40 % - Markeringsfarve4 14 4" xfId="14598" xr:uid="{00000000-0005-0000-0000-0000A96B0000}"/>
    <cellStyle name="40 % - Markeringsfarve4 14 4 2" xfId="30877" xr:uid="{00000000-0005-0000-0000-0000AA6B0000}"/>
    <cellStyle name="40 % - Markeringsfarve4 14 4 3" xfId="45837" xr:uid="{00000000-0005-0000-0000-0000AB6B0000}"/>
    <cellStyle name="40 % - Markeringsfarve4 14 5" xfId="23875" xr:uid="{00000000-0005-0000-0000-0000AC6B0000}"/>
    <cellStyle name="40 % - Markeringsfarve4 14 6" xfId="38840" xr:uid="{00000000-0005-0000-0000-0000AD6B0000}"/>
    <cellStyle name="40 % - Markeringsfarve4 15" xfId="6115" xr:uid="{00000000-0005-0000-0000-0000AE6B0000}"/>
    <cellStyle name="40 % - Markeringsfarve4 15 2" xfId="8924" xr:uid="{00000000-0005-0000-0000-0000AF6B0000}"/>
    <cellStyle name="40 % - Markeringsfarve4 15 2 2" xfId="16790" xr:uid="{00000000-0005-0000-0000-0000B06B0000}"/>
    <cellStyle name="40 % - Markeringsfarve4 15 2 2 2" xfId="33066" xr:uid="{00000000-0005-0000-0000-0000B16B0000}"/>
    <cellStyle name="40 % - Markeringsfarve4 15 2 2 3" xfId="48025" xr:uid="{00000000-0005-0000-0000-0000B26B0000}"/>
    <cellStyle name="40 % - Markeringsfarve4 15 2 3" xfId="26064" xr:uid="{00000000-0005-0000-0000-0000B36B0000}"/>
    <cellStyle name="40 % - Markeringsfarve4 15 2 4" xfId="41028" xr:uid="{00000000-0005-0000-0000-0000B46B0000}"/>
    <cellStyle name="40 % - Markeringsfarve4 15 3" xfId="14600" xr:uid="{00000000-0005-0000-0000-0000B56B0000}"/>
    <cellStyle name="40 % - Markeringsfarve4 15 3 2" xfId="30879" xr:uid="{00000000-0005-0000-0000-0000B66B0000}"/>
    <cellStyle name="40 % - Markeringsfarve4 15 3 3" xfId="45839" xr:uid="{00000000-0005-0000-0000-0000B76B0000}"/>
    <cellStyle name="40 % - Markeringsfarve4 15 4" xfId="23877" xr:uid="{00000000-0005-0000-0000-0000B86B0000}"/>
    <cellStyle name="40 % - Markeringsfarve4 15 5" xfId="38842" xr:uid="{00000000-0005-0000-0000-0000B96B0000}"/>
    <cellStyle name="40 % - Markeringsfarve4 16" xfId="6116" xr:uid="{00000000-0005-0000-0000-0000BA6B0000}"/>
    <cellStyle name="40 % - Markeringsfarve4 16 2" xfId="10457" xr:uid="{00000000-0005-0000-0000-0000BB6B0000}"/>
    <cellStyle name="40 % - Markeringsfarve4 16 2 2" xfId="18308" xr:uid="{00000000-0005-0000-0000-0000BC6B0000}"/>
    <cellStyle name="40 % - Markeringsfarve4 16 2 2 2" xfId="34584" xr:uid="{00000000-0005-0000-0000-0000BD6B0000}"/>
    <cellStyle name="40 % - Markeringsfarve4 16 2 2 3" xfId="49543" xr:uid="{00000000-0005-0000-0000-0000BE6B0000}"/>
    <cellStyle name="40 % - Markeringsfarve4 16 2 3" xfId="27582" xr:uid="{00000000-0005-0000-0000-0000BF6B0000}"/>
    <cellStyle name="40 % - Markeringsfarve4 16 2 4" xfId="42546" xr:uid="{00000000-0005-0000-0000-0000C06B0000}"/>
    <cellStyle name="40 % - Markeringsfarve4 16 3" xfId="14601" xr:uid="{00000000-0005-0000-0000-0000C16B0000}"/>
    <cellStyle name="40 % - Markeringsfarve4 16 3 2" xfId="30880" xr:uid="{00000000-0005-0000-0000-0000C26B0000}"/>
    <cellStyle name="40 % - Markeringsfarve4 16 3 3" xfId="45840" xr:uid="{00000000-0005-0000-0000-0000C36B0000}"/>
    <cellStyle name="40 % - Markeringsfarve4 16 4" xfId="23878" xr:uid="{00000000-0005-0000-0000-0000C46B0000}"/>
    <cellStyle name="40 % - Markeringsfarve4 16 5" xfId="38843" xr:uid="{00000000-0005-0000-0000-0000C56B0000}"/>
    <cellStyle name="40 % - Markeringsfarve4 17" xfId="6117" xr:uid="{00000000-0005-0000-0000-0000C66B0000}"/>
    <cellStyle name="40 % - Markeringsfarve4 17 2" xfId="10974" xr:uid="{00000000-0005-0000-0000-0000C76B0000}"/>
    <cellStyle name="40 % - Markeringsfarve4 17 2 2" xfId="18805" xr:uid="{00000000-0005-0000-0000-0000C86B0000}"/>
    <cellStyle name="40 % - Markeringsfarve4 17 2 2 2" xfId="35081" xr:uid="{00000000-0005-0000-0000-0000C96B0000}"/>
    <cellStyle name="40 % - Markeringsfarve4 17 2 2 3" xfId="50040" xr:uid="{00000000-0005-0000-0000-0000CA6B0000}"/>
    <cellStyle name="40 % - Markeringsfarve4 17 2 3" xfId="28079" xr:uid="{00000000-0005-0000-0000-0000CB6B0000}"/>
    <cellStyle name="40 % - Markeringsfarve4 17 2 4" xfId="43043" xr:uid="{00000000-0005-0000-0000-0000CC6B0000}"/>
    <cellStyle name="40 % - Markeringsfarve4 17 3" xfId="14602" xr:uid="{00000000-0005-0000-0000-0000CD6B0000}"/>
    <cellStyle name="40 % - Markeringsfarve4 17 3 2" xfId="30881" xr:uid="{00000000-0005-0000-0000-0000CE6B0000}"/>
    <cellStyle name="40 % - Markeringsfarve4 17 3 3" xfId="45841" xr:uid="{00000000-0005-0000-0000-0000CF6B0000}"/>
    <cellStyle name="40 % - Markeringsfarve4 17 4" xfId="23879" xr:uid="{00000000-0005-0000-0000-0000D06B0000}"/>
    <cellStyle name="40 % - Markeringsfarve4 17 5" xfId="38844" xr:uid="{00000000-0005-0000-0000-0000D16B0000}"/>
    <cellStyle name="40 % - Markeringsfarve4 18" xfId="7609" xr:uid="{00000000-0005-0000-0000-0000D26B0000}"/>
    <cellStyle name="40 % - Markeringsfarve4 18 2" xfId="15478" xr:uid="{00000000-0005-0000-0000-0000D36B0000}"/>
    <cellStyle name="40 % - Markeringsfarve4 18 2 2" xfId="31754" xr:uid="{00000000-0005-0000-0000-0000D46B0000}"/>
    <cellStyle name="40 % - Markeringsfarve4 18 2 3" xfId="46713" xr:uid="{00000000-0005-0000-0000-0000D56B0000}"/>
    <cellStyle name="40 % - Markeringsfarve4 18 3" xfId="24752" xr:uid="{00000000-0005-0000-0000-0000D66B0000}"/>
    <cellStyle name="40 % - Markeringsfarve4 18 4" xfId="39716" xr:uid="{00000000-0005-0000-0000-0000D76B0000}"/>
    <cellStyle name="40 % - Markeringsfarve4 19" xfId="6100" xr:uid="{00000000-0005-0000-0000-0000D86B0000}"/>
    <cellStyle name="40 % - Markeringsfarve4 19 2" xfId="14585" xr:uid="{00000000-0005-0000-0000-0000D96B0000}"/>
    <cellStyle name="40 % - Markeringsfarve4 19 2 2" xfId="30864" xr:uid="{00000000-0005-0000-0000-0000DA6B0000}"/>
    <cellStyle name="40 % - Markeringsfarve4 19 2 3" xfId="45824" xr:uid="{00000000-0005-0000-0000-0000DB6B0000}"/>
    <cellStyle name="40 % - Markeringsfarve4 19 3" xfId="23862" xr:uid="{00000000-0005-0000-0000-0000DC6B0000}"/>
    <cellStyle name="40 % - Markeringsfarve4 19 4" xfId="38827" xr:uid="{00000000-0005-0000-0000-0000DD6B0000}"/>
    <cellStyle name="40 % - Markeringsfarve4 2" xfId="6118" xr:uid="{00000000-0005-0000-0000-0000DE6B0000}"/>
    <cellStyle name="40 % - Markeringsfarve4 2 10" xfId="6119" xr:uid="{00000000-0005-0000-0000-0000DF6B0000}"/>
    <cellStyle name="40 % - Markeringsfarve4 2 10 2" xfId="8955" xr:uid="{00000000-0005-0000-0000-0000E06B0000}"/>
    <cellStyle name="40 % - Markeringsfarve4 2 10 2 2" xfId="16819" xr:uid="{00000000-0005-0000-0000-0000E16B0000}"/>
    <cellStyle name="40 % - Markeringsfarve4 2 10 2 2 2" xfId="33095" xr:uid="{00000000-0005-0000-0000-0000E26B0000}"/>
    <cellStyle name="40 % - Markeringsfarve4 2 10 2 2 3" xfId="48054" xr:uid="{00000000-0005-0000-0000-0000E36B0000}"/>
    <cellStyle name="40 % - Markeringsfarve4 2 10 2 3" xfId="26093" xr:uid="{00000000-0005-0000-0000-0000E46B0000}"/>
    <cellStyle name="40 % - Markeringsfarve4 2 10 2 4" xfId="41057" xr:uid="{00000000-0005-0000-0000-0000E56B0000}"/>
    <cellStyle name="40 % - Markeringsfarve4 2 10 3" xfId="14604" xr:uid="{00000000-0005-0000-0000-0000E66B0000}"/>
    <cellStyle name="40 % - Markeringsfarve4 2 10 3 2" xfId="30883" xr:uid="{00000000-0005-0000-0000-0000E76B0000}"/>
    <cellStyle name="40 % - Markeringsfarve4 2 10 3 3" xfId="45843" xr:uid="{00000000-0005-0000-0000-0000E86B0000}"/>
    <cellStyle name="40 % - Markeringsfarve4 2 10 4" xfId="23881" xr:uid="{00000000-0005-0000-0000-0000E96B0000}"/>
    <cellStyle name="40 % - Markeringsfarve4 2 10 5" xfId="38846" xr:uid="{00000000-0005-0000-0000-0000EA6B0000}"/>
    <cellStyle name="40 % - Markeringsfarve4 2 11" xfId="6120" xr:uid="{00000000-0005-0000-0000-0000EB6B0000}"/>
    <cellStyle name="40 % - Markeringsfarve4 2 11 2" xfId="10620" xr:uid="{00000000-0005-0000-0000-0000EC6B0000}"/>
    <cellStyle name="40 % - Markeringsfarve4 2 11 2 2" xfId="18468" xr:uid="{00000000-0005-0000-0000-0000ED6B0000}"/>
    <cellStyle name="40 % - Markeringsfarve4 2 11 2 2 2" xfId="34744" xr:uid="{00000000-0005-0000-0000-0000EE6B0000}"/>
    <cellStyle name="40 % - Markeringsfarve4 2 11 2 2 3" xfId="49703" xr:uid="{00000000-0005-0000-0000-0000EF6B0000}"/>
    <cellStyle name="40 % - Markeringsfarve4 2 11 2 3" xfId="27742" xr:uid="{00000000-0005-0000-0000-0000F06B0000}"/>
    <cellStyle name="40 % - Markeringsfarve4 2 11 2 4" xfId="42706" xr:uid="{00000000-0005-0000-0000-0000F16B0000}"/>
    <cellStyle name="40 % - Markeringsfarve4 2 11 3" xfId="14605" xr:uid="{00000000-0005-0000-0000-0000F26B0000}"/>
    <cellStyle name="40 % - Markeringsfarve4 2 11 3 2" xfId="30884" xr:uid="{00000000-0005-0000-0000-0000F36B0000}"/>
    <cellStyle name="40 % - Markeringsfarve4 2 11 3 3" xfId="45844" xr:uid="{00000000-0005-0000-0000-0000F46B0000}"/>
    <cellStyle name="40 % - Markeringsfarve4 2 11 4" xfId="23882" xr:uid="{00000000-0005-0000-0000-0000F56B0000}"/>
    <cellStyle name="40 % - Markeringsfarve4 2 11 5" xfId="38847" xr:uid="{00000000-0005-0000-0000-0000F66B0000}"/>
    <cellStyle name="40 % - Markeringsfarve4 2 12" xfId="8130" xr:uid="{00000000-0005-0000-0000-0000F76B0000}"/>
    <cellStyle name="40 % - Markeringsfarve4 2 12 2" xfId="15995" xr:uid="{00000000-0005-0000-0000-0000F86B0000}"/>
    <cellStyle name="40 % - Markeringsfarve4 2 12 2 2" xfId="32271" xr:uid="{00000000-0005-0000-0000-0000F96B0000}"/>
    <cellStyle name="40 % - Markeringsfarve4 2 12 2 3" xfId="47230" xr:uid="{00000000-0005-0000-0000-0000FA6B0000}"/>
    <cellStyle name="40 % - Markeringsfarve4 2 12 3" xfId="25269" xr:uid="{00000000-0005-0000-0000-0000FB6B0000}"/>
    <cellStyle name="40 % - Markeringsfarve4 2 12 4" xfId="40233" xr:uid="{00000000-0005-0000-0000-0000FC6B0000}"/>
    <cellStyle name="40 % - Markeringsfarve4 2 13" xfId="14603" xr:uid="{00000000-0005-0000-0000-0000FD6B0000}"/>
    <cellStyle name="40 % - Markeringsfarve4 2 13 2" xfId="30882" xr:uid="{00000000-0005-0000-0000-0000FE6B0000}"/>
    <cellStyle name="40 % - Markeringsfarve4 2 13 3" xfId="45842" xr:uid="{00000000-0005-0000-0000-0000FF6B0000}"/>
    <cellStyle name="40 % - Markeringsfarve4 2 14" xfId="23880" xr:uid="{00000000-0005-0000-0000-0000006C0000}"/>
    <cellStyle name="40 % - Markeringsfarve4 2 15" xfId="38845" xr:uid="{00000000-0005-0000-0000-0000016C0000}"/>
    <cellStyle name="40 % - Markeringsfarve4 2 2" xfId="6121" xr:uid="{00000000-0005-0000-0000-0000026C0000}"/>
    <cellStyle name="40 % - Markeringsfarve4 2 2 10" xfId="8131" xr:uid="{00000000-0005-0000-0000-0000036C0000}"/>
    <cellStyle name="40 % - Markeringsfarve4 2 2 10 2" xfId="15996" xr:uid="{00000000-0005-0000-0000-0000046C0000}"/>
    <cellStyle name="40 % - Markeringsfarve4 2 2 10 2 2" xfId="32272" xr:uid="{00000000-0005-0000-0000-0000056C0000}"/>
    <cellStyle name="40 % - Markeringsfarve4 2 2 10 2 3" xfId="47231" xr:uid="{00000000-0005-0000-0000-0000066C0000}"/>
    <cellStyle name="40 % - Markeringsfarve4 2 2 10 3" xfId="25270" xr:uid="{00000000-0005-0000-0000-0000076C0000}"/>
    <cellStyle name="40 % - Markeringsfarve4 2 2 10 4" xfId="40234" xr:uid="{00000000-0005-0000-0000-0000086C0000}"/>
    <cellStyle name="40 % - Markeringsfarve4 2 2 11" xfId="14606" xr:uid="{00000000-0005-0000-0000-0000096C0000}"/>
    <cellStyle name="40 % - Markeringsfarve4 2 2 11 2" xfId="30885" xr:uid="{00000000-0005-0000-0000-00000A6C0000}"/>
    <cellStyle name="40 % - Markeringsfarve4 2 2 11 3" xfId="45845" xr:uid="{00000000-0005-0000-0000-00000B6C0000}"/>
    <cellStyle name="40 % - Markeringsfarve4 2 2 12" xfId="23883" xr:uid="{00000000-0005-0000-0000-00000C6C0000}"/>
    <cellStyle name="40 % - Markeringsfarve4 2 2 13" xfId="38848" xr:uid="{00000000-0005-0000-0000-00000D6C0000}"/>
    <cellStyle name="40 % - Markeringsfarve4 2 2 2" xfId="6122" xr:uid="{00000000-0005-0000-0000-00000E6C0000}"/>
    <cellStyle name="40 % - Markeringsfarve4 2 2 2 2" xfId="6123" xr:uid="{00000000-0005-0000-0000-00000F6C0000}"/>
    <cellStyle name="40 % - Markeringsfarve4 2 2 2 2 2" xfId="6124" xr:uid="{00000000-0005-0000-0000-0000106C0000}"/>
    <cellStyle name="40 % - Markeringsfarve4 2 2 2 2 2 2" xfId="9885" xr:uid="{00000000-0005-0000-0000-0000116C0000}"/>
    <cellStyle name="40 % - Markeringsfarve4 2 2 2 2 2 2 2" xfId="17740" xr:uid="{00000000-0005-0000-0000-0000126C0000}"/>
    <cellStyle name="40 % - Markeringsfarve4 2 2 2 2 2 2 2 2" xfId="34016" xr:uid="{00000000-0005-0000-0000-0000136C0000}"/>
    <cellStyle name="40 % - Markeringsfarve4 2 2 2 2 2 2 2 3" xfId="48975" xr:uid="{00000000-0005-0000-0000-0000146C0000}"/>
    <cellStyle name="40 % - Markeringsfarve4 2 2 2 2 2 2 3" xfId="27014" xr:uid="{00000000-0005-0000-0000-0000156C0000}"/>
    <cellStyle name="40 % - Markeringsfarve4 2 2 2 2 2 2 4" xfId="41978" xr:uid="{00000000-0005-0000-0000-0000166C0000}"/>
    <cellStyle name="40 % - Markeringsfarve4 2 2 2 2 2 3" xfId="14609" xr:uid="{00000000-0005-0000-0000-0000176C0000}"/>
    <cellStyle name="40 % - Markeringsfarve4 2 2 2 2 2 3 2" xfId="30888" xr:uid="{00000000-0005-0000-0000-0000186C0000}"/>
    <cellStyle name="40 % - Markeringsfarve4 2 2 2 2 2 3 3" xfId="45848" xr:uid="{00000000-0005-0000-0000-0000196C0000}"/>
    <cellStyle name="40 % - Markeringsfarve4 2 2 2 2 2 4" xfId="23886" xr:uid="{00000000-0005-0000-0000-00001A6C0000}"/>
    <cellStyle name="40 % - Markeringsfarve4 2 2 2 2 2 5" xfId="38851" xr:uid="{00000000-0005-0000-0000-00001B6C0000}"/>
    <cellStyle name="40 % - Markeringsfarve4 2 2 2 2 3" xfId="8458" xr:uid="{00000000-0005-0000-0000-00001C6C0000}"/>
    <cellStyle name="40 % - Markeringsfarve4 2 2 2 2 3 2" xfId="16328" xr:uid="{00000000-0005-0000-0000-00001D6C0000}"/>
    <cellStyle name="40 % - Markeringsfarve4 2 2 2 2 3 2 2" xfId="32604" xr:uid="{00000000-0005-0000-0000-00001E6C0000}"/>
    <cellStyle name="40 % - Markeringsfarve4 2 2 2 2 3 2 3" xfId="47563" xr:uid="{00000000-0005-0000-0000-00001F6C0000}"/>
    <cellStyle name="40 % - Markeringsfarve4 2 2 2 2 3 3" xfId="25602" xr:uid="{00000000-0005-0000-0000-0000206C0000}"/>
    <cellStyle name="40 % - Markeringsfarve4 2 2 2 2 3 4" xfId="40566" xr:uid="{00000000-0005-0000-0000-0000216C0000}"/>
    <cellStyle name="40 % - Markeringsfarve4 2 2 2 2 4" xfId="14608" xr:uid="{00000000-0005-0000-0000-0000226C0000}"/>
    <cellStyle name="40 % - Markeringsfarve4 2 2 2 2 4 2" xfId="30887" xr:uid="{00000000-0005-0000-0000-0000236C0000}"/>
    <cellStyle name="40 % - Markeringsfarve4 2 2 2 2 4 3" xfId="45847" xr:uid="{00000000-0005-0000-0000-0000246C0000}"/>
    <cellStyle name="40 % - Markeringsfarve4 2 2 2 2 5" xfId="23885" xr:uid="{00000000-0005-0000-0000-0000256C0000}"/>
    <cellStyle name="40 % - Markeringsfarve4 2 2 2 2 6" xfId="38850" xr:uid="{00000000-0005-0000-0000-0000266C0000}"/>
    <cellStyle name="40 % - Markeringsfarve4 2 2 2 3" xfId="6125" xr:uid="{00000000-0005-0000-0000-0000276C0000}"/>
    <cellStyle name="40 % - Markeringsfarve4 2 2 2 3 2" xfId="9116" xr:uid="{00000000-0005-0000-0000-0000286C0000}"/>
    <cellStyle name="40 % - Markeringsfarve4 2 2 2 3 2 2" xfId="16980" xr:uid="{00000000-0005-0000-0000-0000296C0000}"/>
    <cellStyle name="40 % - Markeringsfarve4 2 2 2 3 2 2 2" xfId="33256" xr:uid="{00000000-0005-0000-0000-00002A6C0000}"/>
    <cellStyle name="40 % - Markeringsfarve4 2 2 2 3 2 2 3" xfId="48215" xr:uid="{00000000-0005-0000-0000-00002B6C0000}"/>
    <cellStyle name="40 % - Markeringsfarve4 2 2 2 3 2 3" xfId="26254" xr:uid="{00000000-0005-0000-0000-00002C6C0000}"/>
    <cellStyle name="40 % - Markeringsfarve4 2 2 2 3 2 4" xfId="41218" xr:uid="{00000000-0005-0000-0000-00002D6C0000}"/>
    <cellStyle name="40 % - Markeringsfarve4 2 2 2 3 3" xfId="14610" xr:uid="{00000000-0005-0000-0000-00002E6C0000}"/>
    <cellStyle name="40 % - Markeringsfarve4 2 2 2 3 3 2" xfId="30889" xr:uid="{00000000-0005-0000-0000-00002F6C0000}"/>
    <cellStyle name="40 % - Markeringsfarve4 2 2 2 3 3 3" xfId="45849" xr:uid="{00000000-0005-0000-0000-0000306C0000}"/>
    <cellStyle name="40 % - Markeringsfarve4 2 2 2 3 4" xfId="23887" xr:uid="{00000000-0005-0000-0000-0000316C0000}"/>
    <cellStyle name="40 % - Markeringsfarve4 2 2 2 3 5" xfId="38852" xr:uid="{00000000-0005-0000-0000-0000326C0000}"/>
    <cellStyle name="40 % - Markeringsfarve4 2 2 2 4" xfId="6126" xr:uid="{00000000-0005-0000-0000-0000336C0000}"/>
    <cellStyle name="40 % - Markeringsfarve4 2 2 2 4 2" xfId="10490" xr:uid="{00000000-0005-0000-0000-0000346C0000}"/>
    <cellStyle name="40 % - Markeringsfarve4 2 2 2 4 2 2" xfId="18339" xr:uid="{00000000-0005-0000-0000-0000356C0000}"/>
    <cellStyle name="40 % - Markeringsfarve4 2 2 2 4 2 2 2" xfId="34615" xr:uid="{00000000-0005-0000-0000-0000366C0000}"/>
    <cellStyle name="40 % - Markeringsfarve4 2 2 2 4 2 2 3" xfId="49574" xr:uid="{00000000-0005-0000-0000-0000376C0000}"/>
    <cellStyle name="40 % - Markeringsfarve4 2 2 2 4 2 3" xfId="27613" xr:uid="{00000000-0005-0000-0000-0000386C0000}"/>
    <cellStyle name="40 % - Markeringsfarve4 2 2 2 4 2 4" xfId="42577" xr:uid="{00000000-0005-0000-0000-0000396C0000}"/>
    <cellStyle name="40 % - Markeringsfarve4 2 2 2 4 3" xfId="14611" xr:uid="{00000000-0005-0000-0000-00003A6C0000}"/>
    <cellStyle name="40 % - Markeringsfarve4 2 2 2 4 3 2" xfId="30890" xr:uid="{00000000-0005-0000-0000-00003B6C0000}"/>
    <cellStyle name="40 % - Markeringsfarve4 2 2 2 4 3 3" xfId="45850" xr:uid="{00000000-0005-0000-0000-00003C6C0000}"/>
    <cellStyle name="40 % - Markeringsfarve4 2 2 2 4 4" xfId="23888" xr:uid="{00000000-0005-0000-0000-00003D6C0000}"/>
    <cellStyle name="40 % - Markeringsfarve4 2 2 2 4 5" xfId="38853" xr:uid="{00000000-0005-0000-0000-00003E6C0000}"/>
    <cellStyle name="40 % - Markeringsfarve4 2 2 2 5" xfId="8132" xr:uid="{00000000-0005-0000-0000-00003F6C0000}"/>
    <cellStyle name="40 % - Markeringsfarve4 2 2 2 5 2" xfId="15997" xr:uid="{00000000-0005-0000-0000-0000406C0000}"/>
    <cellStyle name="40 % - Markeringsfarve4 2 2 2 5 2 2" xfId="32273" xr:uid="{00000000-0005-0000-0000-0000416C0000}"/>
    <cellStyle name="40 % - Markeringsfarve4 2 2 2 5 2 3" xfId="47232" xr:uid="{00000000-0005-0000-0000-0000426C0000}"/>
    <cellStyle name="40 % - Markeringsfarve4 2 2 2 5 3" xfId="25271" xr:uid="{00000000-0005-0000-0000-0000436C0000}"/>
    <cellStyle name="40 % - Markeringsfarve4 2 2 2 5 4" xfId="40235" xr:uid="{00000000-0005-0000-0000-0000446C0000}"/>
    <cellStyle name="40 % - Markeringsfarve4 2 2 2 6" xfId="14607" xr:uid="{00000000-0005-0000-0000-0000456C0000}"/>
    <cellStyle name="40 % - Markeringsfarve4 2 2 2 6 2" xfId="30886" xr:uid="{00000000-0005-0000-0000-0000466C0000}"/>
    <cellStyle name="40 % - Markeringsfarve4 2 2 2 6 3" xfId="45846" xr:uid="{00000000-0005-0000-0000-0000476C0000}"/>
    <cellStyle name="40 % - Markeringsfarve4 2 2 2 7" xfId="23884" xr:uid="{00000000-0005-0000-0000-0000486C0000}"/>
    <cellStyle name="40 % - Markeringsfarve4 2 2 2 8" xfId="38849" xr:uid="{00000000-0005-0000-0000-0000496C0000}"/>
    <cellStyle name="40 % - Markeringsfarve4 2 2 3" xfId="6127" xr:uid="{00000000-0005-0000-0000-00004A6C0000}"/>
    <cellStyle name="40 % - Markeringsfarve4 2 2 3 2" xfId="6128" xr:uid="{00000000-0005-0000-0000-00004B6C0000}"/>
    <cellStyle name="40 % - Markeringsfarve4 2 2 3 2 2" xfId="6129" xr:uid="{00000000-0005-0000-0000-00004C6C0000}"/>
    <cellStyle name="40 % - Markeringsfarve4 2 2 3 2 2 2" xfId="10014" xr:uid="{00000000-0005-0000-0000-00004D6C0000}"/>
    <cellStyle name="40 % - Markeringsfarve4 2 2 3 2 2 2 2" xfId="17869" xr:uid="{00000000-0005-0000-0000-00004E6C0000}"/>
    <cellStyle name="40 % - Markeringsfarve4 2 2 3 2 2 2 2 2" xfId="34145" xr:uid="{00000000-0005-0000-0000-00004F6C0000}"/>
    <cellStyle name="40 % - Markeringsfarve4 2 2 3 2 2 2 2 3" xfId="49104" xr:uid="{00000000-0005-0000-0000-0000506C0000}"/>
    <cellStyle name="40 % - Markeringsfarve4 2 2 3 2 2 2 3" xfId="27143" xr:uid="{00000000-0005-0000-0000-0000516C0000}"/>
    <cellStyle name="40 % - Markeringsfarve4 2 2 3 2 2 2 4" xfId="42107" xr:uid="{00000000-0005-0000-0000-0000526C0000}"/>
    <cellStyle name="40 % - Markeringsfarve4 2 2 3 2 2 3" xfId="14614" xr:uid="{00000000-0005-0000-0000-0000536C0000}"/>
    <cellStyle name="40 % - Markeringsfarve4 2 2 3 2 2 3 2" xfId="30893" xr:uid="{00000000-0005-0000-0000-0000546C0000}"/>
    <cellStyle name="40 % - Markeringsfarve4 2 2 3 2 2 3 3" xfId="45853" xr:uid="{00000000-0005-0000-0000-0000556C0000}"/>
    <cellStyle name="40 % - Markeringsfarve4 2 2 3 2 2 4" xfId="23891" xr:uid="{00000000-0005-0000-0000-0000566C0000}"/>
    <cellStyle name="40 % - Markeringsfarve4 2 2 3 2 2 5" xfId="38856" xr:uid="{00000000-0005-0000-0000-0000576C0000}"/>
    <cellStyle name="40 % - Markeringsfarve4 2 2 3 2 3" xfId="8561" xr:uid="{00000000-0005-0000-0000-0000586C0000}"/>
    <cellStyle name="40 % - Markeringsfarve4 2 2 3 2 3 2" xfId="16431" xr:uid="{00000000-0005-0000-0000-0000596C0000}"/>
    <cellStyle name="40 % - Markeringsfarve4 2 2 3 2 3 2 2" xfId="32707" xr:uid="{00000000-0005-0000-0000-00005A6C0000}"/>
    <cellStyle name="40 % - Markeringsfarve4 2 2 3 2 3 2 3" xfId="47666" xr:uid="{00000000-0005-0000-0000-00005B6C0000}"/>
    <cellStyle name="40 % - Markeringsfarve4 2 2 3 2 3 3" xfId="25705" xr:uid="{00000000-0005-0000-0000-00005C6C0000}"/>
    <cellStyle name="40 % - Markeringsfarve4 2 2 3 2 3 4" xfId="40669" xr:uid="{00000000-0005-0000-0000-00005D6C0000}"/>
    <cellStyle name="40 % - Markeringsfarve4 2 2 3 2 4" xfId="14613" xr:uid="{00000000-0005-0000-0000-00005E6C0000}"/>
    <cellStyle name="40 % - Markeringsfarve4 2 2 3 2 4 2" xfId="30892" xr:uid="{00000000-0005-0000-0000-00005F6C0000}"/>
    <cellStyle name="40 % - Markeringsfarve4 2 2 3 2 4 3" xfId="45852" xr:uid="{00000000-0005-0000-0000-0000606C0000}"/>
    <cellStyle name="40 % - Markeringsfarve4 2 2 3 2 5" xfId="23890" xr:uid="{00000000-0005-0000-0000-0000616C0000}"/>
    <cellStyle name="40 % - Markeringsfarve4 2 2 3 2 6" xfId="38855" xr:uid="{00000000-0005-0000-0000-0000626C0000}"/>
    <cellStyle name="40 % - Markeringsfarve4 2 2 3 3" xfId="6130" xr:uid="{00000000-0005-0000-0000-0000636C0000}"/>
    <cellStyle name="40 % - Markeringsfarve4 2 2 3 3 2" xfId="9245" xr:uid="{00000000-0005-0000-0000-0000646C0000}"/>
    <cellStyle name="40 % - Markeringsfarve4 2 2 3 3 2 2" xfId="17109" xr:uid="{00000000-0005-0000-0000-0000656C0000}"/>
    <cellStyle name="40 % - Markeringsfarve4 2 2 3 3 2 2 2" xfId="33385" xr:uid="{00000000-0005-0000-0000-0000666C0000}"/>
    <cellStyle name="40 % - Markeringsfarve4 2 2 3 3 2 2 3" xfId="48344" xr:uid="{00000000-0005-0000-0000-0000676C0000}"/>
    <cellStyle name="40 % - Markeringsfarve4 2 2 3 3 2 3" xfId="26383" xr:uid="{00000000-0005-0000-0000-0000686C0000}"/>
    <cellStyle name="40 % - Markeringsfarve4 2 2 3 3 2 4" xfId="41347" xr:uid="{00000000-0005-0000-0000-0000696C0000}"/>
    <cellStyle name="40 % - Markeringsfarve4 2 2 3 3 3" xfId="14615" xr:uid="{00000000-0005-0000-0000-00006A6C0000}"/>
    <cellStyle name="40 % - Markeringsfarve4 2 2 3 3 3 2" xfId="30894" xr:uid="{00000000-0005-0000-0000-00006B6C0000}"/>
    <cellStyle name="40 % - Markeringsfarve4 2 2 3 3 3 3" xfId="45854" xr:uid="{00000000-0005-0000-0000-00006C6C0000}"/>
    <cellStyle name="40 % - Markeringsfarve4 2 2 3 3 4" xfId="23892" xr:uid="{00000000-0005-0000-0000-00006D6C0000}"/>
    <cellStyle name="40 % - Markeringsfarve4 2 2 3 3 5" xfId="38857" xr:uid="{00000000-0005-0000-0000-00006E6C0000}"/>
    <cellStyle name="40 % - Markeringsfarve4 2 2 3 4" xfId="6131" xr:uid="{00000000-0005-0000-0000-00006F6C0000}"/>
    <cellStyle name="40 % - Markeringsfarve4 2 2 3 4 2" xfId="10805" xr:uid="{00000000-0005-0000-0000-0000706C0000}"/>
    <cellStyle name="40 % - Markeringsfarve4 2 2 3 4 2 2" xfId="18646" xr:uid="{00000000-0005-0000-0000-0000716C0000}"/>
    <cellStyle name="40 % - Markeringsfarve4 2 2 3 4 2 2 2" xfId="34922" xr:uid="{00000000-0005-0000-0000-0000726C0000}"/>
    <cellStyle name="40 % - Markeringsfarve4 2 2 3 4 2 2 3" xfId="49881" xr:uid="{00000000-0005-0000-0000-0000736C0000}"/>
    <cellStyle name="40 % - Markeringsfarve4 2 2 3 4 2 3" xfId="27920" xr:uid="{00000000-0005-0000-0000-0000746C0000}"/>
    <cellStyle name="40 % - Markeringsfarve4 2 2 3 4 2 4" xfId="42884" xr:uid="{00000000-0005-0000-0000-0000756C0000}"/>
    <cellStyle name="40 % - Markeringsfarve4 2 2 3 4 3" xfId="14616" xr:uid="{00000000-0005-0000-0000-0000766C0000}"/>
    <cellStyle name="40 % - Markeringsfarve4 2 2 3 4 3 2" xfId="30895" xr:uid="{00000000-0005-0000-0000-0000776C0000}"/>
    <cellStyle name="40 % - Markeringsfarve4 2 2 3 4 3 3" xfId="45855" xr:uid="{00000000-0005-0000-0000-0000786C0000}"/>
    <cellStyle name="40 % - Markeringsfarve4 2 2 3 4 4" xfId="23893" xr:uid="{00000000-0005-0000-0000-0000796C0000}"/>
    <cellStyle name="40 % - Markeringsfarve4 2 2 3 4 5" xfId="38858" xr:uid="{00000000-0005-0000-0000-00007A6C0000}"/>
    <cellStyle name="40 % - Markeringsfarve4 2 2 3 5" xfId="8133" xr:uid="{00000000-0005-0000-0000-00007B6C0000}"/>
    <cellStyle name="40 % - Markeringsfarve4 2 2 3 5 2" xfId="15998" xr:uid="{00000000-0005-0000-0000-00007C6C0000}"/>
    <cellStyle name="40 % - Markeringsfarve4 2 2 3 5 2 2" xfId="32274" xr:uid="{00000000-0005-0000-0000-00007D6C0000}"/>
    <cellStyle name="40 % - Markeringsfarve4 2 2 3 5 2 3" xfId="47233" xr:uid="{00000000-0005-0000-0000-00007E6C0000}"/>
    <cellStyle name="40 % - Markeringsfarve4 2 2 3 5 3" xfId="25272" xr:uid="{00000000-0005-0000-0000-00007F6C0000}"/>
    <cellStyle name="40 % - Markeringsfarve4 2 2 3 5 4" xfId="40236" xr:uid="{00000000-0005-0000-0000-0000806C0000}"/>
    <cellStyle name="40 % - Markeringsfarve4 2 2 3 6" xfId="14612" xr:uid="{00000000-0005-0000-0000-0000816C0000}"/>
    <cellStyle name="40 % - Markeringsfarve4 2 2 3 6 2" xfId="30891" xr:uid="{00000000-0005-0000-0000-0000826C0000}"/>
    <cellStyle name="40 % - Markeringsfarve4 2 2 3 6 3" xfId="45851" xr:uid="{00000000-0005-0000-0000-0000836C0000}"/>
    <cellStyle name="40 % - Markeringsfarve4 2 2 3 7" xfId="23889" xr:uid="{00000000-0005-0000-0000-0000846C0000}"/>
    <cellStyle name="40 % - Markeringsfarve4 2 2 3 8" xfId="38854" xr:uid="{00000000-0005-0000-0000-0000856C0000}"/>
    <cellStyle name="40 % - Markeringsfarve4 2 2 4" xfId="6132" xr:uid="{00000000-0005-0000-0000-0000866C0000}"/>
    <cellStyle name="40 % - Markeringsfarve4 2 2 4 2" xfId="6133" xr:uid="{00000000-0005-0000-0000-0000876C0000}"/>
    <cellStyle name="40 % - Markeringsfarve4 2 2 4 2 2" xfId="6134" xr:uid="{00000000-0005-0000-0000-0000886C0000}"/>
    <cellStyle name="40 % - Markeringsfarve4 2 2 4 2 2 2" xfId="10123" xr:uid="{00000000-0005-0000-0000-0000896C0000}"/>
    <cellStyle name="40 % - Markeringsfarve4 2 2 4 2 2 2 2" xfId="17978" xr:uid="{00000000-0005-0000-0000-00008A6C0000}"/>
    <cellStyle name="40 % - Markeringsfarve4 2 2 4 2 2 2 2 2" xfId="34254" xr:uid="{00000000-0005-0000-0000-00008B6C0000}"/>
    <cellStyle name="40 % - Markeringsfarve4 2 2 4 2 2 2 2 3" xfId="49213" xr:uid="{00000000-0005-0000-0000-00008C6C0000}"/>
    <cellStyle name="40 % - Markeringsfarve4 2 2 4 2 2 2 3" xfId="27252" xr:uid="{00000000-0005-0000-0000-00008D6C0000}"/>
    <cellStyle name="40 % - Markeringsfarve4 2 2 4 2 2 2 4" xfId="42216" xr:uid="{00000000-0005-0000-0000-00008E6C0000}"/>
    <cellStyle name="40 % - Markeringsfarve4 2 2 4 2 2 3" xfId="14619" xr:uid="{00000000-0005-0000-0000-00008F6C0000}"/>
    <cellStyle name="40 % - Markeringsfarve4 2 2 4 2 2 3 2" xfId="30898" xr:uid="{00000000-0005-0000-0000-0000906C0000}"/>
    <cellStyle name="40 % - Markeringsfarve4 2 2 4 2 2 3 3" xfId="45858" xr:uid="{00000000-0005-0000-0000-0000916C0000}"/>
    <cellStyle name="40 % - Markeringsfarve4 2 2 4 2 2 4" xfId="23896" xr:uid="{00000000-0005-0000-0000-0000926C0000}"/>
    <cellStyle name="40 % - Markeringsfarve4 2 2 4 2 2 5" xfId="38861" xr:uid="{00000000-0005-0000-0000-0000936C0000}"/>
    <cellStyle name="40 % - Markeringsfarve4 2 2 4 2 3" xfId="8660" xr:uid="{00000000-0005-0000-0000-0000946C0000}"/>
    <cellStyle name="40 % - Markeringsfarve4 2 2 4 2 3 2" xfId="16527" xr:uid="{00000000-0005-0000-0000-0000956C0000}"/>
    <cellStyle name="40 % - Markeringsfarve4 2 2 4 2 3 2 2" xfId="32803" xr:uid="{00000000-0005-0000-0000-0000966C0000}"/>
    <cellStyle name="40 % - Markeringsfarve4 2 2 4 2 3 2 3" xfId="47762" xr:uid="{00000000-0005-0000-0000-0000976C0000}"/>
    <cellStyle name="40 % - Markeringsfarve4 2 2 4 2 3 3" xfId="25801" xr:uid="{00000000-0005-0000-0000-0000986C0000}"/>
    <cellStyle name="40 % - Markeringsfarve4 2 2 4 2 3 4" xfId="40765" xr:uid="{00000000-0005-0000-0000-0000996C0000}"/>
    <cellStyle name="40 % - Markeringsfarve4 2 2 4 2 4" xfId="14618" xr:uid="{00000000-0005-0000-0000-00009A6C0000}"/>
    <cellStyle name="40 % - Markeringsfarve4 2 2 4 2 4 2" xfId="30897" xr:uid="{00000000-0005-0000-0000-00009B6C0000}"/>
    <cellStyle name="40 % - Markeringsfarve4 2 2 4 2 4 3" xfId="45857" xr:uid="{00000000-0005-0000-0000-00009C6C0000}"/>
    <cellStyle name="40 % - Markeringsfarve4 2 2 4 2 5" xfId="23895" xr:uid="{00000000-0005-0000-0000-00009D6C0000}"/>
    <cellStyle name="40 % - Markeringsfarve4 2 2 4 2 6" xfId="38860" xr:uid="{00000000-0005-0000-0000-00009E6C0000}"/>
    <cellStyle name="40 % - Markeringsfarve4 2 2 4 3" xfId="6135" xr:uid="{00000000-0005-0000-0000-00009F6C0000}"/>
    <cellStyle name="40 % - Markeringsfarve4 2 2 4 3 2" xfId="9400" xr:uid="{00000000-0005-0000-0000-0000A06C0000}"/>
    <cellStyle name="40 % - Markeringsfarve4 2 2 4 3 2 2" xfId="17263" xr:uid="{00000000-0005-0000-0000-0000A16C0000}"/>
    <cellStyle name="40 % - Markeringsfarve4 2 2 4 3 2 2 2" xfId="33539" xr:uid="{00000000-0005-0000-0000-0000A26C0000}"/>
    <cellStyle name="40 % - Markeringsfarve4 2 2 4 3 2 2 3" xfId="48498" xr:uid="{00000000-0005-0000-0000-0000A36C0000}"/>
    <cellStyle name="40 % - Markeringsfarve4 2 2 4 3 2 3" xfId="26537" xr:uid="{00000000-0005-0000-0000-0000A46C0000}"/>
    <cellStyle name="40 % - Markeringsfarve4 2 2 4 3 2 4" xfId="41501" xr:uid="{00000000-0005-0000-0000-0000A56C0000}"/>
    <cellStyle name="40 % - Markeringsfarve4 2 2 4 3 3" xfId="14620" xr:uid="{00000000-0005-0000-0000-0000A66C0000}"/>
    <cellStyle name="40 % - Markeringsfarve4 2 2 4 3 3 2" xfId="30899" xr:uid="{00000000-0005-0000-0000-0000A76C0000}"/>
    <cellStyle name="40 % - Markeringsfarve4 2 2 4 3 3 3" xfId="45859" xr:uid="{00000000-0005-0000-0000-0000A86C0000}"/>
    <cellStyle name="40 % - Markeringsfarve4 2 2 4 3 4" xfId="23897" xr:uid="{00000000-0005-0000-0000-0000A96C0000}"/>
    <cellStyle name="40 % - Markeringsfarve4 2 2 4 3 5" xfId="38862" xr:uid="{00000000-0005-0000-0000-0000AA6C0000}"/>
    <cellStyle name="40 % - Markeringsfarve4 2 2 4 4" xfId="6136" xr:uid="{00000000-0005-0000-0000-0000AB6C0000}"/>
    <cellStyle name="40 % - Markeringsfarve4 2 2 4 4 2" xfId="10456" xr:uid="{00000000-0005-0000-0000-0000AC6C0000}"/>
    <cellStyle name="40 % - Markeringsfarve4 2 2 4 4 2 2" xfId="18307" xr:uid="{00000000-0005-0000-0000-0000AD6C0000}"/>
    <cellStyle name="40 % - Markeringsfarve4 2 2 4 4 2 2 2" xfId="34583" xr:uid="{00000000-0005-0000-0000-0000AE6C0000}"/>
    <cellStyle name="40 % - Markeringsfarve4 2 2 4 4 2 2 3" xfId="49542" xr:uid="{00000000-0005-0000-0000-0000AF6C0000}"/>
    <cellStyle name="40 % - Markeringsfarve4 2 2 4 4 2 3" xfId="27581" xr:uid="{00000000-0005-0000-0000-0000B06C0000}"/>
    <cellStyle name="40 % - Markeringsfarve4 2 2 4 4 2 4" xfId="42545" xr:uid="{00000000-0005-0000-0000-0000B16C0000}"/>
    <cellStyle name="40 % - Markeringsfarve4 2 2 4 4 3" xfId="14621" xr:uid="{00000000-0005-0000-0000-0000B26C0000}"/>
    <cellStyle name="40 % - Markeringsfarve4 2 2 4 4 3 2" xfId="30900" xr:uid="{00000000-0005-0000-0000-0000B36C0000}"/>
    <cellStyle name="40 % - Markeringsfarve4 2 2 4 4 3 3" xfId="45860" xr:uid="{00000000-0005-0000-0000-0000B46C0000}"/>
    <cellStyle name="40 % - Markeringsfarve4 2 2 4 4 4" xfId="23898" xr:uid="{00000000-0005-0000-0000-0000B56C0000}"/>
    <cellStyle name="40 % - Markeringsfarve4 2 2 4 4 5" xfId="38863" xr:uid="{00000000-0005-0000-0000-0000B66C0000}"/>
    <cellStyle name="40 % - Markeringsfarve4 2 2 4 5" xfId="8134" xr:uid="{00000000-0005-0000-0000-0000B76C0000}"/>
    <cellStyle name="40 % - Markeringsfarve4 2 2 4 5 2" xfId="15999" xr:uid="{00000000-0005-0000-0000-0000B86C0000}"/>
    <cellStyle name="40 % - Markeringsfarve4 2 2 4 5 2 2" xfId="32275" xr:uid="{00000000-0005-0000-0000-0000B96C0000}"/>
    <cellStyle name="40 % - Markeringsfarve4 2 2 4 5 2 3" xfId="47234" xr:uid="{00000000-0005-0000-0000-0000BA6C0000}"/>
    <cellStyle name="40 % - Markeringsfarve4 2 2 4 5 3" xfId="25273" xr:uid="{00000000-0005-0000-0000-0000BB6C0000}"/>
    <cellStyle name="40 % - Markeringsfarve4 2 2 4 5 4" xfId="40237" xr:uid="{00000000-0005-0000-0000-0000BC6C0000}"/>
    <cellStyle name="40 % - Markeringsfarve4 2 2 4 6" xfId="14617" xr:uid="{00000000-0005-0000-0000-0000BD6C0000}"/>
    <cellStyle name="40 % - Markeringsfarve4 2 2 4 6 2" xfId="30896" xr:uid="{00000000-0005-0000-0000-0000BE6C0000}"/>
    <cellStyle name="40 % - Markeringsfarve4 2 2 4 6 3" xfId="45856" xr:uid="{00000000-0005-0000-0000-0000BF6C0000}"/>
    <cellStyle name="40 % - Markeringsfarve4 2 2 4 7" xfId="23894" xr:uid="{00000000-0005-0000-0000-0000C06C0000}"/>
    <cellStyle name="40 % - Markeringsfarve4 2 2 4 8" xfId="38859" xr:uid="{00000000-0005-0000-0000-0000C16C0000}"/>
    <cellStyle name="40 % - Markeringsfarve4 2 2 5" xfId="6137" xr:uid="{00000000-0005-0000-0000-0000C26C0000}"/>
    <cellStyle name="40 % - Markeringsfarve4 2 2 5 2" xfId="6138" xr:uid="{00000000-0005-0000-0000-0000C36C0000}"/>
    <cellStyle name="40 % - Markeringsfarve4 2 2 5 2 2" xfId="6139" xr:uid="{00000000-0005-0000-0000-0000C46C0000}"/>
    <cellStyle name="40 % - Markeringsfarve4 2 2 5 2 2 2" xfId="10240" xr:uid="{00000000-0005-0000-0000-0000C56C0000}"/>
    <cellStyle name="40 % - Markeringsfarve4 2 2 5 2 2 2 2" xfId="18095" xr:uid="{00000000-0005-0000-0000-0000C66C0000}"/>
    <cellStyle name="40 % - Markeringsfarve4 2 2 5 2 2 2 2 2" xfId="34371" xr:uid="{00000000-0005-0000-0000-0000C76C0000}"/>
    <cellStyle name="40 % - Markeringsfarve4 2 2 5 2 2 2 2 3" xfId="49330" xr:uid="{00000000-0005-0000-0000-0000C86C0000}"/>
    <cellStyle name="40 % - Markeringsfarve4 2 2 5 2 2 2 3" xfId="27369" xr:uid="{00000000-0005-0000-0000-0000C96C0000}"/>
    <cellStyle name="40 % - Markeringsfarve4 2 2 5 2 2 2 4" xfId="42333" xr:uid="{00000000-0005-0000-0000-0000CA6C0000}"/>
    <cellStyle name="40 % - Markeringsfarve4 2 2 5 2 2 3" xfId="14624" xr:uid="{00000000-0005-0000-0000-0000CB6C0000}"/>
    <cellStyle name="40 % - Markeringsfarve4 2 2 5 2 2 3 2" xfId="30903" xr:uid="{00000000-0005-0000-0000-0000CC6C0000}"/>
    <cellStyle name="40 % - Markeringsfarve4 2 2 5 2 2 3 3" xfId="45863" xr:uid="{00000000-0005-0000-0000-0000CD6C0000}"/>
    <cellStyle name="40 % - Markeringsfarve4 2 2 5 2 2 4" xfId="23901" xr:uid="{00000000-0005-0000-0000-0000CE6C0000}"/>
    <cellStyle name="40 % - Markeringsfarve4 2 2 5 2 2 5" xfId="38866" xr:uid="{00000000-0005-0000-0000-0000CF6C0000}"/>
    <cellStyle name="40 % - Markeringsfarve4 2 2 5 2 3" xfId="8759" xr:uid="{00000000-0005-0000-0000-0000D06C0000}"/>
    <cellStyle name="40 % - Markeringsfarve4 2 2 5 2 3 2" xfId="16626" xr:uid="{00000000-0005-0000-0000-0000D16C0000}"/>
    <cellStyle name="40 % - Markeringsfarve4 2 2 5 2 3 2 2" xfId="32902" xr:uid="{00000000-0005-0000-0000-0000D26C0000}"/>
    <cellStyle name="40 % - Markeringsfarve4 2 2 5 2 3 2 3" xfId="47861" xr:uid="{00000000-0005-0000-0000-0000D36C0000}"/>
    <cellStyle name="40 % - Markeringsfarve4 2 2 5 2 3 3" xfId="25900" xr:uid="{00000000-0005-0000-0000-0000D46C0000}"/>
    <cellStyle name="40 % - Markeringsfarve4 2 2 5 2 3 4" xfId="40864" xr:uid="{00000000-0005-0000-0000-0000D56C0000}"/>
    <cellStyle name="40 % - Markeringsfarve4 2 2 5 2 4" xfId="14623" xr:uid="{00000000-0005-0000-0000-0000D66C0000}"/>
    <cellStyle name="40 % - Markeringsfarve4 2 2 5 2 4 2" xfId="30902" xr:uid="{00000000-0005-0000-0000-0000D76C0000}"/>
    <cellStyle name="40 % - Markeringsfarve4 2 2 5 2 4 3" xfId="45862" xr:uid="{00000000-0005-0000-0000-0000D86C0000}"/>
    <cellStyle name="40 % - Markeringsfarve4 2 2 5 2 5" xfId="23900" xr:uid="{00000000-0005-0000-0000-0000D96C0000}"/>
    <cellStyle name="40 % - Markeringsfarve4 2 2 5 2 6" xfId="38865" xr:uid="{00000000-0005-0000-0000-0000DA6C0000}"/>
    <cellStyle name="40 % - Markeringsfarve4 2 2 5 3" xfId="6140" xr:uid="{00000000-0005-0000-0000-0000DB6C0000}"/>
    <cellStyle name="40 % - Markeringsfarve4 2 2 5 3 2" xfId="9517" xr:uid="{00000000-0005-0000-0000-0000DC6C0000}"/>
    <cellStyle name="40 % - Markeringsfarve4 2 2 5 3 2 2" xfId="17380" xr:uid="{00000000-0005-0000-0000-0000DD6C0000}"/>
    <cellStyle name="40 % - Markeringsfarve4 2 2 5 3 2 2 2" xfId="33656" xr:uid="{00000000-0005-0000-0000-0000DE6C0000}"/>
    <cellStyle name="40 % - Markeringsfarve4 2 2 5 3 2 2 3" xfId="48615" xr:uid="{00000000-0005-0000-0000-0000DF6C0000}"/>
    <cellStyle name="40 % - Markeringsfarve4 2 2 5 3 2 3" xfId="26654" xr:uid="{00000000-0005-0000-0000-0000E06C0000}"/>
    <cellStyle name="40 % - Markeringsfarve4 2 2 5 3 2 4" xfId="41618" xr:uid="{00000000-0005-0000-0000-0000E16C0000}"/>
    <cellStyle name="40 % - Markeringsfarve4 2 2 5 3 3" xfId="14625" xr:uid="{00000000-0005-0000-0000-0000E26C0000}"/>
    <cellStyle name="40 % - Markeringsfarve4 2 2 5 3 3 2" xfId="30904" xr:uid="{00000000-0005-0000-0000-0000E36C0000}"/>
    <cellStyle name="40 % - Markeringsfarve4 2 2 5 3 3 3" xfId="45864" xr:uid="{00000000-0005-0000-0000-0000E46C0000}"/>
    <cellStyle name="40 % - Markeringsfarve4 2 2 5 3 4" xfId="23902" xr:uid="{00000000-0005-0000-0000-0000E56C0000}"/>
    <cellStyle name="40 % - Markeringsfarve4 2 2 5 3 5" xfId="38867" xr:uid="{00000000-0005-0000-0000-0000E66C0000}"/>
    <cellStyle name="40 % - Markeringsfarve4 2 2 5 4" xfId="6141" xr:uid="{00000000-0005-0000-0000-0000E76C0000}"/>
    <cellStyle name="40 % - Markeringsfarve4 2 2 5 4 2" xfId="10409" xr:uid="{00000000-0005-0000-0000-0000E86C0000}"/>
    <cellStyle name="40 % - Markeringsfarve4 2 2 5 4 2 2" xfId="18262" xr:uid="{00000000-0005-0000-0000-0000E96C0000}"/>
    <cellStyle name="40 % - Markeringsfarve4 2 2 5 4 2 2 2" xfId="34538" xr:uid="{00000000-0005-0000-0000-0000EA6C0000}"/>
    <cellStyle name="40 % - Markeringsfarve4 2 2 5 4 2 2 3" xfId="49497" xr:uid="{00000000-0005-0000-0000-0000EB6C0000}"/>
    <cellStyle name="40 % - Markeringsfarve4 2 2 5 4 2 3" xfId="27536" xr:uid="{00000000-0005-0000-0000-0000EC6C0000}"/>
    <cellStyle name="40 % - Markeringsfarve4 2 2 5 4 2 4" xfId="42500" xr:uid="{00000000-0005-0000-0000-0000ED6C0000}"/>
    <cellStyle name="40 % - Markeringsfarve4 2 2 5 4 3" xfId="14626" xr:uid="{00000000-0005-0000-0000-0000EE6C0000}"/>
    <cellStyle name="40 % - Markeringsfarve4 2 2 5 4 3 2" xfId="30905" xr:uid="{00000000-0005-0000-0000-0000EF6C0000}"/>
    <cellStyle name="40 % - Markeringsfarve4 2 2 5 4 3 3" xfId="45865" xr:uid="{00000000-0005-0000-0000-0000F06C0000}"/>
    <cellStyle name="40 % - Markeringsfarve4 2 2 5 4 4" xfId="23903" xr:uid="{00000000-0005-0000-0000-0000F16C0000}"/>
    <cellStyle name="40 % - Markeringsfarve4 2 2 5 4 5" xfId="38868" xr:uid="{00000000-0005-0000-0000-0000F26C0000}"/>
    <cellStyle name="40 % - Markeringsfarve4 2 2 5 5" xfId="8135" xr:uid="{00000000-0005-0000-0000-0000F36C0000}"/>
    <cellStyle name="40 % - Markeringsfarve4 2 2 5 5 2" xfId="16000" xr:uid="{00000000-0005-0000-0000-0000F46C0000}"/>
    <cellStyle name="40 % - Markeringsfarve4 2 2 5 5 2 2" xfId="32276" xr:uid="{00000000-0005-0000-0000-0000F56C0000}"/>
    <cellStyle name="40 % - Markeringsfarve4 2 2 5 5 2 3" xfId="47235" xr:uid="{00000000-0005-0000-0000-0000F66C0000}"/>
    <cellStyle name="40 % - Markeringsfarve4 2 2 5 5 3" xfId="25274" xr:uid="{00000000-0005-0000-0000-0000F76C0000}"/>
    <cellStyle name="40 % - Markeringsfarve4 2 2 5 5 4" xfId="40238" xr:uid="{00000000-0005-0000-0000-0000F86C0000}"/>
    <cellStyle name="40 % - Markeringsfarve4 2 2 5 6" xfId="14622" xr:uid="{00000000-0005-0000-0000-0000F96C0000}"/>
    <cellStyle name="40 % - Markeringsfarve4 2 2 5 6 2" xfId="30901" xr:uid="{00000000-0005-0000-0000-0000FA6C0000}"/>
    <cellStyle name="40 % - Markeringsfarve4 2 2 5 6 3" xfId="45861" xr:uid="{00000000-0005-0000-0000-0000FB6C0000}"/>
    <cellStyle name="40 % - Markeringsfarve4 2 2 5 7" xfId="23899" xr:uid="{00000000-0005-0000-0000-0000FC6C0000}"/>
    <cellStyle name="40 % - Markeringsfarve4 2 2 5 8" xfId="38864" xr:uid="{00000000-0005-0000-0000-0000FD6C0000}"/>
    <cellStyle name="40 % - Markeringsfarve4 2 2 6" xfId="6142" xr:uid="{00000000-0005-0000-0000-0000FE6C0000}"/>
    <cellStyle name="40 % - Markeringsfarve4 2 2 6 2" xfId="6143" xr:uid="{00000000-0005-0000-0000-0000FF6C0000}"/>
    <cellStyle name="40 % - Markeringsfarve4 2 2 6 2 2" xfId="6144" xr:uid="{00000000-0005-0000-0000-0000006D0000}"/>
    <cellStyle name="40 % - Markeringsfarve4 2 2 6 2 2 2" xfId="10368" xr:uid="{00000000-0005-0000-0000-0000016D0000}"/>
    <cellStyle name="40 % - Markeringsfarve4 2 2 6 2 2 2 2" xfId="18223" xr:uid="{00000000-0005-0000-0000-0000026D0000}"/>
    <cellStyle name="40 % - Markeringsfarve4 2 2 6 2 2 2 2 2" xfId="34499" xr:uid="{00000000-0005-0000-0000-0000036D0000}"/>
    <cellStyle name="40 % - Markeringsfarve4 2 2 6 2 2 2 2 3" xfId="49458" xr:uid="{00000000-0005-0000-0000-0000046D0000}"/>
    <cellStyle name="40 % - Markeringsfarve4 2 2 6 2 2 2 3" xfId="27497" xr:uid="{00000000-0005-0000-0000-0000056D0000}"/>
    <cellStyle name="40 % - Markeringsfarve4 2 2 6 2 2 2 4" xfId="42461" xr:uid="{00000000-0005-0000-0000-0000066D0000}"/>
    <cellStyle name="40 % - Markeringsfarve4 2 2 6 2 2 3" xfId="14629" xr:uid="{00000000-0005-0000-0000-0000076D0000}"/>
    <cellStyle name="40 % - Markeringsfarve4 2 2 6 2 2 3 2" xfId="30908" xr:uid="{00000000-0005-0000-0000-0000086D0000}"/>
    <cellStyle name="40 % - Markeringsfarve4 2 2 6 2 2 3 3" xfId="45868" xr:uid="{00000000-0005-0000-0000-0000096D0000}"/>
    <cellStyle name="40 % - Markeringsfarve4 2 2 6 2 2 4" xfId="23906" xr:uid="{00000000-0005-0000-0000-00000A6D0000}"/>
    <cellStyle name="40 % - Markeringsfarve4 2 2 6 2 2 5" xfId="38871" xr:uid="{00000000-0005-0000-0000-00000B6D0000}"/>
    <cellStyle name="40 % - Markeringsfarve4 2 2 6 2 3" xfId="8862" xr:uid="{00000000-0005-0000-0000-00000C6D0000}"/>
    <cellStyle name="40 % - Markeringsfarve4 2 2 6 2 3 2" xfId="16729" xr:uid="{00000000-0005-0000-0000-00000D6D0000}"/>
    <cellStyle name="40 % - Markeringsfarve4 2 2 6 2 3 2 2" xfId="33005" xr:uid="{00000000-0005-0000-0000-00000E6D0000}"/>
    <cellStyle name="40 % - Markeringsfarve4 2 2 6 2 3 2 3" xfId="47964" xr:uid="{00000000-0005-0000-0000-00000F6D0000}"/>
    <cellStyle name="40 % - Markeringsfarve4 2 2 6 2 3 3" xfId="26003" xr:uid="{00000000-0005-0000-0000-0000106D0000}"/>
    <cellStyle name="40 % - Markeringsfarve4 2 2 6 2 3 4" xfId="40967" xr:uid="{00000000-0005-0000-0000-0000116D0000}"/>
    <cellStyle name="40 % - Markeringsfarve4 2 2 6 2 4" xfId="14628" xr:uid="{00000000-0005-0000-0000-0000126D0000}"/>
    <cellStyle name="40 % - Markeringsfarve4 2 2 6 2 4 2" xfId="30907" xr:uid="{00000000-0005-0000-0000-0000136D0000}"/>
    <cellStyle name="40 % - Markeringsfarve4 2 2 6 2 4 3" xfId="45867" xr:uid="{00000000-0005-0000-0000-0000146D0000}"/>
    <cellStyle name="40 % - Markeringsfarve4 2 2 6 2 5" xfId="23905" xr:uid="{00000000-0005-0000-0000-0000156D0000}"/>
    <cellStyle name="40 % - Markeringsfarve4 2 2 6 2 6" xfId="38870" xr:uid="{00000000-0005-0000-0000-0000166D0000}"/>
    <cellStyle name="40 % - Markeringsfarve4 2 2 6 3" xfId="6145" xr:uid="{00000000-0005-0000-0000-0000176D0000}"/>
    <cellStyle name="40 % - Markeringsfarve4 2 2 6 3 2" xfId="9646" xr:uid="{00000000-0005-0000-0000-0000186D0000}"/>
    <cellStyle name="40 % - Markeringsfarve4 2 2 6 3 2 2" xfId="17509" xr:uid="{00000000-0005-0000-0000-0000196D0000}"/>
    <cellStyle name="40 % - Markeringsfarve4 2 2 6 3 2 2 2" xfId="33785" xr:uid="{00000000-0005-0000-0000-00001A6D0000}"/>
    <cellStyle name="40 % - Markeringsfarve4 2 2 6 3 2 2 3" xfId="48744" xr:uid="{00000000-0005-0000-0000-00001B6D0000}"/>
    <cellStyle name="40 % - Markeringsfarve4 2 2 6 3 2 3" xfId="26783" xr:uid="{00000000-0005-0000-0000-00001C6D0000}"/>
    <cellStyle name="40 % - Markeringsfarve4 2 2 6 3 2 4" xfId="41747" xr:uid="{00000000-0005-0000-0000-00001D6D0000}"/>
    <cellStyle name="40 % - Markeringsfarve4 2 2 6 3 3" xfId="14630" xr:uid="{00000000-0005-0000-0000-00001E6D0000}"/>
    <cellStyle name="40 % - Markeringsfarve4 2 2 6 3 3 2" xfId="30909" xr:uid="{00000000-0005-0000-0000-00001F6D0000}"/>
    <cellStyle name="40 % - Markeringsfarve4 2 2 6 3 3 3" xfId="45869" xr:uid="{00000000-0005-0000-0000-0000206D0000}"/>
    <cellStyle name="40 % - Markeringsfarve4 2 2 6 3 4" xfId="23907" xr:uid="{00000000-0005-0000-0000-0000216D0000}"/>
    <cellStyle name="40 % - Markeringsfarve4 2 2 6 3 5" xfId="38872" xr:uid="{00000000-0005-0000-0000-0000226D0000}"/>
    <cellStyle name="40 % - Markeringsfarve4 2 2 6 4" xfId="6146" xr:uid="{00000000-0005-0000-0000-0000236D0000}"/>
    <cellStyle name="40 % - Markeringsfarve4 2 2 6 4 2" xfId="10750" xr:uid="{00000000-0005-0000-0000-0000246D0000}"/>
    <cellStyle name="40 % - Markeringsfarve4 2 2 6 4 2 2" xfId="18593" xr:uid="{00000000-0005-0000-0000-0000256D0000}"/>
    <cellStyle name="40 % - Markeringsfarve4 2 2 6 4 2 2 2" xfId="34869" xr:uid="{00000000-0005-0000-0000-0000266D0000}"/>
    <cellStyle name="40 % - Markeringsfarve4 2 2 6 4 2 2 3" xfId="49828" xr:uid="{00000000-0005-0000-0000-0000276D0000}"/>
    <cellStyle name="40 % - Markeringsfarve4 2 2 6 4 2 3" xfId="27867" xr:uid="{00000000-0005-0000-0000-0000286D0000}"/>
    <cellStyle name="40 % - Markeringsfarve4 2 2 6 4 2 4" xfId="42831" xr:uid="{00000000-0005-0000-0000-0000296D0000}"/>
    <cellStyle name="40 % - Markeringsfarve4 2 2 6 4 3" xfId="14631" xr:uid="{00000000-0005-0000-0000-00002A6D0000}"/>
    <cellStyle name="40 % - Markeringsfarve4 2 2 6 4 3 2" xfId="30910" xr:uid="{00000000-0005-0000-0000-00002B6D0000}"/>
    <cellStyle name="40 % - Markeringsfarve4 2 2 6 4 3 3" xfId="45870" xr:uid="{00000000-0005-0000-0000-00002C6D0000}"/>
    <cellStyle name="40 % - Markeringsfarve4 2 2 6 4 4" xfId="23908" xr:uid="{00000000-0005-0000-0000-00002D6D0000}"/>
    <cellStyle name="40 % - Markeringsfarve4 2 2 6 4 5" xfId="38873" xr:uid="{00000000-0005-0000-0000-00002E6D0000}"/>
    <cellStyle name="40 % - Markeringsfarve4 2 2 6 5" xfId="8136" xr:uid="{00000000-0005-0000-0000-00002F6D0000}"/>
    <cellStyle name="40 % - Markeringsfarve4 2 2 6 5 2" xfId="16001" xr:uid="{00000000-0005-0000-0000-0000306D0000}"/>
    <cellStyle name="40 % - Markeringsfarve4 2 2 6 5 2 2" xfId="32277" xr:uid="{00000000-0005-0000-0000-0000316D0000}"/>
    <cellStyle name="40 % - Markeringsfarve4 2 2 6 5 2 3" xfId="47236" xr:uid="{00000000-0005-0000-0000-0000326D0000}"/>
    <cellStyle name="40 % - Markeringsfarve4 2 2 6 5 3" xfId="25275" xr:uid="{00000000-0005-0000-0000-0000336D0000}"/>
    <cellStyle name="40 % - Markeringsfarve4 2 2 6 5 4" xfId="40239" xr:uid="{00000000-0005-0000-0000-0000346D0000}"/>
    <cellStyle name="40 % - Markeringsfarve4 2 2 6 6" xfId="14627" xr:uid="{00000000-0005-0000-0000-0000356D0000}"/>
    <cellStyle name="40 % - Markeringsfarve4 2 2 6 6 2" xfId="30906" xr:uid="{00000000-0005-0000-0000-0000366D0000}"/>
    <cellStyle name="40 % - Markeringsfarve4 2 2 6 6 3" xfId="45866" xr:uid="{00000000-0005-0000-0000-0000376D0000}"/>
    <cellStyle name="40 % - Markeringsfarve4 2 2 6 7" xfId="23904" xr:uid="{00000000-0005-0000-0000-0000386D0000}"/>
    <cellStyle name="40 % - Markeringsfarve4 2 2 6 8" xfId="38869" xr:uid="{00000000-0005-0000-0000-0000396D0000}"/>
    <cellStyle name="40 % - Markeringsfarve4 2 2 7" xfId="6147" xr:uid="{00000000-0005-0000-0000-00003A6D0000}"/>
    <cellStyle name="40 % - Markeringsfarve4 2 2 7 2" xfId="6148" xr:uid="{00000000-0005-0000-0000-00003B6D0000}"/>
    <cellStyle name="40 % - Markeringsfarve4 2 2 7 2 2" xfId="9767" xr:uid="{00000000-0005-0000-0000-00003C6D0000}"/>
    <cellStyle name="40 % - Markeringsfarve4 2 2 7 2 2 2" xfId="17621" xr:uid="{00000000-0005-0000-0000-00003D6D0000}"/>
    <cellStyle name="40 % - Markeringsfarve4 2 2 7 2 2 2 2" xfId="33897" xr:uid="{00000000-0005-0000-0000-00003E6D0000}"/>
    <cellStyle name="40 % - Markeringsfarve4 2 2 7 2 2 2 3" xfId="48856" xr:uid="{00000000-0005-0000-0000-00003F6D0000}"/>
    <cellStyle name="40 % - Markeringsfarve4 2 2 7 2 2 3" xfId="26895" xr:uid="{00000000-0005-0000-0000-0000406D0000}"/>
    <cellStyle name="40 % - Markeringsfarve4 2 2 7 2 2 4" xfId="41859" xr:uid="{00000000-0005-0000-0000-0000416D0000}"/>
    <cellStyle name="40 % - Markeringsfarve4 2 2 7 2 3" xfId="14633" xr:uid="{00000000-0005-0000-0000-0000426D0000}"/>
    <cellStyle name="40 % - Markeringsfarve4 2 2 7 2 3 2" xfId="30912" xr:uid="{00000000-0005-0000-0000-0000436D0000}"/>
    <cellStyle name="40 % - Markeringsfarve4 2 2 7 2 3 3" xfId="45872" xr:uid="{00000000-0005-0000-0000-0000446D0000}"/>
    <cellStyle name="40 % - Markeringsfarve4 2 2 7 2 4" xfId="23910" xr:uid="{00000000-0005-0000-0000-0000456D0000}"/>
    <cellStyle name="40 % - Markeringsfarve4 2 2 7 2 5" xfId="38875" xr:uid="{00000000-0005-0000-0000-0000466D0000}"/>
    <cellStyle name="40 % - Markeringsfarve4 2 2 7 3" xfId="8359" xr:uid="{00000000-0005-0000-0000-0000476D0000}"/>
    <cellStyle name="40 % - Markeringsfarve4 2 2 7 3 2" xfId="16229" xr:uid="{00000000-0005-0000-0000-0000486D0000}"/>
    <cellStyle name="40 % - Markeringsfarve4 2 2 7 3 2 2" xfId="32505" xr:uid="{00000000-0005-0000-0000-0000496D0000}"/>
    <cellStyle name="40 % - Markeringsfarve4 2 2 7 3 2 3" xfId="47464" xr:uid="{00000000-0005-0000-0000-00004A6D0000}"/>
    <cellStyle name="40 % - Markeringsfarve4 2 2 7 3 3" xfId="25503" xr:uid="{00000000-0005-0000-0000-00004B6D0000}"/>
    <cellStyle name="40 % - Markeringsfarve4 2 2 7 3 4" xfId="40467" xr:uid="{00000000-0005-0000-0000-00004C6D0000}"/>
    <cellStyle name="40 % - Markeringsfarve4 2 2 7 4" xfId="14632" xr:uid="{00000000-0005-0000-0000-00004D6D0000}"/>
    <cellStyle name="40 % - Markeringsfarve4 2 2 7 4 2" xfId="30911" xr:uid="{00000000-0005-0000-0000-00004E6D0000}"/>
    <cellStyle name="40 % - Markeringsfarve4 2 2 7 4 3" xfId="45871" xr:uid="{00000000-0005-0000-0000-00004F6D0000}"/>
    <cellStyle name="40 % - Markeringsfarve4 2 2 7 5" xfId="23909" xr:uid="{00000000-0005-0000-0000-0000506D0000}"/>
    <cellStyle name="40 % - Markeringsfarve4 2 2 7 6" xfId="38874" xr:uid="{00000000-0005-0000-0000-0000516D0000}"/>
    <cellStyle name="40 % - Markeringsfarve4 2 2 8" xfId="6149" xr:uid="{00000000-0005-0000-0000-0000526D0000}"/>
    <cellStyle name="40 % - Markeringsfarve4 2 2 8 2" xfId="8995" xr:uid="{00000000-0005-0000-0000-0000536D0000}"/>
    <cellStyle name="40 % - Markeringsfarve4 2 2 8 2 2" xfId="16859" xr:uid="{00000000-0005-0000-0000-0000546D0000}"/>
    <cellStyle name="40 % - Markeringsfarve4 2 2 8 2 2 2" xfId="33135" xr:uid="{00000000-0005-0000-0000-0000556D0000}"/>
    <cellStyle name="40 % - Markeringsfarve4 2 2 8 2 2 3" xfId="48094" xr:uid="{00000000-0005-0000-0000-0000566D0000}"/>
    <cellStyle name="40 % - Markeringsfarve4 2 2 8 2 3" xfId="26133" xr:uid="{00000000-0005-0000-0000-0000576D0000}"/>
    <cellStyle name="40 % - Markeringsfarve4 2 2 8 2 4" xfId="41097" xr:uid="{00000000-0005-0000-0000-0000586D0000}"/>
    <cellStyle name="40 % - Markeringsfarve4 2 2 8 3" xfId="14634" xr:uid="{00000000-0005-0000-0000-0000596D0000}"/>
    <cellStyle name="40 % - Markeringsfarve4 2 2 8 3 2" xfId="30913" xr:uid="{00000000-0005-0000-0000-00005A6D0000}"/>
    <cellStyle name="40 % - Markeringsfarve4 2 2 8 3 3" xfId="45873" xr:uid="{00000000-0005-0000-0000-00005B6D0000}"/>
    <cellStyle name="40 % - Markeringsfarve4 2 2 8 4" xfId="23911" xr:uid="{00000000-0005-0000-0000-00005C6D0000}"/>
    <cellStyle name="40 % - Markeringsfarve4 2 2 8 5" xfId="38876" xr:uid="{00000000-0005-0000-0000-00005D6D0000}"/>
    <cellStyle name="40 % - Markeringsfarve4 2 2 9" xfId="6150" xr:uid="{00000000-0005-0000-0000-00005E6D0000}"/>
    <cellStyle name="40 % - Markeringsfarve4 2 2 9 2" xfId="10840" xr:uid="{00000000-0005-0000-0000-00005F6D0000}"/>
    <cellStyle name="40 % - Markeringsfarve4 2 2 9 2 2" xfId="18678" xr:uid="{00000000-0005-0000-0000-0000606D0000}"/>
    <cellStyle name="40 % - Markeringsfarve4 2 2 9 2 2 2" xfId="34954" xr:uid="{00000000-0005-0000-0000-0000616D0000}"/>
    <cellStyle name="40 % - Markeringsfarve4 2 2 9 2 2 3" xfId="49913" xr:uid="{00000000-0005-0000-0000-0000626D0000}"/>
    <cellStyle name="40 % - Markeringsfarve4 2 2 9 2 3" xfId="27952" xr:uid="{00000000-0005-0000-0000-0000636D0000}"/>
    <cellStyle name="40 % - Markeringsfarve4 2 2 9 2 4" xfId="42916" xr:uid="{00000000-0005-0000-0000-0000646D0000}"/>
    <cellStyle name="40 % - Markeringsfarve4 2 2 9 3" xfId="14635" xr:uid="{00000000-0005-0000-0000-0000656D0000}"/>
    <cellStyle name="40 % - Markeringsfarve4 2 2 9 3 2" xfId="30914" xr:uid="{00000000-0005-0000-0000-0000666D0000}"/>
    <cellStyle name="40 % - Markeringsfarve4 2 2 9 3 3" xfId="45874" xr:uid="{00000000-0005-0000-0000-0000676D0000}"/>
    <cellStyle name="40 % - Markeringsfarve4 2 2 9 4" xfId="23912" xr:uid="{00000000-0005-0000-0000-0000686D0000}"/>
    <cellStyle name="40 % - Markeringsfarve4 2 2 9 5" xfId="38877" xr:uid="{00000000-0005-0000-0000-0000696D0000}"/>
    <cellStyle name="40 % - Markeringsfarve4 2 3" xfId="6151" xr:uid="{00000000-0005-0000-0000-00006A6D0000}"/>
    <cellStyle name="40 % - Markeringsfarve4 2 3 10" xfId="8137" xr:uid="{00000000-0005-0000-0000-00006B6D0000}"/>
    <cellStyle name="40 % - Markeringsfarve4 2 3 10 2" xfId="16002" xr:uid="{00000000-0005-0000-0000-00006C6D0000}"/>
    <cellStyle name="40 % - Markeringsfarve4 2 3 10 2 2" xfId="32278" xr:uid="{00000000-0005-0000-0000-00006D6D0000}"/>
    <cellStyle name="40 % - Markeringsfarve4 2 3 10 2 3" xfId="47237" xr:uid="{00000000-0005-0000-0000-00006E6D0000}"/>
    <cellStyle name="40 % - Markeringsfarve4 2 3 10 3" xfId="25276" xr:uid="{00000000-0005-0000-0000-00006F6D0000}"/>
    <cellStyle name="40 % - Markeringsfarve4 2 3 10 4" xfId="40240" xr:uid="{00000000-0005-0000-0000-0000706D0000}"/>
    <cellStyle name="40 % - Markeringsfarve4 2 3 11" xfId="14636" xr:uid="{00000000-0005-0000-0000-0000716D0000}"/>
    <cellStyle name="40 % - Markeringsfarve4 2 3 11 2" xfId="30915" xr:uid="{00000000-0005-0000-0000-0000726D0000}"/>
    <cellStyle name="40 % - Markeringsfarve4 2 3 11 3" xfId="45875" xr:uid="{00000000-0005-0000-0000-0000736D0000}"/>
    <cellStyle name="40 % - Markeringsfarve4 2 3 12" xfId="23913" xr:uid="{00000000-0005-0000-0000-0000746D0000}"/>
    <cellStyle name="40 % - Markeringsfarve4 2 3 13" xfId="38878" xr:uid="{00000000-0005-0000-0000-0000756D0000}"/>
    <cellStyle name="40 % - Markeringsfarve4 2 3 2" xfId="6152" xr:uid="{00000000-0005-0000-0000-0000766D0000}"/>
    <cellStyle name="40 % - Markeringsfarve4 2 3 2 2" xfId="6153" xr:uid="{00000000-0005-0000-0000-0000776D0000}"/>
    <cellStyle name="40 % - Markeringsfarve4 2 3 2 2 2" xfId="6154" xr:uid="{00000000-0005-0000-0000-0000786D0000}"/>
    <cellStyle name="40 % - Markeringsfarve4 2 3 2 2 2 2" xfId="9924" xr:uid="{00000000-0005-0000-0000-0000796D0000}"/>
    <cellStyle name="40 % - Markeringsfarve4 2 3 2 2 2 2 2" xfId="17779" xr:uid="{00000000-0005-0000-0000-00007A6D0000}"/>
    <cellStyle name="40 % - Markeringsfarve4 2 3 2 2 2 2 2 2" xfId="34055" xr:uid="{00000000-0005-0000-0000-00007B6D0000}"/>
    <cellStyle name="40 % - Markeringsfarve4 2 3 2 2 2 2 2 3" xfId="49014" xr:uid="{00000000-0005-0000-0000-00007C6D0000}"/>
    <cellStyle name="40 % - Markeringsfarve4 2 3 2 2 2 2 3" xfId="27053" xr:uid="{00000000-0005-0000-0000-00007D6D0000}"/>
    <cellStyle name="40 % - Markeringsfarve4 2 3 2 2 2 2 4" xfId="42017" xr:uid="{00000000-0005-0000-0000-00007E6D0000}"/>
    <cellStyle name="40 % - Markeringsfarve4 2 3 2 2 2 3" xfId="14639" xr:uid="{00000000-0005-0000-0000-00007F6D0000}"/>
    <cellStyle name="40 % - Markeringsfarve4 2 3 2 2 2 3 2" xfId="30918" xr:uid="{00000000-0005-0000-0000-0000806D0000}"/>
    <cellStyle name="40 % - Markeringsfarve4 2 3 2 2 2 3 3" xfId="45878" xr:uid="{00000000-0005-0000-0000-0000816D0000}"/>
    <cellStyle name="40 % - Markeringsfarve4 2 3 2 2 2 4" xfId="23916" xr:uid="{00000000-0005-0000-0000-0000826D0000}"/>
    <cellStyle name="40 % - Markeringsfarve4 2 3 2 2 2 5" xfId="38881" xr:uid="{00000000-0005-0000-0000-0000836D0000}"/>
    <cellStyle name="40 % - Markeringsfarve4 2 3 2 2 3" xfId="8491" xr:uid="{00000000-0005-0000-0000-0000846D0000}"/>
    <cellStyle name="40 % - Markeringsfarve4 2 3 2 2 3 2" xfId="16361" xr:uid="{00000000-0005-0000-0000-0000856D0000}"/>
    <cellStyle name="40 % - Markeringsfarve4 2 3 2 2 3 2 2" xfId="32637" xr:uid="{00000000-0005-0000-0000-0000866D0000}"/>
    <cellStyle name="40 % - Markeringsfarve4 2 3 2 2 3 2 3" xfId="47596" xr:uid="{00000000-0005-0000-0000-0000876D0000}"/>
    <cellStyle name="40 % - Markeringsfarve4 2 3 2 2 3 3" xfId="25635" xr:uid="{00000000-0005-0000-0000-0000886D0000}"/>
    <cellStyle name="40 % - Markeringsfarve4 2 3 2 2 3 4" xfId="40599" xr:uid="{00000000-0005-0000-0000-0000896D0000}"/>
    <cellStyle name="40 % - Markeringsfarve4 2 3 2 2 4" xfId="14638" xr:uid="{00000000-0005-0000-0000-00008A6D0000}"/>
    <cellStyle name="40 % - Markeringsfarve4 2 3 2 2 4 2" xfId="30917" xr:uid="{00000000-0005-0000-0000-00008B6D0000}"/>
    <cellStyle name="40 % - Markeringsfarve4 2 3 2 2 4 3" xfId="45877" xr:uid="{00000000-0005-0000-0000-00008C6D0000}"/>
    <cellStyle name="40 % - Markeringsfarve4 2 3 2 2 5" xfId="23915" xr:uid="{00000000-0005-0000-0000-00008D6D0000}"/>
    <cellStyle name="40 % - Markeringsfarve4 2 3 2 2 6" xfId="38880" xr:uid="{00000000-0005-0000-0000-00008E6D0000}"/>
    <cellStyle name="40 % - Markeringsfarve4 2 3 2 3" xfId="6155" xr:uid="{00000000-0005-0000-0000-00008F6D0000}"/>
    <cellStyle name="40 % - Markeringsfarve4 2 3 2 3 2" xfId="9155" xr:uid="{00000000-0005-0000-0000-0000906D0000}"/>
    <cellStyle name="40 % - Markeringsfarve4 2 3 2 3 2 2" xfId="17019" xr:uid="{00000000-0005-0000-0000-0000916D0000}"/>
    <cellStyle name="40 % - Markeringsfarve4 2 3 2 3 2 2 2" xfId="33295" xr:uid="{00000000-0005-0000-0000-0000926D0000}"/>
    <cellStyle name="40 % - Markeringsfarve4 2 3 2 3 2 2 3" xfId="48254" xr:uid="{00000000-0005-0000-0000-0000936D0000}"/>
    <cellStyle name="40 % - Markeringsfarve4 2 3 2 3 2 3" xfId="26293" xr:uid="{00000000-0005-0000-0000-0000946D0000}"/>
    <cellStyle name="40 % - Markeringsfarve4 2 3 2 3 2 4" xfId="41257" xr:uid="{00000000-0005-0000-0000-0000956D0000}"/>
    <cellStyle name="40 % - Markeringsfarve4 2 3 2 3 3" xfId="14640" xr:uid="{00000000-0005-0000-0000-0000966D0000}"/>
    <cellStyle name="40 % - Markeringsfarve4 2 3 2 3 3 2" xfId="30919" xr:uid="{00000000-0005-0000-0000-0000976D0000}"/>
    <cellStyle name="40 % - Markeringsfarve4 2 3 2 3 3 3" xfId="45879" xr:uid="{00000000-0005-0000-0000-0000986D0000}"/>
    <cellStyle name="40 % - Markeringsfarve4 2 3 2 3 4" xfId="23917" xr:uid="{00000000-0005-0000-0000-0000996D0000}"/>
    <cellStyle name="40 % - Markeringsfarve4 2 3 2 3 5" xfId="38882" xr:uid="{00000000-0005-0000-0000-00009A6D0000}"/>
    <cellStyle name="40 % - Markeringsfarve4 2 3 2 4" xfId="6156" xr:uid="{00000000-0005-0000-0000-00009B6D0000}"/>
    <cellStyle name="40 % - Markeringsfarve4 2 3 2 4 2" xfId="10693" xr:uid="{00000000-0005-0000-0000-00009C6D0000}"/>
    <cellStyle name="40 % - Markeringsfarve4 2 3 2 4 2 2" xfId="18537" xr:uid="{00000000-0005-0000-0000-00009D6D0000}"/>
    <cellStyle name="40 % - Markeringsfarve4 2 3 2 4 2 2 2" xfId="34813" xr:uid="{00000000-0005-0000-0000-00009E6D0000}"/>
    <cellStyle name="40 % - Markeringsfarve4 2 3 2 4 2 2 3" xfId="49772" xr:uid="{00000000-0005-0000-0000-00009F6D0000}"/>
    <cellStyle name="40 % - Markeringsfarve4 2 3 2 4 2 3" xfId="27811" xr:uid="{00000000-0005-0000-0000-0000A06D0000}"/>
    <cellStyle name="40 % - Markeringsfarve4 2 3 2 4 2 4" xfId="42775" xr:uid="{00000000-0005-0000-0000-0000A16D0000}"/>
    <cellStyle name="40 % - Markeringsfarve4 2 3 2 4 3" xfId="14641" xr:uid="{00000000-0005-0000-0000-0000A26D0000}"/>
    <cellStyle name="40 % - Markeringsfarve4 2 3 2 4 3 2" xfId="30920" xr:uid="{00000000-0005-0000-0000-0000A36D0000}"/>
    <cellStyle name="40 % - Markeringsfarve4 2 3 2 4 3 3" xfId="45880" xr:uid="{00000000-0005-0000-0000-0000A46D0000}"/>
    <cellStyle name="40 % - Markeringsfarve4 2 3 2 4 4" xfId="23918" xr:uid="{00000000-0005-0000-0000-0000A56D0000}"/>
    <cellStyle name="40 % - Markeringsfarve4 2 3 2 4 5" xfId="38883" xr:uid="{00000000-0005-0000-0000-0000A66D0000}"/>
    <cellStyle name="40 % - Markeringsfarve4 2 3 2 5" xfId="8138" xr:uid="{00000000-0005-0000-0000-0000A76D0000}"/>
    <cellStyle name="40 % - Markeringsfarve4 2 3 2 5 2" xfId="16003" xr:uid="{00000000-0005-0000-0000-0000A86D0000}"/>
    <cellStyle name="40 % - Markeringsfarve4 2 3 2 5 2 2" xfId="32279" xr:uid="{00000000-0005-0000-0000-0000A96D0000}"/>
    <cellStyle name="40 % - Markeringsfarve4 2 3 2 5 2 3" xfId="47238" xr:uid="{00000000-0005-0000-0000-0000AA6D0000}"/>
    <cellStyle name="40 % - Markeringsfarve4 2 3 2 5 3" xfId="25277" xr:uid="{00000000-0005-0000-0000-0000AB6D0000}"/>
    <cellStyle name="40 % - Markeringsfarve4 2 3 2 5 4" xfId="40241" xr:uid="{00000000-0005-0000-0000-0000AC6D0000}"/>
    <cellStyle name="40 % - Markeringsfarve4 2 3 2 6" xfId="14637" xr:uid="{00000000-0005-0000-0000-0000AD6D0000}"/>
    <cellStyle name="40 % - Markeringsfarve4 2 3 2 6 2" xfId="30916" xr:uid="{00000000-0005-0000-0000-0000AE6D0000}"/>
    <cellStyle name="40 % - Markeringsfarve4 2 3 2 6 3" xfId="45876" xr:uid="{00000000-0005-0000-0000-0000AF6D0000}"/>
    <cellStyle name="40 % - Markeringsfarve4 2 3 2 7" xfId="23914" xr:uid="{00000000-0005-0000-0000-0000B06D0000}"/>
    <cellStyle name="40 % - Markeringsfarve4 2 3 2 8" xfId="38879" xr:uid="{00000000-0005-0000-0000-0000B16D0000}"/>
    <cellStyle name="40 % - Markeringsfarve4 2 3 3" xfId="6157" xr:uid="{00000000-0005-0000-0000-0000B26D0000}"/>
    <cellStyle name="40 % - Markeringsfarve4 2 3 3 2" xfId="6158" xr:uid="{00000000-0005-0000-0000-0000B36D0000}"/>
    <cellStyle name="40 % - Markeringsfarve4 2 3 3 2 2" xfId="6159" xr:uid="{00000000-0005-0000-0000-0000B46D0000}"/>
    <cellStyle name="40 % - Markeringsfarve4 2 3 3 2 2 2" xfId="10015" xr:uid="{00000000-0005-0000-0000-0000B56D0000}"/>
    <cellStyle name="40 % - Markeringsfarve4 2 3 3 2 2 2 2" xfId="17870" xr:uid="{00000000-0005-0000-0000-0000B66D0000}"/>
    <cellStyle name="40 % - Markeringsfarve4 2 3 3 2 2 2 2 2" xfId="34146" xr:uid="{00000000-0005-0000-0000-0000B76D0000}"/>
    <cellStyle name="40 % - Markeringsfarve4 2 3 3 2 2 2 2 3" xfId="49105" xr:uid="{00000000-0005-0000-0000-0000B86D0000}"/>
    <cellStyle name="40 % - Markeringsfarve4 2 3 3 2 2 2 3" xfId="27144" xr:uid="{00000000-0005-0000-0000-0000B96D0000}"/>
    <cellStyle name="40 % - Markeringsfarve4 2 3 3 2 2 2 4" xfId="42108" xr:uid="{00000000-0005-0000-0000-0000BA6D0000}"/>
    <cellStyle name="40 % - Markeringsfarve4 2 3 3 2 2 3" xfId="14644" xr:uid="{00000000-0005-0000-0000-0000BB6D0000}"/>
    <cellStyle name="40 % - Markeringsfarve4 2 3 3 2 2 3 2" xfId="30923" xr:uid="{00000000-0005-0000-0000-0000BC6D0000}"/>
    <cellStyle name="40 % - Markeringsfarve4 2 3 3 2 2 3 3" xfId="45883" xr:uid="{00000000-0005-0000-0000-0000BD6D0000}"/>
    <cellStyle name="40 % - Markeringsfarve4 2 3 3 2 2 4" xfId="23921" xr:uid="{00000000-0005-0000-0000-0000BE6D0000}"/>
    <cellStyle name="40 % - Markeringsfarve4 2 3 3 2 2 5" xfId="38886" xr:uid="{00000000-0005-0000-0000-0000BF6D0000}"/>
    <cellStyle name="40 % - Markeringsfarve4 2 3 3 2 3" xfId="8562" xr:uid="{00000000-0005-0000-0000-0000C06D0000}"/>
    <cellStyle name="40 % - Markeringsfarve4 2 3 3 2 3 2" xfId="16432" xr:uid="{00000000-0005-0000-0000-0000C16D0000}"/>
    <cellStyle name="40 % - Markeringsfarve4 2 3 3 2 3 2 2" xfId="32708" xr:uid="{00000000-0005-0000-0000-0000C26D0000}"/>
    <cellStyle name="40 % - Markeringsfarve4 2 3 3 2 3 2 3" xfId="47667" xr:uid="{00000000-0005-0000-0000-0000C36D0000}"/>
    <cellStyle name="40 % - Markeringsfarve4 2 3 3 2 3 3" xfId="25706" xr:uid="{00000000-0005-0000-0000-0000C46D0000}"/>
    <cellStyle name="40 % - Markeringsfarve4 2 3 3 2 3 4" xfId="40670" xr:uid="{00000000-0005-0000-0000-0000C56D0000}"/>
    <cellStyle name="40 % - Markeringsfarve4 2 3 3 2 4" xfId="14643" xr:uid="{00000000-0005-0000-0000-0000C66D0000}"/>
    <cellStyle name="40 % - Markeringsfarve4 2 3 3 2 4 2" xfId="30922" xr:uid="{00000000-0005-0000-0000-0000C76D0000}"/>
    <cellStyle name="40 % - Markeringsfarve4 2 3 3 2 4 3" xfId="45882" xr:uid="{00000000-0005-0000-0000-0000C86D0000}"/>
    <cellStyle name="40 % - Markeringsfarve4 2 3 3 2 5" xfId="23920" xr:uid="{00000000-0005-0000-0000-0000C96D0000}"/>
    <cellStyle name="40 % - Markeringsfarve4 2 3 3 2 6" xfId="38885" xr:uid="{00000000-0005-0000-0000-0000CA6D0000}"/>
    <cellStyle name="40 % - Markeringsfarve4 2 3 3 3" xfId="6160" xr:uid="{00000000-0005-0000-0000-0000CB6D0000}"/>
    <cellStyle name="40 % - Markeringsfarve4 2 3 3 3 2" xfId="9246" xr:uid="{00000000-0005-0000-0000-0000CC6D0000}"/>
    <cellStyle name="40 % - Markeringsfarve4 2 3 3 3 2 2" xfId="17110" xr:uid="{00000000-0005-0000-0000-0000CD6D0000}"/>
    <cellStyle name="40 % - Markeringsfarve4 2 3 3 3 2 2 2" xfId="33386" xr:uid="{00000000-0005-0000-0000-0000CE6D0000}"/>
    <cellStyle name="40 % - Markeringsfarve4 2 3 3 3 2 2 3" xfId="48345" xr:uid="{00000000-0005-0000-0000-0000CF6D0000}"/>
    <cellStyle name="40 % - Markeringsfarve4 2 3 3 3 2 3" xfId="26384" xr:uid="{00000000-0005-0000-0000-0000D06D0000}"/>
    <cellStyle name="40 % - Markeringsfarve4 2 3 3 3 2 4" xfId="41348" xr:uid="{00000000-0005-0000-0000-0000D16D0000}"/>
    <cellStyle name="40 % - Markeringsfarve4 2 3 3 3 3" xfId="14645" xr:uid="{00000000-0005-0000-0000-0000D26D0000}"/>
    <cellStyle name="40 % - Markeringsfarve4 2 3 3 3 3 2" xfId="30924" xr:uid="{00000000-0005-0000-0000-0000D36D0000}"/>
    <cellStyle name="40 % - Markeringsfarve4 2 3 3 3 3 3" xfId="45884" xr:uid="{00000000-0005-0000-0000-0000D46D0000}"/>
    <cellStyle name="40 % - Markeringsfarve4 2 3 3 3 4" xfId="23922" xr:uid="{00000000-0005-0000-0000-0000D56D0000}"/>
    <cellStyle name="40 % - Markeringsfarve4 2 3 3 3 5" xfId="38887" xr:uid="{00000000-0005-0000-0000-0000D66D0000}"/>
    <cellStyle name="40 % - Markeringsfarve4 2 3 3 4" xfId="6161" xr:uid="{00000000-0005-0000-0000-0000D76D0000}"/>
    <cellStyle name="40 % - Markeringsfarve4 2 3 3 4 2" xfId="10923" xr:uid="{00000000-0005-0000-0000-0000D86D0000}"/>
    <cellStyle name="40 % - Markeringsfarve4 2 3 3 4 2 2" xfId="18758" xr:uid="{00000000-0005-0000-0000-0000D96D0000}"/>
    <cellStyle name="40 % - Markeringsfarve4 2 3 3 4 2 2 2" xfId="35034" xr:uid="{00000000-0005-0000-0000-0000DA6D0000}"/>
    <cellStyle name="40 % - Markeringsfarve4 2 3 3 4 2 2 3" xfId="49993" xr:uid="{00000000-0005-0000-0000-0000DB6D0000}"/>
    <cellStyle name="40 % - Markeringsfarve4 2 3 3 4 2 3" xfId="28032" xr:uid="{00000000-0005-0000-0000-0000DC6D0000}"/>
    <cellStyle name="40 % - Markeringsfarve4 2 3 3 4 2 4" xfId="42996" xr:uid="{00000000-0005-0000-0000-0000DD6D0000}"/>
    <cellStyle name="40 % - Markeringsfarve4 2 3 3 4 3" xfId="14646" xr:uid="{00000000-0005-0000-0000-0000DE6D0000}"/>
    <cellStyle name="40 % - Markeringsfarve4 2 3 3 4 3 2" xfId="30925" xr:uid="{00000000-0005-0000-0000-0000DF6D0000}"/>
    <cellStyle name="40 % - Markeringsfarve4 2 3 3 4 3 3" xfId="45885" xr:uid="{00000000-0005-0000-0000-0000E06D0000}"/>
    <cellStyle name="40 % - Markeringsfarve4 2 3 3 4 4" xfId="23923" xr:uid="{00000000-0005-0000-0000-0000E16D0000}"/>
    <cellStyle name="40 % - Markeringsfarve4 2 3 3 4 5" xfId="38888" xr:uid="{00000000-0005-0000-0000-0000E26D0000}"/>
    <cellStyle name="40 % - Markeringsfarve4 2 3 3 5" xfId="8139" xr:uid="{00000000-0005-0000-0000-0000E36D0000}"/>
    <cellStyle name="40 % - Markeringsfarve4 2 3 3 5 2" xfId="16004" xr:uid="{00000000-0005-0000-0000-0000E46D0000}"/>
    <cellStyle name="40 % - Markeringsfarve4 2 3 3 5 2 2" xfId="32280" xr:uid="{00000000-0005-0000-0000-0000E56D0000}"/>
    <cellStyle name="40 % - Markeringsfarve4 2 3 3 5 2 3" xfId="47239" xr:uid="{00000000-0005-0000-0000-0000E66D0000}"/>
    <cellStyle name="40 % - Markeringsfarve4 2 3 3 5 3" xfId="25278" xr:uid="{00000000-0005-0000-0000-0000E76D0000}"/>
    <cellStyle name="40 % - Markeringsfarve4 2 3 3 5 4" xfId="40242" xr:uid="{00000000-0005-0000-0000-0000E86D0000}"/>
    <cellStyle name="40 % - Markeringsfarve4 2 3 3 6" xfId="14642" xr:uid="{00000000-0005-0000-0000-0000E96D0000}"/>
    <cellStyle name="40 % - Markeringsfarve4 2 3 3 6 2" xfId="30921" xr:uid="{00000000-0005-0000-0000-0000EA6D0000}"/>
    <cellStyle name="40 % - Markeringsfarve4 2 3 3 6 3" xfId="45881" xr:uid="{00000000-0005-0000-0000-0000EB6D0000}"/>
    <cellStyle name="40 % - Markeringsfarve4 2 3 3 7" xfId="23919" xr:uid="{00000000-0005-0000-0000-0000EC6D0000}"/>
    <cellStyle name="40 % - Markeringsfarve4 2 3 3 8" xfId="38884" xr:uid="{00000000-0005-0000-0000-0000ED6D0000}"/>
    <cellStyle name="40 % - Markeringsfarve4 2 3 4" xfId="6162" xr:uid="{00000000-0005-0000-0000-0000EE6D0000}"/>
    <cellStyle name="40 % - Markeringsfarve4 2 3 4 2" xfId="6163" xr:uid="{00000000-0005-0000-0000-0000EF6D0000}"/>
    <cellStyle name="40 % - Markeringsfarve4 2 3 4 2 2" xfId="6164" xr:uid="{00000000-0005-0000-0000-0000F06D0000}"/>
    <cellStyle name="40 % - Markeringsfarve4 2 3 4 2 2 2" xfId="10162" xr:uid="{00000000-0005-0000-0000-0000F16D0000}"/>
    <cellStyle name="40 % - Markeringsfarve4 2 3 4 2 2 2 2" xfId="18017" xr:uid="{00000000-0005-0000-0000-0000F26D0000}"/>
    <cellStyle name="40 % - Markeringsfarve4 2 3 4 2 2 2 2 2" xfId="34293" xr:uid="{00000000-0005-0000-0000-0000F36D0000}"/>
    <cellStyle name="40 % - Markeringsfarve4 2 3 4 2 2 2 2 3" xfId="49252" xr:uid="{00000000-0005-0000-0000-0000F46D0000}"/>
    <cellStyle name="40 % - Markeringsfarve4 2 3 4 2 2 2 3" xfId="27291" xr:uid="{00000000-0005-0000-0000-0000F56D0000}"/>
    <cellStyle name="40 % - Markeringsfarve4 2 3 4 2 2 2 4" xfId="42255" xr:uid="{00000000-0005-0000-0000-0000F66D0000}"/>
    <cellStyle name="40 % - Markeringsfarve4 2 3 4 2 2 3" xfId="14649" xr:uid="{00000000-0005-0000-0000-0000F76D0000}"/>
    <cellStyle name="40 % - Markeringsfarve4 2 3 4 2 2 3 2" xfId="30928" xr:uid="{00000000-0005-0000-0000-0000F86D0000}"/>
    <cellStyle name="40 % - Markeringsfarve4 2 3 4 2 2 3 3" xfId="45888" xr:uid="{00000000-0005-0000-0000-0000F96D0000}"/>
    <cellStyle name="40 % - Markeringsfarve4 2 3 4 2 2 4" xfId="23926" xr:uid="{00000000-0005-0000-0000-0000FA6D0000}"/>
    <cellStyle name="40 % - Markeringsfarve4 2 3 4 2 2 5" xfId="38891" xr:uid="{00000000-0005-0000-0000-0000FB6D0000}"/>
    <cellStyle name="40 % - Markeringsfarve4 2 3 4 2 3" xfId="8693" xr:uid="{00000000-0005-0000-0000-0000FC6D0000}"/>
    <cellStyle name="40 % - Markeringsfarve4 2 3 4 2 3 2" xfId="16560" xr:uid="{00000000-0005-0000-0000-0000FD6D0000}"/>
    <cellStyle name="40 % - Markeringsfarve4 2 3 4 2 3 2 2" xfId="32836" xr:uid="{00000000-0005-0000-0000-0000FE6D0000}"/>
    <cellStyle name="40 % - Markeringsfarve4 2 3 4 2 3 2 3" xfId="47795" xr:uid="{00000000-0005-0000-0000-0000FF6D0000}"/>
    <cellStyle name="40 % - Markeringsfarve4 2 3 4 2 3 3" xfId="25834" xr:uid="{00000000-0005-0000-0000-0000006E0000}"/>
    <cellStyle name="40 % - Markeringsfarve4 2 3 4 2 3 4" xfId="40798" xr:uid="{00000000-0005-0000-0000-0000016E0000}"/>
    <cellStyle name="40 % - Markeringsfarve4 2 3 4 2 4" xfId="14648" xr:uid="{00000000-0005-0000-0000-0000026E0000}"/>
    <cellStyle name="40 % - Markeringsfarve4 2 3 4 2 4 2" xfId="30927" xr:uid="{00000000-0005-0000-0000-0000036E0000}"/>
    <cellStyle name="40 % - Markeringsfarve4 2 3 4 2 4 3" xfId="45887" xr:uid="{00000000-0005-0000-0000-0000046E0000}"/>
    <cellStyle name="40 % - Markeringsfarve4 2 3 4 2 5" xfId="23925" xr:uid="{00000000-0005-0000-0000-0000056E0000}"/>
    <cellStyle name="40 % - Markeringsfarve4 2 3 4 2 6" xfId="38890" xr:uid="{00000000-0005-0000-0000-0000066E0000}"/>
    <cellStyle name="40 % - Markeringsfarve4 2 3 4 3" xfId="6165" xr:uid="{00000000-0005-0000-0000-0000076E0000}"/>
    <cellStyle name="40 % - Markeringsfarve4 2 3 4 3 2" xfId="9439" xr:uid="{00000000-0005-0000-0000-0000086E0000}"/>
    <cellStyle name="40 % - Markeringsfarve4 2 3 4 3 2 2" xfId="17302" xr:uid="{00000000-0005-0000-0000-0000096E0000}"/>
    <cellStyle name="40 % - Markeringsfarve4 2 3 4 3 2 2 2" xfId="33578" xr:uid="{00000000-0005-0000-0000-00000A6E0000}"/>
    <cellStyle name="40 % - Markeringsfarve4 2 3 4 3 2 2 3" xfId="48537" xr:uid="{00000000-0005-0000-0000-00000B6E0000}"/>
    <cellStyle name="40 % - Markeringsfarve4 2 3 4 3 2 3" xfId="26576" xr:uid="{00000000-0005-0000-0000-00000C6E0000}"/>
    <cellStyle name="40 % - Markeringsfarve4 2 3 4 3 2 4" xfId="41540" xr:uid="{00000000-0005-0000-0000-00000D6E0000}"/>
    <cellStyle name="40 % - Markeringsfarve4 2 3 4 3 3" xfId="14650" xr:uid="{00000000-0005-0000-0000-00000E6E0000}"/>
    <cellStyle name="40 % - Markeringsfarve4 2 3 4 3 3 2" xfId="30929" xr:uid="{00000000-0005-0000-0000-00000F6E0000}"/>
    <cellStyle name="40 % - Markeringsfarve4 2 3 4 3 3 3" xfId="45889" xr:uid="{00000000-0005-0000-0000-0000106E0000}"/>
    <cellStyle name="40 % - Markeringsfarve4 2 3 4 3 4" xfId="23927" xr:uid="{00000000-0005-0000-0000-0000116E0000}"/>
    <cellStyle name="40 % - Markeringsfarve4 2 3 4 3 5" xfId="38892" xr:uid="{00000000-0005-0000-0000-0000126E0000}"/>
    <cellStyle name="40 % - Markeringsfarve4 2 3 4 4" xfId="6166" xr:uid="{00000000-0005-0000-0000-0000136E0000}"/>
    <cellStyle name="40 % - Markeringsfarve4 2 3 4 4 2" xfId="10648" xr:uid="{00000000-0005-0000-0000-0000146E0000}"/>
    <cellStyle name="40 % - Markeringsfarve4 2 3 4 4 2 2" xfId="18495" xr:uid="{00000000-0005-0000-0000-0000156E0000}"/>
    <cellStyle name="40 % - Markeringsfarve4 2 3 4 4 2 2 2" xfId="34771" xr:uid="{00000000-0005-0000-0000-0000166E0000}"/>
    <cellStyle name="40 % - Markeringsfarve4 2 3 4 4 2 2 3" xfId="49730" xr:uid="{00000000-0005-0000-0000-0000176E0000}"/>
    <cellStyle name="40 % - Markeringsfarve4 2 3 4 4 2 3" xfId="27769" xr:uid="{00000000-0005-0000-0000-0000186E0000}"/>
    <cellStyle name="40 % - Markeringsfarve4 2 3 4 4 2 4" xfId="42733" xr:uid="{00000000-0005-0000-0000-0000196E0000}"/>
    <cellStyle name="40 % - Markeringsfarve4 2 3 4 4 3" xfId="14651" xr:uid="{00000000-0005-0000-0000-00001A6E0000}"/>
    <cellStyle name="40 % - Markeringsfarve4 2 3 4 4 3 2" xfId="30930" xr:uid="{00000000-0005-0000-0000-00001B6E0000}"/>
    <cellStyle name="40 % - Markeringsfarve4 2 3 4 4 3 3" xfId="45890" xr:uid="{00000000-0005-0000-0000-00001C6E0000}"/>
    <cellStyle name="40 % - Markeringsfarve4 2 3 4 4 4" xfId="23928" xr:uid="{00000000-0005-0000-0000-00001D6E0000}"/>
    <cellStyle name="40 % - Markeringsfarve4 2 3 4 4 5" xfId="38893" xr:uid="{00000000-0005-0000-0000-00001E6E0000}"/>
    <cellStyle name="40 % - Markeringsfarve4 2 3 4 5" xfId="8140" xr:uid="{00000000-0005-0000-0000-00001F6E0000}"/>
    <cellStyle name="40 % - Markeringsfarve4 2 3 4 5 2" xfId="16005" xr:uid="{00000000-0005-0000-0000-0000206E0000}"/>
    <cellStyle name="40 % - Markeringsfarve4 2 3 4 5 2 2" xfId="32281" xr:uid="{00000000-0005-0000-0000-0000216E0000}"/>
    <cellStyle name="40 % - Markeringsfarve4 2 3 4 5 2 3" xfId="47240" xr:uid="{00000000-0005-0000-0000-0000226E0000}"/>
    <cellStyle name="40 % - Markeringsfarve4 2 3 4 5 3" xfId="25279" xr:uid="{00000000-0005-0000-0000-0000236E0000}"/>
    <cellStyle name="40 % - Markeringsfarve4 2 3 4 5 4" xfId="40243" xr:uid="{00000000-0005-0000-0000-0000246E0000}"/>
    <cellStyle name="40 % - Markeringsfarve4 2 3 4 6" xfId="14647" xr:uid="{00000000-0005-0000-0000-0000256E0000}"/>
    <cellStyle name="40 % - Markeringsfarve4 2 3 4 6 2" xfId="30926" xr:uid="{00000000-0005-0000-0000-0000266E0000}"/>
    <cellStyle name="40 % - Markeringsfarve4 2 3 4 6 3" xfId="45886" xr:uid="{00000000-0005-0000-0000-0000276E0000}"/>
    <cellStyle name="40 % - Markeringsfarve4 2 3 4 7" xfId="23924" xr:uid="{00000000-0005-0000-0000-0000286E0000}"/>
    <cellStyle name="40 % - Markeringsfarve4 2 3 4 8" xfId="38889" xr:uid="{00000000-0005-0000-0000-0000296E0000}"/>
    <cellStyle name="40 % - Markeringsfarve4 2 3 5" xfId="6167" xr:uid="{00000000-0005-0000-0000-00002A6E0000}"/>
    <cellStyle name="40 % - Markeringsfarve4 2 3 5 2" xfId="6168" xr:uid="{00000000-0005-0000-0000-00002B6E0000}"/>
    <cellStyle name="40 % - Markeringsfarve4 2 3 5 2 2" xfId="6169" xr:uid="{00000000-0005-0000-0000-00002C6E0000}"/>
    <cellStyle name="40 % - Markeringsfarve4 2 3 5 2 2 2" xfId="10279" xr:uid="{00000000-0005-0000-0000-00002D6E0000}"/>
    <cellStyle name="40 % - Markeringsfarve4 2 3 5 2 2 2 2" xfId="18134" xr:uid="{00000000-0005-0000-0000-00002E6E0000}"/>
    <cellStyle name="40 % - Markeringsfarve4 2 3 5 2 2 2 2 2" xfId="34410" xr:uid="{00000000-0005-0000-0000-00002F6E0000}"/>
    <cellStyle name="40 % - Markeringsfarve4 2 3 5 2 2 2 2 3" xfId="49369" xr:uid="{00000000-0005-0000-0000-0000306E0000}"/>
    <cellStyle name="40 % - Markeringsfarve4 2 3 5 2 2 2 3" xfId="27408" xr:uid="{00000000-0005-0000-0000-0000316E0000}"/>
    <cellStyle name="40 % - Markeringsfarve4 2 3 5 2 2 2 4" xfId="42372" xr:uid="{00000000-0005-0000-0000-0000326E0000}"/>
    <cellStyle name="40 % - Markeringsfarve4 2 3 5 2 2 3" xfId="14654" xr:uid="{00000000-0005-0000-0000-0000336E0000}"/>
    <cellStyle name="40 % - Markeringsfarve4 2 3 5 2 2 3 2" xfId="30933" xr:uid="{00000000-0005-0000-0000-0000346E0000}"/>
    <cellStyle name="40 % - Markeringsfarve4 2 3 5 2 2 3 3" xfId="45893" xr:uid="{00000000-0005-0000-0000-0000356E0000}"/>
    <cellStyle name="40 % - Markeringsfarve4 2 3 5 2 2 4" xfId="23931" xr:uid="{00000000-0005-0000-0000-0000366E0000}"/>
    <cellStyle name="40 % - Markeringsfarve4 2 3 5 2 2 5" xfId="38896" xr:uid="{00000000-0005-0000-0000-0000376E0000}"/>
    <cellStyle name="40 % - Markeringsfarve4 2 3 5 2 3" xfId="8792" xr:uid="{00000000-0005-0000-0000-0000386E0000}"/>
    <cellStyle name="40 % - Markeringsfarve4 2 3 5 2 3 2" xfId="16659" xr:uid="{00000000-0005-0000-0000-0000396E0000}"/>
    <cellStyle name="40 % - Markeringsfarve4 2 3 5 2 3 2 2" xfId="32935" xr:uid="{00000000-0005-0000-0000-00003A6E0000}"/>
    <cellStyle name="40 % - Markeringsfarve4 2 3 5 2 3 2 3" xfId="47894" xr:uid="{00000000-0005-0000-0000-00003B6E0000}"/>
    <cellStyle name="40 % - Markeringsfarve4 2 3 5 2 3 3" xfId="25933" xr:uid="{00000000-0005-0000-0000-00003C6E0000}"/>
    <cellStyle name="40 % - Markeringsfarve4 2 3 5 2 3 4" xfId="40897" xr:uid="{00000000-0005-0000-0000-00003D6E0000}"/>
    <cellStyle name="40 % - Markeringsfarve4 2 3 5 2 4" xfId="14653" xr:uid="{00000000-0005-0000-0000-00003E6E0000}"/>
    <cellStyle name="40 % - Markeringsfarve4 2 3 5 2 4 2" xfId="30932" xr:uid="{00000000-0005-0000-0000-00003F6E0000}"/>
    <cellStyle name="40 % - Markeringsfarve4 2 3 5 2 4 3" xfId="45892" xr:uid="{00000000-0005-0000-0000-0000406E0000}"/>
    <cellStyle name="40 % - Markeringsfarve4 2 3 5 2 5" xfId="23930" xr:uid="{00000000-0005-0000-0000-0000416E0000}"/>
    <cellStyle name="40 % - Markeringsfarve4 2 3 5 2 6" xfId="38895" xr:uid="{00000000-0005-0000-0000-0000426E0000}"/>
    <cellStyle name="40 % - Markeringsfarve4 2 3 5 3" xfId="6170" xr:uid="{00000000-0005-0000-0000-0000436E0000}"/>
    <cellStyle name="40 % - Markeringsfarve4 2 3 5 3 2" xfId="9556" xr:uid="{00000000-0005-0000-0000-0000446E0000}"/>
    <cellStyle name="40 % - Markeringsfarve4 2 3 5 3 2 2" xfId="17419" xr:uid="{00000000-0005-0000-0000-0000456E0000}"/>
    <cellStyle name="40 % - Markeringsfarve4 2 3 5 3 2 2 2" xfId="33695" xr:uid="{00000000-0005-0000-0000-0000466E0000}"/>
    <cellStyle name="40 % - Markeringsfarve4 2 3 5 3 2 2 3" xfId="48654" xr:uid="{00000000-0005-0000-0000-0000476E0000}"/>
    <cellStyle name="40 % - Markeringsfarve4 2 3 5 3 2 3" xfId="26693" xr:uid="{00000000-0005-0000-0000-0000486E0000}"/>
    <cellStyle name="40 % - Markeringsfarve4 2 3 5 3 2 4" xfId="41657" xr:uid="{00000000-0005-0000-0000-0000496E0000}"/>
    <cellStyle name="40 % - Markeringsfarve4 2 3 5 3 3" xfId="14655" xr:uid="{00000000-0005-0000-0000-00004A6E0000}"/>
    <cellStyle name="40 % - Markeringsfarve4 2 3 5 3 3 2" xfId="30934" xr:uid="{00000000-0005-0000-0000-00004B6E0000}"/>
    <cellStyle name="40 % - Markeringsfarve4 2 3 5 3 3 3" xfId="45894" xr:uid="{00000000-0005-0000-0000-00004C6E0000}"/>
    <cellStyle name="40 % - Markeringsfarve4 2 3 5 3 4" xfId="23932" xr:uid="{00000000-0005-0000-0000-00004D6E0000}"/>
    <cellStyle name="40 % - Markeringsfarve4 2 3 5 3 5" xfId="38897" xr:uid="{00000000-0005-0000-0000-00004E6E0000}"/>
    <cellStyle name="40 % - Markeringsfarve4 2 3 5 4" xfId="6171" xr:uid="{00000000-0005-0000-0000-00004F6E0000}"/>
    <cellStyle name="40 % - Markeringsfarve4 2 3 5 4 2" xfId="10883" xr:uid="{00000000-0005-0000-0000-0000506E0000}"/>
    <cellStyle name="40 % - Markeringsfarve4 2 3 5 4 2 2" xfId="18720" xr:uid="{00000000-0005-0000-0000-0000516E0000}"/>
    <cellStyle name="40 % - Markeringsfarve4 2 3 5 4 2 2 2" xfId="34996" xr:uid="{00000000-0005-0000-0000-0000526E0000}"/>
    <cellStyle name="40 % - Markeringsfarve4 2 3 5 4 2 2 3" xfId="49955" xr:uid="{00000000-0005-0000-0000-0000536E0000}"/>
    <cellStyle name="40 % - Markeringsfarve4 2 3 5 4 2 3" xfId="27994" xr:uid="{00000000-0005-0000-0000-0000546E0000}"/>
    <cellStyle name="40 % - Markeringsfarve4 2 3 5 4 2 4" xfId="42958" xr:uid="{00000000-0005-0000-0000-0000556E0000}"/>
    <cellStyle name="40 % - Markeringsfarve4 2 3 5 4 3" xfId="14656" xr:uid="{00000000-0005-0000-0000-0000566E0000}"/>
    <cellStyle name="40 % - Markeringsfarve4 2 3 5 4 3 2" xfId="30935" xr:uid="{00000000-0005-0000-0000-0000576E0000}"/>
    <cellStyle name="40 % - Markeringsfarve4 2 3 5 4 3 3" xfId="45895" xr:uid="{00000000-0005-0000-0000-0000586E0000}"/>
    <cellStyle name="40 % - Markeringsfarve4 2 3 5 4 4" xfId="23933" xr:uid="{00000000-0005-0000-0000-0000596E0000}"/>
    <cellStyle name="40 % - Markeringsfarve4 2 3 5 4 5" xfId="38898" xr:uid="{00000000-0005-0000-0000-00005A6E0000}"/>
    <cellStyle name="40 % - Markeringsfarve4 2 3 5 5" xfId="8141" xr:uid="{00000000-0005-0000-0000-00005B6E0000}"/>
    <cellStyle name="40 % - Markeringsfarve4 2 3 5 5 2" xfId="16006" xr:uid="{00000000-0005-0000-0000-00005C6E0000}"/>
    <cellStyle name="40 % - Markeringsfarve4 2 3 5 5 2 2" xfId="32282" xr:uid="{00000000-0005-0000-0000-00005D6E0000}"/>
    <cellStyle name="40 % - Markeringsfarve4 2 3 5 5 2 3" xfId="47241" xr:uid="{00000000-0005-0000-0000-00005E6E0000}"/>
    <cellStyle name="40 % - Markeringsfarve4 2 3 5 5 3" xfId="25280" xr:uid="{00000000-0005-0000-0000-00005F6E0000}"/>
    <cellStyle name="40 % - Markeringsfarve4 2 3 5 5 4" xfId="40244" xr:uid="{00000000-0005-0000-0000-0000606E0000}"/>
    <cellStyle name="40 % - Markeringsfarve4 2 3 5 6" xfId="14652" xr:uid="{00000000-0005-0000-0000-0000616E0000}"/>
    <cellStyle name="40 % - Markeringsfarve4 2 3 5 6 2" xfId="30931" xr:uid="{00000000-0005-0000-0000-0000626E0000}"/>
    <cellStyle name="40 % - Markeringsfarve4 2 3 5 6 3" xfId="45891" xr:uid="{00000000-0005-0000-0000-0000636E0000}"/>
    <cellStyle name="40 % - Markeringsfarve4 2 3 5 7" xfId="23929" xr:uid="{00000000-0005-0000-0000-0000646E0000}"/>
    <cellStyle name="40 % - Markeringsfarve4 2 3 5 8" xfId="38894" xr:uid="{00000000-0005-0000-0000-0000656E0000}"/>
    <cellStyle name="40 % - Markeringsfarve4 2 3 6" xfId="6172" xr:uid="{00000000-0005-0000-0000-0000666E0000}"/>
    <cellStyle name="40 % - Markeringsfarve4 2 3 6 2" xfId="6173" xr:uid="{00000000-0005-0000-0000-0000676E0000}"/>
    <cellStyle name="40 % - Markeringsfarve4 2 3 6 2 2" xfId="6174" xr:uid="{00000000-0005-0000-0000-0000686E0000}"/>
    <cellStyle name="40 % - Markeringsfarve4 2 3 6 2 2 2" xfId="10369" xr:uid="{00000000-0005-0000-0000-0000696E0000}"/>
    <cellStyle name="40 % - Markeringsfarve4 2 3 6 2 2 2 2" xfId="18224" xr:uid="{00000000-0005-0000-0000-00006A6E0000}"/>
    <cellStyle name="40 % - Markeringsfarve4 2 3 6 2 2 2 2 2" xfId="34500" xr:uid="{00000000-0005-0000-0000-00006B6E0000}"/>
    <cellStyle name="40 % - Markeringsfarve4 2 3 6 2 2 2 2 3" xfId="49459" xr:uid="{00000000-0005-0000-0000-00006C6E0000}"/>
    <cellStyle name="40 % - Markeringsfarve4 2 3 6 2 2 2 3" xfId="27498" xr:uid="{00000000-0005-0000-0000-00006D6E0000}"/>
    <cellStyle name="40 % - Markeringsfarve4 2 3 6 2 2 2 4" xfId="42462" xr:uid="{00000000-0005-0000-0000-00006E6E0000}"/>
    <cellStyle name="40 % - Markeringsfarve4 2 3 6 2 2 3" xfId="14659" xr:uid="{00000000-0005-0000-0000-00006F6E0000}"/>
    <cellStyle name="40 % - Markeringsfarve4 2 3 6 2 2 3 2" xfId="30938" xr:uid="{00000000-0005-0000-0000-0000706E0000}"/>
    <cellStyle name="40 % - Markeringsfarve4 2 3 6 2 2 3 3" xfId="45898" xr:uid="{00000000-0005-0000-0000-0000716E0000}"/>
    <cellStyle name="40 % - Markeringsfarve4 2 3 6 2 2 4" xfId="23936" xr:uid="{00000000-0005-0000-0000-0000726E0000}"/>
    <cellStyle name="40 % - Markeringsfarve4 2 3 6 2 2 5" xfId="38901" xr:uid="{00000000-0005-0000-0000-0000736E0000}"/>
    <cellStyle name="40 % - Markeringsfarve4 2 3 6 2 3" xfId="8863" xr:uid="{00000000-0005-0000-0000-0000746E0000}"/>
    <cellStyle name="40 % - Markeringsfarve4 2 3 6 2 3 2" xfId="16730" xr:uid="{00000000-0005-0000-0000-0000756E0000}"/>
    <cellStyle name="40 % - Markeringsfarve4 2 3 6 2 3 2 2" xfId="33006" xr:uid="{00000000-0005-0000-0000-0000766E0000}"/>
    <cellStyle name="40 % - Markeringsfarve4 2 3 6 2 3 2 3" xfId="47965" xr:uid="{00000000-0005-0000-0000-0000776E0000}"/>
    <cellStyle name="40 % - Markeringsfarve4 2 3 6 2 3 3" xfId="26004" xr:uid="{00000000-0005-0000-0000-0000786E0000}"/>
    <cellStyle name="40 % - Markeringsfarve4 2 3 6 2 3 4" xfId="40968" xr:uid="{00000000-0005-0000-0000-0000796E0000}"/>
    <cellStyle name="40 % - Markeringsfarve4 2 3 6 2 4" xfId="14658" xr:uid="{00000000-0005-0000-0000-00007A6E0000}"/>
    <cellStyle name="40 % - Markeringsfarve4 2 3 6 2 4 2" xfId="30937" xr:uid="{00000000-0005-0000-0000-00007B6E0000}"/>
    <cellStyle name="40 % - Markeringsfarve4 2 3 6 2 4 3" xfId="45897" xr:uid="{00000000-0005-0000-0000-00007C6E0000}"/>
    <cellStyle name="40 % - Markeringsfarve4 2 3 6 2 5" xfId="23935" xr:uid="{00000000-0005-0000-0000-00007D6E0000}"/>
    <cellStyle name="40 % - Markeringsfarve4 2 3 6 2 6" xfId="38900" xr:uid="{00000000-0005-0000-0000-00007E6E0000}"/>
    <cellStyle name="40 % - Markeringsfarve4 2 3 6 3" xfId="6175" xr:uid="{00000000-0005-0000-0000-00007F6E0000}"/>
    <cellStyle name="40 % - Markeringsfarve4 2 3 6 3 2" xfId="9647" xr:uid="{00000000-0005-0000-0000-0000806E0000}"/>
    <cellStyle name="40 % - Markeringsfarve4 2 3 6 3 2 2" xfId="17510" xr:uid="{00000000-0005-0000-0000-0000816E0000}"/>
    <cellStyle name="40 % - Markeringsfarve4 2 3 6 3 2 2 2" xfId="33786" xr:uid="{00000000-0005-0000-0000-0000826E0000}"/>
    <cellStyle name="40 % - Markeringsfarve4 2 3 6 3 2 2 3" xfId="48745" xr:uid="{00000000-0005-0000-0000-0000836E0000}"/>
    <cellStyle name="40 % - Markeringsfarve4 2 3 6 3 2 3" xfId="26784" xr:uid="{00000000-0005-0000-0000-0000846E0000}"/>
    <cellStyle name="40 % - Markeringsfarve4 2 3 6 3 2 4" xfId="41748" xr:uid="{00000000-0005-0000-0000-0000856E0000}"/>
    <cellStyle name="40 % - Markeringsfarve4 2 3 6 3 3" xfId="14660" xr:uid="{00000000-0005-0000-0000-0000866E0000}"/>
    <cellStyle name="40 % - Markeringsfarve4 2 3 6 3 3 2" xfId="30939" xr:uid="{00000000-0005-0000-0000-0000876E0000}"/>
    <cellStyle name="40 % - Markeringsfarve4 2 3 6 3 3 3" xfId="45899" xr:uid="{00000000-0005-0000-0000-0000886E0000}"/>
    <cellStyle name="40 % - Markeringsfarve4 2 3 6 3 4" xfId="23937" xr:uid="{00000000-0005-0000-0000-0000896E0000}"/>
    <cellStyle name="40 % - Markeringsfarve4 2 3 6 3 5" xfId="38902" xr:uid="{00000000-0005-0000-0000-00008A6E0000}"/>
    <cellStyle name="40 % - Markeringsfarve4 2 3 6 4" xfId="6176" xr:uid="{00000000-0005-0000-0000-00008B6E0000}"/>
    <cellStyle name="40 % - Markeringsfarve4 2 3 6 4 2" xfId="10607" xr:uid="{00000000-0005-0000-0000-00008C6E0000}"/>
    <cellStyle name="40 % - Markeringsfarve4 2 3 6 4 2 2" xfId="18455" xr:uid="{00000000-0005-0000-0000-00008D6E0000}"/>
    <cellStyle name="40 % - Markeringsfarve4 2 3 6 4 2 2 2" xfId="34731" xr:uid="{00000000-0005-0000-0000-00008E6E0000}"/>
    <cellStyle name="40 % - Markeringsfarve4 2 3 6 4 2 2 3" xfId="49690" xr:uid="{00000000-0005-0000-0000-00008F6E0000}"/>
    <cellStyle name="40 % - Markeringsfarve4 2 3 6 4 2 3" xfId="27729" xr:uid="{00000000-0005-0000-0000-0000906E0000}"/>
    <cellStyle name="40 % - Markeringsfarve4 2 3 6 4 2 4" xfId="42693" xr:uid="{00000000-0005-0000-0000-0000916E0000}"/>
    <cellStyle name="40 % - Markeringsfarve4 2 3 6 4 3" xfId="14661" xr:uid="{00000000-0005-0000-0000-0000926E0000}"/>
    <cellStyle name="40 % - Markeringsfarve4 2 3 6 4 3 2" xfId="30940" xr:uid="{00000000-0005-0000-0000-0000936E0000}"/>
    <cellStyle name="40 % - Markeringsfarve4 2 3 6 4 3 3" xfId="45900" xr:uid="{00000000-0005-0000-0000-0000946E0000}"/>
    <cellStyle name="40 % - Markeringsfarve4 2 3 6 4 4" xfId="23938" xr:uid="{00000000-0005-0000-0000-0000956E0000}"/>
    <cellStyle name="40 % - Markeringsfarve4 2 3 6 4 5" xfId="38903" xr:uid="{00000000-0005-0000-0000-0000966E0000}"/>
    <cellStyle name="40 % - Markeringsfarve4 2 3 6 5" xfId="8142" xr:uid="{00000000-0005-0000-0000-0000976E0000}"/>
    <cellStyle name="40 % - Markeringsfarve4 2 3 6 5 2" xfId="16007" xr:uid="{00000000-0005-0000-0000-0000986E0000}"/>
    <cellStyle name="40 % - Markeringsfarve4 2 3 6 5 2 2" xfId="32283" xr:uid="{00000000-0005-0000-0000-0000996E0000}"/>
    <cellStyle name="40 % - Markeringsfarve4 2 3 6 5 2 3" xfId="47242" xr:uid="{00000000-0005-0000-0000-00009A6E0000}"/>
    <cellStyle name="40 % - Markeringsfarve4 2 3 6 5 3" xfId="25281" xr:uid="{00000000-0005-0000-0000-00009B6E0000}"/>
    <cellStyle name="40 % - Markeringsfarve4 2 3 6 5 4" xfId="40245" xr:uid="{00000000-0005-0000-0000-00009C6E0000}"/>
    <cellStyle name="40 % - Markeringsfarve4 2 3 6 6" xfId="14657" xr:uid="{00000000-0005-0000-0000-00009D6E0000}"/>
    <cellStyle name="40 % - Markeringsfarve4 2 3 6 6 2" xfId="30936" xr:uid="{00000000-0005-0000-0000-00009E6E0000}"/>
    <cellStyle name="40 % - Markeringsfarve4 2 3 6 6 3" xfId="45896" xr:uid="{00000000-0005-0000-0000-00009F6E0000}"/>
    <cellStyle name="40 % - Markeringsfarve4 2 3 6 7" xfId="23934" xr:uid="{00000000-0005-0000-0000-0000A06E0000}"/>
    <cellStyle name="40 % - Markeringsfarve4 2 3 6 8" xfId="38899" xr:uid="{00000000-0005-0000-0000-0000A16E0000}"/>
    <cellStyle name="40 % - Markeringsfarve4 2 3 7" xfId="6177" xr:uid="{00000000-0005-0000-0000-0000A26E0000}"/>
    <cellStyle name="40 % - Markeringsfarve4 2 3 7 2" xfId="6178" xr:uid="{00000000-0005-0000-0000-0000A36E0000}"/>
    <cellStyle name="40 % - Markeringsfarve4 2 3 7 2 2" xfId="9806" xr:uid="{00000000-0005-0000-0000-0000A46E0000}"/>
    <cellStyle name="40 % - Markeringsfarve4 2 3 7 2 2 2" xfId="17660" xr:uid="{00000000-0005-0000-0000-0000A56E0000}"/>
    <cellStyle name="40 % - Markeringsfarve4 2 3 7 2 2 2 2" xfId="33936" xr:uid="{00000000-0005-0000-0000-0000A66E0000}"/>
    <cellStyle name="40 % - Markeringsfarve4 2 3 7 2 2 2 3" xfId="48895" xr:uid="{00000000-0005-0000-0000-0000A76E0000}"/>
    <cellStyle name="40 % - Markeringsfarve4 2 3 7 2 2 3" xfId="26934" xr:uid="{00000000-0005-0000-0000-0000A86E0000}"/>
    <cellStyle name="40 % - Markeringsfarve4 2 3 7 2 2 4" xfId="41898" xr:uid="{00000000-0005-0000-0000-0000A96E0000}"/>
    <cellStyle name="40 % - Markeringsfarve4 2 3 7 2 3" xfId="14663" xr:uid="{00000000-0005-0000-0000-0000AA6E0000}"/>
    <cellStyle name="40 % - Markeringsfarve4 2 3 7 2 3 2" xfId="30942" xr:uid="{00000000-0005-0000-0000-0000AB6E0000}"/>
    <cellStyle name="40 % - Markeringsfarve4 2 3 7 2 3 3" xfId="45902" xr:uid="{00000000-0005-0000-0000-0000AC6E0000}"/>
    <cellStyle name="40 % - Markeringsfarve4 2 3 7 2 4" xfId="23940" xr:uid="{00000000-0005-0000-0000-0000AD6E0000}"/>
    <cellStyle name="40 % - Markeringsfarve4 2 3 7 2 5" xfId="38905" xr:uid="{00000000-0005-0000-0000-0000AE6E0000}"/>
    <cellStyle name="40 % - Markeringsfarve4 2 3 7 3" xfId="8392" xr:uid="{00000000-0005-0000-0000-0000AF6E0000}"/>
    <cellStyle name="40 % - Markeringsfarve4 2 3 7 3 2" xfId="16262" xr:uid="{00000000-0005-0000-0000-0000B06E0000}"/>
    <cellStyle name="40 % - Markeringsfarve4 2 3 7 3 2 2" xfId="32538" xr:uid="{00000000-0005-0000-0000-0000B16E0000}"/>
    <cellStyle name="40 % - Markeringsfarve4 2 3 7 3 2 3" xfId="47497" xr:uid="{00000000-0005-0000-0000-0000B26E0000}"/>
    <cellStyle name="40 % - Markeringsfarve4 2 3 7 3 3" xfId="25536" xr:uid="{00000000-0005-0000-0000-0000B36E0000}"/>
    <cellStyle name="40 % - Markeringsfarve4 2 3 7 3 4" xfId="40500" xr:uid="{00000000-0005-0000-0000-0000B46E0000}"/>
    <cellStyle name="40 % - Markeringsfarve4 2 3 7 4" xfId="14662" xr:uid="{00000000-0005-0000-0000-0000B56E0000}"/>
    <cellStyle name="40 % - Markeringsfarve4 2 3 7 4 2" xfId="30941" xr:uid="{00000000-0005-0000-0000-0000B66E0000}"/>
    <cellStyle name="40 % - Markeringsfarve4 2 3 7 4 3" xfId="45901" xr:uid="{00000000-0005-0000-0000-0000B76E0000}"/>
    <cellStyle name="40 % - Markeringsfarve4 2 3 7 5" xfId="23939" xr:uid="{00000000-0005-0000-0000-0000B86E0000}"/>
    <cellStyle name="40 % - Markeringsfarve4 2 3 7 6" xfId="38904" xr:uid="{00000000-0005-0000-0000-0000B96E0000}"/>
    <cellStyle name="40 % - Markeringsfarve4 2 3 8" xfId="6179" xr:uid="{00000000-0005-0000-0000-0000BA6E0000}"/>
    <cellStyle name="40 % - Markeringsfarve4 2 3 8 2" xfId="9034" xr:uid="{00000000-0005-0000-0000-0000BB6E0000}"/>
    <cellStyle name="40 % - Markeringsfarve4 2 3 8 2 2" xfId="16898" xr:uid="{00000000-0005-0000-0000-0000BC6E0000}"/>
    <cellStyle name="40 % - Markeringsfarve4 2 3 8 2 2 2" xfId="33174" xr:uid="{00000000-0005-0000-0000-0000BD6E0000}"/>
    <cellStyle name="40 % - Markeringsfarve4 2 3 8 2 2 3" xfId="48133" xr:uid="{00000000-0005-0000-0000-0000BE6E0000}"/>
    <cellStyle name="40 % - Markeringsfarve4 2 3 8 2 3" xfId="26172" xr:uid="{00000000-0005-0000-0000-0000BF6E0000}"/>
    <cellStyle name="40 % - Markeringsfarve4 2 3 8 2 4" xfId="41136" xr:uid="{00000000-0005-0000-0000-0000C06E0000}"/>
    <cellStyle name="40 % - Markeringsfarve4 2 3 8 3" xfId="14664" xr:uid="{00000000-0005-0000-0000-0000C16E0000}"/>
    <cellStyle name="40 % - Markeringsfarve4 2 3 8 3 2" xfId="30943" xr:uid="{00000000-0005-0000-0000-0000C26E0000}"/>
    <cellStyle name="40 % - Markeringsfarve4 2 3 8 3 3" xfId="45903" xr:uid="{00000000-0005-0000-0000-0000C36E0000}"/>
    <cellStyle name="40 % - Markeringsfarve4 2 3 8 4" xfId="23941" xr:uid="{00000000-0005-0000-0000-0000C46E0000}"/>
    <cellStyle name="40 % - Markeringsfarve4 2 3 8 5" xfId="38906" xr:uid="{00000000-0005-0000-0000-0000C56E0000}"/>
    <cellStyle name="40 % - Markeringsfarve4 2 3 9" xfId="6180" xr:uid="{00000000-0005-0000-0000-0000C66E0000}"/>
    <cellStyle name="40 % - Markeringsfarve4 2 3 9 2" xfId="10973" xr:uid="{00000000-0005-0000-0000-0000C76E0000}"/>
    <cellStyle name="40 % - Markeringsfarve4 2 3 9 2 2" xfId="18804" xr:uid="{00000000-0005-0000-0000-0000C86E0000}"/>
    <cellStyle name="40 % - Markeringsfarve4 2 3 9 2 2 2" xfId="35080" xr:uid="{00000000-0005-0000-0000-0000C96E0000}"/>
    <cellStyle name="40 % - Markeringsfarve4 2 3 9 2 2 3" xfId="50039" xr:uid="{00000000-0005-0000-0000-0000CA6E0000}"/>
    <cellStyle name="40 % - Markeringsfarve4 2 3 9 2 3" xfId="28078" xr:uid="{00000000-0005-0000-0000-0000CB6E0000}"/>
    <cellStyle name="40 % - Markeringsfarve4 2 3 9 2 4" xfId="43042" xr:uid="{00000000-0005-0000-0000-0000CC6E0000}"/>
    <cellStyle name="40 % - Markeringsfarve4 2 3 9 3" xfId="14665" xr:uid="{00000000-0005-0000-0000-0000CD6E0000}"/>
    <cellStyle name="40 % - Markeringsfarve4 2 3 9 3 2" xfId="30944" xr:uid="{00000000-0005-0000-0000-0000CE6E0000}"/>
    <cellStyle name="40 % - Markeringsfarve4 2 3 9 3 3" xfId="45904" xr:uid="{00000000-0005-0000-0000-0000CF6E0000}"/>
    <cellStyle name="40 % - Markeringsfarve4 2 3 9 4" xfId="23942" xr:uid="{00000000-0005-0000-0000-0000D06E0000}"/>
    <cellStyle name="40 % - Markeringsfarve4 2 3 9 5" xfId="38907" xr:uid="{00000000-0005-0000-0000-0000D16E0000}"/>
    <cellStyle name="40 % - Markeringsfarve4 2 4" xfId="6181" xr:uid="{00000000-0005-0000-0000-0000D26E0000}"/>
    <cellStyle name="40 % - Markeringsfarve4 2 4 2" xfId="6182" xr:uid="{00000000-0005-0000-0000-0000D36E0000}"/>
    <cellStyle name="40 % - Markeringsfarve4 2 4 2 2" xfId="6183" xr:uid="{00000000-0005-0000-0000-0000D46E0000}"/>
    <cellStyle name="40 % - Markeringsfarve4 2 4 2 2 2" xfId="9846" xr:uid="{00000000-0005-0000-0000-0000D56E0000}"/>
    <cellStyle name="40 % - Markeringsfarve4 2 4 2 2 2 2" xfId="17701" xr:uid="{00000000-0005-0000-0000-0000D66E0000}"/>
    <cellStyle name="40 % - Markeringsfarve4 2 4 2 2 2 2 2" xfId="33977" xr:uid="{00000000-0005-0000-0000-0000D76E0000}"/>
    <cellStyle name="40 % - Markeringsfarve4 2 4 2 2 2 2 3" xfId="48936" xr:uid="{00000000-0005-0000-0000-0000D86E0000}"/>
    <cellStyle name="40 % - Markeringsfarve4 2 4 2 2 2 3" xfId="26975" xr:uid="{00000000-0005-0000-0000-0000D96E0000}"/>
    <cellStyle name="40 % - Markeringsfarve4 2 4 2 2 2 4" xfId="41939" xr:uid="{00000000-0005-0000-0000-0000DA6E0000}"/>
    <cellStyle name="40 % - Markeringsfarve4 2 4 2 2 3" xfId="14668" xr:uid="{00000000-0005-0000-0000-0000DB6E0000}"/>
    <cellStyle name="40 % - Markeringsfarve4 2 4 2 2 3 2" xfId="30947" xr:uid="{00000000-0005-0000-0000-0000DC6E0000}"/>
    <cellStyle name="40 % - Markeringsfarve4 2 4 2 2 3 3" xfId="45907" xr:uid="{00000000-0005-0000-0000-0000DD6E0000}"/>
    <cellStyle name="40 % - Markeringsfarve4 2 4 2 2 4" xfId="23945" xr:uid="{00000000-0005-0000-0000-0000DE6E0000}"/>
    <cellStyle name="40 % - Markeringsfarve4 2 4 2 2 5" xfId="38910" xr:uid="{00000000-0005-0000-0000-0000DF6E0000}"/>
    <cellStyle name="40 % - Markeringsfarve4 2 4 2 3" xfId="8425" xr:uid="{00000000-0005-0000-0000-0000E06E0000}"/>
    <cellStyle name="40 % - Markeringsfarve4 2 4 2 3 2" xfId="16295" xr:uid="{00000000-0005-0000-0000-0000E16E0000}"/>
    <cellStyle name="40 % - Markeringsfarve4 2 4 2 3 2 2" xfId="32571" xr:uid="{00000000-0005-0000-0000-0000E26E0000}"/>
    <cellStyle name="40 % - Markeringsfarve4 2 4 2 3 2 3" xfId="47530" xr:uid="{00000000-0005-0000-0000-0000E36E0000}"/>
    <cellStyle name="40 % - Markeringsfarve4 2 4 2 3 3" xfId="25569" xr:uid="{00000000-0005-0000-0000-0000E46E0000}"/>
    <cellStyle name="40 % - Markeringsfarve4 2 4 2 3 4" xfId="40533" xr:uid="{00000000-0005-0000-0000-0000E56E0000}"/>
    <cellStyle name="40 % - Markeringsfarve4 2 4 2 4" xfId="14667" xr:uid="{00000000-0005-0000-0000-0000E66E0000}"/>
    <cellStyle name="40 % - Markeringsfarve4 2 4 2 4 2" xfId="30946" xr:uid="{00000000-0005-0000-0000-0000E76E0000}"/>
    <cellStyle name="40 % - Markeringsfarve4 2 4 2 4 3" xfId="45906" xr:uid="{00000000-0005-0000-0000-0000E86E0000}"/>
    <cellStyle name="40 % - Markeringsfarve4 2 4 2 5" xfId="23944" xr:uid="{00000000-0005-0000-0000-0000E96E0000}"/>
    <cellStyle name="40 % - Markeringsfarve4 2 4 2 6" xfId="38909" xr:uid="{00000000-0005-0000-0000-0000EA6E0000}"/>
    <cellStyle name="40 % - Markeringsfarve4 2 4 3" xfId="6184" xr:uid="{00000000-0005-0000-0000-0000EB6E0000}"/>
    <cellStyle name="40 % - Markeringsfarve4 2 4 3 2" xfId="9077" xr:uid="{00000000-0005-0000-0000-0000EC6E0000}"/>
    <cellStyle name="40 % - Markeringsfarve4 2 4 3 2 2" xfId="16941" xr:uid="{00000000-0005-0000-0000-0000ED6E0000}"/>
    <cellStyle name="40 % - Markeringsfarve4 2 4 3 2 2 2" xfId="33217" xr:uid="{00000000-0005-0000-0000-0000EE6E0000}"/>
    <cellStyle name="40 % - Markeringsfarve4 2 4 3 2 2 3" xfId="48176" xr:uid="{00000000-0005-0000-0000-0000EF6E0000}"/>
    <cellStyle name="40 % - Markeringsfarve4 2 4 3 2 3" xfId="26215" xr:uid="{00000000-0005-0000-0000-0000F06E0000}"/>
    <cellStyle name="40 % - Markeringsfarve4 2 4 3 2 4" xfId="41179" xr:uid="{00000000-0005-0000-0000-0000F16E0000}"/>
    <cellStyle name="40 % - Markeringsfarve4 2 4 3 3" xfId="14669" xr:uid="{00000000-0005-0000-0000-0000F26E0000}"/>
    <cellStyle name="40 % - Markeringsfarve4 2 4 3 3 2" xfId="30948" xr:uid="{00000000-0005-0000-0000-0000F36E0000}"/>
    <cellStyle name="40 % - Markeringsfarve4 2 4 3 3 3" xfId="45908" xr:uid="{00000000-0005-0000-0000-0000F46E0000}"/>
    <cellStyle name="40 % - Markeringsfarve4 2 4 3 4" xfId="23946" xr:uid="{00000000-0005-0000-0000-0000F56E0000}"/>
    <cellStyle name="40 % - Markeringsfarve4 2 4 3 5" xfId="38911" xr:uid="{00000000-0005-0000-0000-0000F66E0000}"/>
    <cellStyle name="40 % - Markeringsfarve4 2 4 4" xfId="6185" xr:uid="{00000000-0005-0000-0000-0000F76E0000}"/>
    <cellStyle name="40 % - Markeringsfarve4 2 4 4 2" xfId="10839" xr:uid="{00000000-0005-0000-0000-0000F86E0000}"/>
    <cellStyle name="40 % - Markeringsfarve4 2 4 4 2 2" xfId="18677" xr:uid="{00000000-0005-0000-0000-0000F96E0000}"/>
    <cellStyle name="40 % - Markeringsfarve4 2 4 4 2 2 2" xfId="34953" xr:uid="{00000000-0005-0000-0000-0000FA6E0000}"/>
    <cellStyle name="40 % - Markeringsfarve4 2 4 4 2 2 3" xfId="49912" xr:uid="{00000000-0005-0000-0000-0000FB6E0000}"/>
    <cellStyle name="40 % - Markeringsfarve4 2 4 4 2 3" xfId="27951" xr:uid="{00000000-0005-0000-0000-0000FC6E0000}"/>
    <cellStyle name="40 % - Markeringsfarve4 2 4 4 2 4" xfId="42915" xr:uid="{00000000-0005-0000-0000-0000FD6E0000}"/>
    <cellStyle name="40 % - Markeringsfarve4 2 4 4 3" xfId="14670" xr:uid="{00000000-0005-0000-0000-0000FE6E0000}"/>
    <cellStyle name="40 % - Markeringsfarve4 2 4 4 3 2" xfId="30949" xr:uid="{00000000-0005-0000-0000-0000FF6E0000}"/>
    <cellStyle name="40 % - Markeringsfarve4 2 4 4 3 3" xfId="45909" xr:uid="{00000000-0005-0000-0000-0000006F0000}"/>
    <cellStyle name="40 % - Markeringsfarve4 2 4 4 4" xfId="23947" xr:uid="{00000000-0005-0000-0000-0000016F0000}"/>
    <cellStyle name="40 % - Markeringsfarve4 2 4 4 5" xfId="38912" xr:uid="{00000000-0005-0000-0000-0000026F0000}"/>
    <cellStyle name="40 % - Markeringsfarve4 2 4 5" xfId="8143" xr:uid="{00000000-0005-0000-0000-0000036F0000}"/>
    <cellStyle name="40 % - Markeringsfarve4 2 4 5 2" xfId="16008" xr:uid="{00000000-0005-0000-0000-0000046F0000}"/>
    <cellStyle name="40 % - Markeringsfarve4 2 4 5 2 2" xfId="32284" xr:uid="{00000000-0005-0000-0000-0000056F0000}"/>
    <cellStyle name="40 % - Markeringsfarve4 2 4 5 2 3" xfId="47243" xr:uid="{00000000-0005-0000-0000-0000066F0000}"/>
    <cellStyle name="40 % - Markeringsfarve4 2 4 5 3" xfId="25282" xr:uid="{00000000-0005-0000-0000-0000076F0000}"/>
    <cellStyle name="40 % - Markeringsfarve4 2 4 5 4" xfId="40246" xr:uid="{00000000-0005-0000-0000-0000086F0000}"/>
    <cellStyle name="40 % - Markeringsfarve4 2 4 6" xfId="14666" xr:uid="{00000000-0005-0000-0000-0000096F0000}"/>
    <cellStyle name="40 % - Markeringsfarve4 2 4 6 2" xfId="30945" xr:uid="{00000000-0005-0000-0000-00000A6F0000}"/>
    <cellStyle name="40 % - Markeringsfarve4 2 4 6 3" xfId="45905" xr:uid="{00000000-0005-0000-0000-00000B6F0000}"/>
    <cellStyle name="40 % - Markeringsfarve4 2 4 7" xfId="23943" xr:uid="{00000000-0005-0000-0000-00000C6F0000}"/>
    <cellStyle name="40 % - Markeringsfarve4 2 4 8" xfId="38908" xr:uid="{00000000-0005-0000-0000-00000D6F0000}"/>
    <cellStyle name="40 % - Markeringsfarve4 2 5" xfId="6186" xr:uid="{00000000-0005-0000-0000-00000E6F0000}"/>
    <cellStyle name="40 % - Markeringsfarve4 2 5 2" xfId="6187" xr:uid="{00000000-0005-0000-0000-00000F6F0000}"/>
    <cellStyle name="40 % - Markeringsfarve4 2 5 2 2" xfId="6188" xr:uid="{00000000-0005-0000-0000-0000106F0000}"/>
    <cellStyle name="40 % - Markeringsfarve4 2 5 2 2 2" xfId="10013" xr:uid="{00000000-0005-0000-0000-0000116F0000}"/>
    <cellStyle name="40 % - Markeringsfarve4 2 5 2 2 2 2" xfId="17868" xr:uid="{00000000-0005-0000-0000-0000126F0000}"/>
    <cellStyle name="40 % - Markeringsfarve4 2 5 2 2 2 2 2" xfId="34144" xr:uid="{00000000-0005-0000-0000-0000136F0000}"/>
    <cellStyle name="40 % - Markeringsfarve4 2 5 2 2 2 2 3" xfId="49103" xr:uid="{00000000-0005-0000-0000-0000146F0000}"/>
    <cellStyle name="40 % - Markeringsfarve4 2 5 2 2 2 3" xfId="27142" xr:uid="{00000000-0005-0000-0000-0000156F0000}"/>
    <cellStyle name="40 % - Markeringsfarve4 2 5 2 2 2 4" xfId="42106" xr:uid="{00000000-0005-0000-0000-0000166F0000}"/>
    <cellStyle name="40 % - Markeringsfarve4 2 5 2 2 3" xfId="14673" xr:uid="{00000000-0005-0000-0000-0000176F0000}"/>
    <cellStyle name="40 % - Markeringsfarve4 2 5 2 2 3 2" xfId="30952" xr:uid="{00000000-0005-0000-0000-0000186F0000}"/>
    <cellStyle name="40 % - Markeringsfarve4 2 5 2 2 3 3" xfId="45912" xr:uid="{00000000-0005-0000-0000-0000196F0000}"/>
    <cellStyle name="40 % - Markeringsfarve4 2 5 2 2 4" xfId="23950" xr:uid="{00000000-0005-0000-0000-00001A6F0000}"/>
    <cellStyle name="40 % - Markeringsfarve4 2 5 2 2 5" xfId="38915" xr:uid="{00000000-0005-0000-0000-00001B6F0000}"/>
    <cellStyle name="40 % - Markeringsfarve4 2 5 2 3" xfId="8560" xr:uid="{00000000-0005-0000-0000-00001C6F0000}"/>
    <cellStyle name="40 % - Markeringsfarve4 2 5 2 3 2" xfId="16430" xr:uid="{00000000-0005-0000-0000-00001D6F0000}"/>
    <cellStyle name="40 % - Markeringsfarve4 2 5 2 3 2 2" xfId="32706" xr:uid="{00000000-0005-0000-0000-00001E6F0000}"/>
    <cellStyle name="40 % - Markeringsfarve4 2 5 2 3 2 3" xfId="47665" xr:uid="{00000000-0005-0000-0000-00001F6F0000}"/>
    <cellStyle name="40 % - Markeringsfarve4 2 5 2 3 3" xfId="25704" xr:uid="{00000000-0005-0000-0000-0000206F0000}"/>
    <cellStyle name="40 % - Markeringsfarve4 2 5 2 3 4" xfId="40668" xr:uid="{00000000-0005-0000-0000-0000216F0000}"/>
    <cellStyle name="40 % - Markeringsfarve4 2 5 2 4" xfId="14672" xr:uid="{00000000-0005-0000-0000-0000226F0000}"/>
    <cellStyle name="40 % - Markeringsfarve4 2 5 2 4 2" xfId="30951" xr:uid="{00000000-0005-0000-0000-0000236F0000}"/>
    <cellStyle name="40 % - Markeringsfarve4 2 5 2 4 3" xfId="45911" xr:uid="{00000000-0005-0000-0000-0000246F0000}"/>
    <cellStyle name="40 % - Markeringsfarve4 2 5 2 5" xfId="23949" xr:uid="{00000000-0005-0000-0000-0000256F0000}"/>
    <cellStyle name="40 % - Markeringsfarve4 2 5 2 6" xfId="38914" xr:uid="{00000000-0005-0000-0000-0000266F0000}"/>
    <cellStyle name="40 % - Markeringsfarve4 2 5 3" xfId="6189" xr:uid="{00000000-0005-0000-0000-0000276F0000}"/>
    <cellStyle name="40 % - Markeringsfarve4 2 5 3 2" xfId="9244" xr:uid="{00000000-0005-0000-0000-0000286F0000}"/>
    <cellStyle name="40 % - Markeringsfarve4 2 5 3 2 2" xfId="17108" xr:uid="{00000000-0005-0000-0000-0000296F0000}"/>
    <cellStyle name="40 % - Markeringsfarve4 2 5 3 2 2 2" xfId="33384" xr:uid="{00000000-0005-0000-0000-00002A6F0000}"/>
    <cellStyle name="40 % - Markeringsfarve4 2 5 3 2 2 3" xfId="48343" xr:uid="{00000000-0005-0000-0000-00002B6F0000}"/>
    <cellStyle name="40 % - Markeringsfarve4 2 5 3 2 3" xfId="26382" xr:uid="{00000000-0005-0000-0000-00002C6F0000}"/>
    <cellStyle name="40 % - Markeringsfarve4 2 5 3 2 4" xfId="41346" xr:uid="{00000000-0005-0000-0000-00002D6F0000}"/>
    <cellStyle name="40 % - Markeringsfarve4 2 5 3 3" xfId="14674" xr:uid="{00000000-0005-0000-0000-00002E6F0000}"/>
    <cellStyle name="40 % - Markeringsfarve4 2 5 3 3 2" xfId="30953" xr:uid="{00000000-0005-0000-0000-00002F6F0000}"/>
    <cellStyle name="40 % - Markeringsfarve4 2 5 3 3 3" xfId="45913" xr:uid="{00000000-0005-0000-0000-0000306F0000}"/>
    <cellStyle name="40 % - Markeringsfarve4 2 5 3 4" xfId="23951" xr:uid="{00000000-0005-0000-0000-0000316F0000}"/>
    <cellStyle name="40 % - Markeringsfarve4 2 5 3 5" xfId="38916" xr:uid="{00000000-0005-0000-0000-0000326F0000}"/>
    <cellStyle name="40 % - Markeringsfarve4 2 5 4" xfId="6190" xr:uid="{00000000-0005-0000-0000-0000336F0000}"/>
    <cellStyle name="40 % - Markeringsfarve4 2 5 4 2" xfId="10489" xr:uid="{00000000-0005-0000-0000-0000346F0000}"/>
    <cellStyle name="40 % - Markeringsfarve4 2 5 4 2 2" xfId="18338" xr:uid="{00000000-0005-0000-0000-0000356F0000}"/>
    <cellStyle name="40 % - Markeringsfarve4 2 5 4 2 2 2" xfId="34614" xr:uid="{00000000-0005-0000-0000-0000366F0000}"/>
    <cellStyle name="40 % - Markeringsfarve4 2 5 4 2 2 3" xfId="49573" xr:uid="{00000000-0005-0000-0000-0000376F0000}"/>
    <cellStyle name="40 % - Markeringsfarve4 2 5 4 2 3" xfId="27612" xr:uid="{00000000-0005-0000-0000-0000386F0000}"/>
    <cellStyle name="40 % - Markeringsfarve4 2 5 4 2 4" xfId="42576" xr:uid="{00000000-0005-0000-0000-0000396F0000}"/>
    <cellStyle name="40 % - Markeringsfarve4 2 5 4 3" xfId="14675" xr:uid="{00000000-0005-0000-0000-00003A6F0000}"/>
    <cellStyle name="40 % - Markeringsfarve4 2 5 4 3 2" xfId="30954" xr:uid="{00000000-0005-0000-0000-00003B6F0000}"/>
    <cellStyle name="40 % - Markeringsfarve4 2 5 4 3 3" xfId="45914" xr:uid="{00000000-0005-0000-0000-00003C6F0000}"/>
    <cellStyle name="40 % - Markeringsfarve4 2 5 4 4" xfId="23952" xr:uid="{00000000-0005-0000-0000-00003D6F0000}"/>
    <cellStyle name="40 % - Markeringsfarve4 2 5 4 5" xfId="38917" xr:uid="{00000000-0005-0000-0000-00003E6F0000}"/>
    <cellStyle name="40 % - Markeringsfarve4 2 5 5" xfId="8144" xr:uid="{00000000-0005-0000-0000-00003F6F0000}"/>
    <cellStyle name="40 % - Markeringsfarve4 2 5 5 2" xfId="16009" xr:uid="{00000000-0005-0000-0000-0000406F0000}"/>
    <cellStyle name="40 % - Markeringsfarve4 2 5 5 2 2" xfId="32285" xr:uid="{00000000-0005-0000-0000-0000416F0000}"/>
    <cellStyle name="40 % - Markeringsfarve4 2 5 5 2 3" xfId="47244" xr:uid="{00000000-0005-0000-0000-0000426F0000}"/>
    <cellStyle name="40 % - Markeringsfarve4 2 5 5 3" xfId="25283" xr:uid="{00000000-0005-0000-0000-0000436F0000}"/>
    <cellStyle name="40 % - Markeringsfarve4 2 5 5 4" xfId="40247" xr:uid="{00000000-0005-0000-0000-0000446F0000}"/>
    <cellStyle name="40 % - Markeringsfarve4 2 5 6" xfId="14671" xr:uid="{00000000-0005-0000-0000-0000456F0000}"/>
    <cellStyle name="40 % - Markeringsfarve4 2 5 6 2" xfId="30950" xr:uid="{00000000-0005-0000-0000-0000466F0000}"/>
    <cellStyle name="40 % - Markeringsfarve4 2 5 6 3" xfId="45910" xr:uid="{00000000-0005-0000-0000-0000476F0000}"/>
    <cellStyle name="40 % - Markeringsfarve4 2 5 7" xfId="23948" xr:uid="{00000000-0005-0000-0000-0000486F0000}"/>
    <cellStyle name="40 % - Markeringsfarve4 2 5 8" xfId="38913" xr:uid="{00000000-0005-0000-0000-0000496F0000}"/>
    <cellStyle name="40 % - Markeringsfarve4 2 6" xfId="6191" xr:uid="{00000000-0005-0000-0000-00004A6F0000}"/>
    <cellStyle name="40 % - Markeringsfarve4 2 6 2" xfId="6192" xr:uid="{00000000-0005-0000-0000-00004B6F0000}"/>
    <cellStyle name="40 % - Markeringsfarve4 2 6 2 2" xfId="6193" xr:uid="{00000000-0005-0000-0000-00004C6F0000}"/>
    <cellStyle name="40 % - Markeringsfarve4 2 6 2 2 2" xfId="10084" xr:uid="{00000000-0005-0000-0000-00004D6F0000}"/>
    <cellStyle name="40 % - Markeringsfarve4 2 6 2 2 2 2" xfId="17939" xr:uid="{00000000-0005-0000-0000-00004E6F0000}"/>
    <cellStyle name="40 % - Markeringsfarve4 2 6 2 2 2 2 2" xfId="34215" xr:uid="{00000000-0005-0000-0000-00004F6F0000}"/>
    <cellStyle name="40 % - Markeringsfarve4 2 6 2 2 2 2 3" xfId="49174" xr:uid="{00000000-0005-0000-0000-0000506F0000}"/>
    <cellStyle name="40 % - Markeringsfarve4 2 6 2 2 2 3" xfId="27213" xr:uid="{00000000-0005-0000-0000-0000516F0000}"/>
    <cellStyle name="40 % - Markeringsfarve4 2 6 2 2 2 4" xfId="42177" xr:uid="{00000000-0005-0000-0000-0000526F0000}"/>
    <cellStyle name="40 % - Markeringsfarve4 2 6 2 2 3" xfId="14678" xr:uid="{00000000-0005-0000-0000-0000536F0000}"/>
    <cellStyle name="40 % - Markeringsfarve4 2 6 2 2 3 2" xfId="30957" xr:uid="{00000000-0005-0000-0000-0000546F0000}"/>
    <cellStyle name="40 % - Markeringsfarve4 2 6 2 2 3 3" xfId="45917" xr:uid="{00000000-0005-0000-0000-0000556F0000}"/>
    <cellStyle name="40 % - Markeringsfarve4 2 6 2 2 4" xfId="23955" xr:uid="{00000000-0005-0000-0000-0000566F0000}"/>
    <cellStyle name="40 % - Markeringsfarve4 2 6 2 2 5" xfId="38920" xr:uid="{00000000-0005-0000-0000-0000576F0000}"/>
    <cellStyle name="40 % - Markeringsfarve4 2 6 2 3" xfId="8627" xr:uid="{00000000-0005-0000-0000-0000586F0000}"/>
    <cellStyle name="40 % - Markeringsfarve4 2 6 2 3 2" xfId="16494" xr:uid="{00000000-0005-0000-0000-0000596F0000}"/>
    <cellStyle name="40 % - Markeringsfarve4 2 6 2 3 2 2" xfId="32770" xr:uid="{00000000-0005-0000-0000-00005A6F0000}"/>
    <cellStyle name="40 % - Markeringsfarve4 2 6 2 3 2 3" xfId="47729" xr:uid="{00000000-0005-0000-0000-00005B6F0000}"/>
    <cellStyle name="40 % - Markeringsfarve4 2 6 2 3 3" xfId="25768" xr:uid="{00000000-0005-0000-0000-00005C6F0000}"/>
    <cellStyle name="40 % - Markeringsfarve4 2 6 2 3 4" xfId="40732" xr:uid="{00000000-0005-0000-0000-00005D6F0000}"/>
    <cellStyle name="40 % - Markeringsfarve4 2 6 2 4" xfId="14677" xr:uid="{00000000-0005-0000-0000-00005E6F0000}"/>
    <cellStyle name="40 % - Markeringsfarve4 2 6 2 4 2" xfId="30956" xr:uid="{00000000-0005-0000-0000-00005F6F0000}"/>
    <cellStyle name="40 % - Markeringsfarve4 2 6 2 4 3" xfId="45916" xr:uid="{00000000-0005-0000-0000-0000606F0000}"/>
    <cellStyle name="40 % - Markeringsfarve4 2 6 2 5" xfId="23954" xr:uid="{00000000-0005-0000-0000-0000616F0000}"/>
    <cellStyle name="40 % - Markeringsfarve4 2 6 2 6" xfId="38919" xr:uid="{00000000-0005-0000-0000-0000626F0000}"/>
    <cellStyle name="40 % - Markeringsfarve4 2 6 3" xfId="6194" xr:uid="{00000000-0005-0000-0000-0000636F0000}"/>
    <cellStyle name="40 % - Markeringsfarve4 2 6 3 2" xfId="9361" xr:uid="{00000000-0005-0000-0000-0000646F0000}"/>
    <cellStyle name="40 % - Markeringsfarve4 2 6 3 2 2" xfId="17224" xr:uid="{00000000-0005-0000-0000-0000656F0000}"/>
    <cellStyle name="40 % - Markeringsfarve4 2 6 3 2 2 2" xfId="33500" xr:uid="{00000000-0005-0000-0000-0000666F0000}"/>
    <cellStyle name="40 % - Markeringsfarve4 2 6 3 2 2 3" xfId="48459" xr:uid="{00000000-0005-0000-0000-0000676F0000}"/>
    <cellStyle name="40 % - Markeringsfarve4 2 6 3 2 3" xfId="26498" xr:uid="{00000000-0005-0000-0000-0000686F0000}"/>
    <cellStyle name="40 % - Markeringsfarve4 2 6 3 2 4" xfId="41462" xr:uid="{00000000-0005-0000-0000-0000696F0000}"/>
    <cellStyle name="40 % - Markeringsfarve4 2 6 3 3" xfId="14679" xr:uid="{00000000-0005-0000-0000-00006A6F0000}"/>
    <cellStyle name="40 % - Markeringsfarve4 2 6 3 3 2" xfId="30958" xr:uid="{00000000-0005-0000-0000-00006B6F0000}"/>
    <cellStyle name="40 % - Markeringsfarve4 2 6 3 3 3" xfId="45918" xr:uid="{00000000-0005-0000-0000-00006C6F0000}"/>
    <cellStyle name="40 % - Markeringsfarve4 2 6 3 4" xfId="23956" xr:uid="{00000000-0005-0000-0000-00006D6F0000}"/>
    <cellStyle name="40 % - Markeringsfarve4 2 6 3 5" xfId="38921" xr:uid="{00000000-0005-0000-0000-00006E6F0000}"/>
    <cellStyle name="40 % - Markeringsfarve4 2 6 4" xfId="6195" xr:uid="{00000000-0005-0000-0000-00006F6F0000}"/>
    <cellStyle name="40 % - Markeringsfarve4 2 6 4 2" xfId="10791" xr:uid="{00000000-0005-0000-0000-0000706F0000}"/>
    <cellStyle name="40 % - Markeringsfarve4 2 6 4 2 2" xfId="18633" xr:uid="{00000000-0005-0000-0000-0000716F0000}"/>
    <cellStyle name="40 % - Markeringsfarve4 2 6 4 2 2 2" xfId="34909" xr:uid="{00000000-0005-0000-0000-0000726F0000}"/>
    <cellStyle name="40 % - Markeringsfarve4 2 6 4 2 2 3" xfId="49868" xr:uid="{00000000-0005-0000-0000-0000736F0000}"/>
    <cellStyle name="40 % - Markeringsfarve4 2 6 4 2 3" xfId="27907" xr:uid="{00000000-0005-0000-0000-0000746F0000}"/>
    <cellStyle name="40 % - Markeringsfarve4 2 6 4 2 4" xfId="42871" xr:uid="{00000000-0005-0000-0000-0000756F0000}"/>
    <cellStyle name="40 % - Markeringsfarve4 2 6 4 3" xfId="14680" xr:uid="{00000000-0005-0000-0000-0000766F0000}"/>
    <cellStyle name="40 % - Markeringsfarve4 2 6 4 3 2" xfId="30959" xr:uid="{00000000-0005-0000-0000-0000776F0000}"/>
    <cellStyle name="40 % - Markeringsfarve4 2 6 4 3 3" xfId="45919" xr:uid="{00000000-0005-0000-0000-0000786F0000}"/>
    <cellStyle name="40 % - Markeringsfarve4 2 6 4 4" xfId="23957" xr:uid="{00000000-0005-0000-0000-0000796F0000}"/>
    <cellStyle name="40 % - Markeringsfarve4 2 6 4 5" xfId="38922" xr:uid="{00000000-0005-0000-0000-00007A6F0000}"/>
    <cellStyle name="40 % - Markeringsfarve4 2 6 5" xfId="8145" xr:uid="{00000000-0005-0000-0000-00007B6F0000}"/>
    <cellStyle name="40 % - Markeringsfarve4 2 6 5 2" xfId="16010" xr:uid="{00000000-0005-0000-0000-00007C6F0000}"/>
    <cellStyle name="40 % - Markeringsfarve4 2 6 5 2 2" xfId="32286" xr:uid="{00000000-0005-0000-0000-00007D6F0000}"/>
    <cellStyle name="40 % - Markeringsfarve4 2 6 5 2 3" xfId="47245" xr:uid="{00000000-0005-0000-0000-00007E6F0000}"/>
    <cellStyle name="40 % - Markeringsfarve4 2 6 5 3" xfId="25284" xr:uid="{00000000-0005-0000-0000-00007F6F0000}"/>
    <cellStyle name="40 % - Markeringsfarve4 2 6 5 4" xfId="40248" xr:uid="{00000000-0005-0000-0000-0000806F0000}"/>
    <cellStyle name="40 % - Markeringsfarve4 2 6 6" xfId="14676" xr:uid="{00000000-0005-0000-0000-0000816F0000}"/>
    <cellStyle name="40 % - Markeringsfarve4 2 6 6 2" xfId="30955" xr:uid="{00000000-0005-0000-0000-0000826F0000}"/>
    <cellStyle name="40 % - Markeringsfarve4 2 6 6 3" xfId="45915" xr:uid="{00000000-0005-0000-0000-0000836F0000}"/>
    <cellStyle name="40 % - Markeringsfarve4 2 6 7" xfId="23953" xr:uid="{00000000-0005-0000-0000-0000846F0000}"/>
    <cellStyle name="40 % - Markeringsfarve4 2 6 8" xfId="38918" xr:uid="{00000000-0005-0000-0000-0000856F0000}"/>
    <cellStyle name="40 % - Markeringsfarve4 2 7" xfId="6196" xr:uid="{00000000-0005-0000-0000-0000866F0000}"/>
    <cellStyle name="40 % - Markeringsfarve4 2 7 2" xfId="6197" xr:uid="{00000000-0005-0000-0000-0000876F0000}"/>
    <cellStyle name="40 % - Markeringsfarve4 2 7 2 2" xfId="6198" xr:uid="{00000000-0005-0000-0000-0000886F0000}"/>
    <cellStyle name="40 % - Markeringsfarve4 2 7 2 2 2" xfId="10201" xr:uid="{00000000-0005-0000-0000-0000896F0000}"/>
    <cellStyle name="40 % - Markeringsfarve4 2 7 2 2 2 2" xfId="18056" xr:uid="{00000000-0005-0000-0000-00008A6F0000}"/>
    <cellStyle name="40 % - Markeringsfarve4 2 7 2 2 2 2 2" xfId="34332" xr:uid="{00000000-0005-0000-0000-00008B6F0000}"/>
    <cellStyle name="40 % - Markeringsfarve4 2 7 2 2 2 2 3" xfId="49291" xr:uid="{00000000-0005-0000-0000-00008C6F0000}"/>
    <cellStyle name="40 % - Markeringsfarve4 2 7 2 2 2 3" xfId="27330" xr:uid="{00000000-0005-0000-0000-00008D6F0000}"/>
    <cellStyle name="40 % - Markeringsfarve4 2 7 2 2 2 4" xfId="42294" xr:uid="{00000000-0005-0000-0000-00008E6F0000}"/>
    <cellStyle name="40 % - Markeringsfarve4 2 7 2 2 3" xfId="14683" xr:uid="{00000000-0005-0000-0000-00008F6F0000}"/>
    <cellStyle name="40 % - Markeringsfarve4 2 7 2 2 3 2" xfId="30962" xr:uid="{00000000-0005-0000-0000-0000906F0000}"/>
    <cellStyle name="40 % - Markeringsfarve4 2 7 2 2 3 3" xfId="45922" xr:uid="{00000000-0005-0000-0000-0000916F0000}"/>
    <cellStyle name="40 % - Markeringsfarve4 2 7 2 2 4" xfId="23960" xr:uid="{00000000-0005-0000-0000-0000926F0000}"/>
    <cellStyle name="40 % - Markeringsfarve4 2 7 2 2 5" xfId="38925" xr:uid="{00000000-0005-0000-0000-0000936F0000}"/>
    <cellStyle name="40 % - Markeringsfarve4 2 7 2 3" xfId="8726" xr:uid="{00000000-0005-0000-0000-0000946F0000}"/>
    <cellStyle name="40 % - Markeringsfarve4 2 7 2 3 2" xfId="16593" xr:uid="{00000000-0005-0000-0000-0000956F0000}"/>
    <cellStyle name="40 % - Markeringsfarve4 2 7 2 3 2 2" xfId="32869" xr:uid="{00000000-0005-0000-0000-0000966F0000}"/>
    <cellStyle name="40 % - Markeringsfarve4 2 7 2 3 2 3" xfId="47828" xr:uid="{00000000-0005-0000-0000-0000976F0000}"/>
    <cellStyle name="40 % - Markeringsfarve4 2 7 2 3 3" xfId="25867" xr:uid="{00000000-0005-0000-0000-0000986F0000}"/>
    <cellStyle name="40 % - Markeringsfarve4 2 7 2 3 4" xfId="40831" xr:uid="{00000000-0005-0000-0000-0000996F0000}"/>
    <cellStyle name="40 % - Markeringsfarve4 2 7 2 4" xfId="14682" xr:uid="{00000000-0005-0000-0000-00009A6F0000}"/>
    <cellStyle name="40 % - Markeringsfarve4 2 7 2 4 2" xfId="30961" xr:uid="{00000000-0005-0000-0000-00009B6F0000}"/>
    <cellStyle name="40 % - Markeringsfarve4 2 7 2 4 3" xfId="45921" xr:uid="{00000000-0005-0000-0000-00009C6F0000}"/>
    <cellStyle name="40 % - Markeringsfarve4 2 7 2 5" xfId="23959" xr:uid="{00000000-0005-0000-0000-00009D6F0000}"/>
    <cellStyle name="40 % - Markeringsfarve4 2 7 2 6" xfId="38924" xr:uid="{00000000-0005-0000-0000-00009E6F0000}"/>
    <cellStyle name="40 % - Markeringsfarve4 2 7 3" xfId="6199" xr:uid="{00000000-0005-0000-0000-00009F6F0000}"/>
    <cellStyle name="40 % - Markeringsfarve4 2 7 3 2" xfId="9478" xr:uid="{00000000-0005-0000-0000-0000A06F0000}"/>
    <cellStyle name="40 % - Markeringsfarve4 2 7 3 2 2" xfId="17341" xr:uid="{00000000-0005-0000-0000-0000A16F0000}"/>
    <cellStyle name="40 % - Markeringsfarve4 2 7 3 2 2 2" xfId="33617" xr:uid="{00000000-0005-0000-0000-0000A26F0000}"/>
    <cellStyle name="40 % - Markeringsfarve4 2 7 3 2 2 3" xfId="48576" xr:uid="{00000000-0005-0000-0000-0000A36F0000}"/>
    <cellStyle name="40 % - Markeringsfarve4 2 7 3 2 3" xfId="26615" xr:uid="{00000000-0005-0000-0000-0000A46F0000}"/>
    <cellStyle name="40 % - Markeringsfarve4 2 7 3 2 4" xfId="41579" xr:uid="{00000000-0005-0000-0000-0000A56F0000}"/>
    <cellStyle name="40 % - Markeringsfarve4 2 7 3 3" xfId="14684" xr:uid="{00000000-0005-0000-0000-0000A66F0000}"/>
    <cellStyle name="40 % - Markeringsfarve4 2 7 3 3 2" xfId="30963" xr:uid="{00000000-0005-0000-0000-0000A76F0000}"/>
    <cellStyle name="40 % - Markeringsfarve4 2 7 3 3 3" xfId="45923" xr:uid="{00000000-0005-0000-0000-0000A86F0000}"/>
    <cellStyle name="40 % - Markeringsfarve4 2 7 3 4" xfId="23961" xr:uid="{00000000-0005-0000-0000-0000A96F0000}"/>
    <cellStyle name="40 % - Markeringsfarve4 2 7 3 5" xfId="38926" xr:uid="{00000000-0005-0000-0000-0000AA6F0000}"/>
    <cellStyle name="40 % - Markeringsfarve4 2 7 4" xfId="6200" xr:uid="{00000000-0005-0000-0000-0000AB6F0000}"/>
    <cellStyle name="40 % - Markeringsfarve4 2 7 4 2" xfId="10441" xr:uid="{00000000-0005-0000-0000-0000AC6F0000}"/>
    <cellStyle name="40 % - Markeringsfarve4 2 7 4 2 2" xfId="18293" xr:uid="{00000000-0005-0000-0000-0000AD6F0000}"/>
    <cellStyle name="40 % - Markeringsfarve4 2 7 4 2 2 2" xfId="34569" xr:uid="{00000000-0005-0000-0000-0000AE6F0000}"/>
    <cellStyle name="40 % - Markeringsfarve4 2 7 4 2 2 3" xfId="49528" xr:uid="{00000000-0005-0000-0000-0000AF6F0000}"/>
    <cellStyle name="40 % - Markeringsfarve4 2 7 4 2 3" xfId="27567" xr:uid="{00000000-0005-0000-0000-0000B06F0000}"/>
    <cellStyle name="40 % - Markeringsfarve4 2 7 4 2 4" xfId="42531" xr:uid="{00000000-0005-0000-0000-0000B16F0000}"/>
    <cellStyle name="40 % - Markeringsfarve4 2 7 4 3" xfId="14685" xr:uid="{00000000-0005-0000-0000-0000B26F0000}"/>
    <cellStyle name="40 % - Markeringsfarve4 2 7 4 3 2" xfId="30964" xr:uid="{00000000-0005-0000-0000-0000B36F0000}"/>
    <cellStyle name="40 % - Markeringsfarve4 2 7 4 3 3" xfId="45924" xr:uid="{00000000-0005-0000-0000-0000B46F0000}"/>
    <cellStyle name="40 % - Markeringsfarve4 2 7 4 4" xfId="23962" xr:uid="{00000000-0005-0000-0000-0000B56F0000}"/>
    <cellStyle name="40 % - Markeringsfarve4 2 7 4 5" xfId="38927" xr:uid="{00000000-0005-0000-0000-0000B66F0000}"/>
    <cellStyle name="40 % - Markeringsfarve4 2 7 5" xfId="8146" xr:uid="{00000000-0005-0000-0000-0000B76F0000}"/>
    <cellStyle name="40 % - Markeringsfarve4 2 7 5 2" xfId="16011" xr:uid="{00000000-0005-0000-0000-0000B86F0000}"/>
    <cellStyle name="40 % - Markeringsfarve4 2 7 5 2 2" xfId="32287" xr:uid="{00000000-0005-0000-0000-0000B96F0000}"/>
    <cellStyle name="40 % - Markeringsfarve4 2 7 5 2 3" xfId="47246" xr:uid="{00000000-0005-0000-0000-0000BA6F0000}"/>
    <cellStyle name="40 % - Markeringsfarve4 2 7 5 3" xfId="25285" xr:uid="{00000000-0005-0000-0000-0000BB6F0000}"/>
    <cellStyle name="40 % - Markeringsfarve4 2 7 5 4" xfId="40249" xr:uid="{00000000-0005-0000-0000-0000BC6F0000}"/>
    <cellStyle name="40 % - Markeringsfarve4 2 7 6" xfId="14681" xr:uid="{00000000-0005-0000-0000-0000BD6F0000}"/>
    <cellStyle name="40 % - Markeringsfarve4 2 7 6 2" xfId="30960" xr:uid="{00000000-0005-0000-0000-0000BE6F0000}"/>
    <cellStyle name="40 % - Markeringsfarve4 2 7 6 3" xfId="45920" xr:uid="{00000000-0005-0000-0000-0000BF6F0000}"/>
    <cellStyle name="40 % - Markeringsfarve4 2 7 7" xfId="23958" xr:uid="{00000000-0005-0000-0000-0000C06F0000}"/>
    <cellStyle name="40 % - Markeringsfarve4 2 7 8" xfId="38923" xr:uid="{00000000-0005-0000-0000-0000C16F0000}"/>
    <cellStyle name="40 % - Markeringsfarve4 2 8" xfId="6201" xr:uid="{00000000-0005-0000-0000-0000C26F0000}"/>
    <cellStyle name="40 % - Markeringsfarve4 2 8 2" xfId="6202" xr:uid="{00000000-0005-0000-0000-0000C36F0000}"/>
    <cellStyle name="40 % - Markeringsfarve4 2 8 2 2" xfId="6203" xr:uid="{00000000-0005-0000-0000-0000C46F0000}"/>
    <cellStyle name="40 % - Markeringsfarve4 2 8 2 2 2" xfId="10367" xr:uid="{00000000-0005-0000-0000-0000C56F0000}"/>
    <cellStyle name="40 % - Markeringsfarve4 2 8 2 2 2 2" xfId="18222" xr:uid="{00000000-0005-0000-0000-0000C66F0000}"/>
    <cellStyle name="40 % - Markeringsfarve4 2 8 2 2 2 2 2" xfId="34498" xr:uid="{00000000-0005-0000-0000-0000C76F0000}"/>
    <cellStyle name="40 % - Markeringsfarve4 2 8 2 2 2 2 3" xfId="49457" xr:uid="{00000000-0005-0000-0000-0000C86F0000}"/>
    <cellStyle name="40 % - Markeringsfarve4 2 8 2 2 2 3" xfId="27496" xr:uid="{00000000-0005-0000-0000-0000C96F0000}"/>
    <cellStyle name="40 % - Markeringsfarve4 2 8 2 2 2 4" xfId="42460" xr:uid="{00000000-0005-0000-0000-0000CA6F0000}"/>
    <cellStyle name="40 % - Markeringsfarve4 2 8 2 2 3" xfId="14688" xr:uid="{00000000-0005-0000-0000-0000CB6F0000}"/>
    <cellStyle name="40 % - Markeringsfarve4 2 8 2 2 3 2" xfId="30967" xr:uid="{00000000-0005-0000-0000-0000CC6F0000}"/>
    <cellStyle name="40 % - Markeringsfarve4 2 8 2 2 3 3" xfId="45927" xr:uid="{00000000-0005-0000-0000-0000CD6F0000}"/>
    <cellStyle name="40 % - Markeringsfarve4 2 8 2 2 4" xfId="23965" xr:uid="{00000000-0005-0000-0000-0000CE6F0000}"/>
    <cellStyle name="40 % - Markeringsfarve4 2 8 2 2 5" xfId="38930" xr:uid="{00000000-0005-0000-0000-0000CF6F0000}"/>
    <cellStyle name="40 % - Markeringsfarve4 2 8 2 3" xfId="8861" xr:uid="{00000000-0005-0000-0000-0000D06F0000}"/>
    <cellStyle name="40 % - Markeringsfarve4 2 8 2 3 2" xfId="16728" xr:uid="{00000000-0005-0000-0000-0000D16F0000}"/>
    <cellStyle name="40 % - Markeringsfarve4 2 8 2 3 2 2" xfId="33004" xr:uid="{00000000-0005-0000-0000-0000D26F0000}"/>
    <cellStyle name="40 % - Markeringsfarve4 2 8 2 3 2 3" xfId="47963" xr:uid="{00000000-0005-0000-0000-0000D36F0000}"/>
    <cellStyle name="40 % - Markeringsfarve4 2 8 2 3 3" xfId="26002" xr:uid="{00000000-0005-0000-0000-0000D46F0000}"/>
    <cellStyle name="40 % - Markeringsfarve4 2 8 2 3 4" xfId="40966" xr:uid="{00000000-0005-0000-0000-0000D56F0000}"/>
    <cellStyle name="40 % - Markeringsfarve4 2 8 2 4" xfId="14687" xr:uid="{00000000-0005-0000-0000-0000D66F0000}"/>
    <cellStyle name="40 % - Markeringsfarve4 2 8 2 4 2" xfId="30966" xr:uid="{00000000-0005-0000-0000-0000D76F0000}"/>
    <cellStyle name="40 % - Markeringsfarve4 2 8 2 4 3" xfId="45926" xr:uid="{00000000-0005-0000-0000-0000D86F0000}"/>
    <cellStyle name="40 % - Markeringsfarve4 2 8 2 5" xfId="23964" xr:uid="{00000000-0005-0000-0000-0000D96F0000}"/>
    <cellStyle name="40 % - Markeringsfarve4 2 8 2 6" xfId="38929" xr:uid="{00000000-0005-0000-0000-0000DA6F0000}"/>
    <cellStyle name="40 % - Markeringsfarve4 2 8 3" xfId="6204" xr:uid="{00000000-0005-0000-0000-0000DB6F0000}"/>
    <cellStyle name="40 % - Markeringsfarve4 2 8 3 2" xfId="9645" xr:uid="{00000000-0005-0000-0000-0000DC6F0000}"/>
    <cellStyle name="40 % - Markeringsfarve4 2 8 3 2 2" xfId="17508" xr:uid="{00000000-0005-0000-0000-0000DD6F0000}"/>
    <cellStyle name="40 % - Markeringsfarve4 2 8 3 2 2 2" xfId="33784" xr:uid="{00000000-0005-0000-0000-0000DE6F0000}"/>
    <cellStyle name="40 % - Markeringsfarve4 2 8 3 2 2 3" xfId="48743" xr:uid="{00000000-0005-0000-0000-0000DF6F0000}"/>
    <cellStyle name="40 % - Markeringsfarve4 2 8 3 2 3" xfId="26782" xr:uid="{00000000-0005-0000-0000-0000E06F0000}"/>
    <cellStyle name="40 % - Markeringsfarve4 2 8 3 2 4" xfId="41746" xr:uid="{00000000-0005-0000-0000-0000E16F0000}"/>
    <cellStyle name="40 % - Markeringsfarve4 2 8 3 3" xfId="14689" xr:uid="{00000000-0005-0000-0000-0000E26F0000}"/>
    <cellStyle name="40 % - Markeringsfarve4 2 8 3 3 2" xfId="30968" xr:uid="{00000000-0005-0000-0000-0000E36F0000}"/>
    <cellStyle name="40 % - Markeringsfarve4 2 8 3 3 3" xfId="45928" xr:uid="{00000000-0005-0000-0000-0000E46F0000}"/>
    <cellStyle name="40 % - Markeringsfarve4 2 8 3 4" xfId="23966" xr:uid="{00000000-0005-0000-0000-0000E56F0000}"/>
    <cellStyle name="40 % - Markeringsfarve4 2 8 3 5" xfId="38931" xr:uid="{00000000-0005-0000-0000-0000E66F0000}"/>
    <cellStyle name="40 % - Markeringsfarve4 2 8 4" xfId="6205" xr:uid="{00000000-0005-0000-0000-0000E76F0000}"/>
    <cellStyle name="40 % - Markeringsfarve4 2 8 4 2" xfId="8917" xr:uid="{00000000-0005-0000-0000-0000E86F0000}"/>
    <cellStyle name="40 % - Markeringsfarve4 2 8 4 2 2" xfId="16783" xr:uid="{00000000-0005-0000-0000-0000E96F0000}"/>
    <cellStyle name="40 % - Markeringsfarve4 2 8 4 2 2 2" xfId="33059" xr:uid="{00000000-0005-0000-0000-0000EA6F0000}"/>
    <cellStyle name="40 % - Markeringsfarve4 2 8 4 2 2 3" xfId="48018" xr:uid="{00000000-0005-0000-0000-0000EB6F0000}"/>
    <cellStyle name="40 % - Markeringsfarve4 2 8 4 2 3" xfId="26057" xr:uid="{00000000-0005-0000-0000-0000EC6F0000}"/>
    <cellStyle name="40 % - Markeringsfarve4 2 8 4 2 4" xfId="41021" xr:uid="{00000000-0005-0000-0000-0000ED6F0000}"/>
    <cellStyle name="40 % - Markeringsfarve4 2 8 4 3" xfId="14690" xr:uid="{00000000-0005-0000-0000-0000EE6F0000}"/>
    <cellStyle name="40 % - Markeringsfarve4 2 8 4 3 2" xfId="30969" xr:uid="{00000000-0005-0000-0000-0000EF6F0000}"/>
    <cellStyle name="40 % - Markeringsfarve4 2 8 4 3 3" xfId="45929" xr:uid="{00000000-0005-0000-0000-0000F06F0000}"/>
    <cellStyle name="40 % - Markeringsfarve4 2 8 4 4" xfId="23967" xr:uid="{00000000-0005-0000-0000-0000F16F0000}"/>
    <cellStyle name="40 % - Markeringsfarve4 2 8 4 5" xfId="38932" xr:uid="{00000000-0005-0000-0000-0000F26F0000}"/>
    <cellStyle name="40 % - Markeringsfarve4 2 8 5" xfId="8147" xr:uid="{00000000-0005-0000-0000-0000F36F0000}"/>
    <cellStyle name="40 % - Markeringsfarve4 2 8 5 2" xfId="16012" xr:uid="{00000000-0005-0000-0000-0000F46F0000}"/>
    <cellStyle name="40 % - Markeringsfarve4 2 8 5 2 2" xfId="32288" xr:uid="{00000000-0005-0000-0000-0000F56F0000}"/>
    <cellStyle name="40 % - Markeringsfarve4 2 8 5 2 3" xfId="47247" xr:uid="{00000000-0005-0000-0000-0000F66F0000}"/>
    <cellStyle name="40 % - Markeringsfarve4 2 8 5 3" xfId="25286" xr:uid="{00000000-0005-0000-0000-0000F76F0000}"/>
    <cellStyle name="40 % - Markeringsfarve4 2 8 5 4" xfId="40250" xr:uid="{00000000-0005-0000-0000-0000F86F0000}"/>
    <cellStyle name="40 % - Markeringsfarve4 2 8 6" xfId="14686" xr:uid="{00000000-0005-0000-0000-0000F96F0000}"/>
    <cellStyle name="40 % - Markeringsfarve4 2 8 6 2" xfId="30965" xr:uid="{00000000-0005-0000-0000-0000FA6F0000}"/>
    <cellStyle name="40 % - Markeringsfarve4 2 8 6 3" xfId="45925" xr:uid="{00000000-0005-0000-0000-0000FB6F0000}"/>
    <cellStyle name="40 % - Markeringsfarve4 2 8 7" xfId="23963" xr:uid="{00000000-0005-0000-0000-0000FC6F0000}"/>
    <cellStyle name="40 % - Markeringsfarve4 2 8 8" xfId="38928" xr:uid="{00000000-0005-0000-0000-0000FD6F0000}"/>
    <cellStyle name="40 % - Markeringsfarve4 2 9" xfId="6206" xr:uid="{00000000-0005-0000-0000-0000FE6F0000}"/>
    <cellStyle name="40 % - Markeringsfarve4 2 9 2" xfId="6207" xr:uid="{00000000-0005-0000-0000-0000FF6F0000}"/>
    <cellStyle name="40 % - Markeringsfarve4 2 9 2 2" xfId="9728" xr:uid="{00000000-0005-0000-0000-000000700000}"/>
    <cellStyle name="40 % - Markeringsfarve4 2 9 2 2 2" xfId="17582" xr:uid="{00000000-0005-0000-0000-000001700000}"/>
    <cellStyle name="40 % - Markeringsfarve4 2 9 2 2 2 2" xfId="33858" xr:uid="{00000000-0005-0000-0000-000002700000}"/>
    <cellStyle name="40 % - Markeringsfarve4 2 9 2 2 2 3" xfId="48817" xr:uid="{00000000-0005-0000-0000-000003700000}"/>
    <cellStyle name="40 % - Markeringsfarve4 2 9 2 2 3" xfId="26856" xr:uid="{00000000-0005-0000-0000-000004700000}"/>
    <cellStyle name="40 % - Markeringsfarve4 2 9 2 2 4" xfId="41820" xr:uid="{00000000-0005-0000-0000-000005700000}"/>
    <cellStyle name="40 % - Markeringsfarve4 2 9 2 3" xfId="14692" xr:uid="{00000000-0005-0000-0000-000006700000}"/>
    <cellStyle name="40 % - Markeringsfarve4 2 9 2 3 2" xfId="30971" xr:uid="{00000000-0005-0000-0000-000007700000}"/>
    <cellStyle name="40 % - Markeringsfarve4 2 9 2 3 3" xfId="45931" xr:uid="{00000000-0005-0000-0000-000008700000}"/>
    <cellStyle name="40 % - Markeringsfarve4 2 9 2 4" xfId="23969" xr:uid="{00000000-0005-0000-0000-000009700000}"/>
    <cellStyle name="40 % - Markeringsfarve4 2 9 2 5" xfId="38934" xr:uid="{00000000-0005-0000-0000-00000A700000}"/>
    <cellStyle name="40 % - Markeringsfarve4 2 9 3" xfId="8326" xr:uid="{00000000-0005-0000-0000-00000B700000}"/>
    <cellStyle name="40 % - Markeringsfarve4 2 9 3 2" xfId="16196" xr:uid="{00000000-0005-0000-0000-00000C700000}"/>
    <cellStyle name="40 % - Markeringsfarve4 2 9 3 2 2" xfId="32472" xr:uid="{00000000-0005-0000-0000-00000D700000}"/>
    <cellStyle name="40 % - Markeringsfarve4 2 9 3 2 3" xfId="47431" xr:uid="{00000000-0005-0000-0000-00000E700000}"/>
    <cellStyle name="40 % - Markeringsfarve4 2 9 3 3" xfId="25470" xr:uid="{00000000-0005-0000-0000-00000F700000}"/>
    <cellStyle name="40 % - Markeringsfarve4 2 9 3 4" xfId="40434" xr:uid="{00000000-0005-0000-0000-000010700000}"/>
    <cellStyle name="40 % - Markeringsfarve4 2 9 4" xfId="14691" xr:uid="{00000000-0005-0000-0000-000011700000}"/>
    <cellStyle name="40 % - Markeringsfarve4 2 9 4 2" xfId="30970" xr:uid="{00000000-0005-0000-0000-000012700000}"/>
    <cellStyle name="40 % - Markeringsfarve4 2 9 4 3" xfId="45930" xr:uid="{00000000-0005-0000-0000-000013700000}"/>
    <cellStyle name="40 % - Markeringsfarve4 2 9 5" xfId="23968" xr:uid="{00000000-0005-0000-0000-000014700000}"/>
    <cellStyle name="40 % - Markeringsfarve4 2 9 6" xfId="38933" xr:uid="{00000000-0005-0000-0000-000015700000}"/>
    <cellStyle name="40 % - Markeringsfarve4 3" xfId="6208" xr:uid="{00000000-0005-0000-0000-000016700000}"/>
    <cellStyle name="40 % - Markeringsfarve4 3 10" xfId="6209" xr:uid="{00000000-0005-0000-0000-000017700000}"/>
    <cellStyle name="40 % - Markeringsfarve4 3 10 2" xfId="8941" xr:uid="{00000000-0005-0000-0000-000018700000}"/>
    <cellStyle name="40 % - Markeringsfarve4 3 10 2 2" xfId="16806" xr:uid="{00000000-0005-0000-0000-000019700000}"/>
    <cellStyle name="40 % - Markeringsfarve4 3 10 2 2 2" xfId="33082" xr:uid="{00000000-0005-0000-0000-00001A700000}"/>
    <cellStyle name="40 % - Markeringsfarve4 3 10 2 2 3" xfId="48041" xr:uid="{00000000-0005-0000-0000-00001B700000}"/>
    <cellStyle name="40 % - Markeringsfarve4 3 10 2 3" xfId="26080" xr:uid="{00000000-0005-0000-0000-00001C700000}"/>
    <cellStyle name="40 % - Markeringsfarve4 3 10 2 4" xfId="41044" xr:uid="{00000000-0005-0000-0000-00001D700000}"/>
    <cellStyle name="40 % - Markeringsfarve4 3 10 3" xfId="14694" xr:uid="{00000000-0005-0000-0000-00001E700000}"/>
    <cellStyle name="40 % - Markeringsfarve4 3 10 3 2" xfId="30973" xr:uid="{00000000-0005-0000-0000-00001F700000}"/>
    <cellStyle name="40 % - Markeringsfarve4 3 10 3 3" xfId="45933" xr:uid="{00000000-0005-0000-0000-000020700000}"/>
    <cellStyle name="40 % - Markeringsfarve4 3 10 4" xfId="23971" xr:uid="{00000000-0005-0000-0000-000021700000}"/>
    <cellStyle name="40 % - Markeringsfarve4 3 10 5" xfId="38936" xr:uid="{00000000-0005-0000-0000-000022700000}"/>
    <cellStyle name="40 % - Markeringsfarve4 3 11" xfId="6210" xr:uid="{00000000-0005-0000-0000-000023700000}"/>
    <cellStyle name="40 % - Markeringsfarve4 3 11 2" xfId="10741" xr:uid="{00000000-0005-0000-0000-000024700000}"/>
    <cellStyle name="40 % - Markeringsfarve4 3 11 2 2" xfId="18584" xr:uid="{00000000-0005-0000-0000-000025700000}"/>
    <cellStyle name="40 % - Markeringsfarve4 3 11 2 2 2" xfId="34860" xr:uid="{00000000-0005-0000-0000-000026700000}"/>
    <cellStyle name="40 % - Markeringsfarve4 3 11 2 2 3" xfId="49819" xr:uid="{00000000-0005-0000-0000-000027700000}"/>
    <cellStyle name="40 % - Markeringsfarve4 3 11 2 3" xfId="27858" xr:uid="{00000000-0005-0000-0000-000028700000}"/>
    <cellStyle name="40 % - Markeringsfarve4 3 11 2 4" xfId="42822" xr:uid="{00000000-0005-0000-0000-000029700000}"/>
    <cellStyle name="40 % - Markeringsfarve4 3 11 3" xfId="14695" xr:uid="{00000000-0005-0000-0000-00002A700000}"/>
    <cellStyle name="40 % - Markeringsfarve4 3 11 3 2" xfId="30974" xr:uid="{00000000-0005-0000-0000-00002B700000}"/>
    <cellStyle name="40 % - Markeringsfarve4 3 11 3 3" xfId="45934" xr:uid="{00000000-0005-0000-0000-00002C700000}"/>
    <cellStyle name="40 % - Markeringsfarve4 3 11 4" xfId="23972" xr:uid="{00000000-0005-0000-0000-00002D700000}"/>
    <cellStyle name="40 % - Markeringsfarve4 3 11 5" xfId="38937" xr:uid="{00000000-0005-0000-0000-00002E700000}"/>
    <cellStyle name="40 % - Markeringsfarve4 3 12" xfId="8148" xr:uid="{00000000-0005-0000-0000-00002F700000}"/>
    <cellStyle name="40 % - Markeringsfarve4 3 12 2" xfId="16013" xr:uid="{00000000-0005-0000-0000-000030700000}"/>
    <cellStyle name="40 % - Markeringsfarve4 3 12 2 2" xfId="32289" xr:uid="{00000000-0005-0000-0000-000031700000}"/>
    <cellStyle name="40 % - Markeringsfarve4 3 12 2 3" xfId="47248" xr:uid="{00000000-0005-0000-0000-000032700000}"/>
    <cellStyle name="40 % - Markeringsfarve4 3 12 3" xfId="25287" xr:uid="{00000000-0005-0000-0000-000033700000}"/>
    <cellStyle name="40 % - Markeringsfarve4 3 12 4" xfId="40251" xr:uid="{00000000-0005-0000-0000-000034700000}"/>
    <cellStyle name="40 % - Markeringsfarve4 3 13" xfId="14693" xr:uid="{00000000-0005-0000-0000-000035700000}"/>
    <cellStyle name="40 % - Markeringsfarve4 3 13 2" xfId="30972" xr:uid="{00000000-0005-0000-0000-000036700000}"/>
    <cellStyle name="40 % - Markeringsfarve4 3 13 3" xfId="45932" xr:uid="{00000000-0005-0000-0000-000037700000}"/>
    <cellStyle name="40 % - Markeringsfarve4 3 14" xfId="23970" xr:uid="{00000000-0005-0000-0000-000038700000}"/>
    <cellStyle name="40 % - Markeringsfarve4 3 15" xfId="38935" xr:uid="{00000000-0005-0000-0000-000039700000}"/>
    <cellStyle name="40 % - Markeringsfarve4 3 2" xfId="6211" xr:uid="{00000000-0005-0000-0000-00003A700000}"/>
    <cellStyle name="40 % - Markeringsfarve4 3 2 10" xfId="8149" xr:uid="{00000000-0005-0000-0000-00003B700000}"/>
    <cellStyle name="40 % - Markeringsfarve4 3 2 10 2" xfId="16014" xr:uid="{00000000-0005-0000-0000-00003C700000}"/>
    <cellStyle name="40 % - Markeringsfarve4 3 2 10 2 2" xfId="32290" xr:uid="{00000000-0005-0000-0000-00003D700000}"/>
    <cellStyle name="40 % - Markeringsfarve4 3 2 10 2 3" xfId="47249" xr:uid="{00000000-0005-0000-0000-00003E700000}"/>
    <cellStyle name="40 % - Markeringsfarve4 3 2 10 3" xfId="25288" xr:uid="{00000000-0005-0000-0000-00003F700000}"/>
    <cellStyle name="40 % - Markeringsfarve4 3 2 10 4" xfId="40252" xr:uid="{00000000-0005-0000-0000-000040700000}"/>
    <cellStyle name="40 % - Markeringsfarve4 3 2 11" xfId="14696" xr:uid="{00000000-0005-0000-0000-000041700000}"/>
    <cellStyle name="40 % - Markeringsfarve4 3 2 11 2" xfId="30975" xr:uid="{00000000-0005-0000-0000-000042700000}"/>
    <cellStyle name="40 % - Markeringsfarve4 3 2 11 3" xfId="45935" xr:uid="{00000000-0005-0000-0000-000043700000}"/>
    <cellStyle name="40 % - Markeringsfarve4 3 2 12" xfId="23973" xr:uid="{00000000-0005-0000-0000-000044700000}"/>
    <cellStyle name="40 % - Markeringsfarve4 3 2 13" xfId="38938" xr:uid="{00000000-0005-0000-0000-000045700000}"/>
    <cellStyle name="40 % - Markeringsfarve4 3 2 2" xfId="6212" xr:uid="{00000000-0005-0000-0000-000046700000}"/>
    <cellStyle name="40 % - Markeringsfarve4 3 2 2 2" xfId="6213" xr:uid="{00000000-0005-0000-0000-000047700000}"/>
    <cellStyle name="40 % - Markeringsfarve4 3 2 2 2 2" xfId="6214" xr:uid="{00000000-0005-0000-0000-000048700000}"/>
    <cellStyle name="40 % - Markeringsfarve4 3 2 2 2 2 2" xfId="9873" xr:uid="{00000000-0005-0000-0000-000049700000}"/>
    <cellStyle name="40 % - Markeringsfarve4 3 2 2 2 2 2 2" xfId="17728" xr:uid="{00000000-0005-0000-0000-00004A700000}"/>
    <cellStyle name="40 % - Markeringsfarve4 3 2 2 2 2 2 2 2" xfId="34004" xr:uid="{00000000-0005-0000-0000-00004B700000}"/>
    <cellStyle name="40 % - Markeringsfarve4 3 2 2 2 2 2 2 3" xfId="48963" xr:uid="{00000000-0005-0000-0000-00004C700000}"/>
    <cellStyle name="40 % - Markeringsfarve4 3 2 2 2 2 2 3" xfId="27002" xr:uid="{00000000-0005-0000-0000-00004D700000}"/>
    <cellStyle name="40 % - Markeringsfarve4 3 2 2 2 2 2 4" xfId="41966" xr:uid="{00000000-0005-0000-0000-00004E700000}"/>
    <cellStyle name="40 % - Markeringsfarve4 3 2 2 2 2 3" xfId="14699" xr:uid="{00000000-0005-0000-0000-00004F700000}"/>
    <cellStyle name="40 % - Markeringsfarve4 3 2 2 2 2 3 2" xfId="30978" xr:uid="{00000000-0005-0000-0000-000050700000}"/>
    <cellStyle name="40 % - Markeringsfarve4 3 2 2 2 2 3 3" xfId="45938" xr:uid="{00000000-0005-0000-0000-000051700000}"/>
    <cellStyle name="40 % - Markeringsfarve4 3 2 2 2 2 4" xfId="23976" xr:uid="{00000000-0005-0000-0000-000052700000}"/>
    <cellStyle name="40 % - Markeringsfarve4 3 2 2 2 2 5" xfId="38941" xr:uid="{00000000-0005-0000-0000-000053700000}"/>
    <cellStyle name="40 % - Markeringsfarve4 3 2 2 2 3" xfId="8448" xr:uid="{00000000-0005-0000-0000-000054700000}"/>
    <cellStyle name="40 % - Markeringsfarve4 3 2 2 2 3 2" xfId="16318" xr:uid="{00000000-0005-0000-0000-000055700000}"/>
    <cellStyle name="40 % - Markeringsfarve4 3 2 2 2 3 2 2" xfId="32594" xr:uid="{00000000-0005-0000-0000-000056700000}"/>
    <cellStyle name="40 % - Markeringsfarve4 3 2 2 2 3 2 3" xfId="47553" xr:uid="{00000000-0005-0000-0000-000057700000}"/>
    <cellStyle name="40 % - Markeringsfarve4 3 2 2 2 3 3" xfId="25592" xr:uid="{00000000-0005-0000-0000-000058700000}"/>
    <cellStyle name="40 % - Markeringsfarve4 3 2 2 2 3 4" xfId="40556" xr:uid="{00000000-0005-0000-0000-000059700000}"/>
    <cellStyle name="40 % - Markeringsfarve4 3 2 2 2 4" xfId="14698" xr:uid="{00000000-0005-0000-0000-00005A700000}"/>
    <cellStyle name="40 % - Markeringsfarve4 3 2 2 2 4 2" xfId="30977" xr:uid="{00000000-0005-0000-0000-00005B700000}"/>
    <cellStyle name="40 % - Markeringsfarve4 3 2 2 2 4 3" xfId="45937" xr:uid="{00000000-0005-0000-0000-00005C700000}"/>
    <cellStyle name="40 % - Markeringsfarve4 3 2 2 2 5" xfId="23975" xr:uid="{00000000-0005-0000-0000-00005D700000}"/>
    <cellStyle name="40 % - Markeringsfarve4 3 2 2 2 6" xfId="38940" xr:uid="{00000000-0005-0000-0000-00005E700000}"/>
    <cellStyle name="40 % - Markeringsfarve4 3 2 2 3" xfId="6215" xr:uid="{00000000-0005-0000-0000-00005F700000}"/>
    <cellStyle name="40 % - Markeringsfarve4 3 2 2 3 2" xfId="9104" xr:uid="{00000000-0005-0000-0000-000060700000}"/>
    <cellStyle name="40 % - Markeringsfarve4 3 2 2 3 2 2" xfId="16968" xr:uid="{00000000-0005-0000-0000-000061700000}"/>
    <cellStyle name="40 % - Markeringsfarve4 3 2 2 3 2 2 2" xfId="33244" xr:uid="{00000000-0005-0000-0000-000062700000}"/>
    <cellStyle name="40 % - Markeringsfarve4 3 2 2 3 2 2 3" xfId="48203" xr:uid="{00000000-0005-0000-0000-000063700000}"/>
    <cellStyle name="40 % - Markeringsfarve4 3 2 2 3 2 3" xfId="26242" xr:uid="{00000000-0005-0000-0000-000064700000}"/>
    <cellStyle name="40 % - Markeringsfarve4 3 2 2 3 2 4" xfId="41206" xr:uid="{00000000-0005-0000-0000-000065700000}"/>
    <cellStyle name="40 % - Markeringsfarve4 3 2 2 3 3" xfId="14700" xr:uid="{00000000-0005-0000-0000-000066700000}"/>
    <cellStyle name="40 % - Markeringsfarve4 3 2 2 3 3 2" xfId="30979" xr:uid="{00000000-0005-0000-0000-000067700000}"/>
    <cellStyle name="40 % - Markeringsfarve4 3 2 2 3 3 3" xfId="45939" xr:uid="{00000000-0005-0000-0000-000068700000}"/>
    <cellStyle name="40 % - Markeringsfarve4 3 2 2 3 4" xfId="23977" xr:uid="{00000000-0005-0000-0000-000069700000}"/>
    <cellStyle name="40 % - Markeringsfarve4 3 2 2 3 5" xfId="38942" xr:uid="{00000000-0005-0000-0000-00006A700000}"/>
    <cellStyle name="40 % - Markeringsfarve4 3 2 2 4" xfId="6216" xr:uid="{00000000-0005-0000-0000-00006B700000}"/>
    <cellStyle name="40 % - Markeringsfarve4 3 2 2 4 2" xfId="10690" xr:uid="{00000000-0005-0000-0000-00006C700000}"/>
    <cellStyle name="40 % - Markeringsfarve4 3 2 2 4 2 2" xfId="18534" xr:uid="{00000000-0005-0000-0000-00006D700000}"/>
    <cellStyle name="40 % - Markeringsfarve4 3 2 2 4 2 2 2" xfId="34810" xr:uid="{00000000-0005-0000-0000-00006E700000}"/>
    <cellStyle name="40 % - Markeringsfarve4 3 2 2 4 2 2 3" xfId="49769" xr:uid="{00000000-0005-0000-0000-00006F700000}"/>
    <cellStyle name="40 % - Markeringsfarve4 3 2 2 4 2 3" xfId="27808" xr:uid="{00000000-0005-0000-0000-000070700000}"/>
    <cellStyle name="40 % - Markeringsfarve4 3 2 2 4 2 4" xfId="42772" xr:uid="{00000000-0005-0000-0000-000071700000}"/>
    <cellStyle name="40 % - Markeringsfarve4 3 2 2 4 3" xfId="14701" xr:uid="{00000000-0005-0000-0000-000072700000}"/>
    <cellStyle name="40 % - Markeringsfarve4 3 2 2 4 3 2" xfId="30980" xr:uid="{00000000-0005-0000-0000-000073700000}"/>
    <cellStyle name="40 % - Markeringsfarve4 3 2 2 4 3 3" xfId="45940" xr:uid="{00000000-0005-0000-0000-000074700000}"/>
    <cellStyle name="40 % - Markeringsfarve4 3 2 2 4 4" xfId="23978" xr:uid="{00000000-0005-0000-0000-000075700000}"/>
    <cellStyle name="40 % - Markeringsfarve4 3 2 2 4 5" xfId="38943" xr:uid="{00000000-0005-0000-0000-000076700000}"/>
    <cellStyle name="40 % - Markeringsfarve4 3 2 2 5" xfId="8150" xr:uid="{00000000-0005-0000-0000-000077700000}"/>
    <cellStyle name="40 % - Markeringsfarve4 3 2 2 5 2" xfId="16015" xr:uid="{00000000-0005-0000-0000-000078700000}"/>
    <cellStyle name="40 % - Markeringsfarve4 3 2 2 5 2 2" xfId="32291" xr:uid="{00000000-0005-0000-0000-000079700000}"/>
    <cellStyle name="40 % - Markeringsfarve4 3 2 2 5 2 3" xfId="47250" xr:uid="{00000000-0005-0000-0000-00007A700000}"/>
    <cellStyle name="40 % - Markeringsfarve4 3 2 2 5 3" xfId="25289" xr:uid="{00000000-0005-0000-0000-00007B700000}"/>
    <cellStyle name="40 % - Markeringsfarve4 3 2 2 5 4" xfId="40253" xr:uid="{00000000-0005-0000-0000-00007C700000}"/>
    <cellStyle name="40 % - Markeringsfarve4 3 2 2 6" xfId="14697" xr:uid="{00000000-0005-0000-0000-00007D700000}"/>
    <cellStyle name="40 % - Markeringsfarve4 3 2 2 6 2" xfId="30976" xr:uid="{00000000-0005-0000-0000-00007E700000}"/>
    <cellStyle name="40 % - Markeringsfarve4 3 2 2 6 3" xfId="45936" xr:uid="{00000000-0005-0000-0000-00007F700000}"/>
    <cellStyle name="40 % - Markeringsfarve4 3 2 2 7" xfId="23974" xr:uid="{00000000-0005-0000-0000-000080700000}"/>
    <cellStyle name="40 % - Markeringsfarve4 3 2 2 8" xfId="38939" xr:uid="{00000000-0005-0000-0000-000081700000}"/>
    <cellStyle name="40 % - Markeringsfarve4 3 2 3" xfId="6217" xr:uid="{00000000-0005-0000-0000-000082700000}"/>
    <cellStyle name="40 % - Markeringsfarve4 3 2 3 2" xfId="6218" xr:uid="{00000000-0005-0000-0000-000083700000}"/>
    <cellStyle name="40 % - Markeringsfarve4 3 2 3 2 2" xfId="6219" xr:uid="{00000000-0005-0000-0000-000084700000}"/>
    <cellStyle name="40 % - Markeringsfarve4 3 2 3 2 2 2" xfId="10017" xr:uid="{00000000-0005-0000-0000-000085700000}"/>
    <cellStyle name="40 % - Markeringsfarve4 3 2 3 2 2 2 2" xfId="17872" xr:uid="{00000000-0005-0000-0000-000086700000}"/>
    <cellStyle name="40 % - Markeringsfarve4 3 2 3 2 2 2 2 2" xfId="34148" xr:uid="{00000000-0005-0000-0000-000087700000}"/>
    <cellStyle name="40 % - Markeringsfarve4 3 2 3 2 2 2 2 3" xfId="49107" xr:uid="{00000000-0005-0000-0000-000088700000}"/>
    <cellStyle name="40 % - Markeringsfarve4 3 2 3 2 2 2 3" xfId="27146" xr:uid="{00000000-0005-0000-0000-000089700000}"/>
    <cellStyle name="40 % - Markeringsfarve4 3 2 3 2 2 2 4" xfId="42110" xr:uid="{00000000-0005-0000-0000-00008A700000}"/>
    <cellStyle name="40 % - Markeringsfarve4 3 2 3 2 2 3" xfId="14704" xr:uid="{00000000-0005-0000-0000-00008B700000}"/>
    <cellStyle name="40 % - Markeringsfarve4 3 2 3 2 2 3 2" xfId="30983" xr:uid="{00000000-0005-0000-0000-00008C700000}"/>
    <cellStyle name="40 % - Markeringsfarve4 3 2 3 2 2 3 3" xfId="45943" xr:uid="{00000000-0005-0000-0000-00008D700000}"/>
    <cellStyle name="40 % - Markeringsfarve4 3 2 3 2 2 4" xfId="23981" xr:uid="{00000000-0005-0000-0000-00008E700000}"/>
    <cellStyle name="40 % - Markeringsfarve4 3 2 3 2 2 5" xfId="38946" xr:uid="{00000000-0005-0000-0000-00008F700000}"/>
    <cellStyle name="40 % - Markeringsfarve4 3 2 3 2 3" xfId="8564" xr:uid="{00000000-0005-0000-0000-000090700000}"/>
    <cellStyle name="40 % - Markeringsfarve4 3 2 3 2 3 2" xfId="16434" xr:uid="{00000000-0005-0000-0000-000091700000}"/>
    <cellStyle name="40 % - Markeringsfarve4 3 2 3 2 3 2 2" xfId="32710" xr:uid="{00000000-0005-0000-0000-000092700000}"/>
    <cellStyle name="40 % - Markeringsfarve4 3 2 3 2 3 2 3" xfId="47669" xr:uid="{00000000-0005-0000-0000-000093700000}"/>
    <cellStyle name="40 % - Markeringsfarve4 3 2 3 2 3 3" xfId="25708" xr:uid="{00000000-0005-0000-0000-000094700000}"/>
    <cellStyle name="40 % - Markeringsfarve4 3 2 3 2 3 4" xfId="40672" xr:uid="{00000000-0005-0000-0000-000095700000}"/>
    <cellStyle name="40 % - Markeringsfarve4 3 2 3 2 4" xfId="14703" xr:uid="{00000000-0005-0000-0000-000096700000}"/>
    <cellStyle name="40 % - Markeringsfarve4 3 2 3 2 4 2" xfId="30982" xr:uid="{00000000-0005-0000-0000-000097700000}"/>
    <cellStyle name="40 % - Markeringsfarve4 3 2 3 2 4 3" xfId="45942" xr:uid="{00000000-0005-0000-0000-000098700000}"/>
    <cellStyle name="40 % - Markeringsfarve4 3 2 3 2 5" xfId="23980" xr:uid="{00000000-0005-0000-0000-000099700000}"/>
    <cellStyle name="40 % - Markeringsfarve4 3 2 3 2 6" xfId="38945" xr:uid="{00000000-0005-0000-0000-00009A700000}"/>
    <cellStyle name="40 % - Markeringsfarve4 3 2 3 3" xfId="6220" xr:uid="{00000000-0005-0000-0000-00009B700000}"/>
    <cellStyle name="40 % - Markeringsfarve4 3 2 3 3 2" xfId="9248" xr:uid="{00000000-0005-0000-0000-00009C700000}"/>
    <cellStyle name="40 % - Markeringsfarve4 3 2 3 3 2 2" xfId="17112" xr:uid="{00000000-0005-0000-0000-00009D700000}"/>
    <cellStyle name="40 % - Markeringsfarve4 3 2 3 3 2 2 2" xfId="33388" xr:uid="{00000000-0005-0000-0000-00009E700000}"/>
    <cellStyle name="40 % - Markeringsfarve4 3 2 3 3 2 2 3" xfId="48347" xr:uid="{00000000-0005-0000-0000-00009F700000}"/>
    <cellStyle name="40 % - Markeringsfarve4 3 2 3 3 2 3" xfId="26386" xr:uid="{00000000-0005-0000-0000-0000A0700000}"/>
    <cellStyle name="40 % - Markeringsfarve4 3 2 3 3 2 4" xfId="41350" xr:uid="{00000000-0005-0000-0000-0000A1700000}"/>
    <cellStyle name="40 % - Markeringsfarve4 3 2 3 3 3" xfId="14705" xr:uid="{00000000-0005-0000-0000-0000A2700000}"/>
    <cellStyle name="40 % - Markeringsfarve4 3 2 3 3 3 2" xfId="30984" xr:uid="{00000000-0005-0000-0000-0000A3700000}"/>
    <cellStyle name="40 % - Markeringsfarve4 3 2 3 3 3 3" xfId="45944" xr:uid="{00000000-0005-0000-0000-0000A4700000}"/>
    <cellStyle name="40 % - Markeringsfarve4 3 2 3 3 4" xfId="23982" xr:uid="{00000000-0005-0000-0000-0000A5700000}"/>
    <cellStyle name="40 % - Markeringsfarve4 3 2 3 3 5" xfId="38947" xr:uid="{00000000-0005-0000-0000-0000A6700000}"/>
    <cellStyle name="40 % - Markeringsfarve4 3 2 3 4" xfId="6221" xr:uid="{00000000-0005-0000-0000-0000A7700000}"/>
    <cellStyle name="40 % - Markeringsfarve4 3 2 3 4 2" xfId="10915" xr:uid="{00000000-0005-0000-0000-0000A8700000}"/>
    <cellStyle name="40 % - Markeringsfarve4 3 2 3 4 2 2" xfId="18750" xr:uid="{00000000-0005-0000-0000-0000A9700000}"/>
    <cellStyle name="40 % - Markeringsfarve4 3 2 3 4 2 2 2" xfId="35026" xr:uid="{00000000-0005-0000-0000-0000AA700000}"/>
    <cellStyle name="40 % - Markeringsfarve4 3 2 3 4 2 2 3" xfId="49985" xr:uid="{00000000-0005-0000-0000-0000AB700000}"/>
    <cellStyle name="40 % - Markeringsfarve4 3 2 3 4 2 3" xfId="28024" xr:uid="{00000000-0005-0000-0000-0000AC700000}"/>
    <cellStyle name="40 % - Markeringsfarve4 3 2 3 4 2 4" xfId="42988" xr:uid="{00000000-0005-0000-0000-0000AD700000}"/>
    <cellStyle name="40 % - Markeringsfarve4 3 2 3 4 3" xfId="14706" xr:uid="{00000000-0005-0000-0000-0000AE700000}"/>
    <cellStyle name="40 % - Markeringsfarve4 3 2 3 4 3 2" xfId="30985" xr:uid="{00000000-0005-0000-0000-0000AF700000}"/>
    <cellStyle name="40 % - Markeringsfarve4 3 2 3 4 3 3" xfId="45945" xr:uid="{00000000-0005-0000-0000-0000B0700000}"/>
    <cellStyle name="40 % - Markeringsfarve4 3 2 3 4 4" xfId="23983" xr:uid="{00000000-0005-0000-0000-0000B1700000}"/>
    <cellStyle name="40 % - Markeringsfarve4 3 2 3 4 5" xfId="38948" xr:uid="{00000000-0005-0000-0000-0000B2700000}"/>
    <cellStyle name="40 % - Markeringsfarve4 3 2 3 5" xfId="8151" xr:uid="{00000000-0005-0000-0000-0000B3700000}"/>
    <cellStyle name="40 % - Markeringsfarve4 3 2 3 5 2" xfId="16016" xr:uid="{00000000-0005-0000-0000-0000B4700000}"/>
    <cellStyle name="40 % - Markeringsfarve4 3 2 3 5 2 2" xfId="32292" xr:uid="{00000000-0005-0000-0000-0000B5700000}"/>
    <cellStyle name="40 % - Markeringsfarve4 3 2 3 5 2 3" xfId="47251" xr:uid="{00000000-0005-0000-0000-0000B6700000}"/>
    <cellStyle name="40 % - Markeringsfarve4 3 2 3 5 3" xfId="25290" xr:uid="{00000000-0005-0000-0000-0000B7700000}"/>
    <cellStyle name="40 % - Markeringsfarve4 3 2 3 5 4" xfId="40254" xr:uid="{00000000-0005-0000-0000-0000B8700000}"/>
    <cellStyle name="40 % - Markeringsfarve4 3 2 3 6" xfId="14702" xr:uid="{00000000-0005-0000-0000-0000B9700000}"/>
    <cellStyle name="40 % - Markeringsfarve4 3 2 3 6 2" xfId="30981" xr:uid="{00000000-0005-0000-0000-0000BA700000}"/>
    <cellStyle name="40 % - Markeringsfarve4 3 2 3 6 3" xfId="45941" xr:uid="{00000000-0005-0000-0000-0000BB700000}"/>
    <cellStyle name="40 % - Markeringsfarve4 3 2 3 7" xfId="23979" xr:uid="{00000000-0005-0000-0000-0000BC700000}"/>
    <cellStyle name="40 % - Markeringsfarve4 3 2 3 8" xfId="38944" xr:uid="{00000000-0005-0000-0000-0000BD700000}"/>
    <cellStyle name="40 % - Markeringsfarve4 3 2 4" xfId="6222" xr:uid="{00000000-0005-0000-0000-0000BE700000}"/>
    <cellStyle name="40 % - Markeringsfarve4 3 2 4 2" xfId="6223" xr:uid="{00000000-0005-0000-0000-0000BF700000}"/>
    <cellStyle name="40 % - Markeringsfarve4 3 2 4 2 2" xfId="6224" xr:uid="{00000000-0005-0000-0000-0000C0700000}"/>
    <cellStyle name="40 % - Markeringsfarve4 3 2 4 2 2 2" xfId="10111" xr:uid="{00000000-0005-0000-0000-0000C1700000}"/>
    <cellStyle name="40 % - Markeringsfarve4 3 2 4 2 2 2 2" xfId="17966" xr:uid="{00000000-0005-0000-0000-0000C2700000}"/>
    <cellStyle name="40 % - Markeringsfarve4 3 2 4 2 2 2 2 2" xfId="34242" xr:uid="{00000000-0005-0000-0000-0000C3700000}"/>
    <cellStyle name="40 % - Markeringsfarve4 3 2 4 2 2 2 2 3" xfId="49201" xr:uid="{00000000-0005-0000-0000-0000C4700000}"/>
    <cellStyle name="40 % - Markeringsfarve4 3 2 4 2 2 2 3" xfId="27240" xr:uid="{00000000-0005-0000-0000-0000C5700000}"/>
    <cellStyle name="40 % - Markeringsfarve4 3 2 4 2 2 2 4" xfId="42204" xr:uid="{00000000-0005-0000-0000-0000C6700000}"/>
    <cellStyle name="40 % - Markeringsfarve4 3 2 4 2 2 3" xfId="14709" xr:uid="{00000000-0005-0000-0000-0000C7700000}"/>
    <cellStyle name="40 % - Markeringsfarve4 3 2 4 2 2 3 2" xfId="30988" xr:uid="{00000000-0005-0000-0000-0000C8700000}"/>
    <cellStyle name="40 % - Markeringsfarve4 3 2 4 2 2 3 3" xfId="45948" xr:uid="{00000000-0005-0000-0000-0000C9700000}"/>
    <cellStyle name="40 % - Markeringsfarve4 3 2 4 2 2 4" xfId="23986" xr:uid="{00000000-0005-0000-0000-0000CA700000}"/>
    <cellStyle name="40 % - Markeringsfarve4 3 2 4 2 2 5" xfId="38951" xr:uid="{00000000-0005-0000-0000-0000CB700000}"/>
    <cellStyle name="40 % - Markeringsfarve4 3 2 4 2 3" xfId="8650" xr:uid="{00000000-0005-0000-0000-0000CC700000}"/>
    <cellStyle name="40 % - Markeringsfarve4 3 2 4 2 3 2" xfId="16517" xr:uid="{00000000-0005-0000-0000-0000CD700000}"/>
    <cellStyle name="40 % - Markeringsfarve4 3 2 4 2 3 2 2" xfId="32793" xr:uid="{00000000-0005-0000-0000-0000CE700000}"/>
    <cellStyle name="40 % - Markeringsfarve4 3 2 4 2 3 2 3" xfId="47752" xr:uid="{00000000-0005-0000-0000-0000CF700000}"/>
    <cellStyle name="40 % - Markeringsfarve4 3 2 4 2 3 3" xfId="25791" xr:uid="{00000000-0005-0000-0000-0000D0700000}"/>
    <cellStyle name="40 % - Markeringsfarve4 3 2 4 2 3 4" xfId="40755" xr:uid="{00000000-0005-0000-0000-0000D1700000}"/>
    <cellStyle name="40 % - Markeringsfarve4 3 2 4 2 4" xfId="14708" xr:uid="{00000000-0005-0000-0000-0000D2700000}"/>
    <cellStyle name="40 % - Markeringsfarve4 3 2 4 2 4 2" xfId="30987" xr:uid="{00000000-0005-0000-0000-0000D3700000}"/>
    <cellStyle name="40 % - Markeringsfarve4 3 2 4 2 4 3" xfId="45947" xr:uid="{00000000-0005-0000-0000-0000D4700000}"/>
    <cellStyle name="40 % - Markeringsfarve4 3 2 4 2 5" xfId="23985" xr:uid="{00000000-0005-0000-0000-0000D5700000}"/>
    <cellStyle name="40 % - Markeringsfarve4 3 2 4 2 6" xfId="38950" xr:uid="{00000000-0005-0000-0000-0000D6700000}"/>
    <cellStyle name="40 % - Markeringsfarve4 3 2 4 3" xfId="6225" xr:uid="{00000000-0005-0000-0000-0000D7700000}"/>
    <cellStyle name="40 % - Markeringsfarve4 3 2 4 3 2" xfId="9388" xr:uid="{00000000-0005-0000-0000-0000D8700000}"/>
    <cellStyle name="40 % - Markeringsfarve4 3 2 4 3 2 2" xfId="17251" xr:uid="{00000000-0005-0000-0000-0000D9700000}"/>
    <cellStyle name="40 % - Markeringsfarve4 3 2 4 3 2 2 2" xfId="33527" xr:uid="{00000000-0005-0000-0000-0000DA700000}"/>
    <cellStyle name="40 % - Markeringsfarve4 3 2 4 3 2 2 3" xfId="48486" xr:uid="{00000000-0005-0000-0000-0000DB700000}"/>
    <cellStyle name="40 % - Markeringsfarve4 3 2 4 3 2 3" xfId="26525" xr:uid="{00000000-0005-0000-0000-0000DC700000}"/>
    <cellStyle name="40 % - Markeringsfarve4 3 2 4 3 2 4" xfId="41489" xr:uid="{00000000-0005-0000-0000-0000DD700000}"/>
    <cellStyle name="40 % - Markeringsfarve4 3 2 4 3 3" xfId="14710" xr:uid="{00000000-0005-0000-0000-0000DE700000}"/>
    <cellStyle name="40 % - Markeringsfarve4 3 2 4 3 3 2" xfId="30989" xr:uid="{00000000-0005-0000-0000-0000DF700000}"/>
    <cellStyle name="40 % - Markeringsfarve4 3 2 4 3 3 3" xfId="45949" xr:uid="{00000000-0005-0000-0000-0000E0700000}"/>
    <cellStyle name="40 % - Markeringsfarve4 3 2 4 3 4" xfId="23987" xr:uid="{00000000-0005-0000-0000-0000E1700000}"/>
    <cellStyle name="40 % - Markeringsfarve4 3 2 4 3 5" xfId="38952" xr:uid="{00000000-0005-0000-0000-0000E2700000}"/>
    <cellStyle name="40 % - Markeringsfarve4 3 2 4 4" xfId="6226" xr:uid="{00000000-0005-0000-0000-0000E3700000}"/>
    <cellStyle name="40 % - Markeringsfarve4 3 2 4 4 2" xfId="10640" xr:uid="{00000000-0005-0000-0000-0000E4700000}"/>
    <cellStyle name="40 % - Markeringsfarve4 3 2 4 4 2 2" xfId="18487" xr:uid="{00000000-0005-0000-0000-0000E5700000}"/>
    <cellStyle name="40 % - Markeringsfarve4 3 2 4 4 2 2 2" xfId="34763" xr:uid="{00000000-0005-0000-0000-0000E6700000}"/>
    <cellStyle name="40 % - Markeringsfarve4 3 2 4 4 2 2 3" xfId="49722" xr:uid="{00000000-0005-0000-0000-0000E7700000}"/>
    <cellStyle name="40 % - Markeringsfarve4 3 2 4 4 2 3" xfId="27761" xr:uid="{00000000-0005-0000-0000-0000E8700000}"/>
    <cellStyle name="40 % - Markeringsfarve4 3 2 4 4 2 4" xfId="42725" xr:uid="{00000000-0005-0000-0000-0000E9700000}"/>
    <cellStyle name="40 % - Markeringsfarve4 3 2 4 4 3" xfId="14711" xr:uid="{00000000-0005-0000-0000-0000EA700000}"/>
    <cellStyle name="40 % - Markeringsfarve4 3 2 4 4 3 2" xfId="30990" xr:uid="{00000000-0005-0000-0000-0000EB700000}"/>
    <cellStyle name="40 % - Markeringsfarve4 3 2 4 4 3 3" xfId="45950" xr:uid="{00000000-0005-0000-0000-0000EC700000}"/>
    <cellStyle name="40 % - Markeringsfarve4 3 2 4 4 4" xfId="23988" xr:uid="{00000000-0005-0000-0000-0000ED700000}"/>
    <cellStyle name="40 % - Markeringsfarve4 3 2 4 4 5" xfId="38953" xr:uid="{00000000-0005-0000-0000-0000EE700000}"/>
    <cellStyle name="40 % - Markeringsfarve4 3 2 4 5" xfId="8152" xr:uid="{00000000-0005-0000-0000-0000EF700000}"/>
    <cellStyle name="40 % - Markeringsfarve4 3 2 4 5 2" xfId="16017" xr:uid="{00000000-0005-0000-0000-0000F0700000}"/>
    <cellStyle name="40 % - Markeringsfarve4 3 2 4 5 2 2" xfId="32293" xr:uid="{00000000-0005-0000-0000-0000F1700000}"/>
    <cellStyle name="40 % - Markeringsfarve4 3 2 4 5 2 3" xfId="47252" xr:uid="{00000000-0005-0000-0000-0000F2700000}"/>
    <cellStyle name="40 % - Markeringsfarve4 3 2 4 5 3" xfId="25291" xr:uid="{00000000-0005-0000-0000-0000F3700000}"/>
    <cellStyle name="40 % - Markeringsfarve4 3 2 4 5 4" xfId="40255" xr:uid="{00000000-0005-0000-0000-0000F4700000}"/>
    <cellStyle name="40 % - Markeringsfarve4 3 2 4 6" xfId="14707" xr:uid="{00000000-0005-0000-0000-0000F5700000}"/>
    <cellStyle name="40 % - Markeringsfarve4 3 2 4 6 2" xfId="30986" xr:uid="{00000000-0005-0000-0000-0000F6700000}"/>
    <cellStyle name="40 % - Markeringsfarve4 3 2 4 6 3" xfId="45946" xr:uid="{00000000-0005-0000-0000-0000F7700000}"/>
    <cellStyle name="40 % - Markeringsfarve4 3 2 4 7" xfId="23984" xr:uid="{00000000-0005-0000-0000-0000F8700000}"/>
    <cellStyle name="40 % - Markeringsfarve4 3 2 4 8" xfId="38949" xr:uid="{00000000-0005-0000-0000-0000F9700000}"/>
    <cellStyle name="40 % - Markeringsfarve4 3 2 5" xfId="6227" xr:uid="{00000000-0005-0000-0000-0000FA700000}"/>
    <cellStyle name="40 % - Markeringsfarve4 3 2 5 2" xfId="6228" xr:uid="{00000000-0005-0000-0000-0000FB700000}"/>
    <cellStyle name="40 % - Markeringsfarve4 3 2 5 2 2" xfId="6229" xr:uid="{00000000-0005-0000-0000-0000FC700000}"/>
    <cellStyle name="40 % - Markeringsfarve4 3 2 5 2 2 2" xfId="10228" xr:uid="{00000000-0005-0000-0000-0000FD700000}"/>
    <cellStyle name="40 % - Markeringsfarve4 3 2 5 2 2 2 2" xfId="18083" xr:uid="{00000000-0005-0000-0000-0000FE700000}"/>
    <cellStyle name="40 % - Markeringsfarve4 3 2 5 2 2 2 2 2" xfId="34359" xr:uid="{00000000-0005-0000-0000-0000FF700000}"/>
    <cellStyle name="40 % - Markeringsfarve4 3 2 5 2 2 2 2 3" xfId="49318" xr:uid="{00000000-0005-0000-0000-000000710000}"/>
    <cellStyle name="40 % - Markeringsfarve4 3 2 5 2 2 2 3" xfId="27357" xr:uid="{00000000-0005-0000-0000-000001710000}"/>
    <cellStyle name="40 % - Markeringsfarve4 3 2 5 2 2 2 4" xfId="42321" xr:uid="{00000000-0005-0000-0000-000002710000}"/>
    <cellStyle name="40 % - Markeringsfarve4 3 2 5 2 2 3" xfId="14714" xr:uid="{00000000-0005-0000-0000-000003710000}"/>
    <cellStyle name="40 % - Markeringsfarve4 3 2 5 2 2 3 2" xfId="30993" xr:uid="{00000000-0005-0000-0000-000004710000}"/>
    <cellStyle name="40 % - Markeringsfarve4 3 2 5 2 2 3 3" xfId="45953" xr:uid="{00000000-0005-0000-0000-000005710000}"/>
    <cellStyle name="40 % - Markeringsfarve4 3 2 5 2 2 4" xfId="23991" xr:uid="{00000000-0005-0000-0000-000006710000}"/>
    <cellStyle name="40 % - Markeringsfarve4 3 2 5 2 2 5" xfId="38956" xr:uid="{00000000-0005-0000-0000-000007710000}"/>
    <cellStyle name="40 % - Markeringsfarve4 3 2 5 2 3" xfId="8749" xr:uid="{00000000-0005-0000-0000-000008710000}"/>
    <cellStyle name="40 % - Markeringsfarve4 3 2 5 2 3 2" xfId="16616" xr:uid="{00000000-0005-0000-0000-000009710000}"/>
    <cellStyle name="40 % - Markeringsfarve4 3 2 5 2 3 2 2" xfId="32892" xr:uid="{00000000-0005-0000-0000-00000A710000}"/>
    <cellStyle name="40 % - Markeringsfarve4 3 2 5 2 3 2 3" xfId="47851" xr:uid="{00000000-0005-0000-0000-00000B710000}"/>
    <cellStyle name="40 % - Markeringsfarve4 3 2 5 2 3 3" xfId="25890" xr:uid="{00000000-0005-0000-0000-00000C710000}"/>
    <cellStyle name="40 % - Markeringsfarve4 3 2 5 2 3 4" xfId="40854" xr:uid="{00000000-0005-0000-0000-00000D710000}"/>
    <cellStyle name="40 % - Markeringsfarve4 3 2 5 2 4" xfId="14713" xr:uid="{00000000-0005-0000-0000-00000E710000}"/>
    <cellStyle name="40 % - Markeringsfarve4 3 2 5 2 4 2" xfId="30992" xr:uid="{00000000-0005-0000-0000-00000F710000}"/>
    <cellStyle name="40 % - Markeringsfarve4 3 2 5 2 4 3" xfId="45952" xr:uid="{00000000-0005-0000-0000-000010710000}"/>
    <cellStyle name="40 % - Markeringsfarve4 3 2 5 2 5" xfId="23990" xr:uid="{00000000-0005-0000-0000-000011710000}"/>
    <cellStyle name="40 % - Markeringsfarve4 3 2 5 2 6" xfId="38955" xr:uid="{00000000-0005-0000-0000-000012710000}"/>
    <cellStyle name="40 % - Markeringsfarve4 3 2 5 3" xfId="6230" xr:uid="{00000000-0005-0000-0000-000013710000}"/>
    <cellStyle name="40 % - Markeringsfarve4 3 2 5 3 2" xfId="9505" xr:uid="{00000000-0005-0000-0000-000014710000}"/>
    <cellStyle name="40 % - Markeringsfarve4 3 2 5 3 2 2" xfId="17368" xr:uid="{00000000-0005-0000-0000-000015710000}"/>
    <cellStyle name="40 % - Markeringsfarve4 3 2 5 3 2 2 2" xfId="33644" xr:uid="{00000000-0005-0000-0000-000016710000}"/>
    <cellStyle name="40 % - Markeringsfarve4 3 2 5 3 2 2 3" xfId="48603" xr:uid="{00000000-0005-0000-0000-000017710000}"/>
    <cellStyle name="40 % - Markeringsfarve4 3 2 5 3 2 3" xfId="26642" xr:uid="{00000000-0005-0000-0000-000018710000}"/>
    <cellStyle name="40 % - Markeringsfarve4 3 2 5 3 2 4" xfId="41606" xr:uid="{00000000-0005-0000-0000-000019710000}"/>
    <cellStyle name="40 % - Markeringsfarve4 3 2 5 3 3" xfId="14715" xr:uid="{00000000-0005-0000-0000-00001A710000}"/>
    <cellStyle name="40 % - Markeringsfarve4 3 2 5 3 3 2" xfId="30994" xr:uid="{00000000-0005-0000-0000-00001B710000}"/>
    <cellStyle name="40 % - Markeringsfarve4 3 2 5 3 3 3" xfId="45954" xr:uid="{00000000-0005-0000-0000-00001C710000}"/>
    <cellStyle name="40 % - Markeringsfarve4 3 2 5 3 4" xfId="23992" xr:uid="{00000000-0005-0000-0000-00001D710000}"/>
    <cellStyle name="40 % - Markeringsfarve4 3 2 5 3 5" xfId="38957" xr:uid="{00000000-0005-0000-0000-00001E710000}"/>
    <cellStyle name="40 % - Markeringsfarve4 3 2 5 4" xfId="6231" xr:uid="{00000000-0005-0000-0000-00001F710000}"/>
    <cellStyle name="40 % - Markeringsfarve4 3 2 5 4 2" xfId="10875" xr:uid="{00000000-0005-0000-0000-000020710000}"/>
    <cellStyle name="40 % - Markeringsfarve4 3 2 5 4 2 2" xfId="18712" xr:uid="{00000000-0005-0000-0000-000021710000}"/>
    <cellStyle name="40 % - Markeringsfarve4 3 2 5 4 2 2 2" xfId="34988" xr:uid="{00000000-0005-0000-0000-000022710000}"/>
    <cellStyle name="40 % - Markeringsfarve4 3 2 5 4 2 2 3" xfId="49947" xr:uid="{00000000-0005-0000-0000-000023710000}"/>
    <cellStyle name="40 % - Markeringsfarve4 3 2 5 4 2 3" xfId="27986" xr:uid="{00000000-0005-0000-0000-000024710000}"/>
    <cellStyle name="40 % - Markeringsfarve4 3 2 5 4 2 4" xfId="42950" xr:uid="{00000000-0005-0000-0000-000025710000}"/>
    <cellStyle name="40 % - Markeringsfarve4 3 2 5 4 3" xfId="14716" xr:uid="{00000000-0005-0000-0000-000026710000}"/>
    <cellStyle name="40 % - Markeringsfarve4 3 2 5 4 3 2" xfId="30995" xr:uid="{00000000-0005-0000-0000-000027710000}"/>
    <cellStyle name="40 % - Markeringsfarve4 3 2 5 4 3 3" xfId="45955" xr:uid="{00000000-0005-0000-0000-000028710000}"/>
    <cellStyle name="40 % - Markeringsfarve4 3 2 5 4 4" xfId="23993" xr:uid="{00000000-0005-0000-0000-000029710000}"/>
    <cellStyle name="40 % - Markeringsfarve4 3 2 5 4 5" xfId="38958" xr:uid="{00000000-0005-0000-0000-00002A710000}"/>
    <cellStyle name="40 % - Markeringsfarve4 3 2 5 5" xfId="8153" xr:uid="{00000000-0005-0000-0000-00002B710000}"/>
    <cellStyle name="40 % - Markeringsfarve4 3 2 5 5 2" xfId="16018" xr:uid="{00000000-0005-0000-0000-00002C710000}"/>
    <cellStyle name="40 % - Markeringsfarve4 3 2 5 5 2 2" xfId="32294" xr:uid="{00000000-0005-0000-0000-00002D710000}"/>
    <cellStyle name="40 % - Markeringsfarve4 3 2 5 5 2 3" xfId="47253" xr:uid="{00000000-0005-0000-0000-00002E710000}"/>
    <cellStyle name="40 % - Markeringsfarve4 3 2 5 5 3" xfId="25292" xr:uid="{00000000-0005-0000-0000-00002F710000}"/>
    <cellStyle name="40 % - Markeringsfarve4 3 2 5 5 4" xfId="40256" xr:uid="{00000000-0005-0000-0000-000030710000}"/>
    <cellStyle name="40 % - Markeringsfarve4 3 2 5 6" xfId="14712" xr:uid="{00000000-0005-0000-0000-000031710000}"/>
    <cellStyle name="40 % - Markeringsfarve4 3 2 5 6 2" xfId="30991" xr:uid="{00000000-0005-0000-0000-000032710000}"/>
    <cellStyle name="40 % - Markeringsfarve4 3 2 5 6 3" xfId="45951" xr:uid="{00000000-0005-0000-0000-000033710000}"/>
    <cellStyle name="40 % - Markeringsfarve4 3 2 5 7" xfId="23989" xr:uid="{00000000-0005-0000-0000-000034710000}"/>
    <cellStyle name="40 % - Markeringsfarve4 3 2 5 8" xfId="38954" xr:uid="{00000000-0005-0000-0000-000035710000}"/>
    <cellStyle name="40 % - Markeringsfarve4 3 2 6" xfId="6232" xr:uid="{00000000-0005-0000-0000-000036710000}"/>
    <cellStyle name="40 % - Markeringsfarve4 3 2 6 2" xfId="6233" xr:uid="{00000000-0005-0000-0000-000037710000}"/>
    <cellStyle name="40 % - Markeringsfarve4 3 2 6 2 2" xfId="6234" xr:uid="{00000000-0005-0000-0000-000038710000}"/>
    <cellStyle name="40 % - Markeringsfarve4 3 2 6 2 2 2" xfId="10371" xr:uid="{00000000-0005-0000-0000-000039710000}"/>
    <cellStyle name="40 % - Markeringsfarve4 3 2 6 2 2 2 2" xfId="18226" xr:uid="{00000000-0005-0000-0000-00003A710000}"/>
    <cellStyle name="40 % - Markeringsfarve4 3 2 6 2 2 2 2 2" xfId="34502" xr:uid="{00000000-0005-0000-0000-00003B710000}"/>
    <cellStyle name="40 % - Markeringsfarve4 3 2 6 2 2 2 2 3" xfId="49461" xr:uid="{00000000-0005-0000-0000-00003C710000}"/>
    <cellStyle name="40 % - Markeringsfarve4 3 2 6 2 2 2 3" xfId="27500" xr:uid="{00000000-0005-0000-0000-00003D710000}"/>
    <cellStyle name="40 % - Markeringsfarve4 3 2 6 2 2 2 4" xfId="42464" xr:uid="{00000000-0005-0000-0000-00003E710000}"/>
    <cellStyle name="40 % - Markeringsfarve4 3 2 6 2 2 3" xfId="14719" xr:uid="{00000000-0005-0000-0000-00003F710000}"/>
    <cellStyle name="40 % - Markeringsfarve4 3 2 6 2 2 3 2" xfId="30998" xr:uid="{00000000-0005-0000-0000-000040710000}"/>
    <cellStyle name="40 % - Markeringsfarve4 3 2 6 2 2 3 3" xfId="45958" xr:uid="{00000000-0005-0000-0000-000041710000}"/>
    <cellStyle name="40 % - Markeringsfarve4 3 2 6 2 2 4" xfId="23996" xr:uid="{00000000-0005-0000-0000-000042710000}"/>
    <cellStyle name="40 % - Markeringsfarve4 3 2 6 2 2 5" xfId="38961" xr:uid="{00000000-0005-0000-0000-000043710000}"/>
    <cellStyle name="40 % - Markeringsfarve4 3 2 6 2 3" xfId="8865" xr:uid="{00000000-0005-0000-0000-000044710000}"/>
    <cellStyle name="40 % - Markeringsfarve4 3 2 6 2 3 2" xfId="16732" xr:uid="{00000000-0005-0000-0000-000045710000}"/>
    <cellStyle name="40 % - Markeringsfarve4 3 2 6 2 3 2 2" xfId="33008" xr:uid="{00000000-0005-0000-0000-000046710000}"/>
    <cellStyle name="40 % - Markeringsfarve4 3 2 6 2 3 2 3" xfId="47967" xr:uid="{00000000-0005-0000-0000-000047710000}"/>
    <cellStyle name="40 % - Markeringsfarve4 3 2 6 2 3 3" xfId="26006" xr:uid="{00000000-0005-0000-0000-000048710000}"/>
    <cellStyle name="40 % - Markeringsfarve4 3 2 6 2 3 4" xfId="40970" xr:uid="{00000000-0005-0000-0000-000049710000}"/>
    <cellStyle name="40 % - Markeringsfarve4 3 2 6 2 4" xfId="14718" xr:uid="{00000000-0005-0000-0000-00004A710000}"/>
    <cellStyle name="40 % - Markeringsfarve4 3 2 6 2 4 2" xfId="30997" xr:uid="{00000000-0005-0000-0000-00004B710000}"/>
    <cellStyle name="40 % - Markeringsfarve4 3 2 6 2 4 3" xfId="45957" xr:uid="{00000000-0005-0000-0000-00004C710000}"/>
    <cellStyle name="40 % - Markeringsfarve4 3 2 6 2 5" xfId="23995" xr:uid="{00000000-0005-0000-0000-00004D710000}"/>
    <cellStyle name="40 % - Markeringsfarve4 3 2 6 2 6" xfId="38960" xr:uid="{00000000-0005-0000-0000-00004E710000}"/>
    <cellStyle name="40 % - Markeringsfarve4 3 2 6 3" xfId="6235" xr:uid="{00000000-0005-0000-0000-00004F710000}"/>
    <cellStyle name="40 % - Markeringsfarve4 3 2 6 3 2" xfId="9649" xr:uid="{00000000-0005-0000-0000-000050710000}"/>
    <cellStyle name="40 % - Markeringsfarve4 3 2 6 3 2 2" xfId="17512" xr:uid="{00000000-0005-0000-0000-000051710000}"/>
    <cellStyle name="40 % - Markeringsfarve4 3 2 6 3 2 2 2" xfId="33788" xr:uid="{00000000-0005-0000-0000-000052710000}"/>
    <cellStyle name="40 % - Markeringsfarve4 3 2 6 3 2 2 3" xfId="48747" xr:uid="{00000000-0005-0000-0000-000053710000}"/>
    <cellStyle name="40 % - Markeringsfarve4 3 2 6 3 2 3" xfId="26786" xr:uid="{00000000-0005-0000-0000-000054710000}"/>
    <cellStyle name="40 % - Markeringsfarve4 3 2 6 3 2 4" xfId="41750" xr:uid="{00000000-0005-0000-0000-000055710000}"/>
    <cellStyle name="40 % - Markeringsfarve4 3 2 6 3 3" xfId="14720" xr:uid="{00000000-0005-0000-0000-000056710000}"/>
    <cellStyle name="40 % - Markeringsfarve4 3 2 6 3 3 2" xfId="30999" xr:uid="{00000000-0005-0000-0000-000057710000}"/>
    <cellStyle name="40 % - Markeringsfarve4 3 2 6 3 3 3" xfId="45959" xr:uid="{00000000-0005-0000-0000-000058710000}"/>
    <cellStyle name="40 % - Markeringsfarve4 3 2 6 3 4" xfId="23997" xr:uid="{00000000-0005-0000-0000-000059710000}"/>
    <cellStyle name="40 % - Markeringsfarve4 3 2 6 3 5" xfId="38962" xr:uid="{00000000-0005-0000-0000-00005A710000}"/>
    <cellStyle name="40 % - Markeringsfarve4 3 2 6 4" xfId="6236" xr:uid="{00000000-0005-0000-0000-00005B710000}"/>
    <cellStyle name="40 % - Markeringsfarve4 3 2 6 4 2" xfId="10598" xr:uid="{00000000-0005-0000-0000-00005C710000}"/>
    <cellStyle name="40 % - Markeringsfarve4 3 2 6 4 2 2" xfId="18446" xr:uid="{00000000-0005-0000-0000-00005D710000}"/>
    <cellStyle name="40 % - Markeringsfarve4 3 2 6 4 2 2 2" xfId="34722" xr:uid="{00000000-0005-0000-0000-00005E710000}"/>
    <cellStyle name="40 % - Markeringsfarve4 3 2 6 4 2 2 3" xfId="49681" xr:uid="{00000000-0005-0000-0000-00005F710000}"/>
    <cellStyle name="40 % - Markeringsfarve4 3 2 6 4 2 3" xfId="27720" xr:uid="{00000000-0005-0000-0000-000060710000}"/>
    <cellStyle name="40 % - Markeringsfarve4 3 2 6 4 2 4" xfId="42684" xr:uid="{00000000-0005-0000-0000-000061710000}"/>
    <cellStyle name="40 % - Markeringsfarve4 3 2 6 4 3" xfId="14721" xr:uid="{00000000-0005-0000-0000-000062710000}"/>
    <cellStyle name="40 % - Markeringsfarve4 3 2 6 4 3 2" xfId="31000" xr:uid="{00000000-0005-0000-0000-000063710000}"/>
    <cellStyle name="40 % - Markeringsfarve4 3 2 6 4 3 3" xfId="45960" xr:uid="{00000000-0005-0000-0000-000064710000}"/>
    <cellStyle name="40 % - Markeringsfarve4 3 2 6 4 4" xfId="23998" xr:uid="{00000000-0005-0000-0000-000065710000}"/>
    <cellStyle name="40 % - Markeringsfarve4 3 2 6 4 5" xfId="38963" xr:uid="{00000000-0005-0000-0000-000066710000}"/>
    <cellStyle name="40 % - Markeringsfarve4 3 2 6 5" xfId="8154" xr:uid="{00000000-0005-0000-0000-000067710000}"/>
    <cellStyle name="40 % - Markeringsfarve4 3 2 6 5 2" xfId="16019" xr:uid="{00000000-0005-0000-0000-000068710000}"/>
    <cellStyle name="40 % - Markeringsfarve4 3 2 6 5 2 2" xfId="32295" xr:uid="{00000000-0005-0000-0000-000069710000}"/>
    <cellStyle name="40 % - Markeringsfarve4 3 2 6 5 2 3" xfId="47254" xr:uid="{00000000-0005-0000-0000-00006A710000}"/>
    <cellStyle name="40 % - Markeringsfarve4 3 2 6 5 3" xfId="25293" xr:uid="{00000000-0005-0000-0000-00006B710000}"/>
    <cellStyle name="40 % - Markeringsfarve4 3 2 6 5 4" xfId="40257" xr:uid="{00000000-0005-0000-0000-00006C710000}"/>
    <cellStyle name="40 % - Markeringsfarve4 3 2 6 6" xfId="14717" xr:uid="{00000000-0005-0000-0000-00006D710000}"/>
    <cellStyle name="40 % - Markeringsfarve4 3 2 6 6 2" xfId="30996" xr:uid="{00000000-0005-0000-0000-00006E710000}"/>
    <cellStyle name="40 % - Markeringsfarve4 3 2 6 6 3" xfId="45956" xr:uid="{00000000-0005-0000-0000-00006F710000}"/>
    <cellStyle name="40 % - Markeringsfarve4 3 2 6 7" xfId="23994" xr:uid="{00000000-0005-0000-0000-000070710000}"/>
    <cellStyle name="40 % - Markeringsfarve4 3 2 6 8" xfId="38959" xr:uid="{00000000-0005-0000-0000-000071710000}"/>
    <cellStyle name="40 % - Markeringsfarve4 3 2 7" xfId="6237" xr:uid="{00000000-0005-0000-0000-000072710000}"/>
    <cellStyle name="40 % - Markeringsfarve4 3 2 7 2" xfId="6238" xr:uid="{00000000-0005-0000-0000-000073710000}"/>
    <cellStyle name="40 % - Markeringsfarve4 3 2 7 2 2" xfId="9755" xr:uid="{00000000-0005-0000-0000-000074710000}"/>
    <cellStyle name="40 % - Markeringsfarve4 3 2 7 2 2 2" xfId="17609" xr:uid="{00000000-0005-0000-0000-000075710000}"/>
    <cellStyle name="40 % - Markeringsfarve4 3 2 7 2 2 2 2" xfId="33885" xr:uid="{00000000-0005-0000-0000-000076710000}"/>
    <cellStyle name="40 % - Markeringsfarve4 3 2 7 2 2 2 3" xfId="48844" xr:uid="{00000000-0005-0000-0000-000077710000}"/>
    <cellStyle name="40 % - Markeringsfarve4 3 2 7 2 2 3" xfId="26883" xr:uid="{00000000-0005-0000-0000-000078710000}"/>
    <cellStyle name="40 % - Markeringsfarve4 3 2 7 2 2 4" xfId="41847" xr:uid="{00000000-0005-0000-0000-000079710000}"/>
    <cellStyle name="40 % - Markeringsfarve4 3 2 7 2 3" xfId="14723" xr:uid="{00000000-0005-0000-0000-00007A710000}"/>
    <cellStyle name="40 % - Markeringsfarve4 3 2 7 2 3 2" xfId="31002" xr:uid="{00000000-0005-0000-0000-00007B710000}"/>
    <cellStyle name="40 % - Markeringsfarve4 3 2 7 2 3 3" xfId="45962" xr:uid="{00000000-0005-0000-0000-00007C710000}"/>
    <cellStyle name="40 % - Markeringsfarve4 3 2 7 2 4" xfId="24000" xr:uid="{00000000-0005-0000-0000-00007D710000}"/>
    <cellStyle name="40 % - Markeringsfarve4 3 2 7 2 5" xfId="38965" xr:uid="{00000000-0005-0000-0000-00007E710000}"/>
    <cellStyle name="40 % - Markeringsfarve4 3 2 7 3" xfId="8349" xr:uid="{00000000-0005-0000-0000-00007F710000}"/>
    <cellStyle name="40 % - Markeringsfarve4 3 2 7 3 2" xfId="16219" xr:uid="{00000000-0005-0000-0000-000080710000}"/>
    <cellStyle name="40 % - Markeringsfarve4 3 2 7 3 2 2" xfId="32495" xr:uid="{00000000-0005-0000-0000-000081710000}"/>
    <cellStyle name="40 % - Markeringsfarve4 3 2 7 3 2 3" xfId="47454" xr:uid="{00000000-0005-0000-0000-000082710000}"/>
    <cellStyle name="40 % - Markeringsfarve4 3 2 7 3 3" xfId="25493" xr:uid="{00000000-0005-0000-0000-000083710000}"/>
    <cellStyle name="40 % - Markeringsfarve4 3 2 7 3 4" xfId="40457" xr:uid="{00000000-0005-0000-0000-000084710000}"/>
    <cellStyle name="40 % - Markeringsfarve4 3 2 7 4" xfId="14722" xr:uid="{00000000-0005-0000-0000-000085710000}"/>
    <cellStyle name="40 % - Markeringsfarve4 3 2 7 4 2" xfId="31001" xr:uid="{00000000-0005-0000-0000-000086710000}"/>
    <cellStyle name="40 % - Markeringsfarve4 3 2 7 4 3" xfId="45961" xr:uid="{00000000-0005-0000-0000-000087710000}"/>
    <cellStyle name="40 % - Markeringsfarve4 3 2 7 5" xfId="23999" xr:uid="{00000000-0005-0000-0000-000088710000}"/>
    <cellStyle name="40 % - Markeringsfarve4 3 2 7 6" xfId="38964" xr:uid="{00000000-0005-0000-0000-000089710000}"/>
    <cellStyle name="40 % - Markeringsfarve4 3 2 8" xfId="6239" xr:uid="{00000000-0005-0000-0000-00008A710000}"/>
    <cellStyle name="40 % - Markeringsfarve4 3 2 8 2" xfId="8983" xr:uid="{00000000-0005-0000-0000-00008B710000}"/>
    <cellStyle name="40 % - Markeringsfarve4 3 2 8 2 2" xfId="16847" xr:uid="{00000000-0005-0000-0000-00008C710000}"/>
    <cellStyle name="40 % - Markeringsfarve4 3 2 8 2 2 2" xfId="33123" xr:uid="{00000000-0005-0000-0000-00008D710000}"/>
    <cellStyle name="40 % - Markeringsfarve4 3 2 8 2 2 3" xfId="48082" xr:uid="{00000000-0005-0000-0000-00008E710000}"/>
    <cellStyle name="40 % - Markeringsfarve4 3 2 8 2 3" xfId="26121" xr:uid="{00000000-0005-0000-0000-00008F710000}"/>
    <cellStyle name="40 % - Markeringsfarve4 3 2 8 2 4" xfId="41085" xr:uid="{00000000-0005-0000-0000-000090710000}"/>
    <cellStyle name="40 % - Markeringsfarve4 3 2 8 3" xfId="14724" xr:uid="{00000000-0005-0000-0000-000091710000}"/>
    <cellStyle name="40 % - Markeringsfarve4 3 2 8 3 2" xfId="31003" xr:uid="{00000000-0005-0000-0000-000092710000}"/>
    <cellStyle name="40 % - Markeringsfarve4 3 2 8 3 3" xfId="45963" xr:uid="{00000000-0005-0000-0000-000093710000}"/>
    <cellStyle name="40 % - Markeringsfarve4 3 2 8 4" xfId="24001" xr:uid="{00000000-0005-0000-0000-000094710000}"/>
    <cellStyle name="40 % - Markeringsfarve4 3 2 8 5" xfId="38966" xr:uid="{00000000-0005-0000-0000-000095710000}"/>
    <cellStyle name="40 % - Markeringsfarve4 3 2 9" xfId="6240" xr:uid="{00000000-0005-0000-0000-000096710000}"/>
    <cellStyle name="40 % - Markeringsfarve4 3 2 9 2" xfId="10970" xr:uid="{00000000-0005-0000-0000-000097710000}"/>
    <cellStyle name="40 % - Markeringsfarve4 3 2 9 2 2" xfId="18801" xr:uid="{00000000-0005-0000-0000-000098710000}"/>
    <cellStyle name="40 % - Markeringsfarve4 3 2 9 2 2 2" xfId="35077" xr:uid="{00000000-0005-0000-0000-000099710000}"/>
    <cellStyle name="40 % - Markeringsfarve4 3 2 9 2 2 3" xfId="50036" xr:uid="{00000000-0005-0000-0000-00009A710000}"/>
    <cellStyle name="40 % - Markeringsfarve4 3 2 9 2 3" xfId="28075" xr:uid="{00000000-0005-0000-0000-00009B710000}"/>
    <cellStyle name="40 % - Markeringsfarve4 3 2 9 2 4" xfId="43039" xr:uid="{00000000-0005-0000-0000-00009C710000}"/>
    <cellStyle name="40 % - Markeringsfarve4 3 2 9 3" xfId="14725" xr:uid="{00000000-0005-0000-0000-00009D710000}"/>
    <cellStyle name="40 % - Markeringsfarve4 3 2 9 3 2" xfId="31004" xr:uid="{00000000-0005-0000-0000-00009E710000}"/>
    <cellStyle name="40 % - Markeringsfarve4 3 2 9 3 3" xfId="45964" xr:uid="{00000000-0005-0000-0000-00009F710000}"/>
    <cellStyle name="40 % - Markeringsfarve4 3 2 9 4" xfId="24002" xr:uid="{00000000-0005-0000-0000-0000A0710000}"/>
    <cellStyle name="40 % - Markeringsfarve4 3 2 9 5" xfId="38967" xr:uid="{00000000-0005-0000-0000-0000A1710000}"/>
    <cellStyle name="40 % - Markeringsfarve4 3 3" xfId="6241" xr:uid="{00000000-0005-0000-0000-0000A2710000}"/>
    <cellStyle name="40 % - Markeringsfarve4 3 3 10" xfId="8155" xr:uid="{00000000-0005-0000-0000-0000A3710000}"/>
    <cellStyle name="40 % - Markeringsfarve4 3 3 10 2" xfId="16020" xr:uid="{00000000-0005-0000-0000-0000A4710000}"/>
    <cellStyle name="40 % - Markeringsfarve4 3 3 10 2 2" xfId="32296" xr:uid="{00000000-0005-0000-0000-0000A5710000}"/>
    <cellStyle name="40 % - Markeringsfarve4 3 3 10 2 3" xfId="47255" xr:uid="{00000000-0005-0000-0000-0000A6710000}"/>
    <cellStyle name="40 % - Markeringsfarve4 3 3 10 3" xfId="25294" xr:uid="{00000000-0005-0000-0000-0000A7710000}"/>
    <cellStyle name="40 % - Markeringsfarve4 3 3 10 4" xfId="40258" xr:uid="{00000000-0005-0000-0000-0000A8710000}"/>
    <cellStyle name="40 % - Markeringsfarve4 3 3 11" xfId="14726" xr:uid="{00000000-0005-0000-0000-0000A9710000}"/>
    <cellStyle name="40 % - Markeringsfarve4 3 3 11 2" xfId="31005" xr:uid="{00000000-0005-0000-0000-0000AA710000}"/>
    <cellStyle name="40 % - Markeringsfarve4 3 3 11 3" xfId="45965" xr:uid="{00000000-0005-0000-0000-0000AB710000}"/>
    <cellStyle name="40 % - Markeringsfarve4 3 3 12" xfId="24003" xr:uid="{00000000-0005-0000-0000-0000AC710000}"/>
    <cellStyle name="40 % - Markeringsfarve4 3 3 13" xfId="38968" xr:uid="{00000000-0005-0000-0000-0000AD710000}"/>
    <cellStyle name="40 % - Markeringsfarve4 3 3 2" xfId="6242" xr:uid="{00000000-0005-0000-0000-0000AE710000}"/>
    <cellStyle name="40 % - Markeringsfarve4 3 3 2 2" xfId="6243" xr:uid="{00000000-0005-0000-0000-0000AF710000}"/>
    <cellStyle name="40 % - Markeringsfarve4 3 3 2 2 2" xfId="6244" xr:uid="{00000000-0005-0000-0000-0000B0710000}"/>
    <cellStyle name="40 % - Markeringsfarve4 3 3 2 2 2 2" xfId="9912" xr:uid="{00000000-0005-0000-0000-0000B1710000}"/>
    <cellStyle name="40 % - Markeringsfarve4 3 3 2 2 2 2 2" xfId="17767" xr:uid="{00000000-0005-0000-0000-0000B2710000}"/>
    <cellStyle name="40 % - Markeringsfarve4 3 3 2 2 2 2 2 2" xfId="34043" xr:uid="{00000000-0005-0000-0000-0000B3710000}"/>
    <cellStyle name="40 % - Markeringsfarve4 3 3 2 2 2 2 2 3" xfId="49002" xr:uid="{00000000-0005-0000-0000-0000B4710000}"/>
    <cellStyle name="40 % - Markeringsfarve4 3 3 2 2 2 2 3" xfId="27041" xr:uid="{00000000-0005-0000-0000-0000B5710000}"/>
    <cellStyle name="40 % - Markeringsfarve4 3 3 2 2 2 2 4" xfId="42005" xr:uid="{00000000-0005-0000-0000-0000B6710000}"/>
    <cellStyle name="40 % - Markeringsfarve4 3 3 2 2 2 3" xfId="14729" xr:uid="{00000000-0005-0000-0000-0000B7710000}"/>
    <cellStyle name="40 % - Markeringsfarve4 3 3 2 2 2 3 2" xfId="31008" xr:uid="{00000000-0005-0000-0000-0000B8710000}"/>
    <cellStyle name="40 % - Markeringsfarve4 3 3 2 2 2 3 3" xfId="45968" xr:uid="{00000000-0005-0000-0000-0000B9710000}"/>
    <cellStyle name="40 % - Markeringsfarve4 3 3 2 2 2 4" xfId="24006" xr:uid="{00000000-0005-0000-0000-0000BA710000}"/>
    <cellStyle name="40 % - Markeringsfarve4 3 3 2 2 2 5" xfId="38971" xr:uid="{00000000-0005-0000-0000-0000BB710000}"/>
    <cellStyle name="40 % - Markeringsfarve4 3 3 2 2 3" xfId="8481" xr:uid="{00000000-0005-0000-0000-0000BC710000}"/>
    <cellStyle name="40 % - Markeringsfarve4 3 3 2 2 3 2" xfId="16351" xr:uid="{00000000-0005-0000-0000-0000BD710000}"/>
    <cellStyle name="40 % - Markeringsfarve4 3 3 2 2 3 2 2" xfId="32627" xr:uid="{00000000-0005-0000-0000-0000BE710000}"/>
    <cellStyle name="40 % - Markeringsfarve4 3 3 2 2 3 2 3" xfId="47586" xr:uid="{00000000-0005-0000-0000-0000BF710000}"/>
    <cellStyle name="40 % - Markeringsfarve4 3 3 2 2 3 3" xfId="25625" xr:uid="{00000000-0005-0000-0000-0000C0710000}"/>
    <cellStyle name="40 % - Markeringsfarve4 3 3 2 2 3 4" xfId="40589" xr:uid="{00000000-0005-0000-0000-0000C1710000}"/>
    <cellStyle name="40 % - Markeringsfarve4 3 3 2 2 4" xfId="14728" xr:uid="{00000000-0005-0000-0000-0000C2710000}"/>
    <cellStyle name="40 % - Markeringsfarve4 3 3 2 2 4 2" xfId="31007" xr:uid="{00000000-0005-0000-0000-0000C3710000}"/>
    <cellStyle name="40 % - Markeringsfarve4 3 3 2 2 4 3" xfId="45967" xr:uid="{00000000-0005-0000-0000-0000C4710000}"/>
    <cellStyle name="40 % - Markeringsfarve4 3 3 2 2 5" xfId="24005" xr:uid="{00000000-0005-0000-0000-0000C5710000}"/>
    <cellStyle name="40 % - Markeringsfarve4 3 3 2 2 6" xfId="38970" xr:uid="{00000000-0005-0000-0000-0000C6710000}"/>
    <cellStyle name="40 % - Markeringsfarve4 3 3 2 3" xfId="6245" xr:uid="{00000000-0005-0000-0000-0000C7710000}"/>
    <cellStyle name="40 % - Markeringsfarve4 3 3 2 3 2" xfId="9143" xr:uid="{00000000-0005-0000-0000-0000C8710000}"/>
    <cellStyle name="40 % - Markeringsfarve4 3 3 2 3 2 2" xfId="17007" xr:uid="{00000000-0005-0000-0000-0000C9710000}"/>
    <cellStyle name="40 % - Markeringsfarve4 3 3 2 3 2 2 2" xfId="33283" xr:uid="{00000000-0005-0000-0000-0000CA710000}"/>
    <cellStyle name="40 % - Markeringsfarve4 3 3 2 3 2 2 3" xfId="48242" xr:uid="{00000000-0005-0000-0000-0000CB710000}"/>
    <cellStyle name="40 % - Markeringsfarve4 3 3 2 3 2 3" xfId="26281" xr:uid="{00000000-0005-0000-0000-0000CC710000}"/>
    <cellStyle name="40 % - Markeringsfarve4 3 3 2 3 2 4" xfId="41245" xr:uid="{00000000-0005-0000-0000-0000CD710000}"/>
    <cellStyle name="40 % - Markeringsfarve4 3 3 2 3 3" xfId="14730" xr:uid="{00000000-0005-0000-0000-0000CE710000}"/>
    <cellStyle name="40 % - Markeringsfarve4 3 3 2 3 3 2" xfId="31009" xr:uid="{00000000-0005-0000-0000-0000CF710000}"/>
    <cellStyle name="40 % - Markeringsfarve4 3 3 2 3 3 3" xfId="45969" xr:uid="{00000000-0005-0000-0000-0000D0710000}"/>
    <cellStyle name="40 % - Markeringsfarve4 3 3 2 3 4" xfId="24007" xr:uid="{00000000-0005-0000-0000-0000D1710000}"/>
    <cellStyle name="40 % - Markeringsfarve4 3 3 2 3 5" xfId="38972" xr:uid="{00000000-0005-0000-0000-0000D2710000}"/>
    <cellStyle name="40 % - Markeringsfarve4 3 3 2 4" xfId="6246" xr:uid="{00000000-0005-0000-0000-0000D3710000}"/>
    <cellStyle name="40 % - Markeringsfarve4 3 3 2 4 2" xfId="10486" xr:uid="{00000000-0005-0000-0000-0000D4710000}"/>
    <cellStyle name="40 % - Markeringsfarve4 3 3 2 4 2 2" xfId="18335" xr:uid="{00000000-0005-0000-0000-0000D5710000}"/>
    <cellStyle name="40 % - Markeringsfarve4 3 3 2 4 2 2 2" xfId="34611" xr:uid="{00000000-0005-0000-0000-0000D6710000}"/>
    <cellStyle name="40 % - Markeringsfarve4 3 3 2 4 2 2 3" xfId="49570" xr:uid="{00000000-0005-0000-0000-0000D7710000}"/>
    <cellStyle name="40 % - Markeringsfarve4 3 3 2 4 2 3" xfId="27609" xr:uid="{00000000-0005-0000-0000-0000D8710000}"/>
    <cellStyle name="40 % - Markeringsfarve4 3 3 2 4 2 4" xfId="42573" xr:uid="{00000000-0005-0000-0000-0000D9710000}"/>
    <cellStyle name="40 % - Markeringsfarve4 3 3 2 4 3" xfId="14731" xr:uid="{00000000-0005-0000-0000-0000DA710000}"/>
    <cellStyle name="40 % - Markeringsfarve4 3 3 2 4 3 2" xfId="31010" xr:uid="{00000000-0005-0000-0000-0000DB710000}"/>
    <cellStyle name="40 % - Markeringsfarve4 3 3 2 4 3 3" xfId="45970" xr:uid="{00000000-0005-0000-0000-0000DC710000}"/>
    <cellStyle name="40 % - Markeringsfarve4 3 3 2 4 4" xfId="24008" xr:uid="{00000000-0005-0000-0000-0000DD710000}"/>
    <cellStyle name="40 % - Markeringsfarve4 3 3 2 4 5" xfId="38973" xr:uid="{00000000-0005-0000-0000-0000DE710000}"/>
    <cellStyle name="40 % - Markeringsfarve4 3 3 2 5" xfId="8156" xr:uid="{00000000-0005-0000-0000-0000DF710000}"/>
    <cellStyle name="40 % - Markeringsfarve4 3 3 2 5 2" xfId="16021" xr:uid="{00000000-0005-0000-0000-0000E0710000}"/>
    <cellStyle name="40 % - Markeringsfarve4 3 3 2 5 2 2" xfId="32297" xr:uid="{00000000-0005-0000-0000-0000E1710000}"/>
    <cellStyle name="40 % - Markeringsfarve4 3 3 2 5 2 3" xfId="47256" xr:uid="{00000000-0005-0000-0000-0000E2710000}"/>
    <cellStyle name="40 % - Markeringsfarve4 3 3 2 5 3" xfId="25295" xr:uid="{00000000-0005-0000-0000-0000E3710000}"/>
    <cellStyle name="40 % - Markeringsfarve4 3 3 2 5 4" xfId="40259" xr:uid="{00000000-0005-0000-0000-0000E4710000}"/>
    <cellStyle name="40 % - Markeringsfarve4 3 3 2 6" xfId="14727" xr:uid="{00000000-0005-0000-0000-0000E5710000}"/>
    <cellStyle name="40 % - Markeringsfarve4 3 3 2 6 2" xfId="31006" xr:uid="{00000000-0005-0000-0000-0000E6710000}"/>
    <cellStyle name="40 % - Markeringsfarve4 3 3 2 6 3" xfId="45966" xr:uid="{00000000-0005-0000-0000-0000E7710000}"/>
    <cellStyle name="40 % - Markeringsfarve4 3 3 2 7" xfId="24004" xr:uid="{00000000-0005-0000-0000-0000E8710000}"/>
    <cellStyle name="40 % - Markeringsfarve4 3 3 2 8" xfId="38969" xr:uid="{00000000-0005-0000-0000-0000E9710000}"/>
    <cellStyle name="40 % - Markeringsfarve4 3 3 3" xfId="6247" xr:uid="{00000000-0005-0000-0000-0000EA710000}"/>
    <cellStyle name="40 % - Markeringsfarve4 3 3 3 2" xfId="6248" xr:uid="{00000000-0005-0000-0000-0000EB710000}"/>
    <cellStyle name="40 % - Markeringsfarve4 3 3 3 2 2" xfId="6249" xr:uid="{00000000-0005-0000-0000-0000EC710000}"/>
    <cellStyle name="40 % - Markeringsfarve4 3 3 3 2 2 2" xfId="10018" xr:uid="{00000000-0005-0000-0000-0000ED710000}"/>
    <cellStyle name="40 % - Markeringsfarve4 3 3 3 2 2 2 2" xfId="17873" xr:uid="{00000000-0005-0000-0000-0000EE710000}"/>
    <cellStyle name="40 % - Markeringsfarve4 3 3 3 2 2 2 2 2" xfId="34149" xr:uid="{00000000-0005-0000-0000-0000EF710000}"/>
    <cellStyle name="40 % - Markeringsfarve4 3 3 3 2 2 2 2 3" xfId="49108" xr:uid="{00000000-0005-0000-0000-0000F0710000}"/>
    <cellStyle name="40 % - Markeringsfarve4 3 3 3 2 2 2 3" xfId="27147" xr:uid="{00000000-0005-0000-0000-0000F1710000}"/>
    <cellStyle name="40 % - Markeringsfarve4 3 3 3 2 2 2 4" xfId="42111" xr:uid="{00000000-0005-0000-0000-0000F2710000}"/>
    <cellStyle name="40 % - Markeringsfarve4 3 3 3 2 2 3" xfId="14734" xr:uid="{00000000-0005-0000-0000-0000F3710000}"/>
    <cellStyle name="40 % - Markeringsfarve4 3 3 3 2 2 3 2" xfId="31013" xr:uid="{00000000-0005-0000-0000-0000F4710000}"/>
    <cellStyle name="40 % - Markeringsfarve4 3 3 3 2 2 3 3" xfId="45973" xr:uid="{00000000-0005-0000-0000-0000F5710000}"/>
    <cellStyle name="40 % - Markeringsfarve4 3 3 3 2 2 4" xfId="24011" xr:uid="{00000000-0005-0000-0000-0000F6710000}"/>
    <cellStyle name="40 % - Markeringsfarve4 3 3 3 2 2 5" xfId="38976" xr:uid="{00000000-0005-0000-0000-0000F7710000}"/>
    <cellStyle name="40 % - Markeringsfarve4 3 3 3 2 3" xfId="8565" xr:uid="{00000000-0005-0000-0000-0000F8710000}"/>
    <cellStyle name="40 % - Markeringsfarve4 3 3 3 2 3 2" xfId="16435" xr:uid="{00000000-0005-0000-0000-0000F9710000}"/>
    <cellStyle name="40 % - Markeringsfarve4 3 3 3 2 3 2 2" xfId="32711" xr:uid="{00000000-0005-0000-0000-0000FA710000}"/>
    <cellStyle name="40 % - Markeringsfarve4 3 3 3 2 3 2 3" xfId="47670" xr:uid="{00000000-0005-0000-0000-0000FB710000}"/>
    <cellStyle name="40 % - Markeringsfarve4 3 3 3 2 3 3" xfId="25709" xr:uid="{00000000-0005-0000-0000-0000FC710000}"/>
    <cellStyle name="40 % - Markeringsfarve4 3 3 3 2 3 4" xfId="40673" xr:uid="{00000000-0005-0000-0000-0000FD710000}"/>
    <cellStyle name="40 % - Markeringsfarve4 3 3 3 2 4" xfId="14733" xr:uid="{00000000-0005-0000-0000-0000FE710000}"/>
    <cellStyle name="40 % - Markeringsfarve4 3 3 3 2 4 2" xfId="31012" xr:uid="{00000000-0005-0000-0000-0000FF710000}"/>
    <cellStyle name="40 % - Markeringsfarve4 3 3 3 2 4 3" xfId="45972" xr:uid="{00000000-0005-0000-0000-000000720000}"/>
    <cellStyle name="40 % - Markeringsfarve4 3 3 3 2 5" xfId="24010" xr:uid="{00000000-0005-0000-0000-000001720000}"/>
    <cellStyle name="40 % - Markeringsfarve4 3 3 3 2 6" xfId="38975" xr:uid="{00000000-0005-0000-0000-000002720000}"/>
    <cellStyle name="40 % - Markeringsfarve4 3 3 3 3" xfId="6250" xr:uid="{00000000-0005-0000-0000-000003720000}"/>
    <cellStyle name="40 % - Markeringsfarve4 3 3 3 3 2" xfId="9249" xr:uid="{00000000-0005-0000-0000-000004720000}"/>
    <cellStyle name="40 % - Markeringsfarve4 3 3 3 3 2 2" xfId="17113" xr:uid="{00000000-0005-0000-0000-000005720000}"/>
    <cellStyle name="40 % - Markeringsfarve4 3 3 3 3 2 2 2" xfId="33389" xr:uid="{00000000-0005-0000-0000-000006720000}"/>
    <cellStyle name="40 % - Markeringsfarve4 3 3 3 3 2 2 3" xfId="48348" xr:uid="{00000000-0005-0000-0000-000007720000}"/>
    <cellStyle name="40 % - Markeringsfarve4 3 3 3 3 2 3" xfId="26387" xr:uid="{00000000-0005-0000-0000-000008720000}"/>
    <cellStyle name="40 % - Markeringsfarve4 3 3 3 3 2 4" xfId="41351" xr:uid="{00000000-0005-0000-0000-000009720000}"/>
    <cellStyle name="40 % - Markeringsfarve4 3 3 3 3 3" xfId="14735" xr:uid="{00000000-0005-0000-0000-00000A720000}"/>
    <cellStyle name="40 % - Markeringsfarve4 3 3 3 3 3 2" xfId="31014" xr:uid="{00000000-0005-0000-0000-00000B720000}"/>
    <cellStyle name="40 % - Markeringsfarve4 3 3 3 3 3 3" xfId="45974" xr:uid="{00000000-0005-0000-0000-00000C720000}"/>
    <cellStyle name="40 % - Markeringsfarve4 3 3 3 3 4" xfId="24012" xr:uid="{00000000-0005-0000-0000-00000D720000}"/>
    <cellStyle name="40 % - Markeringsfarve4 3 3 3 3 5" xfId="38977" xr:uid="{00000000-0005-0000-0000-00000E720000}"/>
    <cellStyle name="40 % - Markeringsfarve4 3 3 3 4" xfId="6251" xr:uid="{00000000-0005-0000-0000-00000F720000}"/>
    <cellStyle name="40 % - Markeringsfarve4 3 3 3 4 2" xfId="10783" xr:uid="{00000000-0005-0000-0000-000010720000}"/>
    <cellStyle name="40 % - Markeringsfarve4 3 3 3 4 2 2" xfId="18625" xr:uid="{00000000-0005-0000-0000-000011720000}"/>
    <cellStyle name="40 % - Markeringsfarve4 3 3 3 4 2 2 2" xfId="34901" xr:uid="{00000000-0005-0000-0000-000012720000}"/>
    <cellStyle name="40 % - Markeringsfarve4 3 3 3 4 2 2 3" xfId="49860" xr:uid="{00000000-0005-0000-0000-000013720000}"/>
    <cellStyle name="40 % - Markeringsfarve4 3 3 3 4 2 3" xfId="27899" xr:uid="{00000000-0005-0000-0000-000014720000}"/>
    <cellStyle name="40 % - Markeringsfarve4 3 3 3 4 2 4" xfId="42863" xr:uid="{00000000-0005-0000-0000-000015720000}"/>
    <cellStyle name="40 % - Markeringsfarve4 3 3 3 4 3" xfId="14736" xr:uid="{00000000-0005-0000-0000-000016720000}"/>
    <cellStyle name="40 % - Markeringsfarve4 3 3 3 4 3 2" xfId="31015" xr:uid="{00000000-0005-0000-0000-000017720000}"/>
    <cellStyle name="40 % - Markeringsfarve4 3 3 3 4 3 3" xfId="45975" xr:uid="{00000000-0005-0000-0000-000018720000}"/>
    <cellStyle name="40 % - Markeringsfarve4 3 3 3 4 4" xfId="24013" xr:uid="{00000000-0005-0000-0000-000019720000}"/>
    <cellStyle name="40 % - Markeringsfarve4 3 3 3 4 5" xfId="38978" xr:uid="{00000000-0005-0000-0000-00001A720000}"/>
    <cellStyle name="40 % - Markeringsfarve4 3 3 3 5" xfId="8157" xr:uid="{00000000-0005-0000-0000-00001B720000}"/>
    <cellStyle name="40 % - Markeringsfarve4 3 3 3 5 2" xfId="16022" xr:uid="{00000000-0005-0000-0000-00001C720000}"/>
    <cellStyle name="40 % - Markeringsfarve4 3 3 3 5 2 2" xfId="32298" xr:uid="{00000000-0005-0000-0000-00001D720000}"/>
    <cellStyle name="40 % - Markeringsfarve4 3 3 3 5 2 3" xfId="47257" xr:uid="{00000000-0005-0000-0000-00001E720000}"/>
    <cellStyle name="40 % - Markeringsfarve4 3 3 3 5 3" xfId="25296" xr:uid="{00000000-0005-0000-0000-00001F720000}"/>
    <cellStyle name="40 % - Markeringsfarve4 3 3 3 5 4" xfId="40260" xr:uid="{00000000-0005-0000-0000-000020720000}"/>
    <cellStyle name="40 % - Markeringsfarve4 3 3 3 6" xfId="14732" xr:uid="{00000000-0005-0000-0000-000021720000}"/>
    <cellStyle name="40 % - Markeringsfarve4 3 3 3 6 2" xfId="31011" xr:uid="{00000000-0005-0000-0000-000022720000}"/>
    <cellStyle name="40 % - Markeringsfarve4 3 3 3 6 3" xfId="45971" xr:uid="{00000000-0005-0000-0000-000023720000}"/>
    <cellStyle name="40 % - Markeringsfarve4 3 3 3 7" xfId="24009" xr:uid="{00000000-0005-0000-0000-000024720000}"/>
    <cellStyle name="40 % - Markeringsfarve4 3 3 3 8" xfId="38974" xr:uid="{00000000-0005-0000-0000-000025720000}"/>
    <cellStyle name="40 % - Markeringsfarve4 3 3 4" xfId="6252" xr:uid="{00000000-0005-0000-0000-000026720000}"/>
    <cellStyle name="40 % - Markeringsfarve4 3 3 4 2" xfId="6253" xr:uid="{00000000-0005-0000-0000-000027720000}"/>
    <cellStyle name="40 % - Markeringsfarve4 3 3 4 2 2" xfId="6254" xr:uid="{00000000-0005-0000-0000-000028720000}"/>
    <cellStyle name="40 % - Markeringsfarve4 3 3 4 2 2 2" xfId="10150" xr:uid="{00000000-0005-0000-0000-000029720000}"/>
    <cellStyle name="40 % - Markeringsfarve4 3 3 4 2 2 2 2" xfId="18005" xr:uid="{00000000-0005-0000-0000-00002A720000}"/>
    <cellStyle name="40 % - Markeringsfarve4 3 3 4 2 2 2 2 2" xfId="34281" xr:uid="{00000000-0005-0000-0000-00002B720000}"/>
    <cellStyle name="40 % - Markeringsfarve4 3 3 4 2 2 2 2 3" xfId="49240" xr:uid="{00000000-0005-0000-0000-00002C720000}"/>
    <cellStyle name="40 % - Markeringsfarve4 3 3 4 2 2 2 3" xfId="27279" xr:uid="{00000000-0005-0000-0000-00002D720000}"/>
    <cellStyle name="40 % - Markeringsfarve4 3 3 4 2 2 2 4" xfId="42243" xr:uid="{00000000-0005-0000-0000-00002E720000}"/>
    <cellStyle name="40 % - Markeringsfarve4 3 3 4 2 2 3" xfId="14739" xr:uid="{00000000-0005-0000-0000-00002F720000}"/>
    <cellStyle name="40 % - Markeringsfarve4 3 3 4 2 2 3 2" xfId="31018" xr:uid="{00000000-0005-0000-0000-000030720000}"/>
    <cellStyle name="40 % - Markeringsfarve4 3 3 4 2 2 3 3" xfId="45978" xr:uid="{00000000-0005-0000-0000-000031720000}"/>
    <cellStyle name="40 % - Markeringsfarve4 3 3 4 2 2 4" xfId="24016" xr:uid="{00000000-0005-0000-0000-000032720000}"/>
    <cellStyle name="40 % - Markeringsfarve4 3 3 4 2 2 5" xfId="38981" xr:uid="{00000000-0005-0000-0000-000033720000}"/>
    <cellStyle name="40 % - Markeringsfarve4 3 3 4 2 3" xfId="8683" xr:uid="{00000000-0005-0000-0000-000034720000}"/>
    <cellStyle name="40 % - Markeringsfarve4 3 3 4 2 3 2" xfId="16550" xr:uid="{00000000-0005-0000-0000-000035720000}"/>
    <cellStyle name="40 % - Markeringsfarve4 3 3 4 2 3 2 2" xfId="32826" xr:uid="{00000000-0005-0000-0000-000036720000}"/>
    <cellStyle name="40 % - Markeringsfarve4 3 3 4 2 3 2 3" xfId="47785" xr:uid="{00000000-0005-0000-0000-000037720000}"/>
    <cellStyle name="40 % - Markeringsfarve4 3 3 4 2 3 3" xfId="25824" xr:uid="{00000000-0005-0000-0000-000038720000}"/>
    <cellStyle name="40 % - Markeringsfarve4 3 3 4 2 3 4" xfId="40788" xr:uid="{00000000-0005-0000-0000-000039720000}"/>
    <cellStyle name="40 % - Markeringsfarve4 3 3 4 2 4" xfId="14738" xr:uid="{00000000-0005-0000-0000-00003A720000}"/>
    <cellStyle name="40 % - Markeringsfarve4 3 3 4 2 4 2" xfId="31017" xr:uid="{00000000-0005-0000-0000-00003B720000}"/>
    <cellStyle name="40 % - Markeringsfarve4 3 3 4 2 4 3" xfId="45977" xr:uid="{00000000-0005-0000-0000-00003C720000}"/>
    <cellStyle name="40 % - Markeringsfarve4 3 3 4 2 5" xfId="24015" xr:uid="{00000000-0005-0000-0000-00003D720000}"/>
    <cellStyle name="40 % - Markeringsfarve4 3 3 4 2 6" xfId="38980" xr:uid="{00000000-0005-0000-0000-00003E720000}"/>
    <cellStyle name="40 % - Markeringsfarve4 3 3 4 3" xfId="6255" xr:uid="{00000000-0005-0000-0000-00003F720000}"/>
    <cellStyle name="40 % - Markeringsfarve4 3 3 4 3 2" xfId="9427" xr:uid="{00000000-0005-0000-0000-000040720000}"/>
    <cellStyle name="40 % - Markeringsfarve4 3 3 4 3 2 2" xfId="17290" xr:uid="{00000000-0005-0000-0000-000041720000}"/>
    <cellStyle name="40 % - Markeringsfarve4 3 3 4 3 2 2 2" xfId="33566" xr:uid="{00000000-0005-0000-0000-000042720000}"/>
    <cellStyle name="40 % - Markeringsfarve4 3 3 4 3 2 2 3" xfId="48525" xr:uid="{00000000-0005-0000-0000-000043720000}"/>
    <cellStyle name="40 % - Markeringsfarve4 3 3 4 3 2 3" xfId="26564" xr:uid="{00000000-0005-0000-0000-000044720000}"/>
    <cellStyle name="40 % - Markeringsfarve4 3 3 4 3 2 4" xfId="41528" xr:uid="{00000000-0005-0000-0000-000045720000}"/>
    <cellStyle name="40 % - Markeringsfarve4 3 3 4 3 3" xfId="14740" xr:uid="{00000000-0005-0000-0000-000046720000}"/>
    <cellStyle name="40 % - Markeringsfarve4 3 3 4 3 3 2" xfId="31019" xr:uid="{00000000-0005-0000-0000-000047720000}"/>
    <cellStyle name="40 % - Markeringsfarve4 3 3 4 3 3 3" xfId="45979" xr:uid="{00000000-0005-0000-0000-000048720000}"/>
    <cellStyle name="40 % - Markeringsfarve4 3 3 4 3 4" xfId="24017" xr:uid="{00000000-0005-0000-0000-000049720000}"/>
    <cellStyle name="40 % - Markeringsfarve4 3 3 4 3 5" xfId="38982" xr:uid="{00000000-0005-0000-0000-00004A720000}"/>
    <cellStyle name="40 % - Markeringsfarve4 3 3 4 4" xfId="6256" xr:uid="{00000000-0005-0000-0000-00004B720000}"/>
    <cellStyle name="40 % - Markeringsfarve4 3 3 4 4 2" xfId="10432" xr:uid="{00000000-0005-0000-0000-00004C720000}"/>
    <cellStyle name="40 % - Markeringsfarve4 3 3 4 4 2 2" xfId="18284" xr:uid="{00000000-0005-0000-0000-00004D720000}"/>
    <cellStyle name="40 % - Markeringsfarve4 3 3 4 4 2 2 2" xfId="34560" xr:uid="{00000000-0005-0000-0000-00004E720000}"/>
    <cellStyle name="40 % - Markeringsfarve4 3 3 4 4 2 2 3" xfId="49519" xr:uid="{00000000-0005-0000-0000-00004F720000}"/>
    <cellStyle name="40 % - Markeringsfarve4 3 3 4 4 2 3" xfId="27558" xr:uid="{00000000-0005-0000-0000-000050720000}"/>
    <cellStyle name="40 % - Markeringsfarve4 3 3 4 4 2 4" xfId="42522" xr:uid="{00000000-0005-0000-0000-000051720000}"/>
    <cellStyle name="40 % - Markeringsfarve4 3 3 4 4 3" xfId="14741" xr:uid="{00000000-0005-0000-0000-000052720000}"/>
    <cellStyle name="40 % - Markeringsfarve4 3 3 4 4 3 2" xfId="31020" xr:uid="{00000000-0005-0000-0000-000053720000}"/>
    <cellStyle name="40 % - Markeringsfarve4 3 3 4 4 3 3" xfId="45980" xr:uid="{00000000-0005-0000-0000-000054720000}"/>
    <cellStyle name="40 % - Markeringsfarve4 3 3 4 4 4" xfId="24018" xr:uid="{00000000-0005-0000-0000-000055720000}"/>
    <cellStyle name="40 % - Markeringsfarve4 3 3 4 4 5" xfId="38983" xr:uid="{00000000-0005-0000-0000-000056720000}"/>
    <cellStyle name="40 % - Markeringsfarve4 3 3 4 5" xfId="8158" xr:uid="{00000000-0005-0000-0000-000057720000}"/>
    <cellStyle name="40 % - Markeringsfarve4 3 3 4 5 2" xfId="16023" xr:uid="{00000000-0005-0000-0000-000058720000}"/>
    <cellStyle name="40 % - Markeringsfarve4 3 3 4 5 2 2" xfId="32299" xr:uid="{00000000-0005-0000-0000-000059720000}"/>
    <cellStyle name="40 % - Markeringsfarve4 3 3 4 5 2 3" xfId="47258" xr:uid="{00000000-0005-0000-0000-00005A720000}"/>
    <cellStyle name="40 % - Markeringsfarve4 3 3 4 5 3" xfId="25297" xr:uid="{00000000-0005-0000-0000-00005B720000}"/>
    <cellStyle name="40 % - Markeringsfarve4 3 3 4 5 4" xfId="40261" xr:uid="{00000000-0005-0000-0000-00005C720000}"/>
    <cellStyle name="40 % - Markeringsfarve4 3 3 4 6" xfId="14737" xr:uid="{00000000-0005-0000-0000-00005D720000}"/>
    <cellStyle name="40 % - Markeringsfarve4 3 3 4 6 2" xfId="31016" xr:uid="{00000000-0005-0000-0000-00005E720000}"/>
    <cellStyle name="40 % - Markeringsfarve4 3 3 4 6 3" xfId="45976" xr:uid="{00000000-0005-0000-0000-00005F720000}"/>
    <cellStyle name="40 % - Markeringsfarve4 3 3 4 7" xfId="24014" xr:uid="{00000000-0005-0000-0000-000060720000}"/>
    <cellStyle name="40 % - Markeringsfarve4 3 3 4 8" xfId="38979" xr:uid="{00000000-0005-0000-0000-000061720000}"/>
    <cellStyle name="40 % - Markeringsfarve4 3 3 5" xfId="6257" xr:uid="{00000000-0005-0000-0000-000062720000}"/>
    <cellStyle name="40 % - Markeringsfarve4 3 3 5 2" xfId="6258" xr:uid="{00000000-0005-0000-0000-000063720000}"/>
    <cellStyle name="40 % - Markeringsfarve4 3 3 5 2 2" xfId="6259" xr:uid="{00000000-0005-0000-0000-000064720000}"/>
    <cellStyle name="40 % - Markeringsfarve4 3 3 5 2 2 2" xfId="10267" xr:uid="{00000000-0005-0000-0000-000065720000}"/>
    <cellStyle name="40 % - Markeringsfarve4 3 3 5 2 2 2 2" xfId="18122" xr:uid="{00000000-0005-0000-0000-000066720000}"/>
    <cellStyle name="40 % - Markeringsfarve4 3 3 5 2 2 2 2 2" xfId="34398" xr:uid="{00000000-0005-0000-0000-000067720000}"/>
    <cellStyle name="40 % - Markeringsfarve4 3 3 5 2 2 2 2 3" xfId="49357" xr:uid="{00000000-0005-0000-0000-000068720000}"/>
    <cellStyle name="40 % - Markeringsfarve4 3 3 5 2 2 2 3" xfId="27396" xr:uid="{00000000-0005-0000-0000-000069720000}"/>
    <cellStyle name="40 % - Markeringsfarve4 3 3 5 2 2 2 4" xfId="42360" xr:uid="{00000000-0005-0000-0000-00006A720000}"/>
    <cellStyle name="40 % - Markeringsfarve4 3 3 5 2 2 3" xfId="14744" xr:uid="{00000000-0005-0000-0000-00006B720000}"/>
    <cellStyle name="40 % - Markeringsfarve4 3 3 5 2 2 3 2" xfId="31023" xr:uid="{00000000-0005-0000-0000-00006C720000}"/>
    <cellStyle name="40 % - Markeringsfarve4 3 3 5 2 2 3 3" xfId="45983" xr:uid="{00000000-0005-0000-0000-00006D720000}"/>
    <cellStyle name="40 % - Markeringsfarve4 3 3 5 2 2 4" xfId="24021" xr:uid="{00000000-0005-0000-0000-00006E720000}"/>
    <cellStyle name="40 % - Markeringsfarve4 3 3 5 2 2 5" xfId="38986" xr:uid="{00000000-0005-0000-0000-00006F720000}"/>
    <cellStyle name="40 % - Markeringsfarve4 3 3 5 2 3" xfId="8782" xr:uid="{00000000-0005-0000-0000-000070720000}"/>
    <cellStyle name="40 % - Markeringsfarve4 3 3 5 2 3 2" xfId="16649" xr:uid="{00000000-0005-0000-0000-000071720000}"/>
    <cellStyle name="40 % - Markeringsfarve4 3 3 5 2 3 2 2" xfId="32925" xr:uid="{00000000-0005-0000-0000-000072720000}"/>
    <cellStyle name="40 % - Markeringsfarve4 3 3 5 2 3 2 3" xfId="47884" xr:uid="{00000000-0005-0000-0000-000073720000}"/>
    <cellStyle name="40 % - Markeringsfarve4 3 3 5 2 3 3" xfId="25923" xr:uid="{00000000-0005-0000-0000-000074720000}"/>
    <cellStyle name="40 % - Markeringsfarve4 3 3 5 2 3 4" xfId="40887" xr:uid="{00000000-0005-0000-0000-000075720000}"/>
    <cellStyle name="40 % - Markeringsfarve4 3 3 5 2 4" xfId="14743" xr:uid="{00000000-0005-0000-0000-000076720000}"/>
    <cellStyle name="40 % - Markeringsfarve4 3 3 5 2 4 2" xfId="31022" xr:uid="{00000000-0005-0000-0000-000077720000}"/>
    <cellStyle name="40 % - Markeringsfarve4 3 3 5 2 4 3" xfId="45982" xr:uid="{00000000-0005-0000-0000-000078720000}"/>
    <cellStyle name="40 % - Markeringsfarve4 3 3 5 2 5" xfId="24020" xr:uid="{00000000-0005-0000-0000-000079720000}"/>
    <cellStyle name="40 % - Markeringsfarve4 3 3 5 2 6" xfId="38985" xr:uid="{00000000-0005-0000-0000-00007A720000}"/>
    <cellStyle name="40 % - Markeringsfarve4 3 3 5 3" xfId="6260" xr:uid="{00000000-0005-0000-0000-00007B720000}"/>
    <cellStyle name="40 % - Markeringsfarve4 3 3 5 3 2" xfId="9544" xr:uid="{00000000-0005-0000-0000-00007C720000}"/>
    <cellStyle name="40 % - Markeringsfarve4 3 3 5 3 2 2" xfId="17407" xr:uid="{00000000-0005-0000-0000-00007D720000}"/>
    <cellStyle name="40 % - Markeringsfarve4 3 3 5 3 2 2 2" xfId="33683" xr:uid="{00000000-0005-0000-0000-00007E720000}"/>
    <cellStyle name="40 % - Markeringsfarve4 3 3 5 3 2 2 3" xfId="48642" xr:uid="{00000000-0005-0000-0000-00007F720000}"/>
    <cellStyle name="40 % - Markeringsfarve4 3 3 5 3 2 3" xfId="26681" xr:uid="{00000000-0005-0000-0000-000080720000}"/>
    <cellStyle name="40 % - Markeringsfarve4 3 3 5 3 2 4" xfId="41645" xr:uid="{00000000-0005-0000-0000-000081720000}"/>
    <cellStyle name="40 % - Markeringsfarve4 3 3 5 3 3" xfId="14745" xr:uid="{00000000-0005-0000-0000-000082720000}"/>
    <cellStyle name="40 % - Markeringsfarve4 3 3 5 3 3 2" xfId="31024" xr:uid="{00000000-0005-0000-0000-000083720000}"/>
    <cellStyle name="40 % - Markeringsfarve4 3 3 5 3 3 3" xfId="45984" xr:uid="{00000000-0005-0000-0000-000084720000}"/>
    <cellStyle name="40 % - Markeringsfarve4 3 3 5 3 4" xfId="24022" xr:uid="{00000000-0005-0000-0000-000085720000}"/>
    <cellStyle name="40 % - Markeringsfarve4 3 3 5 3 5" xfId="38987" xr:uid="{00000000-0005-0000-0000-000086720000}"/>
    <cellStyle name="40 % - Markeringsfarve4 3 3 5 4" xfId="6261" xr:uid="{00000000-0005-0000-0000-000087720000}"/>
    <cellStyle name="40 % - Markeringsfarve4 3 3 5 4 2" xfId="10769" xr:uid="{00000000-0005-0000-0000-000088720000}"/>
    <cellStyle name="40 % - Markeringsfarve4 3 3 5 4 2 2" xfId="18611" xr:uid="{00000000-0005-0000-0000-000089720000}"/>
    <cellStyle name="40 % - Markeringsfarve4 3 3 5 4 2 2 2" xfId="34887" xr:uid="{00000000-0005-0000-0000-00008A720000}"/>
    <cellStyle name="40 % - Markeringsfarve4 3 3 5 4 2 2 3" xfId="49846" xr:uid="{00000000-0005-0000-0000-00008B720000}"/>
    <cellStyle name="40 % - Markeringsfarve4 3 3 5 4 2 3" xfId="27885" xr:uid="{00000000-0005-0000-0000-00008C720000}"/>
    <cellStyle name="40 % - Markeringsfarve4 3 3 5 4 2 4" xfId="42849" xr:uid="{00000000-0005-0000-0000-00008D720000}"/>
    <cellStyle name="40 % - Markeringsfarve4 3 3 5 4 3" xfId="14746" xr:uid="{00000000-0005-0000-0000-00008E720000}"/>
    <cellStyle name="40 % - Markeringsfarve4 3 3 5 4 3 2" xfId="31025" xr:uid="{00000000-0005-0000-0000-00008F720000}"/>
    <cellStyle name="40 % - Markeringsfarve4 3 3 5 4 3 3" xfId="45985" xr:uid="{00000000-0005-0000-0000-000090720000}"/>
    <cellStyle name="40 % - Markeringsfarve4 3 3 5 4 4" xfId="24023" xr:uid="{00000000-0005-0000-0000-000091720000}"/>
    <cellStyle name="40 % - Markeringsfarve4 3 3 5 4 5" xfId="38988" xr:uid="{00000000-0005-0000-0000-000092720000}"/>
    <cellStyle name="40 % - Markeringsfarve4 3 3 5 5" xfId="8159" xr:uid="{00000000-0005-0000-0000-000093720000}"/>
    <cellStyle name="40 % - Markeringsfarve4 3 3 5 5 2" xfId="16024" xr:uid="{00000000-0005-0000-0000-000094720000}"/>
    <cellStyle name="40 % - Markeringsfarve4 3 3 5 5 2 2" xfId="32300" xr:uid="{00000000-0005-0000-0000-000095720000}"/>
    <cellStyle name="40 % - Markeringsfarve4 3 3 5 5 2 3" xfId="47259" xr:uid="{00000000-0005-0000-0000-000096720000}"/>
    <cellStyle name="40 % - Markeringsfarve4 3 3 5 5 3" xfId="25298" xr:uid="{00000000-0005-0000-0000-000097720000}"/>
    <cellStyle name="40 % - Markeringsfarve4 3 3 5 5 4" xfId="40262" xr:uid="{00000000-0005-0000-0000-000098720000}"/>
    <cellStyle name="40 % - Markeringsfarve4 3 3 5 6" xfId="14742" xr:uid="{00000000-0005-0000-0000-000099720000}"/>
    <cellStyle name="40 % - Markeringsfarve4 3 3 5 6 2" xfId="31021" xr:uid="{00000000-0005-0000-0000-00009A720000}"/>
    <cellStyle name="40 % - Markeringsfarve4 3 3 5 6 3" xfId="45981" xr:uid="{00000000-0005-0000-0000-00009B720000}"/>
    <cellStyle name="40 % - Markeringsfarve4 3 3 5 7" xfId="24019" xr:uid="{00000000-0005-0000-0000-00009C720000}"/>
    <cellStyle name="40 % - Markeringsfarve4 3 3 5 8" xfId="38984" xr:uid="{00000000-0005-0000-0000-00009D720000}"/>
    <cellStyle name="40 % - Markeringsfarve4 3 3 6" xfId="6262" xr:uid="{00000000-0005-0000-0000-00009E720000}"/>
    <cellStyle name="40 % - Markeringsfarve4 3 3 6 2" xfId="6263" xr:uid="{00000000-0005-0000-0000-00009F720000}"/>
    <cellStyle name="40 % - Markeringsfarve4 3 3 6 2 2" xfId="6264" xr:uid="{00000000-0005-0000-0000-0000A0720000}"/>
    <cellStyle name="40 % - Markeringsfarve4 3 3 6 2 2 2" xfId="10372" xr:uid="{00000000-0005-0000-0000-0000A1720000}"/>
    <cellStyle name="40 % - Markeringsfarve4 3 3 6 2 2 2 2" xfId="18227" xr:uid="{00000000-0005-0000-0000-0000A2720000}"/>
    <cellStyle name="40 % - Markeringsfarve4 3 3 6 2 2 2 2 2" xfId="34503" xr:uid="{00000000-0005-0000-0000-0000A3720000}"/>
    <cellStyle name="40 % - Markeringsfarve4 3 3 6 2 2 2 2 3" xfId="49462" xr:uid="{00000000-0005-0000-0000-0000A4720000}"/>
    <cellStyle name="40 % - Markeringsfarve4 3 3 6 2 2 2 3" xfId="27501" xr:uid="{00000000-0005-0000-0000-0000A5720000}"/>
    <cellStyle name="40 % - Markeringsfarve4 3 3 6 2 2 2 4" xfId="42465" xr:uid="{00000000-0005-0000-0000-0000A6720000}"/>
    <cellStyle name="40 % - Markeringsfarve4 3 3 6 2 2 3" xfId="14749" xr:uid="{00000000-0005-0000-0000-0000A7720000}"/>
    <cellStyle name="40 % - Markeringsfarve4 3 3 6 2 2 3 2" xfId="31028" xr:uid="{00000000-0005-0000-0000-0000A8720000}"/>
    <cellStyle name="40 % - Markeringsfarve4 3 3 6 2 2 3 3" xfId="45988" xr:uid="{00000000-0005-0000-0000-0000A9720000}"/>
    <cellStyle name="40 % - Markeringsfarve4 3 3 6 2 2 4" xfId="24026" xr:uid="{00000000-0005-0000-0000-0000AA720000}"/>
    <cellStyle name="40 % - Markeringsfarve4 3 3 6 2 2 5" xfId="38991" xr:uid="{00000000-0005-0000-0000-0000AB720000}"/>
    <cellStyle name="40 % - Markeringsfarve4 3 3 6 2 3" xfId="8866" xr:uid="{00000000-0005-0000-0000-0000AC720000}"/>
    <cellStyle name="40 % - Markeringsfarve4 3 3 6 2 3 2" xfId="16733" xr:uid="{00000000-0005-0000-0000-0000AD720000}"/>
    <cellStyle name="40 % - Markeringsfarve4 3 3 6 2 3 2 2" xfId="33009" xr:uid="{00000000-0005-0000-0000-0000AE720000}"/>
    <cellStyle name="40 % - Markeringsfarve4 3 3 6 2 3 2 3" xfId="47968" xr:uid="{00000000-0005-0000-0000-0000AF720000}"/>
    <cellStyle name="40 % - Markeringsfarve4 3 3 6 2 3 3" xfId="26007" xr:uid="{00000000-0005-0000-0000-0000B0720000}"/>
    <cellStyle name="40 % - Markeringsfarve4 3 3 6 2 3 4" xfId="40971" xr:uid="{00000000-0005-0000-0000-0000B1720000}"/>
    <cellStyle name="40 % - Markeringsfarve4 3 3 6 2 4" xfId="14748" xr:uid="{00000000-0005-0000-0000-0000B2720000}"/>
    <cellStyle name="40 % - Markeringsfarve4 3 3 6 2 4 2" xfId="31027" xr:uid="{00000000-0005-0000-0000-0000B3720000}"/>
    <cellStyle name="40 % - Markeringsfarve4 3 3 6 2 4 3" xfId="45987" xr:uid="{00000000-0005-0000-0000-0000B4720000}"/>
    <cellStyle name="40 % - Markeringsfarve4 3 3 6 2 5" xfId="24025" xr:uid="{00000000-0005-0000-0000-0000B5720000}"/>
    <cellStyle name="40 % - Markeringsfarve4 3 3 6 2 6" xfId="38990" xr:uid="{00000000-0005-0000-0000-0000B6720000}"/>
    <cellStyle name="40 % - Markeringsfarve4 3 3 6 3" xfId="6265" xr:uid="{00000000-0005-0000-0000-0000B7720000}"/>
    <cellStyle name="40 % - Markeringsfarve4 3 3 6 3 2" xfId="9650" xr:uid="{00000000-0005-0000-0000-0000B8720000}"/>
    <cellStyle name="40 % - Markeringsfarve4 3 3 6 3 2 2" xfId="17513" xr:uid="{00000000-0005-0000-0000-0000B9720000}"/>
    <cellStyle name="40 % - Markeringsfarve4 3 3 6 3 2 2 2" xfId="33789" xr:uid="{00000000-0005-0000-0000-0000BA720000}"/>
    <cellStyle name="40 % - Markeringsfarve4 3 3 6 3 2 2 3" xfId="48748" xr:uid="{00000000-0005-0000-0000-0000BB720000}"/>
    <cellStyle name="40 % - Markeringsfarve4 3 3 6 3 2 3" xfId="26787" xr:uid="{00000000-0005-0000-0000-0000BC720000}"/>
    <cellStyle name="40 % - Markeringsfarve4 3 3 6 3 2 4" xfId="41751" xr:uid="{00000000-0005-0000-0000-0000BD720000}"/>
    <cellStyle name="40 % - Markeringsfarve4 3 3 6 3 3" xfId="14750" xr:uid="{00000000-0005-0000-0000-0000BE720000}"/>
    <cellStyle name="40 % - Markeringsfarve4 3 3 6 3 3 2" xfId="31029" xr:uid="{00000000-0005-0000-0000-0000BF720000}"/>
    <cellStyle name="40 % - Markeringsfarve4 3 3 6 3 3 3" xfId="45989" xr:uid="{00000000-0005-0000-0000-0000C0720000}"/>
    <cellStyle name="40 % - Markeringsfarve4 3 3 6 3 4" xfId="24027" xr:uid="{00000000-0005-0000-0000-0000C1720000}"/>
    <cellStyle name="40 % - Markeringsfarve4 3 3 6 3 5" xfId="38992" xr:uid="{00000000-0005-0000-0000-0000C2720000}"/>
    <cellStyle name="40 % - Markeringsfarve4 3 3 6 4" xfId="6266" xr:uid="{00000000-0005-0000-0000-0000C3720000}"/>
    <cellStyle name="40 % - Markeringsfarve4 3 3 6 4 2" xfId="10972" xr:uid="{00000000-0005-0000-0000-0000C4720000}"/>
    <cellStyle name="40 % - Markeringsfarve4 3 3 6 4 2 2" xfId="18803" xr:uid="{00000000-0005-0000-0000-0000C5720000}"/>
    <cellStyle name="40 % - Markeringsfarve4 3 3 6 4 2 2 2" xfId="35079" xr:uid="{00000000-0005-0000-0000-0000C6720000}"/>
    <cellStyle name="40 % - Markeringsfarve4 3 3 6 4 2 2 3" xfId="50038" xr:uid="{00000000-0005-0000-0000-0000C7720000}"/>
    <cellStyle name="40 % - Markeringsfarve4 3 3 6 4 2 3" xfId="28077" xr:uid="{00000000-0005-0000-0000-0000C8720000}"/>
    <cellStyle name="40 % - Markeringsfarve4 3 3 6 4 2 4" xfId="43041" xr:uid="{00000000-0005-0000-0000-0000C9720000}"/>
    <cellStyle name="40 % - Markeringsfarve4 3 3 6 4 3" xfId="14751" xr:uid="{00000000-0005-0000-0000-0000CA720000}"/>
    <cellStyle name="40 % - Markeringsfarve4 3 3 6 4 3 2" xfId="31030" xr:uid="{00000000-0005-0000-0000-0000CB720000}"/>
    <cellStyle name="40 % - Markeringsfarve4 3 3 6 4 3 3" xfId="45990" xr:uid="{00000000-0005-0000-0000-0000CC720000}"/>
    <cellStyle name="40 % - Markeringsfarve4 3 3 6 4 4" xfId="24028" xr:uid="{00000000-0005-0000-0000-0000CD720000}"/>
    <cellStyle name="40 % - Markeringsfarve4 3 3 6 4 5" xfId="38993" xr:uid="{00000000-0005-0000-0000-0000CE720000}"/>
    <cellStyle name="40 % - Markeringsfarve4 3 3 6 5" xfId="8160" xr:uid="{00000000-0005-0000-0000-0000CF720000}"/>
    <cellStyle name="40 % - Markeringsfarve4 3 3 6 5 2" xfId="16025" xr:uid="{00000000-0005-0000-0000-0000D0720000}"/>
    <cellStyle name="40 % - Markeringsfarve4 3 3 6 5 2 2" xfId="32301" xr:uid="{00000000-0005-0000-0000-0000D1720000}"/>
    <cellStyle name="40 % - Markeringsfarve4 3 3 6 5 2 3" xfId="47260" xr:uid="{00000000-0005-0000-0000-0000D2720000}"/>
    <cellStyle name="40 % - Markeringsfarve4 3 3 6 5 3" xfId="25299" xr:uid="{00000000-0005-0000-0000-0000D3720000}"/>
    <cellStyle name="40 % - Markeringsfarve4 3 3 6 5 4" xfId="40263" xr:uid="{00000000-0005-0000-0000-0000D4720000}"/>
    <cellStyle name="40 % - Markeringsfarve4 3 3 6 6" xfId="14747" xr:uid="{00000000-0005-0000-0000-0000D5720000}"/>
    <cellStyle name="40 % - Markeringsfarve4 3 3 6 6 2" xfId="31026" xr:uid="{00000000-0005-0000-0000-0000D6720000}"/>
    <cellStyle name="40 % - Markeringsfarve4 3 3 6 6 3" xfId="45986" xr:uid="{00000000-0005-0000-0000-0000D7720000}"/>
    <cellStyle name="40 % - Markeringsfarve4 3 3 6 7" xfId="24024" xr:uid="{00000000-0005-0000-0000-0000D8720000}"/>
    <cellStyle name="40 % - Markeringsfarve4 3 3 6 8" xfId="38989" xr:uid="{00000000-0005-0000-0000-0000D9720000}"/>
    <cellStyle name="40 % - Markeringsfarve4 3 3 7" xfId="6267" xr:uid="{00000000-0005-0000-0000-0000DA720000}"/>
    <cellStyle name="40 % - Markeringsfarve4 3 3 7 2" xfId="6268" xr:uid="{00000000-0005-0000-0000-0000DB720000}"/>
    <cellStyle name="40 % - Markeringsfarve4 3 3 7 2 2" xfId="9794" xr:uid="{00000000-0005-0000-0000-0000DC720000}"/>
    <cellStyle name="40 % - Markeringsfarve4 3 3 7 2 2 2" xfId="17648" xr:uid="{00000000-0005-0000-0000-0000DD720000}"/>
    <cellStyle name="40 % - Markeringsfarve4 3 3 7 2 2 2 2" xfId="33924" xr:uid="{00000000-0005-0000-0000-0000DE720000}"/>
    <cellStyle name="40 % - Markeringsfarve4 3 3 7 2 2 2 3" xfId="48883" xr:uid="{00000000-0005-0000-0000-0000DF720000}"/>
    <cellStyle name="40 % - Markeringsfarve4 3 3 7 2 2 3" xfId="26922" xr:uid="{00000000-0005-0000-0000-0000E0720000}"/>
    <cellStyle name="40 % - Markeringsfarve4 3 3 7 2 2 4" xfId="41886" xr:uid="{00000000-0005-0000-0000-0000E1720000}"/>
    <cellStyle name="40 % - Markeringsfarve4 3 3 7 2 3" xfId="14753" xr:uid="{00000000-0005-0000-0000-0000E2720000}"/>
    <cellStyle name="40 % - Markeringsfarve4 3 3 7 2 3 2" xfId="31032" xr:uid="{00000000-0005-0000-0000-0000E3720000}"/>
    <cellStyle name="40 % - Markeringsfarve4 3 3 7 2 3 3" xfId="45992" xr:uid="{00000000-0005-0000-0000-0000E4720000}"/>
    <cellStyle name="40 % - Markeringsfarve4 3 3 7 2 4" xfId="24030" xr:uid="{00000000-0005-0000-0000-0000E5720000}"/>
    <cellStyle name="40 % - Markeringsfarve4 3 3 7 2 5" xfId="38995" xr:uid="{00000000-0005-0000-0000-0000E6720000}"/>
    <cellStyle name="40 % - Markeringsfarve4 3 3 7 3" xfId="8382" xr:uid="{00000000-0005-0000-0000-0000E7720000}"/>
    <cellStyle name="40 % - Markeringsfarve4 3 3 7 3 2" xfId="16252" xr:uid="{00000000-0005-0000-0000-0000E8720000}"/>
    <cellStyle name="40 % - Markeringsfarve4 3 3 7 3 2 2" xfId="32528" xr:uid="{00000000-0005-0000-0000-0000E9720000}"/>
    <cellStyle name="40 % - Markeringsfarve4 3 3 7 3 2 3" xfId="47487" xr:uid="{00000000-0005-0000-0000-0000EA720000}"/>
    <cellStyle name="40 % - Markeringsfarve4 3 3 7 3 3" xfId="25526" xr:uid="{00000000-0005-0000-0000-0000EB720000}"/>
    <cellStyle name="40 % - Markeringsfarve4 3 3 7 3 4" xfId="40490" xr:uid="{00000000-0005-0000-0000-0000EC720000}"/>
    <cellStyle name="40 % - Markeringsfarve4 3 3 7 4" xfId="14752" xr:uid="{00000000-0005-0000-0000-0000ED720000}"/>
    <cellStyle name="40 % - Markeringsfarve4 3 3 7 4 2" xfId="31031" xr:uid="{00000000-0005-0000-0000-0000EE720000}"/>
    <cellStyle name="40 % - Markeringsfarve4 3 3 7 4 3" xfId="45991" xr:uid="{00000000-0005-0000-0000-0000EF720000}"/>
    <cellStyle name="40 % - Markeringsfarve4 3 3 7 5" xfId="24029" xr:uid="{00000000-0005-0000-0000-0000F0720000}"/>
    <cellStyle name="40 % - Markeringsfarve4 3 3 7 6" xfId="38994" xr:uid="{00000000-0005-0000-0000-0000F1720000}"/>
    <cellStyle name="40 % - Markeringsfarve4 3 3 8" xfId="6269" xr:uid="{00000000-0005-0000-0000-0000F2720000}"/>
    <cellStyle name="40 % - Markeringsfarve4 3 3 8 2" xfId="9022" xr:uid="{00000000-0005-0000-0000-0000F3720000}"/>
    <cellStyle name="40 % - Markeringsfarve4 3 3 8 2 2" xfId="16886" xr:uid="{00000000-0005-0000-0000-0000F4720000}"/>
    <cellStyle name="40 % - Markeringsfarve4 3 3 8 2 2 2" xfId="33162" xr:uid="{00000000-0005-0000-0000-0000F5720000}"/>
    <cellStyle name="40 % - Markeringsfarve4 3 3 8 2 2 3" xfId="48121" xr:uid="{00000000-0005-0000-0000-0000F6720000}"/>
    <cellStyle name="40 % - Markeringsfarve4 3 3 8 2 3" xfId="26160" xr:uid="{00000000-0005-0000-0000-0000F7720000}"/>
    <cellStyle name="40 % - Markeringsfarve4 3 3 8 2 4" xfId="41124" xr:uid="{00000000-0005-0000-0000-0000F8720000}"/>
    <cellStyle name="40 % - Markeringsfarve4 3 3 8 3" xfId="14754" xr:uid="{00000000-0005-0000-0000-0000F9720000}"/>
    <cellStyle name="40 % - Markeringsfarve4 3 3 8 3 2" xfId="31033" xr:uid="{00000000-0005-0000-0000-0000FA720000}"/>
    <cellStyle name="40 % - Markeringsfarve4 3 3 8 3 3" xfId="45993" xr:uid="{00000000-0005-0000-0000-0000FB720000}"/>
    <cellStyle name="40 % - Markeringsfarve4 3 3 8 4" xfId="24031" xr:uid="{00000000-0005-0000-0000-0000FC720000}"/>
    <cellStyle name="40 % - Markeringsfarve4 3 3 8 5" xfId="38996" xr:uid="{00000000-0005-0000-0000-0000FD720000}"/>
    <cellStyle name="40 % - Markeringsfarve4 3 3 9" xfId="6270" xr:uid="{00000000-0005-0000-0000-0000FE720000}"/>
    <cellStyle name="40 % - Markeringsfarve4 3 3 9 2" xfId="10836" xr:uid="{00000000-0005-0000-0000-0000FF720000}"/>
    <cellStyle name="40 % - Markeringsfarve4 3 3 9 2 2" xfId="18674" xr:uid="{00000000-0005-0000-0000-000000730000}"/>
    <cellStyle name="40 % - Markeringsfarve4 3 3 9 2 2 2" xfId="34950" xr:uid="{00000000-0005-0000-0000-000001730000}"/>
    <cellStyle name="40 % - Markeringsfarve4 3 3 9 2 2 3" xfId="49909" xr:uid="{00000000-0005-0000-0000-000002730000}"/>
    <cellStyle name="40 % - Markeringsfarve4 3 3 9 2 3" xfId="27948" xr:uid="{00000000-0005-0000-0000-000003730000}"/>
    <cellStyle name="40 % - Markeringsfarve4 3 3 9 2 4" xfId="42912" xr:uid="{00000000-0005-0000-0000-000004730000}"/>
    <cellStyle name="40 % - Markeringsfarve4 3 3 9 3" xfId="14755" xr:uid="{00000000-0005-0000-0000-000005730000}"/>
    <cellStyle name="40 % - Markeringsfarve4 3 3 9 3 2" xfId="31034" xr:uid="{00000000-0005-0000-0000-000006730000}"/>
    <cellStyle name="40 % - Markeringsfarve4 3 3 9 3 3" xfId="45994" xr:uid="{00000000-0005-0000-0000-000007730000}"/>
    <cellStyle name="40 % - Markeringsfarve4 3 3 9 4" xfId="24032" xr:uid="{00000000-0005-0000-0000-000008730000}"/>
    <cellStyle name="40 % - Markeringsfarve4 3 3 9 5" xfId="38997" xr:uid="{00000000-0005-0000-0000-000009730000}"/>
    <cellStyle name="40 % - Markeringsfarve4 3 4" xfId="6271" xr:uid="{00000000-0005-0000-0000-00000A730000}"/>
    <cellStyle name="40 % - Markeringsfarve4 3 4 2" xfId="6272" xr:uid="{00000000-0005-0000-0000-00000B730000}"/>
    <cellStyle name="40 % - Markeringsfarve4 3 4 2 2" xfId="6273" xr:uid="{00000000-0005-0000-0000-00000C730000}"/>
    <cellStyle name="40 % - Markeringsfarve4 3 4 2 2 2" xfId="9834" xr:uid="{00000000-0005-0000-0000-00000D730000}"/>
    <cellStyle name="40 % - Markeringsfarve4 3 4 2 2 2 2" xfId="17689" xr:uid="{00000000-0005-0000-0000-00000E730000}"/>
    <cellStyle name="40 % - Markeringsfarve4 3 4 2 2 2 2 2" xfId="33965" xr:uid="{00000000-0005-0000-0000-00000F730000}"/>
    <cellStyle name="40 % - Markeringsfarve4 3 4 2 2 2 2 3" xfId="48924" xr:uid="{00000000-0005-0000-0000-000010730000}"/>
    <cellStyle name="40 % - Markeringsfarve4 3 4 2 2 2 3" xfId="26963" xr:uid="{00000000-0005-0000-0000-000011730000}"/>
    <cellStyle name="40 % - Markeringsfarve4 3 4 2 2 2 4" xfId="41927" xr:uid="{00000000-0005-0000-0000-000012730000}"/>
    <cellStyle name="40 % - Markeringsfarve4 3 4 2 2 3" xfId="14758" xr:uid="{00000000-0005-0000-0000-000013730000}"/>
    <cellStyle name="40 % - Markeringsfarve4 3 4 2 2 3 2" xfId="31037" xr:uid="{00000000-0005-0000-0000-000014730000}"/>
    <cellStyle name="40 % - Markeringsfarve4 3 4 2 2 3 3" xfId="45997" xr:uid="{00000000-0005-0000-0000-000015730000}"/>
    <cellStyle name="40 % - Markeringsfarve4 3 4 2 2 4" xfId="24035" xr:uid="{00000000-0005-0000-0000-000016730000}"/>
    <cellStyle name="40 % - Markeringsfarve4 3 4 2 2 5" xfId="39000" xr:uid="{00000000-0005-0000-0000-000017730000}"/>
    <cellStyle name="40 % - Markeringsfarve4 3 4 2 3" xfId="8415" xr:uid="{00000000-0005-0000-0000-000018730000}"/>
    <cellStyle name="40 % - Markeringsfarve4 3 4 2 3 2" xfId="16285" xr:uid="{00000000-0005-0000-0000-000019730000}"/>
    <cellStyle name="40 % - Markeringsfarve4 3 4 2 3 2 2" xfId="32561" xr:uid="{00000000-0005-0000-0000-00001A730000}"/>
    <cellStyle name="40 % - Markeringsfarve4 3 4 2 3 2 3" xfId="47520" xr:uid="{00000000-0005-0000-0000-00001B730000}"/>
    <cellStyle name="40 % - Markeringsfarve4 3 4 2 3 3" xfId="25559" xr:uid="{00000000-0005-0000-0000-00001C730000}"/>
    <cellStyle name="40 % - Markeringsfarve4 3 4 2 3 4" xfId="40523" xr:uid="{00000000-0005-0000-0000-00001D730000}"/>
    <cellStyle name="40 % - Markeringsfarve4 3 4 2 4" xfId="14757" xr:uid="{00000000-0005-0000-0000-00001E730000}"/>
    <cellStyle name="40 % - Markeringsfarve4 3 4 2 4 2" xfId="31036" xr:uid="{00000000-0005-0000-0000-00001F730000}"/>
    <cellStyle name="40 % - Markeringsfarve4 3 4 2 4 3" xfId="45996" xr:uid="{00000000-0005-0000-0000-000020730000}"/>
    <cellStyle name="40 % - Markeringsfarve4 3 4 2 5" xfId="24034" xr:uid="{00000000-0005-0000-0000-000021730000}"/>
    <cellStyle name="40 % - Markeringsfarve4 3 4 2 6" xfId="38999" xr:uid="{00000000-0005-0000-0000-000022730000}"/>
    <cellStyle name="40 % - Markeringsfarve4 3 4 3" xfId="6274" xr:uid="{00000000-0005-0000-0000-000023730000}"/>
    <cellStyle name="40 % - Markeringsfarve4 3 4 3 2" xfId="9065" xr:uid="{00000000-0005-0000-0000-000024730000}"/>
    <cellStyle name="40 % - Markeringsfarve4 3 4 3 2 2" xfId="16929" xr:uid="{00000000-0005-0000-0000-000025730000}"/>
    <cellStyle name="40 % - Markeringsfarve4 3 4 3 2 2 2" xfId="33205" xr:uid="{00000000-0005-0000-0000-000026730000}"/>
    <cellStyle name="40 % - Markeringsfarve4 3 4 3 2 2 3" xfId="48164" xr:uid="{00000000-0005-0000-0000-000027730000}"/>
    <cellStyle name="40 % - Markeringsfarve4 3 4 3 2 3" xfId="26203" xr:uid="{00000000-0005-0000-0000-000028730000}"/>
    <cellStyle name="40 % - Markeringsfarve4 3 4 3 2 4" xfId="41167" xr:uid="{00000000-0005-0000-0000-000029730000}"/>
    <cellStyle name="40 % - Markeringsfarve4 3 4 3 3" xfId="14759" xr:uid="{00000000-0005-0000-0000-00002A730000}"/>
    <cellStyle name="40 % - Markeringsfarve4 3 4 3 3 2" xfId="31038" xr:uid="{00000000-0005-0000-0000-00002B730000}"/>
    <cellStyle name="40 % - Markeringsfarve4 3 4 3 3 3" xfId="45998" xr:uid="{00000000-0005-0000-0000-00002C730000}"/>
    <cellStyle name="40 % - Markeringsfarve4 3 4 3 4" xfId="24036" xr:uid="{00000000-0005-0000-0000-00002D730000}"/>
    <cellStyle name="40 % - Markeringsfarve4 3 4 3 5" xfId="39001" xr:uid="{00000000-0005-0000-0000-00002E730000}"/>
    <cellStyle name="40 % - Markeringsfarve4 3 4 4" xfId="6275" xr:uid="{00000000-0005-0000-0000-00002F730000}"/>
    <cellStyle name="40 % - Markeringsfarve4 3 4 4 2" xfId="10692" xr:uid="{00000000-0005-0000-0000-000030730000}"/>
    <cellStyle name="40 % - Markeringsfarve4 3 4 4 2 2" xfId="18536" xr:uid="{00000000-0005-0000-0000-000031730000}"/>
    <cellStyle name="40 % - Markeringsfarve4 3 4 4 2 2 2" xfId="34812" xr:uid="{00000000-0005-0000-0000-000032730000}"/>
    <cellStyle name="40 % - Markeringsfarve4 3 4 4 2 2 3" xfId="49771" xr:uid="{00000000-0005-0000-0000-000033730000}"/>
    <cellStyle name="40 % - Markeringsfarve4 3 4 4 2 3" xfId="27810" xr:uid="{00000000-0005-0000-0000-000034730000}"/>
    <cellStyle name="40 % - Markeringsfarve4 3 4 4 2 4" xfId="42774" xr:uid="{00000000-0005-0000-0000-000035730000}"/>
    <cellStyle name="40 % - Markeringsfarve4 3 4 4 3" xfId="14760" xr:uid="{00000000-0005-0000-0000-000036730000}"/>
    <cellStyle name="40 % - Markeringsfarve4 3 4 4 3 2" xfId="31039" xr:uid="{00000000-0005-0000-0000-000037730000}"/>
    <cellStyle name="40 % - Markeringsfarve4 3 4 4 3 3" xfId="45999" xr:uid="{00000000-0005-0000-0000-000038730000}"/>
    <cellStyle name="40 % - Markeringsfarve4 3 4 4 4" xfId="24037" xr:uid="{00000000-0005-0000-0000-000039730000}"/>
    <cellStyle name="40 % - Markeringsfarve4 3 4 4 5" xfId="39002" xr:uid="{00000000-0005-0000-0000-00003A730000}"/>
    <cellStyle name="40 % - Markeringsfarve4 3 4 5" xfId="8161" xr:uid="{00000000-0005-0000-0000-00003B730000}"/>
    <cellStyle name="40 % - Markeringsfarve4 3 4 5 2" xfId="16026" xr:uid="{00000000-0005-0000-0000-00003C730000}"/>
    <cellStyle name="40 % - Markeringsfarve4 3 4 5 2 2" xfId="32302" xr:uid="{00000000-0005-0000-0000-00003D730000}"/>
    <cellStyle name="40 % - Markeringsfarve4 3 4 5 2 3" xfId="47261" xr:uid="{00000000-0005-0000-0000-00003E730000}"/>
    <cellStyle name="40 % - Markeringsfarve4 3 4 5 3" xfId="25300" xr:uid="{00000000-0005-0000-0000-00003F730000}"/>
    <cellStyle name="40 % - Markeringsfarve4 3 4 5 4" xfId="40264" xr:uid="{00000000-0005-0000-0000-000040730000}"/>
    <cellStyle name="40 % - Markeringsfarve4 3 4 6" xfId="14756" xr:uid="{00000000-0005-0000-0000-000041730000}"/>
    <cellStyle name="40 % - Markeringsfarve4 3 4 6 2" xfId="31035" xr:uid="{00000000-0005-0000-0000-000042730000}"/>
    <cellStyle name="40 % - Markeringsfarve4 3 4 6 3" xfId="45995" xr:uid="{00000000-0005-0000-0000-000043730000}"/>
    <cellStyle name="40 % - Markeringsfarve4 3 4 7" xfId="24033" xr:uid="{00000000-0005-0000-0000-000044730000}"/>
    <cellStyle name="40 % - Markeringsfarve4 3 4 8" xfId="38998" xr:uid="{00000000-0005-0000-0000-000045730000}"/>
    <cellStyle name="40 % - Markeringsfarve4 3 5" xfId="6276" xr:uid="{00000000-0005-0000-0000-000046730000}"/>
    <cellStyle name="40 % - Markeringsfarve4 3 5 2" xfId="6277" xr:uid="{00000000-0005-0000-0000-000047730000}"/>
    <cellStyle name="40 % - Markeringsfarve4 3 5 2 2" xfId="6278" xr:uid="{00000000-0005-0000-0000-000048730000}"/>
    <cellStyle name="40 % - Markeringsfarve4 3 5 2 2 2" xfId="10016" xr:uid="{00000000-0005-0000-0000-000049730000}"/>
    <cellStyle name="40 % - Markeringsfarve4 3 5 2 2 2 2" xfId="17871" xr:uid="{00000000-0005-0000-0000-00004A730000}"/>
    <cellStyle name="40 % - Markeringsfarve4 3 5 2 2 2 2 2" xfId="34147" xr:uid="{00000000-0005-0000-0000-00004B730000}"/>
    <cellStyle name="40 % - Markeringsfarve4 3 5 2 2 2 2 3" xfId="49106" xr:uid="{00000000-0005-0000-0000-00004C730000}"/>
    <cellStyle name="40 % - Markeringsfarve4 3 5 2 2 2 3" xfId="27145" xr:uid="{00000000-0005-0000-0000-00004D730000}"/>
    <cellStyle name="40 % - Markeringsfarve4 3 5 2 2 2 4" xfId="42109" xr:uid="{00000000-0005-0000-0000-00004E730000}"/>
    <cellStyle name="40 % - Markeringsfarve4 3 5 2 2 3" xfId="14763" xr:uid="{00000000-0005-0000-0000-00004F730000}"/>
    <cellStyle name="40 % - Markeringsfarve4 3 5 2 2 3 2" xfId="31042" xr:uid="{00000000-0005-0000-0000-000050730000}"/>
    <cellStyle name="40 % - Markeringsfarve4 3 5 2 2 3 3" xfId="46002" xr:uid="{00000000-0005-0000-0000-000051730000}"/>
    <cellStyle name="40 % - Markeringsfarve4 3 5 2 2 4" xfId="24040" xr:uid="{00000000-0005-0000-0000-000052730000}"/>
    <cellStyle name="40 % - Markeringsfarve4 3 5 2 2 5" xfId="39005" xr:uid="{00000000-0005-0000-0000-000053730000}"/>
    <cellStyle name="40 % - Markeringsfarve4 3 5 2 3" xfId="8563" xr:uid="{00000000-0005-0000-0000-000054730000}"/>
    <cellStyle name="40 % - Markeringsfarve4 3 5 2 3 2" xfId="16433" xr:uid="{00000000-0005-0000-0000-000055730000}"/>
    <cellStyle name="40 % - Markeringsfarve4 3 5 2 3 2 2" xfId="32709" xr:uid="{00000000-0005-0000-0000-000056730000}"/>
    <cellStyle name="40 % - Markeringsfarve4 3 5 2 3 2 3" xfId="47668" xr:uid="{00000000-0005-0000-0000-000057730000}"/>
    <cellStyle name="40 % - Markeringsfarve4 3 5 2 3 3" xfId="25707" xr:uid="{00000000-0005-0000-0000-000058730000}"/>
    <cellStyle name="40 % - Markeringsfarve4 3 5 2 3 4" xfId="40671" xr:uid="{00000000-0005-0000-0000-000059730000}"/>
    <cellStyle name="40 % - Markeringsfarve4 3 5 2 4" xfId="14762" xr:uid="{00000000-0005-0000-0000-00005A730000}"/>
    <cellStyle name="40 % - Markeringsfarve4 3 5 2 4 2" xfId="31041" xr:uid="{00000000-0005-0000-0000-00005B730000}"/>
    <cellStyle name="40 % - Markeringsfarve4 3 5 2 4 3" xfId="46001" xr:uid="{00000000-0005-0000-0000-00005C730000}"/>
    <cellStyle name="40 % - Markeringsfarve4 3 5 2 5" xfId="24039" xr:uid="{00000000-0005-0000-0000-00005D730000}"/>
    <cellStyle name="40 % - Markeringsfarve4 3 5 2 6" xfId="39004" xr:uid="{00000000-0005-0000-0000-00005E730000}"/>
    <cellStyle name="40 % - Markeringsfarve4 3 5 3" xfId="6279" xr:uid="{00000000-0005-0000-0000-00005F730000}"/>
    <cellStyle name="40 % - Markeringsfarve4 3 5 3 2" xfId="9247" xr:uid="{00000000-0005-0000-0000-000060730000}"/>
    <cellStyle name="40 % - Markeringsfarve4 3 5 3 2 2" xfId="17111" xr:uid="{00000000-0005-0000-0000-000061730000}"/>
    <cellStyle name="40 % - Markeringsfarve4 3 5 3 2 2 2" xfId="33387" xr:uid="{00000000-0005-0000-0000-000062730000}"/>
    <cellStyle name="40 % - Markeringsfarve4 3 5 3 2 2 3" xfId="48346" xr:uid="{00000000-0005-0000-0000-000063730000}"/>
    <cellStyle name="40 % - Markeringsfarve4 3 5 3 2 3" xfId="26385" xr:uid="{00000000-0005-0000-0000-000064730000}"/>
    <cellStyle name="40 % - Markeringsfarve4 3 5 3 2 4" xfId="41349" xr:uid="{00000000-0005-0000-0000-000065730000}"/>
    <cellStyle name="40 % - Markeringsfarve4 3 5 3 3" xfId="14764" xr:uid="{00000000-0005-0000-0000-000066730000}"/>
    <cellStyle name="40 % - Markeringsfarve4 3 5 3 3 2" xfId="31043" xr:uid="{00000000-0005-0000-0000-000067730000}"/>
    <cellStyle name="40 % - Markeringsfarve4 3 5 3 3 3" xfId="46003" xr:uid="{00000000-0005-0000-0000-000068730000}"/>
    <cellStyle name="40 % - Markeringsfarve4 3 5 3 4" xfId="24041" xr:uid="{00000000-0005-0000-0000-000069730000}"/>
    <cellStyle name="40 % - Markeringsfarve4 3 5 3 5" xfId="39006" xr:uid="{00000000-0005-0000-0000-00006A730000}"/>
    <cellStyle name="40 % - Markeringsfarve4 3 5 4" xfId="6280" xr:uid="{00000000-0005-0000-0000-00006B730000}"/>
    <cellStyle name="40 % - Markeringsfarve4 3 5 4 2" xfId="10943" xr:uid="{00000000-0005-0000-0000-00006C730000}"/>
    <cellStyle name="40 % - Markeringsfarve4 3 5 4 2 2" xfId="18777" xr:uid="{00000000-0005-0000-0000-00006D730000}"/>
    <cellStyle name="40 % - Markeringsfarve4 3 5 4 2 2 2" xfId="35053" xr:uid="{00000000-0005-0000-0000-00006E730000}"/>
    <cellStyle name="40 % - Markeringsfarve4 3 5 4 2 2 3" xfId="50012" xr:uid="{00000000-0005-0000-0000-00006F730000}"/>
    <cellStyle name="40 % - Markeringsfarve4 3 5 4 2 3" xfId="28051" xr:uid="{00000000-0005-0000-0000-000070730000}"/>
    <cellStyle name="40 % - Markeringsfarve4 3 5 4 2 4" xfId="43015" xr:uid="{00000000-0005-0000-0000-000071730000}"/>
    <cellStyle name="40 % - Markeringsfarve4 3 5 4 3" xfId="14765" xr:uid="{00000000-0005-0000-0000-000072730000}"/>
    <cellStyle name="40 % - Markeringsfarve4 3 5 4 3 2" xfId="31044" xr:uid="{00000000-0005-0000-0000-000073730000}"/>
    <cellStyle name="40 % - Markeringsfarve4 3 5 4 3 3" xfId="46004" xr:uid="{00000000-0005-0000-0000-000074730000}"/>
    <cellStyle name="40 % - Markeringsfarve4 3 5 4 4" xfId="24042" xr:uid="{00000000-0005-0000-0000-000075730000}"/>
    <cellStyle name="40 % - Markeringsfarve4 3 5 4 5" xfId="39007" xr:uid="{00000000-0005-0000-0000-000076730000}"/>
    <cellStyle name="40 % - Markeringsfarve4 3 5 5" xfId="8162" xr:uid="{00000000-0005-0000-0000-000077730000}"/>
    <cellStyle name="40 % - Markeringsfarve4 3 5 5 2" xfId="16027" xr:uid="{00000000-0005-0000-0000-000078730000}"/>
    <cellStyle name="40 % - Markeringsfarve4 3 5 5 2 2" xfId="32303" xr:uid="{00000000-0005-0000-0000-000079730000}"/>
    <cellStyle name="40 % - Markeringsfarve4 3 5 5 2 3" xfId="47262" xr:uid="{00000000-0005-0000-0000-00007A730000}"/>
    <cellStyle name="40 % - Markeringsfarve4 3 5 5 3" xfId="25301" xr:uid="{00000000-0005-0000-0000-00007B730000}"/>
    <cellStyle name="40 % - Markeringsfarve4 3 5 5 4" xfId="40265" xr:uid="{00000000-0005-0000-0000-00007C730000}"/>
    <cellStyle name="40 % - Markeringsfarve4 3 5 6" xfId="14761" xr:uid="{00000000-0005-0000-0000-00007D730000}"/>
    <cellStyle name="40 % - Markeringsfarve4 3 5 6 2" xfId="31040" xr:uid="{00000000-0005-0000-0000-00007E730000}"/>
    <cellStyle name="40 % - Markeringsfarve4 3 5 6 3" xfId="46000" xr:uid="{00000000-0005-0000-0000-00007F730000}"/>
    <cellStyle name="40 % - Markeringsfarve4 3 5 7" xfId="24038" xr:uid="{00000000-0005-0000-0000-000080730000}"/>
    <cellStyle name="40 % - Markeringsfarve4 3 5 8" xfId="39003" xr:uid="{00000000-0005-0000-0000-000081730000}"/>
    <cellStyle name="40 % - Markeringsfarve4 3 6" xfId="6281" xr:uid="{00000000-0005-0000-0000-000082730000}"/>
    <cellStyle name="40 % - Markeringsfarve4 3 6 2" xfId="6282" xr:uid="{00000000-0005-0000-0000-000083730000}"/>
    <cellStyle name="40 % - Markeringsfarve4 3 6 2 2" xfId="6283" xr:uid="{00000000-0005-0000-0000-000084730000}"/>
    <cellStyle name="40 % - Markeringsfarve4 3 6 2 2 2" xfId="10072" xr:uid="{00000000-0005-0000-0000-000085730000}"/>
    <cellStyle name="40 % - Markeringsfarve4 3 6 2 2 2 2" xfId="17927" xr:uid="{00000000-0005-0000-0000-000086730000}"/>
    <cellStyle name="40 % - Markeringsfarve4 3 6 2 2 2 2 2" xfId="34203" xr:uid="{00000000-0005-0000-0000-000087730000}"/>
    <cellStyle name="40 % - Markeringsfarve4 3 6 2 2 2 2 3" xfId="49162" xr:uid="{00000000-0005-0000-0000-000088730000}"/>
    <cellStyle name="40 % - Markeringsfarve4 3 6 2 2 2 3" xfId="27201" xr:uid="{00000000-0005-0000-0000-000089730000}"/>
    <cellStyle name="40 % - Markeringsfarve4 3 6 2 2 2 4" xfId="42165" xr:uid="{00000000-0005-0000-0000-00008A730000}"/>
    <cellStyle name="40 % - Markeringsfarve4 3 6 2 2 3" xfId="14768" xr:uid="{00000000-0005-0000-0000-00008B730000}"/>
    <cellStyle name="40 % - Markeringsfarve4 3 6 2 2 3 2" xfId="31047" xr:uid="{00000000-0005-0000-0000-00008C730000}"/>
    <cellStyle name="40 % - Markeringsfarve4 3 6 2 2 3 3" xfId="46007" xr:uid="{00000000-0005-0000-0000-00008D730000}"/>
    <cellStyle name="40 % - Markeringsfarve4 3 6 2 2 4" xfId="24045" xr:uid="{00000000-0005-0000-0000-00008E730000}"/>
    <cellStyle name="40 % - Markeringsfarve4 3 6 2 2 5" xfId="39010" xr:uid="{00000000-0005-0000-0000-00008F730000}"/>
    <cellStyle name="40 % - Markeringsfarve4 3 6 2 3" xfId="8617" xr:uid="{00000000-0005-0000-0000-000090730000}"/>
    <cellStyle name="40 % - Markeringsfarve4 3 6 2 3 2" xfId="16484" xr:uid="{00000000-0005-0000-0000-000091730000}"/>
    <cellStyle name="40 % - Markeringsfarve4 3 6 2 3 2 2" xfId="32760" xr:uid="{00000000-0005-0000-0000-000092730000}"/>
    <cellStyle name="40 % - Markeringsfarve4 3 6 2 3 2 3" xfId="47719" xr:uid="{00000000-0005-0000-0000-000093730000}"/>
    <cellStyle name="40 % - Markeringsfarve4 3 6 2 3 3" xfId="25758" xr:uid="{00000000-0005-0000-0000-000094730000}"/>
    <cellStyle name="40 % - Markeringsfarve4 3 6 2 3 4" xfId="40722" xr:uid="{00000000-0005-0000-0000-000095730000}"/>
    <cellStyle name="40 % - Markeringsfarve4 3 6 2 4" xfId="14767" xr:uid="{00000000-0005-0000-0000-000096730000}"/>
    <cellStyle name="40 % - Markeringsfarve4 3 6 2 4 2" xfId="31046" xr:uid="{00000000-0005-0000-0000-000097730000}"/>
    <cellStyle name="40 % - Markeringsfarve4 3 6 2 4 3" xfId="46006" xr:uid="{00000000-0005-0000-0000-000098730000}"/>
    <cellStyle name="40 % - Markeringsfarve4 3 6 2 5" xfId="24044" xr:uid="{00000000-0005-0000-0000-000099730000}"/>
    <cellStyle name="40 % - Markeringsfarve4 3 6 2 6" xfId="39009" xr:uid="{00000000-0005-0000-0000-00009A730000}"/>
    <cellStyle name="40 % - Markeringsfarve4 3 6 3" xfId="6284" xr:uid="{00000000-0005-0000-0000-00009B730000}"/>
    <cellStyle name="40 % - Markeringsfarve4 3 6 3 2" xfId="9349" xr:uid="{00000000-0005-0000-0000-00009C730000}"/>
    <cellStyle name="40 % - Markeringsfarve4 3 6 3 2 2" xfId="17212" xr:uid="{00000000-0005-0000-0000-00009D730000}"/>
    <cellStyle name="40 % - Markeringsfarve4 3 6 3 2 2 2" xfId="33488" xr:uid="{00000000-0005-0000-0000-00009E730000}"/>
    <cellStyle name="40 % - Markeringsfarve4 3 6 3 2 2 3" xfId="48447" xr:uid="{00000000-0005-0000-0000-00009F730000}"/>
    <cellStyle name="40 % - Markeringsfarve4 3 6 3 2 3" xfId="26486" xr:uid="{00000000-0005-0000-0000-0000A0730000}"/>
    <cellStyle name="40 % - Markeringsfarve4 3 6 3 2 4" xfId="41450" xr:uid="{00000000-0005-0000-0000-0000A1730000}"/>
    <cellStyle name="40 % - Markeringsfarve4 3 6 3 3" xfId="14769" xr:uid="{00000000-0005-0000-0000-0000A2730000}"/>
    <cellStyle name="40 % - Markeringsfarve4 3 6 3 3 2" xfId="31048" xr:uid="{00000000-0005-0000-0000-0000A3730000}"/>
    <cellStyle name="40 % - Markeringsfarve4 3 6 3 3 3" xfId="46008" xr:uid="{00000000-0005-0000-0000-0000A4730000}"/>
    <cellStyle name="40 % - Markeringsfarve4 3 6 3 4" xfId="24046" xr:uid="{00000000-0005-0000-0000-0000A5730000}"/>
    <cellStyle name="40 % - Markeringsfarve4 3 6 3 5" xfId="39011" xr:uid="{00000000-0005-0000-0000-0000A6730000}"/>
    <cellStyle name="40 % - Markeringsfarve4 3 6 4" xfId="6285" xr:uid="{00000000-0005-0000-0000-0000A7730000}"/>
    <cellStyle name="40 % - Markeringsfarve4 3 6 4 2" xfId="10667" xr:uid="{00000000-0005-0000-0000-0000A8730000}"/>
    <cellStyle name="40 % - Markeringsfarve4 3 6 4 2 2" xfId="18513" xr:uid="{00000000-0005-0000-0000-0000A9730000}"/>
    <cellStyle name="40 % - Markeringsfarve4 3 6 4 2 2 2" xfId="34789" xr:uid="{00000000-0005-0000-0000-0000AA730000}"/>
    <cellStyle name="40 % - Markeringsfarve4 3 6 4 2 2 3" xfId="49748" xr:uid="{00000000-0005-0000-0000-0000AB730000}"/>
    <cellStyle name="40 % - Markeringsfarve4 3 6 4 2 3" xfId="27787" xr:uid="{00000000-0005-0000-0000-0000AC730000}"/>
    <cellStyle name="40 % - Markeringsfarve4 3 6 4 2 4" xfId="42751" xr:uid="{00000000-0005-0000-0000-0000AD730000}"/>
    <cellStyle name="40 % - Markeringsfarve4 3 6 4 3" xfId="14770" xr:uid="{00000000-0005-0000-0000-0000AE730000}"/>
    <cellStyle name="40 % - Markeringsfarve4 3 6 4 3 2" xfId="31049" xr:uid="{00000000-0005-0000-0000-0000AF730000}"/>
    <cellStyle name="40 % - Markeringsfarve4 3 6 4 3 3" xfId="46009" xr:uid="{00000000-0005-0000-0000-0000B0730000}"/>
    <cellStyle name="40 % - Markeringsfarve4 3 6 4 4" xfId="24047" xr:uid="{00000000-0005-0000-0000-0000B1730000}"/>
    <cellStyle name="40 % - Markeringsfarve4 3 6 4 5" xfId="39012" xr:uid="{00000000-0005-0000-0000-0000B2730000}"/>
    <cellStyle name="40 % - Markeringsfarve4 3 6 5" xfId="8163" xr:uid="{00000000-0005-0000-0000-0000B3730000}"/>
    <cellStyle name="40 % - Markeringsfarve4 3 6 5 2" xfId="16028" xr:uid="{00000000-0005-0000-0000-0000B4730000}"/>
    <cellStyle name="40 % - Markeringsfarve4 3 6 5 2 2" xfId="32304" xr:uid="{00000000-0005-0000-0000-0000B5730000}"/>
    <cellStyle name="40 % - Markeringsfarve4 3 6 5 2 3" xfId="47263" xr:uid="{00000000-0005-0000-0000-0000B6730000}"/>
    <cellStyle name="40 % - Markeringsfarve4 3 6 5 3" xfId="25302" xr:uid="{00000000-0005-0000-0000-0000B7730000}"/>
    <cellStyle name="40 % - Markeringsfarve4 3 6 5 4" xfId="40266" xr:uid="{00000000-0005-0000-0000-0000B8730000}"/>
    <cellStyle name="40 % - Markeringsfarve4 3 6 6" xfId="14766" xr:uid="{00000000-0005-0000-0000-0000B9730000}"/>
    <cellStyle name="40 % - Markeringsfarve4 3 6 6 2" xfId="31045" xr:uid="{00000000-0005-0000-0000-0000BA730000}"/>
    <cellStyle name="40 % - Markeringsfarve4 3 6 6 3" xfId="46005" xr:uid="{00000000-0005-0000-0000-0000BB730000}"/>
    <cellStyle name="40 % - Markeringsfarve4 3 6 7" xfId="24043" xr:uid="{00000000-0005-0000-0000-0000BC730000}"/>
    <cellStyle name="40 % - Markeringsfarve4 3 6 8" xfId="39008" xr:uid="{00000000-0005-0000-0000-0000BD730000}"/>
    <cellStyle name="40 % - Markeringsfarve4 3 7" xfId="6286" xr:uid="{00000000-0005-0000-0000-0000BE730000}"/>
    <cellStyle name="40 % - Markeringsfarve4 3 7 2" xfId="6287" xr:uid="{00000000-0005-0000-0000-0000BF730000}"/>
    <cellStyle name="40 % - Markeringsfarve4 3 7 2 2" xfId="6288" xr:uid="{00000000-0005-0000-0000-0000C0730000}"/>
    <cellStyle name="40 % - Markeringsfarve4 3 7 2 2 2" xfId="10189" xr:uid="{00000000-0005-0000-0000-0000C1730000}"/>
    <cellStyle name="40 % - Markeringsfarve4 3 7 2 2 2 2" xfId="18044" xr:uid="{00000000-0005-0000-0000-0000C2730000}"/>
    <cellStyle name="40 % - Markeringsfarve4 3 7 2 2 2 2 2" xfId="34320" xr:uid="{00000000-0005-0000-0000-0000C3730000}"/>
    <cellStyle name="40 % - Markeringsfarve4 3 7 2 2 2 2 3" xfId="49279" xr:uid="{00000000-0005-0000-0000-0000C4730000}"/>
    <cellStyle name="40 % - Markeringsfarve4 3 7 2 2 2 3" xfId="27318" xr:uid="{00000000-0005-0000-0000-0000C5730000}"/>
    <cellStyle name="40 % - Markeringsfarve4 3 7 2 2 2 4" xfId="42282" xr:uid="{00000000-0005-0000-0000-0000C6730000}"/>
    <cellStyle name="40 % - Markeringsfarve4 3 7 2 2 3" xfId="14773" xr:uid="{00000000-0005-0000-0000-0000C7730000}"/>
    <cellStyle name="40 % - Markeringsfarve4 3 7 2 2 3 2" xfId="31052" xr:uid="{00000000-0005-0000-0000-0000C8730000}"/>
    <cellStyle name="40 % - Markeringsfarve4 3 7 2 2 3 3" xfId="46012" xr:uid="{00000000-0005-0000-0000-0000C9730000}"/>
    <cellStyle name="40 % - Markeringsfarve4 3 7 2 2 4" xfId="24050" xr:uid="{00000000-0005-0000-0000-0000CA730000}"/>
    <cellStyle name="40 % - Markeringsfarve4 3 7 2 2 5" xfId="39015" xr:uid="{00000000-0005-0000-0000-0000CB730000}"/>
    <cellStyle name="40 % - Markeringsfarve4 3 7 2 3" xfId="8716" xr:uid="{00000000-0005-0000-0000-0000CC730000}"/>
    <cellStyle name="40 % - Markeringsfarve4 3 7 2 3 2" xfId="16583" xr:uid="{00000000-0005-0000-0000-0000CD730000}"/>
    <cellStyle name="40 % - Markeringsfarve4 3 7 2 3 2 2" xfId="32859" xr:uid="{00000000-0005-0000-0000-0000CE730000}"/>
    <cellStyle name="40 % - Markeringsfarve4 3 7 2 3 2 3" xfId="47818" xr:uid="{00000000-0005-0000-0000-0000CF730000}"/>
    <cellStyle name="40 % - Markeringsfarve4 3 7 2 3 3" xfId="25857" xr:uid="{00000000-0005-0000-0000-0000D0730000}"/>
    <cellStyle name="40 % - Markeringsfarve4 3 7 2 3 4" xfId="40821" xr:uid="{00000000-0005-0000-0000-0000D1730000}"/>
    <cellStyle name="40 % - Markeringsfarve4 3 7 2 4" xfId="14772" xr:uid="{00000000-0005-0000-0000-0000D2730000}"/>
    <cellStyle name="40 % - Markeringsfarve4 3 7 2 4 2" xfId="31051" xr:uid="{00000000-0005-0000-0000-0000D3730000}"/>
    <cellStyle name="40 % - Markeringsfarve4 3 7 2 4 3" xfId="46011" xr:uid="{00000000-0005-0000-0000-0000D4730000}"/>
    <cellStyle name="40 % - Markeringsfarve4 3 7 2 5" xfId="24049" xr:uid="{00000000-0005-0000-0000-0000D5730000}"/>
    <cellStyle name="40 % - Markeringsfarve4 3 7 2 6" xfId="39014" xr:uid="{00000000-0005-0000-0000-0000D6730000}"/>
    <cellStyle name="40 % - Markeringsfarve4 3 7 3" xfId="6289" xr:uid="{00000000-0005-0000-0000-0000D7730000}"/>
    <cellStyle name="40 % - Markeringsfarve4 3 7 3 2" xfId="9466" xr:uid="{00000000-0005-0000-0000-0000D8730000}"/>
    <cellStyle name="40 % - Markeringsfarve4 3 7 3 2 2" xfId="17329" xr:uid="{00000000-0005-0000-0000-0000D9730000}"/>
    <cellStyle name="40 % - Markeringsfarve4 3 7 3 2 2 2" xfId="33605" xr:uid="{00000000-0005-0000-0000-0000DA730000}"/>
    <cellStyle name="40 % - Markeringsfarve4 3 7 3 2 2 3" xfId="48564" xr:uid="{00000000-0005-0000-0000-0000DB730000}"/>
    <cellStyle name="40 % - Markeringsfarve4 3 7 3 2 3" xfId="26603" xr:uid="{00000000-0005-0000-0000-0000DC730000}"/>
    <cellStyle name="40 % - Markeringsfarve4 3 7 3 2 4" xfId="41567" xr:uid="{00000000-0005-0000-0000-0000DD730000}"/>
    <cellStyle name="40 % - Markeringsfarve4 3 7 3 3" xfId="14774" xr:uid="{00000000-0005-0000-0000-0000DE730000}"/>
    <cellStyle name="40 % - Markeringsfarve4 3 7 3 3 2" xfId="31053" xr:uid="{00000000-0005-0000-0000-0000DF730000}"/>
    <cellStyle name="40 % - Markeringsfarve4 3 7 3 3 3" xfId="46013" xr:uid="{00000000-0005-0000-0000-0000E0730000}"/>
    <cellStyle name="40 % - Markeringsfarve4 3 7 3 4" xfId="24051" xr:uid="{00000000-0005-0000-0000-0000E1730000}"/>
    <cellStyle name="40 % - Markeringsfarve4 3 7 3 5" xfId="39016" xr:uid="{00000000-0005-0000-0000-0000E2730000}"/>
    <cellStyle name="40 % - Markeringsfarve4 3 7 4" xfId="6290" xr:uid="{00000000-0005-0000-0000-0000E3730000}"/>
    <cellStyle name="40 % - Markeringsfarve4 3 7 4 2" xfId="10901" xr:uid="{00000000-0005-0000-0000-0000E4730000}"/>
    <cellStyle name="40 % - Markeringsfarve4 3 7 4 2 2" xfId="18737" xr:uid="{00000000-0005-0000-0000-0000E5730000}"/>
    <cellStyle name="40 % - Markeringsfarve4 3 7 4 2 2 2" xfId="35013" xr:uid="{00000000-0005-0000-0000-0000E6730000}"/>
    <cellStyle name="40 % - Markeringsfarve4 3 7 4 2 2 3" xfId="49972" xr:uid="{00000000-0005-0000-0000-0000E7730000}"/>
    <cellStyle name="40 % - Markeringsfarve4 3 7 4 2 3" xfId="28011" xr:uid="{00000000-0005-0000-0000-0000E8730000}"/>
    <cellStyle name="40 % - Markeringsfarve4 3 7 4 2 4" xfId="42975" xr:uid="{00000000-0005-0000-0000-0000E9730000}"/>
    <cellStyle name="40 % - Markeringsfarve4 3 7 4 3" xfId="14775" xr:uid="{00000000-0005-0000-0000-0000EA730000}"/>
    <cellStyle name="40 % - Markeringsfarve4 3 7 4 3 2" xfId="31054" xr:uid="{00000000-0005-0000-0000-0000EB730000}"/>
    <cellStyle name="40 % - Markeringsfarve4 3 7 4 3 3" xfId="46014" xr:uid="{00000000-0005-0000-0000-0000EC730000}"/>
    <cellStyle name="40 % - Markeringsfarve4 3 7 4 4" xfId="24052" xr:uid="{00000000-0005-0000-0000-0000ED730000}"/>
    <cellStyle name="40 % - Markeringsfarve4 3 7 4 5" xfId="39017" xr:uid="{00000000-0005-0000-0000-0000EE730000}"/>
    <cellStyle name="40 % - Markeringsfarve4 3 7 5" xfId="8164" xr:uid="{00000000-0005-0000-0000-0000EF730000}"/>
    <cellStyle name="40 % - Markeringsfarve4 3 7 5 2" xfId="16029" xr:uid="{00000000-0005-0000-0000-0000F0730000}"/>
    <cellStyle name="40 % - Markeringsfarve4 3 7 5 2 2" xfId="32305" xr:uid="{00000000-0005-0000-0000-0000F1730000}"/>
    <cellStyle name="40 % - Markeringsfarve4 3 7 5 2 3" xfId="47264" xr:uid="{00000000-0005-0000-0000-0000F2730000}"/>
    <cellStyle name="40 % - Markeringsfarve4 3 7 5 3" xfId="25303" xr:uid="{00000000-0005-0000-0000-0000F3730000}"/>
    <cellStyle name="40 % - Markeringsfarve4 3 7 5 4" xfId="40267" xr:uid="{00000000-0005-0000-0000-0000F4730000}"/>
    <cellStyle name="40 % - Markeringsfarve4 3 7 6" xfId="14771" xr:uid="{00000000-0005-0000-0000-0000F5730000}"/>
    <cellStyle name="40 % - Markeringsfarve4 3 7 6 2" xfId="31050" xr:uid="{00000000-0005-0000-0000-0000F6730000}"/>
    <cellStyle name="40 % - Markeringsfarve4 3 7 6 3" xfId="46010" xr:uid="{00000000-0005-0000-0000-0000F7730000}"/>
    <cellStyle name="40 % - Markeringsfarve4 3 7 7" xfId="24048" xr:uid="{00000000-0005-0000-0000-0000F8730000}"/>
    <cellStyle name="40 % - Markeringsfarve4 3 7 8" xfId="39013" xr:uid="{00000000-0005-0000-0000-0000F9730000}"/>
    <cellStyle name="40 % - Markeringsfarve4 3 8" xfId="6291" xr:uid="{00000000-0005-0000-0000-0000FA730000}"/>
    <cellStyle name="40 % - Markeringsfarve4 3 8 2" xfId="6292" xr:uid="{00000000-0005-0000-0000-0000FB730000}"/>
    <cellStyle name="40 % - Markeringsfarve4 3 8 2 2" xfId="6293" xr:uid="{00000000-0005-0000-0000-0000FC730000}"/>
    <cellStyle name="40 % - Markeringsfarve4 3 8 2 2 2" xfId="10370" xr:uid="{00000000-0005-0000-0000-0000FD730000}"/>
    <cellStyle name="40 % - Markeringsfarve4 3 8 2 2 2 2" xfId="18225" xr:uid="{00000000-0005-0000-0000-0000FE730000}"/>
    <cellStyle name="40 % - Markeringsfarve4 3 8 2 2 2 2 2" xfId="34501" xr:uid="{00000000-0005-0000-0000-0000FF730000}"/>
    <cellStyle name="40 % - Markeringsfarve4 3 8 2 2 2 2 3" xfId="49460" xr:uid="{00000000-0005-0000-0000-000000740000}"/>
    <cellStyle name="40 % - Markeringsfarve4 3 8 2 2 2 3" xfId="27499" xr:uid="{00000000-0005-0000-0000-000001740000}"/>
    <cellStyle name="40 % - Markeringsfarve4 3 8 2 2 2 4" xfId="42463" xr:uid="{00000000-0005-0000-0000-000002740000}"/>
    <cellStyle name="40 % - Markeringsfarve4 3 8 2 2 3" xfId="14778" xr:uid="{00000000-0005-0000-0000-000003740000}"/>
    <cellStyle name="40 % - Markeringsfarve4 3 8 2 2 3 2" xfId="31057" xr:uid="{00000000-0005-0000-0000-000004740000}"/>
    <cellStyle name="40 % - Markeringsfarve4 3 8 2 2 3 3" xfId="46017" xr:uid="{00000000-0005-0000-0000-000005740000}"/>
    <cellStyle name="40 % - Markeringsfarve4 3 8 2 2 4" xfId="24055" xr:uid="{00000000-0005-0000-0000-000006740000}"/>
    <cellStyle name="40 % - Markeringsfarve4 3 8 2 2 5" xfId="39020" xr:uid="{00000000-0005-0000-0000-000007740000}"/>
    <cellStyle name="40 % - Markeringsfarve4 3 8 2 3" xfId="8864" xr:uid="{00000000-0005-0000-0000-000008740000}"/>
    <cellStyle name="40 % - Markeringsfarve4 3 8 2 3 2" xfId="16731" xr:uid="{00000000-0005-0000-0000-000009740000}"/>
    <cellStyle name="40 % - Markeringsfarve4 3 8 2 3 2 2" xfId="33007" xr:uid="{00000000-0005-0000-0000-00000A740000}"/>
    <cellStyle name="40 % - Markeringsfarve4 3 8 2 3 2 3" xfId="47966" xr:uid="{00000000-0005-0000-0000-00000B740000}"/>
    <cellStyle name="40 % - Markeringsfarve4 3 8 2 3 3" xfId="26005" xr:uid="{00000000-0005-0000-0000-00000C740000}"/>
    <cellStyle name="40 % - Markeringsfarve4 3 8 2 3 4" xfId="40969" xr:uid="{00000000-0005-0000-0000-00000D740000}"/>
    <cellStyle name="40 % - Markeringsfarve4 3 8 2 4" xfId="14777" xr:uid="{00000000-0005-0000-0000-00000E740000}"/>
    <cellStyle name="40 % - Markeringsfarve4 3 8 2 4 2" xfId="31056" xr:uid="{00000000-0005-0000-0000-00000F740000}"/>
    <cellStyle name="40 % - Markeringsfarve4 3 8 2 4 3" xfId="46016" xr:uid="{00000000-0005-0000-0000-000010740000}"/>
    <cellStyle name="40 % - Markeringsfarve4 3 8 2 5" xfId="24054" xr:uid="{00000000-0005-0000-0000-000011740000}"/>
    <cellStyle name="40 % - Markeringsfarve4 3 8 2 6" xfId="39019" xr:uid="{00000000-0005-0000-0000-000012740000}"/>
    <cellStyle name="40 % - Markeringsfarve4 3 8 3" xfId="6294" xr:uid="{00000000-0005-0000-0000-000013740000}"/>
    <cellStyle name="40 % - Markeringsfarve4 3 8 3 2" xfId="9648" xr:uid="{00000000-0005-0000-0000-000014740000}"/>
    <cellStyle name="40 % - Markeringsfarve4 3 8 3 2 2" xfId="17511" xr:uid="{00000000-0005-0000-0000-000015740000}"/>
    <cellStyle name="40 % - Markeringsfarve4 3 8 3 2 2 2" xfId="33787" xr:uid="{00000000-0005-0000-0000-000016740000}"/>
    <cellStyle name="40 % - Markeringsfarve4 3 8 3 2 2 3" xfId="48746" xr:uid="{00000000-0005-0000-0000-000017740000}"/>
    <cellStyle name="40 % - Markeringsfarve4 3 8 3 2 3" xfId="26785" xr:uid="{00000000-0005-0000-0000-000018740000}"/>
    <cellStyle name="40 % - Markeringsfarve4 3 8 3 2 4" xfId="41749" xr:uid="{00000000-0005-0000-0000-000019740000}"/>
    <cellStyle name="40 % - Markeringsfarve4 3 8 3 3" xfId="14779" xr:uid="{00000000-0005-0000-0000-00001A740000}"/>
    <cellStyle name="40 % - Markeringsfarve4 3 8 3 3 2" xfId="31058" xr:uid="{00000000-0005-0000-0000-00001B740000}"/>
    <cellStyle name="40 % - Markeringsfarve4 3 8 3 3 3" xfId="46018" xr:uid="{00000000-0005-0000-0000-00001C740000}"/>
    <cellStyle name="40 % - Markeringsfarve4 3 8 3 4" xfId="24056" xr:uid="{00000000-0005-0000-0000-00001D740000}"/>
    <cellStyle name="40 % - Markeringsfarve4 3 8 3 5" xfId="39021" xr:uid="{00000000-0005-0000-0000-00001E740000}"/>
    <cellStyle name="40 % - Markeringsfarve4 3 8 4" xfId="6295" xr:uid="{00000000-0005-0000-0000-00001F740000}"/>
    <cellStyle name="40 % - Markeringsfarve4 3 8 4 2" xfId="10626" xr:uid="{00000000-0005-0000-0000-000020740000}"/>
    <cellStyle name="40 % - Markeringsfarve4 3 8 4 2 2" xfId="18474" xr:uid="{00000000-0005-0000-0000-000021740000}"/>
    <cellStyle name="40 % - Markeringsfarve4 3 8 4 2 2 2" xfId="34750" xr:uid="{00000000-0005-0000-0000-000022740000}"/>
    <cellStyle name="40 % - Markeringsfarve4 3 8 4 2 2 3" xfId="49709" xr:uid="{00000000-0005-0000-0000-000023740000}"/>
    <cellStyle name="40 % - Markeringsfarve4 3 8 4 2 3" xfId="27748" xr:uid="{00000000-0005-0000-0000-000024740000}"/>
    <cellStyle name="40 % - Markeringsfarve4 3 8 4 2 4" xfId="42712" xr:uid="{00000000-0005-0000-0000-000025740000}"/>
    <cellStyle name="40 % - Markeringsfarve4 3 8 4 3" xfId="14780" xr:uid="{00000000-0005-0000-0000-000026740000}"/>
    <cellStyle name="40 % - Markeringsfarve4 3 8 4 3 2" xfId="31059" xr:uid="{00000000-0005-0000-0000-000027740000}"/>
    <cellStyle name="40 % - Markeringsfarve4 3 8 4 3 3" xfId="46019" xr:uid="{00000000-0005-0000-0000-000028740000}"/>
    <cellStyle name="40 % - Markeringsfarve4 3 8 4 4" xfId="24057" xr:uid="{00000000-0005-0000-0000-000029740000}"/>
    <cellStyle name="40 % - Markeringsfarve4 3 8 4 5" xfId="39022" xr:uid="{00000000-0005-0000-0000-00002A740000}"/>
    <cellStyle name="40 % - Markeringsfarve4 3 8 5" xfId="8165" xr:uid="{00000000-0005-0000-0000-00002B740000}"/>
    <cellStyle name="40 % - Markeringsfarve4 3 8 5 2" xfId="16030" xr:uid="{00000000-0005-0000-0000-00002C740000}"/>
    <cellStyle name="40 % - Markeringsfarve4 3 8 5 2 2" xfId="32306" xr:uid="{00000000-0005-0000-0000-00002D740000}"/>
    <cellStyle name="40 % - Markeringsfarve4 3 8 5 2 3" xfId="47265" xr:uid="{00000000-0005-0000-0000-00002E740000}"/>
    <cellStyle name="40 % - Markeringsfarve4 3 8 5 3" xfId="25304" xr:uid="{00000000-0005-0000-0000-00002F740000}"/>
    <cellStyle name="40 % - Markeringsfarve4 3 8 5 4" xfId="40268" xr:uid="{00000000-0005-0000-0000-000030740000}"/>
    <cellStyle name="40 % - Markeringsfarve4 3 8 6" xfId="14776" xr:uid="{00000000-0005-0000-0000-000031740000}"/>
    <cellStyle name="40 % - Markeringsfarve4 3 8 6 2" xfId="31055" xr:uid="{00000000-0005-0000-0000-000032740000}"/>
    <cellStyle name="40 % - Markeringsfarve4 3 8 6 3" xfId="46015" xr:uid="{00000000-0005-0000-0000-000033740000}"/>
    <cellStyle name="40 % - Markeringsfarve4 3 8 7" xfId="24053" xr:uid="{00000000-0005-0000-0000-000034740000}"/>
    <cellStyle name="40 % - Markeringsfarve4 3 8 8" xfId="39018" xr:uid="{00000000-0005-0000-0000-000035740000}"/>
    <cellStyle name="40 % - Markeringsfarve4 3 9" xfId="6296" xr:uid="{00000000-0005-0000-0000-000036740000}"/>
    <cellStyle name="40 % - Markeringsfarve4 3 9 2" xfId="6297" xr:uid="{00000000-0005-0000-0000-000037740000}"/>
    <cellStyle name="40 % - Markeringsfarve4 3 9 2 2" xfId="9716" xr:uid="{00000000-0005-0000-0000-000038740000}"/>
    <cellStyle name="40 % - Markeringsfarve4 3 9 2 2 2" xfId="17570" xr:uid="{00000000-0005-0000-0000-000039740000}"/>
    <cellStyle name="40 % - Markeringsfarve4 3 9 2 2 2 2" xfId="33846" xr:uid="{00000000-0005-0000-0000-00003A740000}"/>
    <cellStyle name="40 % - Markeringsfarve4 3 9 2 2 2 3" xfId="48805" xr:uid="{00000000-0005-0000-0000-00003B740000}"/>
    <cellStyle name="40 % - Markeringsfarve4 3 9 2 2 3" xfId="26844" xr:uid="{00000000-0005-0000-0000-00003C740000}"/>
    <cellStyle name="40 % - Markeringsfarve4 3 9 2 2 4" xfId="41808" xr:uid="{00000000-0005-0000-0000-00003D740000}"/>
    <cellStyle name="40 % - Markeringsfarve4 3 9 2 3" xfId="14782" xr:uid="{00000000-0005-0000-0000-00003E740000}"/>
    <cellStyle name="40 % - Markeringsfarve4 3 9 2 3 2" xfId="31061" xr:uid="{00000000-0005-0000-0000-00003F740000}"/>
    <cellStyle name="40 % - Markeringsfarve4 3 9 2 3 3" xfId="46021" xr:uid="{00000000-0005-0000-0000-000040740000}"/>
    <cellStyle name="40 % - Markeringsfarve4 3 9 2 4" xfId="24059" xr:uid="{00000000-0005-0000-0000-000041740000}"/>
    <cellStyle name="40 % - Markeringsfarve4 3 9 2 5" xfId="39024" xr:uid="{00000000-0005-0000-0000-000042740000}"/>
    <cellStyle name="40 % - Markeringsfarve4 3 9 3" xfId="8316" xr:uid="{00000000-0005-0000-0000-000043740000}"/>
    <cellStyle name="40 % - Markeringsfarve4 3 9 3 2" xfId="16186" xr:uid="{00000000-0005-0000-0000-000044740000}"/>
    <cellStyle name="40 % - Markeringsfarve4 3 9 3 2 2" xfId="32462" xr:uid="{00000000-0005-0000-0000-000045740000}"/>
    <cellStyle name="40 % - Markeringsfarve4 3 9 3 2 3" xfId="47421" xr:uid="{00000000-0005-0000-0000-000046740000}"/>
    <cellStyle name="40 % - Markeringsfarve4 3 9 3 3" xfId="25460" xr:uid="{00000000-0005-0000-0000-000047740000}"/>
    <cellStyle name="40 % - Markeringsfarve4 3 9 3 4" xfId="40424" xr:uid="{00000000-0005-0000-0000-000048740000}"/>
    <cellStyle name="40 % - Markeringsfarve4 3 9 4" xfId="14781" xr:uid="{00000000-0005-0000-0000-000049740000}"/>
    <cellStyle name="40 % - Markeringsfarve4 3 9 4 2" xfId="31060" xr:uid="{00000000-0005-0000-0000-00004A740000}"/>
    <cellStyle name="40 % - Markeringsfarve4 3 9 4 3" xfId="46020" xr:uid="{00000000-0005-0000-0000-00004B740000}"/>
    <cellStyle name="40 % - Markeringsfarve4 3 9 5" xfId="24058" xr:uid="{00000000-0005-0000-0000-00004C740000}"/>
    <cellStyle name="40 % - Markeringsfarve4 3 9 6" xfId="39023" xr:uid="{00000000-0005-0000-0000-00004D740000}"/>
    <cellStyle name="40 % - Markeringsfarve4 4" xfId="6298" xr:uid="{00000000-0005-0000-0000-00004E740000}"/>
    <cellStyle name="40 % - Markeringsfarve4 4 10" xfId="8166" xr:uid="{00000000-0005-0000-0000-00004F740000}"/>
    <cellStyle name="40 % - Markeringsfarve4 4 10 2" xfId="16031" xr:uid="{00000000-0005-0000-0000-000050740000}"/>
    <cellStyle name="40 % - Markeringsfarve4 4 10 2 2" xfId="32307" xr:uid="{00000000-0005-0000-0000-000051740000}"/>
    <cellStyle name="40 % - Markeringsfarve4 4 10 2 3" xfId="47266" xr:uid="{00000000-0005-0000-0000-000052740000}"/>
    <cellStyle name="40 % - Markeringsfarve4 4 10 3" xfId="25305" xr:uid="{00000000-0005-0000-0000-000053740000}"/>
    <cellStyle name="40 % - Markeringsfarve4 4 10 4" xfId="40269" xr:uid="{00000000-0005-0000-0000-000054740000}"/>
    <cellStyle name="40 % - Markeringsfarve4 4 11" xfId="14783" xr:uid="{00000000-0005-0000-0000-000055740000}"/>
    <cellStyle name="40 % - Markeringsfarve4 4 11 2" xfId="31062" xr:uid="{00000000-0005-0000-0000-000056740000}"/>
    <cellStyle name="40 % - Markeringsfarve4 4 11 3" xfId="46022" xr:uid="{00000000-0005-0000-0000-000057740000}"/>
    <cellStyle name="40 % - Markeringsfarve4 4 12" xfId="24060" xr:uid="{00000000-0005-0000-0000-000058740000}"/>
    <cellStyle name="40 % - Markeringsfarve4 4 13" xfId="39025" xr:uid="{00000000-0005-0000-0000-000059740000}"/>
    <cellStyle name="40 % - Markeringsfarve4 4 2" xfId="6299" xr:uid="{00000000-0005-0000-0000-00005A740000}"/>
    <cellStyle name="40 % - Markeringsfarve4 4 2 2" xfId="6300" xr:uid="{00000000-0005-0000-0000-00005B740000}"/>
    <cellStyle name="40 % - Markeringsfarve4 4 2 2 2" xfId="6301" xr:uid="{00000000-0005-0000-0000-00005C740000}"/>
    <cellStyle name="40 % - Markeringsfarve4 4 2 2 2 2" xfId="9859" xr:uid="{00000000-0005-0000-0000-00005D740000}"/>
    <cellStyle name="40 % - Markeringsfarve4 4 2 2 2 2 2" xfId="17714" xr:uid="{00000000-0005-0000-0000-00005E740000}"/>
    <cellStyle name="40 % - Markeringsfarve4 4 2 2 2 2 2 2" xfId="33990" xr:uid="{00000000-0005-0000-0000-00005F740000}"/>
    <cellStyle name="40 % - Markeringsfarve4 4 2 2 2 2 2 3" xfId="48949" xr:uid="{00000000-0005-0000-0000-000060740000}"/>
    <cellStyle name="40 % - Markeringsfarve4 4 2 2 2 2 3" xfId="26988" xr:uid="{00000000-0005-0000-0000-000061740000}"/>
    <cellStyle name="40 % - Markeringsfarve4 4 2 2 2 2 4" xfId="41952" xr:uid="{00000000-0005-0000-0000-000062740000}"/>
    <cellStyle name="40 % - Markeringsfarve4 4 2 2 2 3" xfId="14786" xr:uid="{00000000-0005-0000-0000-000063740000}"/>
    <cellStyle name="40 % - Markeringsfarve4 4 2 2 2 3 2" xfId="31065" xr:uid="{00000000-0005-0000-0000-000064740000}"/>
    <cellStyle name="40 % - Markeringsfarve4 4 2 2 2 3 3" xfId="46025" xr:uid="{00000000-0005-0000-0000-000065740000}"/>
    <cellStyle name="40 % - Markeringsfarve4 4 2 2 2 4" xfId="24063" xr:uid="{00000000-0005-0000-0000-000066740000}"/>
    <cellStyle name="40 % - Markeringsfarve4 4 2 2 2 5" xfId="39028" xr:uid="{00000000-0005-0000-0000-000067740000}"/>
    <cellStyle name="40 % - Markeringsfarve4 4 2 2 3" xfId="8436" xr:uid="{00000000-0005-0000-0000-000068740000}"/>
    <cellStyle name="40 % - Markeringsfarve4 4 2 2 3 2" xfId="16306" xr:uid="{00000000-0005-0000-0000-000069740000}"/>
    <cellStyle name="40 % - Markeringsfarve4 4 2 2 3 2 2" xfId="32582" xr:uid="{00000000-0005-0000-0000-00006A740000}"/>
    <cellStyle name="40 % - Markeringsfarve4 4 2 2 3 2 3" xfId="47541" xr:uid="{00000000-0005-0000-0000-00006B740000}"/>
    <cellStyle name="40 % - Markeringsfarve4 4 2 2 3 3" xfId="25580" xr:uid="{00000000-0005-0000-0000-00006C740000}"/>
    <cellStyle name="40 % - Markeringsfarve4 4 2 2 3 4" xfId="40544" xr:uid="{00000000-0005-0000-0000-00006D740000}"/>
    <cellStyle name="40 % - Markeringsfarve4 4 2 2 4" xfId="14785" xr:uid="{00000000-0005-0000-0000-00006E740000}"/>
    <cellStyle name="40 % - Markeringsfarve4 4 2 2 4 2" xfId="31064" xr:uid="{00000000-0005-0000-0000-00006F740000}"/>
    <cellStyle name="40 % - Markeringsfarve4 4 2 2 4 3" xfId="46024" xr:uid="{00000000-0005-0000-0000-000070740000}"/>
    <cellStyle name="40 % - Markeringsfarve4 4 2 2 5" xfId="24062" xr:uid="{00000000-0005-0000-0000-000071740000}"/>
    <cellStyle name="40 % - Markeringsfarve4 4 2 2 6" xfId="39027" xr:uid="{00000000-0005-0000-0000-000072740000}"/>
    <cellStyle name="40 % - Markeringsfarve4 4 2 3" xfId="6302" xr:uid="{00000000-0005-0000-0000-000073740000}"/>
    <cellStyle name="40 % - Markeringsfarve4 4 2 3 2" xfId="9090" xr:uid="{00000000-0005-0000-0000-000074740000}"/>
    <cellStyle name="40 % - Markeringsfarve4 4 2 3 2 2" xfId="16954" xr:uid="{00000000-0005-0000-0000-000075740000}"/>
    <cellStyle name="40 % - Markeringsfarve4 4 2 3 2 2 2" xfId="33230" xr:uid="{00000000-0005-0000-0000-000076740000}"/>
    <cellStyle name="40 % - Markeringsfarve4 4 2 3 2 2 3" xfId="48189" xr:uid="{00000000-0005-0000-0000-000077740000}"/>
    <cellStyle name="40 % - Markeringsfarve4 4 2 3 2 3" xfId="26228" xr:uid="{00000000-0005-0000-0000-000078740000}"/>
    <cellStyle name="40 % - Markeringsfarve4 4 2 3 2 4" xfId="41192" xr:uid="{00000000-0005-0000-0000-000079740000}"/>
    <cellStyle name="40 % - Markeringsfarve4 4 2 3 3" xfId="14787" xr:uid="{00000000-0005-0000-0000-00007A740000}"/>
    <cellStyle name="40 % - Markeringsfarve4 4 2 3 3 2" xfId="31066" xr:uid="{00000000-0005-0000-0000-00007B740000}"/>
    <cellStyle name="40 % - Markeringsfarve4 4 2 3 3 3" xfId="46026" xr:uid="{00000000-0005-0000-0000-00007C740000}"/>
    <cellStyle name="40 % - Markeringsfarve4 4 2 3 4" xfId="24064" xr:uid="{00000000-0005-0000-0000-00007D740000}"/>
    <cellStyle name="40 % - Markeringsfarve4 4 2 3 5" xfId="39029" xr:uid="{00000000-0005-0000-0000-00007E740000}"/>
    <cellStyle name="40 % - Markeringsfarve4 4 2 4" xfId="6303" xr:uid="{00000000-0005-0000-0000-00007F740000}"/>
    <cellStyle name="40 % - Markeringsfarve4 4 2 4 2" xfId="10488" xr:uid="{00000000-0005-0000-0000-000080740000}"/>
    <cellStyle name="40 % - Markeringsfarve4 4 2 4 2 2" xfId="18337" xr:uid="{00000000-0005-0000-0000-000081740000}"/>
    <cellStyle name="40 % - Markeringsfarve4 4 2 4 2 2 2" xfId="34613" xr:uid="{00000000-0005-0000-0000-000082740000}"/>
    <cellStyle name="40 % - Markeringsfarve4 4 2 4 2 2 3" xfId="49572" xr:uid="{00000000-0005-0000-0000-000083740000}"/>
    <cellStyle name="40 % - Markeringsfarve4 4 2 4 2 3" xfId="27611" xr:uid="{00000000-0005-0000-0000-000084740000}"/>
    <cellStyle name="40 % - Markeringsfarve4 4 2 4 2 4" xfId="42575" xr:uid="{00000000-0005-0000-0000-000085740000}"/>
    <cellStyle name="40 % - Markeringsfarve4 4 2 4 3" xfId="14788" xr:uid="{00000000-0005-0000-0000-000086740000}"/>
    <cellStyle name="40 % - Markeringsfarve4 4 2 4 3 2" xfId="31067" xr:uid="{00000000-0005-0000-0000-000087740000}"/>
    <cellStyle name="40 % - Markeringsfarve4 4 2 4 3 3" xfId="46027" xr:uid="{00000000-0005-0000-0000-000088740000}"/>
    <cellStyle name="40 % - Markeringsfarve4 4 2 4 4" xfId="24065" xr:uid="{00000000-0005-0000-0000-000089740000}"/>
    <cellStyle name="40 % - Markeringsfarve4 4 2 4 5" xfId="39030" xr:uid="{00000000-0005-0000-0000-00008A740000}"/>
    <cellStyle name="40 % - Markeringsfarve4 4 2 5" xfId="8167" xr:uid="{00000000-0005-0000-0000-00008B740000}"/>
    <cellStyle name="40 % - Markeringsfarve4 4 2 5 2" xfId="16032" xr:uid="{00000000-0005-0000-0000-00008C740000}"/>
    <cellStyle name="40 % - Markeringsfarve4 4 2 5 2 2" xfId="32308" xr:uid="{00000000-0005-0000-0000-00008D740000}"/>
    <cellStyle name="40 % - Markeringsfarve4 4 2 5 2 3" xfId="47267" xr:uid="{00000000-0005-0000-0000-00008E740000}"/>
    <cellStyle name="40 % - Markeringsfarve4 4 2 5 3" xfId="25306" xr:uid="{00000000-0005-0000-0000-00008F740000}"/>
    <cellStyle name="40 % - Markeringsfarve4 4 2 5 4" xfId="40270" xr:uid="{00000000-0005-0000-0000-000090740000}"/>
    <cellStyle name="40 % - Markeringsfarve4 4 2 6" xfId="14784" xr:uid="{00000000-0005-0000-0000-000091740000}"/>
    <cellStyle name="40 % - Markeringsfarve4 4 2 6 2" xfId="31063" xr:uid="{00000000-0005-0000-0000-000092740000}"/>
    <cellStyle name="40 % - Markeringsfarve4 4 2 6 3" xfId="46023" xr:uid="{00000000-0005-0000-0000-000093740000}"/>
    <cellStyle name="40 % - Markeringsfarve4 4 2 7" xfId="24061" xr:uid="{00000000-0005-0000-0000-000094740000}"/>
    <cellStyle name="40 % - Markeringsfarve4 4 2 8" xfId="39026" xr:uid="{00000000-0005-0000-0000-000095740000}"/>
    <cellStyle name="40 % - Markeringsfarve4 4 3" xfId="6304" xr:uid="{00000000-0005-0000-0000-000096740000}"/>
    <cellStyle name="40 % - Markeringsfarve4 4 3 2" xfId="6305" xr:uid="{00000000-0005-0000-0000-000097740000}"/>
    <cellStyle name="40 % - Markeringsfarve4 4 3 2 2" xfId="6306" xr:uid="{00000000-0005-0000-0000-000098740000}"/>
    <cellStyle name="40 % - Markeringsfarve4 4 3 2 2 2" xfId="10019" xr:uid="{00000000-0005-0000-0000-000099740000}"/>
    <cellStyle name="40 % - Markeringsfarve4 4 3 2 2 2 2" xfId="17874" xr:uid="{00000000-0005-0000-0000-00009A740000}"/>
    <cellStyle name="40 % - Markeringsfarve4 4 3 2 2 2 2 2" xfId="34150" xr:uid="{00000000-0005-0000-0000-00009B740000}"/>
    <cellStyle name="40 % - Markeringsfarve4 4 3 2 2 2 2 3" xfId="49109" xr:uid="{00000000-0005-0000-0000-00009C740000}"/>
    <cellStyle name="40 % - Markeringsfarve4 4 3 2 2 2 3" xfId="27148" xr:uid="{00000000-0005-0000-0000-00009D740000}"/>
    <cellStyle name="40 % - Markeringsfarve4 4 3 2 2 2 4" xfId="42112" xr:uid="{00000000-0005-0000-0000-00009E740000}"/>
    <cellStyle name="40 % - Markeringsfarve4 4 3 2 2 3" xfId="14791" xr:uid="{00000000-0005-0000-0000-00009F740000}"/>
    <cellStyle name="40 % - Markeringsfarve4 4 3 2 2 3 2" xfId="31070" xr:uid="{00000000-0005-0000-0000-0000A0740000}"/>
    <cellStyle name="40 % - Markeringsfarve4 4 3 2 2 3 3" xfId="46030" xr:uid="{00000000-0005-0000-0000-0000A1740000}"/>
    <cellStyle name="40 % - Markeringsfarve4 4 3 2 2 4" xfId="24068" xr:uid="{00000000-0005-0000-0000-0000A2740000}"/>
    <cellStyle name="40 % - Markeringsfarve4 4 3 2 2 5" xfId="39033" xr:uid="{00000000-0005-0000-0000-0000A3740000}"/>
    <cellStyle name="40 % - Markeringsfarve4 4 3 2 3" xfId="8566" xr:uid="{00000000-0005-0000-0000-0000A4740000}"/>
    <cellStyle name="40 % - Markeringsfarve4 4 3 2 3 2" xfId="16436" xr:uid="{00000000-0005-0000-0000-0000A5740000}"/>
    <cellStyle name="40 % - Markeringsfarve4 4 3 2 3 2 2" xfId="32712" xr:uid="{00000000-0005-0000-0000-0000A6740000}"/>
    <cellStyle name="40 % - Markeringsfarve4 4 3 2 3 2 3" xfId="47671" xr:uid="{00000000-0005-0000-0000-0000A7740000}"/>
    <cellStyle name="40 % - Markeringsfarve4 4 3 2 3 3" xfId="25710" xr:uid="{00000000-0005-0000-0000-0000A8740000}"/>
    <cellStyle name="40 % - Markeringsfarve4 4 3 2 3 4" xfId="40674" xr:uid="{00000000-0005-0000-0000-0000A9740000}"/>
    <cellStyle name="40 % - Markeringsfarve4 4 3 2 4" xfId="14790" xr:uid="{00000000-0005-0000-0000-0000AA740000}"/>
    <cellStyle name="40 % - Markeringsfarve4 4 3 2 4 2" xfId="31069" xr:uid="{00000000-0005-0000-0000-0000AB740000}"/>
    <cellStyle name="40 % - Markeringsfarve4 4 3 2 4 3" xfId="46029" xr:uid="{00000000-0005-0000-0000-0000AC740000}"/>
    <cellStyle name="40 % - Markeringsfarve4 4 3 2 5" xfId="24067" xr:uid="{00000000-0005-0000-0000-0000AD740000}"/>
    <cellStyle name="40 % - Markeringsfarve4 4 3 2 6" xfId="39032" xr:uid="{00000000-0005-0000-0000-0000AE740000}"/>
    <cellStyle name="40 % - Markeringsfarve4 4 3 3" xfId="6307" xr:uid="{00000000-0005-0000-0000-0000AF740000}"/>
    <cellStyle name="40 % - Markeringsfarve4 4 3 3 2" xfId="9250" xr:uid="{00000000-0005-0000-0000-0000B0740000}"/>
    <cellStyle name="40 % - Markeringsfarve4 4 3 3 2 2" xfId="17114" xr:uid="{00000000-0005-0000-0000-0000B1740000}"/>
    <cellStyle name="40 % - Markeringsfarve4 4 3 3 2 2 2" xfId="33390" xr:uid="{00000000-0005-0000-0000-0000B2740000}"/>
    <cellStyle name="40 % - Markeringsfarve4 4 3 3 2 2 3" xfId="48349" xr:uid="{00000000-0005-0000-0000-0000B3740000}"/>
    <cellStyle name="40 % - Markeringsfarve4 4 3 3 2 3" xfId="26388" xr:uid="{00000000-0005-0000-0000-0000B4740000}"/>
    <cellStyle name="40 % - Markeringsfarve4 4 3 3 2 4" xfId="41352" xr:uid="{00000000-0005-0000-0000-0000B5740000}"/>
    <cellStyle name="40 % - Markeringsfarve4 4 3 3 3" xfId="14792" xr:uid="{00000000-0005-0000-0000-0000B6740000}"/>
    <cellStyle name="40 % - Markeringsfarve4 4 3 3 3 2" xfId="31071" xr:uid="{00000000-0005-0000-0000-0000B7740000}"/>
    <cellStyle name="40 % - Markeringsfarve4 4 3 3 3 3" xfId="46031" xr:uid="{00000000-0005-0000-0000-0000B8740000}"/>
    <cellStyle name="40 % - Markeringsfarve4 4 3 3 4" xfId="24069" xr:uid="{00000000-0005-0000-0000-0000B9740000}"/>
    <cellStyle name="40 % - Markeringsfarve4 4 3 3 5" xfId="39034" xr:uid="{00000000-0005-0000-0000-0000BA740000}"/>
    <cellStyle name="40 % - Markeringsfarve4 4 3 4" xfId="6308" xr:uid="{00000000-0005-0000-0000-0000BB740000}"/>
    <cellStyle name="40 % - Markeringsfarve4 4 3 4 2" xfId="10811" xr:uid="{00000000-0005-0000-0000-0000BC740000}"/>
    <cellStyle name="40 % - Markeringsfarve4 4 3 4 2 2" xfId="18652" xr:uid="{00000000-0005-0000-0000-0000BD740000}"/>
    <cellStyle name="40 % - Markeringsfarve4 4 3 4 2 2 2" xfId="34928" xr:uid="{00000000-0005-0000-0000-0000BE740000}"/>
    <cellStyle name="40 % - Markeringsfarve4 4 3 4 2 2 3" xfId="49887" xr:uid="{00000000-0005-0000-0000-0000BF740000}"/>
    <cellStyle name="40 % - Markeringsfarve4 4 3 4 2 3" xfId="27926" xr:uid="{00000000-0005-0000-0000-0000C0740000}"/>
    <cellStyle name="40 % - Markeringsfarve4 4 3 4 2 4" xfId="42890" xr:uid="{00000000-0005-0000-0000-0000C1740000}"/>
    <cellStyle name="40 % - Markeringsfarve4 4 3 4 3" xfId="14793" xr:uid="{00000000-0005-0000-0000-0000C2740000}"/>
    <cellStyle name="40 % - Markeringsfarve4 4 3 4 3 2" xfId="31072" xr:uid="{00000000-0005-0000-0000-0000C3740000}"/>
    <cellStyle name="40 % - Markeringsfarve4 4 3 4 3 3" xfId="46032" xr:uid="{00000000-0005-0000-0000-0000C4740000}"/>
    <cellStyle name="40 % - Markeringsfarve4 4 3 4 4" xfId="24070" xr:uid="{00000000-0005-0000-0000-0000C5740000}"/>
    <cellStyle name="40 % - Markeringsfarve4 4 3 4 5" xfId="39035" xr:uid="{00000000-0005-0000-0000-0000C6740000}"/>
    <cellStyle name="40 % - Markeringsfarve4 4 3 5" xfId="8168" xr:uid="{00000000-0005-0000-0000-0000C7740000}"/>
    <cellStyle name="40 % - Markeringsfarve4 4 3 5 2" xfId="16033" xr:uid="{00000000-0005-0000-0000-0000C8740000}"/>
    <cellStyle name="40 % - Markeringsfarve4 4 3 5 2 2" xfId="32309" xr:uid="{00000000-0005-0000-0000-0000C9740000}"/>
    <cellStyle name="40 % - Markeringsfarve4 4 3 5 2 3" xfId="47268" xr:uid="{00000000-0005-0000-0000-0000CA740000}"/>
    <cellStyle name="40 % - Markeringsfarve4 4 3 5 3" xfId="25307" xr:uid="{00000000-0005-0000-0000-0000CB740000}"/>
    <cellStyle name="40 % - Markeringsfarve4 4 3 5 4" xfId="40271" xr:uid="{00000000-0005-0000-0000-0000CC740000}"/>
    <cellStyle name="40 % - Markeringsfarve4 4 3 6" xfId="14789" xr:uid="{00000000-0005-0000-0000-0000CD740000}"/>
    <cellStyle name="40 % - Markeringsfarve4 4 3 6 2" xfId="31068" xr:uid="{00000000-0005-0000-0000-0000CE740000}"/>
    <cellStyle name="40 % - Markeringsfarve4 4 3 6 3" xfId="46028" xr:uid="{00000000-0005-0000-0000-0000CF740000}"/>
    <cellStyle name="40 % - Markeringsfarve4 4 3 7" xfId="24066" xr:uid="{00000000-0005-0000-0000-0000D0740000}"/>
    <cellStyle name="40 % - Markeringsfarve4 4 3 8" xfId="39031" xr:uid="{00000000-0005-0000-0000-0000D1740000}"/>
    <cellStyle name="40 % - Markeringsfarve4 4 4" xfId="6309" xr:uid="{00000000-0005-0000-0000-0000D2740000}"/>
    <cellStyle name="40 % - Markeringsfarve4 4 4 2" xfId="6310" xr:uid="{00000000-0005-0000-0000-0000D3740000}"/>
    <cellStyle name="40 % - Markeringsfarve4 4 4 2 2" xfId="6311" xr:uid="{00000000-0005-0000-0000-0000D4740000}"/>
    <cellStyle name="40 % - Markeringsfarve4 4 4 2 2 2" xfId="10097" xr:uid="{00000000-0005-0000-0000-0000D5740000}"/>
    <cellStyle name="40 % - Markeringsfarve4 4 4 2 2 2 2" xfId="17952" xr:uid="{00000000-0005-0000-0000-0000D6740000}"/>
    <cellStyle name="40 % - Markeringsfarve4 4 4 2 2 2 2 2" xfId="34228" xr:uid="{00000000-0005-0000-0000-0000D7740000}"/>
    <cellStyle name="40 % - Markeringsfarve4 4 4 2 2 2 2 3" xfId="49187" xr:uid="{00000000-0005-0000-0000-0000D8740000}"/>
    <cellStyle name="40 % - Markeringsfarve4 4 4 2 2 2 3" xfId="27226" xr:uid="{00000000-0005-0000-0000-0000D9740000}"/>
    <cellStyle name="40 % - Markeringsfarve4 4 4 2 2 2 4" xfId="42190" xr:uid="{00000000-0005-0000-0000-0000DA740000}"/>
    <cellStyle name="40 % - Markeringsfarve4 4 4 2 2 3" xfId="14796" xr:uid="{00000000-0005-0000-0000-0000DB740000}"/>
    <cellStyle name="40 % - Markeringsfarve4 4 4 2 2 3 2" xfId="31075" xr:uid="{00000000-0005-0000-0000-0000DC740000}"/>
    <cellStyle name="40 % - Markeringsfarve4 4 4 2 2 3 3" xfId="46035" xr:uid="{00000000-0005-0000-0000-0000DD740000}"/>
    <cellStyle name="40 % - Markeringsfarve4 4 4 2 2 4" xfId="24073" xr:uid="{00000000-0005-0000-0000-0000DE740000}"/>
    <cellStyle name="40 % - Markeringsfarve4 4 4 2 2 5" xfId="39038" xr:uid="{00000000-0005-0000-0000-0000DF740000}"/>
    <cellStyle name="40 % - Markeringsfarve4 4 4 2 3" xfId="8638" xr:uid="{00000000-0005-0000-0000-0000E0740000}"/>
    <cellStyle name="40 % - Markeringsfarve4 4 4 2 3 2" xfId="16505" xr:uid="{00000000-0005-0000-0000-0000E1740000}"/>
    <cellStyle name="40 % - Markeringsfarve4 4 4 2 3 2 2" xfId="32781" xr:uid="{00000000-0005-0000-0000-0000E2740000}"/>
    <cellStyle name="40 % - Markeringsfarve4 4 4 2 3 2 3" xfId="47740" xr:uid="{00000000-0005-0000-0000-0000E3740000}"/>
    <cellStyle name="40 % - Markeringsfarve4 4 4 2 3 3" xfId="25779" xr:uid="{00000000-0005-0000-0000-0000E4740000}"/>
    <cellStyle name="40 % - Markeringsfarve4 4 4 2 3 4" xfId="40743" xr:uid="{00000000-0005-0000-0000-0000E5740000}"/>
    <cellStyle name="40 % - Markeringsfarve4 4 4 2 4" xfId="14795" xr:uid="{00000000-0005-0000-0000-0000E6740000}"/>
    <cellStyle name="40 % - Markeringsfarve4 4 4 2 4 2" xfId="31074" xr:uid="{00000000-0005-0000-0000-0000E7740000}"/>
    <cellStyle name="40 % - Markeringsfarve4 4 4 2 4 3" xfId="46034" xr:uid="{00000000-0005-0000-0000-0000E8740000}"/>
    <cellStyle name="40 % - Markeringsfarve4 4 4 2 5" xfId="24072" xr:uid="{00000000-0005-0000-0000-0000E9740000}"/>
    <cellStyle name="40 % - Markeringsfarve4 4 4 2 6" xfId="39037" xr:uid="{00000000-0005-0000-0000-0000EA740000}"/>
    <cellStyle name="40 % - Markeringsfarve4 4 4 3" xfId="6312" xr:uid="{00000000-0005-0000-0000-0000EB740000}"/>
    <cellStyle name="40 % - Markeringsfarve4 4 4 3 2" xfId="9374" xr:uid="{00000000-0005-0000-0000-0000EC740000}"/>
    <cellStyle name="40 % - Markeringsfarve4 4 4 3 2 2" xfId="17237" xr:uid="{00000000-0005-0000-0000-0000ED740000}"/>
    <cellStyle name="40 % - Markeringsfarve4 4 4 3 2 2 2" xfId="33513" xr:uid="{00000000-0005-0000-0000-0000EE740000}"/>
    <cellStyle name="40 % - Markeringsfarve4 4 4 3 2 2 3" xfId="48472" xr:uid="{00000000-0005-0000-0000-0000EF740000}"/>
    <cellStyle name="40 % - Markeringsfarve4 4 4 3 2 3" xfId="26511" xr:uid="{00000000-0005-0000-0000-0000F0740000}"/>
    <cellStyle name="40 % - Markeringsfarve4 4 4 3 2 4" xfId="41475" xr:uid="{00000000-0005-0000-0000-0000F1740000}"/>
    <cellStyle name="40 % - Markeringsfarve4 4 4 3 3" xfId="14797" xr:uid="{00000000-0005-0000-0000-0000F2740000}"/>
    <cellStyle name="40 % - Markeringsfarve4 4 4 3 3 2" xfId="31076" xr:uid="{00000000-0005-0000-0000-0000F3740000}"/>
    <cellStyle name="40 % - Markeringsfarve4 4 4 3 3 3" xfId="46036" xr:uid="{00000000-0005-0000-0000-0000F4740000}"/>
    <cellStyle name="40 % - Markeringsfarve4 4 4 3 4" xfId="24074" xr:uid="{00000000-0005-0000-0000-0000F5740000}"/>
    <cellStyle name="40 % - Markeringsfarve4 4 4 3 5" xfId="39039" xr:uid="{00000000-0005-0000-0000-0000F6740000}"/>
    <cellStyle name="40 % - Markeringsfarve4 4 4 4" xfId="6313" xr:uid="{00000000-0005-0000-0000-0000F7740000}"/>
    <cellStyle name="40 % - Markeringsfarve4 4 4 4 2" xfId="10462" xr:uid="{00000000-0005-0000-0000-0000F8740000}"/>
    <cellStyle name="40 % - Markeringsfarve4 4 4 4 2 2" xfId="18313" xr:uid="{00000000-0005-0000-0000-0000F9740000}"/>
    <cellStyle name="40 % - Markeringsfarve4 4 4 4 2 2 2" xfId="34589" xr:uid="{00000000-0005-0000-0000-0000FA740000}"/>
    <cellStyle name="40 % - Markeringsfarve4 4 4 4 2 2 3" xfId="49548" xr:uid="{00000000-0005-0000-0000-0000FB740000}"/>
    <cellStyle name="40 % - Markeringsfarve4 4 4 4 2 3" xfId="27587" xr:uid="{00000000-0005-0000-0000-0000FC740000}"/>
    <cellStyle name="40 % - Markeringsfarve4 4 4 4 2 4" xfId="42551" xr:uid="{00000000-0005-0000-0000-0000FD740000}"/>
    <cellStyle name="40 % - Markeringsfarve4 4 4 4 3" xfId="14798" xr:uid="{00000000-0005-0000-0000-0000FE740000}"/>
    <cellStyle name="40 % - Markeringsfarve4 4 4 4 3 2" xfId="31077" xr:uid="{00000000-0005-0000-0000-0000FF740000}"/>
    <cellStyle name="40 % - Markeringsfarve4 4 4 4 3 3" xfId="46037" xr:uid="{00000000-0005-0000-0000-000000750000}"/>
    <cellStyle name="40 % - Markeringsfarve4 4 4 4 4" xfId="24075" xr:uid="{00000000-0005-0000-0000-000001750000}"/>
    <cellStyle name="40 % - Markeringsfarve4 4 4 4 5" xfId="39040" xr:uid="{00000000-0005-0000-0000-000002750000}"/>
    <cellStyle name="40 % - Markeringsfarve4 4 4 5" xfId="8169" xr:uid="{00000000-0005-0000-0000-000003750000}"/>
    <cellStyle name="40 % - Markeringsfarve4 4 4 5 2" xfId="16034" xr:uid="{00000000-0005-0000-0000-000004750000}"/>
    <cellStyle name="40 % - Markeringsfarve4 4 4 5 2 2" xfId="32310" xr:uid="{00000000-0005-0000-0000-000005750000}"/>
    <cellStyle name="40 % - Markeringsfarve4 4 4 5 2 3" xfId="47269" xr:uid="{00000000-0005-0000-0000-000006750000}"/>
    <cellStyle name="40 % - Markeringsfarve4 4 4 5 3" xfId="25308" xr:uid="{00000000-0005-0000-0000-000007750000}"/>
    <cellStyle name="40 % - Markeringsfarve4 4 4 5 4" xfId="40272" xr:uid="{00000000-0005-0000-0000-000008750000}"/>
    <cellStyle name="40 % - Markeringsfarve4 4 4 6" xfId="14794" xr:uid="{00000000-0005-0000-0000-000009750000}"/>
    <cellStyle name="40 % - Markeringsfarve4 4 4 6 2" xfId="31073" xr:uid="{00000000-0005-0000-0000-00000A750000}"/>
    <cellStyle name="40 % - Markeringsfarve4 4 4 6 3" xfId="46033" xr:uid="{00000000-0005-0000-0000-00000B750000}"/>
    <cellStyle name="40 % - Markeringsfarve4 4 4 7" xfId="24071" xr:uid="{00000000-0005-0000-0000-00000C750000}"/>
    <cellStyle name="40 % - Markeringsfarve4 4 4 8" xfId="39036" xr:uid="{00000000-0005-0000-0000-00000D750000}"/>
    <cellStyle name="40 % - Markeringsfarve4 4 5" xfId="6314" xr:uid="{00000000-0005-0000-0000-00000E750000}"/>
    <cellStyle name="40 % - Markeringsfarve4 4 5 2" xfId="6315" xr:uid="{00000000-0005-0000-0000-00000F750000}"/>
    <cellStyle name="40 % - Markeringsfarve4 4 5 2 2" xfId="6316" xr:uid="{00000000-0005-0000-0000-000010750000}"/>
    <cellStyle name="40 % - Markeringsfarve4 4 5 2 2 2" xfId="10214" xr:uid="{00000000-0005-0000-0000-000011750000}"/>
    <cellStyle name="40 % - Markeringsfarve4 4 5 2 2 2 2" xfId="18069" xr:uid="{00000000-0005-0000-0000-000012750000}"/>
    <cellStyle name="40 % - Markeringsfarve4 4 5 2 2 2 2 2" xfId="34345" xr:uid="{00000000-0005-0000-0000-000013750000}"/>
    <cellStyle name="40 % - Markeringsfarve4 4 5 2 2 2 2 3" xfId="49304" xr:uid="{00000000-0005-0000-0000-000014750000}"/>
    <cellStyle name="40 % - Markeringsfarve4 4 5 2 2 2 3" xfId="27343" xr:uid="{00000000-0005-0000-0000-000015750000}"/>
    <cellStyle name="40 % - Markeringsfarve4 4 5 2 2 2 4" xfId="42307" xr:uid="{00000000-0005-0000-0000-000016750000}"/>
    <cellStyle name="40 % - Markeringsfarve4 4 5 2 2 3" xfId="14801" xr:uid="{00000000-0005-0000-0000-000017750000}"/>
    <cellStyle name="40 % - Markeringsfarve4 4 5 2 2 3 2" xfId="31080" xr:uid="{00000000-0005-0000-0000-000018750000}"/>
    <cellStyle name="40 % - Markeringsfarve4 4 5 2 2 3 3" xfId="46040" xr:uid="{00000000-0005-0000-0000-000019750000}"/>
    <cellStyle name="40 % - Markeringsfarve4 4 5 2 2 4" xfId="24078" xr:uid="{00000000-0005-0000-0000-00001A750000}"/>
    <cellStyle name="40 % - Markeringsfarve4 4 5 2 2 5" xfId="39043" xr:uid="{00000000-0005-0000-0000-00001B750000}"/>
    <cellStyle name="40 % - Markeringsfarve4 4 5 2 3" xfId="8737" xr:uid="{00000000-0005-0000-0000-00001C750000}"/>
    <cellStyle name="40 % - Markeringsfarve4 4 5 2 3 2" xfId="16604" xr:uid="{00000000-0005-0000-0000-00001D750000}"/>
    <cellStyle name="40 % - Markeringsfarve4 4 5 2 3 2 2" xfId="32880" xr:uid="{00000000-0005-0000-0000-00001E750000}"/>
    <cellStyle name="40 % - Markeringsfarve4 4 5 2 3 2 3" xfId="47839" xr:uid="{00000000-0005-0000-0000-00001F750000}"/>
    <cellStyle name="40 % - Markeringsfarve4 4 5 2 3 3" xfId="25878" xr:uid="{00000000-0005-0000-0000-000020750000}"/>
    <cellStyle name="40 % - Markeringsfarve4 4 5 2 3 4" xfId="40842" xr:uid="{00000000-0005-0000-0000-000021750000}"/>
    <cellStyle name="40 % - Markeringsfarve4 4 5 2 4" xfId="14800" xr:uid="{00000000-0005-0000-0000-000022750000}"/>
    <cellStyle name="40 % - Markeringsfarve4 4 5 2 4 2" xfId="31079" xr:uid="{00000000-0005-0000-0000-000023750000}"/>
    <cellStyle name="40 % - Markeringsfarve4 4 5 2 4 3" xfId="46039" xr:uid="{00000000-0005-0000-0000-000024750000}"/>
    <cellStyle name="40 % - Markeringsfarve4 4 5 2 5" xfId="24077" xr:uid="{00000000-0005-0000-0000-000025750000}"/>
    <cellStyle name="40 % - Markeringsfarve4 4 5 2 6" xfId="39042" xr:uid="{00000000-0005-0000-0000-000026750000}"/>
    <cellStyle name="40 % - Markeringsfarve4 4 5 3" xfId="6317" xr:uid="{00000000-0005-0000-0000-000027750000}"/>
    <cellStyle name="40 % - Markeringsfarve4 4 5 3 2" xfId="9491" xr:uid="{00000000-0005-0000-0000-000028750000}"/>
    <cellStyle name="40 % - Markeringsfarve4 4 5 3 2 2" xfId="17354" xr:uid="{00000000-0005-0000-0000-000029750000}"/>
    <cellStyle name="40 % - Markeringsfarve4 4 5 3 2 2 2" xfId="33630" xr:uid="{00000000-0005-0000-0000-00002A750000}"/>
    <cellStyle name="40 % - Markeringsfarve4 4 5 3 2 2 3" xfId="48589" xr:uid="{00000000-0005-0000-0000-00002B750000}"/>
    <cellStyle name="40 % - Markeringsfarve4 4 5 3 2 3" xfId="26628" xr:uid="{00000000-0005-0000-0000-00002C750000}"/>
    <cellStyle name="40 % - Markeringsfarve4 4 5 3 2 4" xfId="41592" xr:uid="{00000000-0005-0000-0000-00002D750000}"/>
    <cellStyle name="40 % - Markeringsfarve4 4 5 3 3" xfId="14802" xr:uid="{00000000-0005-0000-0000-00002E750000}"/>
    <cellStyle name="40 % - Markeringsfarve4 4 5 3 3 2" xfId="31081" xr:uid="{00000000-0005-0000-0000-00002F750000}"/>
    <cellStyle name="40 % - Markeringsfarve4 4 5 3 3 3" xfId="46041" xr:uid="{00000000-0005-0000-0000-000030750000}"/>
    <cellStyle name="40 % - Markeringsfarve4 4 5 3 4" xfId="24079" xr:uid="{00000000-0005-0000-0000-000031750000}"/>
    <cellStyle name="40 % - Markeringsfarve4 4 5 3 5" xfId="39044" xr:uid="{00000000-0005-0000-0000-000032750000}"/>
    <cellStyle name="40 % - Markeringsfarve4 4 5 4" xfId="6318" xr:uid="{00000000-0005-0000-0000-000033750000}"/>
    <cellStyle name="40 % - Markeringsfarve4 4 5 4 2" xfId="10415" xr:uid="{00000000-0005-0000-0000-000034750000}"/>
    <cellStyle name="40 % - Markeringsfarve4 4 5 4 2 2" xfId="18267" xr:uid="{00000000-0005-0000-0000-000035750000}"/>
    <cellStyle name="40 % - Markeringsfarve4 4 5 4 2 2 2" xfId="34543" xr:uid="{00000000-0005-0000-0000-000036750000}"/>
    <cellStyle name="40 % - Markeringsfarve4 4 5 4 2 2 3" xfId="49502" xr:uid="{00000000-0005-0000-0000-000037750000}"/>
    <cellStyle name="40 % - Markeringsfarve4 4 5 4 2 3" xfId="27541" xr:uid="{00000000-0005-0000-0000-000038750000}"/>
    <cellStyle name="40 % - Markeringsfarve4 4 5 4 2 4" xfId="42505" xr:uid="{00000000-0005-0000-0000-000039750000}"/>
    <cellStyle name="40 % - Markeringsfarve4 4 5 4 3" xfId="14803" xr:uid="{00000000-0005-0000-0000-00003A750000}"/>
    <cellStyle name="40 % - Markeringsfarve4 4 5 4 3 2" xfId="31082" xr:uid="{00000000-0005-0000-0000-00003B750000}"/>
    <cellStyle name="40 % - Markeringsfarve4 4 5 4 3 3" xfId="46042" xr:uid="{00000000-0005-0000-0000-00003C750000}"/>
    <cellStyle name="40 % - Markeringsfarve4 4 5 4 4" xfId="24080" xr:uid="{00000000-0005-0000-0000-00003D750000}"/>
    <cellStyle name="40 % - Markeringsfarve4 4 5 4 5" xfId="39045" xr:uid="{00000000-0005-0000-0000-00003E750000}"/>
    <cellStyle name="40 % - Markeringsfarve4 4 5 5" xfId="8170" xr:uid="{00000000-0005-0000-0000-00003F750000}"/>
    <cellStyle name="40 % - Markeringsfarve4 4 5 5 2" xfId="16035" xr:uid="{00000000-0005-0000-0000-000040750000}"/>
    <cellStyle name="40 % - Markeringsfarve4 4 5 5 2 2" xfId="32311" xr:uid="{00000000-0005-0000-0000-000041750000}"/>
    <cellStyle name="40 % - Markeringsfarve4 4 5 5 2 3" xfId="47270" xr:uid="{00000000-0005-0000-0000-000042750000}"/>
    <cellStyle name="40 % - Markeringsfarve4 4 5 5 3" xfId="25309" xr:uid="{00000000-0005-0000-0000-000043750000}"/>
    <cellStyle name="40 % - Markeringsfarve4 4 5 5 4" xfId="40273" xr:uid="{00000000-0005-0000-0000-000044750000}"/>
    <cellStyle name="40 % - Markeringsfarve4 4 5 6" xfId="14799" xr:uid="{00000000-0005-0000-0000-000045750000}"/>
    <cellStyle name="40 % - Markeringsfarve4 4 5 6 2" xfId="31078" xr:uid="{00000000-0005-0000-0000-000046750000}"/>
    <cellStyle name="40 % - Markeringsfarve4 4 5 6 3" xfId="46038" xr:uid="{00000000-0005-0000-0000-000047750000}"/>
    <cellStyle name="40 % - Markeringsfarve4 4 5 7" xfId="24076" xr:uid="{00000000-0005-0000-0000-000048750000}"/>
    <cellStyle name="40 % - Markeringsfarve4 4 5 8" xfId="39041" xr:uid="{00000000-0005-0000-0000-000049750000}"/>
    <cellStyle name="40 % - Markeringsfarve4 4 6" xfId="6319" xr:uid="{00000000-0005-0000-0000-00004A750000}"/>
    <cellStyle name="40 % - Markeringsfarve4 4 6 2" xfId="6320" xr:uid="{00000000-0005-0000-0000-00004B750000}"/>
    <cellStyle name="40 % - Markeringsfarve4 4 6 2 2" xfId="6321" xr:uid="{00000000-0005-0000-0000-00004C750000}"/>
    <cellStyle name="40 % - Markeringsfarve4 4 6 2 2 2" xfId="10373" xr:uid="{00000000-0005-0000-0000-00004D750000}"/>
    <cellStyle name="40 % - Markeringsfarve4 4 6 2 2 2 2" xfId="18228" xr:uid="{00000000-0005-0000-0000-00004E750000}"/>
    <cellStyle name="40 % - Markeringsfarve4 4 6 2 2 2 2 2" xfId="34504" xr:uid="{00000000-0005-0000-0000-00004F750000}"/>
    <cellStyle name="40 % - Markeringsfarve4 4 6 2 2 2 2 3" xfId="49463" xr:uid="{00000000-0005-0000-0000-000050750000}"/>
    <cellStyle name="40 % - Markeringsfarve4 4 6 2 2 2 3" xfId="27502" xr:uid="{00000000-0005-0000-0000-000051750000}"/>
    <cellStyle name="40 % - Markeringsfarve4 4 6 2 2 2 4" xfId="42466" xr:uid="{00000000-0005-0000-0000-000052750000}"/>
    <cellStyle name="40 % - Markeringsfarve4 4 6 2 2 3" xfId="14806" xr:uid="{00000000-0005-0000-0000-000053750000}"/>
    <cellStyle name="40 % - Markeringsfarve4 4 6 2 2 3 2" xfId="31085" xr:uid="{00000000-0005-0000-0000-000054750000}"/>
    <cellStyle name="40 % - Markeringsfarve4 4 6 2 2 3 3" xfId="46045" xr:uid="{00000000-0005-0000-0000-000055750000}"/>
    <cellStyle name="40 % - Markeringsfarve4 4 6 2 2 4" xfId="24083" xr:uid="{00000000-0005-0000-0000-000056750000}"/>
    <cellStyle name="40 % - Markeringsfarve4 4 6 2 2 5" xfId="39048" xr:uid="{00000000-0005-0000-0000-000057750000}"/>
    <cellStyle name="40 % - Markeringsfarve4 4 6 2 3" xfId="8867" xr:uid="{00000000-0005-0000-0000-000058750000}"/>
    <cellStyle name="40 % - Markeringsfarve4 4 6 2 3 2" xfId="16734" xr:uid="{00000000-0005-0000-0000-000059750000}"/>
    <cellStyle name="40 % - Markeringsfarve4 4 6 2 3 2 2" xfId="33010" xr:uid="{00000000-0005-0000-0000-00005A750000}"/>
    <cellStyle name="40 % - Markeringsfarve4 4 6 2 3 2 3" xfId="47969" xr:uid="{00000000-0005-0000-0000-00005B750000}"/>
    <cellStyle name="40 % - Markeringsfarve4 4 6 2 3 3" xfId="26008" xr:uid="{00000000-0005-0000-0000-00005C750000}"/>
    <cellStyle name="40 % - Markeringsfarve4 4 6 2 3 4" xfId="40972" xr:uid="{00000000-0005-0000-0000-00005D750000}"/>
    <cellStyle name="40 % - Markeringsfarve4 4 6 2 4" xfId="14805" xr:uid="{00000000-0005-0000-0000-00005E750000}"/>
    <cellStyle name="40 % - Markeringsfarve4 4 6 2 4 2" xfId="31084" xr:uid="{00000000-0005-0000-0000-00005F750000}"/>
    <cellStyle name="40 % - Markeringsfarve4 4 6 2 4 3" xfId="46044" xr:uid="{00000000-0005-0000-0000-000060750000}"/>
    <cellStyle name="40 % - Markeringsfarve4 4 6 2 5" xfId="24082" xr:uid="{00000000-0005-0000-0000-000061750000}"/>
    <cellStyle name="40 % - Markeringsfarve4 4 6 2 6" xfId="39047" xr:uid="{00000000-0005-0000-0000-000062750000}"/>
    <cellStyle name="40 % - Markeringsfarve4 4 6 3" xfId="6322" xr:uid="{00000000-0005-0000-0000-000063750000}"/>
    <cellStyle name="40 % - Markeringsfarve4 4 6 3 2" xfId="9651" xr:uid="{00000000-0005-0000-0000-000064750000}"/>
    <cellStyle name="40 % - Markeringsfarve4 4 6 3 2 2" xfId="17514" xr:uid="{00000000-0005-0000-0000-000065750000}"/>
    <cellStyle name="40 % - Markeringsfarve4 4 6 3 2 2 2" xfId="33790" xr:uid="{00000000-0005-0000-0000-000066750000}"/>
    <cellStyle name="40 % - Markeringsfarve4 4 6 3 2 2 3" xfId="48749" xr:uid="{00000000-0005-0000-0000-000067750000}"/>
    <cellStyle name="40 % - Markeringsfarve4 4 6 3 2 3" xfId="26788" xr:uid="{00000000-0005-0000-0000-000068750000}"/>
    <cellStyle name="40 % - Markeringsfarve4 4 6 3 2 4" xfId="41752" xr:uid="{00000000-0005-0000-0000-000069750000}"/>
    <cellStyle name="40 % - Markeringsfarve4 4 6 3 3" xfId="14807" xr:uid="{00000000-0005-0000-0000-00006A750000}"/>
    <cellStyle name="40 % - Markeringsfarve4 4 6 3 3 2" xfId="31086" xr:uid="{00000000-0005-0000-0000-00006B750000}"/>
    <cellStyle name="40 % - Markeringsfarve4 4 6 3 3 3" xfId="46046" xr:uid="{00000000-0005-0000-0000-00006C750000}"/>
    <cellStyle name="40 % - Markeringsfarve4 4 6 3 4" xfId="24084" xr:uid="{00000000-0005-0000-0000-00006D750000}"/>
    <cellStyle name="40 % - Markeringsfarve4 4 6 3 5" xfId="39049" xr:uid="{00000000-0005-0000-0000-00006E750000}"/>
    <cellStyle name="40 % - Markeringsfarve4 4 6 4" xfId="6323" xr:uid="{00000000-0005-0000-0000-00006F750000}"/>
    <cellStyle name="40 % - Markeringsfarve4 4 6 4 2" xfId="10756" xr:uid="{00000000-0005-0000-0000-000070750000}"/>
    <cellStyle name="40 % - Markeringsfarve4 4 6 4 2 2" xfId="18599" xr:uid="{00000000-0005-0000-0000-000071750000}"/>
    <cellStyle name="40 % - Markeringsfarve4 4 6 4 2 2 2" xfId="34875" xr:uid="{00000000-0005-0000-0000-000072750000}"/>
    <cellStyle name="40 % - Markeringsfarve4 4 6 4 2 2 3" xfId="49834" xr:uid="{00000000-0005-0000-0000-000073750000}"/>
    <cellStyle name="40 % - Markeringsfarve4 4 6 4 2 3" xfId="27873" xr:uid="{00000000-0005-0000-0000-000074750000}"/>
    <cellStyle name="40 % - Markeringsfarve4 4 6 4 2 4" xfId="42837" xr:uid="{00000000-0005-0000-0000-000075750000}"/>
    <cellStyle name="40 % - Markeringsfarve4 4 6 4 3" xfId="14808" xr:uid="{00000000-0005-0000-0000-000076750000}"/>
    <cellStyle name="40 % - Markeringsfarve4 4 6 4 3 2" xfId="31087" xr:uid="{00000000-0005-0000-0000-000077750000}"/>
    <cellStyle name="40 % - Markeringsfarve4 4 6 4 3 3" xfId="46047" xr:uid="{00000000-0005-0000-0000-000078750000}"/>
    <cellStyle name="40 % - Markeringsfarve4 4 6 4 4" xfId="24085" xr:uid="{00000000-0005-0000-0000-000079750000}"/>
    <cellStyle name="40 % - Markeringsfarve4 4 6 4 5" xfId="39050" xr:uid="{00000000-0005-0000-0000-00007A750000}"/>
    <cellStyle name="40 % - Markeringsfarve4 4 6 5" xfId="8171" xr:uid="{00000000-0005-0000-0000-00007B750000}"/>
    <cellStyle name="40 % - Markeringsfarve4 4 6 5 2" xfId="16036" xr:uid="{00000000-0005-0000-0000-00007C750000}"/>
    <cellStyle name="40 % - Markeringsfarve4 4 6 5 2 2" xfId="32312" xr:uid="{00000000-0005-0000-0000-00007D750000}"/>
    <cellStyle name="40 % - Markeringsfarve4 4 6 5 2 3" xfId="47271" xr:uid="{00000000-0005-0000-0000-00007E750000}"/>
    <cellStyle name="40 % - Markeringsfarve4 4 6 5 3" xfId="25310" xr:uid="{00000000-0005-0000-0000-00007F750000}"/>
    <cellStyle name="40 % - Markeringsfarve4 4 6 5 4" xfId="40274" xr:uid="{00000000-0005-0000-0000-000080750000}"/>
    <cellStyle name="40 % - Markeringsfarve4 4 6 6" xfId="14804" xr:uid="{00000000-0005-0000-0000-000081750000}"/>
    <cellStyle name="40 % - Markeringsfarve4 4 6 6 2" xfId="31083" xr:uid="{00000000-0005-0000-0000-000082750000}"/>
    <cellStyle name="40 % - Markeringsfarve4 4 6 6 3" xfId="46043" xr:uid="{00000000-0005-0000-0000-000083750000}"/>
    <cellStyle name="40 % - Markeringsfarve4 4 6 7" xfId="24081" xr:uid="{00000000-0005-0000-0000-000084750000}"/>
    <cellStyle name="40 % - Markeringsfarve4 4 6 8" xfId="39046" xr:uid="{00000000-0005-0000-0000-000085750000}"/>
    <cellStyle name="40 % - Markeringsfarve4 4 7" xfId="6324" xr:uid="{00000000-0005-0000-0000-000086750000}"/>
    <cellStyle name="40 % - Markeringsfarve4 4 7 2" xfId="6325" xr:uid="{00000000-0005-0000-0000-000087750000}"/>
    <cellStyle name="40 % - Markeringsfarve4 4 7 2 2" xfId="9741" xr:uid="{00000000-0005-0000-0000-000088750000}"/>
    <cellStyle name="40 % - Markeringsfarve4 4 7 2 2 2" xfId="17595" xr:uid="{00000000-0005-0000-0000-000089750000}"/>
    <cellStyle name="40 % - Markeringsfarve4 4 7 2 2 2 2" xfId="33871" xr:uid="{00000000-0005-0000-0000-00008A750000}"/>
    <cellStyle name="40 % - Markeringsfarve4 4 7 2 2 2 3" xfId="48830" xr:uid="{00000000-0005-0000-0000-00008B750000}"/>
    <cellStyle name="40 % - Markeringsfarve4 4 7 2 2 3" xfId="26869" xr:uid="{00000000-0005-0000-0000-00008C750000}"/>
    <cellStyle name="40 % - Markeringsfarve4 4 7 2 2 4" xfId="41833" xr:uid="{00000000-0005-0000-0000-00008D750000}"/>
    <cellStyle name="40 % - Markeringsfarve4 4 7 2 3" xfId="14810" xr:uid="{00000000-0005-0000-0000-00008E750000}"/>
    <cellStyle name="40 % - Markeringsfarve4 4 7 2 3 2" xfId="31089" xr:uid="{00000000-0005-0000-0000-00008F750000}"/>
    <cellStyle name="40 % - Markeringsfarve4 4 7 2 3 3" xfId="46049" xr:uid="{00000000-0005-0000-0000-000090750000}"/>
    <cellStyle name="40 % - Markeringsfarve4 4 7 2 4" xfId="24087" xr:uid="{00000000-0005-0000-0000-000091750000}"/>
    <cellStyle name="40 % - Markeringsfarve4 4 7 2 5" xfId="39052" xr:uid="{00000000-0005-0000-0000-000092750000}"/>
    <cellStyle name="40 % - Markeringsfarve4 4 7 3" xfId="8337" xr:uid="{00000000-0005-0000-0000-000093750000}"/>
    <cellStyle name="40 % - Markeringsfarve4 4 7 3 2" xfId="16207" xr:uid="{00000000-0005-0000-0000-000094750000}"/>
    <cellStyle name="40 % - Markeringsfarve4 4 7 3 2 2" xfId="32483" xr:uid="{00000000-0005-0000-0000-000095750000}"/>
    <cellStyle name="40 % - Markeringsfarve4 4 7 3 2 3" xfId="47442" xr:uid="{00000000-0005-0000-0000-000096750000}"/>
    <cellStyle name="40 % - Markeringsfarve4 4 7 3 3" xfId="25481" xr:uid="{00000000-0005-0000-0000-000097750000}"/>
    <cellStyle name="40 % - Markeringsfarve4 4 7 3 4" xfId="40445" xr:uid="{00000000-0005-0000-0000-000098750000}"/>
    <cellStyle name="40 % - Markeringsfarve4 4 7 4" xfId="14809" xr:uid="{00000000-0005-0000-0000-000099750000}"/>
    <cellStyle name="40 % - Markeringsfarve4 4 7 4 2" xfId="31088" xr:uid="{00000000-0005-0000-0000-00009A750000}"/>
    <cellStyle name="40 % - Markeringsfarve4 4 7 4 3" xfId="46048" xr:uid="{00000000-0005-0000-0000-00009B750000}"/>
    <cellStyle name="40 % - Markeringsfarve4 4 7 5" xfId="24086" xr:uid="{00000000-0005-0000-0000-00009C750000}"/>
    <cellStyle name="40 % - Markeringsfarve4 4 7 6" xfId="39051" xr:uid="{00000000-0005-0000-0000-00009D750000}"/>
    <cellStyle name="40 % - Markeringsfarve4 4 8" xfId="6326" xr:uid="{00000000-0005-0000-0000-00009E750000}"/>
    <cellStyle name="40 % - Markeringsfarve4 4 8 2" xfId="8969" xr:uid="{00000000-0005-0000-0000-00009F750000}"/>
    <cellStyle name="40 % - Markeringsfarve4 4 8 2 2" xfId="16833" xr:uid="{00000000-0005-0000-0000-0000A0750000}"/>
    <cellStyle name="40 % - Markeringsfarve4 4 8 2 2 2" xfId="33109" xr:uid="{00000000-0005-0000-0000-0000A1750000}"/>
    <cellStyle name="40 % - Markeringsfarve4 4 8 2 2 3" xfId="48068" xr:uid="{00000000-0005-0000-0000-0000A2750000}"/>
    <cellStyle name="40 % - Markeringsfarve4 4 8 2 3" xfId="26107" xr:uid="{00000000-0005-0000-0000-0000A3750000}"/>
    <cellStyle name="40 % - Markeringsfarve4 4 8 2 4" xfId="41071" xr:uid="{00000000-0005-0000-0000-0000A4750000}"/>
    <cellStyle name="40 % - Markeringsfarve4 4 8 3" xfId="14811" xr:uid="{00000000-0005-0000-0000-0000A5750000}"/>
    <cellStyle name="40 % - Markeringsfarve4 4 8 3 2" xfId="31090" xr:uid="{00000000-0005-0000-0000-0000A6750000}"/>
    <cellStyle name="40 % - Markeringsfarve4 4 8 3 3" xfId="46050" xr:uid="{00000000-0005-0000-0000-0000A7750000}"/>
    <cellStyle name="40 % - Markeringsfarve4 4 8 4" xfId="24088" xr:uid="{00000000-0005-0000-0000-0000A8750000}"/>
    <cellStyle name="40 % - Markeringsfarve4 4 8 5" xfId="39053" xr:uid="{00000000-0005-0000-0000-0000A9750000}"/>
    <cellStyle name="40 % - Markeringsfarve4 4 9" xfId="6327" xr:uid="{00000000-0005-0000-0000-0000AA750000}"/>
    <cellStyle name="40 % - Markeringsfarve4 4 9 2" xfId="10838" xr:uid="{00000000-0005-0000-0000-0000AB750000}"/>
    <cellStyle name="40 % - Markeringsfarve4 4 9 2 2" xfId="18676" xr:uid="{00000000-0005-0000-0000-0000AC750000}"/>
    <cellStyle name="40 % - Markeringsfarve4 4 9 2 2 2" xfId="34952" xr:uid="{00000000-0005-0000-0000-0000AD750000}"/>
    <cellStyle name="40 % - Markeringsfarve4 4 9 2 2 3" xfId="49911" xr:uid="{00000000-0005-0000-0000-0000AE750000}"/>
    <cellStyle name="40 % - Markeringsfarve4 4 9 2 3" xfId="27950" xr:uid="{00000000-0005-0000-0000-0000AF750000}"/>
    <cellStyle name="40 % - Markeringsfarve4 4 9 2 4" xfId="42914" xr:uid="{00000000-0005-0000-0000-0000B0750000}"/>
    <cellStyle name="40 % - Markeringsfarve4 4 9 3" xfId="14812" xr:uid="{00000000-0005-0000-0000-0000B1750000}"/>
    <cellStyle name="40 % - Markeringsfarve4 4 9 3 2" xfId="31091" xr:uid="{00000000-0005-0000-0000-0000B2750000}"/>
    <cellStyle name="40 % - Markeringsfarve4 4 9 3 3" xfId="46051" xr:uid="{00000000-0005-0000-0000-0000B3750000}"/>
    <cellStyle name="40 % - Markeringsfarve4 4 9 4" xfId="24089" xr:uid="{00000000-0005-0000-0000-0000B4750000}"/>
    <cellStyle name="40 % - Markeringsfarve4 4 9 5" xfId="39054" xr:uid="{00000000-0005-0000-0000-0000B5750000}"/>
    <cellStyle name="40 % - Markeringsfarve4 5" xfId="6328" xr:uid="{00000000-0005-0000-0000-0000B6750000}"/>
    <cellStyle name="40 % - Markeringsfarve4 5 10" xfId="8172" xr:uid="{00000000-0005-0000-0000-0000B7750000}"/>
    <cellStyle name="40 % - Markeringsfarve4 5 10 2" xfId="16037" xr:uid="{00000000-0005-0000-0000-0000B8750000}"/>
    <cellStyle name="40 % - Markeringsfarve4 5 10 2 2" xfId="32313" xr:uid="{00000000-0005-0000-0000-0000B9750000}"/>
    <cellStyle name="40 % - Markeringsfarve4 5 10 2 3" xfId="47272" xr:uid="{00000000-0005-0000-0000-0000BA750000}"/>
    <cellStyle name="40 % - Markeringsfarve4 5 10 3" xfId="25311" xr:uid="{00000000-0005-0000-0000-0000BB750000}"/>
    <cellStyle name="40 % - Markeringsfarve4 5 10 4" xfId="40275" xr:uid="{00000000-0005-0000-0000-0000BC750000}"/>
    <cellStyle name="40 % - Markeringsfarve4 5 11" xfId="14813" xr:uid="{00000000-0005-0000-0000-0000BD750000}"/>
    <cellStyle name="40 % - Markeringsfarve4 5 11 2" xfId="31092" xr:uid="{00000000-0005-0000-0000-0000BE750000}"/>
    <cellStyle name="40 % - Markeringsfarve4 5 11 3" xfId="46052" xr:uid="{00000000-0005-0000-0000-0000BF750000}"/>
    <cellStyle name="40 % - Markeringsfarve4 5 12" xfId="24090" xr:uid="{00000000-0005-0000-0000-0000C0750000}"/>
    <cellStyle name="40 % - Markeringsfarve4 5 13" xfId="39055" xr:uid="{00000000-0005-0000-0000-0000C1750000}"/>
    <cellStyle name="40 % - Markeringsfarve4 5 2" xfId="6329" xr:uid="{00000000-0005-0000-0000-0000C2750000}"/>
    <cellStyle name="40 % - Markeringsfarve4 5 2 2" xfId="6330" xr:uid="{00000000-0005-0000-0000-0000C3750000}"/>
    <cellStyle name="40 % - Markeringsfarve4 5 2 2 2" xfId="6331" xr:uid="{00000000-0005-0000-0000-0000C4750000}"/>
    <cellStyle name="40 % - Markeringsfarve4 5 2 2 2 2" xfId="9898" xr:uid="{00000000-0005-0000-0000-0000C5750000}"/>
    <cellStyle name="40 % - Markeringsfarve4 5 2 2 2 2 2" xfId="17753" xr:uid="{00000000-0005-0000-0000-0000C6750000}"/>
    <cellStyle name="40 % - Markeringsfarve4 5 2 2 2 2 2 2" xfId="34029" xr:uid="{00000000-0005-0000-0000-0000C7750000}"/>
    <cellStyle name="40 % - Markeringsfarve4 5 2 2 2 2 2 3" xfId="48988" xr:uid="{00000000-0005-0000-0000-0000C8750000}"/>
    <cellStyle name="40 % - Markeringsfarve4 5 2 2 2 2 3" xfId="27027" xr:uid="{00000000-0005-0000-0000-0000C9750000}"/>
    <cellStyle name="40 % - Markeringsfarve4 5 2 2 2 2 4" xfId="41991" xr:uid="{00000000-0005-0000-0000-0000CA750000}"/>
    <cellStyle name="40 % - Markeringsfarve4 5 2 2 2 3" xfId="14816" xr:uid="{00000000-0005-0000-0000-0000CB750000}"/>
    <cellStyle name="40 % - Markeringsfarve4 5 2 2 2 3 2" xfId="31095" xr:uid="{00000000-0005-0000-0000-0000CC750000}"/>
    <cellStyle name="40 % - Markeringsfarve4 5 2 2 2 3 3" xfId="46055" xr:uid="{00000000-0005-0000-0000-0000CD750000}"/>
    <cellStyle name="40 % - Markeringsfarve4 5 2 2 2 4" xfId="24093" xr:uid="{00000000-0005-0000-0000-0000CE750000}"/>
    <cellStyle name="40 % - Markeringsfarve4 5 2 2 2 5" xfId="39058" xr:uid="{00000000-0005-0000-0000-0000CF750000}"/>
    <cellStyle name="40 % - Markeringsfarve4 5 2 2 3" xfId="8469" xr:uid="{00000000-0005-0000-0000-0000D0750000}"/>
    <cellStyle name="40 % - Markeringsfarve4 5 2 2 3 2" xfId="16339" xr:uid="{00000000-0005-0000-0000-0000D1750000}"/>
    <cellStyle name="40 % - Markeringsfarve4 5 2 2 3 2 2" xfId="32615" xr:uid="{00000000-0005-0000-0000-0000D2750000}"/>
    <cellStyle name="40 % - Markeringsfarve4 5 2 2 3 2 3" xfId="47574" xr:uid="{00000000-0005-0000-0000-0000D3750000}"/>
    <cellStyle name="40 % - Markeringsfarve4 5 2 2 3 3" xfId="25613" xr:uid="{00000000-0005-0000-0000-0000D4750000}"/>
    <cellStyle name="40 % - Markeringsfarve4 5 2 2 3 4" xfId="40577" xr:uid="{00000000-0005-0000-0000-0000D5750000}"/>
    <cellStyle name="40 % - Markeringsfarve4 5 2 2 4" xfId="14815" xr:uid="{00000000-0005-0000-0000-0000D6750000}"/>
    <cellStyle name="40 % - Markeringsfarve4 5 2 2 4 2" xfId="31094" xr:uid="{00000000-0005-0000-0000-0000D7750000}"/>
    <cellStyle name="40 % - Markeringsfarve4 5 2 2 4 3" xfId="46054" xr:uid="{00000000-0005-0000-0000-0000D8750000}"/>
    <cellStyle name="40 % - Markeringsfarve4 5 2 2 5" xfId="24092" xr:uid="{00000000-0005-0000-0000-0000D9750000}"/>
    <cellStyle name="40 % - Markeringsfarve4 5 2 2 6" xfId="39057" xr:uid="{00000000-0005-0000-0000-0000DA750000}"/>
    <cellStyle name="40 % - Markeringsfarve4 5 2 3" xfId="6332" xr:uid="{00000000-0005-0000-0000-0000DB750000}"/>
    <cellStyle name="40 % - Markeringsfarve4 5 2 3 2" xfId="9129" xr:uid="{00000000-0005-0000-0000-0000DC750000}"/>
    <cellStyle name="40 % - Markeringsfarve4 5 2 3 2 2" xfId="16993" xr:uid="{00000000-0005-0000-0000-0000DD750000}"/>
    <cellStyle name="40 % - Markeringsfarve4 5 2 3 2 2 2" xfId="33269" xr:uid="{00000000-0005-0000-0000-0000DE750000}"/>
    <cellStyle name="40 % - Markeringsfarve4 5 2 3 2 2 3" xfId="48228" xr:uid="{00000000-0005-0000-0000-0000DF750000}"/>
    <cellStyle name="40 % - Markeringsfarve4 5 2 3 2 3" xfId="26267" xr:uid="{00000000-0005-0000-0000-0000E0750000}"/>
    <cellStyle name="40 % - Markeringsfarve4 5 2 3 2 4" xfId="41231" xr:uid="{00000000-0005-0000-0000-0000E1750000}"/>
    <cellStyle name="40 % - Markeringsfarve4 5 2 3 3" xfId="14817" xr:uid="{00000000-0005-0000-0000-0000E2750000}"/>
    <cellStyle name="40 % - Markeringsfarve4 5 2 3 3 2" xfId="31096" xr:uid="{00000000-0005-0000-0000-0000E3750000}"/>
    <cellStyle name="40 % - Markeringsfarve4 5 2 3 3 3" xfId="46056" xr:uid="{00000000-0005-0000-0000-0000E4750000}"/>
    <cellStyle name="40 % - Markeringsfarve4 5 2 3 4" xfId="24094" xr:uid="{00000000-0005-0000-0000-0000E5750000}"/>
    <cellStyle name="40 % - Markeringsfarve4 5 2 3 5" xfId="39059" xr:uid="{00000000-0005-0000-0000-0000E6750000}"/>
    <cellStyle name="40 % - Markeringsfarve4 5 2 4" xfId="6333" xr:uid="{00000000-0005-0000-0000-0000E7750000}"/>
    <cellStyle name="40 % - Markeringsfarve4 5 2 4 2" xfId="10691" xr:uid="{00000000-0005-0000-0000-0000E8750000}"/>
    <cellStyle name="40 % - Markeringsfarve4 5 2 4 2 2" xfId="18535" xr:uid="{00000000-0005-0000-0000-0000E9750000}"/>
    <cellStyle name="40 % - Markeringsfarve4 5 2 4 2 2 2" xfId="34811" xr:uid="{00000000-0005-0000-0000-0000EA750000}"/>
    <cellStyle name="40 % - Markeringsfarve4 5 2 4 2 2 3" xfId="49770" xr:uid="{00000000-0005-0000-0000-0000EB750000}"/>
    <cellStyle name="40 % - Markeringsfarve4 5 2 4 2 3" xfId="27809" xr:uid="{00000000-0005-0000-0000-0000EC750000}"/>
    <cellStyle name="40 % - Markeringsfarve4 5 2 4 2 4" xfId="42773" xr:uid="{00000000-0005-0000-0000-0000ED750000}"/>
    <cellStyle name="40 % - Markeringsfarve4 5 2 4 3" xfId="14818" xr:uid="{00000000-0005-0000-0000-0000EE750000}"/>
    <cellStyle name="40 % - Markeringsfarve4 5 2 4 3 2" xfId="31097" xr:uid="{00000000-0005-0000-0000-0000EF750000}"/>
    <cellStyle name="40 % - Markeringsfarve4 5 2 4 3 3" xfId="46057" xr:uid="{00000000-0005-0000-0000-0000F0750000}"/>
    <cellStyle name="40 % - Markeringsfarve4 5 2 4 4" xfId="24095" xr:uid="{00000000-0005-0000-0000-0000F1750000}"/>
    <cellStyle name="40 % - Markeringsfarve4 5 2 4 5" xfId="39060" xr:uid="{00000000-0005-0000-0000-0000F2750000}"/>
    <cellStyle name="40 % - Markeringsfarve4 5 2 5" xfId="8173" xr:uid="{00000000-0005-0000-0000-0000F3750000}"/>
    <cellStyle name="40 % - Markeringsfarve4 5 2 5 2" xfId="16038" xr:uid="{00000000-0005-0000-0000-0000F4750000}"/>
    <cellStyle name="40 % - Markeringsfarve4 5 2 5 2 2" xfId="32314" xr:uid="{00000000-0005-0000-0000-0000F5750000}"/>
    <cellStyle name="40 % - Markeringsfarve4 5 2 5 2 3" xfId="47273" xr:uid="{00000000-0005-0000-0000-0000F6750000}"/>
    <cellStyle name="40 % - Markeringsfarve4 5 2 5 3" xfId="25312" xr:uid="{00000000-0005-0000-0000-0000F7750000}"/>
    <cellStyle name="40 % - Markeringsfarve4 5 2 5 4" xfId="40276" xr:uid="{00000000-0005-0000-0000-0000F8750000}"/>
    <cellStyle name="40 % - Markeringsfarve4 5 2 6" xfId="14814" xr:uid="{00000000-0005-0000-0000-0000F9750000}"/>
    <cellStyle name="40 % - Markeringsfarve4 5 2 6 2" xfId="31093" xr:uid="{00000000-0005-0000-0000-0000FA750000}"/>
    <cellStyle name="40 % - Markeringsfarve4 5 2 6 3" xfId="46053" xr:uid="{00000000-0005-0000-0000-0000FB750000}"/>
    <cellStyle name="40 % - Markeringsfarve4 5 2 7" xfId="24091" xr:uid="{00000000-0005-0000-0000-0000FC750000}"/>
    <cellStyle name="40 % - Markeringsfarve4 5 2 8" xfId="39056" xr:uid="{00000000-0005-0000-0000-0000FD750000}"/>
    <cellStyle name="40 % - Markeringsfarve4 5 3" xfId="6334" xr:uid="{00000000-0005-0000-0000-0000FE750000}"/>
    <cellStyle name="40 % - Markeringsfarve4 5 3 2" xfId="6335" xr:uid="{00000000-0005-0000-0000-0000FF750000}"/>
    <cellStyle name="40 % - Markeringsfarve4 5 3 2 2" xfId="6336" xr:uid="{00000000-0005-0000-0000-000000760000}"/>
    <cellStyle name="40 % - Markeringsfarve4 5 3 2 2 2" xfId="10020" xr:uid="{00000000-0005-0000-0000-000001760000}"/>
    <cellStyle name="40 % - Markeringsfarve4 5 3 2 2 2 2" xfId="17875" xr:uid="{00000000-0005-0000-0000-000002760000}"/>
    <cellStyle name="40 % - Markeringsfarve4 5 3 2 2 2 2 2" xfId="34151" xr:uid="{00000000-0005-0000-0000-000003760000}"/>
    <cellStyle name="40 % - Markeringsfarve4 5 3 2 2 2 2 3" xfId="49110" xr:uid="{00000000-0005-0000-0000-000004760000}"/>
    <cellStyle name="40 % - Markeringsfarve4 5 3 2 2 2 3" xfId="27149" xr:uid="{00000000-0005-0000-0000-000005760000}"/>
    <cellStyle name="40 % - Markeringsfarve4 5 3 2 2 2 4" xfId="42113" xr:uid="{00000000-0005-0000-0000-000006760000}"/>
    <cellStyle name="40 % - Markeringsfarve4 5 3 2 2 3" xfId="14821" xr:uid="{00000000-0005-0000-0000-000007760000}"/>
    <cellStyle name="40 % - Markeringsfarve4 5 3 2 2 3 2" xfId="31100" xr:uid="{00000000-0005-0000-0000-000008760000}"/>
    <cellStyle name="40 % - Markeringsfarve4 5 3 2 2 3 3" xfId="46060" xr:uid="{00000000-0005-0000-0000-000009760000}"/>
    <cellStyle name="40 % - Markeringsfarve4 5 3 2 2 4" xfId="24098" xr:uid="{00000000-0005-0000-0000-00000A760000}"/>
    <cellStyle name="40 % - Markeringsfarve4 5 3 2 2 5" xfId="39063" xr:uid="{00000000-0005-0000-0000-00000B760000}"/>
    <cellStyle name="40 % - Markeringsfarve4 5 3 2 3" xfId="8567" xr:uid="{00000000-0005-0000-0000-00000C760000}"/>
    <cellStyle name="40 % - Markeringsfarve4 5 3 2 3 2" xfId="16437" xr:uid="{00000000-0005-0000-0000-00000D760000}"/>
    <cellStyle name="40 % - Markeringsfarve4 5 3 2 3 2 2" xfId="32713" xr:uid="{00000000-0005-0000-0000-00000E760000}"/>
    <cellStyle name="40 % - Markeringsfarve4 5 3 2 3 2 3" xfId="47672" xr:uid="{00000000-0005-0000-0000-00000F760000}"/>
    <cellStyle name="40 % - Markeringsfarve4 5 3 2 3 3" xfId="25711" xr:uid="{00000000-0005-0000-0000-000010760000}"/>
    <cellStyle name="40 % - Markeringsfarve4 5 3 2 3 4" xfId="40675" xr:uid="{00000000-0005-0000-0000-000011760000}"/>
    <cellStyle name="40 % - Markeringsfarve4 5 3 2 4" xfId="14820" xr:uid="{00000000-0005-0000-0000-000012760000}"/>
    <cellStyle name="40 % - Markeringsfarve4 5 3 2 4 2" xfId="31099" xr:uid="{00000000-0005-0000-0000-000013760000}"/>
    <cellStyle name="40 % - Markeringsfarve4 5 3 2 4 3" xfId="46059" xr:uid="{00000000-0005-0000-0000-000014760000}"/>
    <cellStyle name="40 % - Markeringsfarve4 5 3 2 5" xfId="24097" xr:uid="{00000000-0005-0000-0000-000015760000}"/>
    <cellStyle name="40 % - Markeringsfarve4 5 3 2 6" xfId="39062" xr:uid="{00000000-0005-0000-0000-000016760000}"/>
    <cellStyle name="40 % - Markeringsfarve4 5 3 3" xfId="6337" xr:uid="{00000000-0005-0000-0000-000017760000}"/>
    <cellStyle name="40 % - Markeringsfarve4 5 3 3 2" xfId="9251" xr:uid="{00000000-0005-0000-0000-000018760000}"/>
    <cellStyle name="40 % - Markeringsfarve4 5 3 3 2 2" xfId="17115" xr:uid="{00000000-0005-0000-0000-000019760000}"/>
    <cellStyle name="40 % - Markeringsfarve4 5 3 3 2 2 2" xfId="33391" xr:uid="{00000000-0005-0000-0000-00001A760000}"/>
    <cellStyle name="40 % - Markeringsfarve4 5 3 3 2 2 3" xfId="48350" xr:uid="{00000000-0005-0000-0000-00001B760000}"/>
    <cellStyle name="40 % - Markeringsfarve4 5 3 3 2 3" xfId="26389" xr:uid="{00000000-0005-0000-0000-00001C760000}"/>
    <cellStyle name="40 % - Markeringsfarve4 5 3 3 2 4" xfId="41353" xr:uid="{00000000-0005-0000-0000-00001D760000}"/>
    <cellStyle name="40 % - Markeringsfarve4 5 3 3 3" xfId="14822" xr:uid="{00000000-0005-0000-0000-00001E760000}"/>
    <cellStyle name="40 % - Markeringsfarve4 5 3 3 3 2" xfId="31101" xr:uid="{00000000-0005-0000-0000-00001F760000}"/>
    <cellStyle name="40 % - Markeringsfarve4 5 3 3 3 3" xfId="46061" xr:uid="{00000000-0005-0000-0000-000020760000}"/>
    <cellStyle name="40 % - Markeringsfarve4 5 3 3 4" xfId="24099" xr:uid="{00000000-0005-0000-0000-000021760000}"/>
    <cellStyle name="40 % - Markeringsfarve4 5 3 3 5" xfId="39064" xr:uid="{00000000-0005-0000-0000-000022760000}"/>
    <cellStyle name="40 % - Markeringsfarve4 5 3 4" xfId="6338" xr:uid="{00000000-0005-0000-0000-000023760000}"/>
    <cellStyle name="40 % - Markeringsfarve4 5 3 4 2" xfId="10929" xr:uid="{00000000-0005-0000-0000-000024760000}"/>
    <cellStyle name="40 % - Markeringsfarve4 5 3 4 2 2" xfId="18764" xr:uid="{00000000-0005-0000-0000-000025760000}"/>
    <cellStyle name="40 % - Markeringsfarve4 5 3 4 2 2 2" xfId="35040" xr:uid="{00000000-0005-0000-0000-000026760000}"/>
    <cellStyle name="40 % - Markeringsfarve4 5 3 4 2 2 3" xfId="49999" xr:uid="{00000000-0005-0000-0000-000027760000}"/>
    <cellStyle name="40 % - Markeringsfarve4 5 3 4 2 3" xfId="28038" xr:uid="{00000000-0005-0000-0000-000028760000}"/>
    <cellStyle name="40 % - Markeringsfarve4 5 3 4 2 4" xfId="43002" xr:uid="{00000000-0005-0000-0000-000029760000}"/>
    <cellStyle name="40 % - Markeringsfarve4 5 3 4 3" xfId="14823" xr:uid="{00000000-0005-0000-0000-00002A760000}"/>
    <cellStyle name="40 % - Markeringsfarve4 5 3 4 3 2" xfId="31102" xr:uid="{00000000-0005-0000-0000-00002B760000}"/>
    <cellStyle name="40 % - Markeringsfarve4 5 3 4 3 3" xfId="46062" xr:uid="{00000000-0005-0000-0000-00002C760000}"/>
    <cellStyle name="40 % - Markeringsfarve4 5 3 4 4" xfId="24100" xr:uid="{00000000-0005-0000-0000-00002D760000}"/>
    <cellStyle name="40 % - Markeringsfarve4 5 3 4 5" xfId="39065" xr:uid="{00000000-0005-0000-0000-00002E760000}"/>
    <cellStyle name="40 % - Markeringsfarve4 5 3 5" xfId="8174" xr:uid="{00000000-0005-0000-0000-00002F760000}"/>
    <cellStyle name="40 % - Markeringsfarve4 5 3 5 2" xfId="16039" xr:uid="{00000000-0005-0000-0000-000030760000}"/>
    <cellStyle name="40 % - Markeringsfarve4 5 3 5 2 2" xfId="32315" xr:uid="{00000000-0005-0000-0000-000031760000}"/>
    <cellStyle name="40 % - Markeringsfarve4 5 3 5 2 3" xfId="47274" xr:uid="{00000000-0005-0000-0000-000032760000}"/>
    <cellStyle name="40 % - Markeringsfarve4 5 3 5 3" xfId="25313" xr:uid="{00000000-0005-0000-0000-000033760000}"/>
    <cellStyle name="40 % - Markeringsfarve4 5 3 5 4" xfId="40277" xr:uid="{00000000-0005-0000-0000-000034760000}"/>
    <cellStyle name="40 % - Markeringsfarve4 5 3 6" xfId="14819" xr:uid="{00000000-0005-0000-0000-000035760000}"/>
    <cellStyle name="40 % - Markeringsfarve4 5 3 6 2" xfId="31098" xr:uid="{00000000-0005-0000-0000-000036760000}"/>
    <cellStyle name="40 % - Markeringsfarve4 5 3 6 3" xfId="46058" xr:uid="{00000000-0005-0000-0000-000037760000}"/>
    <cellStyle name="40 % - Markeringsfarve4 5 3 7" xfId="24096" xr:uid="{00000000-0005-0000-0000-000038760000}"/>
    <cellStyle name="40 % - Markeringsfarve4 5 3 8" xfId="39061" xr:uid="{00000000-0005-0000-0000-000039760000}"/>
    <cellStyle name="40 % - Markeringsfarve4 5 4" xfId="6339" xr:uid="{00000000-0005-0000-0000-00003A760000}"/>
    <cellStyle name="40 % - Markeringsfarve4 5 4 2" xfId="6340" xr:uid="{00000000-0005-0000-0000-00003B760000}"/>
    <cellStyle name="40 % - Markeringsfarve4 5 4 2 2" xfId="6341" xr:uid="{00000000-0005-0000-0000-00003C760000}"/>
    <cellStyle name="40 % - Markeringsfarve4 5 4 2 2 2" xfId="10136" xr:uid="{00000000-0005-0000-0000-00003D760000}"/>
    <cellStyle name="40 % - Markeringsfarve4 5 4 2 2 2 2" xfId="17991" xr:uid="{00000000-0005-0000-0000-00003E760000}"/>
    <cellStyle name="40 % - Markeringsfarve4 5 4 2 2 2 2 2" xfId="34267" xr:uid="{00000000-0005-0000-0000-00003F760000}"/>
    <cellStyle name="40 % - Markeringsfarve4 5 4 2 2 2 2 3" xfId="49226" xr:uid="{00000000-0005-0000-0000-000040760000}"/>
    <cellStyle name="40 % - Markeringsfarve4 5 4 2 2 2 3" xfId="27265" xr:uid="{00000000-0005-0000-0000-000041760000}"/>
    <cellStyle name="40 % - Markeringsfarve4 5 4 2 2 2 4" xfId="42229" xr:uid="{00000000-0005-0000-0000-000042760000}"/>
    <cellStyle name="40 % - Markeringsfarve4 5 4 2 2 3" xfId="14826" xr:uid="{00000000-0005-0000-0000-000043760000}"/>
    <cellStyle name="40 % - Markeringsfarve4 5 4 2 2 3 2" xfId="31105" xr:uid="{00000000-0005-0000-0000-000044760000}"/>
    <cellStyle name="40 % - Markeringsfarve4 5 4 2 2 3 3" xfId="46065" xr:uid="{00000000-0005-0000-0000-000045760000}"/>
    <cellStyle name="40 % - Markeringsfarve4 5 4 2 2 4" xfId="24103" xr:uid="{00000000-0005-0000-0000-000046760000}"/>
    <cellStyle name="40 % - Markeringsfarve4 5 4 2 2 5" xfId="39068" xr:uid="{00000000-0005-0000-0000-000047760000}"/>
    <cellStyle name="40 % - Markeringsfarve4 5 4 2 3" xfId="8671" xr:uid="{00000000-0005-0000-0000-000048760000}"/>
    <cellStyle name="40 % - Markeringsfarve4 5 4 2 3 2" xfId="16538" xr:uid="{00000000-0005-0000-0000-000049760000}"/>
    <cellStyle name="40 % - Markeringsfarve4 5 4 2 3 2 2" xfId="32814" xr:uid="{00000000-0005-0000-0000-00004A760000}"/>
    <cellStyle name="40 % - Markeringsfarve4 5 4 2 3 2 3" xfId="47773" xr:uid="{00000000-0005-0000-0000-00004B760000}"/>
    <cellStyle name="40 % - Markeringsfarve4 5 4 2 3 3" xfId="25812" xr:uid="{00000000-0005-0000-0000-00004C760000}"/>
    <cellStyle name="40 % - Markeringsfarve4 5 4 2 3 4" xfId="40776" xr:uid="{00000000-0005-0000-0000-00004D760000}"/>
    <cellStyle name="40 % - Markeringsfarve4 5 4 2 4" xfId="14825" xr:uid="{00000000-0005-0000-0000-00004E760000}"/>
    <cellStyle name="40 % - Markeringsfarve4 5 4 2 4 2" xfId="31104" xr:uid="{00000000-0005-0000-0000-00004F760000}"/>
    <cellStyle name="40 % - Markeringsfarve4 5 4 2 4 3" xfId="46064" xr:uid="{00000000-0005-0000-0000-000050760000}"/>
    <cellStyle name="40 % - Markeringsfarve4 5 4 2 5" xfId="24102" xr:uid="{00000000-0005-0000-0000-000051760000}"/>
    <cellStyle name="40 % - Markeringsfarve4 5 4 2 6" xfId="39067" xr:uid="{00000000-0005-0000-0000-000052760000}"/>
    <cellStyle name="40 % - Markeringsfarve4 5 4 3" xfId="6342" xr:uid="{00000000-0005-0000-0000-000053760000}"/>
    <cellStyle name="40 % - Markeringsfarve4 5 4 3 2" xfId="9413" xr:uid="{00000000-0005-0000-0000-000054760000}"/>
    <cellStyle name="40 % - Markeringsfarve4 5 4 3 2 2" xfId="17276" xr:uid="{00000000-0005-0000-0000-000055760000}"/>
    <cellStyle name="40 % - Markeringsfarve4 5 4 3 2 2 2" xfId="33552" xr:uid="{00000000-0005-0000-0000-000056760000}"/>
    <cellStyle name="40 % - Markeringsfarve4 5 4 3 2 2 3" xfId="48511" xr:uid="{00000000-0005-0000-0000-000057760000}"/>
    <cellStyle name="40 % - Markeringsfarve4 5 4 3 2 3" xfId="26550" xr:uid="{00000000-0005-0000-0000-000058760000}"/>
    <cellStyle name="40 % - Markeringsfarve4 5 4 3 2 4" xfId="41514" xr:uid="{00000000-0005-0000-0000-000059760000}"/>
    <cellStyle name="40 % - Markeringsfarve4 5 4 3 3" xfId="14827" xr:uid="{00000000-0005-0000-0000-00005A760000}"/>
    <cellStyle name="40 % - Markeringsfarve4 5 4 3 3 2" xfId="31106" xr:uid="{00000000-0005-0000-0000-00005B760000}"/>
    <cellStyle name="40 % - Markeringsfarve4 5 4 3 3 3" xfId="46066" xr:uid="{00000000-0005-0000-0000-00005C760000}"/>
    <cellStyle name="40 % - Markeringsfarve4 5 4 3 4" xfId="24104" xr:uid="{00000000-0005-0000-0000-00005D760000}"/>
    <cellStyle name="40 % - Markeringsfarve4 5 4 3 5" xfId="39069" xr:uid="{00000000-0005-0000-0000-00005E760000}"/>
    <cellStyle name="40 % - Markeringsfarve4 5 4 4" xfId="6343" xr:uid="{00000000-0005-0000-0000-00005F760000}"/>
    <cellStyle name="40 % - Markeringsfarve4 5 4 4 2" xfId="10654" xr:uid="{00000000-0005-0000-0000-000060760000}"/>
    <cellStyle name="40 % - Markeringsfarve4 5 4 4 2 2" xfId="18501" xr:uid="{00000000-0005-0000-0000-000061760000}"/>
    <cellStyle name="40 % - Markeringsfarve4 5 4 4 2 2 2" xfId="34777" xr:uid="{00000000-0005-0000-0000-000062760000}"/>
    <cellStyle name="40 % - Markeringsfarve4 5 4 4 2 2 3" xfId="49736" xr:uid="{00000000-0005-0000-0000-000063760000}"/>
    <cellStyle name="40 % - Markeringsfarve4 5 4 4 2 3" xfId="27775" xr:uid="{00000000-0005-0000-0000-000064760000}"/>
    <cellStyle name="40 % - Markeringsfarve4 5 4 4 2 4" xfId="42739" xr:uid="{00000000-0005-0000-0000-000065760000}"/>
    <cellStyle name="40 % - Markeringsfarve4 5 4 4 3" xfId="14828" xr:uid="{00000000-0005-0000-0000-000066760000}"/>
    <cellStyle name="40 % - Markeringsfarve4 5 4 4 3 2" xfId="31107" xr:uid="{00000000-0005-0000-0000-000067760000}"/>
    <cellStyle name="40 % - Markeringsfarve4 5 4 4 3 3" xfId="46067" xr:uid="{00000000-0005-0000-0000-000068760000}"/>
    <cellStyle name="40 % - Markeringsfarve4 5 4 4 4" xfId="24105" xr:uid="{00000000-0005-0000-0000-000069760000}"/>
    <cellStyle name="40 % - Markeringsfarve4 5 4 4 5" xfId="39070" xr:uid="{00000000-0005-0000-0000-00006A760000}"/>
    <cellStyle name="40 % - Markeringsfarve4 5 4 5" xfId="8175" xr:uid="{00000000-0005-0000-0000-00006B760000}"/>
    <cellStyle name="40 % - Markeringsfarve4 5 4 5 2" xfId="16040" xr:uid="{00000000-0005-0000-0000-00006C760000}"/>
    <cellStyle name="40 % - Markeringsfarve4 5 4 5 2 2" xfId="32316" xr:uid="{00000000-0005-0000-0000-00006D760000}"/>
    <cellStyle name="40 % - Markeringsfarve4 5 4 5 2 3" xfId="47275" xr:uid="{00000000-0005-0000-0000-00006E760000}"/>
    <cellStyle name="40 % - Markeringsfarve4 5 4 5 3" xfId="25314" xr:uid="{00000000-0005-0000-0000-00006F760000}"/>
    <cellStyle name="40 % - Markeringsfarve4 5 4 5 4" xfId="40278" xr:uid="{00000000-0005-0000-0000-000070760000}"/>
    <cellStyle name="40 % - Markeringsfarve4 5 4 6" xfId="14824" xr:uid="{00000000-0005-0000-0000-000071760000}"/>
    <cellStyle name="40 % - Markeringsfarve4 5 4 6 2" xfId="31103" xr:uid="{00000000-0005-0000-0000-000072760000}"/>
    <cellStyle name="40 % - Markeringsfarve4 5 4 6 3" xfId="46063" xr:uid="{00000000-0005-0000-0000-000073760000}"/>
    <cellStyle name="40 % - Markeringsfarve4 5 4 7" xfId="24101" xr:uid="{00000000-0005-0000-0000-000074760000}"/>
    <cellStyle name="40 % - Markeringsfarve4 5 4 8" xfId="39066" xr:uid="{00000000-0005-0000-0000-000075760000}"/>
    <cellStyle name="40 % - Markeringsfarve4 5 5" xfId="6344" xr:uid="{00000000-0005-0000-0000-000076760000}"/>
    <cellStyle name="40 % - Markeringsfarve4 5 5 2" xfId="6345" xr:uid="{00000000-0005-0000-0000-000077760000}"/>
    <cellStyle name="40 % - Markeringsfarve4 5 5 2 2" xfId="6346" xr:uid="{00000000-0005-0000-0000-000078760000}"/>
    <cellStyle name="40 % - Markeringsfarve4 5 5 2 2 2" xfId="10253" xr:uid="{00000000-0005-0000-0000-000079760000}"/>
    <cellStyle name="40 % - Markeringsfarve4 5 5 2 2 2 2" xfId="18108" xr:uid="{00000000-0005-0000-0000-00007A760000}"/>
    <cellStyle name="40 % - Markeringsfarve4 5 5 2 2 2 2 2" xfId="34384" xr:uid="{00000000-0005-0000-0000-00007B760000}"/>
    <cellStyle name="40 % - Markeringsfarve4 5 5 2 2 2 2 3" xfId="49343" xr:uid="{00000000-0005-0000-0000-00007C760000}"/>
    <cellStyle name="40 % - Markeringsfarve4 5 5 2 2 2 3" xfId="27382" xr:uid="{00000000-0005-0000-0000-00007D760000}"/>
    <cellStyle name="40 % - Markeringsfarve4 5 5 2 2 2 4" xfId="42346" xr:uid="{00000000-0005-0000-0000-00007E760000}"/>
    <cellStyle name="40 % - Markeringsfarve4 5 5 2 2 3" xfId="14831" xr:uid="{00000000-0005-0000-0000-00007F760000}"/>
    <cellStyle name="40 % - Markeringsfarve4 5 5 2 2 3 2" xfId="31110" xr:uid="{00000000-0005-0000-0000-000080760000}"/>
    <cellStyle name="40 % - Markeringsfarve4 5 5 2 2 3 3" xfId="46070" xr:uid="{00000000-0005-0000-0000-000081760000}"/>
    <cellStyle name="40 % - Markeringsfarve4 5 5 2 2 4" xfId="24108" xr:uid="{00000000-0005-0000-0000-000082760000}"/>
    <cellStyle name="40 % - Markeringsfarve4 5 5 2 2 5" xfId="39073" xr:uid="{00000000-0005-0000-0000-000083760000}"/>
    <cellStyle name="40 % - Markeringsfarve4 5 5 2 3" xfId="8770" xr:uid="{00000000-0005-0000-0000-000084760000}"/>
    <cellStyle name="40 % - Markeringsfarve4 5 5 2 3 2" xfId="16637" xr:uid="{00000000-0005-0000-0000-000085760000}"/>
    <cellStyle name="40 % - Markeringsfarve4 5 5 2 3 2 2" xfId="32913" xr:uid="{00000000-0005-0000-0000-000086760000}"/>
    <cellStyle name="40 % - Markeringsfarve4 5 5 2 3 2 3" xfId="47872" xr:uid="{00000000-0005-0000-0000-000087760000}"/>
    <cellStyle name="40 % - Markeringsfarve4 5 5 2 3 3" xfId="25911" xr:uid="{00000000-0005-0000-0000-000088760000}"/>
    <cellStyle name="40 % - Markeringsfarve4 5 5 2 3 4" xfId="40875" xr:uid="{00000000-0005-0000-0000-000089760000}"/>
    <cellStyle name="40 % - Markeringsfarve4 5 5 2 4" xfId="14830" xr:uid="{00000000-0005-0000-0000-00008A760000}"/>
    <cellStyle name="40 % - Markeringsfarve4 5 5 2 4 2" xfId="31109" xr:uid="{00000000-0005-0000-0000-00008B760000}"/>
    <cellStyle name="40 % - Markeringsfarve4 5 5 2 4 3" xfId="46069" xr:uid="{00000000-0005-0000-0000-00008C760000}"/>
    <cellStyle name="40 % - Markeringsfarve4 5 5 2 5" xfId="24107" xr:uid="{00000000-0005-0000-0000-00008D760000}"/>
    <cellStyle name="40 % - Markeringsfarve4 5 5 2 6" xfId="39072" xr:uid="{00000000-0005-0000-0000-00008E760000}"/>
    <cellStyle name="40 % - Markeringsfarve4 5 5 3" xfId="6347" xr:uid="{00000000-0005-0000-0000-00008F760000}"/>
    <cellStyle name="40 % - Markeringsfarve4 5 5 3 2" xfId="9530" xr:uid="{00000000-0005-0000-0000-000090760000}"/>
    <cellStyle name="40 % - Markeringsfarve4 5 5 3 2 2" xfId="17393" xr:uid="{00000000-0005-0000-0000-000091760000}"/>
    <cellStyle name="40 % - Markeringsfarve4 5 5 3 2 2 2" xfId="33669" xr:uid="{00000000-0005-0000-0000-000092760000}"/>
    <cellStyle name="40 % - Markeringsfarve4 5 5 3 2 2 3" xfId="48628" xr:uid="{00000000-0005-0000-0000-000093760000}"/>
    <cellStyle name="40 % - Markeringsfarve4 5 5 3 2 3" xfId="26667" xr:uid="{00000000-0005-0000-0000-000094760000}"/>
    <cellStyle name="40 % - Markeringsfarve4 5 5 3 2 4" xfId="41631" xr:uid="{00000000-0005-0000-0000-000095760000}"/>
    <cellStyle name="40 % - Markeringsfarve4 5 5 3 3" xfId="14832" xr:uid="{00000000-0005-0000-0000-000096760000}"/>
    <cellStyle name="40 % - Markeringsfarve4 5 5 3 3 2" xfId="31111" xr:uid="{00000000-0005-0000-0000-000097760000}"/>
    <cellStyle name="40 % - Markeringsfarve4 5 5 3 3 3" xfId="46071" xr:uid="{00000000-0005-0000-0000-000098760000}"/>
    <cellStyle name="40 % - Markeringsfarve4 5 5 3 4" xfId="24109" xr:uid="{00000000-0005-0000-0000-000099760000}"/>
    <cellStyle name="40 % - Markeringsfarve4 5 5 3 5" xfId="39074" xr:uid="{00000000-0005-0000-0000-00009A760000}"/>
    <cellStyle name="40 % - Markeringsfarve4 5 5 4" xfId="6348" xr:uid="{00000000-0005-0000-0000-00009B760000}"/>
    <cellStyle name="40 % - Markeringsfarve4 5 5 4 2" xfId="10888" xr:uid="{00000000-0005-0000-0000-00009C760000}"/>
    <cellStyle name="40 % - Markeringsfarve4 5 5 4 2 2" xfId="18724" xr:uid="{00000000-0005-0000-0000-00009D760000}"/>
    <cellStyle name="40 % - Markeringsfarve4 5 5 4 2 2 2" xfId="35000" xr:uid="{00000000-0005-0000-0000-00009E760000}"/>
    <cellStyle name="40 % - Markeringsfarve4 5 5 4 2 2 3" xfId="49959" xr:uid="{00000000-0005-0000-0000-00009F760000}"/>
    <cellStyle name="40 % - Markeringsfarve4 5 5 4 2 3" xfId="27998" xr:uid="{00000000-0005-0000-0000-0000A0760000}"/>
    <cellStyle name="40 % - Markeringsfarve4 5 5 4 2 4" xfId="42962" xr:uid="{00000000-0005-0000-0000-0000A1760000}"/>
    <cellStyle name="40 % - Markeringsfarve4 5 5 4 3" xfId="14833" xr:uid="{00000000-0005-0000-0000-0000A2760000}"/>
    <cellStyle name="40 % - Markeringsfarve4 5 5 4 3 2" xfId="31112" xr:uid="{00000000-0005-0000-0000-0000A3760000}"/>
    <cellStyle name="40 % - Markeringsfarve4 5 5 4 3 3" xfId="46072" xr:uid="{00000000-0005-0000-0000-0000A4760000}"/>
    <cellStyle name="40 % - Markeringsfarve4 5 5 4 4" xfId="24110" xr:uid="{00000000-0005-0000-0000-0000A5760000}"/>
    <cellStyle name="40 % - Markeringsfarve4 5 5 4 5" xfId="39075" xr:uid="{00000000-0005-0000-0000-0000A6760000}"/>
    <cellStyle name="40 % - Markeringsfarve4 5 5 5" xfId="8176" xr:uid="{00000000-0005-0000-0000-0000A7760000}"/>
    <cellStyle name="40 % - Markeringsfarve4 5 5 5 2" xfId="16041" xr:uid="{00000000-0005-0000-0000-0000A8760000}"/>
    <cellStyle name="40 % - Markeringsfarve4 5 5 5 2 2" xfId="32317" xr:uid="{00000000-0005-0000-0000-0000A9760000}"/>
    <cellStyle name="40 % - Markeringsfarve4 5 5 5 2 3" xfId="47276" xr:uid="{00000000-0005-0000-0000-0000AA760000}"/>
    <cellStyle name="40 % - Markeringsfarve4 5 5 5 3" xfId="25315" xr:uid="{00000000-0005-0000-0000-0000AB760000}"/>
    <cellStyle name="40 % - Markeringsfarve4 5 5 5 4" xfId="40279" xr:uid="{00000000-0005-0000-0000-0000AC760000}"/>
    <cellStyle name="40 % - Markeringsfarve4 5 5 6" xfId="14829" xr:uid="{00000000-0005-0000-0000-0000AD760000}"/>
    <cellStyle name="40 % - Markeringsfarve4 5 5 6 2" xfId="31108" xr:uid="{00000000-0005-0000-0000-0000AE760000}"/>
    <cellStyle name="40 % - Markeringsfarve4 5 5 6 3" xfId="46068" xr:uid="{00000000-0005-0000-0000-0000AF760000}"/>
    <cellStyle name="40 % - Markeringsfarve4 5 5 7" xfId="24106" xr:uid="{00000000-0005-0000-0000-0000B0760000}"/>
    <cellStyle name="40 % - Markeringsfarve4 5 5 8" xfId="39071" xr:uid="{00000000-0005-0000-0000-0000B1760000}"/>
    <cellStyle name="40 % - Markeringsfarve4 5 6" xfId="6349" xr:uid="{00000000-0005-0000-0000-0000B2760000}"/>
    <cellStyle name="40 % - Markeringsfarve4 5 6 2" xfId="6350" xr:uid="{00000000-0005-0000-0000-0000B3760000}"/>
    <cellStyle name="40 % - Markeringsfarve4 5 6 2 2" xfId="6351" xr:uid="{00000000-0005-0000-0000-0000B4760000}"/>
    <cellStyle name="40 % - Markeringsfarve4 5 6 2 2 2" xfId="10374" xr:uid="{00000000-0005-0000-0000-0000B5760000}"/>
    <cellStyle name="40 % - Markeringsfarve4 5 6 2 2 2 2" xfId="18229" xr:uid="{00000000-0005-0000-0000-0000B6760000}"/>
    <cellStyle name="40 % - Markeringsfarve4 5 6 2 2 2 2 2" xfId="34505" xr:uid="{00000000-0005-0000-0000-0000B7760000}"/>
    <cellStyle name="40 % - Markeringsfarve4 5 6 2 2 2 2 3" xfId="49464" xr:uid="{00000000-0005-0000-0000-0000B8760000}"/>
    <cellStyle name="40 % - Markeringsfarve4 5 6 2 2 2 3" xfId="27503" xr:uid="{00000000-0005-0000-0000-0000B9760000}"/>
    <cellStyle name="40 % - Markeringsfarve4 5 6 2 2 2 4" xfId="42467" xr:uid="{00000000-0005-0000-0000-0000BA760000}"/>
    <cellStyle name="40 % - Markeringsfarve4 5 6 2 2 3" xfId="14836" xr:uid="{00000000-0005-0000-0000-0000BB760000}"/>
    <cellStyle name="40 % - Markeringsfarve4 5 6 2 2 3 2" xfId="31115" xr:uid="{00000000-0005-0000-0000-0000BC760000}"/>
    <cellStyle name="40 % - Markeringsfarve4 5 6 2 2 3 3" xfId="46075" xr:uid="{00000000-0005-0000-0000-0000BD760000}"/>
    <cellStyle name="40 % - Markeringsfarve4 5 6 2 2 4" xfId="24113" xr:uid="{00000000-0005-0000-0000-0000BE760000}"/>
    <cellStyle name="40 % - Markeringsfarve4 5 6 2 2 5" xfId="39078" xr:uid="{00000000-0005-0000-0000-0000BF760000}"/>
    <cellStyle name="40 % - Markeringsfarve4 5 6 2 3" xfId="8868" xr:uid="{00000000-0005-0000-0000-0000C0760000}"/>
    <cellStyle name="40 % - Markeringsfarve4 5 6 2 3 2" xfId="16735" xr:uid="{00000000-0005-0000-0000-0000C1760000}"/>
    <cellStyle name="40 % - Markeringsfarve4 5 6 2 3 2 2" xfId="33011" xr:uid="{00000000-0005-0000-0000-0000C2760000}"/>
    <cellStyle name="40 % - Markeringsfarve4 5 6 2 3 2 3" xfId="47970" xr:uid="{00000000-0005-0000-0000-0000C3760000}"/>
    <cellStyle name="40 % - Markeringsfarve4 5 6 2 3 3" xfId="26009" xr:uid="{00000000-0005-0000-0000-0000C4760000}"/>
    <cellStyle name="40 % - Markeringsfarve4 5 6 2 3 4" xfId="40973" xr:uid="{00000000-0005-0000-0000-0000C5760000}"/>
    <cellStyle name="40 % - Markeringsfarve4 5 6 2 4" xfId="14835" xr:uid="{00000000-0005-0000-0000-0000C6760000}"/>
    <cellStyle name="40 % - Markeringsfarve4 5 6 2 4 2" xfId="31114" xr:uid="{00000000-0005-0000-0000-0000C7760000}"/>
    <cellStyle name="40 % - Markeringsfarve4 5 6 2 4 3" xfId="46074" xr:uid="{00000000-0005-0000-0000-0000C8760000}"/>
    <cellStyle name="40 % - Markeringsfarve4 5 6 2 5" xfId="24112" xr:uid="{00000000-0005-0000-0000-0000C9760000}"/>
    <cellStyle name="40 % - Markeringsfarve4 5 6 2 6" xfId="39077" xr:uid="{00000000-0005-0000-0000-0000CA760000}"/>
    <cellStyle name="40 % - Markeringsfarve4 5 6 3" xfId="6352" xr:uid="{00000000-0005-0000-0000-0000CB760000}"/>
    <cellStyle name="40 % - Markeringsfarve4 5 6 3 2" xfId="9652" xr:uid="{00000000-0005-0000-0000-0000CC760000}"/>
    <cellStyle name="40 % - Markeringsfarve4 5 6 3 2 2" xfId="17515" xr:uid="{00000000-0005-0000-0000-0000CD760000}"/>
    <cellStyle name="40 % - Markeringsfarve4 5 6 3 2 2 2" xfId="33791" xr:uid="{00000000-0005-0000-0000-0000CE760000}"/>
    <cellStyle name="40 % - Markeringsfarve4 5 6 3 2 2 3" xfId="48750" xr:uid="{00000000-0005-0000-0000-0000CF760000}"/>
    <cellStyle name="40 % - Markeringsfarve4 5 6 3 2 3" xfId="26789" xr:uid="{00000000-0005-0000-0000-0000D0760000}"/>
    <cellStyle name="40 % - Markeringsfarve4 5 6 3 2 4" xfId="41753" xr:uid="{00000000-0005-0000-0000-0000D1760000}"/>
    <cellStyle name="40 % - Markeringsfarve4 5 6 3 3" xfId="14837" xr:uid="{00000000-0005-0000-0000-0000D2760000}"/>
    <cellStyle name="40 % - Markeringsfarve4 5 6 3 3 2" xfId="31116" xr:uid="{00000000-0005-0000-0000-0000D3760000}"/>
    <cellStyle name="40 % - Markeringsfarve4 5 6 3 3 3" xfId="46076" xr:uid="{00000000-0005-0000-0000-0000D4760000}"/>
    <cellStyle name="40 % - Markeringsfarve4 5 6 3 4" xfId="24114" xr:uid="{00000000-0005-0000-0000-0000D5760000}"/>
    <cellStyle name="40 % - Markeringsfarve4 5 6 3 5" xfId="39079" xr:uid="{00000000-0005-0000-0000-0000D6760000}"/>
    <cellStyle name="40 % - Markeringsfarve4 5 6 4" xfId="6353" xr:uid="{00000000-0005-0000-0000-0000D7760000}"/>
    <cellStyle name="40 % - Markeringsfarve4 5 6 4 2" xfId="10612" xr:uid="{00000000-0005-0000-0000-0000D8760000}"/>
    <cellStyle name="40 % - Markeringsfarve4 5 6 4 2 2" xfId="18460" xr:uid="{00000000-0005-0000-0000-0000D9760000}"/>
    <cellStyle name="40 % - Markeringsfarve4 5 6 4 2 2 2" xfId="34736" xr:uid="{00000000-0005-0000-0000-0000DA760000}"/>
    <cellStyle name="40 % - Markeringsfarve4 5 6 4 2 2 3" xfId="49695" xr:uid="{00000000-0005-0000-0000-0000DB760000}"/>
    <cellStyle name="40 % - Markeringsfarve4 5 6 4 2 3" xfId="27734" xr:uid="{00000000-0005-0000-0000-0000DC760000}"/>
    <cellStyle name="40 % - Markeringsfarve4 5 6 4 2 4" xfId="42698" xr:uid="{00000000-0005-0000-0000-0000DD760000}"/>
    <cellStyle name="40 % - Markeringsfarve4 5 6 4 3" xfId="14838" xr:uid="{00000000-0005-0000-0000-0000DE760000}"/>
    <cellStyle name="40 % - Markeringsfarve4 5 6 4 3 2" xfId="31117" xr:uid="{00000000-0005-0000-0000-0000DF760000}"/>
    <cellStyle name="40 % - Markeringsfarve4 5 6 4 3 3" xfId="46077" xr:uid="{00000000-0005-0000-0000-0000E0760000}"/>
    <cellStyle name="40 % - Markeringsfarve4 5 6 4 4" xfId="24115" xr:uid="{00000000-0005-0000-0000-0000E1760000}"/>
    <cellStyle name="40 % - Markeringsfarve4 5 6 4 5" xfId="39080" xr:uid="{00000000-0005-0000-0000-0000E2760000}"/>
    <cellStyle name="40 % - Markeringsfarve4 5 6 5" xfId="8177" xr:uid="{00000000-0005-0000-0000-0000E3760000}"/>
    <cellStyle name="40 % - Markeringsfarve4 5 6 5 2" xfId="16042" xr:uid="{00000000-0005-0000-0000-0000E4760000}"/>
    <cellStyle name="40 % - Markeringsfarve4 5 6 5 2 2" xfId="32318" xr:uid="{00000000-0005-0000-0000-0000E5760000}"/>
    <cellStyle name="40 % - Markeringsfarve4 5 6 5 2 3" xfId="47277" xr:uid="{00000000-0005-0000-0000-0000E6760000}"/>
    <cellStyle name="40 % - Markeringsfarve4 5 6 5 3" xfId="25316" xr:uid="{00000000-0005-0000-0000-0000E7760000}"/>
    <cellStyle name="40 % - Markeringsfarve4 5 6 5 4" xfId="40280" xr:uid="{00000000-0005-0000-0000-0000E8760000}"/>
    <cellStyle name="40 % - Markeringsfarve4 5 6 6" xfId="14834" xr:uid="{00000000-0005-0000-0000-0000E9760000}"/>
    <cellStyle name="40 % - Markeringsfarve4 5 6 6 2" xfId="31113" xr:uid="{00000000-0005-0000-0000-0000EA760000}"/>
    <cellStyle name="40 % - Markeringsfarve4 5 6 6 3" xfId="46073" xr:uid="{00000000-0005-0000-0000-0000EB760000}"/>
    <cellStyle name="40 % - Markeringsfarve4 5 6 7" xfId="24111" xr:uid="{00000000-0005-0000-0000-0000EC760000}"/>
    <cellStyle name="40 % - Markeringsfarve4 5 6 8" xfId="39076" xr:uid="{00000000-0005-0000-0000-0000ED760000}"/>
    <cellStyle name="40 % - Markeringsfarve4 5 7" xfId="6354" xr:uid="{00000000-0005-0000-0000-0000EE760000}"/>
    <cellStyle name="40 % - Markeringsfarve4 5 7 2" xfId="6355" xr:uid="{00000000-0005-0000-0000-0000EF760000}"/>
    <cellStyle name="40 % - Markeringsfarve4 5 7 2 2" xfId="9780" xr:uid="{00000000-0005-0000-0000-0000F0760000}"/>
    <cellStyle name="40 % - Markeringsfarve4 5 7 2 2 2" xfId="17634" xr:uid="{00000000-0005-0000-0000-0000F1760000}"/>
    <cellStyle name="40 % - Markeringsfarve4 5 7 2 2 2 2" xfId="33910" xr:uid="{00000000-0005-0000-0000-0000F2760000}"/>
    <cellStyle name="40 % - Markeringsfarve4 5 7 2 2 2 3" xfId="48869" xr:uid="{00000000-0005-0000-0000-0000F3760000}"/>
    <cellStyle name="40 % - Markeringsfarve4 5 7 2 2 3" xfId="26908" xr:uid="{00000000-0005-0000-0000-0000F4760000}"/>
    <cellStyle name="40 % - Markeringsfarve4 5 7 2 2 4" xfId="41872" xr:uid="{00000000-0005-0000-0000-0000F5760000}"/>
    <cellStyle name="40 % - Markeringsfarve4 5 7 2 3" xfId="14840" xr:uid="{00000000-0005-0000-0000-0000F6760000}"/>
    <cellStyle name="40 % - Markeringsfarve4 5 7 2 3 2" xfId="31119" xr:uid="{00000000-0005-0000-0000-0000F7760000}"/>
    <cellStyle name="40 % - Markeringsfarve4 5 7 2 3 3" xfId="46079" xr:uid="{00000000-0005-0000-0000-0000F8760000}"/>
    <cellStyle name="40 % - Markeringsfarve4 5 7 2 4" xfId="24117" xr:uid="{00000000-0005-0000-0000-0000F9760000}"/>
    <cellStyle name="40 % - Markeringsfarve4 5 7 2 5" xfId="39082" xr:uid="{00000000-0005-0000-0000-0000FA760000}"/>
    <cellStyle name="40 % - Markeringsfarve4 5 7 3" xfId="8370" xr:uid="{00000000-0005-0000-0000-0000FB760000}"/>
    <cellStyle name="40 % - Markeringsfarve4 5 7 3 2" xfId="16240" xr:uid="{00000000-0005-0000-0000-0000FC760000}"/>
    <cellStyle name="40 % - Markeringsfarve4 5 7 3 2 2" xfId="32516" xr:uid="{00000000-0005-0000-0000-0000FD760000}"/>
    <cellStyle name="40 % - Markeringsfarve4 5 7 3 2 3" xfId="47475" xr:uid="{00000000-0005-0000-0000-0000FE760000}"/>
    <cellStyle name="40 % - Markeringsfarve4 5 7 3 3" xfId="25514" xr:uid="{00000000-0005-0000-0000-0000FF760000}"/>
    <cellStyle name="40 % - Markeringsfarve4 5 7 3 4" xfId="40478" xr:uid="{00000000-0005-0000-0000-000000770000}"/>
    <cellStyle name="40 % - Markeringsfarve4 5 7 4" xfId="14839" xr:uid="{00000000-0005-0000-0000-000001770000}"/>
    <cellStyle name="40 % - Markeringsfarve4 5 7 4 2" xfId="31118" xr:uid="{00000000-0005-0000-0000-000002770000}"/>
    <cellStyle name="40 % - Markeringsfarve4 5 7 4 3" xfId="46078" xr:uid="{00000000-0005-0000-0000-000003770000}"/>
    <cellStyle name="40 % - Markeringsfarve4 5 7 5" xfId="24116" xr:uid="{00000000-0005-0000-0000-000004770000}"/>
    <cellStyle name="40 % - Markeringsfarve4 5 7 6" xfId="39081" xr:uid="{00000000-0005-0000-0000-000005770000}"/>
    <cellStyle name="40 % - Markeringsfarve4 5 8" xfId="6356" xr:uid="{00000000-0005-0000-0000-000006770000}"/>
    <cellStyle name="40 % - Markeringsfarve4 5 8 2" xfId="9008" xr:uid="{00000000-0005-0000-0000-000007770000}"/>
    <cellStyle name="40 % - Markeringsfarve4 5 8 2 2" xfId="16872" xr:uid="{00000000-0005-0000-0000-000008770000}"/>
    <cellStyle name="40 % - Markeringsfarve4 5 8 2 2 2" xfId="33148" xr:uid="{00000000-0005-0000-0000-000009770000}"/>
    <cellStyle name="40 % - Markeringsfarve4 5 8 2 2 3" xfId="48107" xr:uid="{00000000-0005-0000-0000-00000A770000}"/>
    <cellStyle name="40 % - Markeringsfarve4 5 8 2 3" xfId="26146" xr:uid="{00000000-0005-0000-0000-00000B770000}"/>
    <cellStyle name="40 % - Markeringsfarve4 5 8 2 4" xfId="41110" xr:uid="{00000000-0005-0000-0000-00000C770000}"/>
    <cellStyle name="40 % - Markeringsfarve4 5 8 3" xfId="14841" xr:uid="{00000000-0005-0000-0000-00000D770000}"/>
    <cellStyle name="40 % - Markeringsfarve4 5 8 3 2" xfId="31120" xr:uid="{00000000-0005-0000-0000-00000E770000}"/>
    <cellStyle name="40 % - Markeringsfarve4 5 8 3 3" xfId="46080" xr:uid="{00000000-0005-0000-0000-00000F770000}"/>
    <cellStyle name="40 % - Markeringsfarve4 5 8 4" xfId="24118" xr:uid="{00000000-0005-0000-0000-000010770000}"/>
    <cellStyle name="40 % - Markeringsfarve4 5 8 5" xfId="39083" xr:uid="{00000000-0005-0000-0000-000011770000}"/>
    <cellStyle name="40 % - Markeringsfarve4 5 9" xfId="6357" xr:uid="{00000000-0005-0000-0000-000012770000}"/>
    <cellStyle name="40 % - Markeringsfarve4 5 9 2" xfId="10971" xr:uid="{00000000-0005-0000-0000-000013770000}"/>
    <cellStyle name="40 % - Markeringsfarve4 5 9 2 2" xfId="18802" xr:uid="{00000000-0005-0000-0000-000014770000}"/>
    <cellStyle name="40 % - Markeringsfarve4 5 9 2 2 2" xfId="35078" xr:uid="{00000000-0005-0000-0000-000015770000}"/>
    <cellStyle name="40 % - Markeringsfarve4 5 9 2 2 3" xfId="50037" xr:uid="{00000000-0005-0000-0000-000016770000}"/>
    <cellStyle name="40 % - Markeringsfarve4 5 9 2 3" xfId="28076" xr:uid="{00000000-0005-0000-0000-000017770000}"/>
    <cellStyle name="40 % - Markeringsfarve4 5 9 2 4" xfId="43040" xr:uid="{00000000-0005-0000-0000-000018770000}"/>
    <cellStyle name="40 % - Markeringsfarve4 5 9 3" xfId="14842" xr:uid="{00000000-0005-0000-0000-000019770000}"/>
    <cellStyle name="40 % - Markeringsfarve4 5 9 3 2" xfId="31121" xr:uid="{00000000-0005-0000-0000-00001A770000}"/>
    <cellStyle name="40 % - Markeringsfarve4 5 9 3 3" xfId="46081" xr:uid="{00000000-0005-0000-0000-00001B770000}"/>
    <cellStyle name="40 % - Markeringsfarve4 5 9 4" xfId="24119" xr:uid="{00000000-0005-0000-0000-00001C770000}"/>
    <cellStyle name="40 % - Markeringsfarve4 5 9 5" xfId="39084" xr:uid="{00000000-0005-0000-0000-00001D770000}"/>
    <cellStyle name="40 % - Markeringsfarve4 6" xfId="6358" xr:uid="{00000000-0005-0000-0000-00001E770000}"/>
    <cellStyle name="40 % - Markeringsfarve4 6 2" xfId="6359" xr:uid="{00000000-0005-0000-0000-00001F770000}"/>
    <cellStyle name="40 % - Markeringsfarve4 6 2 2" xfId="6360" xr:uid="{00000000-0005-0000-0000-000020770000}"/>
    <cellStyle name="40 % - Markeringsfarve4 6 2 2 2" xfId="9820" xr:uid="{00000000-0005-0000-0000-000021770000}"/>
    <cellStyle name="40 % - Markeringsfarve4 6 2 2 2 2" xfId="17675" xr:uid="{00000000-0005-0000-0000-000022770000}"/>
    <cellStyle name="40 % - Markeringsfarve4 6 2 2 2 2 2" xfId="33951" xr:uid="{00000000-0005-0000-0000-000023770000}"/>
    <cellStyle name="40 % - Markeringsfarve4 6 2 2 2 2 3" xfId="48910" xr:uid="{00000000-0005-0000-0000-000024770000}"/>
    <cellStyle name="40 % - Markeringsfarve4 6 2 2 2 3" xfId="26949" xr:uid="{00000000-0005-0000-0000-000025770000}"/>
    <cellStyle name="40 % - Markeringsfarve4 6 2 2 2 4" xfId="41913" xr:uid="{00000000-0005-0000-0000-000026770000}"/>
    <cellStyle name="40 % - Markeringsfarve4 6 2 2 3" xfId="14845" xr:uid="{00000000-0005-0000-0000-000027770000}"/>
    <cellStyle name="40 % - Markeringsfarve4 6 2 2 3 2" xfId="31124" xr:uid="{00000000-0005-0000-0000-000028770000}"/>
    <cellStyle name="40 % - Markeringsfarve4 6 2 2 3 3" xfId="46084" xr:uid="{00000000-0005-0000-0000-000029770000}"/>
    <cellStyle name="40 % - Markeringsfarve4 6 2 2 4" xfId="24122" xr:uid="{00000000-0005-0000-0000-00002A770000}"/>
    <cellStyle name="40 % - Markeringsfarve4 6 2 2 5" xfId="39087" xr:uid="{00000000-0005-0000-0000-00002B770000}"/>
    <cellStyle name="40 % - Markeringsfarve4 6 2 3" xfId="8403" xr:uid="{00000000-0005-0000-0000-00002C770000}"/>
    <cellStyle name="40 % - Markeringsfarve4 6 2 3 2" xfId="16273" xr:uid="{00000000-0005-0000-0000-00002D770000}"/>
    <cellStyle name="40 % - Markeringsfarve4 6 2 3 2 2" xfId="32549" xr:uid="{00000000-0005-0000-0000-00002E770000}"/>
    <cellStyle name="40 % - Markeringsfarve4 6 2 3 2 3" xfId="47508" xr:uid="{00000000-0005-0000-0000-00002F770000}"/>
    <cellStyle name="40 % - Markeringsfarve4 6 2 3 3" xfId="25547" xr:uid="{00000000-0005-0000-0000-000030770000}"/>
    <cellStyle name="40 % - Markeringsfarve4 6 2 3 4" xfId="40511" xr:uid="{00000000-0005-0000-0000-000031770000}"/>
    <cellStyle name="40 % - Markeringsfarve4 6 2 4" xfId="14844" xr:uid="{00000000-0005-0000-0000-000032770000}"/>
    <cellStyle name="40 % - Markeringsfarve4 6 2 4 2" xfId="31123" xr:uid="{00000000-0005-0000-0000-000033770000}"/>
    <cellStyle name="40 % - Markeringsfarve4 6 2 4 3" xfId="46083" xr:uid="{00000000-0005-0000-0000-000034770000}"/>
    <cellStyle name="40 % - Markeringsfarve4 6 2 5" xfId="24121" xr:uid="{00000000-0005-0000-0000-000035770000}"/>
    <cellStyle name="40 % - Markeringsfarve4 6 2 6" xfId="39086" xr:uid="{00000000-0005-0000-0000-000036770000}"/>
    <cellStyle name="40 % - Markeringsfarve4 6 3" xfId="6361" xr:uid="{00000000-0005-0000-0000-000037770000}"/>
    <cellStyle name="40 % - Markeringsfarve4 6 3 2" xfId="9051" xr:uid="{00000000-0005-0000-0000-000038770000}"/>
    <cellStyle name="40 % - Markeringsfarve4 6 3 2 2" xfId="16915" xr:uid="{00000000-0005-0000-0000-000039770000}"/>
    <cellStyle name="40 % - Markeringsfarve4 6 3 2 2 2" xfId="33191" xr:uid="{00000000-0005-0000-0000-00003A770000}"/>
    <cellStyle name="40 % - Markeringsfarve4 6 3 2 2 3" xfId="48150" xr:uid="{00000000-0005-0000-0000-00003B770000}"/>
    <cellStyle name="40 % - Markeringsfarve4 6 3 2 3" xfId="26189" xr:uid="{00000000-0005-0000-0000-00003C770000}"/>
    <cellStyle name="40 % - Markeringsfarve4 6 3 2 4" xfId="41153" xr:uid="{00000000-0005-0000-0000-00003D770000}"/>
    <cellStyle name="40 % - Markeringsfarve4 6 3 3" xfId="14846" xr:uid="{00000000-0005-0000-0000-00003E770000}"/>
    <cellStyle name="40 % - Markeringsfarve4 6 3 3 2" xfId="31125" xr:uid="{00000000-0005-0000-0000-00003F770000}"/>
    <cellStyle name="40 % - Markeringsfarve4 6 3 3 3" xfId="46085" xr:uid="{00000000-0005-0000-0000-000040770000}"/>
    <cellStyle name="40 % - Markeringsfarve4 6 3 4" xfId="24123" xr:uid="{00000000-0005-0000-0000-000041770000}"/>
    <cellStyle name="40 % - Markeringsfarve4 6 3 5" xfId="39088" xr:uid="{00000000-0005-0000-0000-000042770000}"/>
    <cellStyle name="40 % - Markeringsfarve4 6 4" xfId="6362" xr:uid="{00000000-0005-0000-0000-000043770000}"/>
    <cellStyle name="40 % - Markeringsfarve4 6 4 2" xfId="10837" xr:uid="{00000000-0005-0000-0000-000044770000}"/>
    <cellStyle name="40 % - Markeringsfarve4 6 4 2 2" xfId="18675" xr:uid="{00000000-0005-0000-0000-000045770000}"/>
    <cellStyle name="40 % - Markeringsfarve4 6 4 2 2 2" xfId="34951" xr:uid="{00000000-0005-0000-0000-000046770000}"/>
    <cellStyle name="40 % - Markeringsfarve4 6 4 2 2 3" xfId="49910" xr:uid="{00000000-0005-0000-0000-000047770000}"/>
    <cellStyle name="40 % - Markeringsfarve4 6 4 2 3" xfId="27949" xr:uid="{00000000-0005-0000-0000-000048770000}"/>
    <cellStyle name="40 % - Markeringsfarve4 6 4 2 4" xfId="42913" xr:uid="{00000000-0005-0000-0000-000049770000}"/>
    <cellStyle name="40 % - Markeringsfarve4 6 4 3" xfId="14847" xr:uid="{00000000-0005-0000-0000-00004A770000}"/>
    <cellStyle name="40 % - Markeringsfarve4 6 4 3 2" xfId="31126" xr:uid="{00000000-0005-0000-0000-00004B770000}"/>
    <cellStyle name="40 % - Markeringsfarve4 6 4 3 3" xfId="46086" xr:uid="{00000000-0005-0000-0000-00004C770000}"/>
    <cellStyle name="40 % - Markeringsfarve4 6 4 4" xfId="24124" xr:uid="{00000000-0005-0000-0000-00004D770000}"/>
    <cellStyle name="40 % - Markeringsfarve4 6 4 5" xfId="39089" xr:uid="{00000000-0005-0000-0000-00004E770000}"/>
    <cellStyle name="40 % - Markeringsfarve4 6 5" xfId="8178" xr:uid="{00000000-0005-0000-0000-00004F770000}"/>
    <cellStyle name="40 % - Markeringsfarve4 6 5 2" xfId="16043" xr:uid="{00000000-0005-0000-0000-000050770000}"/>
    <cellStyle name="40 % - Markeringsfarve4 6 5 2 2" xfId="32319" xr:uid="{00000000-0005-0000-0000-000051770000}"/>
    <cellStyle name="40 % - Markeringsfarve4 6 5 2 3" xfId="47278" xr:uid="{00000000-0005-0000-0000-000052770000}"/>
    <cellStyle name="40 % - Markeringsfarve4 6 5 3" xfId="25317" xr:uid="{00000000-0005-0000-0000-000053770000}"/>
    <cellStyle name="40 % - Markeringsfarve4 6 5 4" xfId="40281" xr:uid="{00000000-0005-0000-0000-000054770000}"/>
    <cellStyle name="40 % - Markeringsfarve4 6 6" xfId="14843" xr:uid="{00000000-0005-0000-0000-000055770000}"/>
    <cellStyle name="40 % - Markeringsfarve4 6 6 2" xfId="31122" xr:uid="{00000000-0005-0000-0000-000056770000}"/>
    <cellStyle name="40 % - Markeringsfarve4 6 6 3" xfId="46082" xr:uid="{00000000-0005-0000-0000-000057770000}"/>
    <cellStyle name="40 % - Markeringsfarve4 6 7" xfId="24120" xr:uid="{00000000-0005-0000-0000-000058770000}"/>
    <cellStyle name="40 % - Markeringsfarve4 6 8" xfId="39085" xr:uid="{00000000-0005-0000-0000-000059770000}"/>
    <cellStyle name="40 % - Markeringsfarve4 7" xfId="6363" xr:uid="{00000000-0005-0000-0000-00005A770000}"/>
    <cellStyle name="40 % - Markeringsfarve4 7 2" xfId="6364" xr:uid="{00000000-0005-0000-0000-00005B770000}"/>
    <cellStyle name="40 % - Markeringsfarve4 7 2 2" xfId="6365" xr:uid="{00000000-0005-0000-0000-00005C770000}"/>
    <cellStyle name="40 % - Markeringsfarve4 7 2 2 2" xfId="10012" xr:uid="{00000000-0005-0000-0000-00005D770000}"/>
    <cellStyle name="40 % - Markeringsfarve4 7 2 2 2 2" xfId="17867" xr:uid="{00000000-0005-0000-0000-00005E770000}"/>
    <cellStyle name="40 % - Markeringsfarve4 7 2 2 2 2 2" xfId="34143" xr:uid="{00000000-0005-0000-0000-00005F770000}"/>
    <cellStyle name="40 % - Markeringsfarve4 7 2 2 2 2 3" xfId="49102" xr:uid="{00000000-0005-0000-0000-000060770000}"/>
    <cellStyle name="40 % - Markeringsfarve4 7 2 2 2 3" xfId="27141" xr:uid="{00000000-0005-0000-0000-000061770000}"/>
    <cellStyle name="40 % - Markeringsfarve4 7 2 2 2 4" xfId="42105" xr:uid="{00000000-0005-0000-0000-000062770000}"/>
    <cellStyle name="40 % - Markeringsfarve4 7 2 2 3" xfId="14850" xr:uid="{00000000-0005-0000-0000-000063770000}"/>
    <cellStyle name="40 % - Markeringsfarve4 7 2 2 3 2" xfId="31129" xr:uid="{00000000-0005-0000-0000-000064770000}"/>
    <cellStyle name="40 % - Markeringsfarve4 7 2 2 3 3" xfId="46089" xr:uid="{00000000-0005-0000-0000-000065770000}"/>
    <cellStyle name="40 % - Markeringsfarve4 7 2 2 4" xfId="24127" xr:uid="{00000000-0005-0000-0000-000066770000}"/>
    <cellStyle name="40 % - Markeringsfarve4 7 2 2 5" xfId="39092" xr:uid="{00000000-0005-0000-0000-000067770000}"/>
    <cellStyle name="40 % - Markeringsfarve4 7 2 3" xfId="8559" xr:uid="{00000000-0005-0000-0000-000068770000}"/>
    <cellStyle name="40 % - Markeringsfarve4 7 2 3 2" xfId="16429" xr:uid="{00000000-0005-0000-0000-000069770000}"/>
    <cellStyle name="40 % - Markeringsfarve4 7 2 3 2 2" xfId="32705" xr:uid="{00000000-0005-0000-0000-00006A770000}"/>
    <cellStyle name="40 % - Markeringsfarve4 7 2 3 2 3" xfId="47664" xr:uid="{00000000-0005-0000-0000-00006B770000}"/>
    <cellStyle name="40 % - Markeringsfarve4 7 2 3 3" xfId="25703" xr:uid="{00000000-0005-0000-0000-00006C770000}"/>
    <cellStyle name="40 % - Markeringsfarve4 7 2 3 4" xfId="40667" xr:uid="{00000000-0005-0000-0000-00006D770000}"/>
    <cellStyle name="40 % - Markeringsfarve4 7 2 4" xfId="14849" xr:uid="{00000000-0005-0000-0000-00006E770000}"/>
    <cellStyle name="40 % - Markeringsfarve4 7 2 4 2" xfId="31128" xr:uid="{00000000-0005-0000-0000-00006F770000}"/>
    <cellStyle name="40 % - Markeringsfarve4 7 2 4 3" xfId="46088" xr:uid="{00000000-0005-0000-0000-000070770000}"/>
    <cellStyle name="40 % - Markeringsfarve4 7 2 5" xfId="24126" xr:uid="{00000000-0005-0000-0000-000071770000}"/>
    <cellStyle name="40 % - Markeringsfarve4 7 2 6" xfId="39091" xr:uid="{00000000-0005-0000-0000-000072770000}"/>
    <cellStyle name="40 % - Markeringsfarve4 7 3" xfId="6366" xr:uid="{00000000-0005-0000-0000-000073770000}"/>
    <cellStyle name="40 % - Markeringsfarve4 7 3 2" xfId="9243" xr:uid="{00000000-0005-0000-0000-000074770000}"/>
    <cellStyle name="40 % - Markeringsfarve4 7 3 2 2" xfId="17107" xr:uid="{00000000-0005-0000-0000-000075770000}"/>
    <cellStyle name="40 % - Markeringsfarve4 7 3 2 2 2" xfId="33383" xr:uid="{00000000-0005-0000-0000-000076770000}"/>
    <cellStyle name="40 % - Markeringsfarve4 7 3 2 2 3" xfId="48342" xr:uid="{00000000-0005-0000-0000-000077770000}"/>
    <cellStyle name="40 % - Markeringsfarve4 7 3 2 3" xfId="26381" xr:uid="{00000000-0005-0000-0000-000078770000}"/>
    <cellStyle name="40 % - Markeringsfarve4 7 3 2 4" xfId="41345" xr:uid="{00000000-0005-0000-0000-000079770000}"/>
    <cellStyle name="40 % - Markeringsfarve4 7 3 3" xfId="14851" xr:uid="{00000000-0005-0000-0000-00007A770000}"/>
    <cellStyle name="40 % - Markeringsfarve4 7 3 3 2" xfId="31130" xr:uid="{00000000-0005-0000-0000-00007B770000}"/>
    <cellStyle name="40 % - Markeringsfarve4 7 3 3 3" xfId="46090" xr:uid="{00000000-0005-0000-0000-00007C770000}"/>
    <cellStyle name="40 % - Markeringsfarve4 7 3 4" xfId="24128" xr:uid="{00000000-0005-0000-0000-00007D770000}"/>
    <cellStyle name="40 % - Markeringsfarve4 7 3 5" xfId="39093" xr:uid="{00000000-0005-0000-0000-00007E770000}"/>
    <cellStyle name="40 % - Markeringsfarve4 7 4" xfId="6367" xr:uid="{00000000-0005-0000-0000-00007F770000}"/>
    <cellStyle name="40 % - Markeringsfarve4 7 4 2" xfId="10487" xr:uid="{00000000-0005-0000-0000-000080770000}"/>
    <cellStyle name="40 % - Markeringsfarve4 7 4 2 2" xfId="18336" xr:uid="{00000000-0005-0000-0000-000081770000}"/>
    <cellStyle name="40 % - Markeringsfarve4 7 4 2 2 2" xfId="34612" xr:uid="{00000000-0005-0000-0000-000082770000}"/>
    <cellStyle name="40 % - Markeringsfarve4 7 4 2 2 3" xfId="49571" xr:uid="{00000000-0005-0000-0000-000083770000}"/>
    <cellStyle name="40 % - Markeringsfarve4 7 4 2 3" xfId="27610" xr:uid="{00000000-0005-0000-0000-000084770000}"/>
    <cellStyle name="40 % - Markeringsfarve4 7 4 2 4" xfId="42574" xr:uid="{00000000-0005-0000-0000-000085770000}"/>
    <cellStyle name="40 % - Markeringsfarve4 7 4 3" xfId="14852" xr:uid="{00000000-0005-0000-0000-000086770000}"/>
    <cellStyle name="40 % - Markeringsfarve4 7 4 3 2" xfId="31131" xr:uid="{00000000-0005-0000-0000-000087770000}"/>
    <cellStyle name="40 % - Markeringsfarve4 7 4 3 3" xfId="46091" xr:uid="{00000000-0005-0000-0000-000088770000}"/>
    <cellStyle name="40 % - Markeringsfarve4 7 4 4" xfId="24129" xr:uid="{00000000-0005-0000-0000-000089770000}"/>
    <cellStyle name="40 % - Markeringsfarve4 7 4 5" xfId="39094" xr:uid="{00000000-0005-0000-0000-00008A770000}"/>
    <cellStyle name="40 % - Markeringsfarve4 7 5" xfId="8179" xr:uid="{00000000-0005-0000-0000-00008B770000}"/>
    <cellStyle name="40 % - Markeringsfarve4 7 5 2" xfId="16044" xr:uid="{00000000-0005-0000-0000-00008C770000}"/>
    <cellStyle name="40 % - Markeringsfarve4 7 5 2 2" xfId="32320" xr:uid="{00000000-0005-0000-0000-00008D770000}"/>
    <cellStyle name="40 % - Markeringsfarve4 7 5 2 3" xfId="47279" xr:uid="{00000000-0005-0000-0000-00008E770000}"/>
    <cellStyle name="40 % - Markeringsfarve4 7 5 3" xfId="25318" xr:uid="{00000000-0005-0000-0000-00008F770000}"/>
    <cellStyle name="40 % - Markeringsfarve4 7 5 4" xfId="40282" xr:uid="{00000000-0005-0000-0000-000090770000}"/>
    <cellStyle name="40 % - Markeringsfarve4 7 6" xfId="14848" xr:uid="{00000000-0005-0000-0000-000091770000}"/>
    <cellStyle name="40 % - Markeringsfarve4 7 6 2" xfId="31127" xr:uid="{00000000-0005-0000-0000-000092770000}"/>
    <cellStyle name="40 % - Markeringsfarve4 7 6 3" xfId="46087" xr:uid="{00000000-0005-0000-0000-000093770000}"/>
    <cellStyle name="40 % - Markeringsfarve4 7 7" xfId="24125" xr:uid="{00000000-0005-0000-0000-000094770000}"/>
    <cellStyle name="40 % - Markeringsfarve4 7 8" xfId="39090" xr:uid="{00000000-0005-0000-0000-000095770000}"/>
    <cellStyle name="40 % - Markeringsfarve4 8" xfId="6368" xr:uid="{00000000-0005-0000-0000-000096770000}"/>
    <cellStyle name="40 % - Markeringsfarve4 8 2" xfId="6369" xr:uid="{00000000-0005-0000-0000-000097770000}"/>
    <cellStyle name="40 % - Markeringsfarve4 8 2 2" xfId="6370" xr:uid="{00000000-0005-0000-0000-000098770000}"/>
    <cellStyle name="40 % - Markeringsfarve4 8 2 2 2" xfId="10058" xr:uid="{00000000-0005-0000-0000-000099770000}"/>
    <cellStyle name="40 % - Markeringsfarve4 8 2 2 2 2" xfId="17913" xr:uid="{00000000-0005-0000-0000-00009A770000}"/>
    <cellStyle name="40 % - Markeringsfarve4 8 2 2 2 2 2" xfId="34189" xr:uid="{00000000-0005-0000-0000-00009B770000}"/>
    <cellStyle name="40 % - Markeringsfarve4 8 2 2 2 2 3" xfId="49148" xr:uid="{00000000-0005-0000-0000-00009C770000}"/>
    <cellStyle name="40 % - Markeringsfarve4 8 2 2 2 3" xfId="27187" xr:uid="{00000000-0005-0000-0000-00009D770000}"/>
    <cellStyle name="40 % - Markeringsfarve4 8 2 2 2 4" xfId="42151" xr:uid="{00000000-0005-0000-0000-00009E770000}"/>
    <cellStyle name="40 % - Markeringsfarve4 8 2 2 3" xfId="14855" xr:uid="{00000000-0005-0000-0000-00009F770000}"/>
    <cellStyle name="40 % - Markeringsfarve4 8 2 2 3 2" xfId="31134" xr:uid="{00000000-0005-0000-0000-0000A0770000}"/>
    <cellStyle name="40 % - Markeringsfarve4 8 2 2 3 3" xfId="46094" xr:uid="{00000000-0005-0000-0000-0000A1770000}"/>
    <cellStyle name="40 % - Markeringsfarve4 8 2 2 4" xfId="24132" xr:uid="{00000000-0005-0000-0000-0000A2770000}"/>
    <cellStyle name="40 % - Markeringsfarve4 8 2 2 5" xfId="39097" xr:uid="{00000000-0005-0000-0000-0000A3770000}"/>
    <cellStyle name="40 % - Markeringsfarve4 8 2 3" xfId="8605" xr:uid="{00000000-0005-0000-0000-0000A4770000}"/>
    <cellStyle name="40 % - Markeringsfarve4 8 2 3 2" xfId="16472" xr:uid="{00000000-0005-0000-0000-0000A5770000}"/>
    <cellStyle name="40 % - Markeringsfarve4 8 2 3 2 2" xfId="32748" xr:uid="{00000000-0005-0000-0000-0000A6770000}"/>
    <cellStyle name="40 % - Markeringsfarve4 8 2 3 2 3" xfId="47707" xr:uid="{00000000-0005-0000-0000-0000A7770000}"/>
    <cellStyle name="40 % - Markeringsfarve4 8 2 3 3" xfId="25746" xr:uid="{00000000-0005-0000-0000-0000A8770000}"/>
    <cellStyle name="40 % - Markeringsfarve4 8 2 3 4" xfId="40710" xr:uid="{00000000-0005-0000-0000-0000A9770000}"/>
    <cellStyle name="40 % - Markeringsfarve4 8 2 4" xfId="14854" xr:uid="{00000000-0005-0000-0000-0000AA770000}"/>
    <cellStyle name="40 % - Markeringsfarve4 8 2 4 2" xfId="31133" xr:uid="{00000000-0005-0000-0000-0000AB770000}"/>
    <cellStyle name="40 % - Markeringsfarve4 8 2 4 3" xfId="46093" xr:uid="{00000000-0005-0000-0000-0000AC770000}"/>
    <cellStyle name="40 % - Markeringsfarve4 8 2 5" xfId="24131" xr:uid="{00000000-0005-0000-0000-0000AD770000}"/>
    <cellStyle name="40 % - Markeringsfarve4 8 2 6" xfId="39096" xr:uid="{00000000-0005-0000-0000-0000AE770000}"/>
    <cellStyle name="40 % - Markeringsfarve4 8 3" xfId="6371" xr:uid="{00000000-0005-0000-0000-0000AF770000}"/>
    <cellStyle name="40 % - Markeringsfarve4 8 3 2" xfId="9335" xr:uid="{00000000-0005-0000-0000-0000B0770000}"/>
    <cellStyle name="40 % - Markeringsfarve4 8 3 2 2" xfId="17198" xr:uid="{00000000-0005-0000-0000-0000B1770000}"/>
    <cellStyle name="40 % - Markeringsfarve4 8 3 2 2 2" xfId="33474" xr:uid="{00000000-0005-0000-0000-0000B2770000}"/>
    <cellStyle name="40 % - Markeringsfarve4 8 3 2 2 3" xfId="48433" xr:uid="{00000000-0005-0000-0000-0000B3770000}"/>
    <cellStyle name="40 % - Markeringsfarve4 8 3 2 3" xfId="26472" xr:uid="{00000000-0005-0000-0000-0000B4770000}"/>
    <cellStyle name="40 % - Markeringsfarve4 8 3 2 4" xfId="41436" xr:uid="{00000000-0005-0000-0000-0000B5770000}"/>
    <cellStyle name="40 % - Markeringsfarve4 8 3 3" xfId="14856" xr:uid="{00000000-0005-0000-0000-0000B6770000}"/>
    <cellStyle name="40 % - Markeringsfarve4 8 3 3 2" xfId="31135" xr:uid="{00000000-0005-0000-0000-0000B7770000}"/>
    <cellStyle name="40 % - Markeringsfarve4 8 3 3 3" xfId="46095" xr:uid="{00000000-0005-0000-0000-0000B8770000}"/>
    <cellStyle name="40 % - Markeringsfarve4 8 3 4" xfId="24133" xr:uid="{00000000-0005-0000-0000-0000B9770000}"/>
    <cellStyle name="40 % - Markeringsfarve4 8 3 5" xfId="39098" xr:uid="{00000000-0005-0000-0000-0000BA770000}"/>
    <cellStyle name="40 % - Markeringsfarve4 8 4" xfId="6372" xr:uid="{00000000-0005-0000-0000-0000BB770000}"/>
    <cellStyle name="40 % - Markeringsfarve4 8 4 2" xfId="10796" xr:uid="{00000000-0005-0000-0000-0000BC770000}"/>
    <cellStyle name="40 % - Markeringsfarve4 8 4 2 2" xfId="18638" xr:uid="{00000000-0005-0000-0000-0000BD770000}"/>
    <cellStyle name="40 % - Markeringsfarve4 8 4 2 2 2" xfId="34914" xr:uid="{00000000-0005-0000-0000-0000BE770000}"/>
    <cellStyle name="40 % - Markeringsfarve4 8 4 2 2 3" xfId="49873" xr:uid="{00000000-0005-0000-0000-0000BF770000}"/>
    <cellStyle name="40 % - Markeringsfarve4 8 4 2 3" xfId="27912" xr:uid="{00000000-0005-0000-0000-0000C0770000}"/>
    <cellStyle name="40 % - Markeringsfarve4 8 4 2 4" xfId="42876" xr:uid="{00000000-0005-0000-0000-0000C1770000}"/>
    <cellStyle name="40 % - Markeringsfarve4 8 4 3" xfId="14857" xr:uid="{00000000-0005-0000-0000-0000C2770000}"/>
    <cellStyle name="40 % - Markeringsfarve4 8 4 3 2" xfId="31136" xr:uid="{00000000-0005-0000-0000-0000C3770000}"/>
    <cellStyle name="40 % - Markeringsfarve4 8 4 3 3" xfId="46096" xr:uid="{00000000-0005-0000-0000-0000C4770000}"/>
    <cellStyle name="40 % - Markeringsfarve4 8 4 4" xfId="24134" xr:uid="{00000000-0005-0000-0000-0000C5770000}"/>
    <cellStyle name="40 % - Markeringsfarve4 8 4 5" xfId="39099" xr:uid="{00000000-0005-0000-0000-0000C6770000}"/>
    <cellStyle name="40 % - Markeringsfarve4 8 5" xfId="8180" xr:uid="{00000000-0005-0000-0000-0000C7770000}"/>
    <cellStyle name="40 % - Markeringsfarve4 8 5 2" xfId="16045" xr:uid="{00000000-0005-0000-0000-0000C8770000}"/>
    <cellStyle name="40 % - Markeringsfarve4 8 5 2 2" xfId="32321" xr:uid="{00000000-0005-0000-0000-0000C9770000}"/>
    <cellStyle name="40 % - Markeringsfarve4 8 5 2 3" xfId="47280" xr:uid="{00000000-0005-0000-0000-0000CA770000}"/>
    <cellStyle name="40 % - Markeringsfarve4 8 5 3" xfId="25319" xr:uid="{00000000-0005-0000-0000-0000CB770000}"/>
    <cellStyle name="40 % - Markeringsfarve4 8 5 4" xfId="40283" xr:uid="{00000000-0005-0000-0000-0000CC770000}"/>
    <cellStyle name="40 % - Markeringsfarve4 8 6" xfId="14853" xr:uid="{00000000-0005-0000-0000-0000CD770000}"/>
    <cellStyle name="40 % - Markeringsfarve4 8 6 2" xfId="31132" xr:uid="{00000000-0005-0000-0000-0000CE770000}"/>
    <cellStyle name="40 % - Markeringsfarve4 8 6 3" xfId="46092" xr:uid="{00000000-0005-0000-0000-0000CF770000}"/>
    <cellStyle name="40 % - Markeringsfarve4 8 7" xfId="24130" xr:uid="{00000000-0005-0000-0000-0000D0770000}"/>
    <cellStyle name="40 % - Markeringsfarve4 8 8" xfId="39095" xr:uid="{00000000-0005-0000-0000-0000D1770000}"/>
    <cellStyle name="40 % - Markeringsfarve4 9" xfId="6373" xr:uid="{00000000-0005-0000-0000-0000D2770000}"/>
    <cellStyle name="40 % - Markeringsfarve4 9 2" xfId="6374" xr:uid="{00000000-0005-0000-0000-0000D3770000}"/>
    <cellStyle name="40 % - Markeringsfarve4 9 2 2" xfId="6375" xr:uid="{00000000-0005-0000-0000-0000D4770000}"/>
    <cellStyle name="40 % - Markeringsfarve4 9 2 2 2" xfId="10175" xr:uid="{00000000-0005-0000-0000-0000D5770000}"/>
    <cellStyle name="40 % - Markeringsfarve4 9 2 2 2 2" xfId="18030" xr:uid="{00000000-0005-0000-0000-0000D6770000}"/>
    <cellStyle name="40 % - Markeringsfarve4 9 2 2 2 2 2" xfId="34306" xr:uid="{00000000-0005-0000-0000-0000D7770000}"/>
    <cellStyle name="40 % - Markeringsfarve4 9 2 2 2 2 3" xfId="49265" xr:uid="{00000000-0005-0000-0000-0000D8770000}"/>
    <cellStyle name="40 % - Markeringsfarve4 9 2 2 2 3" xfId="27304" xr:uid="{00000000-0005-0000-0000-0000D9770000}"/>
    <cellStyle name="40 % - Markeringsfarve4 9 2 2 2 4" xfId="42268" xr:uid="{00000000-0005-0000-0000-0000DA770000}"/>
    <cellStyle name="40 % - Markeringsfarve4 9 2 2 3" xfId="14860" xr:uid="{00000000-0005-0000-0000-0000DB770000}"/>
    <cellStyle name="40 % - Markeringsfarve4 9 2 2 3 2" xfId="31139" xr:uid="{00000000-0005-0000-0000-0000DC770000}"/>
    <cellStyle name="40 % - Markeringsfarve4 9 2 2 3 3" xfId="46099" xr:uid="{00000000-0005-0000-0000-0000DD770000}"/>
    <cellStyle name="40 % - Markeringsfarve4 9 2 2 4" xfId="24137" xr:uid="{00000000-0005-0000-0000-0000DE770000}"/>
    <cellStyle name="40 % - Markeringsfarve4 9 2 2 5" xfId="39102" xr:uid="{00000000-0005-0000-0000-0000DF770000}"/>
    <cellStyle name="40 % - Markeringsfarve4 9 2 3" xfId="8704" xr:uid="{00000000-0005-0000-0000-0000E0770000}"/>
    <cellStyle name="40 % - Markeringsfarve4 9 2 3 2" xfId="16571" xr:uid="{00000000-0005-0000-0000-0000E1770000}"/>
    <cellStyle name="40 % - Markeringsfarve4 9 2 3 2 2" xfId="32847" xr:uid="{00000000-0005-0000-0000-0000E2770000}"/>
    <cellStyle name="40 % - Markeringsfarve4 9 2 3 2 3" xfId="47806" xr:uid="{00000000-0005-0000-0000-0000E3770000}"/>
    <cellStyle name="40 % - Markeringsfarve4 9 2 3 3" xfId="25845" xr:uid="{00000000-0005-0000-0000-0000E4770000}"/>
    <cellStyle name="40 % - Markeringsfarve4 9 2 3 4" xfId="40809" xr:uid="{00000000-0005-0000-0000-0000E5770000}"/>
    <cellStyle name="40 % - Markeringsfarve4 9 2 4" xfId="14859" xr:uid="{00000000-0005-0000-0000-0000E6770000}"/>
    <cellStyle name="40 % - Markeringsfarve4 9 2 4 2" xfId="31138" xr:uid="{00000000-0005-0000-0000-0000E7770000}"/>
    <cellStyle name="40 % - Markeringsfarve4 9 2 4 3" xfId="46098" xr:uid="{00000000-0005-0000-0000-0000E8770000}"/>
    <cellStyle name="40 % - Markeringsfarve4 9 2 5" xfId="24136" xr:uid="{00000000-0005-0000-0000-0000E9770000}"/>
    <cellStyle name="40 % - Markeringsfarve4 9 2 6" xfId="39101" xr:uid="{00000000-0005-0000-0000-0000EA770000}"/>
    <cellStyle name="40 % - Markeringsfarve4 9 3" xfId="6376" xr:uid="{00000000-0005-0000-0000-0000EB770000}"/>
    <cellStyle name="40 % - Markeringsfarve4 9 3 2" xfId="9452" xr:uid="{00000000-0005-0000-0000-0000EC770000}"/>
    <cellStyle name="40 % - Markeringsfarve4 9 3 2 2" xfId="17315" xr:uid="{00000000-0005-0000-0000-0000ED770000}"/>
    <cellStyle name="40 % - Markeringsfarve4 9 3 2 2 2" xfId="33591" xr:uid="{00000000-0005-0000-0000-0000EE770000}"/>
    <cellStyle name="40 % - Markeringsfarve4 9 3 2 2 3" xfId="48550" xr:uid="{00000000-0005-0000-0000-0000EF770000}"/>
    <cellStyle name="40 % - Markeringsfarve4 9 3 2 3" xfId="26589" xr:uid="{00000000-0005-0000-0000-0000F0770000}"/>
    <cellStyle name="40 % - Markeringsfarve4 9 3 2 4" xfId="41553" xr:uid="{00000000-0005-0000-0000-0000F1770000}"/>
    <cellStyle name="40 % - Markeringsfarve4 9 3 3" xfId="14861" xr:uid="{00000000-0005-0000-0000-0000F2770000}"/>
    <cellStyle name="40 % - Markeringsfarve4 9 3 3 2" xfId="31140" xr:uid="{00000000-0005-0000-0000-0000F3770000}"/>
    <cellStyle name="40 % - Markeringsfarve4 9 3 3 3" xfId="46100" xr:uid="{00000000-0005-0000-0000-0000F4770000}"/>
    <cellStyle name="40 % - Markeringsfarve4 9 3 4" xfId="24138" xr:uid="{00000000-0005-0000-0000-0000F5770000}"/>
    <cellStyle name="40 % - Markeringsfarve4 9 3 5" xfId="39103" xr:uid="{00000000-0005-0000-0000-0000F6770000}"/>
    <cellStyle name="40 % - Markeringsfarve4 9 4" xfId="6377" xr:uid="{00000000-0005-0000-0000-0000F7770000}"/>
    <cellStyle name="40 % - Markeringsfarve4 9 4 2" xfId="10447" xr:uid="{00000000-0005-0000-0000-0000F8770000}"/>
    <cellStyle name="40 % - Markeringsfarve4 9 4 2 2" xfId="18299" xr:uid="{00000000-0005-0000-0000-0000F9770000}"/>
    <cellStyle name="40 % - Markeringsfarve4 9 4 2 2 2" xfId="34575" xr:uid="{00000000-0005-0000-0000-0000FA770000}"/>
    <cellStyle name="40 % - Markeringsfarve4 9 4 2 2 3" xfId="49534" xr:uid="{00000000-0005-0000-0000-0000FB770000}"/>
    <cellStyle name="40 % - Markeringsfarve4 9 4 2 3" xfId="27573" xr:uid="{00000000-0005-0000-0000-0000FC770000}"/>
    <cellStyle name="40 % - Markeringsfarve4 9 4 2 4" xfId="42537" xr:uid="{00000000-0005-0000-0000-0000FD770000}"/>
    <cellStyle name="40 % - Markeringsfarve4 9 4 3" xfId="14862" xr:uid="{00000000-0005-0000-0000-0000FE770000}"/>
    <cellStyle name="40 % - Markeringsfarve4 9 4 3 2" xfId="31141" xr:uid="{00000000-0005-0000-0000-0000FF770000}"/>
    <cellStyle name="40 % - Markeringsfarve4 9 4 3 3" xfId="46101" xr:uid="{00000000-0005-0000-0000-000000780000}"/>
    <cellStyle name="40 % - Markeringsfarve4 9 4 4" xfId="24139" xr:uid="{00000000-0005-0000-0000-000001780000}"/>
    <cellStyle name="40 % - Markeringsfarve4 9 4 5" xfId="39104" xr:uid="{00000000-0005-0000-0000-000002780000}"/>
    <cellStyle name="40 % - Markeringsfarve4 9 5" xfId="8181" xr:uid="{00000000-0005-0000-0000-000003780000}"/>
    <cellStyle name="40 % - Markeringsfarve4 9 5 2" xfId="16046" xr:uid="{00000000-0005-0000-0000-000004780000}"/>
    <cellStyle name="40 % - Markeringsfarve4 9 5 2 2" xfId="32322" xr:uid="{00000000-0005-0000-0000-000005780000}"/>
    <cellStyle name="40 % - Markeringsfarve4 9 5 2 3" xfId="47281" xr:uid="{00000000-0005-0000-0000-000006780000}"/>
    <cellStyle name="40 % - Markeringsfarve4 9 5 3" xfId="25320" xr:uid="{00000000-0005-0000-0000-000007780000}"/>
    <cellStyle name="40 % - Markeringsfarve4 9 5 4" xfId="40284" xr:uid="{00000000-0005-0000-0000-000008780000}"/>
    <cellStyle name="40 % - Markeringsfarve4 9 6" xfId="14858" xr:uid="{00000000-0005-0000-0000-000009780000}"/>
    <cellStyle name="40 % - Markeringsfarve4 9 6 2" xfId="31137" xr:uid="{00000000-0005-0000-0000-00000A780000}"/>
    <cellStyle name="40 % - Markeringsfarve4 9 6 3" xfId="46097" xr:uid="{00000000-0005-0000-0000-00000B780000}"/>
    <cellStyle name="40 % - Markeringsfarve4 9 7" xfId="24135" xr:uid="{00000000-0005-0000-0000-00000C780000}"/>
    <cellStyle name="40 % - Markeringsfarve4 9 8" xfId="39100" xr:uid="{00000000-0005-0000-0000-00000D780000}"/>
    <cellStyle name="40 % - Markeringsfarve5 10" xfId="6379" xr:uid="{00000000-0005-0000-0000-00000E780000}"/>
    <cellStyle name="40 % - Markeringsfarve5 10 2" xfId="6380" xr:uid="{00000000-0005-0000-0000-00000F780000}"/>
    <cellStyle name="40 % - Markeringsfarve5 10 2 2" xfId="6381" xr:uid="{00000000-0005-0000-0000-000010780000}"/>
    <cellStyle name="40 % - Markeringsfarve5 10 2 2 2" xfId="10375" xr:uid="{00000000-0005-0000-0000-000011780000}"/>
    <cellStyle name="40 % - Markeringsfarve5 10 2 2 2 2" xfId="18230" xr:uid="{00000000-0005-0000-0000-000012780000}"/>
    <cellStyle name="40 % - Markeringsfarve5 10 2 2 2 2 2" xfId="34506" xr:uid="{00000000-0005-0000-0000-000013780000}"/>
    <cellStyle name="40 % - Markeringsfarve5 10 2 2 2 2 3" xfId="49465" xr:uid="{00000000-0005-0000-0000-000014780000}"/>
    <cellStyle name="40 % - Markeringsfarve5 10 2 2 2 3" xfId="27504" xr:uid="{00000000-0005-0000-0000-000015780000}"/>
    <cellStyle name="40 % - Markeringsfarve5 10 2 2 2 4" xfId="42468" xr:uid="{00000000-0005-0000-0000-000016780000}"/>
    <cellStyle name="40 % - Markeringsfarve5 10 2 2 3" xfId="14866" xr:uid="{00000000-0005-0000-0000-000017780000}"/>
    <cellStyle name="40 % - Markeringsfarve5 10 2 2 3 2" xfId="31145" xr:uid="{00000000-0005-0000-0000-000018780000}"/>
    <cellStyle name="40 % - Markeringsfarve5 10 2 2 3 3" xfId="46105" xr:uid="{00000000-0005-0000-0000-000019780000}"/>
    <cellStyle name="40 % - Markeringsfarve5 10 2 2 4" xfId="24143" xr:uid="{00000000-0005-0000-0000-00001A780000}"/>
    <cellStyle name="40 % - Markeringsfarve5 10 2 2 5" xfId="39108" xr:uid="{00000000-0005-0000-0000-00001B780000}"/>
    <cellStyle name="40 % - Markeringsfarve5 10 2 3" xfId="8869" xr:uid="{00000000-0005-0000-0000-00001C780000}"/>
    <cellStyle name="40 % - Markeringsfarve5 10 2 3 2" xfId="16736" xr:uid="{00000000-0005-0000-0000-00001D780000}"/>
    <cellStyle name="40 % - Markeringsfarve5 10 2 3 2 2" xfId="33012" xr:uid="{00000000-0005-0000-0000-00001E780000}"/>
    <cellStyle name="40 % - Markeringsfarve5 10 2 3 2 3" xfId="47971" xr:uid="{00000000-0005-0000-0000-00001F780000}"/>
    <cellStyle name="40 % - Markeringsfarve5 10 2 3 3" xfId="26010" xr:uid="{00000000-0005-0000-0000-000020780000}"/>
    <cellStyle name="40 % - Markeringsfarve5 10 2 3 4" xfId="40974" xr:uid="{00000000-0005-0000-0000-000021780000}"/>
    <cellStyle name="40 % - Markeringsfarve5 10 2 4" xfId="14865" xr:uid="{00000000-0005-0000-0000-000022780000}"/>
    <cellStyle name="40 % - Markeringsfarve5 10 2 4 2" xfId="31144" xr:uid="{00000000-0005-0000-0000-000023780000}"/>
    <cellStyle name="40 % - Markeringsfarve5 10 2 4 3" xfId="46104" xr:uid="{00000000-0005-0000-0000-000024780000}"/>
    <cellStyle name="40 % - Markeringsfarve5 10 2 5" xfId="24142" xr:uid="{00000000-0005-0000-0000-000025780000}"/>
    <cellStyle name="40 % - Markeringsfarve5 10 2 6" xfId="39107" xr:uid="{00000000-0005-0000-0000-000026780000}"/>
    <cellStyle name="40 % - Markeringsfarve5 10 3" xfId="6382" xr:uid="{00000000-0005-0000-0000-000027780000}"/>
    <cellStyle name="40 % - Markeringsfarve5 10 3 2" xfId="9653" xr:uid="{00000000-0005-0000-0000-000028780000}"/>
    <cellStyle name="40 % - Markeringsfarve5 10 3 2 2" xfId="17516" xr:uid="{00000000-0005-0000-0000-000029780000}"/>
    <cellStyle name="40 % - Markeringsfarve5 10 3 2 2 2" xfId="33792" xr:uid="{00000000-0005-0000-0000-00002A780000}"/>
    <cellStyle name="40 % - Markeringsfarve5 10 3 2 2 3" xfId="48751" xr:uid="{00000000-0005-0000-0000-00002B780000}"/>
    <cellStyle name="40 % - Markeringsfarve5 10 3 2 3" xfId="26790" xr:uid="{00000000-0005-0000-0000-00002C780000}"/>
    <cellStyle name="40 % - Markeringsfarve5 10 3 2 4" xfId="41754" xr:uid="{00000000-0005-0000-0000-00002D780000}"/>
    <cellStyle name="40 % - Markeringsfarve5 10 3 3" xfId="14867" xr:uid="{00000000-0005-0000-0000-00002E780000}"/>
    <cellStyle name="40 % - Markeringsfarve5 10 3 3 2" xfId="31146" xr:uid="{00000000-0005-0000-0000-00002F780000}"/>
    <cellStyle name="40 % - Markeringsfarve5 10 3 3 3" xfId="46106" xr:uid="{00000000-0005-0000-0000-000030780000}"/>
    <cellStyle name="40 % - Markeringsfarve5 10 3 4" xfId="24144" xr:uid="{00000000-0005-0000-0000-000031780000}"/>
    <cellStyle name="40 % - Markeringsfarve5 10 3 5" xfId="39109" xr:uid="{00000000-0005-0000-0000-000032780000}"/>
    <cellStyle name="40 % - Markeringsfarve5 10 4" xfId="6383" xr:uid="{00000000-0005-0000-0000-000033780000}"/>
    <cellStyle name="40 % - Markeringsfarve5 10 4 2" xfId="8903" xr:uid="{00000000-0005-0000-0000-000034780000}"/>
    <cellStyle name="40 % - Markeringsfarve5 10 4 2 2" xfId="16769" xr:uid="{00000000-0005-0000-0000-000035780000}"/>
    <cellStyle name="40 % - Markeringsfarve5 10 4 2 2 2" xfId="33045" xr:uid="{00000000-0005-0000-0000-000036780000}"/>
    <cellStyle name="40 % - Markeringsfarve5 10 4 2 2 3" xfId="48004" xr:uid="{00000000-0005-0000-0000-000037780000}"/>
    <cellStyle name="40 % - Markeringsfarve5 10 4 2 3" xfId="26043" xr:uid="{00000000-0005-0000-0000-000038780000}"/>
    <cellStyle name="40 % - Markeringsfarve5 10 4 2 4" xfId="41007" xr:uid="{00000000-0005-0000-0000-000039780000}"/>
    <cellStyle name="40 % - Markeringsfarve5 10 4 3" xfId="14868" xr:uid="{00000000-0005-0000-0000-00003A780000}"/>
    <cellStyle name="40 % - Markeringsfarve5 10 4 3 2" xfId="31147" xr:uid="{00000000-0005-0000-0000-00003B780000}"/>
    <cellStyle name="40 % - Markeringsfarve5 10 4 3 3" xfId="46107" xr:uid="{00000000-0005-0000-0000-00003C780000}"/>
    <cellStyle name="40 % - Markeringsfarve5 10 4 4" xfId="24145" xr:uid="{00000000-0005-0000-0000-00003D780000}"/>
    <cellStyle name="40 % - Markeringsfarve5 10 4 5" xfId="39110" xr:uid="{00000000-0005-0000-0000-00003E780000}"/>
    <cellStyle name="40 % - Markeringsfarve5 10 5" xfId="8183" xr:uid="{00000000-0005-0000-0000-00003F780000}"/>
    <cellStyle name="40 % - Markeringsfarve5 10 5 2" xfId="16048" xr:uid="{00000000-0005-0000-0000-000040780000}"/>
    <cellStyle name="40 % - Markeringsfarve5 10 5 2 2" xfId="32324" xr:uid="{00000000-0005-0000-0000-000041780000}"/>
    <cellStyle name="40 % - Markeringsfarve5 10 5 2 3" xfId="47283" xr:uid="{00000000-0005-0000-0000-000042780000}"/>
    <cellStyle name="40 % - Markeringsfarve5 10 5 3" xfId="25322" xr:uid="{00000000-0005-0000-0000-000043780000}"/>
    <cellStyle name="40 % - Markeringsfarve5 10 5 4" xfId="40286" xr:uid="{00000000-0005-0000-0000-000044780000}"/>
    <cellStyle name="40 % - Markeringsfarve5 10 6" xfId="14864" xr:uid="{00000000-0005-0000-0000-000045780000}"/>
    <cellStyle name="40 % - Markeringsfarve5 10 6 2" xfId="31143" xr:uid="{00000000-0005-0000-0000-000046780000}"/>
    <cellStyle name="40 % - Markeringsfarve5 10 6 3" xfId="46103" xr:uid="{00000000-0005-0000-0000-000047780000}"/>
    <cellStyle name="40 % - Markeringsfarve5 10 7" xfId="24141" xr:uid="{00000000-0005-0000-0000-000048780000}"/>
    <cellStyle name="40 % - Markeringsfarve5 10 8" xfId="39106" xr:uid="{00000000-0005-0000-0000-000049780000}"/>
    <cellStyle name="40 % - Markeringsfarve5 11" xfId="6384" xr:uid="{00000000-0005-0000-0000-00004A780000}"/>
    <cellStyle name="40 % - Markeringsfarve5 11 2" xfId="6385" xr:uid="{00000000-0005-0000-0000-00004B780000}"/>
    <cellStyle name="40 % - Markeringsfarve5 11 2 2" xfId="9703" xr:uid="{00000000-0005-0000-0000-00004C780000}"/>
    <cellStyle name="40 % - Markeringsfarve5 11 2 2 2" xfId="17557" xr:uid="{00000000-0005-0000-0000-00004D780000}"/>
    <cellStyle name="40 % - Markeringsfarve5 11 2 2 2 2" xfId="33833" xr:uid="{00000000-0005-0000-0000-00004E780000}"/>
    <cellStyle name="40 % - Markeringsfarve5 11 2 2 2 3" xfId="48792" xr:uid="{00000000-0005-0000-0000-00004F780000}"/>
    <cellStyle name="40 % - Markeringsfarve5 11 2 2 3" xfId="26831" xr:uid="{00000000-0005-0000-0000-000050780000}"/>
    <cellStyle name="40 % - Markeringsfarve5 11 2 2 4" xfId="41795" xr:uid="{00000000-0005-0000-0000-000051780000}"/>
    <cellStyle name="40 % - Markeringsfarve5 11 2 3" xfId="14870" xr:uid="{00000000-0005-0000-0000-000052780000}"/>
    <cellStyle name="40 % - Markeringsfarve5 11 2 3 2" xfId="31149" xr:uid="{00000000-0005-0000-0000-000053780000}"/>
    <cellStyle name="40 % - Markeringsfarve5 11 2 3 3" xfId="46109" xr:uid="{00000000-0005-0000-0000-000054780000}"/>
    <cellStyle name="40 % - Markeringsfarve5 11 2 4" xfId="24147" xr:uid="{00000000-0005-0000-0000-000055780000}"/>
    <cellStyle name="40 % - Markeringsfarve5 11 2 5" xfId="39112" xr:uid="{00000000-0005-0000-0000-000056780000}"/>
    <cellStyle name="40 % - Markeringsfarve5 11 3" xfId="6386" xr:uid="{00000000-0005-0000-0000-000057780000}"/>
    <cellStyle name="40 % - Markeringsfarve5 11 3 2" xfId="10746" xr:uid="{00000000-0005-0000-0000-000058780000}"/>
    <cellStyle name="40 % - Markeringsfarve5 11 3 2 2" xfId="18589" xr:uid="{00000000-0005-0000-0000-000059780000}"/>
    <cellStyle name="40 % - Markeringsfarve5 11 3 2 2 2" xfId="34865" xr:uid="{00000000-0005-0000-0000-00005A780000}"/>
    <cellStyle name="40 % - Markeringsfarve5 11 3 2 2 3" xfId="49824" xr:uid="{00000000-0005-0000-0000-00005B780000}"/>
    <cellStyle name="40 % - Markeringsfarve5 11 3 2 3" xfId="27863" xr:uid="{00000000-0005-0000-0000-00005C780000}"/>
    <cellStyle name="40 % - Markeringsfarve5 11 3 2 4" xfId="42827" xr:uid="{00000000-0005-0000-0000-00005D780000}"/>
    <cellStyle name="40 % - Markeringsfarve5 11 3 3" xfId="14871" xr:uid="{00000000-0005-0000-0000-00005E780000}"/>
    <cellStyle name="40 % - Markeringsfarve5 11 3 3 2" xfId="31150" xr:uid="{00000000-0005-0000-0000-00005F780000}"/>
    <cellStyle name="40 % - Markeringsfarve5 11 3 3 3" xfId="46110" xr:uid="{00000000-0005-0000-0000-000060780000}"/>
    <cellStyle name="40 % - Markeringsfarve5 11 3 4" xfId="24148" xr:uid="{00000000-0005-0000-0000-000061780000}"/>
    <cellStyle name="40 % - Markeringsfarve5 11 3 5" xfId="39113" xr:uid="{00000000-0005-0000-0000-000062780000}"/>
    <cellStyle name="40 % - Markeringsfarve5 11 4" xfId="8184" xr:uid="{00000000-0005-0000-0000-000063780000}"/>
    <cellStyle name="40 % - Markeringsfarve5 11 4 2" xfId="16049" xr:uid="{00000000-0005-0000-0000-000064780000}"/>
    <cellStyle name="40 % - Markeringsfarve5 11 4 2 2" xfId="32325" xr:uid="{00000000-0005-0000-0000-000065780000}"/>
    <cellStyle name="40 % - Markeringsfarve5 11 4 2 3" xfId="47284" xr:uid="{00000000-0005-0000-0000-000066780000}"/>
    <cellStyle name="40 % - Markeringsfarve5 11 4 3" xfId="25323" xr:uid="{00000000-0005-0000-0000-000067780000}"/>
    <cellStyle name="40 % - Markeringsfarve5 11 4 4" xfId="40287" xr:uid="{00000000-0005-0000-0000-000068780000}"/>
    <cellStyle name="40 % - Markeringsfarve5 11 5" xfId="14869" xr:uid="{00000000-0005-0000-0000-000069780000}"/>
    <cellStyle name="40 % - Markeringsfarve5 11 5 2" xfId="31148" xr:uid="{00000000-0005-0000-0000-00006A780000}"/>
    <cellStyle name="40 % - Markeringsfarve5 11 5 3" xfId="46108" xr:uid="{00000000-0005-0000-0000-00006B780000}"/>
    <cellStyle name="40 % - Markeringsfarve5 11 6" xfId="24146" xr:uid="{00000000-0005-0000-0000-00006C780000}"/>
    <cellStyle name="40 % - Markeringsfarve5 11 7" xfId="39111" xr:uid="{00000000-0005-0000-0000-00006D780000}"/>
    <cellStyle name="40 % - Markeringsfarve5 12" xfId="6387" xr:uid="{00000000-0005-0000-0000-00006E780000}"/>
    <cellStyle name="40 % - Markeringsfarve5 12 2" xfId="6388" xr:uid="{00000000-0005-0000-0000-00006F780000}"/>
    <cellStyle name="40 % - Markeringsfarve5 12 2 2" xfId="10967" xr:uid="{00000000-0005-0000-0000-000070780000}"/>
    <cellStyle name="40 % - Markeringsfarve5 12 2 2 2" xfId="18798" xr:uid="{00000000-0005-0000-0000-000071780000}"/>
    <cellStyle name="40 % - Markeringsfarve5 12 2 2 2 2" xfId="35074" xr:uid="{00000000-0005-0000-0000-000072780000}"/>
    <cellStyle name="40 % - Markeringsfarve5 12 2 2 2 3" xfId="50033" xr:uid="{00000000-0005-0000-0000-000073780000}"/>
    <cellStyle name="40 % - Markeringsfarve5 12 2 2 3" xfId="28072" xr:uid="{00000000-0005-0000-0000-000074780000}"/>
    <cellStyle name="40 % - Markeringsfarve5 12 2 2 4" xfId="43036" xr:uid="{00000000-0005-0000-0000-000075780000}"/>
    <cellStyle name="40 % - Markeringsfarve5 12 2 3" xfId="14873" xr:uid="{00000000-0005-0000-0000-000076780000}"/>
    <cellStyle name="40 % - Markeringsfarve5 12 2 3 2" xfId="31152" xr:uid="{00000000-0005-0000-0000-000077780000}"/>
    <cellStyle name="40 % - Markeringsfarve5 12 2 3 3" xfId="46112" xr:uid="{00000000-0005-0000-0000-000078780000}"/>
    <cellStyle name="40 % - Markeringsfarve5 12 2 4" xfId="24150" xr:uid="{00000000-0005-0000-0000-000079780000}"/>
    <cellStyle name="40 % - Markeringsfarve5 12 2 5" xfId="39115" xr:uid="{00000000-0005-0000-0000-00007A780000}"/>
    <cellStyle name="40 % - Markeringsfarve5 12 3" xfId="8185" xr:uid="{00000000-0005-0000-0000-00007B780000}"/>
    <cellStyle name="40 % - Markeringsfarve5 12 3 2" xfId="16050" xr:uid="{00000000-0005-0000-0000-00007C780000}"/>
    <cellStyle name="40 % - Markeringsfarve5 12 3 2 2" xfId="32326" xr:uid="{00000000-0005-0000-0000-00007D780000}"/>
    <cellStyle name="40 % - Markeringsfarve5 12 3 2 3" xfId="47285" xr:uid="{00000000-0005-0000-0000-00007E780000}"/>
    <cellStyle name="40 % - Markeringsfarve5 12 3 3" xfId="25324" xr:uid="{00000000-0005-0000-0000-00007F780000}"/>
    <cellStyle name="40 % - Markeringsfarve5 12 3 4" xfId="40288" xr:uid="{00000000-0005-0000-0000-000080780000}"/>
    <cellStyle name="40 % - Markeringsfarve5 12 4" xfId="14872" xr:uid="{00000000-0005-0000-0000-000081780000}"/>
    <cellStyle name="40 % - Markeringsfarve5 12 4 2" xfId="31151" xr:uid="{00000000-0005-0000-0000-000082780000}"/>
    <cellStyle name="40 % - Markeringsfarve5 12 4 3" xfId="46111" xr:uid="{00000000-0005-0000-0000-000083780000}"/>
    <cellStyle name="40 % - Markeringsfarve5 12 5" xfId="24149" xr:uid="{00000000-0005-0000-0000-000084780000}"/>
    <cellStyle name="40 % - Markeringsfarve5 12 6" xfId="39114" xr:uid="{00000000-0005-0000-0000-000085780000}"/>
    <cellStyle name="40 % - Markeringsfarve5 13" xfId="6389" xr:uid="{00000000-0005-0000-0000-000086780000}"/>
    <cellStyle name="40 % - Markeringsfarve5 13 2" xfId="6390" xr:uid="{00000000-0005-0000-0000-000087780000}"/>
    <cellStyle name="40 % - Markeringsfarve5 13 2 2" xfId="10687" xr:uid="{00000000-0005-0000-0000-000088780000}"/>
    <cellStyle name="40 % - Markeringsfarve5 13 2 2 2" xfId="18531" xr:uid="{00000000-0005-0000-0000-000089780000}"/>
    <cellStyle name="40 % - Markeringsfarve5 13 2 2 2 2" xfId="34807" xr:uid="{00000000-0005-0000-0000-00008A780000}"/>
    <cellStyle name="40 % - Markeringsfarve5 13 2 2 2 3" xfId="49766" xr:uid="{00000000-0005-0000-0000-00008B780000}"/>
    <cellStyle name="40 % - Markeringsfarve5 13 2 2 3" xfId="27805" xr:uid="{00000000-0005-0000-0000-00008C780000}"/>
    <cellStyle name="40 % - Markeringsfarve5 13 2 2 4" xfId="42769" xr:uid="{00000000-0005-0000-0000-00008D780000}"/>
    <cellStyle name="40 % - Markeringsfarve5 13 2 3" xfId="14875" xr:uid="{00000000-0005-0000-0000-00008E780000}"/>
    <cellStyle name="40 % - Markeringsfarve5 13 2 3 2" xfId="31154" xr:uid="{00000000-0005-0000-0000-00008F780000}"/>
    <cellStyle name="40 % - Markeringsfarve5 13 2 3 3" xfId="46114" xr:uid="{00000000-0005-0000-0000-000090780000}"/>
    <cellStyle name="40 % - Markeringsfarve5 13 2 4" xfId="24152" xr:uid="{00000000-0005-0000-0000-000091780000}"/>
    <cellStyle name="40 % - Markeringsfarve5 13 2 5" xfId="39117" xr:uid="{00000000-0005-0000-0000-000092780000}"/>
    <cellStyle name="40 % - Markeringsfarve5 13 3" xfId="8186" xr:uid="{00000000-0005-0000-0000-000093780000}"/>
    <cellStyle name="40 % - Markeringsfarve5 13 3 2" xfId="16051" xr:uid="{00000000-0005-0000-0000-000094780000}"/>
    <cellStyle name="40 % - Markeringsfarve5 13 3 2 2" xfId="32327" xr:uid="{00000000-0005-0000-0000-000095780000}"/>
    <cellStyle name="40 % - Markeringsfarve5 13 3 2 3" xfId="47286" xr:uid="{00000000-0005-0000-0000-000096780000}"/>
    <cellStyle name="40 % - Markeringsfarve5 13 3 3" xfId="25325" xr:uid="{00000000-0005-0000-0000-000097780000}"/>
    <cellStyle name="40 % - Markeringsfarve5 13 3 4" xfId="40289" xr:uid="{00000000-0005-0000-0000-000098780000}"/>
    <cellStyle name="40 % - Markeringsfarve5 13 4" xfId="14874" xr:uid="{00000000-0005-0000-0000-000099780000}"/>
    <cellStyle name="40 % - Markeringsfarve5 13 4 2" xfId="31153" xr:uid="{00000000-0005-0000-0000-00009A780000}"/>
    <cellStyle name="40 % - Markeringsfarve5 13 4 3" xfId="46113" xr:uid="{00000000-0005-0000-0000-00009B780000}"/>
    <cellStyle name="40 % - Markeringsfarve5 13 5" xfId="24151" xr:uid="{00000000-0005-0000-0000-00009C780000}"/>
    <cellStyle name="40 % - Markeringsfarve5 13 6" xfId="39116" xr:uid="{00000000-0005-0000-0000-00009D780000}"/>
    <cellStyle name="40 % - Markeringsfarve5 14" xfId="6391" xr:uid="{00000000-0005-0000-0000-00009E780000}"/>
    <cellStyle name="40 % - Markeringsfarve5 14 2" xfId="6392" xr:uid="{00000000-0005-0000-0000-00009F780000}"/>
    <cellStyle name="40 % - Markeringsfarve5 14 2 2" xfId="10676" xr:uid="{00000000-0005-0000-0000-0000A0780000}"/>
    <cellStyle name="40 % - Markeringsfarve5 14 2 2 2" xfId="18522" xr:uid="{00000000-0005-0000-0000-0000A1780000}"/>
    <cellStyle name="40 % - Markeringsfarve5 14 2 2 2 2" xfId="34798" xr:uid="{00000000-0005-0000-0000-0000A2780000}"/>
    <cellStyle name="40 % - Markeringsfarve5 14 2 2 2 3" xfId="49757" xr:uid="{00000000-0005-0000-0000-0000A3780000}"/>
    <cellStyle name="40 % - Markeringsfarve5 14 2 2 3" xfId="27796" xr:uid="{00000000-0005-0000-0000-0000A4780000}"/>
    <cellStyle name="40 % - Markeringsfarve5 14 2 2 4" xfId="42760" xr:uid="{00000000-0005-0000-0000-0000A5780000}"/>
    <cellStyle name="40 % - Markeringsfarve5 14 2 3" xfId="14877" xr:uid="{00000000-0005-0000-0000-0000A6780000}"/>
    <cellStyle name="40 % - Markeringsfarve5 14 2 3 2" xfId="31156" xr:uid="{00000000-0005-0000-0000-0000A7780000}"/>
    <cellStyle name="40 % - Markeringsfarve5 14 2 3 3" xfId="46116" xr:uid="{00000000-0005-0000-0000-0000A8780000}"/>
    <cellStyle name="40 % - Markeringsfarve5 14 2 4" xfId="24154" xr:uid="{00000000-0005-0000-0000-0000A9780000}"/>
    <cellStyle name="40 % - Markeringsfarve5 14 2 5" xfId="39119" xr:uid="{00000000-0005-0000-0000-0000AA780000}"/>
    <cellStyle name="40 % - Markeringsfarve5 14 3" xfId="8182" xr:uid="{00000000-0005-0000-0000-0000AB780000}"/>
    <cellStyle name="40 % - Markeringsfarve5 14 3 2" xfId="16047" xr:uid="{00000000-0005-0000-0000-0000AC780000}"/>
    <cellStyle name="40 % - Markeringsfarve5 14 3 2 2" xfId="32323" xr:uid="{00000000-0005-0000-0000-0000AD780000}"/>
    <cellStyle name="40 % - Markeringsfarve5 14 3 2 3" xfId="47282" xr:uid="{00000000-0005-0000-0000-0000AE780000}"/>
    <cellStyle name="40 % - Markeringsfarve5 14 3 3" xfId="25321" xr:uid="{00000000-0005-0000-0000-0000AF780000}"/>
    <cellStyle name="40 % - Markeringsfarve5 14 3 4" xfId="40285" xr:uid="{00000000-0005-0000-0000-0000B0780000}"/>
    <cellStyle name="40 % - Markeringsfarve5 14 4" xfId="14876" xr:uid="{00000000-0005-0000-0000-0000B1780000}"/>
    <cellStyle name="40 % - Markeringsfarve5 14 4 2" xfId="31155" xr:uid="{00000000-0005-0000-0000-0000B2780000}"/>
    <cellStyle name="40 % - Markeringsfarve5 14 4 3" xfId="46115" xr:uid="{00000000-0005-0000-0000-0000B3780000}"/>
    <cellStyle name="40 % - Markeringsfarve5 14 5" xfId="24153" xr:uid="{00000000-0005-0000-0000-0000B4780000}"/>
    <cellStyle name="40 % - Markeringsfarve5 14 6" xfId="39118" xr:uid="{00000000-0005-0000-0000-0000B5780000}"/>
    <cellStyle name="40 % - Markeringsfarve5 15" xfId="6393" xr:uid="{00000000-0005-0000-0000-0000B6780000}"/>
    <cellStyle name="40 % - Markeringsfarve5 15 2" xfId="8927" xr:uid="{00000000-0005-0000-0000-0000B7780000}"/>
    <cellStyle name="40 % - Markeringsfarve5 15 2 2" xfId="16793" xr:uid="{00000000-0005-0000-0000-0000B8780000}"/>
    <cellStyle name="40 % - Markeringsfarve5 15 2 2 2" xfId="33069" xr:uid="{00000000-0005-0000-0000-0000B9780000}"/>
    <cellStyle name="40 % - Markeringsfarve5 15 2 2 3" xfId="48028" xr:uid="{00000000-0005-0000-0000-0000BA780000}"/>
    <cellStyle name="40 % - Markeringsfarve5 15 2 3" xfId="26067" xr:uid="{00000000-0005-0000-0000-0000BB780000}"/>
    <cellStyle name="40 % - Markeringsfarve5 15 2 4" xfId="41031" xr:uid="{00000000-0005-0000-0000-0000BC780000}"/>
    <cellStyle name="40 % - Markeringsfarve5 15 3" xfId="14878" xr:uid="{00000000-0005-0000-0000-0000BD780000}"/>
    <cellStyle name="40 % - Markeringsfarve5 15 3 2" xfId="31157" xr:uid="{00000000-0005-0000-0000-0000BE780000}"/>
    <cellStyle name="40 % - Markeringsfarve5 15 3 3" xfId="46117" xr:uid="{00000000-0005-0000-0000-0000BF780000}"/>
    <cellStyle name="40 % - Markeringsfarve5 15 4" xfId="24155" xr:uid="{00000000-0005-0000-0000-0000C0780000}"/>
    <cellStyle name="40 % - Markeringsfarve5 15 5" xfId="39120" xr:uid="{00000000-0005-0000-0000-0000C1780000}"/>
    <cellStyle name="40 % - Markeringsfarve5 16" xfId="6394" xr:uid="{00000000-0005-0000-0000-0000C2780000}"/>
    <cellStyle name="40 % - Markeringsfarve5 16 2" xfId="10751" xr:uid="{00000000-0005-0000-0000-0000C3780000}"/>
    <cellStyle name="40 % - Markeringsfarve5 16 2 2" xfId="18594" xr:uid="{00000000-0005-0000-0000-0000C4780000}"/>
    <cellStyle name="40 % - Markeringsfarve5 16 2 2 2" xfId="34870" xr:uid="{00000000-0005-0000-0000-0000C5780000}"/>
    <cellStyle name="40 % - Markeringsfarve5 16 2 2 3" xfId="49829" xr:uid="{00000000-0005-0000-0000-0000C6780000}"/>
    <cellStyle name="40 % - Markeringsfarve5 16 2 3" xfId="27868" xr:uid="{00000000-0005-0000-0000-0000C7780000}"/>
    <cellStyle name="40 % - Markeringsfarve5 16 2 4" xfId="42832" xr:uid="{00000000-0005-0000-0000-0000C8780000}"/>
    <cellStyle name="40 % - Markeringsfarve5 16 3" xfId="14879" xr:uid="{00000000-0005-0000-0000-0000C9780000}"/>
    <cellStyle name="40 % - Markeringsfarve5 16 3 2" xfId="31158" xr:uid="{00000000-0005-0000-0000-0000CA780000}"/>
    <cellStyle name="40 % - Markeringsfarve5 16 3 3" xfId="46118" xr:uid="{00000000-0005-0000-0000-0000CB780000}"/>
    <cellStyle name="40 % - Markeringsfarve5 16 4" xfId="24156" xr:uid="{00000000-0005-0000-0000-0000CC780000}"/>
    <cellStyle name="40 % - Markeringsfarve5 16 5" xfId="39121" xr:uid="{00000000-0005-0000-0000-0000CD780000}"/>
    <cellStyle name="40 % - Markeringsfarve5 17" xfId="6395" xr:uid="{00000000-0005-0000-0000-0000CE780000}"/>
    <cellStyle name="40 % - Markeringsfarve5 17 2" xfId="8947" xr:uid="{00000000-0005-0000-0000-0000CF780000}"/>
    <cellStyle name="40 % - Markeringsfarve5 17 2 2" xfId="16811" xr:uid="{00000000-0005-0000-0000-0000D0780000}"/>
    <cellStyle name="40 % - Markeringsfarve5 17 2 2 2" xfId="33087" xr:uid="{00000000-0005-0000-0000-0000D1780000}"/>
    <cellStyle name="40 % - Markeringsfarve5 17 2 2 3" xfId="48046" xr:uid="{00000000-0005-0000-0000-0000D2780000}"/>
    <cellStyle name="40 % - Markeringsfarve5 17 2 3" xfId="26085" xr:uid="{00000000-0005-0000-0000-0000D3780000}"/>
    <cellStyle name="40 % - Markeringsfarve5 17 2 4" xfId="41049" xr:uid="{00000000-0005-0000-0000-0000D4780000}"/>
    <cellStyle name="40 % - Markeringsfarve5 17 3" xfId="14880" xr:uid="{00000000-0005-0000-0000-0000D5780000}"/>
    <cellStyle name="40 % - Markeringsfarve5 17 3 2" xfId="31159" xr:uid="{00000000-0005-0000-0000-0000D6780000}"/>
    <cellStyle name="40 % - Markeringsfarve5 17 3 3" xfId="46119" xr:uid="{00000000-0005-0000-0000-0000D7780000}"/>
    <cellStyle name="40 % - Markeringsfarve5 17 4" xfId="24157" xr:uid="{00000000-0005-0000-0000-0000D8780000}"/>
    <cellStyle name="40 % - Markeringsfarve5 17 5" xfId="39122" xr:uid="{00000000-0005-0000-0000-0000D9780000}"/>
    <cellStyle name="40 % - Markeringsfarve5 18" xfId="7612" xr:uid="{00000000-0005-0000-0000-0000DA780000}"/>
    <cellStyle name="40 % - Markeringsfarve5 18 2" xfId="15480" xr:uid="{00000000-0005-0000-0000-0000DB780000}"/>
    <cellStyle name="40 % - Markeringsfarve5 18 2 2" xfId="31756" xr:uid="{00000000-0005-0000-0000-0000DC780000}"/>
    <cellStyle name="40 % - Markeringsfarve5 18 2 3" xfId="46715" xr:uid="{00000000-0005-0000-0000-0000DD780000}"/>
    <cellStyle name="40 % - Markeringsfarve5 18 3" xfId="24754" xr:uid="{00000000-0005-0000-0000-0000DE780000}"/>
    <cellStyle name="40 % - Markeringsfarve5 18 4" xfId="39718" xr:uid="{00000000-0005-0000-0000-0000DF780000}"/>
    <cellStyle name="40 % - Markeringsfarve5 19" xfId="6378" xr:uid="{00000000-0005-0000-0000-0000E0780000}"/>
    <cellStyle name="40 % - Markeringsfarve5 19 2" xfId="14863" xr:uid="{00000000-0005-0000-0000-0000E1780000}"/>
    <cellStyle name="40 % - Markeringsfarve5 19 2 2" xfId="31142" xr:uid="{00000000-0005-0000-0000-0000E2780000}"/>
    <cellStyle name="40 % - Markeringsfarve5 19 2 3" xfId="46102" xr:uid="{00000000-0005-0000-0000-0000E3780000}"/>
    <cellStyle name="40 % - Markeringsfarve5 19 3" xfId="24140" xr:uid="{00000000-0005-0000-0000-0000E4780000}"/>
    <cellStyle name="40 % - Markeringsfarve5 19 4" xfId="39105" xr:uid="{00000000-0005-0000-0000-0000E5780000}"/>
    <cellStyle name="40 % - Markeringsfarve5 2" xfId="6396" xr:uid="{00000000-0005-0000-0000-0000E6780000}"/>
    <cellStyle name="40 % - Markeringsfarve5 2 10" xfId="6397" xr:uid="{00000000-0005-0000-0000-0000E7780000}"/>
    <cellStyle name="40 % - Markeringsfarve5 2 10 2" xfId="8957" xr:uid="{00000000-0005-0000-0000-0000E8780000}"/>
    <cellStyle name="40 % - Markeringsfarve5 2 10 2 2" xfId="16821" xr:uid="{00000000-0005-0000-0000-0000E9780000}"/>
    <cellStyle name="40 % - Markeringsfarve5 2 10 2 2 2" xfId="33097" xr:uid="{00000000-0005-0000-0000-0000EA780000}"/>
    <cellStyle name="40 % - Markeringsfarve5 2 10 2 2 3" xfId="48056" xr:uid="{00000000-0005-0000-0000-0000EB780000}"/>
    <cellStyle name="40 % - Markeringsfarve5 2 10 2 3" xfId="26095" xr:uid="{00000000-0005-0000-0000-0000EC780000}"/>
    <cellStyle name="40 % - Markeringsfarve5 2 10 2 4" xfId="41059" xr:uid="{00000000-0005-0000-0000-0000ED780000}"/>
    <cellStyle name="40 % - Markeringsfarve5 2 10 3" xfId="14882" xr:uid="{00000000-0005-0000-0000-0000EE780000}"/>
    <cellStyle name="40 % - Markeringsfarve5 2 10 3 2" xfId="31161" xr:uid="{00000000-0005-0000-0000-0000EF780000}"/>
    <cellStyle name="40 % - Markeringsfarve5 2 10 3 3" xfId="46121" xr:uid="{00000000-0005-0000-0000-0000F0780000}"/>
    <cellStyle name="40 % - Markeringsfarve5 2 10 4" xfId="24159" xr:uid="{00000000-0005-0000-0000-0000F1780000}"/>
    <cellStyle name="40 % - Markeringsfarve5 2 10 5" xfId="39124" xr:uid="{00000000-0005-0000-0000-0000F2780000}"/>
    <cellStyle name="40 % - Markeringsfarve5 2 11" xfId="6398" xr:uid="{00000000-0005-0000-0000-0000F3780000}"/>
    <cellStyle name="40 % - Markeringsfarve5 2 11 2" xfId="10919" xr:uid="{00000000-0005-0000-0000-0000F4780000}"/>
    <cellStyle name="40 % - Markeringsfarve5 2 11 2 2" xfId="18754" xr:uid="{00000000-0005-0000-0000-0000F5780000}"/>
    <cellStyle name="40 % - Markeringsfarve5 2 11 2 2 2" xfId="35030" xr:uid="{00000000-0005-0000-0000-0000F6780000}"/>
    <cellStyle name="40 % - Markeringsfarve5 2 11 2 2 3" xfId="49989" xr:uid="{00000000-0005-0000-0000-0000F7780000}"/>
    <cellStyle name="40 % - Markeringsfarve5 2 11 2 3" xfId="28028" xr:uid="{00000000-0005-0000-0000-0000F8780000}"/>
    <cellStyle name="40 % - Markeringsfarve5 2 11 2 4" xfId="42992" xr:uid="{00000000-0005-0000-0000-0000F9780000}"/>
    <cellStyle name="40 % - Markeringsfarve5 2 11 3" xfId="14883" xr:uid="{00000000-0005-0000-0000-0000FA780000}"/>
    <cellStyle name="40 % - Markeringsfarve5 2 11 3 2" xfId="31162" xr:uid="{00000000-0005-0000-0000-0000FB780000}"/>
    <cellStyle name="40 % - Markeringsfarve5 2 11 3 3" xfId="46122" xr:uid="{00000000-0005-0000-0000-0000FC780000}"/>
    <cellStyle name="40 % - Markeringsfarve5 2 11 4" xfId="24160" xr:uid="{00000000-0005-0000-0000-0000FD780000}"/>
    <cellStyle name="40 % - Markeringsfarve5 2 11 5" xfId="39125" xr:uid="{00000000-0005-0000-0000-0000FE780000}"/>
    <cellStyle name="40 % - Markeringsfarve5 2 12" xfId="8187" xr:uid="{00000000-0005-0000-0000-0000FF780000}"/>
    <cellStyle name="40 % - Markeringsfarve5 2 12 2" xfId="16052" xr:uid="{00000000-0005-0000-0000-000000790000}"/>
    <cellStyle name="40 % - Markeringsfarve5 2 12 2 2" xfId="32328" xr:uid="{00000000-0005-0000-0000-000001790000}"/>
    <cellStyle name="40 % - Markeringsfarve5 2 12 2 3" xfId="47287" xr:uid="{00000000-0005-0000-0000-000002790000}"/>
    <cellStyle name="40 % - Markeringsfarve5 2 12 3" xfId="25326" xr:uid="{00000000-0005-0000-0000-000003790000}"/>
    <cellStyle name="40 % - Markeringsfarve5 2 12 4" xfId="40290" xr:uid="{00000000-0005-0000-0000-000004790000}"/>
    <cellStyle name="40 % - Markeringsfarve5 2 13" xfId="14881" xr:uid="{00000000-0005-0000-0000-000005790000}"/>
    <cellStyle name="40 % - Markeringsfarve5 2 13 2" xfId="31160" xr:uid="{00000000-0005-0000-0000-000006790000}"/>
    <cellStyle name="40 % - Markeringsfarve5 2 13 3" xfId="46120" xr:uid="{00000000-0005-0000-0000-000007790000}"/>
    <cellStyle name="40 % - Markeringsfarve5 2 14" xfId="24158" xr:uid="{00000000-0005-0000-0000-000008790000}"/>
    <cellStyle name="40 % - Markeringsfarve5 2 15" xfId="39123" xr:uid="{00000000-0005-0000-0000-000009790000}"/>
    <cellStyle name="40 % - Markeringsfarve5 2 2" xfId="6399" xr:uid="{00000000-0005-0000-0000-00000A790000}"/>
    <cellStyle name="40 % - Markeringsfarve5 2 2 10" xfId="8188" xr:uid="{00000000-0005-0000-0000-00000B790000}"/>
    <cellStyle name="40 % - Markeringsfarve5 2 2 10 2" xfId="16053" xr:uid="{00000000-0005-0000-0000-00000C790000}"/>
    <cellStyle name="40 % - Markeringsfarve5 2 2 10 2 2" xfId="32329" xr:uid="{00000000-0005-0000-0000-00000D790000}"/>
    <cellStyle name="40 % - Markeringsfarve5 2 2 10 2 3" xfId="47288" xr:uid="{00000000-0005-0000-0000-00000E790000}"/>
    <cellStyle name="40 % - Markeringsfarve5 2 2 10 3" xfId="25327" xr:uid="{00000000-0005-0000-0000-00000F790000}"/>
    <cellStyle name="40 % - Markeringsfarve5 2 2 10 4" xfId="40291" xr:uid="{00000000-0005-0000-0000-000010790000}"/>
    <cellStyle name="40 % - Markeringsfarve5 2 2 11" xfId="14884" xr:uid="{00000000-0005-0000-0000-000011790000}"/>
    <cellStyle name="40 % - Markeringsfarve5 2 2 11 2" xfId="31163" xr:uid="{00000000-0005-0000-0000-000012790000}"/>
    <cellStyle name="40 % - Markeringsfarve5 2 2 11 3" xfId="46123" xr:uid="{00000000-0005-0000-0000-000013790000}"/>
    <cellStyle name="40 % - Markeringsfarve5 2 2 12" xfId="24161" xr:uid="{00000000-0005-0000-0000-000014790000}"/>
    <cellStyle name="40 % - Markeringsfarve5 2 2 13" xfId="39126" xr:uid="{00000000-0005-0000-0000-000015790000}"/>
    <cellStyle name="40 % - Markeringsfarve5 2 2 2" xfId="6400" xr:uid="{00000000-0005-0000-0000-000016790000}"/>
    <cellStyle name="40 % - Markeringsfarve5 2 2 2 2" xfId="6401" xr:uid="{00000000-0005-0000-0000-000017790000}"/>
    <cellStyle name="40 % - Markeringsfarve5 2 2 2 2 2" xfId="6402" xr:uid="{00000000-0005-0000-0000-000018790000}"/>
    <cellStyle name="40 % - Markeringsfarve5 2 2 2 2 2 2" xfId="9887" xr:uid="{00000000-0005-0000-0000-000019790000}"/>
    <cellStyle name="40 % - Markeringsfarve5 2 2 2 2 2 2 2" xfId="17742" xr:uid="{00000000-0005-0000-0000-00001A790000}"/>
    <cellStyle name="40 % - Markeringsfarve5 2 2 2 2 2 2 2 2" xfId="34018" xr:uid="{00000000-0005-0000-0000-00001B790000}"/>
    <cellStyle name="40 % - Markeringsfarve5 2 2 2 2 2 2 2 3" xfId="48977" xr:uid="{00000000-0005-0000-0000-00001C790000}"/>
    <cellStyle name="40 % - Markeringsfarve5 2 2 2 2 2 2 3" xfId="27016" xr:uid="{00000000-0005-0000-0000-00001D790000}"/>
    <cellStyle name="40 % - Markeringsfarve5 2 2 2 2 2 2 4" xfId="41980" xr:uid="{00000000-0005-0000-0000-00001E790000}"/>
    <cellStyle name="40 % - Markeringsfarve5 2 2 2 2 2 3" xfId="14887" xr:uid="{00000000-0005-0000-0000-00001F790000}"/>
    <cellStyle name="40 % - Markeringsfarve5 2 2 2 2 2 3 2" xfId="31166" xr:uid="{00000000-0005-0000-0000-000020790000}"/>
    <cellStyle name="40 % - Markeringsfarve5 2 2 2 2 2 3 3" xfId="46126" xr:uid="{00000000-0005-0000-0000-000021790000}"/>
    <cellStyle name="40 % - Markeringsfarve5 2 2 2 2 2 4" xfId="24164" xr:uid="{00000000-0005-0000-0000-000022790000}"/>
    <cellStyle name="40 % - Markeringsfarve5 2 2 2 2 2 5" xfId="39129" xr:uid="{00000000-0005-0000-0000-000023790000}"/>
    <cellStyle name="40 % - Markeringsfarve5 2 2 2 2 3" xfId="8459" xr:uid="{00000000-0005-0000-0000-000024790000}"/>
    <cellStyle name="40 % - Markeringsfarve5 2 2 2 2 3 2" xfId="16329" xr:uid="{00000000-0005-0000-0000-000025790000}"/>
    <cellStyle name="40 % - Markeringsfarve5 2 2 2 2 3 2 2" xfId="32605" xr:uid="{00000000-0005-0000-0000-000026790000}"/>
    <cellStyle name="40 % - Markeringsfarve5 2 2 2 2 3 2 3" xfId="47564" xr:uid="{00000000-0005-0000-0000-000027790000}"/>
    <cellStyle name="40 % - Markeringsfarve5 2 2 2 2 3 3" xfId="25603" xr:uid="{00000000-0005-0000-0000-000028790000}"/>
    <cellStyle name="40 % - Markeringsfarve5 2 2 2 2 3 4" xfId="40567" xr:uid="{00000000-0005-0000-0000-000029790000}"/>
    <cellStyle name="40 % - Markeringsfarve5 2 2 2 2 4" xfId="14886" xr:uid="{00000000-0005-0000-0000-00002A790000}"/>
    <cellStyle name="40 % - Markeringsfarve5 2 2 2 2 4 2" xfId="31165" xr:uid="{00000000-0005-0000-0000-00002B790000}"/>
    <cellStyle name="40 % - Markeringsfarve5 2 2 2 2 4 3" xfId="46125" xr:uid="{00000000-0005-0000-0000-00002C790000}"/>
    <cellStyle name="40 % - Markeringsfarve5 2 2 2 2 5" xfId="24163" xr:uid="{00000000-0005-0000-0000-00002D790000}"/>
    <cellStyle name="40 % - Markeringsfarve5 2 2 2 2 6" xfId="39128" xr:uid="{00000000-0005-0000-0000-00002E790000}"/>
    <cellStyle name="40 % - Markeringsfarve5 2 2 2 3" xfId="6403" xr:uid="{00000000-0005-0000-0000-00002F790000}"/>
    <cellStyle name="40 % - Markeringsfarve5 2 2 2 3 2" xfId="9118" xr:uid="{00000000-0005-0000-0000-000030790000}"/>
    <cellStyle name="40 % - Markeringsfarve5 2 2 2 3 2 2" xfId="16982" xr:uid="{00000000-0005-0000-0000-000031790000}"/>
    <cellStyle name="40 % - Markeringsfarve5 2 2 2 3 2 2 2" xfId="33258" xr:uid="{00000000-0005-0000-0000-000032790000}"/>
    <cellStyle name="40 % - Markeringsfarve5 2 2 2 3 2 2 3" xfId="48217" xr:uid="{00000000-0005-0000-0000-000033790000}"/>
    <cellStyle name="40 % - Markeringsfarve5 2 2 2 3 2 3" xfId="26256" xr:uid="{00000000-0005-0000-0000-000034790000}"/>
    <cellStyle name="40 % - Markeringsfarve5 2 2 2 3 2 4" xfId="41220" xr:uid="{00000000-0005-0000-0000-000035790000}"/>
    <cellStyle name="40 % - Markeringsfarve5 2 2 2 3 3" xfId="14888" xr:uid="{00000000-0005-0000-0000-000036790000}"/>
    <cellStyle name="40 % - Markeringsfarve5 2 2 2 3 3 2" xfId="31167" xr:uid="{00000000-0005-0000-0000-000037790000}"/>
    <cellStyle name="40 % - Markeringsfarve5 2 2 2 3 3 3" xfId="46127" xr:uid="{00000000-0005-0000-0000-000038790000}"/>
    <cellStyle name="40 % - Markeringsfarve5 2 2 2 3 4" xfId="24165" xr:uid="{00000000-0005-0000-0000-000039790000}"/>
    <cellStyle name="40 % - Markeringsfarve5 2 2 2 3 5" xfId="39130" xr:uid="{00000000-0005-0000-0000-00003A790000}"/>
    <cellStyle name="40 % - Markeringsfarve5 2 2 2 4" xfId="6404" xr:uid="{00000000-0005-0000-0000-00003B790000}"/>
    <cellStyle name="40 % - Markeringsfarve5 2 2 2 4 2" xfId="10877" xr:uid="{00000000-0005-0000-0000-00003C790000}"/>
    <cellStyle name="40 % - Markeringsfarve5 2 2 2 4 2 2" xfId="18714" xr:uid="{00000000-0005-0000-0000-00003D790000}"/>
    <cellStyle name="40 % - Markeringsfarve5 2 2 2 4 2 2 2" xfId="34990" xr:uid="{00000000-0005-0000-0000-00003E790000}"/>
    <cellStyle name="40 % - Markeringsfarve5 2 2 2 4 2 2 3" xfId="49949" xr:uid="{00000000-0005-0000-0000-00003F790000}"/>
    <cellStyle name="40 % - Markeringsfarve5 2 2 2 4 2 3" xfId="27988" xr:uid="{00000000-0005-0000-0000-000040790000}"/>
    <cellStyle name="40 % - Markeringsfarve5 2 2 2 4 2 4" xfId="42952" xr:uid="{00000000-0005-0000-0000-000041790000}"/>
    <cellStyle name="40 % - Markeringsfarve5 2 2 2 4 3" xfId="14889" xr:uid="{00000000-0005-0000-0000-000042790000}"/>
    <cellStyle name="40 % - Markeringsfarve5 2 2 2 4 3 2" xfId="31168" xr:uid="{00000000-0005-0000-0000-000043790000}"/>
    <cellStyle name="40 % - Markeringsfarve5 2 2 2 4 3 3" xfId="46128" xr:uid="{00000000-0005-0000-0000-000044790000}"/>
    <cellStyle name="40 % - Markeringsfarve5 2 2 2 4 4" xfId="24166" xr:uid="{00000000-0005-0000-0000-000045790000}"/>
    <cellStyle name="40 % - Markeringsfarve5 2 2 2 4 5" xfId="39131" xr:uid="{00000000-0005-0000-0000-000046790000}"/>
    <cellStyle name="40 % - Markeringsfarve5 2 2 2 5" xfId="8189" xr:uid="{00000000-0005-0000-0000-000047790000}"/>
    <cellStyle name="40 % - Markeringsfarve5 2 2 2 5 2" xfId="16054" xr:uid="{00000000-0005-0000-0000-000048790000}"/>
    <cellStyle name="40 % - Markeringsfarve5 2 2 2 5 2 2" xfId="32330" xr:uid="{00000000-0005-0000-0000-000049790000}"/>
    <cellStyle name="40 % - Markeringsfarve5 2 2 2 5 2 3" xfId="47289" xr:uid="{00000000-0005-0000-0000-00004A790000}"/>
    <cellStyle name="40 % - Markeringsfarve5 2 2 2 5 3" xfId="25328" xr:uid="{00000000-0005-0000-0000-00004B790000}"/>
    <cellStyle name="40 % - Markeringsfarve5 2 2 2 5 4" xfId="40292" xr:uid="{00000000-0005-0000-0000-00004C790000}"/>
    <cellStyle name="40 % - Markeringsfarve5 2 2 2 6" xfId="14885" xr:uid="{00000000-0005-0000-0000-00004D790000}"/>
    <cellStyle name="40 % - Markeringsfarve5 2 2 2 6 2" xfId="31164" xr:uid="{00000000-0005-0000-0000-00004E790000}"/>
    <cellStyle name="40 % - Markeringsfarve5 2 2 2 6 3" xfId="46124" xr:uid="{00000000-0005-0000-0000-00004F790000}"/>
    <cellStyle name="40 % - Markeringsfarve5 2 2 2 7" xfId="24162" xr:uid="{00000000-0005-0000-0000-000050790000}"/>
    <cellStyle name="40 % - Markeringsfarve5 2 2 2 8" xfId="39127" xr:uid="{00000000-0005-0000-0000-000051790000}"/>
    <cellStyle name="40 % - Markeringsfarve5 2 2 3" xfId="6405" xr:uid="{00000000-0005-0000-0000-000052790000}"/>
    <cellStyle name="40 % - Markeringsfarve5 2 2 3 2" xfId="6406" xr:uid="{00000000-0005-0000-0000-000053790000}"/>
    <cellStyle name="40 % - Markeringsfarve5 2 2 3 2 2" xfId="6407" xr:uid="{00000000-0005-0000-0000-000054790000}"/>
    <cellStyle name="40 % - Markeringsfarve5 2 2 3 2 2 2" xfId="10023" xr:uid="{00000000-0005-0000-0000-000055790000}"/>
    <cellStyle name="40 % - Markeringsfarve5 2 2 3 2 2 2 2" xfId="17878" xr:uid="{00000000-0005-0000-0000-000056790000}"/>
    <cellStyle name="40 % - Markeringsfarve5 2 2 3 2 2 2 2 2" xfId="34154" xr:uid="{00000000-0005-0000-0000-000057790000}"/>
    <cellStyle name="40 % - Markeringsfarve5 2 2 3 2 2 2 2 3" xfId="49113" xr:uid="{00000000-0005-0000-0000-000058790000}"/>
    <cellStyle name="40 % - Markeringsfarve5 2 2 3 2 2 2 3" xfId="27152" xr:uid="{00000000-0005-0000-0000-000059790000}"/>
    <cellStyle name="40 % - Markeringsfarve5 2 2 3 2 2 2 4" xfId="42116" xr:uid="{00000000-0005-0000-0000-00005A790000}"/>
    <cellStyle name="40 % - Markeringsfarve5 2 2 3 2 2 3" xfId="14892" xr:uid="{00000000-0005-0000-0000-00005B790000}"/>
    <cellStyle name="40 % - Markeringsfarve5 2 2 3 2 2 3 2" xfId="31171" xr:uid="{00000000-0005-0000-0000-00005C790000}"/>
    <cellStyle name="40 % - Markeringsfarve5 2 2 3 2 2 3 3" xfId="46131" xr:uid="{00000000-0005-0000-0000-00005D790000}"/>
    <cellStyle name="40 % - Markeringsfarve5 2 2 3 2 2 4" xfId="24169" xr:uid="{00000000-0005-0000-0000-00005E790000}"/>
    <cellStyle name="40 % - Markeringsfarve5 2 2 3 2 2 5" xfId="39134" xr:uid="{00000000-0005-0000-0000-00005F790000}"/>
    <cellStyle name="40 % - Markeringsfarve5 2 2 3 2 3" xfId="8570" xr:uid="{00000000-0005-0000-0000-000060790000}"/>
    <cellStyle name="40 % - Markeringsfarve5 2 2 3 2 3 2" xfId="16440" xr:uid="{00000000-0005-0000-0000-000061790000}"/>
    <cellStyle name="40 % - Markeringsfarve5 2 2 3 2 3 2 2" xfId="32716" xr:uid="{00000000-0005-0000-0000-000062790000}"/>
    <cellStyle name="40 % - Markeringsfarve5 2 2 3 2 3 2 3" xfId="47675" xr:uid="{00000000-0005-0000-0000-000063790000}"/>
    <cellStyle name="40 % - Markeringsfarve5 2 2 3 2 3 3" xfId="25714" xr:uid="{00000000-0005-0000-0000-000064790000}"/>
    <cellStyle name="40 % - Markeringsfarve5 2 2 3 2 3 4" xfId="40678" xr:uid="{00000000-0005-0000-0000-000065790000}"/>
    <cellStyle name="40 % - Markeringsfarve5 2 2 3 2 4" xfId="14891" xr:uid="{00000000-0005-0000-0000-000066790000}"/>
    <cellStyle name="40 % - Markeringsfarve5 2 2 3 2 4 2" xfId="31170" xr:uid="{00000000-0005-0000-0000-000067790000}"/>
    <cellStyle name="40 % - Markeringsfarve5 2 2 3 2 4 3" xfId="46130" xr:uid="{00000000-0005-0000-0000-000068790000}"/>
    <cellStyle name="40 % - Markeringsfarve5 2 2 3 2 5" xfId="24168" xr:uid="{00000000-0005-0000-0000-000069790000}"/>
    <cellStyle name="40 % - Markeringsfarve5 2 2 3 2 6" xfId="39133" xr:uid="{00000000-0005-0000-0000-00006A790000}"/>
    <cellStyle name="40 % - Markeringsfarve5 2 2 3 3" xfId="6408" xr:uid="{00000000-0005-0000-0000-00006B790000}"/>
    <cellStyle name="40 % - Markeringsfarve5 2 2 3 3 2" xfId="9254" xr:uid="{00000000-0005-0000-0000-00006C790000}"/>
    <cellStyle name="40 % - Markeringsfarve5 2 2 3 3 2 2" xfId="17118" xr:uid="{00000000-0005-0000-0000-00006D790000}"/>
    <cellStyle name="40 % - Markeringsfarve5 2 2 3 3 2 2 2" xfId="33394" xr:uid="{00000000-0005-0000-0000-00006E790000}"/>
    <cellStyle name="40 % - Markeringsfarve5 2 2 3 3 2 2 3" xfId="48353" xr:uid="{00000000-0005-0000-0000-00006F790000}"/>
    <cellStyle name="40 % - Markeringsfarve5 2 2 3 3 2 3" xfId="26392" xr:uid="{00000000-0005-0000-0000-000070790000}"/>
    <cellStyle name="40 % - Markeringsfarve5 2 2 3 3 2 4" xfId="41356" xr:uid="{00000000-0005-0000-0000-000071790000}"/>
    <cellStyle name="40 % - Markeringsfarve5 2 2 3 3 3" xfId="14893" xr:uid="{00000000-0005-0000-0000-000072790000}"/>
    <cellStyle name="40 % - Markeringsfarve5 2 2 3 3 3 2" xfId="31172" xr:uid="{00000000-0005-0000-0000-000073790000}"/>
    <cellStyle name="40 % - Markeringsfarve5 2 2 3 3 3 3" xfId="46132" xr:uid="{00000000-0005-0000-0000-000074790000}"/>
    <cellStyle name="40 % - Markeringsfarve5 2 2 3 3 4" xfId="24170" xr:uid="{00000000-0005-0000-0000-000075790000}"/>
    <cellStyle name="40 % - Markeringsfarve5 2 2 3 3 5" xfId="39135" xr:uid="{00000000-0005-0000-0000-000076790000}"/>
    <cellStyle name="40 % - Markeringsfarve5 2 2 3 4" xfId="6409" xr:uid="{00000000-0005-0000-0000-000077790000}"/>
    <cellStyle name="40 % - Markeringsfarve5 2 2 3 4 2" xfId="10601" xr:uid="{00000000-0005-0000-0000-000078790000}"/>
    <cellStyle name="40 % - Markeringsfarve5 2 2 3 4 2 2" xfId="18449" xr:uid="{00000000-0005-0000-0000-000079790000}"/>
    <cellStyle name="40 % - Markeringsfarve5 2 2 3 4 2 2 2" xfId="34725" xr:uid="{00000000-0005-0000-0000-00007A790000}"/>
    <cellStyle name="40 % - Markeringsfarve5 2 2 3 4 2 2 3" xfId="49684" xr:uid="{00000000-0005-0000-0000-00007B790000}"/>
    <cellStyle name="40 % - Markeringsfarve5 2 2 3 4 2 3" xfId="27723" xr:uid="{00000000-0005-0000-0000-00007C790000}"/>
    <cellStyle name="40 % - Markeringsfarve5 2 2 3 4 2 4" xfId="42687" xr:uid="{00000000-0005-0000-0000-00007D790000}"/>
    <cellStyle name="40 % - Markeringsfarve5 2 2 3 4 3" xfId="14894" xr:uid="{00000000-0005-0000-0000-00007E790000}"/>
    <cellStyle name="40 % - Markeringsfarve5 2 2 3 4 3 2" xfId="31173" xr:uid="{00000000-0005-0000-0000-00007F790000}"/>
    <cellStyle name="40 % - Markeringsfarve5 2 2 3 4 3 3" xfId="46133" xr:uid="{00000000-0005-0000-0000-000080790000}"/>
    <cellStyle name="40 % - Markeringsfarve5 2 2 3 4 4" xfId="24171" xr:uid="{00000000-0005-0000-0000-000081790000}"/>
    <cellStyle name="40 % - Markeringsfarve5 2 2 3 4 5" xfId="39136" xr:uid="{00000000-0005-0000-0000-000082790000}"/>
    <cellStyle name="40 % - Markeringsfarve5 2 2 3 5" xfId="8190" xr:uid="{00000000-0005-0000-0000-000083790000}"/>
    <cellStyle name="40 % - Markeringsfarve5 2 2 3 5 2" xfId="16055" xr:uid="{00000000-0005-0000-0000-000084790000}"/>
    <cellStyle name="40 % - Markeringsfarve5 2 2 3 5 2 2" xfId="32331" xr:uid="{00000000-0005-0000-0000-000085790000}"/>
    <cellStyle name="40 % - Markeringsfarve5 2 2 3 5 2 3" xfId="47290" xr:uid="{00000000-0005-0000-0000-000086790000}"/>
    <cellStyle name="40 % - Markeringsfarve5 2 2 3 5 3" xfId="25329" xr:uid="{00000000-0005-0000-0000-000087790000}"/>
    <cellStyle name="40 % - Markeringsfarve5 2 2 3 5 4" xfId="40293" xr:uid="{00000000-0005-0000-0000-000088790000}"/>
    <cellStyle name="40 % - Markeringsfarve5 2 2 3 6" xfId="14890" xr:uid="{00000000-0005-0000-0000-000089790000}"/>
    <cellStyle name="40 % - Markeringsfarve5 2 2 3 6 2" xfId="31169" xr:uid="{00000000-0005-0000-0000-00008A790000}"/>
    <cellStyle name="40 % - Markeringsfarve5 2 2 3 6 3" xfId="46129" xr:uid="{00000000-0005-0000-0000-00008B790000}"/>
    <cellStyle name="40 % - Markeringsfarve5 2 2 3 7" xfId="24167" xr:uid="{00000000-0005-0000-0000-00008C790000}"/>
    <cellStyle name="40 % - Markeringsfarve5 2 2 3 8" xfId="39132" xr:uid="{00000000-0005-0000-0000-00008D790000}"/>
    <cellStyle name="40 % - Markeringsfarve5 2 2 4" xfId="6410" xr:uid="{00000000-0005-0000-0000-00008E790000}"/>
    <cellStyle name="40 % - Markeringsfarve5 2 2 4 2" xfId="6411" xr:uid="{00000000-0005-0000-0000-00008F790000}"/>
    <cellStyle name="40 % - Markeringsfarve5 2 2 4 2 2" xfId="6412" xr:uid="{00000000-0005-0000-0000-000090790000}"/>
    <cellStyle name="40 % - Markeringsfarve5 2 2 4 2 2 2" xfId="10125" xr:uid="{00000000-0005-0000-0000-000091790000}"/>
    <cellStyle name="40 % - Markeringsfarve5 2 2 4 2 2 2 2" xfId="17980" xr:uid="{00000000-0005-0000-0000-000092790000}"/>
    <cellStyle name="40 % - Markeringsfarve5 2 2 4 2 2 2 2 2" xfId="34256" xr:uid="{00000000-0005-0000-0000-000093790000}"/>
    <cellStyle name="40 % - Markeringsfarve5 2 2 4 2 2 2 2 3" xfId="49215" xr:uid="{00000000-0005-0000-0000-000094790000}"/>
    <cellStyle name="40 % - Markeringsfarve5 2 2 4 2 2 2 3" xfId="27254" xr:uid="{00000000-0005-0000-0000-000095790000}"/>
    <cellStyle name="40 % - Markeringsfarve5 2 2 4 2 2 2 4" xfId="42218" xr:uid="{00000000-0005-0000-0000-000096790000}"/>
    <cellStyle name="40 % - Markeringsfarve5 2 2 4 2 2 3" xfId="14897" xr:uid="{00000000-0005-0000-0000-000097790000}"/>
    <cellStyle name="40 % - Markeringsfarve5 2 2 4 2 2 3 2" xfId="31176" xr:uid="{00000000-0005-0000-0000-000098790000}"/>
    <cellStyle name="40 % - Markeringsfarve5 2 2 4 2 2 3 3" xfId="46136" xr:uid="{00000000-0005-0000-0000-000099790000}"/>
    <cellStyle name="40 % - Markeringsfarve5 2 2 4 2 2 4" xfId="24174" xr:uid="{00000000-0005-0000-0000-00009A790000}"/>
    <cellStyle name="40 % - Markeringsfarve5 2 2 4 2 2 5" xfId="39139" xr:uid="{00000000-0005-0000-0000-00009B790000}"/>
    <cellStyle name="40 % - Markeringsfarve5 2 2 4 2 3" xfId="8661" xr:uid="{00000000-0005-0000-0000-00009C790000}"/>
    <cellStyle name="40 % - Markeringsfarve5 2 2 4 2 3 2" xfId="16528" xr:uid="{00000000-0005-0000-0000-00009D790000}"/>
    <cellStyle name="40 % - Markeringsfarve5 2 2 4 2 3 2 2" xfId="32804" xr:uid="{00000000-0005-0000-0000-00009E790000}"/>
    <cellStyle name="40 % - Markeringsfarve5 2 2 4 2 3 2 3" xfId="47763" xr:uid="{00000000-0005-0000-0000-00009F790000}"/>
    <cellStyle name="40 % - Markeringsfarve5 2 2 4 2 3 3" xfId="25802" xr:uid="{00000000-0005-0000-0000-0000A0790000}"/>
    <cellStyle name="40 % - Markeringsfarve5 2 2 4 2 3 4" xfId="40766" xr:uid="{00000000-0005-0000-0000-0000A1790000}"/>
    <cellStyle name="40 % - Markeringsfarve5 2 2 4 2 4" xfId="14896" xr:uid="{00000000-0005-0000-0000-0000A2790000}"/>
    <cellStyle name="40 % - Markeringsfarve5 2 2 4 2 4 2" xfId="31175" xr:uid="{00000000-0005-0000-0000-0000A3790000}"/>
    <cellStyle name="40 % - Markeringsfarve5 2 2 4 2 4 3" xfId="46135" xr:uid="{00000000-0005-0000-0000-0000A4790000}"/>
    <cellStyle name="40 % - Markeringsfarve5 2 2 4 2 5" xfId="24173" xr:uid="{00000000-0005-0000-0000-0000A5790000}"/>
    <cellStyle name="40 % - Markeringsfarve5 2 2 4 2 6" xfId="39138" xr:uid="{00000000-0005-0000-0000-0000A6790000}"/>
    <cellStyle name="40 % - Markeringsfarve5 2 2 4 3" xfId="6413" xr:uid="{00000000-0005-0000-0000-0000A7790000}"/>
    <cellStyle name="40 % - Markeringsfarve5 2 2 4 3 2" xfId="9402" xr:uid="{00000000-0005-0000-0000-0000A8790000}"/>
    <cellStyle name="40 % - Markeringsfarve5 2 2 4 3 2 2" xfId="17265" xr:uid="{00000000-0005-0000-0000-0000A9790000}"/>
    <cellStyle name="40 % - Markeringsfarve5 2 2 4 3 2 2 2" xfId="33541" xr:uid="{00000000-0005-0000-0000-0000AA790000}"/>
    <cellStyle name="40 % - Markeringsfarve5 2 2 4 3 2 2 3" xfId="48500" xr:uid="{00000000-0005-0000-0000-0000AB790000}"/>
    <cellStyle name="40 % - Markeringsfarve5 2 2 4 3 2 3" xfId="26539" xr:uid="{00000000-0005-0000-0000-0000AC790000}"/>
    <cellStyle name="40 % - Markeringsfarve5 2 2 4 3 2 4" xfId="41503" xr:uid="{00000000-0005-0000-0000-0000AD790000}"/>
    <cellStyle name="40 % - Markeringsfarve5 2 2 4 3 3" xfId="14898" xr:uid="{00000000-0005-0000-0000-0000AE790000}"/>
    <cellStyle name="40 % - Markeringsfarve5 2 2 4 3 3 2" xfId="31177" xr:uid="{00000000-0005-0000-0000-0000AF790000}"/>
    <cellStyle name="40 % - Markeringsfarve5 2 2 4 3 3 3" xfId="46137" xr:uid="{00000000-0005-0000-0000-0000B0790000}"/>
    <cellStyle name="40 % - Markeringsfarve5 2 2 4 3 4" xfId="24175" xr:uid="{00000000-0005-0000-0000-0000B1790000}"/>
    <cellStyle name="40 % - Markeringsfarve5 2 2 4 3 5" xfId="39140" xr:uid="{00000000-0005-0000-0000-0000B2790000}"/>
    <cellStyle name="40 % - Markeringsfarve5 2 2 4 4" xfId="6414" xr:uid="{00000000-0005-0000-0000-0000B3790000}"/>
    <cellStyle name="40 % - Markeringsfarve5 2 2 4 4 2" xfId="10833" xr:uid="{00000000-0005-0000-0000-0000B4790000}"/>
    <cellStyle name="40 % - Markeringsfarve5 2 2 4 4 2 2" xfId="18671" xr:uid="{00000000-0005-0000-0000-0000B5790000}"/>
    <cellStyle name="40 % - Markeringsfarve5 2 2 4 4 2 2 2" xfId="34947" xr:uid="{00000000-0005-0000-0000-0000B6790000}"/>
    <cellStyle name="40 % - Markeringsfarve5 2 2 4 4 2 2 3" xfId="49906" xr:uid="{00000000-0005-0000-0000-0000B7790000}"/>
    <cellStyle name="40 % - Markeringsfarve5 2 2 4 4 2 3" xfId="27945" xr:uid="{00000000-0005-0000-0000-0000B8790000}"/>
    <cellStyle name="40 % - Markeringsfarve5 2 2 4 4 2 4" xfId="42909" xr:uid="{00000000-0005-0000-0000-0000B9790000}"/>
    <cellStyle name="40 % - Markeringsfarve5 2 2 4 4 3" xfId="14899" xr:uid="{00000000-0005-0000-0000-0000BA790000}"/>
    <cellStyle name="40 % - Markeringsfarve5 2 2 4 4 3 2" xfId="31178" xr:uid="{00000000-0005-0000-0000-0000BB790000}"/>
    <cellStyle name="40 % - Markeringsfarve5 2 2 4 4 3 3" xfId="46138" xr:uid="{00000000-0005-0000-0000-0000BC790000}"/>
    <cellStyle name="40 % - Markeringsfarve5 2 2 4 4 4" xfId="24176" xr:uid="{00000000-0005-0000-0000-0000BD790000}"/>
    <cellStyle name="40 % - Markeringsfarve5 2 2 4 4 5" xfId="39141" xr:uid="{00000000-0005-0000-0000-0000BE790000}"/>
    <cellStyle name="40 % - Markeringsfarve5 2 2 4 5" xfId="8191" xr:uid="{00000000-0005-0000-0000-0000BF790000}"/>
    <cellStyle name="40 % - Markeringsfarve5 2 2 4 5 2" xfId="16056" xr:uid="{00000000-0005-0000-0000-0000C0790000}"/>
    <cellStyle name="40 % - Markeringsfarve5 2 2 4 5 2 2" xfId="32332" xr:uid="{00000000-0005-0000-0000-0000C1790000}"/>
    <cellStyle name="40 % - Markeringsfarve5 2 2 4 5 2 3" xfId="47291" xr:uid="{00000000-0005-0000-0000-0000C2790000}"/>
    <cellStyle name="40 % - Markeringsfarve5 2 2 4 5 3" xfId="25330" xr:uid="{00000000-0005-0000-0000-0000C3790000}"/>
    <cellStyle name="40 % - Markeringsfarve5 2 2 4 5 4" xfId="40294" xr:uid="{00000000-0005-0000-0000-0000C4790000}"/>
    <cellStyle name="40 % - Markeringsfarve5 2 2 4 6" xfId="14895" xr:uid="{00000000-0005-0000-0000-0000C5790000}"/>
    <cellStyle name="40 % - Markeringsfarve5 2 2 4 6 2" xfId="31174" xr:uid="{00000000-0005-0000-0000-0000C6790000}"/>
    <cellStyle name="40 % - Markeringsfarve5 2 2 4 6 3" xfId="46134" xr:uid="{00000000-0005-0000-0000-0000C7790000}"/>
    <cellStyle name="40 % - Markeringsfarve5 2 2 4 7" xfId="24172" xr:uid="{00000000-0005-0000-0000-0000C8790000}"/>
    <cellStyle name="40 % - Markeringsfarve5 2 2 4 8" xfId="39137" xr:uid="{00000000-0005-0000-0000-0000C9790000}"/>
    <cellStyle name="40 % - Markeringsfarve5 2 2 5" xfId="6415" xr:uid="{00000000-0005-0000-0000-0000CA790000}"/>
    <cellStyle name="40 % - Markeringsfarve5 2 2 5 2" xfId="6416" xr:uid="{00000000-0005-0000-0000-0000CB790000}"/>
    <cellStyle name="40 % - Markeringsfarve5 2 2 5 2 2" xfId="6417" xr:uid="{00000000-0005-0000-0000-0000CC790000}"/>
    <cellStyle name="40 % - Markeringsfarve5 2 2 5 2 2 2" xfId="10242" xr:uid="{00000000-0005-0000-0000-0000CD790000}"/>
    <cellStyle name="40 % - Markeringsfarve5 2 2 5 2 2 2 2" xfId="18097" xr:uid="{00000000-0005-0000-0000-0000CE790000}"/>
    <cellStyle name="40 % - Markeringsfarve5 2 2 5 2 2 2 2 2" xfId="34373" xr:uid="{00000000-0005-0000-0000-0000CF790000}"/>
    <cellStyle name="40 % - Markeringsfarve5 2 2 5 2 2 2 2 3" xfId="49332" xr:uid="{00000000-0005-0000-0000-0000D0790000}"/>
    <cellStyle name="40 % - Markeringsfarve5 2 2 5 2 2 2 3" xfId="27371" xr:uid="{00000000-0005-0000-0000-0000D1790000}"/>
    <cellStyle name="40 % - Markeringsfarve5 2 2 5 2 2 2 4" xfId="42335" xr:uid="{00000000-0005-0000-0000-0000D2790000}"/>
    <cellStyle name="40 % - Markeringsfarve5 2 2 5 2 2 3" xfId="14902" xr:uid="{00000000-0005-0000-0000-0000D3790000}"/>
    <cellStyle name="40 % - Markeringsfarve5 2 2 5 2 2 3 2" xfId="31181" xr:uid="{00000000-0005-0000-0000-0000D4790000}"/>
    <cellStyle name="40 % - Markeringsfarve5 2 2 5 2 2 3 3" xfId="46141" xr:uid="{00000000-0005-0000-0000-0000D5790000}"/>
    <cellStyle name="40 % - Markeringsfarve5 2 2 5 2 2 4" xfId="24179" xr:uid="{00000000-0005-0000-0000-0000D6790000}"/>
    <cellStyle name="40 % - Markeringsfarve5 2 2 5 2 2 5" xfId="39144" xr:uid="{00000000-0005-0000-0000-0000D7790000}"/>
    <cellStyle name="40 % - Markeringsfarve5 2 2 5 2 3" xfId="8760" xr:uid="{00000000-0005-0000-0000-0000D8790000}"/>
    <cellStyle name="40 % - Markeringsfarve5 2 2 5 2 3 2" xfId="16627" xr:uid="{00000000-0005-0000-0000-0000D9790000}"/>
    <cellStyle name="40 % - Markeringsfarve5 2 2 5 2 3 2 2" xfId="32903" xr:uid="{00000000-0005-0000-0000-0000DA790000}"/>
    <cellStyle name="40 % - Markeringsfarve5 2 2 5 2 3 2 3" xfId="47862" xr:uid="{00000000-0005-0000-0000-0000DB790000}"/>
    <cellStyle name="40 % - Markeringsfarve5 2 2 5 2 3 3" xfId="25901" xr:uid="{00000000-0005-0000-0000-0000DC790000}"/>
    <cellStyle name="40 % - Markeringsfarve5 2 2 5 2 3 4" xfId="40865" xr:uid="{00000000-0005-0000-0000-0000DD790000}"/>
    <cellStyle name="40 % - Markeringsfarve5 2 2 5 2 4" xfId="14901" xr:uid="{00000000-0005-0000-0000-0000DE790000}"/>
    <cellStyle name="40 % - Markeringsfarve5 2 2 5 2 4 2" xfId="31180" xr:uid="{00000000-0005-0000-0000-0000DF790000}"/>
    <cellStyle name="40 % - Markeringsfarve5 2 2 5 2 4 3" xfId="46140" xr:uid="{00000000-0005-0000-0000-0000E0790000}"/>
    <cellStyle name="40 % - Markeringsfarve5 2 2 5 2 5" xfId="24178" xr:uid="{00000000-0005-0000-0000-0000E1790000}"/>
    <cellStyle name="40 % - Markeringsfarve5 2 2 5 2 6" xfId="39143" xr:uid="{00000000-0005-0000-0000-0000E2790000}"/>
    <cellStyle name="40 % - Markeringsfarve5 2 2 5 3" xfId="6418" xr:uid="{00000000-0005-0000-0000-0000E3790000}"/>
    <cellStyle name="40 % - Markeringsfarve5 2 2 5 3 2" xfId="9519" xr:uid="{00000000-0005-0000-0000-0000E4790000}"/>
    <cellStyle name="40 % - Markeringsfarve5 2 2 5 3 2 2" xfId="17382" xr:uid="{00000000-0005-0000-0000-0000E5790000}"/>
    <cellStyle name="40 % - Markeringsfarve5 2 2 5 3 2 2 2" xfId="33658" xr:uid="{00000000-0005-0000-0000-0000E6790000}"/>
    <cellStyle name="40 % - Markeringsfarve5 2 2 5 3 2 2 3" xfId="48617" xr:uid="{00000000-0005-0000-0000-0000E7790000}"/>
    <cellStyle name="40 % - Markeringsfarve5 2 2 5 3 2 3" xfId="26656" xr:uid="{00000000-0005-0000-0000-0000E8790000}"/>
    <cellStyle name="40 % - Markeringsfarve5 2 2 5 3 2 4" xfId="41620" xr:uid="{00000000-0005-0000-0000-0000E9790000}"/>
    <cellStyle name="40 % - Markeringsfarve5 2 2 5 3 3" xfId="14903" xr:uid="{00000000-0005-0000-0000-0000EA790000}"/>
    <cellStyle name="40 % - Markeringsfarve5 2 2 5 3 3 2" xfId="31182" xr:uid="{00000000-0005-0000-0000-0000EB790000}"/>
    <cellStyle name="40 % - Markeringsfarve5 2 2 5 3 3 3" xfId="46142" xr:uid="{00000000-0005-0000-0000-0000EC790000}"/>
    <cellStyle name="40 % - Markeringsfarve5 2 2 5 3 4" xfId="24180" xr:uid="{00000000-0005-0000-0000-0000ED790000}"/>
    <cellStyle name="40 % - Markeringsfarve5 2 2 5 3 5" xfId="39145" xr:uid="{00000000-0005-0000-0000-0000EE790000}"/>
    <cellStyle name="40 % - Markeringsfarve5 2 2 5 4" xfId="6419" xr:uid="{00000000-0005-0000-0000-0000EF790000}"/>
    <cellStyle name="40 % - Markeringsfarve5 2 2 5 4 2" xfId="10483" xr:uid="{00000000-0005-0000-0000-0000F0790000}"/>
    <cellStyle name="40 % - Markeringsfarve5 2 2 5 4 2 2" xfId="18332" xr:uid="{00000000-0005-0000-0000-0000F1790000}"/>
    <cellStyle name="40 % - Markeringsfarve5 2 2 5 4 2 2 2" xfId="34608" xr:uid="{00000000-0005-0000-0000-0000F2790000}"/>
    <cellStyle name="40 % - Markeringsfarve5 2 2 5 4 2 2 3" xfId="49567" xr:uid="{00000000-0005-0000-0000-0000F3790000}"/>
    <cellStyle name="40 % - Markeringsfarve5 2 2 5 4 2 3" xfId="27606" xr:uid="{00000000-0005-0000-0000-0000F4790000}"/>
    <cellStyle name="40 % - Markeringsfarve5 2 2 5 4 2 4" xfId="42570" xr:uid="{00000000-0005-0000-0000-0000F5790000}"/>
    <cellStyle name="40 % - Markeringsfarve5 2 2 5 4 3" xfId="14904" xr:uid="{00000000-0005-0000-0000-0000F6790000}"/>
    <cellStyle name="40 % - Markeringsfarve5 2 2 5 4 3 2" xfId="31183" xr:uid="{00000000-0005-0000-0000-0000F7790000}"/>
    <cellStyle name="40 % - Markeringsfarve5 2 2 5 4 3 3" xfId="46143" xr:uid="{00000000-0005-0000-0000-0000F8790000}"/>
    <cellStyle name="40 % - Markeringsfarve5 2 2 5 4 4" xfId="24181" xr:uid="{00000000-0005-0000-0000-0000F9790000}"/>
    <cellStyle name="40 % - Markeringsfarve5 2 2 5 4 5" xfId="39146" xr:uid="{00000000-0005-0000-0000-0000FA790000}"/>
    <cellStyle name="40 % - Markeringsfarve5 2 2 5 5" xfId="8192" xr:uid="{00000000-0005-0000-0000-0000FB790000}"/>
    <cellStyle name="40 % - Markeringsfarve5 2 2 5 5 2" xfId="16057" xr:uid="{00000000-0005-0000-0000-0000FC790000}"/>
    <cellStyle name="40 % - Markeringsfarve5 2 2 5 5 2 2" xfId="32333" xr:uid="{00000000-0005-0000-0000-0000FD790000}"/>
    <cellStyle name="40 % - Markeringsfarve5 2 2 5 5 2 3" xfId="47292" xr:uid="{00000000-0005-0000-0000-0000FE790000}"/>
    <cellStyle name="40 % - Markeringsfarve5 2 2 5 5 3" xfId="25331" xr:uid="{00000000-0005-0000-0000-0000FF790000}"/>
    <cellStyle name="40 % - Markeringsfarve5 2 2 5 5 4" xfId="40295" xr:uid="{00000000-0005-0000-0000-0000007A0000}"/>
    <cellStyle name="40 % - Markeringsfarve5 2 2 5 6" xfId="14900" xr:uid="{00000000-0005-0000-0000-0000017A0000}"/>
    <cellStyle name="40 % - Markeringsfarve5 2 2 5 6 2" xfId="31179" xr:uid="{00000000-0005-0000-0000-0000027A0000}"/>
    <cellStyle name="40 % - Markeringsfarve5 2 2 5 6 3" xfId="46139" xr:uid="{00000000-0005-0000-0000-0000037A0000}"/>
    <cellStyle name="40 % - Markeringsfarve5 2 2 5 7" xfId="24177" xr:uid="{00000000-0005-0000-0000-0000047A0000}"/>
    <cellStyle name="40 % - Markeringsfarve5 2 2 5 8" xfId="39142" xr:uid="{00000000-0005-0000-0000-0000057A0000}"/>
    <cellStyle name="40 % - Markeringsfarve5 2 2 6" xfId="6420" xr:uid="{00000000-0005-0000-0000-0000067A0000}"/>
    <cellStyle name="40 % - Markeringsfarve5 2 2 6 2" xfId="6421" xr:uid="{00000000-0005-0000-0000-0000077A0000}"/>
    <cellStyle name="40 % - Markeringsfarve5 2 2 6 2 2" xfId="6422" xr:uid="{00000000-0005-0000-0000-0000087A0000}"/>
    <cellStyle name="40 % - Markeringsfarve5 2 2 6 2 2 2" xfId="10377" xr:uid="{00000000-0005-0000-0000-0000097A0000}"/>
    <cellStyle name="40 % - Markeringsfarve5 2 2 6 2 2 2 2" xfId="18232" xr:uid="{00000000-0005-0000-0000-00000A7A0000}"/>
    <cellStyle name="40 % - Markeringsfarve5 2 2 6 2 2 2 2 2" xfId="34508" xr:uid="{00000000-0005-0000-0000-00000B7A0000}"/>
    <cellStyle name="40 % - Markeringsfarve5 2 2 6 2 2 2 2 3" xfId="49467" xr:uid="{00000000-0005-0000-0000-00000C7A0000}"/>
    <cellStyle name="40 % - Markeringsfarve5 2 2 6 2 2 2 3" xfId="27506" xr:uid="{00000000-0005-0000-0000-00000D7A0000}"/>
    <cellStyle name="40 % - Markeringsfarve5 2 2 6 2 2 2 4" xfId="42470" xr:uid="{00000000-0005-0000-0000-00000E7A0000}"/>
    <cellStyle name="40 % - Markeringsfarve5 2 2 6 2 2 3" xfId="14907" xr:uid="{00000000-0005-0000-0000-00000F7A0000}"/>
    <cellStyle name="40 % - Markeringsfarve5 2 2 6 2 2 3 2" xfId="31186" xr:uid="{00000000-0005-0000-0000-0000107A0000}"/>
    <cellStyle name="40 % - Markeringsfarve5 2 2 6 2 2 3 3" xfId="46146" xr:uid="{00000000-0005-0000-0000-0000117A0000}"/>
    <cellStyle name="40 % - Markeringsfarve5 2 2 6 2 2 4" xfId="24184" xr:uid="{00000000-0005-0000-0000-0000127A0000}"/>
    <cellStyle name="40 % - Markeringsfarve5 2 2 6 2 2 5" xfId="39149" xr:uid="{00000000-0005-0000-0000-0000137A0000}"/>
    <cellStyle name="40 % - Markeringsfarve5 2 2 6 2 3" xfId="8871" xr:uid="{00000000-0005-0000-0000-0000147A0000}"/>
    <cellStyle name="40 % - Markeringsfarve5 2 2 6 2 3 2" xfId="16738" xr:uid="{00000000-0005-0000-0000-0000157A0000}"/>
    <cellStyle name="40 % - Markeringsfarve5 2 2 6 2 3 2 2" xfId="33014" xr:uid="{00000000-0005-0000-0000-0000167A0000}"/>
    <cellStyle name="40 % - Markeringsfarve5 2 2 6 2 3 2 3" xfId="47973" xr:uid="{00000000-0005-0000-0000-0000177A0000}"/>
    <cellStyle name="40 % - Markeringsfarve5 2 2 6 2 3 3" xfId="26012" xr:uid="{00000000-0005-0000-0000-0000187A0000}"/>
    <cellStyle name="40 % - Markeringsfarve5 2 2 6 2 3 4" xfId="40976" xr:uid="{00000000-0005-0000-0000-0000197A0000}"/>
    <cellStyle name="40 % - Markeringsfarve5 2 2 6 2 4" xfId="14906" xr:uid="{00000000-0005-0000-0000-00001A7A0000}"/>
    <cellStyle name="40 % - Markeringsfarve5 2 2 6 2 4 2" xfId="31185" xr:uid="{00000000-0005-0000-0000-00001B7A0000}"/>
    <cellStyle name="40 % - Markeringsfarve5 2 2 6 2 4 3" xfId="46145" xr:uid="{00000000-0005-0000-0000-00001C7A0000}"/>
    <cellStyle name="40 % - Markeringsfarve5 2 2 6 2 5" xfId="24183" xr:uid="{00000000-0005-0000-0000-00001D7A0000}"/>
    <cellStyle name="40 % - Markeringsfarve5 2 2 6 2 6" xfId="39148" xr:uid="{00000000-0005-0000-0000-00001E7A0000}"/>
    <cellStyle name="40 % - Markeringsfarve5 2 2 6 3" xfId="6423" xr:uid="{00000000-0005-0000-0000-00001F7A0000}"/>
    <cellStyle name="40 % - Markeringsfarve5 2 2 6 3 2" xfId="9655" xr:uid="{00000000-0005-0000-0000-0000207A0000}"/>
    <cellStyle name="40 % - Markeringsfarve5 2 2 6 3 2 2" xfId="17518" xr:uid="{00000000-0005-0000-0000-0000217A0000}"/>
    <cellStyle name="40 % - Markeringsfarve5 2 2 6 3 2 2 2" xfId="33794" xr:uid="{00000000-0005-0000-0000-0000227A0000}"/>
    <cellStyle name="40 % - Markeringsfarve5 2 2 6 3 2 2 3" xfId="48753" xr:uid="{00000000-0005-0000-0000-0000237A0000}"/>
    <cellStyle name="40 % - Markeringsfarve5 2 2 6 3 2 3" xfId="26792" xr:uid="{00000000-0005-0000-0000-0000247A0000}"/>
    <cellStyle name="40 % - Markeringsfarve5 2 2 6 3 2 4" xfId="41756" xr:uid="{00000000-0005-0000-0000-0000257A0000}"/>
    <cellStyle name="40 % - Markeringsfarve5 2 2 6 3 3" xfId="14908" xr:uid="{00000000-0005-0000-0000-0000267A0000}"/>
    <cellStyle name="40 % - Markeringsfarve5 2 2 6 3 3 2" xfId="31187" xr:uid="{00000000-0005-0000-0000-0000277A0000}"/>
    <cellStyle name="40 % - Markeringsfarve5 2 2 6 3 3 3" xfId="46147" xr:uid="{00000000-0005-0000-0000-0000287A0000}"/>
    <cellStyle name="40 % - Markeringsfarve5 2 2 6 3 4" xfId="24185" xr:uid="{00000000-0005-0000-0000-0000297A0000}"/>
    <cellStyle name="40 % - Markeringsfarve5 2 2 6 3 5" xfId="39150" xr:uid="{00000000-0005-0000-0000-00002A7A0000}"/>
    <cellStyle name="40 % - Markeringsfarve5 2 2 6 4" xfId="6424" xr:uid="{00000000-0005-0000-0000-00002B7A0000}"/>
    <cellStyle name="40 % - Markeringsfarve5 2 2 6 4 2" xfId="10786" xr:uid="{00000000-0005-0000-0000-00002C7A0000}"/>
    <cellStyle name="40 % - Markeringsfarve5 2 2 6 4 2 2" xfId="18628" xr:uid="{00000000-0005-0000-0000-00002D7A0000}"/>
    <cellStyle name="40 % - Markeringsfarve5 2 2 6 4 2 2 2" xfId="34904" xr:uid="{00000000-0005-0000-0000-00002E7A0000}"/>
    <cellStyle name="40 % - Markeringsfarve5 2 2 6 4 2 2 3" xfId="49863" xr:uid="{00000000-0005-0000-0000-00002F7A0000}"/>
    <cellStyle name="40 % - Markeringsfarve5 2 2 6 4 2 3" xfId="27902" xr:uid="{00000000-0005-0000-0000-0000307A0000}"/>
    <cellStyle name="40 % - Markeringsfarve5 2 2 6 4 2 4" xfId="42866" xr:uid="{00000000-0005-0000-0000-0000317A0000}"/>
    <cellStyle name="40 % - Markeringsfarve5 2 2 6 4 3" xfId="14909" xr:uid="{00000000-0005-0000-0000-0000327A0000}"/>
    <cellStyle name="40 % - Markeringsfarve5 2 2 6 4 3 2" xfId="31188" xr:uid="{00000000-0005-0000-0000-0000337A0000}"/>
    <cellStyle name="40 % - Markeringsfarve5 2 2 6 4 3 3" xfId="46148" xr:uid="{00000000-0005-0000-0000-0000347A0000}"/>
    <cellStyle name="40 % - Markeringsfarve5 2 2 6 4 4" xfId="24186" xr:uid="{00000000-0005-0000-0000-0000357A0000}"/>
    <cellStyle name="40 % - Markeringsfarve5 2 2 6 4 5" xfId="39151" xr:uid="{00000000-0005-0000-0000-0000367A0000}"/>
    <cellStyle name="40 % - Markeringsfarve5 2 2 6 5" xfId="8193" xr:uid="{00000000-0005-0000-0000-0000377A0000}"/>
    <cellStyle name="40 % - Markeringsfarve5 2 2 6 5 2" xfId="16058" xr:uid="{00000000-0005-0000-0000-0000387A0000}"/>
    <cellStyle name="40 % - Markeringsfarve5 2 2 6 5 2 2" xfId="32334" xr:uid="{00000000-0005-0000-0000-0000397A0000}"/>
    <cellStyle name="40 % - Markeringsfarve5 2 2 6 5 2 3" xfId="47293" xr:uid="{00000000-0005-0000-0000-00003A7A0000}"/>
    <cellStyle name="40 % - Markeringsfarve5 2 2 6 5 3" xfId="25332" xr:uid="{00000000-0005-0000-0000-00003B7A0000}"/>
    <cellStyle name="40 % - Markeringsfarve5 2 2 6 5 4" xfId="40296" xr:uid="{00000000-0005-0000-0000-00003C7A0000}"/>
    <cellStyle name="40 % - Markeringsfarve5 2 2 6 6" xfId="14905" xr:uid="{00000000-0005-0000-0000-00003D7A0000}"/>
    <cellStyle name="40 % - Markeringsfarve5 2 2 6 6 2" xfId="31184" xr:uid="{00000000-0005-0000-0000-00003E7A0000}"/>
    <cellStyle name="40 % - Markeringsfarve5 2 2 6 6 3" xfId="46144" xr:uid="{00000000-0005-0000-0000-00003F7A0000}"/>
    <cellStyle name="40 % - Markeringsfarve5 2 2 6 7" xfId="24182" xr:uid="{00000000-0005-0000-0000-0000407A0000}"/>
    <cellStyle name="40 % - Markeringsfarve5 2 2 6 8" xfId="39147" xr:uid="{00000000-0005-0000-0000-0000417A0000}"/>
    <cellStyle name="40 % - Markeringsfarve5 2 2 7" xfId="6425" xr:uid="{00000000-0005-0000-0000-0000427A0000}"/>
    <cellStyle name="40 % - Markeringsfarve5 2 2 7 2" xfId="6426" xr:uid="{00000000-0005-0000-0000-0000437A0000}"/>
    <cellStyle name="40 % - Markeringsfarve5 2 2 7 2 2" xfId="9769" xr:uid="{00000000-0005-0000-0000-0000447A0000}"/>
    <cellStyle name="40 % - Markeringsfarve5 2 2 7 2 2 2" xfId="17623" xr:uid="{00000000-0005-0000-0000-0000457A0000}"/>
    <cellStyle name="40 % - Markeringsfarve5 2 2 7 2 2 2 2" xfId="33899" xr:uid="{00000000-0005-0000-0000-0000467A0000}"/>
    <cellStyle name="40 % - Markeringsfarve5 2 2 7 2 2 2 3" xfId="48858" xr:uid="{00000000-0005-0000-0000-0000477A0000}"/>
    <cellStyle name="40 % - Markeringsfarve5 2 2 7 2 2 3" xfId="26897" xr:uid="{00000000-0005-0000-0000-0000487A0000}"/>
    <cellStyle name="40 % - Markeringsfarve5 2 2 7 2 2 4" xfId="41861" xr:uid="{00000000-0005-0000-0000-0000497A0000}"/>
    <cellStyle name="40 % - Markeringsfarve5 2 2 7 2 3" xfId="14911" xr:uid="{00000000-0005-0000-0000-00004A7A0000}"/>
    <cellStyle name="40 % - Markeringsfarve5 2 2 7 2 3 2" xfId="31190" xr:uid="{00000000-0005-0000-0000-00004B7A0000}"/>
    <cellStyle name="40 % - Markeringsfarve5 2 2 7 2 3 3" xfId="46150" xr:uid="{00000000-0005-0000-0000-00004C7A0000}"/>
    <cellStyle name="40 % - Markeringsfarve5 2 2 7 2 4" xfId="24188" xr:uid="{00000000-0005-0000-0000-00004D7A0000}"/>
    <cellStyle name="40 % - Markeringsfarve5 2 2 7 2 5" xfId="39153" xr:uid="{00000000-0005-0000-0000-00004E7A0000}"/>
    <cellStyle name="40 % - Markeringsfarve5 2 2 7 3" xfId="8360" xr:uid="{00000000-0005-0000-0000-00004F7A0000}"/>
    <cellStyle name="40 % - Markeringsfarve5 2 2 7 3 2" xfId="16230" xr:uid="{00000000-0005-0000-0000-0000507A0000}"/>
    <cellStyle name="40 % - Markeringsfarve5 2 2 7 3 2 2" xfId="32506" xr:uid="{00000000-0005-0000-0000-0000517A0000}"/>
    <cellStyle name="40 % - Markeringsfarve5 2 2 7 3 2 3" xfId="47465" xr:uid="{00000000-0005-0000-0000-0000527A0000}"/>
    <cellStyle name="40 % - Markeringsfarve5 2 2 7 3 3" xfId="25504" xr:uid="{00000000-0005-0000-0000-0000537A0000}"/>
    <cellStyle name="40 % - Markeringsfarve5 2 2 7 3 4" xfId="40468" xr:uid="{00000000-0005-0000-0000-0000547A0000}"/>
    <cellStyle name="40 % - Markeringsfarve5 2 2 7 4" xfId="14910" xr:uid="{00000000-0005-0000-0000-0000557A0000}"/>
    <cellStyle name="40 % - Markeringsfarve5 2 2 7 4 2" xfId="31189" xr:uid="{00000000-0005-0000-0000-0000567A0000}"/>
    <cellStyle name="40 % - Markeringsfarve5 2 2 7 4 3" xfId="46149" xr:uid="{00000000-0005-0000-0000-0000577A0000}"/>
    <cellStyle name="40 % - Markeringsfarve5 2 2 7 5" xfId="24187" xr:uid="{00000000-0005-0000-0000-0000587A0000}"/>
    <cellStyle name="40 % - Markeringsfarve5 2 2 7 6" xfId="39152" xr:uid="{00000000-0005-0000-0000-0000597A0000}"/>
    <cellStyle name="40 % - Markeringsfarve5 2 2 8" xfId="6427" xr:uid="{00000000-0005-0000-0000-00005A7A0000}"/>
    <cellStyle name="40 % - Markeringsfarve5 2 2 8 2" xfId="8997" xr:uid="{00000000-0005-0000-0000-00005B7A0000}"/>
    <cellStyle name="40 % - Markeringsfarve5 2 2 8 2 2" xfId="16861" xr:uid="{00000000-0005-0000-0000-00005C7A0000}"/>
    <cellStyle name="40 % - Markeringsfarve5 2 2 8 2 2 2" xfId="33137" xr:uid="{00000000-0005-0000-0000-00005D7A0000}"/>
    <cellStyle name="40 % - Markeringsfarve5 2 2 8 2 2 3" xfId="48096" xr:uid="{00000000-0005-0000-0000-00005E7A0000}"/>
    <cellStyle name="40 % - Markeringsfarve5 2 2 8 2 3" xfId="26135" xr:uid="{00000000-0005-0000-0000-00005F7A0000}"/>
    <cellStyle name="40 % - Markeringsfarve5 2 2 8 2 4" xfId="41099" xr:uid="{00000000-0005-0000-0000-0000607A0000}"/>
    <cellStyle name="40 % - Markeringsfarve5 2 2 8 3" xfId="14912" xr:uid="{00000000-0005-0000-0000-0000617A0000}"/>
    <cellStyle name="40 % - Markeringsfarve5 2 2 8 3 2" xfId="31191" xr:uid="{00000000-0005-0000-0000-0000627A0000}"/>
    <cellStyle name="40 % - Markeringsfarve5 2 2 8 3 3" xfId="46151" xr:uid="{00000000-0005-0000-0000-0000637A0000}"/>
    <cellStyle name="40 % - Markeringsfarve5 2 2 8 4" xfId="24189" xr:uid="{00000000-0005-0000-0000-0000647A0000}"/>
    <cellStyle name="40 % - Markeringsfarve5 2 2 8 5" xfId="39154" xr:uid="{00000000-0005-0000-0000-0000657A0000}"/>
    <cellStyle name="40 % - Markeringsfarve5 2 2 9" xfId="6428" xr:uid="{00000000-0005-0000-0000-0000667A0000}"/>
    <cellStyle name="40 % - Markeringsfarve5 2 2 9 2" xfId="10642" xr:uid="{00000000-0005-0000-0000-0000677A0000}"/>
    <cellStyle name="40 % - Markeringsfarve5 2 2 9 2 2" xfId="18489" xr:uid="{00000000-0005-0000-0000-0000687A0000}"/>
    <cellStyle name="40 % - Markeringsfarve5 2 2 9 2 2 2" xfId="34765" xr:uid="{00000000-0005-0000-0000-0000697A0000}"/>
    <cellStyle name="40 % - Markeringsfarve5 2 2 9 2 2 3" xfId="49724" xr:uid="{00000000-0005-0000-0000-00006A7A0000}"/>
    <cellStyle name="40 % - Markeringsfarve5 2 2 9 2 3" xfId="27763" xr:uid="{00000000-0005-0000-0000-00006B7A0000}"/>
    <cellStyle name="40 % - Markeringsfarve5 2 2 9 2 4" xfId="42727" xr:uid="{00000000-0005-0000-0000-00006C7A0000}"/>
    <cellStyle name="40 % - Markeringsfarve5 2 2 9 3" xfId="14913" xr:uid="{00000000-0005-0000-0000-00006D7A0000}"/>
    <cellStyle name="40 % - Markeringsfarve5 2 2 9 3 2" xfId="31192" xr:uid="{00000000-0005-0000-0000-00006E7A0000}"/>
    <cellStyle name="40 % - Markeringsfarve5 2 2 9 3 3" xfId="46152" xr:uid="{00000000-0005-0000-0000-00006F7A0000}"/>
    <cellStyle name="40 % - Markeringsfarve5 2 2 9 4" xfId="24190" xr:uid="{00000000-0005-0000-0000-0000707A0000}"/>
    <cellStyle name="40 % - Markeringsfarve5 2 2 9 5" xfId="39155" xr:uid="{00000000-0005-0000-0000-0000717A0000}"/>
    <cellStyle name="40 % - Markeringsfarve5 2 3" xfId="6429" xr:uid="{00000000-0005-0000-0000-0000727A0000}"/>
    <cellStyle name="40 % - Markeringsfarve5 2 3 10" xfId="8194" xr:uid="{00000000-0005-0000-0000-0000737A0000}"/>
    <cellStyle name="40 % - Markeringsfarve5 2 3 10 2" xfId="16059" xr:uid="{00000000-0005-0000-0000-0000747A0000}"/>
    <cellStyle name="40 % - Markeringsfarve5 2 3 10 2 2" xfId="32335" xr:uid="{00000000-0005-0000-0000-0000757A0000}"/>
    <cellStyle name="40 % - Markeringsfarve5 2 3 10 2 3" xfId="47294" xr:uid="{00000000-0005-0000-0000-0000767A0000}"/>
    <cellStyle name="40 % - Markeringsfarve5 2 3 10 3" xfId="25333" xr:uid="{00000000-0005-0000-0000-0000777A0000}"/>
    <cellStyle name="40 % - Markeringsfarve5 2 3 10 4" xfId="40297" xr:uid="{00000000-0005-0000-0000-0000787A0000}"/>
    <cellStyle name="40 % - Markeringsfarve5 2 3 11" xfId="14914" xr:uid="{00000000-0005-0000-0000-0000797A0000}"/>
    <cellStyle name="40 % - Markeringsfarve5 2 3 11 2" xfId="31193" xr:uid="{00000000-0005-0000-0000-00007A7A0000}"/>
    <cellStyle name="40 % - Markeringsfarve5 2 3 11 3" xfId="46153" xr:uid="{00000000-0005-0000-0000-00007B7A0000}"/>
    <cellStyle name="40 % - Markeringsfarve5 2 3 12" xfId="24191" xr:uid="{00000000-0005-0000-0000-00007C7A0000}"/>
    <cellStyle name="40 % - Markeringsfarve5 2 3 13" xfId="39156" xr:uid="{00000000-0005-0000-0000-00007D7A0000}"/>
    <cellStyle name="40 % - Markeringsfarve5 2 3 2" xfId="6430" xr:uid="{00000000-0005-0000-0000-00007E7A0000}"/>
    <cellStyle name="40 % - Markeringsfarve5 2 3 2 2" xfId="6431" xr:uid="{00000000-0005-0000-0000-00007F7A0000}"/>
    <cellStyle name="40 % - Markeringsfarve5 2 3 2 2 2" xfId="6432" xr:uid="{00000000-0005-0000-0000-0000807A0000}"/>
    <cellStyle name="40 % - Markeringsfarve5 2 3 2 2 2 2" xfId="9926" xr:uid="{00000000-0005-0000-0000-0000817A0000}"/>
    <cellStyle name="40 % - Markeringsfarve5 2 3 2 2 2 2 2" xfId="17781" xr:uid="{00000000-0005-0000-0000-0000827A0000}"/>
    <cellStyle name="40 % - Markeringsfarve5 2 3 2 2 2 2 2 2" xfId="34057" xr:uid="{00000000-0005-0000-0000-0000837A0000}"/>
    <cellStyle name="40 % - Markeringsfarve5 2 3 2 2 2 2 2 3" xfId="49016" xr:uid="{00000000-0005-0000-0000-0000847A0000}"/>
    <cellStyle name="40 % - Markeringsfarve5 2 3 2 2 2 2 3" xfId="27055" xr:uid="{00000000-0005-0000-0000-0000857A0000}"/>
    <cellStyle name="40 % - Markeringsfarve5 2 3 2 2 2 2 4" xfId="42019" xr:uid="{00000000-0005-0000-0000-0000867A0000}"/>
    <cellStyle name="40 % - Markeringsfarve5 2 3 2 2 2 3" xfId="14917" xr:uid="{00000000-0005-0000-0000-0000877A0000}"/>
    <cellStyle name="40 % - Markeringsfarve5 2 3 2 2 2 3 2" xfId="31196" xr:uid="{00000000-0005-0000-0000-0000887A0000}"/>
    <cellStyle name="40 % - Markeringsfarve5 2 3 2 2 2 3 3" xfId="46156" xr:uid="{00000000-0005-0000-0000-0000897A0000}"/>
    <cellStyle name="40 % - Markeringsfarve5 2 3 2 2 2 4" xfId="24194" xr:uid="{00000000-0005-0000-0000-00008A7A0000}"/>
    <cellStyle name="40 % - Markeringsfarve5 2 3 2 2 2 5" xfId="39159" xr:uid="{00000000-0005-0000-0000-00008B7A0000}"/>
    <cellStyle name="40 % - Markeringsfarve5 2 3 2 2 3" xfId="8492" xr:uid="{00000000-0005-0000-0000-00008C7A0000}"/>
    <cellStyle name="40 % - Markeringsfarve5 2 3 2 2 3 2" xfId="16362" xr:uid="{00000000-0005-0000-0000-00008D7A0000}"/>
    <cellStyle name="40 % - Markeringsfarve5 2 3 2 2 3 2 2" xfId="32638" xr:uid="{00000000-0005-0000-0000-00008E7A0000}"/>
    <cellStyle name="40 % - Markeringsfarve5 2 3 2 2 3 2 3" xfId="47597" xr:uid="{00000000-0005-0000-0000-00008F7A0000}"/>
    <cellStyle name="40 % - Markeringsfarve5 2 3 2 2 3 3" xfId="25636" xr:uid="{00000000-0005-0000-0000-0000907A0000}"/>
    <cellStyle name="40 % - Markeringsfarve5 2 3 2 2 3 4" xfId="40600" xr:uid="{00000000-0005-0000-0000-0000917A0000}"/>
    <cellStyle name="40 % - Markeringsfarve5 2 3 2 2 4" xfId="14916" xr:uid="{00000000-0005-0000-0000-0000927A0000}"/>
    <cellStyle name="40 % - Markeringsfarve5 2 3 2 2 4 2" xfId="31195" xr:uid="{00000000-0005-0000-0000-0000937A0000}"/>
    <cellStyle name="40 % - Markeringsfarve5 2 3 2 2 4 3" xfId="46155" xr:uid="{00000000-0005-0000-0000-0000947A0000}"/>
    <cellStyle name="40 % - Markeringsfarve5 2 3 2 2 5" xfId="24193" xr:uid="{00000000-0005-0000-0000-0000957A0000}"/>
    <cellStyle name="40 % - Markeringsfarve5 2 3 2 2 6" xfId="39158" xr:uid="{00000000-0005-0000-0000-0000967A0000}"/>
    <cellStyle name="40 % - Markeringsfarve5 2 3 2 3" xfId="6433" xr:uid="{00000000-0005-0000-0000-0000977A0000}"/>
    <cellStyle name="40 % - Markeringsfarve5 2 3 2 3 2" xfId="9157" xr:uid="{00000000-0005-0000-0000-0000987A0000}"/>
    <cellStyle name="40 % - Markeringsfarve5 2 3 2 3 2 2" xfId="17021" xr:uid="{00000000-0005-0000-0000-0000997A0000}"/>
    <cellStyle name="40 % - Markeringsfarve5 2 3 2 3 2 2 2" xfId="33297" xr:uid="{00000000-0005-0000-0000-00009A7A0000}"/>
    <cellStyle name="40 % - Markeringsfarve5 2 3 2 3 2 2 3" xfId="48256" xr:uid="{00000000-0005-0000-0000-00009B7A0000}"/>
    <cellStyle name="40 % - Markeringsfarve5 2 3 2 3 2 3" xfId="26295" xr:uid="{00000000-0005-0000-0000-00009C7A0000}"/>
    <cellStyle name="40 % - Markeringsfarve5 2 3 2 3 2 4" xfId="41259" xr:uid="{00000000-0005-0000-0000-00009D7A0000}"/>
    <cellStyle name="40 % - Markeringsfarve5 2 3 2 3 3" xfId="14918" xr:uid="{00000000-0005-0000-0000-00009E7A0000}"/>
    <cellStyle name="40 % - Markeringsfarve5 2 3 2 3 3 2" xfId="31197" xr:uid="{00000000-0005-0000-0000-00009F7A0000}"/>
    <cellStyle name="40 % - Markeringsfarve5 2 3 2 3 3 3" xfId="46157" xr:uid="{00000000-0005-0000-0000-0000A07A0000}"/>
    <cellStyle name="40 % - Markeringsfarve5 2 3 2 3 4" xfId="24195" xr:uid="{00000000-0005-0000-0000-0000A17A0000}"/>
    <cellStyle name="40 % - Markeringsfarve5 2 3 2 3 5" xfId="39160" xr:uid="{00000000-0005-0000-0000-0000A27A0000}"/>
    <cellStyle name="40 % - Markeringsfarve5 2 3 2 4" xfId="6434" xr:uid="{00000000-0005-0000-0000-0000A37A0000}"/>
    <cellStyle name="40 % - Markeringsfarve5 2 3 2 4 2" xfId="10771" xr:uid="{00000000-0005-0000-0000-0000A47A0000}"/>
    <cellStyle name="40 % - Markeringsfarve5 2 3 2 4 2 2" xfId="18613" xr:uid="{00000000-0005-0000-0000-0000A57A0000}"/>
    <cellStyle name="40 % - Markeringsfarve5 2 3 2 4 2 2 2" xfId="34889" xr:uid="{00000000-0005-0000-0000-0000A67A0000}"/>
    <cellStyle name="40 % - Markeringsfarve5 2 3 2 4 2 2 3" xfId="49848" xr:uid="{00000000-0005-0000-0000-0000A77A0000}"/>
    <cellStyle name="40 % - Markeringsfarve5 2 3 2 4 2 3" xfId="27887" xr:uid="{00000000-0005-0000-0000-0000A87A0000}"/>
    <cellStyle name="40 % - Markeringsfarve5 2 3 2 4 2 4" xfId="42851" xr:uid="{00000000-0005-0000-0000-0000A97A0000}"/>
    <cellStyle name="40 % - Markeringsfarve5 2 3 2 4 3" xfId="14919" xr:uid="{00000000-0005-0000-0000-0000AA7A0000}"/>
    <cellStyle name="40 % - Markeringsfarve5 2 3 2 4 3 2" xfId="31198" xr:uid="{00000000-0005-0000-0000-0000AB7A0000}"/>
    <cellStyle name="40 % - Markeringsfarve5 2 3 2 4 3 3" xfId="46158" xr:uid="{00000000-0005-0000-0000-0000AC7A0000}"/>
    <cellStyle name="40 % - Markeringsfarve5 2 3 2 4 4" xfId="24196" xr:uid="{00000000-0005-0000-0000-0000AD7A0000}"/>
    <cellStyle name="40 % - Markeringsfarve5 2 3 2 4 5" xfId="39161" xr:uid="{00000000-0005-0000-0000-0000AE7A0000}"/>
    <cellStyle name="40 % - Markeringsfarve5 2 3 2 5" xfId="8195" xr:uid="{00000000-0005-0000-0000-0000AF7A0000}"/>
    <cellStyle name="40 % - Markeringsfarve5 2 3 2 5 2" xfId="16060" xr:uid="{00000000-0005-0000-0000-0000B07A0000}"/>
    <cellStyle name="40 % - Markeringsfarve5 2 3 2 5 2 2" xfId="32336" xr:uid="{00000000-0005-0000-0000-0000B17A0000}"/>
    <cellStyle name="40 % - Markeringsfarve5 2 3 2 5 2 3" xfId="47295" xr:uid="{00000000-0005-0000-0000-0000B27A0000}"/>
    <cellStyle name="40 % - Markeringsfarve5 2 3 2 5 3" xfId="25334" xr:uid="{00000000-0005-0000-0000-0000B37A0000}"/>
    <cellStyle name="40 % - Markeringsfarve5 2 3 2 5 4" xfId="40298" xr:uid="{00000000-0005-0000-0000-0000B47A0000}"/>
    <cellStyle name="40 % - Markeringsfarve5 2 3 2 6" xfId="14915" xr:uid="{00000000-0005-0000-0000-0000B57A0000}"/>
    <cellStyle name="40 % - Markeringsfarve5 2 3 2 6 2" xfId="31194" xr:uid="{00000000-0005-0000-0000-0000B67A0000}"/>
    <cellStyle name="40 % - Markeringsfarve5 2 3 2 6 3" xfId="46154" xr:uid="{00000000-0005-0000-0000-0000B77A0000}"/>
    <cellStyle name="40 % - Markeringsfarve5 2 3 2 7" xfId="24192" xr:uid="{00000000-0005-0000-0000-0000B87A0000}"/>
    <cellStyle name="40 % - Markeringsfarve5 2 3 2 8" xfId="39157" xr:uid="{00000000-0005-0000-0000-0000B97A0000}"/>
    <cellStyle name="40 % - Markeringsfarve5 2 3 3" xfId="6435" xr:uid="{00000000-0005-0000-0000-0000BA7A0000}"/>
    <cellStyle name="40 % - Markeringsfarve5 2 3 3 2" xfId="6436" xr:uid="{00000000-0005-0000-0000-0000BB7A0000}"/>
    <cellStyle name="40 % - Markeringsfarve5 2 3 3 2 2" xfId="6437" xr:uid="{00000000-0005-0000-0000-0000BC7A0000}"/>
    <cellStyle name="40 % - Markeringsfarve5 2 3 3 2 2 2" xfId="10024" xr:uid="{00000000-0005-0000-0000-0000BD7A0000}"/>
    <cellStyle name="40 % - Markeringsfarve5 2 3 3 2 2 2 2" xfId="17879" xr:uid="{00000000-0005-0000-0000-0000BE7A0000}"/>
    <cellStyle name="40 % - Markeringsfarve5 2 3 3 2 2 2 2 2" xfId="34155" xr:uid="{00000000-0005-0000-0000-0000BF7A0000}"/>
    <cellStyle name="40 % - Markeringsfarve5 2 3 3 2 2 2 2 3" xfId="49114" xr:uid="{00000000-0005-0000-0000-0000C07A0000}"/>
    <cellStyle name="40 % - Markeringsfarve5 2 3 3 2 2 2 3" xfId="27153" xr:uid="{00000000-0005-0000-0000-0000C17A0000}"/>
    <cellStyle name="40 % - Markeringsfarve5 2 3 3 2 2 2 4" xfId="42117" xr:uid="{00000000-0005-0000-0000-0000C27A0000}"/>
    <cellStyle name="40 % - Markeringsfarve5 2 3 3 2 2 3" xfId="14922" xr:uid="{00000000-0005-0000-0000-0000C37A0000}"/>
    <cellStyle name="40 % - Markeringsfarve5 2 3 3 2 2 3 2" xfId="31201" xr:uid="{00000000-0005-0000-0000-0000C47A0000}"/>
    <cellStyle name="40 % - Markeringsfarve5 2 3 3 2 2 3 3" xfId="46161" xr:uid="{00000000-0005-0000-0000-0000C57A0000}"/>
    <cellStyle name="40 % - Markeringsfarve5 2 3 3 2 2 4" xfId="24199" xr:uid="{00000000-0005-0000-0000-0000C67A0000}"/>
    <cellStyle name="40 % - Markeringsfarve5 2 3 3 2 2 5" xfId="39164" xr:uid="{00000000-0005-0000-0000-0000C77A0000}"/>
    <cellStyle name="40 % - Markeringsfarve5 2 3 3 2 3" xfId="8571" xr:uid="{00000000-0005-0000-0000-0000C87A0000}"/>
    <cellStyle name="40 % - Markeringsfarve5 2 3 3 2 3 2" xfId="16441" xr:uid="{00000000-0005-0000-0000-0000C97A0000}"/>
    <cellStyle name="40 % - Markeringsfarve5 2 3 3 2 3 2 2" xfId="32717" xr:uid="{00000000-0005-0000-0000-0000CA7A0000}"/>
    <cellStyle name="40 % - Markeringsfarve5 2 3 3 2 3 2 3" xfId="47676" xr:uid="{00000000-0005-0000-0000-0000CB7A0000}"/>
    <cellStyle name="40 % - Markeringsfarve5 2 3 3 2 3 3" xfId="25715" xr:uid="{00000000-0005-0000-0000-0000CC7A0000}"/>
    <cellStyle name="40 % - Markeringsfarve5 2 3 3 2 3 4" xfId="40679" xr:uid="{00000000-0005-0000-0000-0000CD7A0000}"/>
    <cellStyle name="40 % - Markeringsfarve5 2 3 3 2 4" xfId="14921" xr:uid="{00000000-0005-0000-0000-0000CE7A0000}"/>
    <cellStyle name="40 % - Markeringsfarve5 2 3 3 2 4 2" xfId="31200" xr:uid="{00000000-0005-0000-0000-0000CF7A0000}"/>
    <cellStyle name="40 % - Markeringsfarve5 2 3 3 2 4 3" xfId="46160" xr:uid="{00000000-0005-0000-0000-0000D07A0000}"/>
    <cellStyle name="40 % - Markeringsfarve5 2 3 3 2 5" xfId="24198" xr:uid="{00000000-0005-0000-0000-0000D17A0000}"/>
    <cellStyle name="40 % - Markeringsfarve5 2 3 3 2 6" xfId="39163" xr:uid="{00000000-0005-0000-0000-0000D27A0000}"/>
    <cellStyle name="40 % - Markeringsfarve5 2 3 3 3" xfId="6438" xr:uid="{00000000-0005-0000-0000-0000D37A0000}"/>
    <cellStyle name="40 % - Markeringsfarve5 2 3 3 3 2" xfId="9255" xr:uid="{00000000-0005-0000-0000-0000D47A0000}"/>
    <cellStyle name="40 % - Markeringsfarve5 2 3 3 3 2 2" xfId="17119" xr:uid="{00000000-0005-0000-0000-0000D57A0000}"/>
    <cellStyle name="40 % - Markeringsfarve5 2 3 3 3 2 2 2" xfId="33395" xr:uid="{00000000-0005-0000-0000-0000D67A0000}"/>
    <cellStyle name="40 % - Markeringsfarve5 2 3 3 3 2 2 3" xfId="48354" xr:uid="{00000000-0005-0000-0000-0000D77A0000}"/>
    <cellStyle name="40 % - Markeringsfarve5 2 3 3 3 2 3" xfId="26393" xr:uid="{00000000-0005-0000-0000-0000D87A0000}"/>
    <cellStyle name="40 % - Markeringsfarve5 2 3 3 3 2 4" xfId="41357" xr:uid="{00000000-0005-0000-0000-0000D97A0000}"/>
    <cellStyle name="40 % - Markeringsfarve5 2 3 3 3 3" xfId="14923" xr:uid="{00000000-0005-0000-0000-0000DA7A0000}"/>
    <cellStyle name="40 % - Markeringsfarve5 2 3 3 3 3 2" xfId="31202" xr:uid="{00000000-0005-0000-0000-0000DB7A0000}"/>
    <cellStyle name="40 % - Markeringsfarve5 2 3 3 3 3 3" xfId="46162" xr:uid="{00000000-0005-0000-0000-0000DC7A0000}"/>
    <cellStyle name="40 % - Markeringsfarve5 2 3 3 3 4" xfId="24200" xr:uid="{00000000-0005-0000-0000-0000DD7A0000}"/>
    <cellStyle name="40 % - Markeringsfarve5 2 3 3 3 5" xfId="39165" xr:uid="{00000000-0005-0000-0000-0000DE7A0000}"/>
    <cellStyle name="40 % - Markeringsfarve5 2 3 3 4" xfId="6439" xr:uid="{00000000-0005-0000-0000-0000DF7A0000}"/>
    <cellStyle name="40 % - Markeringsfarve5 2 3 3 4 2" xfId="10969" xr:uid="{00000000-0005-0000-0000-0000E07A0000}"/>
    <cellStyle name="40 % - Markeringsfarve5 2 3 3 4 2 2" xfId="18800" xr:uid="{00000000-0005-0000-0000-0000E17A0000}"/>
    <cellStyle name="40 % - Markeringsfarve5 2 3 3 4 2 2 2" xfId="35076" xr:uid="{00000000-0005-0000-0000-0000E27A0000}"/>
    <cellStyle name="40 % - Markeringsfarve5 2 3 3 4 2 2 3" xfId="50035" xr:uid="{00000000-0005-0000-0000-0000E37A0000}"/>
    <cellStyle name="40 % - Markeringsfarve5 2 3 3 4 2 3" xfId="28074" xr:uid="{00000000-0005-0000-0000-0000E47A0000}"/>
    <cellStyle name="40 % - Markeringsfarve5 2 3 3 4 2 4" xfId="43038" xr:uid="{00000000-0005-0000-0000-0000E57A0000}"/>
    <cellStyle name="40 % - Markeringsfarve5 2 3 3 4 3" xfId="14924" xr:uid="{00000000-0005-0000-0000-0000E67A0000}"/>
    <cellStyle name="40 % - Markeringsfarve5 2 3 3 4 3 2" xfId="31203" xr:uid="{00000000-0005-0000-0000-0000E77A0000}"/>
    <cellStyle name="40 % - Markeringsfarve5 2 3 3 4 3 3" xfId="46163" xr:uid="{00000000-0005-0000-0000-0000E87A0000}"/>
    <cellStyle name="40 % - Markeringsfarve5 2 3 3 4 4" xfId="24201" xr:uid="{00000000-0005-0000-0000-0000E97A0000}"/>
    <cellStyle name="40 % - Markeringsfarve5 2 3 3 4 5" xfId="39166" xr:uid="{00000000-0005-0000-0000-0000EA7A0000}"/>
    <cellStyle name="40 % - Markeringsfarve5 2 3 3 5" xfId="8196" xr:uid="{00000000-0005-0000-0000-0000EB7A0000}"/>
    <cellStyle name="40 % - Markeringsfarve5 2 3 3 5 2" xfId="16061" xr:uid="{00000000-0005-0000-0000-0000EC7A0000}"/>
    <cellStyle name="40 % - Markeringsfarve5 2 3 3 5 2 2" xfId="32337" xr:uid="{00000000-0005-0000-0000-0000ED7A0000}"/>
    <cellStyle name="40 % - Markeringsfarve5 2 3 3 5 2 3" xfId="47296" xr:uid="{00000000-0005-0000-0000-0000EE7A0000}"/>
    <cellStyle name="40 % - Markeringsfarve5 2 3 3 5 3" xfId="25335" xr:uid="{00000000-0005-0000-0000-0000EF7A0000}"/>
    <cellStyle name="40 % - Markeringsfarve5 2 3 3 5 4" xfId="40299" xr:uid="{00000000-0005-0000-0000-0000F07A0000}"/>
    <cellStyle name="40 % - Markeringsfarve5 2 3 3 6" xfId="14920" xr:uid="{00000000-0005-0000-0000-0000F17A0000}"/>
    <cellStyle name="40 % - Markeringsfarve5 2 3 3 6 2" xfId="31199" xr:uid="{00000000-0005-0000-0000-0000F27A0000}"/>
    <cellStyle name="40 % - Markeringsfarve5 2 3 3 6 3" xfId="46159" xr:uid="{00000000-0005-0000-0000-0000F37A0000}"/>
    <cellStyle name="40 % - Markeringsfarve5 2 3 3 7" xfId="24197" xr:uid="{00000000-0005-0000-0000-0000F47A0000}"/>
    <cellStyle name="40 % - Markeringsfarve5 2 3 3 8" xfId="39162" xr:uid="{00000000-0005-0000-0000-0000F57A0000}"/>
    <cellStyle name="40 % - Markeringsfarve5 2 3 4" xfId="6440" xr:uid="{00000000-0005-0000-0000-0000F67A0000}"/>
    <cellStyle name="40 % - Markeringsfarve5 2 3 4 2" xfId="6441" xr:uid="{00000000-0005-0000-0000-0000F77A0000}"/>
    <cellStyle name="40 % - Markeringsfarve5 2 3 4 2 2" xfId="6442" xr:uid="{00000000-0005-0000-0000-0000F87A0000}"/>
    <cellStyle name="40 % - Markeringsfarve5 2 3 4 2 2 2" xfId="10164" xr:uid="{00000000-0005-0000-0000-0000F97A0000}"/>
    <cellStyle name="40 % - Markeringsfarve5 2 3 4 2 2 2 2" xfId="18019" xr:uid="{00000000-0005-0000-0000-0000FA7A0000}"/>
    <cellStyle name="40 % - Markeringsfarve5 2 3 4 2 2 2 2 2" xfId="34295" xr:uid="{00000000-0005-0000-0000-0000FB7A0000}"/>
    <cellStyle name="40 % - Markeringsfarve5 2 3 4 2 2 2 2 3" xfId="49254" xr:uid="{00000000-0005-0000-0000-0000FC7A0000}"/>
    <cellStyle name="40 % - Markeringsfarve5 2 3 4 2 2 2 3" xfId="27293" xr:uid="{00000000-0005-0000-0000-0000FD7A0000}"/>
    <cellStyle name="40 % - Markeringsfarve5 2 3 4 2 2 2 4" xfId="42257" xr:uid="{00000000-0005-0000-0000-0000FE7A0000}"/>
    <cellStyle name="40 % - Markeringsfarve5 2 3 4 2 2 3" xfId="14927" xr:uid="{00000000-0005-0000-0000-0000FF7A0000}"/>
    <cellStyle name="40 % - Markeringsfarve5 2 3 4 2 2 3 2" xfId="31206" xr:uid="{00000000-0005-0000-0000-0000007B0000}"/>
    <cellStyle name="40 % - Markeringsfarve5 2 3 4 2 2 3 3" xfId="46166" xr:uid="{00000000-0005-0000-0000-0000017B0000}"/>
    <cellStyle name="40 % - Markeringsfarve5 2 3 4 2 2 4" xfId="24204" xr:uid="{00000000-0005-0000-0000-0000027B0000}"/>
    <cellStyle name="40 % - Markeringsfarve5 2 3 4 2 2 5" xfId="39169" xr:uid="{00000000-0005-0000-0000-0000037B0000}"/>
    <cellStyle name="40 % - Markeringsfarve5 2 3 4 2 3" xfId="8694" xr:uid="{00000000-0005-0000-0000-0000047B0000}"/>
    <cellStyle name="40 % - Markeringsfarve5 2 3 4 2 3 2" xfId="16561" xr:uid="{00000000-0005-0000-0000-0000057B0000}"/>
    <cellStyle name="40 % - Markeringsfarve5 2 3 4 2 3 2 2" xfId="32837" xr:uid="{00000000-0005-0000-0000-0000067B0000}"/>
    <cellStyle name="40 % - Markeringsfarve5 2 3 4 2 3 2 3" xfId="47796" xr:uid="{00000000-0005-0000-0000-0000077B0000}"/>
    <cellStyle name="40 % - Markeringsfarve5 2 3 4 2 3 3" xfId="25835" xr:uid="{00000000-0005-0000-0000-0000087B0000}"/>
    <cellStyle name="40 % - Markeringsfarve5 2 3 4 2 3 4" xfId="40799" xr:uid="{00000000-0005-0000-0000-0000097B0000}"/>
    <cellStyle name="40 % - Markeringsfarve5 2 3 4 2 4" xfId="14926" xr:uid="{00000000-0005-0000-0000-00000A7B0000}"/>
    <cellStyle name="40 % - Markeringsfarve5 2 3 4 2 4 2" xfId="31205" xr:uid="{00000000-0005-0000-0000-00000B7B0000}"/>
    <cellStyle name="40 % - Markeringsfarve5 2 3 4 2 4 3" xfId="46165" xr:uid="{00000000-0005-0000-0000-00000C7B0000}"/>
    <cellStyle name="40 % - Markeringsfarve5 2 3 4 2 5" xfId="24203" xr:uid="{00000000-0005-0000-0000-00000D7B0000}"/>
    <cellStyle name="40 % - Markeringsfarve5 2 3 4 2 6" xfId="39168" xr:uid="{00000000-0005-0000-0000-00000E7B0000}"/>
    <cellStyle name="40 % - Markeringsfarve5 2 3 4 3" xfId="6443" xr:uid="{00000000-0005-0000-0000-00000F7B0000}"/>
    <cellStyle name="40 % - Markeringsfarve5 2 3 4 3 2" xfId="9441" xr:uid="{00000000-0005-0000-0000-0000107B0000}"/>
    <cellStyle name="40 % - Markeringsfarve5 2 3 4 3 2 2" xfId="17304" xr:uid="{00000000-0005-0000-0000-0000117B0000}"/>
    <cellStyle name="40 % - Markeringsfarve5 2 3 4 3 2 2 2" xfId="33580" xr:uid="{00000000-0005-0000-0000-0000127B0000}"/>
    <cellStyle name="40 % - Markeringsfarve5 2 3 4 3 2 2 3" xfId="48539" xr:uid="{00000000-0005-0000-0000-0000137B0000}"/>
    <cellStyle name="40 % - Markeringsfarve5 2 3 4 3 2 3" xfId="26578" xr:uid="{00000000-0005-0000-0000-0000147B0000}"/>
    <cellStyle name="40 % - Markeringsfarve5 2 3 4 3 2 4" xfId="41542" xr:uid="{00000000-0005-0000-0000-0000157B0000}"/>
    <cellStyle name="40 % - Markeringsfarve5 2 3 4 3 3" xfId="14928" xr:uid="{00000000-0005-0000-0000-0000167B0000}"/>
    <cellStyle name="40 % - Markeringsfarve5 2 3 4 3 3 2" xfId="31207" xr:uid="{00000000-0005-0000-0000-0000177B0000}"/>
    <cellStyle name="40 % - Markeringsfarve5 2 3 4 3 3 3" xfId="46167" xr:uid="{00000000-0005-0000-0000-0000187B0000}"/>
    <cellStyle name="40 % - Markeringsfarve5 2 3 4 3 4" xfId="24205" xr:uid="{00000000-0005-0000-0000-0000197B0000}"/>
    <cellStyle name="40 % - Markeringsfarve5 2 3 4 3 5" xfId="39170" xr:uid="{00000000-0005-0000-0000-00001A7B0000}"/>
    <cellStyle name="40 % - Markeringsfarve5 2 3 4 4" xfId="6444" xr:uid="{00000000-0005-0000-0000-00001B7B0000}"/>
    <cellStyle name="40 % - Markeringsfarve5 2 3 4 4 2" xfId="10689" xr:uid="{00000000-0005-0000-0000-00001C7B0000}"/>
    <cellStyle name="40 % - Markeringsfarve5 2 3 4 4 2 2" xfId="18533" xr:uid="{00000000-0005-0000-0000-00001D7B0000}"/>
    <cellStyle name="40 % - Markeringsfarve5 2 3 4 4 2 2 2" xfId="34809" xr:uid="{00000000-0005-0000-0000-00001E7B0000}"/>
    <cellStyle name="40 % - Markeringsfarve5 2 3 4 4 2 2 3" xfId="49768" xr:uid="{00000000-0005-0000-0000-00001F7B0000}"/>
    <cellStyle name="40 % - Markeringsfarve5 2 3 4 4 2 3" xfId="27807" xr:uid="{00000000-0005-0000-0000-0000207B0000}"/>
    <cellStyle name="40 % - Markeringsfarve5 2 3 4 4 2 4" xfId="42771" xr:uid="{00000000-0005-0000-0000-0000217B0000}"/>
    <cellStyle name="40 % - Markeringsfarve5 2 3 4 4 3" xfId="14929" xr:uid="{00000000-0005-0000-0000-0000227B0000}"/>
    <cellStyle name="40 % - Markeringsfarve5 2 3 4 4 3 2" xfId="31208" xr:uid="{00000000-0005-0000-0000-0000237B0000}"/>
    <cellStyle name="40 % - Markeringsfarve5 2 3 4 4 3 3" xfId="46168" xr:uid="{00000000-0005-0000-0000-0000247B0000}"/>
    <cellStyle name="40 % - Markeringsfarve5 2 3 4 4 4" xfId="24206" xr:uid="{00000000-0005-0000-0000-0000257B0000}"/>
    <cellStyle name="40 % - Markeringsfarve5 2 3 4 4 5" xfId="39171" xr:uid="{00000000-0005-0000-0000-0000267B0000}"/>
    <cellStyle name="40 % - Markeringsfarve5 2 3 4 5" xfId="8197" xr:uid="{00000000-0005-0000-0000-0000277B0000}"/>
    <cellStyle name="40 % - Markeringsfarve5 2 3 4 5 2" xfId="16062" xr:uid="{00000000-0005-0000-0000-0000287B0000}"/>
    <cellStyle name="40 % - Markeringsfarve5 2 3 4 5 2 2" xfId="32338" xr:uid="{00000000-0005-0000-0000-0000297B0000}"/>
    <cellStyle name="40 % - Markeringsfarve5 2 3 4 5 2 3" xfId="47297" xr:uid="{00000000-0005-0000-0000-00002A7B0000}"/>
    <cellStyle name="40 % - Markeringsfarve5 2 3 4 5 3" xfId="25336" xr:uid="{00000000-0005-0000-0000-00002B7B0000}"/>
    <cellStyle name="40 % - Markeringsfarve5 2 3 4 5 4" xfId="40300" xr:uid="{00000000-0005-0000-0000-00002C7B0000}"/>
    <cellStyle name="40 % - Markeringsfarve5 2 3 4 6" xfId="14925" xr:uid="{00000000-0005-0000-0000-00002D7B0000}"/>
    <cellStyle name="40 % - Markeringsfarve5 2 3 4 6 2" xfId="31204" xr:uid="{00000000-0005-0000-0000-00002E7B0000}"/>
    <cellStyle name="40 % - Markeringsfarve5 2 3 4 6 3" xfId="46164" xr:uid="{00000000-0005-0000-0000-00002F7B0000}"/>
    <cellStyle name="40 % - Markeringsfarve5 2 3 4 7" xfId="24202" xr:uid="{00000000-0005-0000-0000-0000307B0000}"/>
    <cellStyle name="40 % - Markeringsfarve5 2 3 4 8" xfId="39167" xr:uid="{00000000-0005-0000-0000-0000317B0000}"/>
    <cellStyle name="40 % - Markeringsfarve5 2 3 5" xfId="6445" xr:uid="{00000000-0005-0000-0000-0000327B0000}"/>
    <cellStyle name="40 % - Markeringsfarve5 2 3 5 2" xfId="6446" xr:uid="{00000000-0005-0000-0000-0000337B0000}"/>
    <cellStyle name="40 % - Markeringsfarve5 2 3 5 2 2" xfId="6447" xr:uid="{00000000-0005-0000-0000-0000347B0000}"/>
    <cellStyle name="40 % - Markeringsfarve5 2 3 5 2 2 2" xfId="10281" xr:uid="{00000000-0005-0000-0000-0000357B0000}"/>
    <cellStyle name="40 % - Markeringsfarve5 2 3 5 2 2 2 2" xfId="18136" xr:uid="{00000000-0005-0000-0000-0000367B0000}"/>
    <cellStyle name="40 % - Markeringsfarve5 2 3 5 2 2 2 2 2" xfId="34412" xr:uid="{00000000-0005-0000-0000-0000377B0000}"/>
    <cellStyle name="40 % - Markeringsfarve5 2 3 5 2 2 2 2 3" xfId="49371" xr:uid="{00000000-0005-0000-0000-0000387B0000}"/>
    <cellStyle name="40 % - Markeringsfarve5 2 3 5 2 2 2 3" xfId="27410" xr:uid="{00000000-0005-0000-0000-0000397B0000}"/>
    <cellStyle name="40 % - Markeringsfarve5 2 3 5 2 2 2 4" xfId="42374" xr:uid="{00000000-0005-0000-0000-00003A7B0000}"/>
    <cellStyle name="40 % - Markeringsfarve5 2 3 5 2 2 3" xfId="14932" xr:uid="{00000000-0005-0000-0000-00003B7B0000}"/>
    <cellStyle name="40 % - Markeringsfarve5 2 3 5 2 2 3 2" xfId="31211" xr:uid="{00000000-0005-0000-0000-00003C7B0000}"/>
    <cellStyle name="40 % - Markeringsfarve5 2 3 5 2 2 3 3" xfId="46171" xr:uid="{00000000-0005-0000-0000-00003D7B0000}"/>
    <cellStyle name="40 % - Markeringsfarve5 2 3 5 2 2 4" xfId="24209" xr:uid="{00000000-0005-0000-0000-00003E7B0000}"/>
    <cellStyle name="40 % - Markeringsfarve5 2 3 5 2 2 5" xfId="39174" xr:uid="{00000000-0005-0000-0000-00003F7B0000}"/>
    <cellStyle name="40 % - Markeringsfarve5 2 3 5 2 3" xfId="8793" xr:uid="{00000000-0005-0000-0000-0000407B0000}"/>
    <cellStyle name="40 % - Markeringsfarve5 2 3 5 2 3 2" xfId="16660" xr:uid="{00000000-0005-0000-0000-0000417B0000}"/>
    <cellStyle name="40 % - Markeringsfarve5 2 3 5 2 3 2 2" xfId="32936" xr:uid="{00000000-0005-0000-0000-0000427B0000}"/>
    <cellStyle name="40 % - Markeringsfarve5 2 3 5 2 3 2 3" xfId="47895" xr:uid="{00000000-0005-0000-0000-0000437B0000}"/>
    <cellStyle name="40 % - Markeringsfarve5 2 3 5 2 3 3" xfId="25934" xr:uid="{00000000-0005-0000-0000-0000447B0000}"/>
    <cellStyle name="40 % - Markeringsfarve5 2 3 5 2 3 4" xfId="40898" xr:uid="{00000000-0005-0000-0000-0000457B0000}"/>
    <cellStyle name="40 % - Markeringsfarve5 2 3 5 2 4" xfId="14931" xr:uid="{00000000-0005-0000-0000-0000467B0000}"/>
    <cellStyle name="40 % - Markeringsfarve5 2 3 5 2 4 2" xfId="31210" xr:uid="{00000000-0005-0000-0000-0000477B0000}"/>
    <cellStyle name="40 % - Markeringsfarve5 2 3 5 2 4 3" xfId="46170" xr:uid="{00000000-0005-0000-0000-0000487B0000}"/>
    <cellStyle name="40 % - Markeringsfarve5 2 3 5 2 5" xfId="24208" xr:uid="{00000000-0005-0000-0000-0000497B0000}"/>
    <cellStyle name="40 % - Markeringsfarve5 2 3 5 2 6" xfId="39173" xr:uid="{00000000-0005-0000-0000-00004A7B0000}"/>
    <cellStyle name="40 % - Markeringsfarve5 2 3 5 3" xfId="6448" xr:uid="{00000000-0005-0000-0000-00004B7B0000}"/>
    <cellStyle name="40 % - Markeringsfarve5 2 3 5 3 2" xfId="9558" xr:uid="{00000000-0005-0000-0000-00004C7B0000}"/>
    <cellStyle name="40 % - Markeringsfarve5 2 3 5 3 2 2" xfId="17421" xr:uid="{00000000-0005-0000-0000-00004D7B0000}"/>
    <cellStyle name="40 % - Markeringsfarve5 2 3 5 3 2 2 2" xfId="33697" xr:uid="{00000000-0005-0000-0000-00004E7B0000}"/>
    <cellStyle name="40 % - Markeringsfarve5 2 3 5 3 2 2 3" xfId="48656" xr:uid="{00000000-0005-0000-0000-00004F7B0000}"/>
    <cellStyle name="40 % - Markeringsfarve5 2 3 5 3 2 3" xfId="26695" xr:uid="{00000000-0005-0000-0000-0000507B0000}"/>
    <cellStyle name="40 % - Markeringsfarve5 2 3 5 3 2 4" xfId="41659" xr:uid="{00000000-0005-0000-0000-0000517B0000}"/>
    <cellStyle name="40 % - Markeringsfarve5 2 3 5 3 3" xfId="14933" xr:uid="{00000000-0005-0000-0000-0000527B0000}"/>
    <cellStyle name="40 % - Markeringsfarve5 2 3 5 3 3 2" xfId="31212" xr:uid="{00000000-0005-0000-0000-0000537B0000}"/>
    <cellStyle name="40 % - Markeringsfarve5 2 3 5 3 3 3" xfId="46172" xr:uid="{00000000-0005-0000-0000-0000547B0000}"/>
    <cellStyle name="40 % - Markeringsfarve5 2 3 5 3 4" xfId="24210" xr:uid="{00000000-0005-0000-0000-0000557B0000}"/>
    <cellStyle name="40 % - Markeringsfarve5 2 3 5 3 5" xfId="39175" xr:uid="{00000000-0005-0000-0000-0000567B0000}"/>
    <cellStyle name="40 % - Markeringsfarve5 2 3 5 4" xfId="6449" xr:uid="{00000000-0005-0000-0000-0000577B0000}"/>
    <cellStyle name="40 % - Markeringsfarve5 2 3 5 4 2" xfId="10945" xr:uid="{00000000-0005-0000-0000-0000587B0000}"/>
    <cellStyle name="40 % - Markeringsfarve5 2 3 5 4 2 2" xfId="18779" xr:uid="{00000000-0005-0000-0000-0000597B0000}"/>
    <cellStyle name="40 % - Markeringsfarve5 2 3 5 4 2 2 2" xfId="35055" xr:uid="{00000000-0005-0000-0000-00005A7B0000}"/>
    <cellStyle name="40 % - Markeringsfarve5 2 3 5 4 2 2 3" xfId="50014" xr:uid="{00000000-0005-0000-0000-00005B7B0000}"/>
    <cellStyle name="40 % - Markeringsfarve5 2 3 5 4 2 3" xfId="28053" xr:uid="{00000000-0005-0000-0000-00005C7B0000}"/>
    <cellStyle name="40 % - Markeringsfarve5 2 3 5 4 2 4" xfId="43017" xr:uid="{00000000-0005-0000-0000-00005D7B0000}"/>
    <cellStyle name="40 % - Markeringsfarve5 2 3 5 4 3" xfId="14934" xr:uid="{00000000-0005-0000-0000-00005E7B0000}"/>
    <cellStyle name="40 % - Markeringsfarve5 2 3 5 4 3 2" xfId="31213" xr:uid="{00000000-0005-0000-0000-00005F7B0000}"/>
    <cellStyle name="40 % - Markeringsfarve5 2 3 5 4 3 3" xfId="46173" xr:uid="{00000000-0005-0000-0000-0000607B0000}"/>
    <cellStyle name="40 % - Markeringsfarve5 2 3 5 4 4" xfId="24211" xr:uid="{00000000-0005-0000-0000-0000617B0000}"/>
    <cellStyle name="40 % - Markeringsfarve5 2 3 5 4 5" xfId="39176" xr:uid="{00000000-0005-0000-0000-0000627B0000}"/>
    <cellStyle name="40 % - Markeringsfarve5 2 3 5 5" xfId="8198" xr:uid="{00000000-0005-0000-0000-0000637B0000}"/>
    <cellStyle name="40 % - Markeringsfarve5 2 3 5 5 2" xfId="16063" xr:uid="{00000000-0005-0000-0000-0000647B0000}"/>
    <cellStyle name="40 % - Markeringsfarve5 2 3 5 5 2 2" xfId="32339" xr:uid="{00000000-0005-0000-0000-0000657B0000}"/>
    <cellStyle name="40 % - Markeringsfarve5 2 3 5 5 2 3" xfId="47298" xr:uid="{00000000-0005-0000-0000-0000667B0000}"/>
    <cellStyle name="40 % - Markeringsfarve5 2 3 5 5 3" xfId="25337" xr:uid="{00000000-0005-0000-0000-0000677B0000}"/>
    <cellStyle name="40 % - Markeringsfarve5 2 3 5 5 4" xfId="40301" xr:uid="{00000000-0005-0000-0000-0000687B0000}"/>
    <cellStyle name="40 % - Markeringsfarve5 2 3 5 6" xfId="14930" xr:uid="{00000000-0005-0000-0000-0000697B0000}"/>
    <cellStyle name="40 % - Markeringsfarve5 2 3 5 6 2" xfId="31209" xr:uid="{00000000-0005-0000-0000-00006A7B0000}"/>
    <cellStyle name="40 % - Markeringsfarve5 2 3 5 6 3" xfId="46169" xr:uid="{00000000-0005-0000-0000-00006B7B0000}"/>
    <cellStyle name="40 % - Markeringsfarve5 2 3 5 7" xfId="24207" xr:uid="{00000000-0005-0000-0000-00006C7B0000}"/>
    <cellStyle name="40 % - Markeringsfarve5 2 3 5 8" xfId="39172" xr:uid="{00000000-0005-0000-0000-00006D7B0000}"/>
    <cellStyle name="40 % - Markeringsfarve5 2 3 6" xfId="6450" xr:uid="{00000000-0005-0000-0000-00006E7B0000}"/>
    <cellStyle name="40 % - Markeringsfarve5 2 3 6 2" xfId="6451" xr:uid="{00000000-0005-0000-0000-00006F7B0000}"/>
    <cellStyle name="40 % - Markeringsfarve5 2 3 6 2 2" xfId="6452" xr:uid="{00000000-0005-0000-0000-0000707B0000}"/>
    <cellStyle name="40 % - Markeringsfarve5 2 3 6 2 2 2" xfId="10378" xr:uid="{00000000-0005-0000-0000-0000717B0000}"/>
    <cellStyle name="40 % - Markeringsfarve5 2 3 6 2 2 2 2" xfId="18233" xr:uid="{00000000-0005-0000-0000-0000727B0000}"/>
    <cellStyle name="40 % - Markeringsfarve5 2 3 6 2 2 2 2 2" xfId="34509" xr:uid="{00000000-0005-0000-0000-0000737B0000}"/>
    <cellStyle name="40 % - Markeringsfarve5 2 3 6 2 2 2 2 3" xfId="49468" xr:uid="{00000000-0005-0000-0000-0000747B0000}"/>
    <cellStyle name="40 % - Markeringsfarve5 2 3 6 2 2 2 3" xfId="27507" xr:uid="{00000000-0005-0000-0000-0000757B0000}"/>
    <cellStyle name="40 % - Markeringsfarve5 2 3 6 2 2 2 4" xfId="42471" xr:uid="{00000000-0005-0000-0000-0000767B0000}"/>
    <cellStyle name="40 % - Markeringsfarve5 2 3 6 2 2 3" xfId="14937" xr:uid="{00000000-0005-0000-0000-0000777B0000}"/>
    <cellStyle name="40 % - Markeringsfarve5 2 3 6 2 2 3 2" xfId="31216" xr:uid="{00000000-0005-0000-0000-0000787B0000}"/>
    <cellStyle name="40 % - Markeringsfarve5 2 3 6 2 2 3 3" xfId="46176" xr:uid="{00000000-0005-0000-0000-0000797B0000}"/>
    <cellStyle name="40 % - Markeringsfarve5 2 3 6 2 2 4" xfId="24214" xr:uid="{00000000-0005-0000-0000-00007A7B0000}"/>
    <cellStyle name="40 % - Markeringsfarve5 2 3 6 2 2 5" xfId="39179" xr:uid="{00000000-0005-0000-0000-00007B7B0000}"/>
    <cellStyle name="40 % - Markeringsfarve5 2 3 6 2 3" xfId="8872" xr:uid="{00000000-0005-0000-0000-00007C7B0000}"/>
    <cellStyle name="40 % - Markeringsfarve5 2 3 6 2 3 2" xfId="16739" xr:uid="{00000000-0005-0000-0000-00007D7B0000}"/>
    <cellStyle name="40 % - Markeringsfarve5 2 3 6 2 3 2 2" xfId="33015" xr:uid="{00000000-0005-0000-0000-00007E7B0000}"/>
    <cellStyle name="40 % - Markeringsfarve5 2 3 6 2 3 2 3" xfId="47974" xr:uid="{00000000-0005-0000-0000-00007F7B0000}"/>
    <cellStyle name="40 % - Markeringsfarve5 2 3 6 2 3 3" xfId="26013" xr:uid="{00000000-0005-0000-0000-0000807B0000}"/>
    <cellStyle name="40 % - Markeringsfarve5 2 3 6 2 3 4" xfId="40977" xr:uid="{00000000-0005-0000-0000-0000817B0000}"/>
    <cellStyle name="40 % - Markeringsfarve5 2 3 6 2 4" xfId="14936" xr:uid="{00000000-0005-0000-0000-0000827B0000}"/>
    <cellStyle name="40 % - Markeringsfarve5 2 3 6 2 4 2" xfId="31215" xr:uid="{00000000-0005-0000-0000-0000837B0000}"/>
    <cellStyle name="40 % - Markeringsfarve5 2 3 6 2 4 3" xfId="46175" xr:uid="{00000000-0005-0000-0000-0000847B0000}"/>
    <cellStyle name="40 % - Markeringsfarve5 2 3 6 2 5" xfId="24213" xr:uid="{00000000-0005-0000-0000-0000857B0000}"/>
    <cellStyle name="40 % - Markeringsfarve5 2 3 6 2 6" xfId="39178" xr:uid="{00000000-0005-0000-0000-0000867B0000}"/>
    <cellStyle name="40 % - Markeringsfarve5 2 3 6 3" xfId="6453" xr:uid="{00000000-0005-0000-0000-0000877B0000}"/>
    <cellStyle name="40 % - Markeringsfarve5 2 3 6 3 2" xfId="9656" xr:uid="{00000000-0005-0000-0000-0000887B0000}"/>
    <cellStyle name="40 % - Markeringsfarve5 2 3 6 3 2 2" xfId="17519" xr:uid="{00000000-0005-0000-0000-0000897B0000}"/>
    <cellStyle name="40 % - Markeringsfarve5 2 3 6 3 2 2 2" xfId="33795" xr:uid="{00000000-0005-0000-0000-00008A7B0000}"/>
    <cellStyle name="40 % - Markeringsfarve5 2 3 6 3 2 2 3" xfId="48754" xr:uid="{00000000-0005-0000-0000-00008B7B0000}"/>
    <cellStyle name="40 % - Markeringsfarve5 2 3 6 3 2 3" xfId="26793" xr:uid="{00000000-0005-0000-0000-00008C7B0000}"/>
    <cellStyle name="40 % - Markeringsfarve5 2 3 6 3 2 4" xfId="41757" xr:uid="{00000000-0005-0000-0000-00008D7B0000}"/>
    <cellStyle name="40 % - Markeringsfarve5 2 3 6 3 3" xfId="14938" xr:uid="{00000000-0005-0000-0000-00008E7B0000}"/>
    <cellStyle name="40 % - Markeringsfarve5 2 3 6 3 3 2" xfId="31217" xr:uid="{00000000-0005-0000-0000-00008F7B0000}"/>
    <cellStyle name="40 % - Markeringsfarve5 2 3 6 3 3 3" xfId="46177" xr:uid="{00000000-0005-0000-0000-0000907B0000}"/>
    <cellStyle name="40 % - Markeringsfarve5 2 3 6 3 4" xfId="24215" xr:uid="{00000000-0005-0000-0000-0000917B0000}"/>
    <cellStyle name="40 % - Markeringsfarve5 2 3 6 3 5" xfId="39180" xr:uid="{00000000-0005-0000-0000-0000927B0000}"/>
    <cellStyle name="40 % - Markeringsfarve5 2 3 6 4" xfId="6454" xr:uid="{00000000-0005-0000-0000-0000937B0000}"/>
    <cellStyle name="40 % - Markeringsfarve5 2 3 6 4 2" xfId="10669" xr:uid="{00000000-0005-0000-0000-0000947B0000}"/>
    <cellStyle name="40 % - Markeringsfarve5 2 3 6 4 2 2" xfId="18515" xr:uid="{00000000-0005-0000-0000-0000957B0000}"/>
    <cellStyle name="40 % - Markeringsfarve5 2 3 6 4 2 2 2" xfId="34791" xr:uid="{00000000-0005-0000-0000-0000967B0000}"/>
    <cellStyle name="40 % - Markeringsfarve5 2 3 6 4 2 2 3" xfId="49750" xr:uid="{00000000-0005-0000-0000-0000977B0000}"/>
    <cellStyle name="40 % - Markeringsfarve5 2 3 6 4 2 3" xfId="27789" xr:uid="{00000000-0005-0000-0000-0000987B0000}"/>
    <cellStyle name="40 % - Markeringsfarve5 2 3 6 4 2 4" xfId="42753" xr:uid="{00000000-0005-0000-0000-0000997B0000}"/>
    <cellStyle name="40 % - Markeringsfarve5 2 3 6 4 3" xfId="14939" xr:uid="{00000000-0005-0000-0000-00009A7B0000}"/>
    <cellStyle name="40 % - Markeringsfarve5 2 3 6 4 3 2" xfId="31218" xr:uid="{00000000-0005-0000-0000-00009B7B0000}"/>
    <cellStyle name="40 % - Markeringsfarve5 2 3 6 4 3 3" xfId="46178" xr:uid="{00000000-0005-0000-0000-00009C7B0000}"/>
    <cellStyle name="40 % - Markeringsfarve5 2 3 6 4 4" xfId="24216" xr:uid="{00000000-0005-0000-0000-00009D7B0000}"/>
    <cellStyle name="40 % - Markeringsfarve5 2 3 6 4 5" xfId="39181" xr:uid="{00000000-0005-0000-0000-00009E7B0000}"/>
    <cellStyle name="40 % - Markeringsfarve5 2 3 6 5" xfId="8199" xr:uid="{00000000-0005-0000-0000-00009F7B0000}"/>
    <cellStyle name="40 % - Markeringsfarve5 2 3 6 5 2" xfId="16064" xr:uid="{00000000-0005-0000-0000-0000A07B0000}"/>
    <cellStyle name="40 % - Markeringsfarve5 2 3 6 5 2 2" xfId="32340" xr:uid="{00000000-0005-0000-0000-0000A17B0000}"/>
    <cellStyle name="40 % - Markeringsfarve5 2 3 6 5 2 3" xfId="47299" xr:uid="{00000000-0005-0000-0000-0000A27B0000}"/>
    <cellStyle name="40 % - Markeringsfarve5 2 3 6 5 3" xfId="25338" xr:uid="{00000000-0005-0000-0000-0000A37B0000}"/>
    <cellStyle name="40 % - Markeringsfarve5 2 3 6 5 4" xfId="40302" xr:uid="{00000000-0005-0000-0000-0000A47B0000}"/>
    <cellStyle name="40 % - Markeringsfarve5 2 3 6 6" xfId="14935" xr:uid="{00000000-0005-0000-0000-0000A57B0000}"/>
    <cellStyle name="40 % - Markeringsfarve5 2 3 6 6 2" xfId="31214" xr:uid="{00000000-0005-0000-0000-0000A67B0000}"/>
    <cellStyle name="40 % - Markeringsfarve5 2 3 6 6 3" xfId="46174" xr:uid="{00000000-0005-0000-0000-0000A77B0000}"/>
    <cellStyle name="40 % - Markeringsfarve5 2 3 6 7" xfId="24212" xr:uid="{00000000-0005-0000-0000-0000A87B0000}"/>
    <cellStyle name="40 % - Markeringsfarve5 2 3 6 8" xfId="39177" xr:uid="{00000000-0005-0000-0000-0000A97B0000}"/>
    <cellStyle name="40 % - Markeringsfarve5 2 3 7" xfId="6455" xr:uid="{00000000-0005-0000-0000-0000AA7B0000}"/>
    <cellStyle name="40 % - Markeringsfarve5 2 3 7 2" xfId="6456" xr:uid="{00000000-0005-0000-0000-0000AB7B0000}"/>
    <cellStyle name="40 % - Markeringsfarve5 2 3 7 2 2" xfId="9808" xr:uid="{00000000-0005-0000-0000-0000AC7B0000}"/>
    <cellStyle name="40 % - Markeringsfarve5 2 3 7 2 2 2" xfId="17662" xr:uid="{00000000-0005-0000-0000-0000AD7B0000}"/>
    <cellStyle name="40 % - Markeringsfarve5 2 3 7 2 2 2 2" xfId="33938" xr:uid="{00000000-0005-0000-0000-0000AE7B0000}"/>
    <cellStyle name="40 % - Markeringsfarve5 2 3 7 2 2 2 3" xfId="48897" xr:uid="{00000000-0005-0000-0000-0000AF7B0000}"/>
    <cellStyle name="40 % - Markeringsfarve5 2 3 7 2 2 3" xfId="26936" xr:uid="{00000000-0005-0000-0000-0000B07B0000}"/>
    <cellStyle name="40 % - Markeringsfarve5 2 3 7 2 2 4" xfId="41900" xr:uid="{00000000-0005-0000-0000-0000B17B0000}"/>
    <cellStyle name="40 % - Markeringsfarve5 2 3 7 2 3" xfId="14941" xr:uid="{00000000-0005-0000-0000-0000B27B0000}"/>
    <cellStyle name="40 % - Markeringsfarve5 2 3 7 2 3 2" xfId="31220" xr:uid="{00000000-0005-0000-0000-0000B37B0000}"/>
    <cellStyle name="40 % - Markeringsfarve5 2 3 7 2 3 3" xfId="46180" xr:uid="{00000000-0005-0000-0000-0000B47B0000}"/>
    <cellStyle name="40 % - Markeringsfarve5 2 3 7 2 4" xfId="24218" xr:uid="{00000000-0005-0000-0000-0000B57B0000}"/>
    <cellStyle name="40 % - Markeringsfarve5 2 3 7 2 5" xfId="39183" xr:uid="{00000000-0005-0000-0000-0000B67B0000}"/>
    <cellStyle name="40 % - Markeringsfarve5 2 3 7 3" xfId="8393" xr:uid="{00000000-0005-0000-0000-0000B77B0000}"/>
    <cellStyle name="40 % - Markeringsfarve5 2 3 7 3 2" xfId="16263" xr:uid="{00000000-0005-0000-0000-0000B87B0000}"/>
    <cellStyle name="40 % - Markeringsfarve5 2 3 7 3 2 2" xfId="32539" xr:uid="{00000000-0005-0000-0000-0000B97B0000}"/>
    <cellStyle name="40 % - Markeringsfarve5 2 3 7 3 2 3" xfId="47498" xr:uid="{00000000-0005-0000-0000-0000BA7B0000}"/>
    <cellStyle name="40 % - Markeringsfarve5 2 3 7 3 3" xfId="25537" xr:uid="{00000000-0005-0000-0000-0000BB7B0000}"/>
    <cellStyle name="40 % - Markeringsfarve5 2 3 7 3 4" xfId="40501" xr:uid="{00000000-0005-0000-0000-0000BC7B0000}"/>
    <cellStyle name="40 % - Markeringsfarve5 2 3 7 4" xfId="14940" xr:uid="{00000000-0005-0000-0000-0000BD7B0000}"/>
    <cellStyle name="40 % - Markeringsfarve5 2 3 7 4 2" xfId="31219" xr:uid="{00000000-0005-0000-0000-0000BE7B0000}"/>
    <cellStyle name="40 % - Markeringsfarve5 2 3 7 4 3" xfId="46179" xr:uid="{00000000-0005-0000-0000-0000BF7B0000}"/>
    <cellStyle name="40 % - Markeringsfarve5 2 3 7 5" xfId="24217" xr:uid="{00000000-0005-0000-0000-0000C07B0000}"/>
    <cellStyle name="40 % - Markeringsfarve5 2 3 7 6" xfId="39182" xr:uid="{00000000-0005-0000-0000-0000C17B0000}"/>
    <cellStyle name="40 % - Markeringsfarve5 2 3 8" xfId="6457" xr:uid="{00000000-0005-0000-0000-0000C27B0000}"/>
    <cellStyle name="40 % - Markeringsfarve5 2 3 8 2" xfId="9036" xr:uid="{00000000-0005-0000-0000-0000C37B0000}"/>
    <cellStyle name="40 % - Markeringsfarve5 2 3 8 2 2" xfId="16900" xr:uid="{00000000-0005-0000-0000-0000C47B0000}"/>
    <cellStyle name="40 % - Markeringsfarve5 2 3 8 2 2 2" xfId="33176" xr:uid="{00000000-0005-0000-0000-0000C57B0000}"/>
    <cellStyle name="40 % - Markeringsfarve5 2 3 8 2 2 3" xfId="48135" xr:uid="{00000000-0005-0000-0000-0000C67B0000}"/>
    <cellStyle name="40 % - Markeringsfarve5 2 3 8 2 3" xfId="26174" xr:uid="{00000000-0005-0000-0000-0000C77B0000}"/>
    <cellStyle name="40 % - Markeringsfarve5 2 3 8 2 4" xfId="41138" xr:uid="{00000000-0005-0000-0000-0000C87B0000}"/>
    <cellStyle name="40 % - Markeringsfarve5 2 3 8 3" xfId="14942" xr:uid="{00000000-0005-0000-0000-0000C97B0000}"/>
    <cellStyle name="40 % - Markeringsfarve5 2 3 8 3 2" xfId="31221" xr:uid="{00000000-0005-0000-0000-0000CA7B0000}"/>
    <cellStyle name="40 % - Markeringsfarve5 2 3 8 3 3" xfId="46181" xr:uid="{00000000-0005-0000-0000-0000CB7B0000}"/>
    <cellStyle name="40 % - Markeringsfarve5 2 3 8 4" xfId="24219" xr:uid="{00000000-0005-0000-0000-0000CC7B0000}"/>
    <cellStyle name="40 % - Markeringsfarve5 2 3 8 5" xfId="39184" xr:uid="{00000000-0005-0000-0000-0000CD7B0000}"/>
    <cellStyle name="40 % - Markeringsfarve5 2 3 9" xfId="6458" xr:uid="{00000000-0005-0000-0000-0000CE7B0000}"/>
    <cellStyle name="40 % - Markeringsfarve5 2 3 9 2" xfId="10436" xr:uid="{00000000-0005-0000-0000-0000CF7B0000}"/>
    <cellStyle name="40 % - Markeringsfarve5 2 3 9 2 2" xfId="18288" xr:uid="{00000000-0005-0000-0000-0000D07B0000}"/>
    <cellStyle name="40 % - Markeringsfarve5 2 3 9 2 2 2" xfId="34564" xr:uid="{00000000-0005-0000-0000-0000D17B0000}"/>
    <cellStyle name="40 % - Markeringsfarve5 2 3 9 2 2 3" xfId="49523" xr:uid="{00000000-0005-0000-0000-0000D27B0000}"/>
    <cellStyle name="40 % - Markeringsfarve5 2 3 9 2 3" xfId="27562" xr:uid="{00000000-0005-0000-0000-0000D37B0000}"/>
    <cellStyle name="40 % - Markeringsfarve5 2 3 9 2 4" xfId="42526" xr:uid="{00000000-0005-0000-0000-0000D47B0000}"/>
    <cellStyle name="40 % - Markeringsfarve5 2 3 9 3" xfId="14943" xr:uid="{00000000-0005-0000-0000-0000D57B0000}"/>
    <cellStyle name="40 % - Markeringsfarve5 2 3 9 3 2" xfId="31222" xr:uid="{00000000-0005-0000-0000-0000D67B0000}"/>
    <cellStyle name="40 % - Markeringsfarve5 2 3 9 3 3" xfId="46182" xr:uid="{00000000-0005-0000-0000-0000D77B0000}"/>
    <cellStyle name="40 % - Markeringsfarve5 2 3 9 4" xfId="24220" xr:uid="{00000000-0005-0000-0000-0000D87B0000}"/>
    <cellStyle name="40 % - Markeringsfarve5 2 3 9 5" xfId="39185" xr:uid="{00000000-0005-0000-0000-0000D97B0000}"/>
    <cellStyle name="40 % - Markeringsfarve5 2 4" xfId="6459" xr:uid="{00000000-0005-0000-0000-0000DA7B0000}"/>
    <cellStyle name="40 % - Markeringsfarve5 2 4 2" xfId="6460" xr:uid="{00000000-0005-0000-0000-0000DB7B0000}"/>
    <cellStyle name="40 % - Markeringsfarve5 2 4 2 2" xfId="6461" xr:uid="{00000000-0005-0000-0000-0000DC7B0000}"/>
    <cellStyle name="40 % - Markeringsfarve5 2 4 2 2 2" xfId="9848" xr:uid="{00000000-0005-0000-0000-0000DD7B0000}"/>
    <cellStyle name="40 % - Markeringsfarve5 2 4 2 2 2 2" xfId="17703" xr:uid="{00000000-0005-0000-0000-0000DE7B0000}"/>
    <cellStyle name="40 % - Markeringsfarve5 2 4 2 2 2 2 2" xfId="33979" xr:uid="{00000000-0005-0000-0000-0000DF7B0000}"/>
    <cellStyle name="40 % - Markeringsfarve5 2 4 2 2 2 2 3" xfId="48938" xr:uid="{00000000-0005-0000-0000-0000E07B0000}"/>
    <cellStyle name="40 % - Markeringsfarve5 2 4 2 2 2 3" xfId="26977" xr:uid="{00000000-0005-0000-0000-0000E17B0000}"/>
    <cellStyle name="40 % - Markeringsfarve5 2 4 2 2 2 4" xfId="41941" xr:uid="{00000000-0005-0000-0000-0000E27B0000}"/>
    <cellStyle name="40 % - Markeringsfarve5 2 4 2 2 3" xfId="14946" xr:uid="{00000000-0005-0000-0000-0000E37B0000}"/>
    <cellStyle name="40 % - Markeringsfarve5 2 4 2 2 3 2" xfId="31225" xr:uid="{00000000-0005-0000-0000-0000E47B0000}"/>
    <cellStyle name="40 % - Markeringsfarve5 2 4 2 2 3 3" xfId="46185" xr:uid="{00000000-0005-0000-0000-0000E57B0000}"/>
    <cellStyle name="40 % - Markeringsfarve5 2 4 2 2 4" xfId="24223" xr:uid="{00000000-0005-0000-0000-0000E67B0000}"/>
    <cellStyle name="40 % - Markeringsfarve5 2 4 2 2 5" xfId="39188" xr:uid="{00000000-0005-0000-0000-0000E77B0000}"/>
    <cellStyle name="40 % - Markeringsfarve5 2 4 2 3" xfId="8426" xr:uid="{00000000-0005-0000-0000-0000E87B0000}"/>
    <cellStyle name="40 % - Markeringsfarve5 2 4 2 3 2" xfId="16296" xr:uid="{00000000-0005-0000-0000-0000E97B0000}"/>
    <cellStyle name="40 % - Markeringsfarve5 2 4 2 3 2 2" xfId="32572" xr:uid="{00000000-0005-0000-0000-0000EA7B0000}"/>
    <cellStyle name="40 % - Markeringsfarve5 2 4 2 3 2 3" xfId="47531" xr:uid="{00000000-0005-0000-0000-0000EB7B0000}"/>
    <cellStyle name="40 % - Markeringsfarve5 2 4 2 3 3" xfId="25570" xr:uid="{00000000-0005-0000-0000-0000EC7B0000}"/>
    <cellStyle name="40 % - Markeringsfarve5 2 4 2 3 4" xfId="40534" xr:uid="{00000000-0005-0000-0000-0000ED7B0000}"/>
    <cellStyle name="40 % - Markeringsfarve5 2 4 2 4" xfId="14945" xr:uid="{00000000-0005-0000-0000-0000EE7B0000}"/>
    <cellStyle name="40 % - Markeringsfarve5 2 4 2 4 2" xfId="31224" xr:uid="{00000000-0005-0000-0000-0000EF7B0000}"/>
    <cellStyle name="40 % - Markeringsfarve5 2 4 2 4 3" xfId="46184" xr:uid="{00000000-0005-0000-0000-0000F07B0000}"/>
    <cellStyle name="40 % - Markeringsfarve5 2 4 2 5" xfId="24222" xr:uid="{00000000-0005-0000-0000-0000F17B0000}"/>
    <cellStyle name="40 % - Markeringsfarve5 2 4 2 6" xfId="39187" xr:uid="{00000000-0005-0000-0000-0000F27B0000}"/>
    <cellStyle name="40 % - Markeringsfarve5 2 4 3" xfId="6462" xr:uid="{00000000-0005-0000-0000-0000F37B0000}"/>
    <cellStyle name="40 % - Markeringsfarve5 2 4 3 2" xfId="9079" xr:uid="{00000000-0005-0000-0000-0000F47B0000}"/>
    <cellStyle name="40 % - Markeringsfarve5 2 4 3 2 2" xfId="16943" xr:uid="{00000000-0005-0000-0000-0000F57B0000}"/>
    <cellStyle name="40 % - Markeringsfarve5 2 4 3 2 2 2" xfId="33219" xr:uid="{00000000-0005-0000-0000-0000F67B0000}"/>
    <cellStyle name="40 % - Markeringsfarve5 2 4 3 2 2 3" xfId="48178" xr:uid="{00000000-0005-0000-0000-0000F77B0000}"/>
    <cellStyle name="40 % - Markeringsfarve5 2 4 3 2 3" xfId="26217" xr:uid="{00000000-0005-0000-0000-0000F87B0000}"/>
    <cellStyle name="40 % - Markeringsfarve5 2 4 3 2 4" xfId="41181" xr:uid="{00000000-0005-0000-0000-0000F97B0000}"/>
    <cellStyle name="40 % - Markeringsfarve5 2 4 3 3" xfId="14947" xr:uid="{00000000-0005-0000-0000-0000FA7B0000}"/>
    <cellStyle name="40 % - Markeringsfarve5 2 4 3 3 2" xfId="31226" xr:uid="{00000000-0005-0000-0000-0000FB7B0000}"/>
    <cellStyle name="40 % - Markeringsfarve5 2 4 3 3 3" xfId="46186" xr:uid="{00000000-0005-0000-0000-0000FC7B0000}"/>
    <cellStyle name="40 % - Markeringsfarve5 2 4 3 4" xfId="24224" xr:uid="{00000000-0005-0000-0000-0000FD7B0000}"/>
    <cellStyle name="40 % - Markeringsfarve5 2 4 3 5" xfId="39189" xr:uid="{00000000-0005-0000-0000-0000FE7B0000}"/>
    <cellStyle name="40 % - Markeringsfarve5 2 4 4" xfId="6463" xr:uid="{00000000-0005-0000-0000-0000FF7B0000}"/>
    <cellStyle name="40 % - Markeringsfarve5 2 4 4 2" xfId="10903" xr:uid="{00000000-0005-0000-0000-0000007C0000}"/>
    <cellStyle name="40 % - Markeringsfarve5 2 4 4 2 2" xfId="18739" xr:uid="{00000000-0005-0000-0000-0000017C0000}"/>
    <cellStyle name="40 % - Markeringsfarve5 2 4 4 2 2 2" xfId="35015" xr:uid="{00000000-0005-0000-0000-0000027C0000}"/>
    <cellStyle name="40 % - Markeringsfarve5 2 4 4 2 2 3" xfId="49974" xr:uid="{00000000-0005-0000-0000-0000037C0000}"/>
    <cellStyle name="40 % - Markeringsfarve5 2 4 4 2 3" xfId="28013" xr:uid="{00000000-0005-0000-0000-0000047C0000}"/>
    <cellStyle name="40 % - Markeringsfarve5 2 4 4 2 4" xfId="42977" xr:uid="{00000000-0005-0000-0000-0000057C0000}"/>
    <cellStyle name="40 % - Markeringsfarve5 2 4 4 3" xfId="14948" xr:uid="{00000000-0005-0000-0000-0000067C0000}"/>
    <cellStyle name="40 % - Markeringsfarve5 2 4 4 3 2" xfId="31227" xr:uid="{00000000-0005-0000-0000-0000077C0000}"/>
    <cellStyle name="40 % - Markeringsfarve5 2 4 4 3 3" xfId="46187" xr:uid="{00000000-0005-0000-0000-0000087C0000}"/>
    <cellStyle name="40 % - Markeringsfarve5 2 4 4 4" xfId="24225" xr:uid="{00000000-0005-0000-0000-0000097C0000}"/>
    <cellStyle name="40 % - Markeringsfarve5 2 4 4 5" xfId="39190" xr:uid="{00000000-0005-0000-0000-00000A7C0000}"/>
    <cellStyle name="40 % - Markeringsfarve5 2 4 5" xfId="8200" xr:uid="{00000000-0005-0000-0000-00000B7C0000}"/>
    <cellStyle name="40 % - Markeringsfarve5 2 4 5 2" xfId="16065" xr:uid="{00000000-0005-0000-0000-00000C7C0000}"/>
    <cellStyle name="40 % - Markeringsfarve5 2 4 5 2 2" xfId="32341" xr:uid="{00000000-0005-0000-0000-00000D7C0000}"/>
    <cellStyle name="40 % - Markeringsfarve5 2 4 5 2 3" xfId="47300" xr:uid="{00000000-0005-0000-0000-00000E7C0000}"/>
    <cellStyle name="40 % - Markeringsfarve5 2 4 5 3" xfId="25339" xr:uid="{00000000-0005-0000-0000-00000F7C0000}"/>
    <cellStyle name="40 % - Markeringsfarve5 2 4 5 4" xfId="40303" xr:uid="{00000000-0005-0000-0000-0000107C0000}"/>
    <cellStyle name="40 % - Markeringsfarve5 2 4 6" xfId="14944" xr:uid="{00000000-0005-0000-0000-0000117C0000}"/>
    <cellStyle name="40 % - Markeringsfarve5 2 4 6 2" xfId="31223" xr:uid="{00000000-0005-0000-0000-0000127C0000}"/>
    <cellStyle name="40 % - Markeringsfarve5 2 4 6 3" xfId="46183" xr:uid="{00000000-0005-0000-0000-0000137C0000}"/>
    <cellStyle name="40 % - Markeringsfarve5 2 4 7" xfId="24221" xr:uid="{00000000-0005-0000-0000-0000147C0000}"/>
    <cellStyle name="40 % - Markeringsfarve5 2 4 8" xfId="39186" xr:uid="{00000000-0005-0000-0000-0000157C0000}"/>
    <cellStyle name="40 % - Markeringsfarve5 2 5" xfId="6464" xr:uid="{00000000-0005-0000-0000-0000167C0000}"/>
    <cellStyle name="40 % - Markeringsfarve5 2 5 2" xfId="6465" xr:uid="{00000000-0005-0000-0000-0000177C0000}"/>
    <cellStyle name="40 % - Markeringsfarve5 2 5 2 2" xfId="6466" xr:uid="{00000000-0005-0000-0000-0000187C0000}"/>
    <cellStyle name="40 % - Markeringsfarve5 2 5 2 2 2" xfId="10022" xr:uid="{00000000-0005-0000-0000-0000197C0000}"/>
    <cellStyle name="40 % - Markeringsfarve5 2 5 2 2 2 2" xfId="17877" xr:uid="{00000000-0005-0000-0000-00001A7C0000}"/>
    <cellStyle name="40 % - Markeringsfarve5 2 5 2 2 2 2 2" xfId="34153" xr:uid="{00000000-0005-0000-0000-00001B7C0000}"/>
    <cellStyle name="40 % - Markeringsfarve5 2 5 2 2 2 2 3" xfId="49112" xr:uid="{00000000-0005-0000-0000-00001C7C0000}"/>
    <cellStyle name="40 % - Markeringsfarve5 2 5 2 2 2 3" xfId="27151" xr:uid="{00000000-0005-0000-0000-00001D7C0000}"/>
    <cellStyle name="40 % - Markeringsfarve5 2 5 2 2 2 4" xfId="42115" xr:uid="{00000000-0005-0000-0000-00001E7C0000}"/>
    <cellStyle name="40 % - Markeringsfarve5 2 5 2 2 3" xfId="14951" xr:uid="{00000000-0005-0000-0000-00001F7C0000}"/>
    <cellStyle name="40 % - Markeringsfarve5 2 5 2 2 3 2" xfId="31230" xr:uid="{00000000-0005-0000-0000-0000207C0000}"/>
    <cellStyle name="40 % - Markeringsfarve5 2 5 2 2 3 3" xfId="46190" xr:uid="{00000000-0005-0000-0000-0000217C0000}"/>
    <cellStyle name="40 % - Markeringsfarve5 2 5 2 2 4" xfId="24228" xr:uid="{00000000-0005-0000-0000-0000227C0000}"/>
    <cellStyle name="40 % - Markeringsfarve5 2 5 2 2 5" xfId="39193" xr:uid="{00000000-0005-0000-0000-0000237C0000}"/>
    <cellStyle name="40 % - Markeringsfarve5 2 5 2 3" xfId="8569" xr:uid="{00000000-0005-0000-0000-0000247C0000}"/>
    <cellStyle name="40 % - Markeringsfarve5 2 5 2 3 2" xfId="16439" xr:uid="{00000000-0005-0000-0000-0000257C0000}"/>
    <cellStyle name="40 % - Markeringsfarve5 2 5 2 3 2 2" xfId="32715" xr:uid="{00000000-0005-0000-0000-0000267C0000}"/>
    <cellStyle name="40 % - Markeringsfarve5 2 5 2 3 2 3" xfId="47674" xr:uid="{00000000-0005-0000-0000-0000277C0000}"/>
    <cellStyle name="40 % - Markeringsfarve5 2 5 2 3 3" xfId="25713" xr:uid="{00000000-0005-0000-0000-0000287C0000}"/>
    <cellStyle name="40 % - Markeringsfarve5 2 5 2 3 4" xfId="40677" xr:uid="{00000000-0005-0000-0000-0000297C0000}"/>
    <cellStyle name="40 % - Markeringsfarve5 2 5 2 4" xfId="14950" xr:uid="{00000000-0005-0000-0000-00002A7C0000}"/>
    <cellStyle name="40 % - Markeringsfarve5 2 5 2 4 2" xfId="31229" xr:uid="{00000000-0005-0000-0000-00002B7C0000}"/>
    <cellStyle name="40 % - Markeringsfarve5 2 5 2 4 3" xfId="46189" xr:uid="{00000000-0005-0000-0000-00002C7C0000}"/>
    <cellStyle name="40 % - Markeringsfarve5 2 5 2 5" xfId="24227" xr:uid="{00000000-0005-0000-0000-00002D7C0000}"/>
    <cellStyle name="40 % - Markeringsfarve5 2 5 2 6" xfId="39192" xr:uid="{00000000-0005-0000-0000-00002E7C0000}"/>
    <cellStyle name="40 % - Markeringsfarve5 2 5 3" xfId="6467" xr:uid="{00000000-0005-0000-0000-00002F7C0000}"/>
    <cellStyle name="40 % - Markeringsfarve5 2 5 3 2" xfId="9253" xr:uid="{00000000-0005-0000-0000-0000307C0000}"/>
    <cellStyle name="40 % - Markeringsfarve5 2 5 3 2 2" xfId="17117" xr:uid="{00000000-0005-0000-0000-0000317C0000}"/>
    <cellStyle name="40 % - Markeringsfarve5 2 5 3 2 2 2" xfId="33393" xr:uid="{00000000-0005-0000-0000-0000327C0000}"/>
    <cellStyle name="40 % - Markeringsfarve5 2 5 3 2 2 3" xfId="48352" xr:uid="{00000000-0005-0000-0000-0000337C0000}"/>
    <cellStyle name="40 % - Markeringsfarve5 2 5 3 2 3" xfId="26391" xr:uid="{00000000-0005-0000-0000-0000347C0000}"/>
    <cellStyle name="40 % - Markeringsfarve5 2 5 3 2 4" xfId="41355" xr:uid="{00000000-0005-0000-0000-0000357C0000}"/>
    <cellStyle name="40 % - Markeringsfarve5 2 5 3 3" xfId="14952" xr:uid="{00000000-0005-0000-0000-0000367C0000}"/>
    <cellStyle name="40 % - Markeringsfarve5 2 5 3 3 2" xfId="31231" xr:uid="{00000000-0005-0000-0000-0000377C0000}"/>
    <cellStyle name="40 % - Markeringsfarve5 2 5 3 3 3" xfId="46191" xr:uid="{00000000-0005-0000-0000-0000387C0000}"/>
    <cellStyle name="40 % - Markeringsfarve5 2 5 3 4" xfId="24229" xr:uid="{00000000-0005-0000-0000-0000397C0000}"/>
    <cellStyle name="40 % - Markeringsfarve5 2 5 3 5" xfId="39194" xr:uid="{00000000-0005-0000-0000-00003A7C0000}"/>
    <cellStyle name="40 % - Markeringsfarve5 2 5 4" xfId="6468" xr:uid="{00000000-0005-0000-0000-00003B7C0000}"/>
    <cellStyle name="40 % - Markeringsfarve5 2 5 4 2" xfId="10628" xr:uid="{00000000-0005-0000-0000-00003C7C0000}"/>
    <cellStyle name="40 % - Markeringsfarve5 2 5 4 2 2" xfId="18476" xr:uid="{00000000-0005-0000-0000-00003D7C0000}"/>
    <cellStyle name="40 % - Markeringsfarve5 2 5 4 2 2 2" xfId="34752" xr:uid="{00000000-0005-0000-0000-00003E7C0000}"/>
    <cellStyle name="40 % - Markeringsfarve5 2 5 4 2 2 3" xfId="49711" xr:uid="{00000000-0005-0000-0000-00003F7C0000}"/>
    <cellStyle name="40 % - Markeringsfarve5 2 5 4 2 3" xfId="27750" xr:uid="{00000000-0005-0000-0000-0000407C0000}"/>
    <cellStyle name="40 % - Markeringsfarve5 2 5 4 2 4" xfId="42714" xr:uid="{00000000-0005-0000-0000-0000417C0000}"/>
    <cellStyle name="40 % - Markeringsfarve5 2 5 4 3" xfId="14953" xr:uid="{00000000-0005-0000-0000-0000427C0000}"/>
    <cellStyle name="40 % - Markeringsfarve5 2 5 4 3 2" xfId="31232" xr:uid="{00000000-0005-0000-0000-0000437C0000}"/>
    <cellStyle name="40 % - Markeringsfarve5 2 5 4 3 3" xfId="46192" xr:uid="{00000000-0005-0000-0000-0000447C0000}"/>
    <cellStyle name="40 % - Markeringsfarve5 2 5 4 4" xfId="24230" xr:uid="{00000000-0005-0000-0000-0000457C0000}"/>
    <cellStyle name="40 % - Markeringsfarve5 2 5 4 5" xfId="39195" xr:uid="{00000000-0005-0000-0000-0000467C0000}"/>
    <cellStyle name="40 % - Markeringsfarve5 2 5 5" xfId="8201" xr:uid="{00000000-0005-0000-0000-0000477C0000}"/>
    <cellStyle name="40 % - Markeringsfarve5 2 5 5 2" xfId="16066" xr:uid="{00000000-0005-0000-0000-0000487C0000}"/>
    <cellStyle name="40 % - Markeringsfarve5 2 5 5 2 2" xfId="32342" xr:uid="{00000000-0005-0000-0000-0000497C0000}"/>
    <cellStyle name="40 % - Markeringsfarve5 2 5 5 2 3" xfId="47301" xr:uid="{00000000-0005-0000-0000-00004A7C0000}"/>
    <cellStyle name="40 % - Markeringsfarve5 2 5 5 3" xfId="25340" xr:uid="{00000000-0005-0000-0000-00004B7C0000}"/>
    <cellStyle name="40 % - Markeringsfarve5 2 5 5 4" xfId="40304" xr:uid="{00000000-0005-0000-0000-00004C7C0000}"/>
    <cellStyle name="40 % - Markeringsfarve5 2 5 6" xfId="14949" xr:uid="{00000000-0005-0000-0000-00004D7C0000}"/>
    <cellStyle name="40 % - Markeringsfarve5 2 5 6 2" xfId="31228" xr:uid="{00000000-0005-0000-0000-00004E7C0000}"/>
    <cellStyle name="40 % - Markeringsfarve5 2 5 6 3" xfId="46188" xr:uid="{00000000-0005-0000-0000-00004F7C0000}"/>
    <cellStyle name="40 % - Markeringsfarve5 2 5 7" xfId="24226" xr:uid="{00000000-0005-0000-0000-0000507C0000}"/>
    <cellStyle name="40 % - Markeringsfarve5 2 5 8" xfId="39191" xr:uid="{00000000-0005-0000-0000-0000517C0000}"/>
    <cellStyle name="40 % - Markeringsfarve5 2 6" xfId="6469" xr:uid="{00000000-0005-0000-0000-0000527C0000}"/>
    <cellStyle name="40 % - Markeringsfarve5 2 6 2" xfId="6470" xr:uid="{00000000-0005-0000-0000-0000537C0000}"/>
    <cellStyle name="40 % - Markeringsfarve5 2 6 2 2" xfId="6471" xr:uid="{00000000-0005-0000-0000-0000547C0000}"/>
    <cellStyle name="40 % - Markeringsfarve5 2 6 2 2 2" xfId="10086" xr:uid="{00000000-0005-0000-0000-0000557C0000}"/>
    <cellStyle name="40 % - Markeringsfarve5 2 6 2 2 2 2" xfId="17941" xr:uid="{00000000-0005-0000-0000-0000567C0000}"/>
    <cellStyle name="40 % - Markeringsfarve5 2 6 2 2 2 2 2" xfId="34217" xr:uid="{00000000-0005-0000-0000-0000577C0000}"/>
    <cellStyle name="40 % - Markeringsfarve5 2 6 2 2 2 2 3" xfId="49176" xr:uid="{00000000-0005-0000-0000-0000587C0000}"/>
    <cellStyle name="40 % - Markeringsfarve5 2 6 2 2 2 3" xfId="27215" xr:uid="{00000000-0005-0000-0000-0000597C0000}"/>
    <cellStyle name="40 % - Markeringsfarve5 2 6 2 2 2 4" xfId="42179" xr:uid="{00000000-0005-0000-0000-00005A7C0000}"/>
    <cellStyle name="40 % - Markeringsfarve5 2 6 2 2 3" xfId="14956" xr:uid="{00000000-0005-0000-0000-00005B7C0000}"/>
    <cellStyle name="40 % - Markeringsfarve5 2 6 2 2 3 2" xfId="31235" xr:uid="{00000000-0005-0000-0000-00005C7C0000}"/>
    <cellStyle name="40 % - Markeringsfarve5 2 6 2 2 3 3" xfId="46195" xr:uid="{00000000-0005-0000-0000-00005D7C0000}"/>
    <cellStyle name="40 % - Markeringsfarve5 2 6 2 2 4" xfId="24233" xr:uid="{00000000-0005-0000-0000-00005E7C0000}"/>
    <cellStyle name="40 % - Markeringsfarve5 2 6 2 2 5" xfId="39198" xr:uid="{00000000-0005-0000-0000-00005F7C0000}"/>
    <cellStyle name="40 % - Markeringsfarve5 2 6 2 3" xfId="8628" xr:uid="{00000000-0005-0000-0000-0000607C0000}"/>
    <cellStyle name="40 % - Markeringsfarve5 2 6 2 3 2" xfId="16495" xr:uid="{00000000-0005-0000-0000-0000617C0000}"/>
    <cellStyle name="40 % - Markeringsfarve5 2 6 2 3 2 2" xfId="32771" xr:uid="{00000000-0005-0000-0000-0000627C0000}"/>
    <cellStyle name="40 % - Markeringsfarve5 2 6 2 3 2 3" xfId="47730" xr:uid="{00000000-0005-0000-0000-0000637C0000}"/>
    <cellStyle name="40 % - Markeringsfarve5 2 6 2 3 3" xfId="25769" xr:uid="{00000000-0005-0000-0000-0000647C0000}"/>
    <cellStyle name="40 % - Markeringsfarve5 2 6 2 3 4" xfId="40733" xr:uid="{00000000-0005-0000-0000-0000657C0000}"/>
    <cellStyle name="40 % - Markeringsfarve5 2 6 2 4" xfId="14955" xr:uid="{00000000-0005-0000-0000-0000667C0000}"/>
    <cellStyle name="40 % - Markeringsfarve5 2 6 2 4 2" xfId="31234" xr:uid="{00000000-0005-0000-0000-0000677C0000}"/>
    <cellStyle name="40 % - Markeringsfarve5 2 6 2 4 3" xfId="46194" xr:uid="{00000000-0005-0000-0000-0000687C0000}"/>
    <cellStyle name="40 % - Markeringsfarve5 2 6 2 5" xfId="24232" xr:uid="{00000000-0005-0000-0000-0000697C0000}"/>
    <cellStyle name="40 % - Markeringsfarve5 2 6 2 6" xfId="39197" xr:uid="{00000000-0005-0000-0000-00006A7C0000}"/>
    <cellStyle name="40 % - Markeringsfarve5 2 6 3" xfId="6472" xr:uid="{00000000-0005-0000-0000-00006B7C0000}"/>
    <cellStyle name="40 % - Markeringsfarve5 2 6 3 2" xfId="9363" xr:uid="{00000000-0005-0000-0000-00006C7C0000}"/>
    <cellStyle name="40 % - Markeringsfarve5 2 6 3 2 2" xfId="17226" xr:uid="{00000000-0005-0000-0000-00006D7C0000}"/>
    <cellStyle name="40 % - Markeringsfarve5 2 6 3 2 2 2" xfId="33502" xr:uid="{00000000-0005-0000-0000-00006E7C0000}"/>
    <cellStyle name="40 % - Markeringsfarve5 2 6 3 2 2 3" xfId="48461" xr:uid="{00000000-0005-0000-0000-00006F7C0000}"/>
    <cellStyle name="40 % - Markeringsfarve5 2 6 3 2 3" xfId="26500" xr:uid="{00000000-0005-0000-0000-0000707C0000}"/>
    <cellStyle name="40 % - Markeringsfarve5 2 6 3 2 4" xfId="41464" xr:uid="{00000000-0005-0000-0000-0000717C0000}"/>
    <cellStyle name="40 % - Markeringsfarve5 2 6 3 3" xfId="14957" xr:uid="{00000000-0005-0000-0000-0000727C0000}"/>
    <cellStyle name="40 % - Markeringsfarve5 2 6 3 3 2" xfId="31236" xr:uid="{00000000-0005-0000-0000-0000737C0000}"/>
    <cellStyle name="40 % - Markeringsfarve5 2 6 3 3 3" xfId="46196" xr:uid="{00000000-0005-0000-0000-0000747C0000}"/>
    <cellStyle name="40 % - Markeringsfarve5 2 6 3 4" xfId="24234" xr:uid="{00000000-0005-0000-0000-0000757C0000}"/>
    <cellStyle name="40 % - Markeringsfarve5 2 6 3 5" xfId="39199" xr:uid="{00000000-0005-0000-0000-0000767C0000}"/>
    <cellStyle name="40 % - Markeringsfarve5 2 6 4" xfId="6473" xr:uid="{00000000-0005-0000-0000-0000777C0000}"/>
    <cellStyle name="40 % - Markeringsfarve5 2 6 4 2" xfId="10835" xr:uid="{00000000-0005-0000-0000-0000787C0000}"/>
    <cellStyle name="40 % - Markeringsfarve5 2 6 4 2 2" xfId="18673" xr:uid="{00000000-0005-0000-0000-0000797C0000}"/>
    <cellStyle name="40 % - Markeringsfarve5 2 6 4 2 2 2" xfId="34949" xr:uid="{00000000-0005-0000-0000-00007A7C0000}"/>
    <cellStyle name="40 % - Markeringsfarve5 2 6 4 2 2 3" xfId="49908" xr:uid="{00000000-0005-0000-0000-00007B7C0000}"/>
    <cellStyle name="40 % - Markeringsfarve5 2 6 4 2 3" xfId="27947" xr:uid="{00000000-0005-0000-0000-00007C7C0000}"/>
    <cellStyle name="40 % - Markeringsfarve5 2 6 4 2 4" xfId="42911" xr:uid="{00000000-0005-0000-0000-00007D7C0000}"/>
    <cellStyle name="40 % - Markeringsfarve5 2 6 4 3" xfId="14958" xr:uid="{00000000-0005-0000-0000-00007E7C0000}"/>
    <cellStyle name="40 % - Markeringsfarve5 2 6 4 3 2" xfId="31237" xr:uid="{00000000-0005-0000-0000-00007F7C0000}"/>
    <cellStyle name="40 % - Markeringsfarve5 2 6 4 3 3" xfId="46197" xr:uid="{00000000-0005-0000-0000-0000807C0000}"/>
    <cellStyle name="40 % - Markeringsfarve5 2 6 4 4" xfId="24235" xr:uid="{00000000-0005-0000-0000-0000817C0000}"/>
    <cellStyle name="40 % - Markeringsfarve5 2 6 4 5" xfId="39200" xr:uid="{00000000-0005-0000-0000-0000827C0000}"/>
    <cellStyle name="40 % - Markeringsfarve5 2 6 5" xfId="8202" xr:uid="{00000000-0005-0000-0000-0000837C0000}"/>
    <cellStyle name="40 % - Markeringsfarve5 2 6 5 2" xfId="16067" xr:uid="{00000000-0005-0000-0000-0000847C0000}"/>
    <cellStyle name="40 % - Markeringsfarve5 2 6 5 2 2" xfId="32343" xr:uid="{00000000-0005-0000-0000-0000857C0000}"/>
    <cellStyle name="40 % - Markeringsfarve5 2 6 5 2 3" xfId="47302" xr:uid="{00000000-0005-0000-0000-0000867C0000}"/>
    <cellStyle name="40 % - Markeringsfarve5 2 6 5 3" xfId="25341" xr:uid="{00000000-0005-0000-0000-0000877C0000}"/>
    <cellStyle name="40 % - Markeringsfarve5 2 6 5 4" xfId="40305" xr:uid="{00000000-0005-0000-0000-0000887C0000}"/>
    <cellStyle name="40 % - Markeringsfarve5 2 6 6" xfId="14954" xr:uid="{00000000-0005-0000-0000-0000897C0000}"/>
    <cellStyle name="40 % - Markeringsfarve5 2 6 6 2" xfId="31233" xr:uid="{00000000-0005-0000-0000-00008A7C0000}"/>
    <cellStyle name="40 % - Markeringsfarve5 2 6 6 3" xfId="46193" xr:uid="{00000000-0005-0000-0000-00008B7C0000}"/>
    <cellStyle name="40 % - Markeringsfarve5 2 6 7" xfId="24231" xr:uid="{00000000-0005-0000-0000-00008C7C0000}"/>
    <cellStyle name="40 % - Markeringsfarve5 2 6 8" xfId="39196" xr:uid="{00000000-0005-0000-0000-00008D7C0000}"/>
    <cellStyle name="40 % - Markeringsfarve5 2 7" xfId="6474" xr:uid="{00000000-0005-0000-0000-00008E7C0000}"/>
    <cellStyle name="40 % - Markeringsfarve5 2 7 2" xfId="6475" xr:uid="{00000000-0005-0000-0000-00008F7C0000}"/>
    <cellStyle name="40 % - Markeringsfarve5 2 7 2 2" xfId="6476" xr:uid="{00000000-0005-0000-0000-0000907C0000}"/>
    <cellStyle name="40 % - Markeringsfarve5 2 7 2 2 2" xfId="10203" xr:uid="{00000000-0005-0000-0000-0000917C0000}"/>
    <cellStyle name="40 % - Markeringsfarve5 2 7 2 2 2 2" xfId="18058" xr:uid="{00000000-0005-0000-0000-0000927C0000}"/>
    <cellStyle name="40 % - Markeringsfarve5 2 7 2 2 2 2 2" xfId="34334" xr:uid="{00000000-0005-0000-0000-0000937C0000}"/>
    <cellStyle name="40 % - Markeringsfarve5 2 7 2 2 2 2 3" xfId="49293" xr:uid="{00000000-0005-0000-0000-0000947C0000}"/>
    <cellStyle name="40 % - Markeringsfarve5 2 7 2 2 2 3" xfId="27332" xr:uid="{00000000-0005-0000-0000-0000957C0000}"/>
    <cellStyle name="40 % - Markeringsfarve5 2 7 2 2 2 4" xfId="42296" xr:uid="{00000000-0005-0000-0000-0000967C0000}"/>
    <cellStyle name="40 % - Markeringsfarve5 2 7 2 2 3" xfId="14961" xr:uid="{00000000-0005-0000-0000-0000977C0000}"/>
    <cellStyle name="40 % - Markeringsfarve5 2 7 2 2 3 2" xfId="31240" xr:uid="{00000000-0005-0000-0000-0000987C0000}"/>
    <cellStyle name="40 % - Markeringsfarve5 2 7 2 2 3 3" xfId="46200" xr:uid="{00000000-0005-0000-0000-0000997C0000}"/>
    <cellStyle name="40 % - Markeringsfarve5 2 7 2 2 4" xfId="24238" xr:uid="{00000000-0005-0000-0000-00009A7C0000}"/>
    <cellStyle name="40 % - Markeringsfarve5 2 7 2 2 5" xfId="39203" xr:uid="{00000000-0005-0000-0000-00009B7C0000}"/>
    <cellStyle name="40 % - Markeringsfarve5 2 7 2 3" xfId="8727" xr:uid="{00000000-0005-0000-0000-00009C7C0000}"/>
    <cellStyle name="40 % - Markeringsfarve5 2 7 2 3 2" xfId="16594" xr:uid="{00000000-0005-0000-0000-00009D7C0000}"/>
    <cellStyle name="40 % - Markeringsfarve5 2 7 2 3 2 2" xfId="32870" xr:uid="{00000000-0005-0000-0000-00009E7C0000}"/>
    <cellStyle name="40 % - Markeringsfarve5 2 7 2 3 2 3" xfId="47829" xr:uid="{00000000-0005-0000-0000-00009F7C0000}"/>
    <cellStyle name="40 % - Markeringsfarve5 2 7 2 3 3" xfId="25868" xr:uid="{00000000-0005-0000-0000-0000A07C0000}"/>
    <cellStyle name="40 % - Markeringsfarve5 2 7 2 3 4" xfId="40832" xr:uid="{00000000-0005-0000-0000-0000A17C0000}"/>
    <cellStyle name="40 % - Markeringsfarve5 2 7 2 4" xfId="14960" xr:uid="{00000000-0005-0000-0000-0000A27C0000}"/>
    <cellStyle name="40 % - Markeringsfarve5 2 7 2 4 2" xfId="31239" xr:uid="{00000000-0005-0000-0000-0000A37C0000}"/>
    <cellStyle name="40 % - Markeringsfarve5 2 7 2 4 3" xfId="46199" xr:uid="{00000000-0005-0000-0000-0000A47C0000}"/>
    <cellStyle name="40 % - Markeringsfarve5 2 7 2 5" xfId="24237" xr:uid="{00000000-0005-0000-0000-0000A57C0000}"/>
    <cellStyle name="40 % - Markeringsfarve5 2 7 2 6" xfId="39202" xr:uid="{00000000-0005-0000-0000-0000A67C0000}"/>
    <cellStyle name="40 % - Markeringsfarve5 2 7 3" xfId="6477" xr:uid="{00000000-0005-0000-0000-0000A77C0000}"/>
    <cellStyle name="40 % - Markeringsfarve5 2 7 3 2" xfId="9480" xr:uid="{00000000-0005-0000-0000-0000A87C0000}"/>
    <cellStyle name="40 % - Markeringsfarve5 2 7 3 2 2" xfId="17343" xr:uid="{00000000-0005-0000-0000-0000A97C0000}"/>
    <cellStyle name="40 % - Markeringsfarve5 2 7 3 2 2 2" xfId="33619" xr:uid="{00000000-0005-0000-0000-0000AA7C0000}"/>
    <cellStyle name="40 % - Markeringsfarve5 2 7 3 2 2 3" xfId="48578" xr:uid="{00000000-0005-0000-0000-0000AB7C0000}"/>
    <cellStyle name="40 % - Markeringsfarve5 2 7 3 2 3" xfId="26617" xr:uid="{00000000-0005-0000-0000-0000AC7C0000}"/>
    <cellStyle name="40 % - Markeringsfarve5 2 7 3 2 4" xfId="41581" xr:uid="{00000000-0005-0000-0000-0000AD7C0000}"/>
    <cellStyle name="40 % - Markeringsfarve5 2 7 3 3" xfId="14962" xr:uid="{00000000-0005-0000-0000-0000AE7C0000}"/>
    <cellStyle name="40 % - Markeringsfarve5 2 7 3 3 2" xfId="31241" xr:uid="{00000000-0005-0000-0000-0000AF7C0000}"/>
    <cellStyle name="40 % - Markeringsfarve5 2 7 3 3 3" xfId="46201" xr:uid="{00000000-0005-0000-0000-0000B07C0000}"/>
    <cellStyle name="40 % - Markeringsfarve5 2 7 3 4" xfId="24239" xr:uid="{00000000-0005-0000-0000-0000B17C0000}"/>
    <cellStyle name="40 % - Markeringsfarve5 2 7 3 5" xfId="39204" xr:uid="{00000000-0005-0000-0000-0000B27C0000}"/>
    <cellStyle name="40 % - Markeringsfarve5 2 7 4" xfId="6478" xr:uid="{00000000-0005-0000-0000-0000B37C0000}"/>
    <cellStyle name="40 % - Markeringsfarve5 2 7 4 2" xfId="10485" xr:uid="{00000000-0005-0000-0000-0000B47C0000}"/>
    <cellStyle name="40 % - Markeringsfarve5 2 7 4 2 2" xfId="18334" xr:uid="{00000000-0005-0000-0000-0000B57C0000}"/>
    <cellStyle name="40 % - Markeringsfarve5 2 7 4 2 2 2" xfId="34610" xr:uid="{00000000-0005-0000-0000-0000B67C0000}"/>
    <cellStyle name="40 % - Markeringsfarve5 2 7 4 2 2 3" xfId="49569" xr:uid="{00000000-0005-0000-0000-0000B77C0000}"/>
    <cellStyle name="40 % - Markeringsfarve5 2 7 4 2 3" xfId="27608" xr:uid="{00000000-0005-0000-0000-0000B87C0000}"/>
    <cellStyle name="40 % - Markeringsfarve5 2 7 4 2 4" xfId="42572" xr:uid="{00000000-0005-0000-0000-0000B97C0000}"/>
    <cellStyle name="40 % - Markeringsfarve5 2 7 4 3" xfId="14963" xr:uid="{00000000-0005-0000-0000-0000BA7C0000}"/>
    <cellStyle name="40 % - Markeringsfarve5 2 7 4 3 2" xfId="31242" xr:uid="{00000000-0005-0000-0000-0000BB7C0000}"/>
    <cellStyle name="40 % - Markeringsfarve5 2 7 4 3 3" xfId="46202" xr:uid="{00000000-0005-0000-0000-0000BC7C0000}"/>
    <cellStyle name="40 % - Markeringsfarve5 2 7 4 4" xfId="24240" xr:uid="{00000000-0005-0000-0000-0000BD7C0000}"/>
    <cellStyle name="40 % - Markeringsfarve5 2 7 4 5" xfId="39205" xr:uid="{00000000-0005-0000-0000-0000BE7C0000}"/>
    <cellStyle name="40 % - Markeringsfarve5 2 7 5" xfId="8203" xr:uid="{00000000-0005-0000-0000-0000BF7C0000}"/>
    <cellStyle name="40 % - Markeringsfarve5 2 7 5 2" xfId="16068" xr:uid="{00000000-0005-0000-0000-0000C07C0000}"/>
    <cellStyle name="40 % - Markeringsfarve5 2 7 5 2 2" xfId="32344" xr:uid="{00000000-0005-0000-0000-0000C17C0000}"/>
    <cellStyle name="40 % - Markeringsfarve5 2 7 5 2 3" xfId="47303" xr:uid="{00000000-0005-0000-0000-0000C27C0000}"/>
    <cellStyle name="40 % - Markeringsfarve5 2 7 5 3" xfId="25342" xr:uid="{00000000-0005-0000-0000-0000C37C0000}"/>
    <cellStyle name="40 % - Markeringsfarve5 2 7 5 4" xfId="40306" xr:uid="{00000000-0005-0000-0000-0000C47C0000}"/>
    <cellStyle name="40 % - Markeringsfarve5 2 7 6" xfId="14959" xr:uid="{00000000-0005-0000-0000-0000C57C0000}"/>
    <cellStyle name="40 % - Markeringsfarve5 2 7 6 2" xfId="31238" xr:uid="{00000000-0005-0000-0000-0000C67C0000}"/>
    <cellStyle name="40 % - Markeringsfarve5 2 7 6 3" xfId="46198" xr:uid="{00000000-0005-0000-0000-0000C77C0000}"/>
    <cellStyle name="40 % - Markeringsfarve5 2 7 7" xfId="24236" xr:uid="{00000000-0005-0000-0000-0000C87C0000}"/>
    <cellStyle name="40 % - Markeringsfarve5 2 7 8" xfId="39201" xr:uid="{00000000-0005-0000-0000-0000C97C0000}"/>
    <cellStyle name="40 % - Markeringsfarve5 2 8" xfId="6479" xr:uid="{00000000-0005-0000-0000-0000CA7C0000}"/>
    <cellStyle name="40 % - Markeringsfarve5 2 8 2" xfId="6480" xr:uid="{00000000-0005-0000-0000-0000CB7C0000}"/>
    <cellStyle name="40 % - Markeringsfarve5 2 8 2 2" xfId="6481" xr:uid="{00000000-0005-0000-0000-0000CC7C0000}"/>
    <cellStyle name="40 % - Markeringsfarve5 2 8 2 2 2" xfId="10376" xr:uid="{00000000-0005-0000-0000-0000CD7C0000}"/>
    <cellStyle name="40 % - Markeringsfarve5 2 8 2 2 2 2" xfId="18231" xr:uid="{00000000-0005-0000-0000-0000CE7C0000}"/>
    <cellStyle name="40 % - Markeringsfarve5 2 8 2 2 2 2 2" xfId="34507" xr:uid="{00000000-0005-0000-0000-0000CF7C0000}"/>
    <cellStyle name="40 % - Markeringsfarve5 2 8 2 2 2 2 3" xfId="49466" xr:uid="{00000000-0005-0000-0000-0000D07C0000}"/>
    <cellStyle name="40 % - Markeringsfarve5 2 8 2 2 2 3" xfId="27505" xr:uid="{00000000-0005-0000-0000-0000D17C0000}"/>
    <cellStyle name="40 % - Markeringsfarve5 2 8 2 2 2 4" xfId="42469" xr:uid="{00000000-0005-0000-0000-0000D27C0000}"/>
    <cellStyle name="40 % - Markeringsfarve5 2 8 2 2 3" xfId="14966" xr:uid="{00000000-0005-0000-0000-0000D37C0000}"/>
    <cellStyle name="40 % - Markeringsfarve5 2 8 2 2 3 2" xfId="31245" xr:uid="{00000000-0005-0000-0000-0000D47C0000}"/>
    <cellStyle name="40 % - Markeringsfarve5 2 8 2 2 3 3" xfId="46205" xr:uid="{00000000-0005-0000-0000-0000D57C0000}"/>
    <cellStyle name="40 % - Markeringsfarve5 2 8 2 2 4" xfId="24243" xr:uid="{00000000-0005-0000-0000-0000D67C0000}"/>
    <cellStyle name="40 % - Markeringsfarve5 2 8 2 2 5" xfId="39208" xr:uid="{00000000-0005-0000-0000-0000D77C0000}"/>
    <cellStyle name="40 % - Markeringsfarve5 2 8 2 3" xfId="8870" xr:uid="{00000000-0005-0000-0000-0000D87C0000}"/>
    <cellStyle name="40 % - Markeringsfarve5 2 8 2 3 2" xfId="16737" xr:uid="{00000000-0005-0000-0000-0000D97C0000}"/>
    <cellStyle name="40 % - Markeringsfarve5 2 8 2 3 2 2" xfId="33013" xr:uid="{00000000-0005-0000-0000-0000DA7C0000}"/>
    <cellStyle name="40 % - Markeringsfarve5 2 8 2 3 2 3" xfId="47972" xr:uid="{00000000-0005-0000-0000-0000DB7C0000}"/>
    <cellStyle name="40 % - Markeringsfarve5 2 8 2 3 3" xfId="26011" xr:uid="{00000000-0005-0000-0000-0000DC7C0000}"/>
    <cellStyle name="40 % - Markeringsfarve5 2 8 2 3 4" xfId="40975" xr:uid="{00000000-0005-0000-0000-0000DD7C0000}"/>
    <cellStyle name="40 % - Markeringsfarve5 2 8 2 4" xfId="14965" xr:uid="{00000000-0005-0000-0000-0000DE7C0000}"/>
    <cellStyle name="40 % - Markeringsfarve5 2 8 2 4 2" xfId="31244" xr:uid="{00000000-0005-0000-0000-0000DF7C0000}"/>
    <cellStyle name="40 % - Markeringsfarve5 2 8 2 4 3" xfId="46204" xr:uid="{00000000-0005-0000-0000-0000E07C0000}"/>
    <cellStyle name="40 % - Markeringsfarve5 2 8 2 5" xfId="24242" xr:uid="{00000000-0005-0000-0000-0000E17C0000}"/>
    <cellStyle name="40 % - Markeringsfarve5 2 8 2 6" xfId="39207" xr:uid="{00000000-0005-0000-0000-0000E27C0000}"/>
    <cellStyle name="40 % - Markeringsfarve5 2 8 3" xfId="6482" xr:uid="{00000000-0005-0000-0000-0000E37C0000}"/>
    <cellStyle name="40 % - Markeringsfarve5 2 8 3 2" xfId="9654" xr:uid="{00000000-0005-0000-0000-0000E47C0000}"/>
    <cellStyle name="40 % - Markeringsfarve5 2 8 3 2 2" xfId="17517" xr:uid="{00000000-0005-0000-0000-0000E57C0000}"/>
    <cellStyle name="40 % - Markeringsfarve5 2 8 3 2 2 2" xfId="33793" xr:uid="{00000000-0005-0000-0000-0000E67C0000}"/>
    <cellStyle name="40 % - Markeringsfarve5 2 8 3 2 2 3" xfId="48752" xr:uid="{00000000-0005-0000-0000-0000E77C0000}"/>
    <cellStyle name="40 % - Markeringsfarve5 2 8 3 2 3" xfId="26791" xr:uid="{00000000-0005-0000-0000-0000E87C0000}"/>
    <cellStyle name="40 % - Markeringsfarve5 2 8 3 2 4" xfId="41755" xr:uid="{00000000-0005-0000-0000-0000E97C0000}"/>
    <cellStyle name="40 % - Markeringsfarve5 2 8 3 3" xfId="14967" xr:uid="{00000000-0005-0000-0000-0000EA7C0000}"/>
    <cellStyle name="40 % - Markeringsfarve5 2 8 3 3 2" xfId="31246" xr:uid="{00000000-0005-0000-0000-0000EB7C0000}"/>
    <cellStyle name="40 % - Markeringsfarve5 2 8 3 3 3" xfId="46206" xr:uid="{00000000-0005-0000-0000-0000EC7C0000}"/>
    <cellStyle name="40 % - Markeringsfarve5 2 8 3 4" xfId="24244" xr:uid="{00000000-0005-0000-0000-0000ED7C0000}"/>
    <cellStyle name="40 % - Markeringsfarve5 2 8 3 5" xfId="39209" xr:uid="{00000000-0005-0000-0000-0000EE7C0000}"/>
    <cellStyle name="40 % - Markeringsfarve5 2 8 4" xfId="6483" xr:uid="{00000000-0005-0000-0000-0000EF7C0000}"/>
    <cellStyle name="40 % - Markeringsfarve5 2 8 4 2" xfId="10814" xr:uid="{00000000-0005-0000-0000-0000F07C0000}"/>
    <cellStyle name="40 % - Markeringsfarve5 2 8 4 2 2" xfId="18655" xr:uid="{00000000-0005-0000-0000-0000F17C0000}"/>
    <cellStyle name="40 % - Markeringsfarve5 2 8 4 2 2 2" xfId="34931" xr:uid="{00000000-0005-0000-0000-0000F27C0000}"/>
    <cellStyle name="40 % - Markeringsfarve5 2 8 4 2 2 3" xfId="49890" xr:uid="{00000000-0005-0000-0000-0000F37C0000}"/>
    <cellStyle name="40 % - Markeringsfarve5 2 8 4 2 3" xfId="27929" xr:uid="{00000000-0005-0000-0000-0000F47C0000}"/>
    <cellStyle name="40 % - Markeringsfarve5 2 8 4 2 4" xfId="42893" xr:uid="{00000000-0005-0000-0000-0000F57C0000}"/>
    <cellStyle name="40 % - Markeringsfarve5 2 8 4 3" xfId="14968" xr:uid="{00000000-0005-0000-0000-0000F67C0000}"/>
    <cellStyle name="40 % - Markeringsfarve5 2 8 4 3 2" xfId="31247" xr:uid="{00000000-0005-0000-0000-0000F77C0000}"/>
    <cellStyle name="40 % - Markeringsfarve5 2 8 4 3 3" xfId="46207" xr:uid="{00000000-0005-0000-0000-0000F87C0000}"/>
    <cellStyle name="40 % - Markeringsfarve5 2 8 4 4" xfId="24245" xr:uid="{00000000-0005-0000-0000-0000F97C0000}"/>
    <cellStyle name="40 % - Markeringsfarve5 2 8 4 5" xfId="39210" xr:uid="{00000000-0005-0000-0000-0000FA7C0000}"/>
    <cellStyle name="40 % - Markeringsfarve5 2 8 5" xfId="8204" xr:uid="{00000000-0005-0000-0000-0000FB7C0000}"/>
    <cellStyle name="40 % - Markeringsfarve5 2 8 5 2" xfId="16069" xr:uid="{00000000-0005-0000-0000-0000FC7C0000}"/>
    <cellStyle name="40 % - Markeringsfarve5 2 8 5 2 2" xfId="32345" xr:uid="{00000000-0005-0000-0000-0000FD7C0000}"/>
    <cellStyle name="40 % - Markeringsfarve5 2 8 5 2 3" xfId="47304" xr:uid="{00000000-0005-0000-0000-0000FE7C0000}"/>
    <cellStyle name="40 % - Markeringsfarve5 2 8 5 3" xfId="25343" xr:uid="{00000000-0005-0000-0000-0000FF7C0000}"/>
    <cellStyle name="40 % - Markeringsfarve5 2 8 5 4" xfId="40307" xr:uid="{00000000-0005-0000-0000-0000007D0000}"/>
    <cellStyle name="40 % - Markeringsfarve5 2 8 6" xfId="14964" xr:uid="{00000000-0005-0000-0000-0000017D0000}"/>
    <cellStyle name="40 % - Markeringsfarve5 2 8 6 2" xfId="31243" xr:uid="{00000000-0005-0000-0000-0000027D0000}"/>
    <cellStyle name="40 % - Markeringsfarve5 2 8 6 3" xfId="46203" xr:uid="{00000000-0005-0000-0000-0000037D0000}"/>
    <cellStyle name="40 % - Markeringsfarve5 2 8 7" xfId="24241" xr:uid="{00000000-0005-0000-0000-0000047D0000}"/>
    <cellStyle name="40 % - Markeringsfarve5 2 8 8" xfId="39206" xr:uid="{00000000-0005-0000-0000-0000057D0000}"/>
    <cellStyle name="40 % - Markeringsfarve5 2 9" xfId="6484" xr:uid="{00000000-0005-0000-0000-0000067D0000}"/>
    <cellStyle name="40 % - Markeringsfarve5 2 9 2" xfId="6485" xr:uid="{00000000-0005-0000-0000-0000077D0000}"/>
    <cellStyle name="40 % - Markeringsfarve5 2 9 2 2" xfId="9730" xr:uid="{00000000-0005-0000-0000-0000087D0000}"/>
    <cellStyle name="40 % - Markeringsfarve5 2 9 2 2 2" xfId="17584" xr:uid="{00000000-0005-0000-0000-0000097D0000}"/>
    <cellStyle name="40 % - Markeringsfarve5 2 9 2 2 2 2" xfId="33860" xr:uid="{00000000-0005-0000-0000-00000A7D0000}"/>
    <cellStyle name="40 % - Markeringsfarve5 2 9 2 2 2 3" xfId="48819" xr:uid="{00000000-0005-0000-0000-00000B7D0000}"/>
    <cellStyle name="40 % - Markeringsfarve5 2 9 2 2 3" xfId="26858" xr:uid="{00000000-0005-0000-0000-00000C7D0000}"/>
    <cellStyle name="40 % - Markeringsfarve5 2 9 2 2 4" xfId="41822" xr:uid="{00000000-0005-0000-0000-00000D7D0000}"/>
    <cellStyle name="40 % - Markeringsfarve5 2 9 2 3" xfId="14970" xr:uid="{00000000-0005-0000-0000-00000E7D0000}"/>
    <cellStyle name="40 % - Markeringsfarve5 2 9 2 3 2" xfId="31249" xr:uid="{00000000-0005-0000-0000-00000F7D0000}"/>
    <cellStyle name="40 % - Markeringsfarve5 2 9 2 3 3" xfId="46209" xr:uid="{00000000-0005-0000-0000-0000107D0000}"/>
    <cellStyle name="40 % - Markeringsfarve5 2 9 2 4" xfId="24247" xr:uid="{00000000-0005-0000-0000-0000117D0000}"/>
    <cellStyle name="40 % - Markeringsfarve5 2 9 2 5" xfId="39212" xr:uid="{00000000-0005-0000-0000-0000127D0000}"/>
    <cellStyle name="40 % - Markeringsfarve5 2 9 3" xfId="8327" xr:uid="{00000000-0005-0000-0000-0000137D0000}"/>
    <cellStyle name="40 % - Markeringsfarve5 2 9 3 2" xfId="16197" xr:uid="{00000000-0005-0000-0000-0000147D0000}"/>
    <cellStyle name="40 % - Markeringsfarve5 2 9 3 2 2" xfId="32473" xr:uid="{00000000-0005-0000-0000-0000157D0000}"/>
    <cellStyle name="40 % - Markeringsfarve5 2 9 3 2 3" xfId="47432" xr:uid="{00000000-0005-0000-0000-0000167D0000}"/>
    <cellStyle name="40 % - Markeringsfarve5 2 9 3 3" xfId="25471" xr:uid="{00000000-0005-0000-0000-0000177D0000}"/>
    <cellStyle name="40 % - Markeringsfarve5 2 9 3 4" xfId="40435" xr:uid="{00000000-0005-0000-0000-0000187D0000}"/>
    <cellStyle name="40 % - Markeringsfarve5 2 9 4" xfId="14969" xr:uid="{00000000-0005-0000-0000-0000197D0000}"/>
    <cellStyle name="40 % - Markeringsfarve5 2 9 4 2" xfId="31248" xr:uid="{00000000-0005-0000-0000-00001A7D0000}"/>
    <cellStyle name="40 % - Markeringsfarve5 2 9 4 3" xfId="46208" xr:uid="{00000000-0005-0000-0000-00001B7D0000}"/>
    <cellStyle name="40 % - Markeringsfarve5 2 9 5" xfId="24246" xr:uid="{00000000-0005-0000-0000-00001C7D0000}"/>
    <cellStyle name="40 % - Markeringsfarve5 2 9 6" xfId="39211" xr:uid="{00000000-0005-0000-0000-00001D7D0000}"/>
    <cellStyle name="40 % - Markeringsfarve5 3" xfId="6486" xr:uid="{00000000-0005-0000-0000-00001E7D0000}"/>
    <cellStyle name="40 % - Markeringsfarve5 3 10" xfId="6487" xr:uid="{00000000-0005-0000-0000-00001F7D0000}"/>
    <cellStyle name="40 % - Markeringsfarve5 3 10 2" xfId="8943" xr:uid="{00000000-0005-0000-0000-0000207D0000}"/>
    <cellStyle name="40 % - Markeringsfarve5 3 10 2 2" xfId="16808" xr:uid="{00000000-0005-0000-0000-0000217D0000}"/>
    <cellStyle name="40 % - Markeringsfarve5 3 10 2 2 2" xfId="33084" xr:uid="{00000000-0005-0000-0000-0000227D0000}"/>
    <cellStyle name="40 % - Markeringsfarve5 3 10 2 2 3" xfId="48043" xr:uid="{00000000-0005-0000-0000-0000237D0000}"/>
    <cellStyle name="40 % - Markeringsfarve5 3 10 2 3" xfId="26082" xr:uid="{00000000-0005-0000-0000-0000247D0000}"/>
    <cellStyle name="40 % - Markeringsfarve5 3 10 2 4" xfId="41046" xr:uid="{00000000-0005-0000-0000-0000257D0000}"/>
    <cellStyle name="40 % - Markeringsfarve5 3 10 3" xfId="14972" xr:uid="{00000000-0005-0000-0000-0000267D0000}"/>
    <cellStyle name="40 % - Markeringsfarve5 3 10 3 2" xfId="31251" xr:uid="{00000000-0005-0000-0000-0000277D0000}"/>
    <cellStyle name="40 % - Markeringsfarve5 3 10 3 3" xfId="46211" xr:uid="{00000000-0005-0000-0000-0000287D0000}"/>
    <cellStyle name="40 % - Markeringsfarve5 3 10 4" xfId="24249" xr:uid="{00000000-0005-0000-0000-0000297D0000}"/>
    <cellStyle name="40 % - Markeringsfarve5 3 10 5" xfId="39214" xr:uid="{00000000-0005-0000-0000-00002A7D0000}"/>
    <cellStyle name="40 % - Markeringsfarve5 3 11" xfId="6488" xr:uid="{00000000-0005-0000-0000-00002B7D0000}"/>
    <cellStyle name="40 % - Markeringsfarve5 3 11 2" xfId="10465" xr:uid="{00000000-0005-0000-0000-00002C7D0000}"/>
    <cellStyle name="40 % - Markeringsfarve5 3 11 2 2" xfId="18316" xr:uid="{00000000-0005-0000-0000-00002D7D0000}"/>
    <cellStyle name="40 % - Markeringsfarve5 3 11 2 2 2" xfId="34592" xr:uid="{00000000-0005-0000-0000-00002E7D0000}"/>
    <cellStyle name="40 % - Markeringsfarve5 3 11 2 2 3" xfId="49551" xr:uid="{00000000-0005-0000-0000-00002F7D0000}"/>
    <cellStyle name="40 % - Markeringsfarve5 3 11 2 3" xfId="27590" xr:uid="{00000000-0005-0000-0000-0000307D0000}"/>
    <cellStyle name="40 % - Markeringsfarve5 3 11 2 4" xfId="42554" xr:uid="{00000000-0005-0000-0000-0000317D0000}"/>
    <cellStyle name="40 % - Markeringsfarve5 3 11 3" xfId="14973" xr:uid="{00000000-0005-0000-0000-0000327D0000}"/>
    <cellStyle name="40 % - Markeringsfarve5 3 11 3 2" xfId="31252" xr:uid="{00000000-0005-0000-0000-0000337D0000}"/>
    <cellStyle name="40 % - Markeringsfarve5 3 11 3 3" xfId="46212" xr:uid="{00000000-0005-0000-0000-0000347D0000}"/>
    <cellStyle name="40 % - Markeringsfarve5 3 11 4" xfId="24250" xr:uid="{00000000-0005-0000-0000-0000357D0000}"/>
    <cellStyle name="40 % - Markeringsfarve5 3 11 5" xfId="39215" xr:uid="{00000000-0005-0000-0000-0000367D0000}"/>
    <cellStyle name="40 % - Markeringsfarve5 3 12" xfId="8205" xr:uid="{00000000-0005-0000-0000-0000377D0000}"/>
    <cellStyle name="40 % - Markeringsfarve5 3 12 2" xfId="16070" xr:uid="{00000000-0005-0000-0000-0000387D0000}"/>
    <cellStyle name="40 % - Markeringsfarve5 3 12 2 2" xfId="32346" xr:uid="{00000000-0005-0000-0000-0000397D0000}"/>
    <cellStyle name="40 % - Markeringsfarve5 3 12 2 3" xfId="47305" xr:uid="{00000000-0005-0000-0000-00003A7D0000}"/>
    <cellStyle name="40 % - Markeringsfarve5 3 12 3" xfId="25344" xr:uid="{00000000-0005-0000-0000-00003B7D0000}"/>
    <cellStyle name="40 % - Markeringsfarve5 3 12 4" xfId="40308" xr:uid="{00000000-0005-0000-0000-00003C7D0000}"/>
    <cellStyle name="40 % - Markeringsfarve5 3 13" xfId="14971" xr:uid="{00000000-0005-0000-0000-00003D7D0000}"/>
    <cellStyle name="40 % - Markeringsfarve5 3 13 2" xfId="31250" xr:uid="{00000000-0005-0000-0000-00003E7D0000}"/>
    <cellStyle name="40 % - Markeringsfarve5 3 13 3" xfId="46210" xr:uid="{00000000-0005-0000-0000-00003F7D0000}"/>
    <cellStyle name="40 % - Markeringsfarve5 3 14" xfId="24248" xr:uid="{00000000-0005-0000-0000-0000407D0000}"/>
    <cellStyle name="40 % - Markeringsfarve5 3 15" xfId="39213" xr:uid="{00000000-0005-0000-0000-0000417D0000}"/>
    <cellStyle name="40 % - Markeringsfarve5 3 2" xfId="6489" xr:uid="{00000000-0005-0000-0000-0000427D0000}"/>
    <cellStyle name="40 % - Markeringsfarve5 3 2 10" xfId="8206" xr:uid="{00000000-0005-0000-0000-0000437D0000}"/>
    <cellStyle name="40 % - Markeringsfarve5 3 2 10 2" xfId="16071" xr:uid="{00000000-0005-0000-0000-0000447D0000}"/>
    <cellStyle name="40 % - Markeringsfarve5 3 2 10 2 2" xfId="32347" xr:uid="{00000000-0005-0000-0000-0000457D0000}"/>
    <cellStyle name="40 % - Markeringsfarve5 3 2 10 2 3" xfId="47306" xr:uid="{00000000-0005-0000-0000-0000467D0000}"/>
    <cellStyle name="40 % - Markeringsfarve5 3 2 10 3" xfId="25345" xr:uid="{00000000-0005-0000-0000-0000477D0000}"/>
    <cellStyle name="40 % - Markeringsfarve5 3 2 10 4" xfId="40309" xr:uid="{00000000-0005-0000-0000-0000487D0000}"/>
    <cellStyle name="40 % - Markeringsfarve5 3 2 11" xfId="14974" xr:uid="{00000000-0005-0000-0000-0000497D0000}"/>
    <cellStyle name="40 % - Markeringsfarve5 3 2 11 2" xfId="31253" xr:uid="{00000000-0005-0000-0000-00004A7D0000}"/>
    <cellStyle name="40 % - Markeringsfarve5 3 2 11 3" xfId="46213" xr:uid="{00000000-0005-0000-0000-00004B7D0000}"/>
    <cellStyle name="40 % - Markeringsfarve5 3 2 12" xfId="24251" xr:uid="{00000000-0005-0000-0000-00004C7D0000}"/>
    <cellStyle name="40 % - Markeringsfarve5 3 2 13" xfId="39216" xr:uid="{00000000-0005-0000-0000-00004D7D0000}"/>
    <cellStyle name="40 % - Markeringsfarve5 3 2 2" xfId="6490" xr:uid="{00000000-0005-0000-0000-00004E7D0000}"/>
    <cellStyle name="40 % - Markeringsfarve5 3 2 2 2" xfId="6491" xr:uid="{00000000-0005-0000-0000-00004F7D0000}"/>
    <cellStyle name="40 % - Markeringsfarve5 3 2 2 2 2" xfId="6492" xr:uid="{00000000-0005-0000-0000-0000507D0000}"/>
    <cellStyle name="40 % - Markeringsfarve5 3 2 2 2 2 2" xfId="9875" xr:uid="{00000000-0005-0000-0000-0000517D0000}"/>
    <cellStyle name="40 % - Markeringsfarve5 3 2 2 2 2 2 2" xfId="17730" xr:uid="{00000000-0005-0000-0000-0000527D0000}"/>
    <cellStyle name="40 % - Markeringsfarve5 3 2 2 2 2 2 2 2" xfId="34006" xr:uid="{00000000-0005-0000-0000-0000537D0000}"/>
    <cellStyle name="40 % - Markeringsfarve5 3 2 2 2 2 2 2 3" xfId="48965" xr:uid="{00000000-0005-0000-0000-0000547D0000}"/>
    <cellStyle name="40 % - Markeringsfarve5 3 2 2 2 2 2 3" xfId="27004" xr:uid="{00000000-0005-0000-0000-0000557D0000}"/>
    <cellStyle name="40 % - Markeringsfarve5 3 2 2 2 2 2 4" xfId="41968" xr:uid="{00000000-0005-0000-0000-0000567D0000}"/>
    <cellStyle name="40 % - Markeringsfarve5 3 2 2 2 2 3" xfId="14977" xr:uid="{00000000-0005-0000-0000-0000577D0000}"/>
    <cellStyle name="40 % - Markeringsfarve5 3 2 2 2 2 3 2" xfId="31256" xr:uid="{00000000-0005-0000-0000-0000587D0000}"/>
    <cellStyle name="40 % - Markeringsfarve5 3 2 2 2 2 3 3" xfId="46216" xr:uid="{00000000-0005-0000-0000-0000597D0000}"/>
    <cellStyle name="40 % - Markeringsfarve5 3 2 2 2 2 4" xfId="24254" xr:uid="{00000000-0005-0000-0000-00005A7D0000}"/>
    <cellStyle name="40 % - Markeringsfarve5 3 2 2 2 2 5" xfId="39219" xr:uid="{00000000-0005-0000-0000-00005B7D0000}"/>
    <cellStyle name="40 % - Markeringsfarve5 3 2 2 2 3" xfId="8449" xr:uid="{00000000-0005-0000-0000-00005C7D0000}"/>
    <cellStyle name="40 % - Markeringsfarve5 3 2 2 2 3 2" xfId="16319" xr:uid="{00000000-0005-0000-0000-00005D7D0000}"/>
    <cellStyle name="40 % - Markeringsfarve5 3 2 2 2 3 2 2" xfId="32595" xr:uid="{00000000-0005-0000-0000-00005E7D0000}"/>
    <cellStyle name="40 % - Markeringsfarve5 3 2 2 2 3 2 3" xfId="47554" xr:uid="{00000000-0005-0000-0000-00005F7D0000}"/>
    <cellStyle name="40 % - Markeringsfarve5 3 2 2 2 3 3" xfId="25593" xr:uid="{00000000-0005-0000-0000-0000607D0000}"/>
    <cellStyle name="40 % - Markeringsfarve5 3 2 2 2 3 4" xfId="40557" xr:uid="{00000000-0005-0000-0000-0000617D0000}"/>
    <cellStyle name="40 % - Markeringsfarve5 3 2 2 2 4" xfId="14976" xr:uid="{00000000-0005-0000-0000-0000627D0000}"/>
    <cellStyle name="40 % - Markeringsfarve5 3 2 2 2 4 2" xfId="31255" xr:uid="{00000000-0005-0000-0000-0000637D0000}"/>
    <cellStyle name="40 % - Markeringsfarve5 3 2 2 2 4 3" xfId="46215" xr:uid="{00000000-0005-0000-0000-0000647D0000}"/>
    <cellStyle name="40 % - Markeringsfarve5 3 2 2 2 5" xfId="24253" xr:uid="{00000000-0005-0000-0000-0000657D0000}"/>
    <cellStyle name="40 % - Markeringsfarve5 3 2 2 2 6" xfId="39218" xr:uid="{00000000-0005-0000-0000-0000667D0000}"/>
    <cellStyle name="40 % - Markeringsfarve5 3 2 2 3" xfId="6493" xr:uid="{00000000-0005-0000-0000-0000677D0000}"/>
    <cellStyle name="40 % - Markeringsfarve5 3 2 2 3 2" xfId="9106" xr:uid="{00000000-0005-0000-0000-0000687D0000}"/>
    <cellStyle name="40 % - Markeringsfarve5 3 2 2 3 2 2" xfId="16970" xr:uid="{00000000-0005-0000-0000-0000697D0000}"/>
    <cellStyle name="40 % - Markeringsfarve5 3 2 2 3 2 2 2" xfId="33246" xr:uid="{00000000-0005-0000-0000-00006A7D0000}"/>
    <cellStyle name="40 % - Markeringsfarve5 3 2 2 3 2 2 3" xfId="48205" xr:uid="{00000000-0005-0000-0000-00006B7D0000}"/>
    <cellStyle name="40 % - Markeringsfarve5 3 2 2 3 2 3" xfId="26244" xr:uid="{00000000-0005-0000-0000-00006C7D0000}"/>
    <cellStyle name="40 % - Markeringsfarve5 3 2 2 3 2 4" xfId="41208" xr:uid="{00000000-0005-0000-0000-00006D7D0000}"/>
    <cellStyle name="40 % - Markeringsfarve5 3 2 2 3 3" xfId="14978" xr:uid="{00000000-0005-0000-0000-00006E7D0000}"/>
    <cellStyle name="40 % - Markeringsfarve5 3 2 2 3 3 2" xfId="31257" xr:uid="{00000000-0005-0000-0000-00006F7D0000}"/>
    <cellStyle name="40 % - Markeringsfarve5 3 2 2 3 3 3" xfId="46217" xr:uid="{00000000-0005-0000-0000-0000707D0000}"/>
    <cellStyle name="40 % - Markeringsfarve5 3 2 2 3 4" xfId="24255" xr:uid="{00000000-0005-0000-0000-0000717D0000}"/>
    <cellStyle name="40 % - Markeringsfarve5 3 2 2 3 5" xfId="39220" xr:uid="{00000000-0005-0000-0000-0000727D0000}"/>
    <cellStyle name="40 % - Markeringsfarve5 3 2 2 4" xfId="6494" xr:uid="{00000000-0005-0000-0000-0000737D0000}"/>
    <cellStyle name="40 % - Markeringsfarve5 3 2 2 4 2" xfId="10758" xr:uid="{00000000-0005-0000-0000-0000747D0000}"/>
    <cellStyle name="40 % - Markeringsfarve5 3 2 2 4 2 2" xfId="18601" xr:uid="{00000000-0005-0000-0000-0000757D0000}"/>
    <cellStyle name="40 % - Markeringsfarve5 3 2 2 4 2 2 2" xfId="34877" xr:uid="{00000000-0005-0000-0000-0000767D0000}"/>
    <cellStyle name="40 % - Markeringsfarve5 3 2 2 4 2 2 3" xfId="49836" xr:uid="{00000000-0005-0000-0000-0000777D0000}"/>
    <cellStyle name="40 % - Markeringsfarve5 3 2 2 4 2 3" xfId="27875" xr:uid="{00000000-0005-0000-0000-0000787D0000}"/>
    <cellStyle name="40 % - Markeringsfarve5 3 2 2 4 2 4" xfId="42839" xr:uid="{00000000-0005-0000-0000-0000797D0000}"/>
    <cellStyle name="40 % - Markeringsfarve5 3 2 2 4 3" xfId="14979" xr:uid="{00000000-0005-0000-0000-00007A7D0000}"/>
    <cellStyle name="40 % - Markeringsfarve5 3 2 2 4 3 2" xfId="31258" xr:uid="{00000000-0005-0000-0000-00007B7D0000}"/>
    <cellStyle name="40 % - Markeringsfarve5 3 2 2 4 3 3" xfId="46218" xr:uid="{00000000-0005-0000-0000-00007C7D0000}"/>
    <cellStyle name="40 % - Markeringsfarve5 3 2 2 4 4" xfId="24256" xr:uid="{00000000-0005-0000-0000-00007D7D0000}"/>
    <cellStyle name="40 % - Markeringsfarve5 3 2 2 4 5" xfId="39221" xr:uid="{00000000-0005-0000-0000-00007E7D0000}"/>
    <cellStyle name="40 % - Markeringsfarve5 3 2 2 5" xfId="8207" xr:uid="{00000000-0005-0000-0000-00007F7D0000}"/>
    <cellStyle name="40 % - Markeringsfarve5 3 2 2 5 2" xfId="16072" xr:uid="{00000000-0005-0000-0000-0000807D0000}"/>
    <cellStyle name="40 % - Markeringsfarve5 3 2 2 5 2 2" xfId="32348" xr:uid="{00000000-0005-0000-0000-0000817D0000}"/>
    <cellStyle name="40 % - Markeringsfarve5 3 2 2 5 2 3" xfId="47307" xr:uid="{00000000-0005-0000-0000-0000827D0000}"/>
    <cellStyle name="40 % - Markeringsfarve5 3 2 2 5 3" xfId="25346" xr:uid="{00000000-0005-0000-0000-0000837D0000}"/>
    <cellStyle name="40 % - Markeringsfarve5 3 2 2 5 4" xfId="40310" xr:uid="{00000000-0005-0000-0000-0000847D0000}"/>
    <cellStyle name="40 % - Markeringsfarve5 3 2 2 6" xfId="14975" xr:uid="{00000000-0005-0000-0000-0000857D0000}"/>
    <cellStyle name="40 % - Markeringsfarve5 3 2 2 6 2" xfId="31254" xr:uid="{00000000-0005-0000-0000-0000867D0000}"/>
    <cellStyle name="40 % - Markeringsfarve5 3 2 2 6 3" xfId="46214" xr:uid="{00000000-0005-0000-0000-0000877D0000}"/>
    <cellStyle name="40 % - Markeringsfarve5 3 2 2 7" xfId="24252" xr:uid="{00000000-0005-0000-0000-0000887D0000}"/>
    <cellStyle name="40 % - Markeringsfarve5 3 2 2 8" xfId="39217" xr:uid="{00000000-0005-0000-0000-0000897D0000}"/>
    <cellStyle name="40 % - Markeringsfarve5 3 2 3" xfId="6495" xr:uid="{00000000-0005-0000-0000-00008A7D0000}"/>
    <cellStyle name="40 % - Markeringsfarve5 3 2 3 2" xfId="6496" xr:uid="{00000000-0005-0000-0000-00008B7D0000}"/>
    <cellStyle name="40 % - Markeringsfarve5 3 2 3 2 2" xfId="6497" xr:uid="{00000000-0005-0000-0000-00008C7D0000}"/>
    <cellStyle name="40 % - Markeringsfarve5 3 2 3 2 2 2" xfId="10026" xr:uid="{00000000-0005-0000-0000-00008D7D0000}"/>
    <cellStyle name="40 % - Markeringsfarve5 3 2 3 2 2 2 2" xfId="17881" xr:uid="{00000000-0005-0000-0000-00008E7D0000}"/>
    <cellStyle name="40 % - Markeringsfarve5 3 2 3 2 2 2 2 2" xfId="34157" xr:uid="{00000000-0005-0000-0000-00008F7D0000}"/>
    <cellStyle name="40 % - Markeringsfarve5 3 2 3 2 2 2 2 3" xfId="49116" xr:uid="{00000000-0005-0000-0000-0000907D0000}"/>
    <cellStyle name="40 % - Markeringsfarve5 3 2 3 2 2 2 3" xfId="27155" xr:uid="{00000000-0005-0000-0000-0000917D0000}"/>
    <cellStyle name="40 % - Markeringsfarve5 3 2 3 2 2 2 4" xfId="42119" xr:uid="{00000000-0005-0000-0000-0000927D0000}"/>
    <cellStyle name="40 % - Markeringsfarve5 3 2 3 2 2 3" xfId="14982" xr:uid="{00000000-0005-0000-0000-0000937D0000}"/>
    <cellStyle name="40 % - Markeringsfarve5 3 2 3 2 2 3 2" xfId="31261" xr:uid="{00000000-0005-0000-0000-0000947D0000}"/>
    <cellStyle name="40 % - Markeringsfarve5 3 2 3 2 2 3 3" xfId="46221" xr:uid="{00000000-0005-0000-0000-0000957D0000}"/>
    <cellStyle name="40 % - Markeringsfarve5 3 2 3 2 2 4" xfId="24259" xr:uid="{00000000-0005-0000-0000-0000967D0000}"/>
    <cellStyle name="40 % - Markeringsfarve5 3 2 3 2 2 5" xfId="39224" xr:uid="{00000000-0005-0000-0000-0000977D0000}"/>
    <cellStyle name="40 % - Markeringsfarve5 3 2 3 2 3" xfId="8573" xr:uid="{00000000-0005-0000-0000-0000987D0000}"/>
    <cellStyle name="40 % - Markeringsfarve5 3 2 3 2 3 2" xfId="16443" xr:uid="{00000000-0005-0000-0000-0000997D0000}"/>
    <cellStyle name="40 % - Markeringsfarve5 3 2 3 2 3 2 2" xfId="32719" xr:uid="{00000000-0005-0000-0000-00009A7D0000}"/>
    <cellStyle name="40 % - Markeringsfarve5 3 2 3 2 3 2 3" xfId="47678" xr:uid="{00000000-0005-0000-0000-00009B7D0000}"/>
    <cellStyle name="40 % - Markeringsfarve5 3 2 3 2 3 3" xfId="25717" xr:uid="{00000000-0005-0000-0000-00009C7D0000}"/>
    <cellStyle name="40 % - Markeringsfarve5 3 2 3 2 3 4" xfId="40681" xr:uid="{00000000-0005-0000-0000-00009D7D0000}"/>
    <cellStyle name="40 % - Markeringsfarve5 3 2 3 2 4" xfId="14981" xr:uid="{00000000-0005-0000-0000-00009E7D0000}"/>
    <cellStyle name="40 % - Markeringsfarve5 3 2 3 2 4 2" xfId="31260" xr:uid="{00000000-0005-0000-0000-00009F7D0000}"/>
    <cellStyle name="40 % - Markeringsfarve5 3 2 3 2 4 3" xfId="46220" xr:uid="{00000000-0005-0000-0000-0000A07D0000}"/>
    <cellStyle name="40 % - Markeringsfarve5 3 2 3 2 5" xfId="24258" xr:uid="{00000000-0005-0000-0000-0000A17D0000}"/>
    <cellStyle name="40 % - Markeringsfarve5 3 2 3 2 6" xfId="39223" xr:uid="{00000000-0005-0000-0000-0000A27D0000}"/>
    <cellStyle name="40 % - Markeringsfarve5 3 2 3 3" xfId="6498" xr:uid="{00000000-0005-0000-0000-0000A37D0000}"/>
    <cellStyle name="40 % - Markeringsfarve5 3 2 3 3 2" xfId="9257" xr:uid="{00000000-0005-0000-0000-0000A47D0000}"/>
    <cellStyle name="40 % - Markeringsfarve5 3 2 3 3 2 2" xfId="17121" xr:uid="{00000000-0005-0000-0000-0000A57D0000}"/>
    <cellStyle name="40 % - Markeringsfarve5 3 2 3 3 2 2 2" xfId="33397" xr:uid="{00000000-0005-0000-0000-0000A67D0000}"/>
    <cellStyle name="40 % - Markeringsfarve5 3 2 3 3 2 2 3" xfId="48356" xr:uid="{00000000-0005-0000-0000-0000A77D0000}"/>
    <cellStyle name="40 % - Markeringsfarve5 3 2 3 3 2 3" xfId="26395" xr:uid="{00000000-0005-0000-0000-0000A87D0000}"/>
    <cellStyle name="40 % - Markeringsfarve5 3 2 3 3 2 4" xfId="41359" xr:uid="{00000000-0005-0000-0000-0000A97D0000}"/>
    <cellStyle name="40 % - Markeringsfarve5 3 2 3 3 3" xfId="14983" xr:uid="{00000000-0005-0000-0000-0000AA7D0000}"/>
    <cellStyle name="40 % - Markeringsfarve5 3 2 3 3 3 2" xfId="31262" xr:uid="{00000000-0005-0000-0000-0000AB7D0000}"/>
    <cellStyle name="40 % - Markeringsfarve5 3 2 3 3 3 3" xfId="46222" xr:uid="{00000000-0005-0000-0000-0000AC7D0000}"/>
    <cellStyle name="40 % - Markeringsfarve5 3 2 3 3 4" xfId="24260" xr:uid="{00000000-0005-0000-0000-0000AD7D0000}"/>
    <cellStyle name="40 % - Markeringsfarve5 3 2 3 3 5" xfId="39225" xr:uid="{00000000-0005-0000-0000-0000AE7D0000}"/>
    <cellStyle name="40 % - Markeringsfarve5 3 2 3 4" xfId="6499" xr:uid="{00000000-0005-0000-0000-0000AF7D0000}"/>
    <cellStyle name="40 % - Markeringsfarve5 3 2 3 4 2" xfId="10968" xr:uid="{00000000-0005-0000-0000-0000B07D0000}"/>
    <cellStyle name="40 % - Markeringsfarve5 3 2 3 4 2 2" xfId="18799" xr:uid="{00000000-0005-0000-0000-0000B17D0000}"/>
    <cellStyle name="40 % - Markeringsfarve5 3 2 3 4 2 2 2" xfId="35075" xr:uid="{00000000-0005-0000-0000-0000B27D0000}"/>
    <cellStyle name="40 % - Markeringsfarve5 3 2 3 4 2 2 3" xfId="50034" xr:uid="{00000000-0005-0000-0000-0000B37D0000}"/>
    <cellStyle name="40 % - Markeringsfarve5 3 2 3 4 2 3" xfId="28073" xr:uid="{00000000-0005-0000-0000-0000B47D0000}"/>
    <cellStyle name="40 % - Markeringsfarve5 3 2 3 4 2 4" xfId="43037" xr:uid="{00000000-0005-0000-0000-0000B57D0000}"/>
    <cellStyle name="40 % - Markeringsfarve5 3 2 3 4 3" xfId="14984" xr:uid="{00000000-0005-0000-0000-0000B67D0000}"/>
    <cellStyle name="40 % - Markeringsfarve5 3 2 3 4 3 2" xfId="31263" xr:uid="{00000000-0005-0000-0000-0000B77D0000}"/>
    <cellStyle name="40 % - Markeringsfarve5 3 2 3 4 3 3" xfId="46223" xr:uid="{00000000-0005-0000-0000-0000B87D0000}"/>
    <cellStyle name="40 % - Markeringsfarve5 3 2 3 4 4" xfId="24261" xr:uid="{00000000-0005-0000-0000-0000B97D0000}"/>
    <cellStyle name="40 % - Markeringsfarve5 3 2 3 4 5" xfId="39226" xr:uid="{00000000-0005-0000-0000-0000BA7D0000}"/>
    <cellStyle name="40 % - Markeringsfarve5 3 2 3 5" xfId="8208" xr:uid="{00000000-0005-0000-0000-0000BB7D0000}"/>
    <cellStyle name="40 % - Markeringsfarve5 3 2 3 5 2" xfId="16073" xr:uid="{00000000-0005-0000-0000-0000BC7D0000}"/>
    <cellStyle name="40 % - Markeringsfarve5 3 2 3 5 2 2" xfId="32349" xr:uid="{00000000-0005-0000-0000-0000BD7D0000}"/>
    <cellStyle name="40 % - Markeringsfarve5 3 2 3 5 2 3" xfId="47308" xr:uid="{00000000-0005-0000-0000-0000BE7D0000}"/>
    <cellStyle name="40 % - Markeringsfarve5 3 2 3 5 3" xfId="25347" xr:uid="{00000000-0005-0000-0000-0000BF7D0000}"/>
    <cellStyle name="40 % - Markeringsfarve5 3 2 3 5 4" xfId="40311" xr:uid="{00000000-0005-0000-0000-0000C07D0000}"/>
    <cellStyle name="40 % - Markeringsfarve5 3 2 3 6" xfId="14980" xr:uid="{00000000-0005-0000-0000-0000C17D0000}"/>
    <cellStyle name="40 % - Markeringsfarve5 3 2 3 6 2" xfId="31259" xr:uid="{00000000-0005-0000-0000-0000C27D0000}"/>
    <cellStyle name="40 % - Markeringsfarve5 3 2 3 6 3" xfId="46219" xr:uid="{00000000-0005-0000-0000-0000C37D0000}"/>
    <cellStyle name="40 % - Markeringsfarve5 3 2 3 7" xfId="24257" xr:uid="{00000000-0005-0000-0000-0000C47D0000}"/>
    <cellStyle name="40 % - Markeringsfarve5 3 2 3 8" xfId="39222" xr:uid="{00000000-0005-0000-0000-0000C57D0000}"/>
    <cellStyle name="40 % - Markeringsfarve5 3 2 4" xfId="6500" xr:uid="{00000000-0005-0000-0000-0000C67D0000}"/>
    <cellStyle name="40 % - Markeringsfarve5 3 2 4 2" xfId="6501" xr:uid="{00000000-0005-0000-0000-0000C77D0000}"/>
    <cellStyle name="40 % - Markeringsfarve5 3 2 4 2 2" xfId="6502" xr:uid="{00000000-0005-0000-0000-0000C87D0000}"/>
    <cellStyle name="40 % - Markeringsfarve5 3 2 4 2 2 2" xfId="10113" xr:uid="{00000000-0005-0000-0000-0000C97D0000}"/>
    <cellStyle name="40 % - Markeringsfarve5 3 2 4 2 2 2 2" xfId="17968" xr:uid="{00000000-0005-0000-0000-0000CA7D0000}"/>
    <cellStyle name="40 % - Markeringsfarve5 3 2 4 2 2 2 2 2" xfId="34244" xr:uid="{00000000-0005-0000-0000-0000CB7D0000}"/>
    <cellStyle name="40 % - Markeringsfarve5 3 2 4 2 2 2 2 3" xfId="49203" xr:uid="{00000000-0005-0000-0000-0000CC7D0000}"/>
    <cellStyle name="40 % - Markeringsfarve5 3 2 4 2 2 2 3" xfId="27242" xr:uid="{00000000-0005-0000-0000-0000CD7D0000}"/>
    <cellStyle name="40 % - Markeringsfarve5 3 2 4 2 2 2 4" xfId="42206" xr:uid="{00000000-0005-0000-0000-0000CE7D0000}"/>
    <cellStyle name="40 % - Markeringsfarve5 3 2 4 2 2 3" xfId="14987" xr:uid="{00000000-0005-0000-0000-0000CF7D0000}"/>
    <cellStyle name="40 % - Markeringsfarve5 3 2 4 2 2 3 2" xfId="31266" xr:uid="{00000000-0005-0000-0000-0000D07D0000}"/>
    <cellStyle name="40 % - Markeringsfarve5 3 2 4 2 2 3 3" xfId="46226" xr:uid="{00000000-0005-0000-0000-0000D17D0000}"/>
    <cellStyle name="40 % - Markeringsfarve5 3 2 4 2 2 4" xfId="24264" xr:uid="{00000000-0005-0000-0000-0000D27D0000}"/>
    <cellStyle name="40 % - Markeringsfarve5 3 2 4 2 2 5" xfId="39229" xr:uid="{00000000-0005-0000-0000-0000D37D0000}"/>
    <cellStyle name="40 % - Markeringsfarve5 3 2 4 2 3" xfId="8651" xr:uid="{00000000-0005-0000-0000-0000D47D0000}"/>
    <cellStyle name="40 % - Markeringsfarve5 3 2 4 2 3 2" xfId="16518" xr:uid="{00000000-0005-0000-0000-0000D57D0000}"/>
    <cellStyle name="40 % - Markeringsfarve5 3 2 4 2 3 2 2" xfId="32794" xr:uid="{00000000-0005-0000-0000-0000D67D0000}"/>
    <cellStyle name="40 % - Markeringsfarve5 3 2 4 2 3 2 3" xfId="47753" xr:uid="{00000000-0005-0000-0000-0000D77D0000}"/>
    <cellStyle name="40 % - Markeringsfarve5 3 2 4 2 3 3" xfId="25792" xr:uid="{00000000-0005-0000-0000-0000D87D0000}"/>
    <cellStyle name="40 % - Markeringsfarve5 3 2 4 2 3 4" xfId="40756" xr:uid="{00000000-0005-0000-0000-0000D97D0000}"/>
    <cellStyle name="40 % - Markeringsfarve5 3 2 4 2 4" xfId="14986" xr:uid="{00000000-0005-0000-0000-0000DA7D0000}"/>
    <cellStyle name="40 % - Markeringsfarve5 3 2 4 2 4 2" xfId="31265" xr:uid="{00000000-0005-0000-0000-0000DB7D0000}"/>
    <cellStyle name="40 % - Markeringsfarve5 3 2 4 2 4 3" xfId="46225" xr:uid="{00000000-0005-0000-0000-0000DC7D0000}"/>
    <cellStyle name="40 % - Markeringsfarve5 3 2 4 2 5" xfId="24263" xr:uid="{00000000-0005-0000-0000-0000DD7D0000}"/>
    <cellStyle name="40 % - Markeringsfarve5 3 2 4 2 6" xfId="39228" xr:uid="{00000000-0005-0000-0000-0000DE7D0000}"/>
    <cellStyle name="40 % - Markeringsfarve5 3 2 4 3" xfId="6503" xr:uid="{00000000-0005-0000-0000-0000DF7D0000}"/>
    <cellStyle name="40 % - Markeringsfarve5 3 2 4 3 2" xfId="9390" xr:uid="{00000000-0005-0000-0000-0000E07D0000}"/>
    <cellStyle name="40 % - Markeringsfarve5 3 2 4 3 2 2" xfId="17253" xr:uid="{00000000-0005-0000-0000-0000E17D0000}"/>
    <cellStyle name="40 % - Markeringsfarve5 3 2 4 3 2 2 2" xfId="33529" xr:uid="{00000000-0005-0000-0000-0000E27D0000}"/>
    <cellStyle name="40 % - Markeringsfarve5 3 2 4 3 2 2 3" xfId="48488" xr:uid="{00000000-0005-0000-0000-0000E37D0000}"/>
    <cellStyle name="40 % - Markeringsfarve5 3 2 4 3 2 3" xfId="26527" xr:uid="{00000000-0005-0000-0000-0000E47D0000}"/>
    <cellStyle name="40 % - Markeringsfarve5 3 2 4 3 2 4" xfId="41491" xr:uid="{00000000-0005-0000-0000-0000E57D0000}"/>
    <cellStyle name="40 % - Markeringsfarve5 3 2 4 3 3" xfId="14988" xr:uid="{00000000-0005-0000-0000-0000E67D0000}"/>
    <cellStyle name="40 % - Markeringsfarve5 3 2 4 3 3 2" xfId="31267" xr:uid="{00000000-0005-0000-0000-0000E77D0000}"/>
    <cellStyle name="40 % - Markeringsfarve5 3 2 4 3 3 3" xfId="46227" xr:uid="{00000000-0005-0000-0000-0000E87D0000}"/>
    <cellStyle name="40 % - Markeringsfarve5 3 2 4 3 4" xfId="24265" xr:uid="{00000000-0005-0000-0000-0000E97D0000}"/>
    <cellStyle name="40 % - Markeringsfarve5 3 2 4 3 5" xfId="39230" xr:uid="{00000000-0005-0000-0000-0000EA7D0000}"/>
    <cellStyle name="40 % - Markeringsfarve5 3 2 4 4" xfId="6504" xr:uid="{00000000-0005-0000-0000-0000EB7D0000}"/>
    <cellStyle name="40 % - Markeringsfarve5 3 2 4 4 2" xfId="10688" xr:uid="{00000000-0005-0000-0000-0000EC7D0000}"/>
    <cellStyle name="40 % - Markeringsfarve5 3 2 4 4 2 2" xfId="18532" xr:uid="{00000000-0005-0000-0000-0000ED7D0000}"/>
    <cellStyle name="40 % - Markeringsfarve5 3 2 4 4 2 2 2" xfId="34808" xr:uid="{00000000-0005-0000-0000-0000EE7D0000}"/>
    <cellStyle name="40 % - Markeringsfarve5 3 2 4 4 2 2 3" xfId="49767" xr:uid="{00000000-0005-0000-0000-0000EF7D0000}"/>
    <cellStyle name="40 % - Markeringsfarve5 3 2 4 4 2 3" xfId="27806" xr:uid="{00000000-0005-0000-0000-0000F07D0000}"/>
    <cellStyle name="40 % - Markeringsfarve5 3 2 4 4 2 4" xfId="42770" xr:uid="{00000000-0005-0000-0000-0000F17D0000}"/>
    <cellStyle name="40 % - Markeringsfarve5 3 2 4 4 3" xfId="14989" xr:uid="{00000000-0005-0000-0000-0000F27D0000}"/>
    <cellStyle name="40 % - Markeringsfarve5 3 2 4 4 3 2" xfId="31268" xr:uid="{00000000-0005-0000-0000-0000F37D0000}"/>
    <cellStyle name="40 % - Markeringsfarve5 3 2 4 4 3 3" xfId="46228" xr:uid="{00000000-0005-0000-0000-0000F47D0000}"/>
    <cellStyle name="40 % - Markeringsfarve5 3 2 4 4 4" xfId="24266" xr:uid="{00000000-0005-0000-0000-0000F57D0000}"/>
    <cellStyle name="40 % - Markeringsfarve5 3 2 4 4 5" xfId="39231" xr:uid="{00000000-0005-0000-0000-0000F67D0000}"/>
    <cellStyle name="40 % - Markeringsfarve5 3 2 4 5" xfId="8209" xr:uid="{00000000-0005-0000-0000-0000F77D0000}"/>
    <cellStyle name="40 % - Markeringsfarve5 3 2 4 5 2" xfId="16074" xr:uid="{00000000-0005-0000-0000-0000F87D0000}"/>
    <cellStyle name="40 % - Markeringsfarve5 3 2 4 5 2 2" xfId="32350" xr:uid="{00000000-0005-0000-0000-0000F97D0000}"/>
    <cellStyle name="40 % - Markeringsfarve5 3 2 4 5 2 3" xfId="47309" xr:uid="{00000000-0005-0000-0000-0000FA7D0000}"/>
    <cellStyle name="40 % - Markeringsfarve5 3 2 4 5 3" xfId="25348" xr:uid="{00000000-0005-0000-0000-0000FB7D0000}"/>
    <cellStyle name="40 % - Markeringsfarve5 3 2 4 5 4" xfId="40312" xr:uid="{00000000-0005-0000-0000-0000FC7D0000}"/>
    <cellStyle name="40 % - Markeringsfarve5 3 2 4 6" xfId="14985" xr:uid="{00000000-0005-0000-0000-0000FD7D0000}"/>
    <cellStyle name="40 % - Markeringsfarve5 3 2 4 6 2" xfId="31264" xr:uid="{00000000-0005-0000-0000-0000FE7D0000}"/>
    <cellStyle name="40 % - Markeringsfarve5 3 2 4 6 3" xfId="46224" xr:uid="{00000000-0005-0000-0000-0000FF7D0000}"/>
    <cellStyle name="40 % - Markeringsfarve5 3 2 4 7" xfId="24262" xr:uid="{00000000-0005-0000-0000-0000007E0000}"/>
    <cellStyle name="40 % - Markeringsfarve5 3 2 4 8" xfId="39227" xr:uid="{00000000-0005-0000-0000-0000017E0000}"/>
    <cellStyle name="40 % - Markeringsfarve5 3 2 5" xfId="6505" xr:uid="{00000000-0005-0000-0000-0000027E0000}"/>
    <cellStyle name="40 % - Markeringsfarve5 3 2 5 2" xfId="6506" xr:uid="{00000000-0005-0000-0000-0000037E0000}"/>
    <cellStyle name="40 % - Markeringsfarve5 3 2 5 2 2" xfId="6507" xr:uid="{00000000-0005-0000-0000-0000047E0000}"/>
    <cellStyle name="40 % - Markeringsfarve5 3 2 5 2 2 2" xfId="10230" xr:uid="{00000000-0005-0000-0000-0000057E0000}"/>
    <cellStyle name="40 % - Markeringsfarve5 3 2 5 2 2 2 2" xfId="18085" xr:uid="{00000000-0005-0000-0000-0000067E0000}"/>
    <cellStyle name="40 % - Markeringsfarve5 3 2 5 2 2 2 2 2" xfId="34361" xr:uid="{00000000-0005-0000-0000-0000077E0000}"/>
    <cellStyle name="40 % - Markeringsfarve5 3 2 5 2 2 2 2 3" xfId="49320" xr:uid="{00000000-0005-0000-0000-0000087E0000}"/>
    <cellStyle name="40 % - Markeringsfarve5 3 2 5 2 2 2 3" xfId="27359" xr:uid="{00000000-0005-0000-0000-0000097E0000}"/>
    <cellStyle name="40 % - Markeringsfarve5 3 2 5 2 2 2 4" xfId="42323" xr:uid="{00000000-0005-0000-0000-00000A7E0000}"/>
    <cellStyle name="40 % - Markeringsfarve5 3 2 5 2 2 3" xfId="14992" xr:uid="{00000000-0005-0000-0000-00000B7E0000}"/>
    <cellStyle name="40 % - Markeringsfarve5 3 2 5 2 2 3 2" xfId="31271" xr:uid="{00000000-0005-0000-0000-00000C7E0000}"/>
    <cellStyle name="40 % - Markeringsfarve5 3 2 5 2 2 3 3" xfId="46231" xr:uid="{00000000-0005-0000-0000-00000D7E0000}"/>
    <cellStyle name="40 % - Markeringsfarve5 3 2 5 2 2 4" xfId="24269" xr:uid="{00000000-0005-0000-0000-00000E7E0000}"/>
    <cellStyle name="40 % - Markeringsfarve5 3 2 5 2 2 5" xfId="39234" xr:uid="{00000000-0005-0000-0000-00000F7E0000}"/>
    <cellStyle name="40 % - Markeringsfarve5 3 2 5 2 3" xfId="8750" xr:uid="{00000000-0005-0000-0000-0000107E0000}"/>
    <cellStyle name="40 % - Markeringsfarve5 3 2 5 2 3 2" xfId="16617" xr:uid="{00000000-0005-0000-0000-0000117E0000}"/>
    <cellStyle name="40 % - Markeringsfarve5 3 2 5 2 3 2 2" xfId="32893" xr:uid="{00000000-0005-0000-0000-0000127E0000}"/>
    <cellStyle name="40 % - Markeringsfarve5 3 2 5 2 3 2 3" xfId="47852" xr:uid="{00000000-0005-0000-0000-0000137E0000}"/>
    <cellStyle name="40 % - Markeringsfarve5 3 2 5 2 3 3" xfId="25891" xr:uid="{00000000-0005-0000-0000-0000147E0000}"/>
    <cellStyle name="40 % - Markeringsfarve5 3 2 5 2 3 4" xfId="40855" xr:uid="{00000000-0005-0000-0000-0000157E0000}"/>
    <cellStyle name="40 % - Markeringsfarve5 3 2 5 2 4" xfId="14991" xr:uid="{00000000-0005-0000-0000-0000167E0000}"/>
    <cellStyle name="40 % - Markeringsfarve5 3 2 5 2 4 2" xfId="31270" xr:uid="{00000000-0005-0000-0000-0000177E0000}"/>
    <cellStyle name="40 % - Markeringsfarve5 3 2 5 2 4 3" xfId="46230" xr:uid="{00000000-0005-0000-0000-0000187E0000}"/>
    <cellStyle name="40 % - Markeringsfarve5 3 2 5 2 5" xfId="24268" xr:uid="{00000000-0005-0000-0000-0000197E0000}"/>
    <cellStyle name="40 % - Markeringsfarve5 3 2 5 2 6" xfId="39233" xr:uid="{00000000-0005-0000-0000-00001A7E0000}"/>
    <cellStyle name="40 % - Markeringsfarve5 3 2 5 3" xfId="6508" xr:uid="{00000000-0005-0000-0000-00001B7E0000}"/>
    <cellStyle name="40 % - Markeringsfarve5 3 2 5 3 2" xfId="9507" xr:uid="{00000000-0005-0000-0000-00001C7E0000}"/>
    <cellStyle name="40 % - Markeringsfarve5 3 2 5 3 2 2" xfId="17370" xr:uid="{00000000-0005-0000-0000-00001D7E0000}"/>
    <cellStyle name="40 % - Markeringsfarve5 3 2 5 3 2 2 2" xfId="33646" xr:uid="{00000000-0005-0000-0000-00001E7E0000}"/>
    <cellStyle name="40 % - Markeringsfarve5 3 2 5 3 2 2 3" xfId="48605" xr:uid="{00000000-0005-0000-0000-00001F7E0000}"/>
    <cellStyle name="40 % - Markeringsfarve5 3 2 5 3 2 3" xfId="26644" xr:uid="{00000000-0005-0000-0000-0000207E0000}"/>
    <cellStyle name="40 % - Markeringsfarve5 3 2 5 3 2 4" xfId="41608" xr:uid="{00000000-0005-0000-0000-0000217E0000}"/>
    <cellStyle name="40 % - Markeringsfarve5 3 2 5 3 3" xfId="14993" xr:uid="{00000000-0005-0000-0000-0000227E0000}"/>
    <cellStyle name="40 % - Markeringsfarve5 3 2 5 3 3 2" xfId="31272" xr:uid="{00000000-0005-0000-0000-0000237E0000}"/>
    <cellStyle name="40 % - Markeringsfarve5 3 2 5 3 3 3" xfId="46232" xr:uid="{00000000-0005-0000-0000-0000247E0000}"/>
    <cellStyle name="40 % - Markeringsfarve5 3 2 5 3 4" xfId="24270" xr:uid="{00000000-0005-0000-0000-0000257E0000}"/>
    <cellStyle name="40 % - Markeringsfarve5 3 2 5 3 5" xfId="39235" xr:uid="{00000000-0005-0000-0000-0000267E0000}"/>
    <cellStyle name="40 % - Markeringsfarve5 3 2 5 4" xfId="6509" xr:uid="{00000000-0005-0000-0000-0000277E0000}"/>
    <cellStyle name="40 % - Markeringsfarve5 3 2 5 4 2" xfId="10932" xr:uid="{00000000-0005-0000-0000-0000287E0000}"/>
    <cellStyle name="40 % - Markeringsfarve5 3 2 5 4 2 2" xfId="18767" xr:uid="{00000000-0005-0000-0000-0000297E0000}"/>
    <cellStyle name="40 % - Markeringsfarve5 3 2 5 4 2 2 2" xfId="35043" xr:uid="{00000000-0005-0000-0000-00002A7E0000}"/>
    <cellStyle name="40 % - Markeringsfarve5 3 2 5 4 2 2 3" xfId="50002" xr:uid="{00000000-0005-0000-0000-00002B7E0000}"/>
    <cellStyle name="40 % - Markeringsfarve5 3 2 5 4 2 3" xfId="28041" xr:uid="{00000000-0005-0000-0000-00002C7E0000}"/>
    <cellStyle name="40 % - Markeringsfarve5 3 2 5 4 2 4" xfId="43005" xr:uid="{00000000-0005-0000-0000-00002D7E0000}"/>
    <cellStyle name="40 % - Markeringsfarve5 3 2 5 4 3" xfId="14994" xr:uid="{00000000-0005-0000-0000-00002E7E0000}"/>
    <cellStyle name="40 % - Markeringsfarve5 3 2 5 4 3 2" xfId="31273" xr:uid="{00000000-0005-0000-0000-00002F7E0000}"/>
    <cellStyle name="40 % - Markeringsfarve5 3 2 5 4 3 3" xfId="46233" xr:uid="{00000000-0005-0000-0000-0000307E0000}"/>
    <cellStyle name="40 % - Markeringsfarve5 3 2 5 4 4" xfId="24271" xr:uid="{00000000-0005-0000-0000-0000317E0000}"/>
    <cellStyle name="40 % - Markeringsfarve5 3 2 5 4 5" xfId="39236" xr:uid="{00000000-0005-0000-0000-0000327E0000}"/>
    <cellStyle name="40 % - Markeringsfarve5 3 2 5 5" xfId="8210" xr:uid="{00000000-0005-0000-0000-0000337E0000}"/>
    <cellStyle name="40 % - Markeringsfarve5 3 2 5 5 2" xfId="16075" xr:uid="{00000000-0005-0000-0000-0000347E0000}"/>
    <cellStyle name="40 % - Markeringsfarve5 3 2 5 5 2 2" xfId="32351" xr:uid="{00000000-0005-0000-0000-0000357E0000}"/>
    <cellStyle name="40 % - Markeringsfarve5 3 2 5 5 2 3" xfId="47310" xr:uid="{00000000-0005-0000-0000-0000367E0000}"/>
    <cellStyle name="40 % - Markeringsfarve5 3 2 5 5 3" xfId="25349" xr:uid="{00000000-0005-0000-0000-0000377E0000}"/>
    <cellStyle name="40 % - Markeringsfarve5 3 2 5 5 4" xfId="40313" xr:uid="{00000000-0005-0000-0000-0000387E0000}"/>
    <cellStyle name="40 % - Markeringsfarve5 3 2 5 6" xfId="14990" xr:uid="{00000000-0005-0000-0000-0000397E0000}"/>
    <cellStyle name="40 % - Markeringsfarve5 3 2 5 6 2" xfId="31269" xr:uid="{00000000-0005-0000-0000-00003A7E0000}"/>
    <cellStyle name="40 % - Markeringsfarve5 3 2 5 6 3" xfId="46229" xr:uid="{00000000-0005-0000-0000-00003B7E0000}"/>
    <cellStyle name="40 % - Markeringsfarve5 3 2 5 7" xfId="24267" xr:uid="{00000000-0005-0000-0000-00003C7E0000}"/>
    <cellStyle name="40 % - Markeringsfarve5 3 2 5 8" xfId="39232" xr:uid="{00000000-0005-0000-0000-00003D7E0000}"/>
    <cellStyle name="40 % - Markeringsfarve5 3 2 6" xfId="6510" xr:uid="{00000000-0005-0000-0000-00003E7E0000}"/>
    <cellStyle name="40 % - Markeringsfarve5 3 2 6 2" xfId="6511" xr:uid="{00000000-0005-0000-0000-00003F7E0000}"/>
    <cellStyle name="40 % - Markeringsfarve5 3 2 6 2 2" xfId="6512" xr:uid="{00000000-0005-0000-0000-0000407E0000}"/>
    <cellStyle name="40 % - Markeringsfarve5 3 2 6 2 2 2" xfId="10380" xr:uid="{00000000-0005-0000-0000-0000417E0000}"/>
    <cellStyle name="40 % - Markeringsfarve5 3 2 6 2 2 2 2" xfId="18235" xr:uid="{00000000-0005-0000-0000-0000427E0000}"/>
    <cellStyle name="40 % - Markeringsfarve5 3 2 6 2 2 2 2 2" xfId="34511" xr:uid="{00000000-0005-0000-0000-0000437E0000}"/>
    <cellStyle name="40 % - Markeringsfarve5 3 2 6 2 2 2 2 3" xfId="49470" xr:uid="{00000000-0005-0000-0000-0000447E0000}"/>
    <cellStyle name="40 % - Markeringsfarve5 3 2 6 2 2 2 3" xfId="27509" xr:uid="{00000000-0005-0000-0000-0000457E0000}"/>
    <cellStyle name="40 % - Markeringsfarve5 3 2 6 2 2 2 4" xfId="42473" xr:uid="{00000000-0005-0000-0000-0000467E0000}"/>
    <cellStyle name="40 % - Markeringsfarve5 3 2 6 2 2 3" xfId="14997" xr:uid="{00000000-0005-0000-0000-0000477E0000}"/>
    <cellStyle name="40 % - Markeringsfarve5 3 2 6 2 2 3 2" xfId="31276" xr:uid="{00000000-0005-0000-0000-0000487E0000}"/>
    <cellStyle name="40 % - Markeringsfarve5 3 2 6 2 2 3 3" xfId="46236" xr:uid="{00000000-0005-0000-0000-0000497E0000}"/>
    <cellStyle name="40 % - Markeringsfarve5 3 2 6 2 2 4" xfId="24274" xr:uid="{00000000-0005-0000-0000-00004A7E0000}"/>
    <cellStyle name="40 % - Markeringsfarve5 3 2 6 2 2 5" xfId="39239" xr:uid="{00000000-0005-0000-0000-00004B7E0000}"/>
    <cellStyle name="40 % - Markeringsfarve5 3 2 6 2 3" xfId="8874" xr:uid="{00000000-0005-0000-0000-00004C7E0000}"/>
    <cellStyle name="40 % - Markeringsfarve5 3 2 6 2 3 2" xfId="16741" xr:uid="{00000000-0005-0000-0000-00004D7E0000}"/>
    <cellStyle name="40 % - Markeringsfarve5 3 2 6 2 3 2 2" xfId="33017" xr:uid="{00000000-0005-0000-0000-00004E7E0000}"/>
    <cellStyle name="40 % - Markeringsfarve5 3 2 6 2 3 2 3" xfId="47976" xr:uid="{00000000-0005-0000-0000-00004F7E0000}"/>
    <cellStyle name="40 % - Markeringsfarve5 3 2 6 2 3 3" xfId="26015" xr:uid="{00000000-0005-0000-0000-0000507E0000}"/>
    <cellStyle name="40 % - Markeringsfarve5 3 2 6 2 3 4" xfId="40979" xr:uid="{00000000-0005-0000-0000-0000517E0000}"/>
    <cellStyle name="40 % - Markeringsfarve5 3 2 6 2 4" xfId="14996" xr:uid="{00000000-0005-0000-0000-0000527E0000}"/>
    <cellStyle name="40 % - Markeringsfarve5 3 2 6 2 4 2" xfId="31275" xr:uid="{00000000-0005-0000-0000-0000537E0000}"/>
    <cellStyle name="40 % - Markeringsfarve5 3 2 6 2 4 3" xfId="46235" xr:uid="{00000000-0005-0000-0000-0000547E0000}"/>
    <cellStyle name="40 % - Markeringsfarve5 3 2 6 2 5" xfId="24273" xr:uid="{00000000-0005-0000-0000-0000557E0000}"/>
    <cellStyle name="40 % - Markeringsfarve5 3 2 6 2 6" xfId="39238" xr:uid="{00000000-0005-0000-0000-0000567E0000}"/>
    <cellStyle name="40 % - Markeringsfarve5 3 2 6 3" xfId="6513" xr:uid="{00000000-0005-0000-0000-0000577E0000}"/>
    <cellStyle name="40 % - Markeringsfarve5 3 2 6 3 2" xfId="9658" xr:uid="{00000000-0005-0000-0000-0000587E0000}"/>
    <cellStyle name="40 % - Markeringsfarve5 3 2 6 3 2 2" xfId="17521" xr:uid="{00000000-0005-0000-0000-0000597E0000}"/>
    <cellStyle name="40 % - Markeringsfarve5 3 2 6 3 2 2 2" xfId="33797" xr:uid="{00000000-0005-0000-0000-00005A7E0000}"/>
    <cellStyle name="40 % - Markeringsfarve5 3 2 6 3 2 2 3" xfId="48756" xr:uid="{00000000-0005-0000-0000-00005B7E0000}"/>
    <cellStyle name="40 % - Markeringsfarve5 3 2 6 3 2 3" xfId="26795" xr:uid="{00000000-0005-0000-0000-00005C7E0000}"/>
    <cellStyle name="40 % - Markeringsfarve5 3 2 6 3 2 4" xfId="41759" xr:uid="{00000000-0005-0000-0000-00005D7E0000}"/>
    <cellStyle name="40 % - Markeringsfarve5 3 2 6 3 3" xfId="14998" xr:uid="{00000000-0005-0000-0000-00005E7E0000}"/>
    <cellStyle name="40 % - Markeringsfarve5 3 2 6 3 3 2" xfId="31277" xr:uid="{00000000-0005-0000-0000-00005F7E0000}"/>
    <cellStyle name="40 % - Markeringsfarve5 3 2 6 3 3 3" xfId="46237" xr:uid="{00000000-0005-0000-0000-0000607E0000}"/>
    <cellStyle name="40 % - Markeringsfarve5 3 2 6 3 4" xfId="24275" xr:uid="{00000000-0005-0000-0000-0000617E0000}"/>
    <cellStyle name="40 % - Markeringsfarve5 3 2 6 3 5" xfId="39240" xr:uid="{00000000-0005-0000-0000-0000627E0000}"/>
    <cellStyle name="40 % - Markeringsfarve5 3 2 6 4" xfId="6514" xr:uid="{00000000-0005-0000-0000-0000637E0000}"/>
    <cellStyle name="40 % - Markeringsfarve5 3 2 6 4 2" xfId="10656" xr:uid="{00000000-0005-0000-0000-0000647E0000}"/>
    <cellStyle name="40 % - Markeringsfarve5 3 2 6 4 2 2" xfId="18503" xr:uid="{00000000-0005-0000-0000-0000657E0000}"/>
    <cellStyle name="40 % - Markeringsfarve5 3 2 6 4 2 2 2" xfId="34779" xr:uid="{00000000-0005-0000-0000-0000667E0000}"/>
    <cellStyle name="40 % - Markeringsfarve5 3 2 6 4 2 2 3" xfId="49738" xr:uid="{00000000-0005-0000-0000-0000677E0000}"/>
    <cellStyle name="40 % - Markeringsfarve5 3 2 6 4 2 3" xfId="27777" xr:uid="{00000000-0005-0000-0000-0000687E0000}"/>
    <cellStyle name="40 % - Markeringsfarve5 3 2 6 4 2 4" xfId="42741" xr:uid="{00000000-0005-0000-0000-0000697E0000}"/>
    <cellStyle name="40 % - Markeringsfarve5 3 2 6 4 3" xfId="14999" xr:uid="{00000000-0005-0000-0000-00006A7E0000}"/>
    <cellStyle name="40 % - Markeringsfarve5 3 2 6 4 3 2" xfId="31278" xr:uid="{00000000-0005-0000-0000-00006B7E0000}"/>
    <cellStyle name="40 % - Markeringsfarve5 3 2 6 4 3 3" xfId="46238" xr:uid="{00000000-0005-0000-0000-00006C7E0000}"/>
    <cellStyle name="40 % - Markeringsfarve5 3 2 6 4 4" xfId="24276" xr:uid="{00000000-0005-0000-0000-00006D7E0000}"/>
    <cellStyle name="40 % - Markeringsfarve5 3 2 6 4 5" xfId="39241" xr:uid="{00000000-0005-0000-0000-00006E7E0000}"/>
    <cellStyle name="40 % - Markeringsfarve5 3 2 6 5" xfId="8211" xr:uid="{00000000-0005-0000-0000-00006F7E0000}"/>
    <cellStyle name="40 % - Markeringsfarve5 3 2 6 5 2" xfId="16076" xr:uid="{00000000-0005-0000-0000-0000707E0000}"/>
    <cellStyle name="40 % - Markeringsfarve5 3 2 6 5 2 2" xfId="32352" xr:uid="{00000000-0005-0000-0000-0000717E0000}"/>
    <cellStyle name="40 % - Markeringsfarve5 3 2 6 5 2 3" xfId="47311" xr:uid="{00000000-0005-0000-0000-0000727E0000}"/>
    <cellStyle name="40 % - Markeringsfarve5 3 2 6 5 3" xfId="25350" xr:uid="{00000000-0005-0000-0000-0000737E0000}"/>
    <cellStyle name="40 % - Markeringsfarve5 3 2 6 5 4" xfId="40314" xr:uid="{00000000-0005-0000-0000-0000747E0000}"/>
    <cellStyle name="40 % - Markeringsfarve5 3 2 6 6" xfId="14995" xr:uid="{00000000-0005-0000-0000-0000757E0000}"/>
    <cellStyle name="40 % - Markeringsfarve5 3 2 6 6 2" xfId="31274" xr:uid="{00000000-0005-0000-0000-0000767E0000}"/>
    <cellStyle name="40 % - Markeringsfarve5 3 2 6 6 3" xfId="46234" xr:uid="{00000000-0005-0000-0000-0000777E0000}"/>
    <cellStyle name="40 % - Markeringsfarve5 3 2 6 7" xfId="24272" xr:uid="{00000000-0005-0000-0000-0000787E0000}"/>
    <cellStyle name="40 % - Markeringsfarve5 3 2 6 8" xfId="39237" xr:uid="{00000000-0005-0000-0000-0000797E0000}"/>
    <cellStyle name="40 % - Markeringsfarve5 3 2 7" xfId="6515" xr:uid="{00000000-0005-0000-0000-00007A7E0000}"/>
    <cellStyle name="40 % - Markeringsfarve5 3 2 7 2" xfId="6516" xr:uid="{00000000-0005-0000-0000-00007B7E0000}"/>
    <cellStyle name="40 % - Markeringsfarve5 3 2 7 2 2" xfId="9757" xr:uid="{00000000-0005-0000-0000-00007C7E0000}"/>
    <cellStyle name="40 % - Markeringsfarve5 3 2 7 2 2 2" xfId="17611" xr:uid="{00000000-0005-0000-0000-00007D7E0000}"/>
    <cellStyle name="40 % - Markeringsfarve5 3 2 7 2 2 2 2" xfId="33887" xr:uid="{00000000-0005-0000-0000-00007E7E0000}"/>
    <cellStyle name="40 % - Markeringsfarve5 3 2 7 2 2 2 3" xfId="48846" xr:uid="{00000000-0005-0000-0000-00007F7E0000}"/>
    <cellStyle name="40 % - Markeringsfarve5 3 2 7 2 2 3" xfId="26885" xr:uid="{00000000-0005-0000-0000-0000807E0000}"/>
    <cellStyle name="40 % - Markeringsfarve5 3 2 7 2 2 4" xfId="41849" xr:uid="{00000000-0005-0000-0000-0000817E0000}"/>
    <cellStyle name="40 % - Markeringsfarve5 3 2 7 2 3" xfId="15001" xr:uid="{00000000-0005-0000-0000-0000827E0000}"/>
    <cellStyle name="40 % - Markeringsfarve5 3 2 7 2 3 2" xfId="31280" xr:uid="{00000000-0005-0000-0000-0000837E0000}"/>
    <cellStyle name="40 % - Markeringsfarve5 3 2 7 2 3 3" xfId="46240" xr:uid="{00000000-0005-0000-0000-0000847E0000}"/>
    <cellStyle name="40 % - Markeringsfarve5 3 2 7 2 4" xfId="24278" xr:uid="{00000000-0005-0000-0000-0000857E0000}"/>
    <cellStyle name="40 % - Markeringsfarve5 3 2 7 2 5" xfId="39243" xr:uid="{00000000-0005-0000-0000-0000867E0000}"/>
    <cellStyle name="40 % - Markeringsfarve5 3 2 7 3" xfId="8350" xr:uid="{00000000-0005-0000-0000-0000877E0000}"/>
    <cellStyle name="40 % - Markeringsfarve5 3 2 7 3 2" xfId="16220" xr:uid="{00000000-0005-0000-0000-0000887E0000}"/>
    <cellStyle name="40 % - Markeringsfarve5 3 2 7 3 2 2" xfId="32496" xr:uid="{00000000-0005-0000-0000-0000897E0000}"/>
    <cellStyle name="40 % - Markeringsfarve5 3 2 7 3 2 3" xfId="47455" xr:uid="{00000000-0005-0000-0000-00008A7E0000}"/>
    <cellStyle name="40 % - Markeringsfarve5 3 2 7 3 3" xfId="25494" xr:uid="{00000000-0005-0000-0000-00008B7E0000}"/>
    <cellStyle name="40 % - Markeringsfarve5 3 2 7 3 4" xfId="40458" xr:uid="{00000000-0005-0000-0000-00008C7E0000}"/>
    <cellStyle name="40 % - Markeringsfarve5 3 2 7 4" xfId="15000" xr:uid="{00000000-0005-0000-0000-00008D7E0000}"/>
    <cellStyle name="40 % - Markeringsfarve5 3 2 7 4 2" xfId="31279" xr:uid="{00000000-0005-0000-0000-00008E7E0000}"/>
    <cellStyle name="40 % - Markeringsfarve5 3 2 7 4 3" xfId="46239" xr:uid="{00000000-0005-0000-0000-00008F7E0000}"/>
    <cellStyle name="40 % - Markeringsfarve5 3 2 7 5" xfId="24277" xr:uid="{00000000-0005-0000-0000-0000907E0000}"/>
    <cellStyle name="40 % - Markeringsfarve5 3 2 7 6" xfId="39242" xr:uid="{00000000-0005-0000-0000-0000917E0000}"/>
    <cellStyle name="40 % - Markeringsfarve5 3 2 8" xfId="6517" xr:uid="{00000000-0005-0000-0000-0000927E0000}"/>
    <cellStyle name="40 % - Markeringsfarve5 3 2 8 2" xfId="8985" xr:uid="{00000000-0005-0000-0000-0000937E0000}"/>
    <cellStyle name="40 % - Markeringsfarve5 3 2 8 2 2" xfId="16849" xr:uid="{00000000-0005-0000-0000-0000947E0000}"/>
    <cellStyle name="40 % - Markeringsfarve5 3 2 8 2 2 2" xfId="33125" xr:uid="{00000000-0005-0000-0000-0000957E0000}"/>
    <cellStyle name="40 % - Markeringsfarve5 3 2 8 2 2 3" xfId="48084" xr:uid="{00000000-0005-0000-0000-0000967E0000}"/>
    <cellStyle name="40 % - Markeringsfarve5 3 2 8 2 3" xfId="26123" xr:uid="{00000000-0005-0000-0000-0000977E0000}"/>
    <cellStyle name="40 % - Markeringsfarve5 3 2 8 2 4" xfId="41087" xr:uid="{00000000-0005-0000-0000-0000987E0000}"/>
    <cellStyle name="40 % - Markeringsfarve5 3 2 8 3" xfId="15002" xr:uid="{00000000-0005-0000-0000-0000997E0000}"/>
    <cellStyle name="40 % - Markeringsfarve5 3 2 8 3 2" xfId="31281" xr:uid="{00000000-0005-0000-0000-00009A7E0000}"/>
    <cellStyle name="40 % - Markeringsfarve5 3 2 8 3 3" xfId="46241" xr:uid="{00000000-0005-0000-0000-00009B7E0000}"/>
    <cellStyle name="40 % - Markeringsfarve5 3 2 8 4" xfId="24279" xr:uid="{00000000-0005-0000-0000-00009C7E0000}"/>
    <cellStyle name="40 % - Markeringsfarve5 3 2 8 5" xfId="39244" xr:uid="{00000000-0005-0000-0000-00009D7E0000}"/>
    <cellStyle name="40 % - Markeringsfarve5 3 2 9" xfId="6518" xr:uid="{00000000-0005-0000-0000-00009E7E0000}"/>
    <cellStyle name="40 % - Markeringsfarve5 3 2 9 2" xfId="10418" xr:uid="{00000000-0005-0000-0000-00009F7E0000}"/>
    <cellStyle name="40 % - Markeringsfarve5 3 2 9 2 2" xfId="18270" xr:uid="{00000000-0005-0000-0000-0000A07E0000}"/>
    <cellStyle name="40 % - Markeringsfarve5 3 2 9 2 2 2" xfId="34546" xr:uid="{00000000-0005-0000-0000-0000A17E0000}"/>
    <cellStyle name="40 % - Markeringsfarve5 3 2 9 2 2 3" xfId="49505" xr:uid="{00000000-0005-0000-0000-0000A27E0000}"/>
    <cellStyle name="40 % - Markeringsfarve5 3 2 9 2 3" xfId="27544" xr:uid="{00000000-0005-0000-0000-0000A37E0000}"/>
    <cellStyle name="40 % - Markeringsfarve5 3 2 9 2 4" xfId="42508" xr:uid="{00000000-0005-0000-0000-0000A47E0000}"/>
    <cellStyle name="40 % - Markeringsfarve5 3 2 9 3" xfId="15003" xr:uid="{00000000-0005-0000-0000-0000A57E0000}"/>
    <cellStyle name="40 % - Markeringsfarve5 3 2 9 3 2" xfId="31282" xr:uid="{00000000-0005-0000-0000-0000A67E0000}"/>
    <cellStyle name="40 % - Markeringsfarve5 3 2 9 3 3" xfId="46242" xr:uid="{00000000-0005-0000-0000-0000A77E0000}"/>
    <cellStyle name="40 % - Markeringsfarve5 3 2 9 4" xfId="24280" xr:uid="{00000000-0005-0000-0000-0000A87E0000}"/>
    <cellStyle name="40 % - Markeringsfarve5 3 2 9 5" xfId="39245" xr:uid="{00000000-0005-0000-0000-0000A97E0000}"/>
    <cellStyle name="40 % - Markeringsfarve5 3 3" xfId="6519" xr:uid="{00000000-0005-0000-0000-0000AA7E0000}"/>
    <cellStyle name="40 % - Markeringsfarve5 3 3 10" xfId="8212" xr:uid="{00000000-0005-0000-0000-0000AB7E0000}"/>
    <cellStyle name="40 % - Markeringsfarve5 3 3 10 2" xfId="16077" xr:uid="{00000000-0005-0000-0000-0000AC7E0000}"/>
    <cellStyle name="40 % - Markeringsfarve5 3 3 10 2 2" xfId="32353" xr:uid="{00000000-0005-0000-0000-0000AD7E0000}"/>
    <cellStyle name="40 % - Markeringsfarve5 3 3 10 2 3" xfId="47312" xr:uid="{00000000-0005-0000-0000-0000AE7E0000}"/>
    <cellStyle name="40 % - Markeringsfarve5 3 3 10 3" xfId="25351" xr:uid="{00000000-0005-0000-0000-0000AF7E0000}"/>
    <cellStyle name="40 % - Markeringsfarve5 3 3 10 4" xfId="40315" xr:uid="{00000000-0005-0000-0000-0000B07E0000}"/>
    <cellStyle name="40 % - Markeringsfarve5 3 3 11" xfId="15004" xr:uid="{00000000-0005-0000-0000-0000B17E0000}"/>
    <cellStyle name="40 % - Markeringsfarve5 3 3 11 2" xfId="31283" xr:uid="{00000000-0005-0000-0000-0000B27E0000}"/>
    <cellStyle name="40 % - Markeringsfarve5 3 3 11 3" xfId="46243" xr:uid="{00000000-0005-0000-0000-0000B37E0000}"/>
    <cellStyle name="40 % - Markeringsfarve5 3 3 12" xfId="24281" xr:uid="{00000000-0005-0000-0000-0000B47E0000}"/>
    <cellStyle name="40 % - Markeringsfarve5 3 3 13" xfId="39246" xr:uid="{00000000-0005-0000-0000-0000B57E0000}"/>
    <cellStyle name="40 % - Markeringsfarve5 3 3 2" xfId="6520" xr:uid="{00000000-0005-0000-0000-0000B67E0000}"/>
    <cellStyle name="40 % - Markeringsfarve5 3 3 2 2" xfId="6521" xr:uid="{00000000-0005-0000-0000-0000B77E0000}"/>
    <cellStyle name="40 % - Markeringsfarve5 3 3 2 2 2" xfId="6522" xr:uid="{00000000-0005-0000-0000-0000B87E0000}"/>
    <cellStyle name="40 % - Markeringsfarve5 3 3 2 2 2 2" xfId="9914" xr:uid="{00000000-0005-0000-0000-0000B97E0000}"/>
    <cellStyle name="40 % - Markeringsfarve5 3 3 2 2 2 2 2" xfId="17769" xr:uid="{00000000-0005-0000-0000-0000BA7E0000}"/>
    <cellStyle name="40 % - Markeringsfarve5 3 3 2 2 2 2 2 2" xfId="34045" xr:uid="{00000000-0005-0000-0000-0000BB7E0000}"/>
    <cellStyle name="40 % - Markeringsfarve5 3 3 2 2 2 2 2 3" xfId="49004" xr:uid="{00000000-0005-0000-0000-0000BC7E0000}"/>
    <cellStyle name="40 % - Markeringsfarve5 3 3 2 2 2 2 3" xfId="27043" xr:uid="{00000000-0005-0000-0000-0000BD7E0000}"/>
    <cellStyle name="40 % - Markeringsfarve5 3 3 2 2 2 2 4" xfId="42007" xr:uid="{00000000-0005-0000-0000-0000BE7E0000}"/>
    <cellStyle name="40 % - Markeringsfarve5 3 3 2 2 2 3" xfId="15007" xr:uid="{00000000-0005-0000-0000-0000BF7E0000}"/>
    <cellStyle name="40 % - Markeringsfarve5 3 3 2 2 2 3 2" xfId="31286" xr:uid="{00000000-0005-0000-0000-0000C07E0000}"/>
    <cellStyle name="40 % - Markeringsfarve5 3 3 2 2 2 3 3" xfId="46246" xr:uid="{00000000-0005-0000-0000-0000C17E0000}"/>
    <cellStyle name="40 % - Markeringsfarve5 3 3 2 2 2 4" xfId="24284" xr:uid="{00000000-0005-0000-0000-0000C27E0000}"/>
    <cellStyle name="40 % - Markeringsfarve5 3 3 2 2 2 5" xfId="39249" xr:uid="{00000000-0005-0000-0000-0000C37E0000}"/>
    <cellStyle name="40 % - Markeringsfarve5 3 3 2 2 3" xfId="8482" xr:uid="{00000000-0005-0000-0000-0000C47E0000}"/>
    <cellStyle name="40 % - Markeringsfarve5 3 3 2 2 3 2" xfId="16352" xr:uid="{00000000-0005-0000-0000-0000C57E0000}"/>
    <cellStyle name="40 % - Markeringsfarve5 3 3 2 2 3 2 2" xfId="32628" xr:uid="{00000000-0005-0000-0000-0000C67E0000}"/>
    <cellStyle name="40 % - Markeringsfarve5 3 3 2 2 3 2 3" xfId="47587" xr:uid="{00000000-0005-0000-0000-0000C77E0000}"/>
    <cellStyle name="40 % - Markeringsfarve5 3 3 2 2 3 3" xfId="25626" xr:uid="{00000000-0005-0000-0000-0000C87E0000}"/>
    <cellStyle name="40 % - Markeringsfarve5 3 3 2 2 3 4" xfId="40590" xr:uid="{00000000-0005-0000-0000-0000C97E0000}"/>
    <cellStyle name="40 % - Markeringsfarve5 3 3 2 2 4" xfId="15006" xr:uid="{00000000-0005-0000-0000-0000CA7E0000}"/>
    <cellStyle name="40 % - Markeringsfarve5 3 3 2 2 4 2" xfId="31285" xr:uid="{00000000-0005-0000-0000-0000CB7E0000}"/>
    <cellStyle name="40 % - Markeringsfarve5 3 3 2 2 4 3" xfId="46245" xr:uid="{00000000-0005-0000-0000-0000CC7E0000}"/>
    <cellStyle name="40 % - Markeringsfarve5 3 3 2 2 5" xfId="24283" xr:uid="{00000000-0005-0000-0000-0000CD7E0000}"/>
    <cellStyle name="40 % - Markeringsfarve5 3 3 2 2 6" xfId="39248" xr:uid="{00000000-0005-0000-0000-0000CE7E0000}"/>
    <cellStyle name="40 % - Markeringsfarve5 3 3 2 3" xfId="6523" xr:uid="{00000000-0005-0000-0000-0000CF7E0000}"/>
    <cellStyle name="40 % - Markeringsfarve5 3 3 2 3 2" xfId="9145" xr:uid="{00000000-0005-0000-0000-0000D07E0000}"/>
    <cellStyle name="40 % - Markeringsfarve5 3 3 2 3 2 2" xfId="17009" xr:uid="{00000000-0005-0000-0000-0000D17E0000}"/>
    <cellStyle name="40 % - Markeringsfarve5 3 3 2 3 2 2 2" xfId="33285" xr:uid="{00000000-0005-0000-0000-0000D27E0000}"/>
    <cellStyle name="40 % - Markeringsfarve5 3 3 2 3 2 2 3" xfId="48244" xr:uid="{00000000-0005-0000-0000-0000D37E0000}"/>
    <cellStyle name="40 % - Markeringsfarve5 3 3 2 3 2 3" xfId="26283" xr:uid="{00000000-0005-0000-0000-0000D47E0000}"/>
    <cellStyle name="40 % - Markeringsfarve5 3 3 2 3 2 4" xfId="41247" xr:uid="{00000000-0005-0000-0000-0000D57E0000}"/>
    <cellStyle name="40 % - Markeringsfarve5 3 3 2 3 3" xfId="15008" xr:uid="{00000000-0005-0000-0000-0000D67E0000}"/>
    <cellStyle name="40 % - Markeringsfarve5 3 3 2 3 3 2" xfId="31287" xr:uid="{00000000-0005-0000-0000-0000D77E0000}"/>
    <cellStyle name="40 % - Markeringsfarve5 3 3 2 3 3 3" xfId="46247" xr:uid="{00000000-0005-0000-0000-0000D87E0000}"/>
    <cellStyle name="40 % - Markeringsfarve5 3 3 2 3 4" xfId="24285" xr:uid="{00000000-0005-0000-0000-0000D97E0000}"/>
    <cellStyle name="40 % - Markeringsfarve5 3 3 2 3 5" xfId="39250" xr:uid="{00000000-0005-0000-0000-0000DA7E0000}"/>
    <cellStyle name="40 % - Markeringsfarve5 3 3 2 4" xfId="6524" xr:uid="{00000000-0005-0000-0000-0000DB7E0000}"/>
    <cellStyle name="40 % - Markeringsfarve5 3 3 2 4 2" xfId="10615" xr:uid="{00000000-0005-0000-0000-0000DC7E0000}"/>
    <cellStyle name="40 % - Markeringsfarve5 3 3 2 4 2 2" xfId="18463" xr:uid="{00000000-0005-0000-0000-0000DD7E0000}"/>
    <cellStyle name="40 % - Markeringsfarve5 3 3 2 4 2 2 2" xfId="34739" xr:uid="{00000000-0005-0000-0000-0000DE7E0000}"/>
    <cellStyle name="40 % - Markeringsfarve5 3 3 2 4 2 2 3" xfId="49698" xr:uid="{00000000-0005-0000-0000-0000DF7E0000}"/>
    <cellStyle name="40 % - Markeringsfarve5 3 3 2 4 2 3" xfId="27737" xr:uid="{00000000-0005-0000-0000-0000E07E0000}"/>
    <cellStyle name="40 % - Markeringsfarve5 3 3 2 4 2 4" xfId="42701" xr:uid="{00000000-0005-0000-0000-0000E17E0000}"/>
    <cellStyle name="40 % - Markeringsfarve5 3 3 2 4 3" xfId="15009" xr:uid="{00000000-0005-0000-0000-0000E27E0000}"/>
    <cellStyle name="40 % - Markeringsfarve5 3 3 2 4 3 2" xfId="31288" xr:uid="{00000000-0005-0000-0000-0000E37E0000}"/>
    <cellStyle name="40 % - Markeringsfarve5 3 3 2 4 3 3" xfId="46248" xr:uid="{00000000-0005-0000-0000-0000E47E0000}"/>
    <cellStyle name="40 % - Markeringsfarve5 3 3 2 4 4" xfId="24286" xr:uid="{00000000-0005-0000-0000-0000E57E0000}"/>
    <cellStyle name="40 % - Markeringsfarve5 3 3 2 4 5" xfId="39251" xr:uid="{00000000-0005-0000-0000-0000E67E0000}"/>
    <cellStyle name="40 % - Markeringsfarve5 3 3 2 5" xfId="8213" xr:uid="{00000000-0005-0000-0000-0000E77E0000}"/>
    <cellStyle name="40 % - Markeringsfarve5 3 3 2 5 2" xfId="16078" xr:uid="{00000000-0005-0000-0000-0000E87E0000}"/>
    <cellStyle name="40 % - Markeringsfarve5 3 3 2 5 2 2" xfId="32354" xr:uid="{00000000-0005-0000-0000-0000E97E0000}"/>
    <cellStyle name="40 % - Markeringsfarve5 3 3 2 5 2 3" xfId="47313" xr:uid="{00000000-0005-0000-0000-0000EA7E0000}"/>
    <cellStyle name="40 % - Markeringsfarve5 3 3 2 5 3" xfId="25352" xr:uid="{00000000-0005-0000-0000-0000EB7E0000}"/>
    <cellStyle name="40 % - Markeringsfarve5 3 3 2 5 4" xfId="40316" xr:uid="{00000000-0005-0000-0000-0000EC7E0000}"/>
    <cellStyle name="40 % - Markeringsfarve5 3 3 2 6" xfId="15005" xr:uid="{00000000-0005-0000-0000-0000ED7E0000}"/>
    <cellStyle name="40 % - Markeringsfarve5 3 3 2 6 2" xfId="31284" xr:uid="{00000000-0005-0000-0000-0000EE7E0000}"/>
    <cellStyle name="40 % - Markeringsfarve5 3 3 2 6 3" xfId="46244" xr:uid="{00000000-0005-0000-0000-0000EF7E0000}"/>
    <cellStyle name="40 % - Markeringsfarve5 3 3 2 7" xfId="24282" xr:uid="{00000000-0005-0000-0000-0000F07E0000}"/>
    <cellStyle name="40 % - Markeringsfarve5 3 3 2 8" xfId="39247" xr:uid="{00000000-0005-0000-0000-0000F17E0000}"/>
    <cellStyle name="40 % - Markeringsfarve5 3 3 3" xfId="6525" xr:uid="{00000000-0005-0000-0000-0000F27E0000}"/>
    <cellStyle name="40 % - Markeringsfarve5 3 3 3 2" xfId="6526" xr:uid="{00000000-0005-0000-0000-0000F37E0000}"/>
    <cellStyle name="40 % - Markeringsfarve5 3 3 3 2 2" xfId="6527" xr:uid="{00000000-0005-0000-0000-0000F47E0000}"/>
    <cellStyle name="40 % - Markeringsfarve5 3 3 3 2 2 2" xfId="10027" xr:uid="{00000000-0005-0000-0000-0000F57E0000}"/>
    <cellStyle name="40 % - Markeringsfarve5 3 3 3 2 2 2 2" xfId="17882" xr:uid="{00000000-0005-0000-0000-0000F67E0000}"/>
    <cellStyle name="40 % - Markeringsfarve5 3 3 3 2 2 2 2 2" xfId="34158" xr:uid="{00000000-0005-0000-0000-0000F77E0000}"/>
    <cellStyle name="40 % - Markeringsfarve5 3 3 3 2 2 2 2 3" xfId="49117" xr:uid="{00000000-0005-0000-0000-0000F87E0000}"/>
    <cellStyle name="40 % - Markeringsfarve5 3 3 3 2 2 2 3" xfId="27156" xr:uid="{00000000-0005-0000-0000-0000F97E0000}"/>
    <cellStyle name="40 % - Markeringsfarve5 3 3 3 2 2 2 4" xfId="42120" xr:uid="{00000000-0005-0000-0000-0000FA7E0000}"/>
    <cellStyle name="40 % - Markeringsfarve5 3 3 3 2 2 3" xfId="15012" xr:uid="{00000000-0005-0000-0000-0000FB7E0000}"/>
    <cellStyle name="40 % - Markeringsfarve5 3 3 3 2 2 3 2" xfId="31291" xr:uid="{00000000-0005-0000-0000-0000FC7E0000}"/>
    <cellStyle name="40 % - Markeringsfarve5 3 3 3 2 2 3 3" xfId="46251" xr:uid="{00000000-0005-0000-0000-0000FD7E0000}"/>
    <cellStyle name="40 % - Markeringsfarve5 3 3 3 2 2 4" xfId="24289" xr:uid="{00000000-0005-0000-0000-0000FE7E0000}"/>
    <cellStyle name="40 % - Markeringsfarve5 3 3 3 2 2 5" xfId="39254" xr:uid="{00000000-0005-0000-0000-0000FF7E0000}"/>
    <cellStyle name="40 % - Markeringsfarve5 3 3 3 2 3" xfId="8574" xr:uid="{00000000-0005-0000-0000-0000007F0000}"/>
    <cellStyle name="40 % - Markeringsfarve5 3 3 3 2 3 2" xfId="16444" xr:uid="{00000000-0005-0000-0000-0000017F0000}"/>
    <cellStyle name="40 % - Markeringsfarve5 3 3 3 2 3 2 2" xfId="32720" xr:uid="{00000000-0005-0000-0000-0000027F0000}"/>
    <cellStyle name="40 % - Markeringsfarve5 3 3 3 2 3 2 3" xfId="47679" xr:uid="{00000000-0005-0000-0000-0000037F0000}"/>
    <cellStyle name="40 % - Markeringsfarve5 3 3 3 2 3 3" xfId="25718" xr:uid="{00000000-0005-0000-0000-0000047F0000}"/>
    <cellStyle name="40 % - Markeringsfarve5 3 3 3 2 3 4" xfId="40682" xr:uid="{00000000-0005-0000-0000-0000057F0000}"/>
    <cellStyle name="40 % - Markeringsfarve5 3 3 3 2 4" xfId="15011" xr:uid="{00000000-0005-0000-0000-0000067F0000}"/>
    <cellStyle name="40 % - Markeringsfarve5 3 3 3 2 4 2" xfId="31290" xr:uid="{00000000-0005-0000-0000-0000077F0000}"/>
    <cellStyle name="40 % - Markeringsfarve5 3 3 3 2 4 3" xfId="46250" xr:uid="{00000000-0005-0000-0000-0000087F0000}"/>
    <cellStyle name="40 % - Markeringsfarve5 3 3 3 2 5" xfId="24288" xr:uid="{00000000-0005-0000-0000-0000097F0000}"/>
    <cellStyle name="40 % - Markeringsfarve5 3 3 3 2 6" xfId="39253" xr:uid="{00000000-0005-0000-0000-00000A7F0000}"/>
    <cellStyle name="40 % - Markeringsfarve5 3 3 3 3" xfId="6528" xr:uid="{00000000-0005-0000-0000-00000B7F0000}"/>
    <cellStyle name="40 % - Markeringsfarve5 3 3 3 3 2" xfId="9258" xr:uid="{00000000-0005-0000-0000-00000C7F0000}"/>
    <cellStyle name="40 % - Markeringsfarve5 3 3 3 3 2 2" xfId="17122" xr:uid="{00000000-0005-0000-0000-00000D7F0000}"/>
    <cellStyle name="40 % - Markeringsfarve5 3 3 3 3 2 2 2" xfId="33398" xr:uid="{00000000-0005-0000-0000-00000E7F0000}"/>
    <cellStyle name="40 % - Markeringsfarve5 3 3 3 3 2 2 3" xfId="48357" xr:uid="{00000000-0005-0000-0000-00000F7F0000}"/>
    <cellStyle name="40 % - Markeringsfarve5 3 3 3 3 2 3" xfId="26396" xr:uid="{00000000-0005-0000-0000-0000107F0000}"/>
    <cellStyle name="40 % - Markeringsfarve5 3 3 3 3 2 4" xfId="41360" xr:uid="{00000000-0005-0000-0000-0000117F0000}"/>
    <cellStyle name="40 % - Markeringsfarve5 3 3 3 3 3" xfId="15013" xr:uid="{00000000-0005-0000-0000-0000127F0000}"/>
    <cellStyle name="40 % - Markeringsfarve5 3 3 3 3 3 2" xfId="31292" xr:uid="{00000000-0005-0000-0000-0000137F0000}"/>
    <cellStyle name="40 % - Markeringsfarve5 3 3 3 3 3 3" xfId="46252" xr:uid="{00000000-0005-0000-0000-0000147F0000}"/>
    <cellStyle name="40 % - Markeringsfarve5 3 3 3 3 4" xfId="24290" xr:uid="{00000000-0005-0000-0000-0000157F0000}"/>
    <cellStyle name="40 % - Markeringsfarve5 3 3 3 3 5" xfId="39255" xr:uid="{00000000-0005-0000-0000-0000167F0000}"/>
    <cellStyle name="40 % - Markeringsfarve5 3 3 3 4" xfId="6529" xr:uid="{00000000-0005-0000-0000-0000177F0000}"/>
    <cellStyle name="40 % - Markeringsfarve5 3 3 3 4 2" xfId="10834" xr:uid="{00000000-0005-0000-0000-0000187F0000}"/>
    <cellStyle name="40 % - Markeringsfarve5 3 3 3 4 2 2" xfId="18672" xr:uid="{00000000-0005-0000-0000-0000197F0000}"/>
    <cellStyle name="40 % - Markeringsfarve5 3 3 3 4 2 2 2" xfId="34948" xr:uid="{00000000-0005-0000-0000-00001A7F0000}"/>
    <cellStyle name="40 % - Markeringsfarve5 3 3 3 4 2 2 3" xfId="49907" xr:uid="{00000000-0005-0000-0000-00001B7F0000}"/>
    <cellStyle name="40 % - Markeringsfarve5 3 3 3 4 2 3" xfId="27946" xr:uid="{00000000-0005-0000-0000-00001C7F0000}"/>
    <cellStyle name="40 % - Markeringsfarve5 3 3 3 4 2 4" xfId="42910" xr:uid="{00000000-0005-0000-0000-00001D7F0000}"/>
    <cellStyle name="40 % - Markeringsfarve5 3 3 3 4 3" xfId="15014" xr:uid="{00000000-0005-0000-0000-00001E7F0000}"/>
    <cellStyle name="40 % - Markeringsfarve5 3 3 3 4 3 2" xfId="31293" xr:uid="{00000000-0005-0000-0000-00001F7F0000}"/>
    <cellStyle name="40 % - Markeringsfarve5 3 3 3 4 3 3" xfId="46253" xr:uid="{00000000-0005-0000-0000-0000207F0000}"/>
    <cellStyle name="40 % - Markeringsfarve5 3 3 3 4 4" xfId="24291" xr:uid="{00000000-0005-0000-0000-0000217F0000}"/>
    <cellStyle name="40 % - Markeringsfarve5 3 3 3 4 5" xfId="39256" xr:uid="{00000000-0005-0000-0000-0000227F0000}"/>
    <cellStyle name="40 % - Markeringsfarve5 3 3 3 5" xfId="8214" xr:uid="{00000000-0005-0000-0000-0000237F0000}"/>
    <cellStyle name="40 % - Markeringsfarve5 3 3 3 5 2" xfId="16079" xr:uid="{00000000-0005-0000-0000-0000247F0000}"/>
    <cellStyle name="40 % - Markeringsfarve5 3 3 3 5 2 2" xfId="32355" xr:uid="{00000000-0005-0000-0000-0000257F0000}"/>
    <cellStyle name="40 % - Markeringsfarve5 3 3 3 5 2 3" xfId="47314" xr:uid="{00000000-0005-0000-0000-0000267F0000}"/>
    <cellStyle name="40 % - Markeringsfarve5 3 3 3 5 3" xfId="25353" xr:uid="{00000000-0005-0000-0000-0000277F0000}"/>
    <cellStyle name="40 % - Markeringsfarve5 3 3 3 5 4" xfId="40317" xr:uid="{00000000-0005-0000-0000-0000287F0000}"/>
    <cellStyle name="40 % - Markeringsfarve5 3 3 3 6" xfId="15010" xr:uid="{00000000-0005-0000-0000-0000297F0000}"/>
    <cellStyle name="40 % - Markeringsfarve5 3 3 3 6 2" xfId="31289" xr:uid="{00000000-0005-0000-0000-00002A7F0000}"/>
    <cellStyle name="40 % - Markeringsfarve5 3 3 3 6 3" xfId="46249" xr:uid="{00000000-0005-0000-0000-00002B7F0000}"/>
    <cellStyle name="40 % - Markeringsfarve5 3 3 3 7" xfId="24287" xr:uid="{00000000-0005-0000-0000-00002C7F0000}"/>
    <cellStyle name="40 % - Markeringsfarve5 3 3 3 8" xfId="39252" xr:uid="{00000000-0005-0000-0000-00002D7F0000}"/>
    <cellStyle name="40 % - Markeringsfarve5 3 3 4" xfId="6530" xr:uid="{00000000-0005-0000-0000-00002E7F0000}"/>
    <cellStyle name="40 % - Markeringsfarve5 3 3 4 2" xfId="6531" xr:uid="{00000000-0005-0000-0000-00002F7F0000}"/>
    <cellStyle name="40 % - Markeringsfarve5 3 3 4 2 2" xfId="6532" xr:uid="{00000000-0005-0000-0000-0000307F0000}"/>
    <cellStyle name="40 % - Markeringsfarve5 3 3 4 2 2 2" xfId="10152" xr:uid="{00000000-0005-0000-0000-0000317F0000}"/>
    <cellStyle name="40 % - Markeringsfarve5 3 3 4 2 2 2 2" xfId="18007" xr:uid="{00000000-0005-0000-0000-0000327F0000}"/>
    <cellStyle name="40 % - Markeringsfarve5 3 3 4 2 2 2 2 2" xfId="34283" xr:uid="{00000000-0005-0000-0000-0000337F0000}"/>
    <cellStyle name="40 % - Markeringsfarve5 3 3 4 2 2 2 2 3" xfId="49242" xr:uid="{00000000-0005-0000-0000-0000347F0000}"/>
    <cellStyle name="40 % - Markeringsfarve5 3 3 4 2 2 2 3" xfId="27281" xr:uid="{00000000-0005-0000-0000-0000357F0000}"/>
    <cellStyle name="40 % - Markeringsfarve5 3 3 4 2 2 2 4" xfId="42245" xr:uid="{00000000-0005-0000-0000-0000367F0000}"/>
    <cellStyle name="40 % - Markeringsfarve5 3 3 4 2 2 3" xfId="15017" xr:uid="{00000000-0005-0000-0000-0000377F0000}"/>
    <cellStyle name="40 % - Markeringsfarve5 3 3 4 2 2 3 2" xfId="31296" xr:uid="{00000000-0005-0000-0000-0000387F0000}"/>
    <cellStyle name="40 % - Markeringsfarve5 3 3 4 2 2 3 3" xfId="46256" xr:uid="{00000000-0005-0000-0000-0000397F0000}"/>
    <cellStyle name="40 % - Markeringsfarve5 3 3 4 2 2 4" xfId="24294" xr:uid="{00000000-0005-0000-0000-00003A7F0000}"/>
    <cellStyle name="40 % - Markeringsfarve5 3 3 4 2 2 5" xfId="39259" xr:uid="{00000000-0005-0000-0000-00003B7F0000}"/>
    <cellStyle name="40 % - Markeringsfarve5 3 3 4 2 3" xfId="8684" xr:uid="{00000000-0005-0000-0000-00003C7F0000}"/>
    <cellStyle name="40 % - Markeringsfarve5 3 3 4 2 3 2" xfId="16551" xr:uid="{00000000-0005-0000-0000-00003D7F0000}"/>
    <cellStyle name="40 % - Markeringsfarve5 3 3 4 2 3 2 2" xfId="32827" xr:uid="{00000000-0005-0000-0000-00003E7F0000}"/>
    <cellStyle name="40 % - Markeringsfarve5 3 3 4 2 3 2 3" xfId="47786" xr:uid="{00000000-0005-0000-0000-00003F7F0000}"/>
    <cellStyle name="40 % - Markeringsfarve5 3 3 4 2 3 3" xfId="25825" xr:uid="{00000000-0005-0000-0000-0000407F0000}"/>
    <cellStyle name="40 % - Markeringsfarve5 3 3 4 2 3 4" xfId="40789" xr:uid="{00000000-0005-0000-0000-0000417F0000}"/>
    <cellStyle name="40 % - Markeringsfarve5 3 3 4 2 4" xfId="15016" xr:uid="{00000000-0005-0000-0000-0000427F0000}"/>
    <cellStyle name="40 % - Markeringsfarve5 3 3 4 2 4 2" xfId="31295" xr:uid="{00000000-0005-0000-0000-0000437F0000}"/>
    <cellStyle name="40 % - Markeringsfarve5 3 3 4 2 4 3" xfId="46255" xr:uid="{00000000-0005-0000-0000-0000447F0000}"/>
    <cellStyle name="40 % - Markeringsfarve5 3 3 4 2 5" xfId="24293" xr:uid="{00000000-0005-0000-0000-0000457F0000}"/>
    <cellStyle name="40 % - Markeringsfarve5 3 3 4 2 6" xfId="39258" xr:uid="{00000000-0005-0000-0000-0000467F0000}"/>
    <cellStyle name="40 % - Markeringsfarve5 3 3 4 3" xfId="6533" xr:uid="{00000000-0005-0000-0000-0000477F0000}"/>
    <cellStyle name="40 % - Markeringsfarve5 3 3 4 3 2" xfId="9429" xr:uid="{00000000-0005-0000-0000-0000487F0000}"/>
    <cellStyle name="40 % - Markeringsfarve5 3 3 4 3 2 2" xfId="17292" xr:uid="{00000000-0005-0000-0000-0000497F0000}"/>
    <cellStyle name="40 % - Markeringsfarve5 3 3 4 3 2 2 2" xfId="33568" xr:uid="{00000000-0005-0000-0000-00004A7F0000}"/>
    <cellStyle name="40 % - Markeringsfarve5 3 3 4 3 2 2 3" xfId="48527" xr:uid="{00000000-0005-0000-0000-00004B7F0000}"/>
    <cellStyle name="40 % - Markeringsfarve5 3 3 4 3 2 3" xfId="26566" xr:uid="{00000000-0005-0000-0000-00004C7F0000}"/>
    <cellStyle name="40 % - Markeringsfarve5 3 3 4 3 2 4" xfId="41530" xr:uid="{00000000-0005-0000-0000-00004D7F0000}"/>
    <cellStyle name="40 % - Markeringsfarve5 3 3 4 3 3" xfId="15018" xr:uid="{00000000-0005-0000-0000-00004E7F0000}"/>
    <cellStyle name="40 % - Markeringsfarve5 3 3 4 3 3 2" xfId="31297" xr:uid="{00000000-0005-0000-0000-00004F7F0000}"/>
    <cellStyle name="40 % - Markeringsfarve5 3 3 4 3 3 3" xfId="46257" xr:uid="{00000000-0005-0000-0000-0000507F0000}"/>
    <cellStyle name="40 % - Markeringsfarve5 3 3 4 3 4" xfId="24295" xr:uid="{00000000-0005-0000-0000-0000517F0000}"/>
    <cellStyle name="40 % - Markeringsfarve5 3 3 4 3 5" xfId="39260" xr:uid="{00000000-0005-0000-0000-0000527F0000}"/>
    <cellStyle name="40 % - Markeringsfarve5 3 3 4 4" xfId="6534" xr:uid="{00000000-0005-0000-0000-0000537F0000}"/>
    <cellStyle name="40 % - Markeringsfarve5 3 3 4 4 2" xfId="10484" xr:uid="{00000000-0005-0000-0000-0000547F0000}"/>
    <cellStyle name="40 % - Markeringsfarve5 3 3 4 4 2 2" xfId="18333" xr:uid="{00000000-0005-0000-0000-0000557F0000}"/>
    <cellStyle name="40 % - Markeringsfarve5 3 3 4 4 2 2 2" xfId="34609" xr:uid="{00000000-0005-0000-0000-0000567F0000}"/>
    <cellStyle name="40 % - Markeringsfarve5 3 3 4 4 2 2 3" xfId="49568" xr:uid="{00000000-0005-0000-0000-0000577F0000}"/>
    <cellStyle name="40 % - Markeringsfarve5 3 3 4 4 2 3" xfId="27607" xr:uid="{00000000-0005-0000-0000-0000587F0000}"/>
    <cellStyle name="40 % - Markeringsfarve5 3 3 4 4 2 4" xfId="42571" xr:uid="{00000000-0005-0000-0000-0000597F0000}"/>
    <cellStyle name="40 % - Markeringsfarve5 3 3 4 4 3" xfId="15019" xr:uid="{00000000-0005-0000-0000-00005A7F0000}"/>
    <cellStyle name="40 % - Markeringsfarve5 3 3 4 4 3 2" xfId="31298" xr:uid="{00000000-0005-0000-0000-00005B7F0000}"/>
    <cellStyle name="40 % - Markeringsfarve5 3 3 4 4 3 3" xfId="46258" xr:uid="{00000000-0005-0000-0000-00005C7F0000}"/>
    <cellStyle name="40 % - Markeringsfarve5 3 3 4 4 4" xfId="24296" xr:uid="{00000000-0005-0000-0000-00005D7F0000}"/>
    <cellStyle name="40 % - Markeringsfarve5 3 3 4 4 5" xfId="39261" xr:uid="{00000000-0005-0000-0000-00005E7F0000}"/>
    <cellStyle name="40 % - Markeringsfarve5 3 3 4 5" xfId="8215" xr:uid="{00000000-0005-0000-0000-00005F7F0000}"/>
    <cellStyle name="40 % - Markeringsfarve5 3 3 4 5 2" xfId="16080" xr:uid="{00000000-0005-0000-0000-0000607F0000}"/>
    <cellStyle name="40 % - Markeringsfarve5 3 3 4 5 2 2" xfId="32356" xr:uid="{00000000-0005-0000-0000-0000617F0000}"/>
    <cellStyle name="40 % - Markeringsfarve5 3 3 4 5 2 3" xfId="47315" xr:uid="{00000000-0005-0000-0000-0000627F0000}"/>
    <cellStyle name="40 % - Markeringsfarve5 3 3 4 5 3" xfId="25354" xr:uid="{00000000-0005-0000-0000-0000637F0000}"/>
    <cellStyle name="40 % - Markeringsfarve5 3 3 4 5 4" xfId="40318" xr:uid="{00000000-0005-0000-0000-0000647F0000}"/>
    <cellStyle name="40 % - Markeringsfarve5 3 3 4 6" xfId="15015" xr:uid="{00000000-0005-0000-0000-0000657F0000}"/>
    <cellStyle name="40 % - Markeringsfarve5 3 3 4 6 2" xfId="31294" xr:uid="{00000000-0005-0000-0000-0000667F0000}"/>
    <cellStyle name="40 % - Markeringsfarve5 3 3 4 6 3" xfId="46254" xr:uid="{00000000-0005-0000-0000-0000677F0000}"/>
    <cellStyle name="40 % - Markeringsfarve5 3 3 4 7" xfId="24292" xr:uid="{00000000-0005-0000-0000-0000687F0000}"/>
    <cellStyle name="40 % - Markeringsfarve5 3 3 4 8" xfId="39257" xr:uid="{00000000-0005-0000-0000-0000697F0000}"/>
    <cellStyle name="40 % - Markeringsfarve5 3 3 5" xfId="6535" xr:uid="{00000000-0005-0000-0000-00006A7F0000}"/>
    <cellStyle name="40 % - Markeringsfarve5 3 3 5 2" xfId="6536" xr:uid="{00000000-0005-0000-0000-00006B7F0000}"/>
    <cellStyle name="40 % - Markeringsfarve5 3 3 5 2 2" xfId="6537" xr:uid="{00000000-0005-0000-0000-00006C7F0000}"/>
    <cellStyle name="40 % - Markeringsfarve5 3 3 5 2 2 2" xfId="10269" xr:uid="{00000000-0005-0000-0000-00006D7F0000}"/>
    <cellStyle name="40 % - Markeringsfarve5 3 3 5 2 2 2 2" xfId="18124" xr:uid="{00000000-0005-0000-0000-00006E7F0000}"/>
    <cellStyle name="40 % - Markeringsfarve5 3 3 5 2 2 2 2 2" xfId="34400" xr:uid="{00000000-0005-0000-0000-00006F7F0000}"/>
    <cellStyle name="40 % - Markeringsfarve5 3 3 5 2 2 2 2 3" xfId="49359" xr:uid="{00000000-0005-0000-0000-0000707F0000}"/>
    <cellStyle name="40 % - Markeringsfarve5 3 3 5 2 2 2 3" xfId="27398" xr:uid="{00000000-0005-0000-0000-0000717F0000}"/>
    <cellStyle name="40 % - Markeringsfarve5 3 3 5 2 2 2 4" xfId="42362" xr:uid="{00000000-0005-0000-0000-0000727F0000}"/>
    <cellStyle name="40 % - Markeringsfarve5 3 3 5 2 2 3" xfId="15022" xr:uid="{00000000-0005-0000-0000-0000737F0000}"/>
    <cellStyle name="40 % - Markeringsfarve5 3 3 5 2 2 3 2" xfId="31301" xr:uid="{00000000-0005-0000-0000-0000747F0000}"/>
    <cellStyle name="40 % - Markeringsfarve5 3 3 5 2 2 3 3" xfId="46261" xr:uid="{00000000-0005-0000-0000-0000757F0000}"/>
    <cellStyle name="40 % - Markeringsfarve5 3 3 5 2 2 4" xfId="24299" xr:uid="{00000000-0005-0000-0000-0000767F0000}"/>
    <cellStyle name="40 % - Markeringsfarve5 3 3 5 2 2 5" xfId="39264" xr:uid="{00000000-0005-0000-0000-0000777F0000}"/>
    <cellStyle name="40 % - Markeringsfarve5 3 3 5 2 3" xfId="8783" xr:uid="{00000000-0005-0000-0000-0000787F0000}"/>
    <cellStyle name="40 % - Markeringsfarve5 3 3 5 2 3 2" xfId="16650" xr:uid="{00000000-0005-0000-0000-0000797F0000}"/>
    <cellStyle name="40 % - Markeringsfarve5 3 3 5 2 3 2 2" xfId="32926" xr:uid="{00000000-0005-0000-0000-00007A7F0000}"/>
    <cellStyle name="40 % - Markeringsfarve5 3 3 5 2 3 2 3" xfId="47885" xr:uid="{00000000-0005-0000-0000-00007B7F0000}"/>
    <cellStyle name="40 % - Markeringsfarve5 3 3 5 2 3 3" xfId="25924" xr:uid="{00000000-0005-0000-0000-00007C7F0000}"/>
    <cellStyle name="40 % - Markeringsfarve5 3 3 5 2 3 4" xfId="40888" xr:uid="{00000000-0005-0000-0000-00007D7F0000}"/>
    <cellStyle name="40 % - Markeringsfarve5 3 3 5 2 4" xfId="15021" xr:uid="{00000000-0005-0000-0000-00007E7F0000}"/>
    <cellStyle name="40 % - Markeringsfarve5 3 3 5 2 4 2" xfId="31300" xr:uid="{00000000-0005-0000-0000-00007F7F0000}"/>
    <cellStyle name="40 % - Markeringsfarve5 3 3 5 2 4 3" xfId="46260" xr:uid="{00000000-0005-0000-0000-0000807F0000}"/>
    <cellStyle name="40 % - Markeringsfarve5 3 3 5 2 5" xfId="24298" xr:uid="{00000000-0005-0000-0000-0000817F0000}"/>
    <cellStyle name="40 % - Markeringsfarve5 3 3 5 2 6" xfId="39263" xr:uid="{00000000-0005-0000-0000-0000827F0000}"/>
    <cellStyle name="40 % - Markeringsfarve5 3 3 5 3" xfId="6538" xr:uid="{00000000-0005-0000-0000-0000837F0000}"/>
    <cellStyle name="40 % - Markeringsfarve5 3 3 5 3 2" xfId="9546" xr:uid="{00000000-0005-0000-0000-0000847F0000}"/>
    <cellStyle name="40 % - Markeringsfarve5 3 3 5 3 2 2" xfId="17409" xr:uid="{00000000-0005-0000-0000-0000857F0000}"/>
    <cellStyle name="40 % - Markeringsfarve5 3 3 5 3 2 2 2" xfId="33685" xr:uid="{00000000-0005-0000-0000-0000867F0000}"/>
    <cellStyle name="40 % - Markeringsfarve5 3 3 5 3 2 2 3" xfId="48644" xr:uid="{00000000-0005-0000-0000-0000877F0000}"/>
    <cellStyle name="40 % - Markeringsfarve5 3 3 5 3 2 3" xfId="26683" xr:uid="{00000000-0005-0000-0000-0000887F0000}"/>
    <cellStyle name="40 % - Markeringsfarve5 3 3 5 3 2 4" xfId="41647" xr:uid="{00000000-0005-0000-0000-0000897F0000}"/>
    <cellStyle name="40 % - Markeringsfarve5 3 3 5 3 3" xfId="15023" xr:uid="{00000000-0005-0000-0000-00008A7F0000}"/>
    <cellStyle name="40 % - Markeringsfarve5 3 3 5 3 3 2" xfId="31302" xr:uid="{00000000-0005-0000-0000-00008B7F0000}"/>
    <cellStyle name="40 % - Markeringsfarve5 3 3 5 3 3 3" xfId="46262" xr:uid="{00000000-0005-0000-0000-00008C7F0000}"/>
    <cellStyle name="40 % - Markeringsfarve5 3 3 5 3 4" xfId="24300" xr:uid="{00000000-0005-0000-0000-00008D7F0000}"/>
    <cellStyle name="40 % - Markeringsfarve5 3 3 5 3 5" xfId="39265" xr:uid="{00000000-0005-0000-0000-00008E7F0000}"/>
    <cellStyle name="40 % - Markeringsfarve5 3 3 5 4" xfId="6539" xr:uid="{00000000-0005-0000-0000-00008F7F0000}"/>
    <cellStyle name="40 % - Markeringsfarve5 3 3 5 4 2" xfId="10799" xr:uid="{00000000-0005-0000-0000-0000907F0000}"/>
    <cellStyle name="40 % - Markeringsfarve5 3 3 5 4 2 2" xfId="18641" xr:uid="{00000000-0005-0000-0000-0000917F0000}"/>
    <cellStyle name="40 % - Markeringsfarve5 3 3 5 4 2 2 2" xfId="34917" xr:uid="{00000000-0005-0000-0000-0000927F0000}"/>
    <cellStyle name="40 % - Markeringsfarve5 3 3 5 4 2 2 3" xfId="49876" xr:uid="{00000000-0005-0000-0000-0000937F0000}"/>
    <cellStyle name="40 % - Markeringsfarve5 3 3 5 4 2 3" xfId="27915" xr:uid="{00000000-0005-0000-0000-0000947F0000}"/>
    <cellStyle name="40 % - Markeringsfarve5 3 3 5 4 2 4" xfId="42879" xr:uid="{00000000-0005-0000-0000-0000957F0000}"/>
    <cellStyle name="40 % - Markeringsfarve5 3 3 5 4 3" xfId="15024" xr:uid="{00000000-0005-0000-0000-0000967F0000}"/>
    <cellStyle name="40 % - Markeringsfarve5 3 3 5 4 3 2" xfId="31303" xr:uid="{00000000-0005-0000-0000-0000977F0000}"/>
    <cellStyle name="40 % - Markeringsfarve5 3 3 5 4 3 3" xfId="46263" xr:uid="{00000000-0005-0000-0000-0000987F0000}"/>
    <cellStyle name="40 % - Markeringsfarve5 3 3 5 4 4" xfId="24301" xr:uid="{00000000-0005-0000-0000-0000997F0000}"/>
    <cellStyle name="40 % - Markeringsfarve5 3 3 5 4 5" xfId="39266" xr:uid="{00000000-0005-0000-0000-00009A7F0000}"/>
    <cellStyle name="40 % - Markeringsfarve5 3 3 5 5" xfId="8216" xr:uid="{00000000-0005-0000-0000-00009B7F0000}"/>
    <cellStyle name="40 % - Markeringsfarve5 3 3 5 5 2" xfId="16081" xr:uid="{00000000-0005-0000-0000-00009C7F0000}"/>
    <cellStyle name="40 % - Markeringsfarve5 3 3 5 5 2 2" xfId="32357" xr:uid="{00000000-0005-0000-0000-00009D7F0000}"/>
    <cellStyle name="40 % - Markeringsfarve5 3 3 5 5 2 3" xfId="47316" xr:uid="{00000000-0005-0000-0000-00009E7F0000}"/>
    <cellStyle name="40 % - Markeringsfarve5 3 3 5 5 3" xfId="25355" xr:uid="{00000000-0005-0000-0000-00009F7F0000}"/>
    <cellStyle name="40 % - Markeringsfarve5 3 3 5 5 4" xfId="40319" xr:uid="{00000000-0005-0000-0000-0000A07F0000}"/>
    <cellStyle name="40 % - Markeringsfarve5 3 3 5 6" xfId="15020" xr:uid="{00000000-0005-0000-0000-0000A17F0000}"/>
    <cellStyle name="40 % - Markeringsfarve5 3 3 5 6 2" xfId="31299" xr:uid="{00000000-0005-0000-0000-0000A27F0000}"/>
    <cellStyle name="40 % - Markeringsfarve5 3 3 5 6 3" xfId="46259" xr:uid="{00000000-0005-0000-0000-0000A37F0000}"/>
    <cellStyle name="40 % - Markeringsfarve5 3 3 5 7" xfId="24297" xr:uid="{00000000-0005-0000-0000-0000A47F0000}"/>
    <cellStyle name="40 % - Markeringsfarve5 3 3 5 8" xfId="39262" xr:uid="{00000000-0005-0000-0000-0000A57F0000}"/>
    <cellStyle name="40 % - Markeringsfarve5 3 3 6" xfId="6540" xr:uid="{00000000-0005-0000-0000-0000A67F0000}"/>
    <cellStyle name="40 % - Markeringsfarve5 3 3 6 2" xfId="6541" xr:uid="{00000000-0005-0000-0000-0000A77F0000}"/>
    <cellStyle name="40 % - Markeringsfarve5 3 3 6 2 2" xfId="6542" xr:uid="{00000000-0005-0000-0000-0000A87F0000}"/>
    <cellStyle name="40 % - Markeringsfarve5 3 3 6 2 2 2" xfId="10381" xr:uid="{00000000-0005-0000-0000-0000A97F0000}"/>
    <cellStyle name="40 % - Markeringsfarve5 3 3 6 2 2 2 2" xfId="18236" xr:uid="{00000000-0005-0000-0000-0000AA7F0000}"/>
    <cellStyle name="40 % - Markeringsfarve5 3 3 6 2 2 2 2 2" xfId="34512" xr:uid="{00000000-0005-0000-0000-0000AB7F0000}"/>
    <cellStyle name="40 % - Markeringsfarve5 3 3 6 2 2 2 2 3" xfId="49471" xr:uid="{00000000-0005-0000-0000-0000AC7F0000}"/>
    <cellStyle name="40 % - Markeringsfarve5 3 3 6 2 2 2 3" xfId="27510" xr:uid="{00000000-0005-0000-0000-0000AD7F0000}"/>
    <cellStyle name="40 % - Markeringsfarve5 3 3 6 2 2 2 4" xfId="42474" xr:uid="{00000000-0005-0000-0000-0000AE7F0000}"/>
    <cellStyle name="40 % - Markeringsfarve5 3 3 6 2 2 3" xfId="15027" xr:uid="{00000000-0005-0000-0000-0000AF7F0000}"/>
    <cellStyle name="40 % - Markeringsfarve5 3 3 6 2 2 3 2" xfId="31306" xr:uid="{00000000-0005-0000-0000-0000B07F0000}"/>
    <cellStyle name="40 % - Markeringsfarve5 3 3 6 2 2 3 3" xfId="46266" xr:uid="{00000000-0005-0000-0000-0000B17F0000}"/>
    <cellStyle name="40 % - Markeringsfarve5 3 3 6 2 2 4" xfId="24304" xr:uid="{00000000-0005-0000-0000-0000B27F0000}"/>
    <cellStyle name="40 % - Markeringsfarve5 3 3 6 2 2 5" xfId="39269" xr:uid="{00000000-0005-0000-0000-0000B37F0000}"/>
    <cellStyle name="40 % - Markeringsfarve5 3 3 6 2 3" xfId="8875" xr:uid="{00000000-0005-0000-0000-0000B47F0000}"/>
    <cellStyle name="40 % - Markeringsfarve5 3 3 6 2 3 2" xfId="16742" xr:uid="{00000000-0005-0000-0000-0000B57F0000}"/>
    <cellStyle name="40 % - Markeringsfarve5 3 3 6 2 3 2 2" xfId="33018" xr:uid="{00000000-0005-0000-0000-0000B67F0000}"/>
    <cellStyle name="40 % - Markeringsfarve5 3 3 6 2 3 2 3" xfId="47977" xr:uid="{00000000-0005-0000-0000-0000B77F0000}"/>
    <cellStyle name="40 % - Markeringsfarve5 3 3 6 2 3 3" xfId="26016" xr:uid="{00000000-0005-0000-0000-0000B87F0000}"/>
    <cellStyle name="40 % - Markeringsfarve5 3 3 6 2 3 4" xfId="40980" xr:uid="{00000000-0005-0000-0000-0000B97F0000}"/>
    <cellStyle name="40 % - Markeringsfarve5 3 3 6 2 4" xfId="15026" xr:uid="{00000000-0005-0000-0000-0000BA7F0000}"/>
    <cellStyle name="40 % - Markeringsfarve5 3 3 6 2 4 2" xfId="31305" xr:uid="{00000000-0005-0000-0000-0000BB7F0000}"/>
    <cellStyle name="40 % - Markeringsfarve5 3 3 6 2 4 3" xfId="46265" xr:uid="{00000000-0005-0000-0000-0000BC7F0000}"/>
    <cellStyle name="40 % - Markeringsfarve5 3 3 6 2 5" xfId="24303" xr:uid="{00000000-0005-0000-0000-0000BD7F0000}"/>
    <cellStyle name="40 % - Markeringsfarve5 3 3 6 2 6" xfId="39268" xr:uid="{00000000-0005-0000-0000-0000BE7F0000}"/>
    <cellStyle name="40 % - Markeringsfarve5 3 3 6 3" xfId="6543" xr:uid="{00000000-0005-0000-0000-0000BF7F0000}"/>
    <cellStyle name="40 % - Markeringsfarve5 3 3 6 3 2" xfId="9659" xr:uid="{00000000-0005-0000-0000-0000C07F0000}"/>
    <cellStyle name="40 % - Markeringsfarve5 3 3 6 3 2 2" xfId="17522" xr:uid="{00000000-0005-0000-0000-0000C17F0000}"/>
    <cellStyle name="40 % - Markeringsfarve5 3 3 6 3 2 2 2" xfId="33798" xr:uid="{00000000-0005-0000-0000-0000C27F0000}"/>
    <cellStyle name="40 % - Markeringsfarve5 3 3 6 3 2 2 3" xfId="48757" xr:uid="{00000000-0005-0000-0000-0000C37F0000}"/>
    <cellStyle name="40 % - Markeringsfarve5 3 3 6 3 2 3" xfId="26796" xr:uid="{00000000-0005-0000-0000-0000C47F0000}"/>
    <cellStyle name="40 % - Markeringsfarve5 3 3 6 3 2 4" xfId="41760" xr:uid="{00000000-0005-0000-0000-0000C57F0000}"/>
    <cellStyle name="40 % - Markeringsfarve5 3 3 6 3 3" xfId="15028" xr:uid="{00000000-0005-0000-0000-0000C67F0000}"/>
    <cellStyle name="40 % - Markeringsfarve5 3 3 6 3 3 2" xfId="31307" xr:uid="{00000000-0005-0000-0000-0000C77F0000}"/>
    <cellStyle name="40 % - Markeringsfarve5 3 3 6 3 3 3" xfId="46267" xr:uid="{00000000-0005-0000-0000-0000C87F0000}"/>
    <cellStyle name="40 % - Markeringsfarve5 3 3 6 3 4" xfId="24305" xr:uid="{00000000-0005-0000-0000-0000C97F0000}"/>
    <cellStyle name="40 % - Markeringsfarve5 3 3 6 3 5" xfId="39270" xr:uid="{00000000-0005-0000-0000-0000CA7F0000}"/>
    <cellStyle name="40 % - Markeringsfarve5 3 3 6 4" xfId="6544" xr:uid="{00000000-0005-0000-0000-0000CB7F0000}"/>
    <cellStyle name="40 % - Markeringsfarve5 3 3 6 4 2" xfId="10451" xr:uid="{00000000-0005-0000-0000-0000CC7F0000}"/>
    <cellStyle name="40 % - Markeringsfarve5 3 3 6 4 2 2" xfId="18303" xr:uid="{00000000-0005-0000-0000-0000CD7F0000}"/>
    <cellStyle name="40 % - Markeringsfarve5 3 3 6 4 2 2 2" xfId="34579" xr:uid="{00000000-0005-0000-0000-0000CE7F0000}"/>
    <cellStyle name="40 % - Markeringsfarve5 3 3 6 4 2 2 3" xfId="49538" xr:uid="{00000000-0005-0000-0000-0000CF7F0000}"/>
    <cellStyle name="40 % - Markeringsfarve5 3 3 6 4 2 3" xfId="27577" xr:uid="{00000000-0005-0000-0000-0000D07F0000}"/>
    <cellStyle name="40 % - Markeringsfarve5 3 3 6 4 2 4" xfId="42541" xr:uid="{00000000-0005-0000-0000-0000D17F0000}"/>
    <cellStyle name="40 % - Markeringsfarve5 3 3 6 4 3" xfId="15029" xr:uid="{00000000-0005-0000-0000-0000D27F0000}"/>
    <cellStyle name="40 % - Markeringsfarve5 3 3 6 4 3 2" xfId="31308" xr:uid="{00000000-0005-0000-0000-0000D37F0000}"/>
    <cellStyle name="40 % - Markeringsfarve5 3 3 6 4 3 3" xfId="46268" xr:uid="{00000000-0005-0000-0000-0000D47F0000}"/>
    <cellStyle name="40 % - Markeringsfarve5 3 3 6 4 4" xfId="24306" xr:uid="{00000000-0005-0000-0000-0000D57F0000}"/>
    <cellStyle name="40 % - Markeringsfarve5 3 3 6 4 5" xfId="39271" xr:uid="{00000000-0005-0000-0000-0000D67F0000}"/>
    <cellStyle name="40 % - Markeringsfarve5 3 3 6 5" xfId="8217" xr:uid="{00000000-0005-0000-0000-0000D77F0000}"/>
    <cellStyle name="40 % - Markeringsfarve5 3 3 6 5 2" xfId="16082" xr:uid="{00000000-0005-0000-0000-0000D87F0000}"/>
    <cellStyle name="40 % - Markeringsfarve5 3 3 6 5 2 2" xfId="32358" xr:uid="{00000000-0005-0000-0000-0000D97F0000}"/>
    <cellStyle name="40 % - Markeringsfarve5 3 3 6 5 2 3" xfId="47317" xr:uid="{00000000-0005-0000-0000-0000DA7F0000}"/>
    <cellStyle name="40 % - Markeringsfarve5 3 3 6 5 3" xfId="25356" xr:uid="{00000000-0005-0000-0000-0000DB7F0000}"/>
    <cellStyle name="40 % - Markeringsfarve5 3 3 6 5 4" xfId="40320" xr:uid="{00000000-0005-0000-0000-0000DC7F0000}"/>
    <cellStyle name="40 % - Markeringsfarve5 3 3 6 6" xfId="15025" xr:uid="{00000000-0005-0000-0000-0000DD7F0000}"/>
    <cellStyle name="40 % - Markeringsfarve5 3 3 6 6 2" xfId="31304" xr:uid="{00000000-0005-0000-0000-0000DE7F0000}"/>
    <cellStyle name="40 % - Markeringsfarve5 3 3 6 6 3" xfId="46264" xr:uid="{00000000-0005-0000-0000-0000DF7F0000}"/>
    <cellStyle name="40 % - Markeringsfarve5 3 3 6 7" xfId="24302" xr:uid="{00000000-0005-0000-0000-0000E07F0000}"/>
    <cellStyle name="40 % - Markeringsfarve5 3 3 6 8" xfId="39267" xr:uid="{00000000-0005-0000-0000-0000E17F0000}"/>
    <cellStyle name="40 % - Markeringsfarve5 3 3 7" xfId="6545" xr:uid="{00000000-0005-0000-0000-0000E27F0000}"/>
    <cellStyle name="40 % - Markeringsfarve5 3 3 7 2" xfId="6546" xr:uid="{00000000-0005-0000-0000-0000E37F0000}"/>
    <cellStyle name="40 % - Markeringsfarve5 3 3 7 2 2" xfId="9796" xr:uid="{00000000-0005-0000-0000-0000E47F0000}"/>
    <cellStyle name="40 % - Markeringsfarve5 3 3 7 2 2 2" xfId="17650" xr:uid="{00000000-0005-0000-0000-0000E57F0000}"/>
    <cellStyle name="40 % - Markeringsfarve5 3 3 7 2 2 2 2" xfId="33926" xr:uid="{00000000-0005-0000-0000-0000E67F0000}"/>
    <cellStyle name="40 % - Markeringsfarve5 3 3 7 2 2 2 3" xfId="48885" xr:uid="{00000000-0005-0000-0000-0000E77F0000}"/>
    <cellStyle name="40 % - Markeringsfarve5 3 3 7 2 2 3" xfId="26924" xr:uid="{00000000-0005-0000-0000-0000E87F0000}"/>
    <cellStyle name="40 % - Markeringsfarve5 3 3 7 2 2 4" xfId="41888" xr:uid="{00000000-0005-0000-0000-0000E97F0000}"/>
    <cellStyle name="40 % - Markeringsfarve5 3 3 7 2 3" xfId="15031" xr:uid="{00000000-0005-0000-0000-0000EA7F0000}"/>
    <cellStyle name="40 % - Markeringsfarve5 3 3 7 2 3 2" xfId="31310" xr:uid="{00000000-0005-0000-0000-0000EB7F0000}"/>
    <cellStyle name="40 % - Markeringsfarve5 3 3 7 2 3 3" xfId="46270" xr:uid="{00000000-0005-0000-0000-0000EC7F0000}"/>
    <cellStyle name="40 % - Markeringsfarve5 3 3 7 2 4" xfId="24308" xr:uid="{00000000-0005-0000-0000-0000ED7F0000}"/>
    <cellStyle name="40 % - Markeringsfarve5 3 3 7 2 5" xfId="39273" xr:uid="{00000000-0005-0000-0000-0000EE7F0000}"/>
    <cellStyle name="40 % - Markeringsfarve5 3 3 7 3" xfId="8383" xr:uid="{00000000-0005-0000-0000-0000EF7F0000}"/>
    <cellStyle name="40 % - Markeringsfarve5 3 3 7 3 2" xfId="16253" xr:uid="{00000000-0005-0000-0000-0000F07F0000}"/>
    <cellStyle name="40 % - Markeringsfarve5 3 3 7 3 2 2" xfId="32529" xr:uid="{00000000-0005-0000-0000-0000F17F0000}"/>
    <cellStyle name="40 % - Markeringsfarve5 3 3 7 3 2 3" xfId="47488" xr:uid="{00000000-0005-0000-0000-0000F27F0000}"/>
    <cellStyle name="40 % - Markeringsfarve5 3 3 7 3 3" xfId="25527" xr:uid="{00000000-0005-0000-0000-0000F37F0000}"/>
    <cellStyle name="40 % - Markeringsfarve5 3 3 7 3 4" xfId="40491" xr:uid="{00000000-0005-0000-0000-0000F47F0000}"/>
    <cellStyle name="40 % - Markeringsfarve5 3 3 7 4" xfId="15030" xr:uid="{00000000-0005-0000-0000-0000F57F0000}"/>
    <cellStyle name="40 % - Markeringsfarve5 3 3 7 4 2" xfId="31309" xr:uid="{00000000-0005-0000-0000-0000F67F0000}"/>
    <cellStyle name="40 % - Markeringsfarve5 3 3 7 4 3" xfId="46269" xr:uid="{00000000-0005-0000-0000-0000F77F0000}"/>
    <cellStyle name="40 % - Markeringsfarve5 3 3 7 5" xfId="24307" xr:uid="{00000000-0005-0000-0000-0000F87F0000}"/>
    <cellStyle name="40 % - Markeringsfarve5 3 3 7 6" xfId="39272" xr:uid="{00000000-0005-0000-0000-0000F97F0000}"/>
    <cellStyle name="40 % - Markeringsfarve5 3 3 8" xfId="6547" xr:uid="{00000000-0005-0000-0000-0000FA7F0000}"/>
    <cellStyle name="40 % - Markeringsfarve5 3 3 8 2" xfId="9024" xr:uid="{00000000-0005-0000-0000-0000FB7F0000}"/>
    <cellStyle name="40 % - Markeringsfarve5 3 3 8 2 2" xfId="16888" xr:uid="{00000000-0005-0000-0000-0000FC7F0000}"/>
    <cellStyle name="40 % - Markeringsfarve5 3 3 8 2 2 2" xfId="33164" xr:uid="{00000000-0005-0000-0000-0000FD7F0000}"/>
    <cellStyle name="40 % - Markeringsfarve5 3 3 8 2 2 3" xfId="48123" xr:uid="{00000000-0005-0000-0000-0000FE7F0000}"/>
    <cellStyle name="40 % - Markeringsfarve5 3 3 8 2 3" xfId="26162" xr:uid="{00000000-0005-0000-0000-0000FF7F0000}"/>
    <cellStyle name="40 % - Markeringsfarve5 3 3 8 2 4" xfId="41126" xr:uid="{00000000-0005-0000-0000-000000800000}"/>
    <cellStyle name="40 % - Markeringsfarve5 3 3 8 3" xfId="15032" xr:uid="{00000000-0005-0000-0000-000001800000}"/>
    <cellStyle name="40 % - Markeringsfarve5 3 3 8 3 2" xfId="31311" xr:uid="{00000000-0005-0000-0000-000002800000}"/>
    <cellStyle name="40 % - Markeringsfarve5 3 3 8 3 3" xfId="46271" xr:uid="{00000000-0005-0000-0000-000003800000}"/>
    <cellStyle name="40 % - Markeringsfarve5 3 3 8 4" xfId="24309" xr:uid="{00000000-0005-0000-0000-000004800000}"/>
    <cellStyle name="40 % - Markeringsfarve5 3 3 8 5" xfId="39274" xr:uid="{00000000-0005-0000-0000-000005800000}"/>
    <cellStyle name="40 % - Markeringsfarve5 3 3 9" xfId="6548" xr:uid="{00000000-0005-0000-0000-000006800000}"/>
    <cellStyle name="40 % - Markeringsfarve5 3 3 9 2" xfId="10891" xr:uid="{00000000-0005-0000-0000-000007800000}"/>
    <cellStyle name="40 % - Markeringsfarve5 3 3 9 2 2" xfId="18727" xr:uid="{00000000-0005-0000-0000-000008800000}"/>
    <cellStyle name="40 % - Markeringsfarve5 3 3 9 2 2 2" xfId="35003" xr:uid="{00000000-0005-0000-0000-000009800000}"/>
    <cellStyle name="40 % - Markeringsfarve5 3 3 9 2 2 3" xfId="49962" xr:uid="{00000000-0005-0000-0000-00000A800000}"/>
    <cellStyle name="40 % - Markeringsfarve5 3 3 9 2 3" xfId="28001" xr:uid="{00000000-0005-0000-0000-00000B800000}"/>
    <cellStyle name="40 % - Markeringsfarve5 3 3 9 2 4" xfId="42965" xr:uid="{00000000-0005-0000-0000-00000C800000}"/>
    <cellStyle name="40 % - Markeringsfarve5 3 3 9 3" xfId="15033" xr:uid="{00000000-0005-0000-0000-00000D800000}"/>
    <cellStyle name="40 % - Markeringsfarve5 3 3 9 3 2" xfId="31312" xr:uid="{00000000-0005-0000-0000-00000E800000}"/>
    <cellStyle name="40 % - Markeringsfarve5 3 3 9 3 3" xfId="46272" xr:uid="{00000000-0005-0000-0000-00000F800000}"/>
    <cellStyle name="40 % - Markeringsfarve5 3 3 9 4" xfId="24310" xr:uid="{00000000-0005-0000-0000-000010800000}"/>
    <cellStyle name="40 % - Markeringsfarve5 3 3 9 5" xfId="39275" xr:uid="{00000000-0005-0000-0000-000011800000}"/>
    <cellStyle name="40 % - Markeringsfarve5 3 4" xfId="6549" xr:uid="{00000000-0005-0000-0000-000012800000}"/>
    <cellStyle name="40 % - Markeringsfarve5 3 4 2" xfId="6550" xr:uid="{00000000-0005-0000-0000-000013800000}"/>
    <cellStyle name="40 % - Markeringsfarve5 3 4 2 2" xfId="6551" xr:uid="{00000000-0005-0000-0000-000014800000}"/>
    <cellStyle name="40 % - Markeringsfarve5 3 4 2 2 2" xfId="9836" xr:uid="{00000000-0005-0000-0000-000015800000}"/>
    <cellStyle name="40 % - Markeringsfarve5 3 4 2 2 2 2" xfId="17691" xr:uid="{00000000-0005-0000-0000-000016800000}"/>
    <cellStyle name="40 % - Markeringsfarve5 3 4 2 2 2 2 2" xfId="33967" xr:uid="{00000000-0005-0000-0000-000017800000}"/>
    <cellStyle name="40 % - Markeringsfarve5 3 4 2 2 2 2 3" xfId="48926" xr:uid="{00000000-0005-0000-0000-000018800000}"/>
    <cellStyle name="40 % - Markeringsfarve5 3 4 2 2 2 3" xfId="26965" xr:uid="{00000000-0005-0000-0000-000019800000}"/>
    <cellStyle name="40 % - Markeringsfarve5 3 4 2 2 2 4" xfId="41929" xr:uid="{00000000-0005-0000-0000-00001A800000}"/>
    <cellStyle name="40 % - Markeringsfarve5 3 4 2 2 3" xfId="15036" xr:uid="{00000000-0005-0000-0000-00001B800000}"/>
    <cellStyle name="40 % - Markeringsfarve5 3 4 2 2 3 2" xfId="31315" xr:uid="{00000000-0005-0000-0000-00001C800000}"/>
    <cellStyle name="40 % - Markeringsfarve5 3 4 2 2 3 3" xfId="46275" xr:uid="{00000000-0005-0000-0000-00001D800000}"/>
    <cellStyle name="40 % - Markeringsfarve5 3 4 2 2 4" xfId="24313" xr:uid="{00000000-0005-0000-0000-00001E800000}"/>
    <cellStyle name="40 % - Markeringsfarve5 3 4 2 2 5" xfId="39278" xr:uid="{00000000-0005-0000-0000-00001F800000}"/>
    <cellStyle name="40 % - Markeringsfarve5 3 4 2 3" xfId="8416" xr:uid="{00000000-0005-0000-0000-000020800000}"/>
    <cellStyle name="40 % - Markeringsfarve5 3 4 2 3 2" xfId="16286" xr:uid="{00000000-0005-0000-0000-000021800000}"/>
    <cellStyle name="40 % - Markeringsfarve5 3 4 2 3 2 2" xfId="32562" xr:uid="{00000000-0005-0000-0000-000022800000}"/>
    <cellStyle name="40 % - Markeringsfarve5 3 4 2 3 2 3" xfId="47521" xr:uid="{00000000-0005-0000-0000-000023800000}"/>
    <cellStyle name="40 % - Markeringsfarve5 3 4 2 3 3" xfId="25560" xr:uid="{00000000-0005-0000-0000-000024800000}"/>
    <cellStyle name="40 % - Markeringsfarve5 3 4 2 3 4" xfId="40524" xr:uid="{00000000-0005-0000-0000-000025800000}"/>
    <cellStyle name="40 % - Markeringsfarve5 3 4 2 4" xfId="15035" xr:uid="{00000000-0005-0000-0000-000026800000}"/>
    <cellStyle name="40 % - Markeringsfarve5 3 4 2 4 2" xfId="31314" xr:uid="{00000000-0005-0000-0000-000027800000}"/>
    <cellStyle name="40 % - Markeringsfarve5 3 4 2 4 3" xfId="46274" xr:uid="{00000000-0005-0000-0000-000028800000}"/>
    <cellStyle name="40 % - Markeringsfarve5 3 4 2 5" xfId="24312" xr:uid="{00000000-0005-0000-0000-000029800000}"/>
    <cellStyle name="40 % - Markeringsfarve5 3 4 2 6" xfId="39277" xr:uid="{00000000-0005-0000-0000-00002A800000}"/>
    <cellStyle name="40 % - Markeringsfarve5 3 4 3" xfId="6552" xr:uid="{00000000-0005-0000-0000-00002B800000}"/>
    <cellStyle name="40 % - Markeringsfarve5 3 4 3 2" xfId="9067" xr:uid="{00000000-0005-0000-0000-00002C800000}"/>
    <cellStyle name="40 % - Markeringsfarve5 3 4 3 2 2" xfId="16931" xr:uid="{00000000-0005-0000-0000-00002D800000}"/>
    <cellStyle name="40 % - Markeringsfarve5 3 4 3 2 2 2" xfId="33207" xr:uid="{00000000-0005-0000-0000-00002E800000}"/>
    <cellStyle name="40 % - Markeringsfarve5 3 4 3 2 2 3" xfId="48166" xr:uid="{00000000-0005-0000-0000-00002F800000}"/>
    <cellStyle name="40 % - Markeringsfarve5 3 4 3 2 3" xfId="26205" xr:uid="{00000000-0005-0000-0000-000030800000}"/>
    <cellStyle name="40 % - Markeringsfarve5 3 4 3 2 4" xfId="41169" xr:uid="{00000000-0005-0000-0000-000031800000}"/>
    <cellStyle name="40 % - Markeringsfarve5 3 4 3 3" xfId="15037" xr:uid="{00000000-0005-0000-0000-000032800000}"/>
    <cellStyle name="40 % - Markeringsfarve5 3 4 3 3 2" xfId="31316" xr:uid="{00000000-0005-0000-0000-000033800000}"/>
    <cellStyle name="40 % - Markeringsfarve5 3 4 3 3 3" xfId="46276" xr:uid="{00000000-0005-0000-0000-000034800000}"/>
    <cellStyle name="40 % - Markeringsfarve5 3 4 3 4" xfId="24314" xr:uid="{00000000-0005-0000-0000-000035800000}"/>
    <cellStyle name="40 % - Markeringsfarve5 3 4 3 5" xfId="39279" xr:uid="{00000000-0005-0000-0000-000036800000}"/>
    <cellStyle name="40 % - Markeringsfarve5 3 4 4" xfId="6553" xr:uid="{00000000-0005-0000-0000-000037800000}"/>
    <cellStyle name="40 % - Markeringsfarve5 3 4 4 2" xfId="8909" xr:uid="{00000000-0005-0000-0000-000038800000}"/>
    <cellStyle name="40 % - Markeringsfarve5 3 4 4 2 2" xfId="16775" xr:uid="{00000000-0005-0000-0000-000039800000}"/>
    <cellStyle name="40 % - Markeringsfarve5 3 4 4 2 2 2" xfId="33051" xr:uid="{00000000-0005-0000-0000-00003A800000}"/>
    <cellStyle name="40 % - Markeringsfarve5 3 4 4 2 2 3" xfId="48010" xr:uid="{00000000-0005-0000-0000-00003B800000}"/>
    <cellStyle name="40 % - Markeringsfarve5 3 4 4 2 3" xfId="26049" xr:uid="{00000000-0005-0000-0000-00003C800000}"/>
    <cellStyle name="40 % - Markeringsfarve5 3 4 4 2 4" xfId="41013" xr:uid="{00000000-0005-0000-0000-00003D800000}"/>
    <cellStyle name="40 % - Markeringsfarve5 3 4 4 3" xfId="15038" xr:uid="{00000000-0005-0000-0000-00003E800000}"/>
    <cellStyle name="40 % - Markeringsfarve5 3 4 4 3 2" xfId="31317" xr:uid="{00000000-0005-0000-0000-00003F800000}"/>
    <cellStyle name="40 % - Markeringsfarve5 3 4 4 3 3" xfId="46277" xr:uid="{00000000-0005-0000-0000-000040800000}"/>
    <cellStyle name="40 % - Markeringsfarve5 3 4 4 4" xfId="24315" xr:uid="{00000000-0005-0000-0000-000041800000}"/>
    <cellStyle name="40 % - Markeringsfarve5 3 4 4 5" xfId="39280" xr:uid="{00000000-0005-0000-0000-000042800000}"/>
    <cellStyle name="40 % - Markeringsfarve5 3 4 5" xfId="8218" xr:uid="{00000000-0005-0000-0000-000043800000}"/>
    <cellStyle name="40 % - Markeringsfarve5 3 4 5 2" xfId="16083" xr:uid="{00000000-0005-0000-0000-000044800000}"/>
    <cellStyle name="40 % - Markeringsfarve5 3 4 5 2 2" xfId="32359" xr:uid="{00000000-0005-0000-0000-000045800000}"/>
    <cellStyle name="40 % - Markeringsfarve5 3 4 5 2 3" xfId="47318" xr:uid="{00000000-0005-0000-0000-000046800000}"/>
    <cellStyle name="40 % - Markeringsfarve5 3 4 5 3" xfId="25357" xr:uid="{00000000-0005-0000-0000-000047800000}"/>
    <cellStyle name="40 % - Markeringsfarve5 3 4 5 4" xfId="40321" xr:uid="{00000000-0005-0000-0000-000048800000}"/>
    <cellStyle name="40 % - Markeringsfarve5 3 4 6" xfId="15034" xr:uid="{00000000-0005-0000-0000-000049800000}"/>
    <cellStyle name="40 % - Markeringsfarve5 3 4 6 2" xfId="31313" xr:uid="{00000000-0005-0000-0000-00004A800000}"/>
    <cellStyle name="40 % - Markeringsfarve5 3 4 6 3" xfId="46273" xr:uid="{00000000-0005-0000-0000-00004B800000}"/>
    <cellStyle name="40 % - Markeringsfarve5 3 4 7" xfId="24311" xr:uid="{00000000-0005-0000-0000-00004C800000}"/>
    <cellStyle name="40 % - Markeringsfarve5 3 4 8" xfId="39276" xr:uid="{00000000-0005-0000-0000-00004D800000}"/>
    <cellStyle name="40 % - Markeringsfarve5 3 5" xfId="6554" xr:uid="{00000000-0005-0000-0000-00004E800000}"/>
    <cellStyle name="40 % - Markeringsfarve5 3 5 2" xfId="6555" xr:uid="{00000000-0005-0000-0000-00004F800000}"/>
    <cellStyle name="40 % - Markeringsfarve5 3 5 2 2" xfId="6556" xr:uid="{00000000-0005-0000-0000-000050800000}"/>
    <cellStyle name="40 % - Markeringsfarve5 3 5 2 2 2" xfId="10025" xr:uid="{00000000-0005-0000-0000-000051800000}"/>
    <cellStyle name="40 % - Markeringsfarve5 3 5 2 2 2 2" xfId="17880" xr:uid="{00000000-0005-0000-0000-000052800000}"/>
    <cellStyle name="40 % - Markeringsfarve5 3 5 2 2 2 2 2" xfId="34156" xr:uid="{00000000-0005-0000-0000-000053800000}"/>
    <cellStyle name="40 % - Markeringsfarve5 3 5 2 2 2 2 3" xfId="49115" xr:uid="{00000000-0005-0000-0000-000054800000}"/>
    <cellStyle name="40 % - Markeringsfarve5 3 5 2 2 2 3" xfId="27154" xr:uid="{00000000-0005-0000-0000-000055800000}"/>
    <cellStyle name="40 % - Markeringsfarve5 3 5 2 2 2 4" xfId="42118" xr:uid="{00000000-0005-0000-0000-000056800000}"/>
    <cellStyle name="40 % - Markeringsfarve5 3 5 2 2 3" xfId="15041" xr:uid="{00000000-0005-0000-0000-000057800000}"/>
    <cellStyle name="40 % - Markeringsfarve5 3 5 2 2 3 2" xfId="31320" xr:uid="{00000000-0005-0000-0000-000058800000}"/>
    <cellStyle name="40 % - Markeringsfarve5 3 5 2 2 3 3" xfId="46280" xr:uid="{00000000-0005-0000-0000-000059800000}"/>
    <cellStyle name="40 % - Markeringsfarve5 3 5 2 2 4" xfId="24318" xr:uid="{00000000-0005-0000-0000-00005A800000}"/>
    <cellStyle name="40 % - Markeringsfarve5 3 5 2 2 5" xfId="39283" xr:uid="{00000000-0005-0000-0000-00005B800000}"/>
    <cellStyle name="40 % - Markeringsfarve5 3 5 2 3" xfId="8572" xr:uid="{00000000-0005-0000-0000-00005C800000}"/>
    <cellStyle name="40 % - Markeringsfarve5 3 5 2 3 2" xfId="16442" xr:uid="{00000000-0005-0000-0000-00005D800000}"/>
    <cellStyle name="40 % - Markeringsfarve5 3 5 2 3 2 2" xfId="32718" xr:uid="{00000000-0005-0000-0000-00005E800000}"/>
    <cellStyle name="40 % - Markeringsfarve5 3 5 2 3 2 3" xfId="47677" xr:uid="{00000000-0005-0000-0000-00005F800000}"/>
    <cellStyle name="40 % - Markeringsfarve5 3 5 2 3 3" xfId="25716" xr:uid="{00000000-0005-0000-0000-000060800000}"/>
    <cellStyle name="40 % - Markeringsfarve5 3 5 2 3 4" xfId="40680" xr:uid="{00000000-0005-0000-0000-000061800000}"/>
    <cellStyle name="40 % - Markeringsfarve5 3 5 2 4" xfId="15040" xr:uid="{00000000-0005-0000-0000-000062800000}"/>
    <cellStyle name="40 % - Markeringsfarve5 3 5 2 4 2" xfId="31319" xr:uid="{00000000-0005-0000-0000-000063800000}"/>
    <cellStyle name="40 % - Markeringsfarve5 3 5 2 4 3" xfId="46279" xr:uid="{00000000-0005-0000-0000-000064800000}"/>
    <cellStyle name="40 % - Markeringsfarve5 3 5 2 5" xfId="24317" xr:uid="{00000000-0005-0000-0000-000065800000}"/>
    <cellStyle name="40 % - Markeringsfarve5 3 5 2 6" xfId="39282" xr:uid="{00000000-0005-0000-0000-000066800000}"/>
    <cellStyle name="40 % - Markeringsfarve5 3 5 3" xfId="6557" xr:uid="{00000000-0005-0000-0000-000067800000}"/>
    <cellStyle name="40 % - Markeringsfarve5 3 5 3 2" xfId="9256" xr:uid="{00000000-0005-0000-0000-000068800000}"/>
    <cellStyle name="40 % - Markeringsfarve5 3 5 3 2 2" xfId="17120" xr:uid="{00000000-0005-0000-0000-000069800000}"/>
    <cellStyle name="40 % - Markeringsfarve5 3 5 3 2 2 2" xfId="33396" xr:uid="{00000000-0005-0000-0000-00006A800000}"/>
    <cellStyle name="40 % - Markeringsfarve5 3 5 3 2 2 3" xfId="48355" xr:uid="{00000000-0005-0000-0000-00006B800000}"/>
    <cellStyle name="40 % - Markeringsfarve5 3 5 3 2 3" xfId="26394" xr:uid="{00000000-0005-0000-0000-00006C800000}"/>
    <cellStyle name="40 % - Markeringsfarve5 3 5 3 2 4" xfId="41358" xr:uid="{00000000-0005-0000-0000-00006D800000}"/>
    <cellStyle name="40 % - Markeringsfarve5 3 5 3 3" xfId="15042" xr:uid="{00000000-0005-0000-0000-00006E800000}"/>
    <cellStyle name="40 % - Markeringsfarve5 3 5 3 3 2" xfId="31321" xr:uid="{00000000-0005-0000-0000-00006F800000}"/>
    <cellStyle name="40 % - Markeringsfarve5 3 5 3 3 3" xfId="46281" xr:uid="{00000000-0005-0000-0000-000070800000}"/>
    <cellStyle name="40 % - Markeringsfarve5 3 5 3 4" xfId="24319" xr:uid="{00000000-0005-0000-0000-000071800000}"/>
    <cellStyle name="40 % - Markeringsfarve5 3 5 3 5" xfId="39284" xr:uid="{00000000-0005-0000-0000-000072800000}"/>
    <cellStyle name="40 % - Markeringsfarve5 3 5 4" xfId="6558" xr:uid="{00000000-0005-0000-0000-000073800000}"/>
    <cellStyle name="40 % - Markeringsfarve5 3 5 4 2" xfId="9285" xr:uid="{00000000-0005-0000-0000-000074800000}"/>
    <cellStyle name="40 % - Markeringsfarve5 3 5 4 2 2" xfId="17149" xr:uid="{00000000-0005-0000-0000-000075800000}"/>
    <cellStyle name="40 % - Markeringsfarve5 3 5 4 2 2 2" xfId="33425" xr:uid="{00000000-0005-0000-0000-000076800000}"/>
    <cellStyle name="40 % - Markeringsfarve5 3 5 4 2 2 3" xfId="48384" xr:uid="{00000000-0005-0000-0000-000077800000}"/>
    <cellStyle name="40 % - Markeringsfarve5 3 5 4 2 3" xfId="26423" xr:uid="{00000000-0005-0000-0000-000078800000}"/>
    <cellStyle name="40 % - Markeringsfarve5 3 5 4 2 4" xfId="41387" xr:uid="{00000000-0005-0000-0000-000079800000}"/>
    <cellStyle name="40 % - Markeringsfarve5 3 5 4 3" xfId="15043" xr:uid="{00000000-0005-0000-0000-00007A800000}"/>
    <cellStyle name="40 % - Markeringsfarve5 3 5 4 3 2" xfId="31322" xr:uid="{00000000-0005-0000-0000-00007B800000}"/>
    <cellStyle name="40 % - Markeringsfarve5 3 5 4 3 3" xfId="46282" xr:uid="{00000000-0005-0000-0000-00007C800000}"/>
    <cellStyle name="40 % - Markeringsfarve5 3 5 4 4" xfId="24320" xr:uid="{00000000-0005-0000-0000-00007D800000}"/>
    <cellStyle name="40 % - Markeringsfarve5 3 5 4 5" xfId="39285" xr:uid="{00000000-0005-0000-0000-00007E800000}"/>
    <cellStyle name="40 % - Markeringsfarve5 3 5 5" xfId="8219" xr:uid="{00000000-0005-0000-0000-00007F800000}"/>
    <cellStyle name="40 % - Markeringsfarve5 3 5 5 2" xfId="16084" xr:uid="{00000000-0005-0000-0000-000080800000}"/>
    <cellStyle name="40 % - Markeringsfarve5 3 5 5 2 2" xfId="32360" xr:uid="{00000000-0005-0000-0000-000081800000}"/>
    <cellStyle name="40 % - Markeringsfarve5 3 5 5 2 3" xfId="47319" xr:uid="{00000000-0005-0000-0000-000082800000}"/>
    <cellStyle name="40 % - Markeringsfarve5 3 5 5 3" xfId="25358" xr:uid="{00000000-0005-0000-0000-000083800000}"/>
    <cellStyle name="40 % - Markeringsfarve5 3 5 5 4" xfId="40322" xr:uid="{00000000-0005-0000-0000-000084800000}"/>
    <cellStyle name="40 % - Markeringsfarve5 3 5 6" xfId="15039" xr:uid="{00000000-0005-0000-0000-000085800000}"/>
    <cellStyle name="40 % - Markeringsfarve5 3 5 6 2" xfId="31318" xr:uid="{00000000-0005-0000-0000-000086800000}"/>
    <cellStyle name="40 % - Markeringsfarve5 3 5 6 3" xfId="46278" xr:uid="{00000000-0005-0000-0000-000087800000}"/>
    <cellStyle name="40 % - Markeringsfarve5 3 5 7" xfId="24316" xr:uid="{00000000-0005-0000-0000-000088800000}"/>
    <cellStyle name="40 % - Markeringsfarve5 3 5 8" xfId="39281" xr:uid="{00000000-0005-0000-0000-000089800000}"/>
    <cellStyle name="40 % - Markeringsfarve5 3 6" xfId="6559" xr:uid="{00000000-0005-0000-0000-00008A800000}"/>
    <cellStyle name="40 % - Markeringsfarve5 3 6 2" xfId="6560" xr:uid="{00000000-0005-0000-0000-00008B800000}"/>
    <cellStyle name="40 % - Markeringsfarve5 3 6 2 2" xfId="6561" xr:uid="{00000000-0005-0000-0000-00008C800000}"/>
    <cellStyle name="40 % - Markeringsfarve5 3 6 2 2 2" xfId="10074" xr:uid="{00000000-0005-0000-0000-00008D800000}"/>
    <cellStyle name="40 % - Markeringsfarve5 3 6 2 2 2 2" xfId="17929" xr:uid="{00000000-0005-0000-0000-00008E800000}"/>
    <cellStyle name="40 % - Markeringsfarve5 3 6 2 2 2 2 2" xfId="34205" xr:uid="{00000000-0005-0000-0000-00008F800000}"/>
    <cellStyle name="40 % - Markeringsfarve5 3 6 2 2 2 2 3" xfId="49164" xr:uid="{00000000-0005-0000-0000-000090800000}"/>
    <cellStyle name="40 % - Markeringsfarve5 3 6 2 2 2 3" xfId="27203" xr:uid="{00000000-0005-0000-0000-000091800000}"/>
    <cellStyle name="40 % - Markeringsfarve5 3 6 2 2 2 4" xfId="42167" xr:uid="{00000000-0005-0000-0000-000092800000}"/>
    <cellStyle name="40 % - Markeringsfarve5 3 6 2 2 3" xfId="15046" xr:uid="{00000000-0005-0000-0000-000093800000}"/>
    <cellStyle name="40 % - Markeringsfarve5 3 6 2 2 3 2" xfId="31325" xr:uid="{00000000-0005-0000-0000-000094800000}"/>
    <cellStyle name="40 % - Markeringsfarve5 3 6 2 2 3 3" xfId="46285" xr:uid="{00000000-0005-0000-0000-000095800000}"/>
    <cellStyle name="40 % - Markeringsfarve5 3 6 2 2 4" xfId="24323" xr:uid="{00000000-0005-0000-0000-000096800000}"/>
    <cellStyle name="40 % - Markeringsfarve5 3 6 2 2 5" xfId="39288" xr:uid="{00000000-0005-0000-0000-000097800000}"/>
    <cellStyle name="40 % - Markeringsfarve5 3 6 2 3" xfId="8618" xr:uid="{00000000-0005-0000-0000-000098800000}"/>
    <cellStyle name="40 % - Markeringsfarve5 3 6 2 3 2" xfId="16485" xr:uid="{00000000-0005-0000-0000-000099800000}"/>
    <cellStyle name="40 % - Markeringsfarve5 3 6 2 3 2 2" xfId="32761" xr:uid="{00000000-0005-0000-0000-00009A800000}"/>
    <cellStyle name="40 % - Markeringsfarve5 3 6 2 3 2 3" xfId="47720" xr:uid="{00000000-0005-0000-0000-00009B800000}"/>
    <cellStyle name="40 % - Markeringsfarve5 3 6 2 3 3" xfId="25759" xr:uid="{00000000-0005-0000-0000-00009C800000}"/>
    <cellStyle name="40 % - Markeringsfarve5 3 6 2 3 4" xfId="40723" xr:uid="{00000000-0005-0000-0000-00009D800000}"/>
    <cellStyle name="40 % - Markeringsfarve5 3 6 2 4" xfId="15045" xr:uid="{00000000-0005-0000-0000-00009E800000}"/>
    <cellStyle name="40 % - Markeringsfarve5 3 6 2 4 2" xfId="31324" xr:uid="{00000000-0005-0000-0000-00009F800000}"/>
    <cellStyle name="40 % - Markeringsfarve5 3 6 2 4 3" xfId="46284" xr:uid="{00000000-0005-0000-0000-0000A0800000}"/>
    <cellStyle name="40 % - Markeringsfarve5 3 6 2 5" xfId="24322" xr:uid="{00000000-0005-0000-0000-0000A1800000}"/>
    <cellStyle name="40 % - Markeringsfarve5 3 6 2 6" xfId="39287" xr:uid="{00000000-0005-0000-0000-0000A2800000}"/>
    <cellStyle name="40 % - Markeringsfarve5 3 6 3" xfId="6562" xr:uid="{00000000-0005-0000-0000-0000A3800000}"/>
    <cellStyle name="40 % - Markeringsfarve5 3 6 3 2" xfId="9351" xr:uid="{00000000-0005-0000-0000-0000A4800000}"/>
    <cellStyle name="40 % - Markeringsfarve5 3 6 3 2 2" xfId="17214" xr:uid="{00000000-0005-0000-0000-0000A5800000}"/>
    <cellStyle name="40 % - Markeringsfarve5 3 6 3 2 2 2" xfId="33490" xr:uid="{00000000-0005-0000-0000-0000A6800000}"/>
    <cellStyle name="40 % - Markeringsfarve5 3 6 3 2 2 3" xfId="48449" xr:uid="{00000000-0005-0000-0000-0000A7800000}"/>
    <cellStyle name="40 % - Markeringsfarve5 3 6 3 2 3" xfId="26488" xr:uid="{00000000-0005-0000-0000-0000A8800000}"/>
    <cellStyle name="40 % - Markeringsfarve5 3 6 3 2 4" xfId="41452" xr:uid="{00000000-0005-0000-0000-0000A9800000}"/>
    <cellStyle name="40 % - Markeringsfarve5 3 6 3 3" xfId="15047" xr:uid="{00000000-0005-0000-0000-0000AA800000}"/>
    <cellStyle name="40 % - Markeringsfarve5 3 6 3 3 2" xfId="31326" xr:uid="{00000000-0005-0000-0000-0000AB800000}"/>
    <cellStyle name="40 % - Markeringsfarve5 3 6 3 3 3" xfId="46286" xr:uid="{00000000-0005-0000-0000-0000AC800000}"/>
    <cellStyle name="40 % - Markeringsfarve5 3 6 3 4" xfId="24324" xr:uid="{00000000-0005-0000-0000-0000AD800000}"/>
    <cellStyle name="40 % - Markeringsfarve5 3 6 3 5" xfId="39289" xr:uid="{00000000-0005-0000-0000-0000AE800000}"/>
    <cellStyle name="40 % - Markeringsfarve5 3 6 4" xfId="6563" xr:uid="{00000000-0005-0000-0000-0000AF800000}"/>
    <cellStyle name="40 % - Markeringsfarve5 3 6 4 2" xfId="10731" xr:uid="{00000000-0005-0000-0000-0000B0800000}"/>
    <cellStyle name="40 % - Markeringsfarve5 3 6 4 2 2" xfId="18575" xr:uid="{00000000-0005-0000-0000-0000B1800000}"/>
    <cellStyle name="40 % - Markeringsfarve5 3 6 4 2 2 2" xfId="34851" xr:uid="{00000000-0005-0000-0000-0000B2800000}"/>
    <cellStyle name="40 % - Markeringsfarve5 3 6 4 2 2 3" xfId="49810" xr:uid="{00000000-0005-0000-0000-0000B3800000}"/>
    <cellStyle name="40 % - Markeringsfarve5 3 6 4 2 3" xfId="27849" xr:uid="{00000000-0005-0000-0000-0000B4800000}"/>
    <cellStyle name="40 % - Markeringsfarve5 3 6 4 2 4" xfId="42813" xr:uid="{00000000-0005-0000-0000-0000B5800000}"/>
    <cellStyle name="40 % - Markeringsfarve5 3 6 4 3" xfId="15048" xr:uid="{00000000-0005-0000-0000-0000B6800000}"/>
    <cellStyle name="40 % - Markeringsfarve5 3 6 4 3 2" xfId="31327" xr:uid="{00000000-0005-0000-0000-0000B7800000}"/>
    <cellStyle name="40 % - Markeringsfarve5 3 6 4 3 3" xfId="46287" xr:uid="{00000000-0005-0000-0000-0000B8800000}"/>
    <cellStyle name="40 % - Markeringsfarve5 3 6 4 4" xfId="24325" xr:uid="{00000000-0005-0000-0000-0000B9800000}"/>
    <cellStyle name="40 % - Markeringsfarve5 3 6 4 5" xfId="39290" xr:uid="{00000000-0005-0000-0000-0000BA800000}"/>
    <cellStyle name="40 % - Markeringsfarve5 3 6 5" xfId="8220" xr:uid="{00000000-0005-0000-0000-0000BB800000}"/>
    <cellStyle name="40 % - Markeringsfarve5 3 6 5 2" xfId="16085" xr:uid="{00000000-0005-0000-0000-0000BC800000}"/>
    <cellStyle name="40 % - Markeringsfarve5 3 6 5 2 2" xfId="32361" xr:uid="{00000000-0005-0000-0000-0000BD800000}"/>
    <cellStyle name="40 % - Markeringsfarve5 3 6 5 2 3" xfId="47320" xr:uid="{00000000-0005-0000-0000-0000BE800000}"/>
    <cellStyle name="40 % - Markeringsfarve5 3 6 5 3" xfId="25359" xr:uid="{00000000-0005-0000-0000-0000BF800000}"/>
    <cellStyle name="40 % - Markeringsfarve5 3 6 5 4" xfId="40323" xr:uid="{00000000-0005-0000-0000-0000C0800000}"/>
    <cellStyle name="40 % - Markeringsfarve5 3 6 6" xfId="15044" xr:uid="{00000000-0005-0000-0000-0000C1800000}"/>
    <cellStyle name="40 % - Markeringsfarve5 3 6 6 2" xfId="31323" xr:uid="{00000000-0005-0000-0000-0000C2800000}"/>
    <cellStyle name="40 % - Markeringsfarve5 3 6 6 3" xfId="46283" xr:uid="{00000000-0005-0000-0000-0000C3800000}"/>
    <cellStyle name="40 % - Markeringsfarve5 3 6 7" xfId="24321" xr:uid="{00000000-0005-0000-0000-0000C4800000}"/>
    <cellStyle name="40 % - Markeringsfarve5 3 6 8" xfId="39286" xr:uid="{00000000-0005-0000-0000-0000C5800000}"/>
    <cellStyle name="40 % - Markeringsfarve5 3 7" xfId="6564" xr:uid="{00000000-0005-0000-0000-0000C6800000}"/>
    <cellStyle name="40 % - Markeringsfarve5 3 7 2" xfId="6565" xr:uid="{00000000-0005-0000-0000-0000C7800000}"/>
    <cellStyle name="40 % - Markeringsfarve5 3 7 2 2" xfId="6566" xr:uid="{00000000-0005-0000-0000-0000C8800000}"/>
    <cellStyle name="40 % - Markeringsfarve5 3 7 2 2 2" xfId="10191" xr:uid="{00000000-0005-0000-0000-0000C9800000}"/>
    <cellStyle name="40 % - Markeringsfarve5 3 7 2 2 2 2" xfId="18046" xr:uid="{00000000-0005-0000-0000-0000CA800000}"/>
    <cellStyle name="40 % - Markeringsfarve5 3 7 2 2 2 2 2" xfId="34322" xr:uid="{00000000-0005-0000-0000-0000CB800000}"/>
    <cellStyle name="40 % - Markeringsfarve5 3 7 2 2 2 2 3" xfId="49281" xr:uid="{00000000-0005-0000-0000-0000CC800000}"/>
    <cellStyle name="40 % - Markeringsfarve5 3 7 2 2 2 3" xfId="27320" xr:uid="{00000000-0005-0000-0000-0000CD800000}"/>
    <cellStyle name="40 % - Markeringsfarve5 3 7 2 2 2 4" xfId="42284" xr:uid="{00000000-0005-0000-0000-0000CE800000}"/>
    <cellStyle name="40 % - Markeringsfarve5 3 7 2 2 3" xfId="15051" xr:uid="{00000000-0005-0000-0000-0000CF800000}"/>
    <cellStyle name="40 % - Markeringsfarve5 3 7 2 2 3 2" xfId="31330" xr:uid="{00000000-0005-0000-0000-0000D0800000}"/>
    <cellStyle name="40 % - Markeringsfarve5 3 7 2 2 3 3" xfId="46290" xr:uid="{00000000-0005-0000-0000-0000D1800000}"/>
    <cellStyle name="40 % - Markeringsfarve5 3 7 2 2 4" xfId="24328" xr:uid="{00000000-0005-0000-0000-0000D2800000}"/>
    <cellStyle name="40 % - Markeringsfarve5 3 7 2 2 5" xfId="39293" xr:uid="{00000000-0005-0000-0000-0000D3800000}"/>
    <cellStyle name="40 % - Markeringsfarve5 3 7 2 3" xfId="8717" xr:uid="{00000000-0005-0000-0000-0000D4800000}"/>
    <cellStyle name="40 % - Markeringsfarve5 3 7 2 3 2" xfId="16584" xr:uid="{00000000-0005-0000-0000-0000D5800000}"/>
    <cellStyle name="40 % - Markeringsfarve5 3 7 2 3 2 2" xfId="32860" xr:uid="{00000000-0005-0000-0000-0000D6800000}"/>
    <cellStyle name="40 % - Markeringsfarve5 3 7 2 3 2 3" xfId="47819" xr:uid="{00000000-0005-0000-0000-0000D7800000}"/>
    <cellStyle name="40 % - Markeringsfarve5 3 7 2 3 3" xfId="25858" xr:uid="{00000000-0005-0000-0000-0000D8800000}"/>
    <cellStyle name="40 % - Markeringsfarve5 3 7 2 3 4" xfId="40822" xr:uid="{00000000-0005-0000-0000-0000D9800000}"/>
    <cellStyle name="40 % - Markeringsfarve5 3 7 2 4" xfId="15050" xr:uid="{00000000-0005-0000-0000-0000DA800000}"/>
    <cellStyle name="40 % - Markeringsfarve5 3 7 2 4 2" xfId="31329" xr:uid="{00000000-0005-0000-0000-0000DB800000}"/>
    <cellStyle name="40 % - Markeringsfarve5 3 7 2 4 3" xfId="46289" xr:uid="{00000000-0005-0000-0000-0000DC800000}"/>
    <cellStyle name="40 % - Markeringsfarve5 3 7 2 5" xfId="24327" xr:uid="{00000000-0005-0000-0000-0000DD800000}"/>
    <cellStyle name="40 % - Markeringsfarve5 3 7 2 6" xfId="39292" xr:uid="{00000000-0005-0000-0000-0000DE800000}"/>
    <cellStyle name="40 % - Markeringsfarve5 3 7 3" xfId="6567" xr:uid="{00000000-0005-0000-0000-0000DF800000}"/>
    <cellStyle name="40 % - Markeringsfarve5 3 7 3 2" xfId="9468" xr:uid="{00000000-0005-0000-0000-0000E0800000}"/>
    <cellStyle name="40 % - Markeringsfarve5 3 7 3 2 2" xfId="17331" xr:uid="{00000000-0005-0000-0000-0000E1800000}"/>
    <cellStyle name="40 % - Markeringsfarve5 3 7 3 2 2 2" xfId="33607" xr:uid="{00000000-0005-0000-0000-0000E2800000}"/>
    <cellStyle name="40 % - Markeringsfarve5 3 7 3 2 2 3" xfId="48566" xr:uid="{00000000-0005-0000-0000-0000E3800000}"/>
    <cellStyle name="40 % - Markeringsfarve5 3 7 3 2 3" xfId="26605" xr:uid="{00000000-0005-0000-0000-0000E4800000}"/>
    <cellStyle name="40 % - Markeringsfarve5 3 7 3 2 4" xfId="41569" xr:uid="{00000000-0005-0000-0000-0000E5800000}"/>
    <cellStyle name="40 % - Markeringsfarve5 3 7 3 3" xfId="15052" xr:uid="{00000000-0005-0000-0000-0000E6800000}"/>
    <cellStyle name="40 % - Markeringsfarve5 3 7 3 3 2" xfId="31331" xr:uid="{00000000-0005-0000-0000-0000E7800000}"/>
    <cellStyle name="40 % - Markeringsfarve5 3 7 3 3 3" xfId="46291" xr:uid="{00000000-0005-0000-0000-0000E8800000}"/>
    <cellStyle name="40 % - Markeringsfarve5 3 7 3 4" xfId="24329" xr:uid="{00000000-0005-0000-0000-0000E9800000}"/>
    <cellStyle name="40 % - Markeringsfarve5 3 7 3 5" xfId="39294" xr:uid="{00000000-0005-0000-0000-0000EA800000}"/>
    <cellStyle name="40 % - Markeringsfarve5 3 7 4" xfId="6568" xr:uid="{00000000-0005-0000-0000-0000EB800000}"/>
    <cellStyle name="40 % - Markeringsfarve5 3 7 4 2" xfId="10966" xr:uid="{00000000-0005-0000-0000-0000EC800000}"/>
    <cellStyle name="40 % - Markeringsfarve5 3 7 4 2 2" xfId="18797" xr:uid="{00000000-0005-0000-0000-0000ED800000}"/>
    <cellStyle name="40 % - Markeringsfarve5 3 7 4 2 2 2" xfId="35073" xr:uid="{00000000-0005-0000-0000-0000EE800000}"/>
    <cellStyle name="40 % - Markeringsfarve5 3 7 4 2 2 3" xfId="50032" xr:uid="{00000000-0005-0000-0000-0000EF800000}"/>
    <cellStyle name="40 % - Markeringsfarve5 3 7 4 2 3" xfId="28071" xr:uid="{00000000-0005-0000-0000-0000F0800000}"/>
    <cellStyle name="40 % - Markeringsfarve5 3 7 4 2 4" xfId="43035" xr:uid="{00000000-0005-0000-0000-0000F1800000}"/>
    <cellStyle name="40 % - Markeringsfarve5 3 7 4 3" xfId="15053" xr:uid="{00000000-0005-0000-0000-0000F2800000}"/>
    <cellStyle name="40 % - Markeringsfarve5 3 7 4 3 2" xfId="31332" xr:uid="{00000000-0005-0000-0000-0000F3800000}"/>
    <cellStyle name="40 % - Markeringsfarve5 3 7 4 3 3" xfId="46292" xr:uid="{00000000-0005-0000-0000-0000F4800000}"/>
    <cellStyle name="40 % - Markeringsfarve5 3 7 4 4" xfId="24330" xr:uid="{00000000-0005-0000-0000-0000F5800000}"/>
    <cellStyle name="40 % - Markeringsfarve5 3 7 4 5" xfId="39295" xr:uid="{00000000-0005-0000-0000-0000F6800000}"/>
    <cellStyle name="40 % - Markeringsfarve5 3 7 5" xfId="8221" xr:uid="{00000000-0005-0000-0000-0000F7800000}"/>
    <cellStyle name="40 % - Markeringsfarve5 3 7 5 2" xfId="16086" xr:uid="{00000000-0005-0000-0000-0000F8800000}"/>
    <cellStyle name="40 % - Markeringsfarve5 3 7 5 2 2" xfId="32362" xr:uid="{00000000-0005-0000-0000-0000F9800000}"/>
    <cellStyle name="40 % - Markeringsfarve5 3 7 5 2 3" xfId="47321" xr:uid="{00000000-0005-0000-0000-0000FA800000}"/>
    <cellStyle name="40 % - Markeringsfarve5 3 7 5 3" xfId="25360" xr:uid="{00000000-0005-0000-0000-0000FB800000}"/>
    <cellStyle name="40 % - Markeringsfarve5 3 7 5 4" xfId="40324" xr:uid="{00000000-0005-0000-0000-0000FC800000}"/>
    <cellStyle name="40 % - Markeringsfarve5 3 7 6" xfId="15049" xr:uid="{00000000-0005-0000-0000-0000FD800000}"/>
    <cellStyle name="40 % - Markeringsfarve5 3 7 6 2" xfId="31328" xr:uid="{00000000-0005-0000-0000-0000FE800000}"/>
    <cellStyle name="40 % - Markeringsfarve5 3 7 6 3" xfId="46288" xr:uid="{00000000-0005-0000-0000-0000FF800000}"/>
    <cellStyle name="40 % - Markeringsfarve5 3 7 7" xfId="24326" xr:uid="{00000000-0005-0000-0000-000000810000}"/>
    <cellStyle name="40 % - Markeringsfarve5 3 7 8" xfId="39291" xr:uid="{00000000-0005-0000-0000-000001810000}"/>
    <cellStyle name="40 % - Markeringsfarve5 3 8" xfId="6569" xr:uid="{00000000-0005-0000-0000-000002810000}"/>
    <cellStyle name="40 % - Markeringsfarve5 3 8 2" xfId="6570" xr:uid="{00000000-0005-0000-0000-000003810000}"/>
    <cellStyle name="40 % - Markeringsfarve5 3 8 2 2" xfId="6571" xr:uid="{00000000-0005-0000-0000-000004810000}"/>
    <cellStyle name="40 % - Markeringsfarve5 3 8 2 2 2" xfId="10379" xr:uid="{00000000-0005-0000-0000-000005810000}"/>
    <cellStyle name="40 % - Markeringsfarve5 3 8 2 2 2 2" xfId="18234" xr:uid="{00000000-0005-0000-0000-000006810000}"/>
    <cellStyle name="40 % - Markeringsfarve5 3 8 2 2 2 2 2" xfId="34510" xr:uid="{00000000-0005-0000-0000-000007810000}"/>
    <cellStyle name="40 % - Markeringsfarve5 3 8 2 2 2 2 3" xfId="49469" xr:uid="{00000000-0005-0000-0000-000008810000}"/>
    <cellStyle name="40 % - Markeringsfarve5 3 8 2 2 2 3" xfId="27508" xr:uid="{00000000-0005-0000-0000-000009810000}"/>
    <cellStyle name="40 % - Markeringsfarve5 3 8 2 2 2 4" xfId="42472" xr:uid="{00000000-0005-0000-0000-00000A810000}"/>
    <cellStyle name="40 % - Markeringsfarve5 3 8 2 2 3" xfId="15056" xr:uid="{00000000-0005-0000-0000-00000B810000}"/>
    <cellStyle name="40 % - Markeringsfarve5 3 8 2 2 3 2" xfId="31335" xr:uid="{00000000-0005-0000-0000-00000C810000}"/>
    <cellStyle name="40 % - Markeringsfarve5 3 8 2 2 3 3" xfId="46295" xr:uid="{00000000-0005-0000-0000-00000D810000}"/>
    <cellStyle name="40 % - Markeringsfarve5 3 8 2 2 4" xfId="24333" xr:uid="{00000000-0005-0000-0000-00000E810000}"/>
    <cellStyle name="40 % - Markeringsfarve5 3 8 2 2 5" xfId="39298" xr:uid="{00000000-0005-0000-0000-00000F810000}"/>
    <cellStyle name="40 % - Markeringsfarve5 3 8 2 3" xfId="8873" xr:uid="{00000000-0005-0000-0000-000010810000}"/>
    <cellStyle name="40 % - Markeringsfarve5 3 8 2 3 2" xfId="16740" xr:uid="{00000000-0005-0000-0000-000011810000}"/>
    <cellStyle name="40 % - Markeringsfarve5 3 8 2 3 2 2" xfId="33016" xr:uid="{00000000-0005-0000-0000-000012810000}"/>
    <cellStyle name="40 % - Markeringsfarve5 3 8 2 3 2 3" xfId="47975" xr:uid="{00000000-0005-0000-0000-000013810000}"/>
    <cellStyle name="40 % - Markeringsfarve5 3 8 2 3 3" xfId="26014" xr:uid="{00000000-0005-0000-0000-000014810000}"/>
    <cellStyle name="40 % - Markeringsfarve5 3 8 2 3 4" xfId="40978" xr:uid="{00000000-0005-0000-0000-000015810000}"/>
    <cellStyle name="40 % - Markeringsfarve5 3 8 2 4" xfId="15055" xr:uid="{00000000-0005-0000-0000-000016810000}"/>
    <cellStyle name="40 % - Markeringsfarve5 3 8 2 4 2" xfId="31334" xr:uid="{00000000-0005-0000-0000-000017810000}"/>
    <cellStyle name="40 % - Markeringsfarve5 3 8 2 4 3" xfId="46294" xr:uid="{00000000-0005-0000-0000-000018810000}"/>
    <cellStyle name="40 % - Markeringsfarve5 3 8 2 5" xfId="24332" xr:uid="{00000000-0005-0000-0000-000019810000}"/>
    <cellStyle name="40 % - Markeringsfarve5 3 8 2 6" xfId="39297" xr:uid="{00000000-0005-0000-0000-00001A810000}"/>
    <cellStyle name="40 % - Markeringsfarve5 3 8 3" xfId="6572" xr:uid="{00000000-0005-0000-0000-00001B810000}"/>
    <cellStyle name="40 % - Markeringsfarve5 3 8 3 2" xfId="9657" xr:uid="{00000000-0005-0000-0000-00001C810000}"/>
    <cellStyle name="40 % - Markeringsfarve5 3 8 3 2 2" xfId="17520" xr:uid="{00000000-0005-0000-0000-00001D810000}"/>
    <cellStyle name="40 % - Markeringsfarve5 3 8 3 2 2 2" xfId="33796" xr:uid="{00000000-0005-0000-0000-00001E810000}"/>
    <cellStyle name="40 % - Markeringsfarve5 3 8 3 2 2 3" xfId="48755" xr:uid="{00000000-0005-0000-0000-00001F810000}"/>
    <cellStyle name="40 % - Markeringsfarve5 3 8 3 2 3" xfId="26794" xr:uid="{00000000-0005-0000-0000-000020810000}"/>
    <cellStyle name="40 % - Markeringsfarve5 3 8 3 2 4" xfId="41758" xr:uid="{00000000-0005-0000-0000-000021810000}"/>
    <cellStyle name="40 % - Markeringsfarve5 3 8 3 3" xfId="15057" xr:uid="{00000000-0005-0000-0000-000022810000}"/>
    <cellStyle name="40 % - Markeringsfarve5 3 8 3 3 2" xfId="31336" xr:uid="{00000000-0005-0000-0000-000023810000}"/>
    <cellStyle name="40 % - Markeringsfarve5 3 8 3 3 3" xfId="46296" xr:uid="{00000000-0005-0000-0000-000024810000}"/>
    <cellStyle name="40 % - Markeringsfarve5 3 8 3 4" xfId="24334" xr:uid="{00000000-0005-0000-0000-000025810000}"/>
    <cellStyle name="40 % - Markeringsfarve5 3 8 3 5" xfId="39299" xr:uid="{00000000-0005-0000-0000-000026810000}"/>
    <cellStyle name="40 % - Markeringsfarve5 3 8 4" xfId="6573" xr:uid="{00000000-0005-0000-0000-000027810000}"/>
    <cellStyle name="40 % - Markeringsfarve5 3 8 4 2" xfId="10686" xr:uid="{00000000-0005-0000-0000-000028810000}"/>
    <cellStyle name="40 % - Markeringsfarve5 3 8 4 2 2" xfId="18530" xr:uid="{00000000-0005-0000-0000-000029810000}"/>
    <cellStyle name="40 % - Markeringsfarve5 3 8 4 2 2 2" xfId="34806" xr:uid="{00000000-0005-0000-0000-00002A810000}"/>
    <cellStyle name="40 % - Markeringsfarve5 3 8 4 2 2 3" xfId="49765" xr:uid="{00000000-0005-0000-0000-00002B810000}"/>
    <cellStyle name="40 % - Markeringsfarve5 3 8 4 2 3" xfId="27804" xr:uid="{00000000-0005-0000-0000-00002C810000}"/>
    <cellStyle name="40 % - Markeringsfarve5 3 8 4 2 4" xfId="42768" xr:uid="{00000000-0005-0000-0000-00002D810000}"/>
    <cellStyle name="40 % - Markeringsfarve5 3 8 4 3" xfId="15058" xr:uid="{00000000-0005-0000-0000-00002E810000}"/>
    <cellStyle name="40 % - Markeringsfarve5 3 8 4 3 2" xfId="31337" xr:uid="{00000000-0005-0000-0000-00002F810000}"/>
    <cellStyle name="40 % - Markeringsfarve5 3 8 4 3 3" xfId="46297" xr:uid="{00000000-0005-0000-0000-000030810000}"/>
    <cellStyle name="40 % - Markeringsfarve5 3 8 4 4" xfId="24335" xr:uid="{00000000-0005-0000-0000-000031810000}"/>
    <cellStyle name="40 % - Markeringsfarve5 3 8 4 5" xfId="39300" xr:uid="{00000000-0005-0000-0000-000032810000}"/>
    <cellStyle name="40 % - Markeringsfarve5 3 8 5" xfId="8222" xr:uid="{00000000-0005-0000-0000-000033810000}"/>
    <cellStyle name="40 % - Markeringsfarve5 3 8 5 2" xfId="16087" xr:uid="{00000000-0005-0000-0000-000034810000}"/>
    <cellStyle name="40 % - Markeringsfarve5 3 8 5 2 2" xfId="32363" xr:uid="{00000000-0005-0000-0000-000035810000}"/>
    <cellStyle name="40 % - Markeringsfarve5 3 8 5 2 3" xfId="47322" xr:uid="{00000000-0005-0000-0000-000036810000}"/>
    <cellStyle name="40 % - Markeringsfarve5 3 8 5 3" xfId="25361" xr:uid="{00000000-0005-0000-0000-000037810000}"/>
    <cellStyle name="40 % - Markeringsfarve5 3 8 5 4" xfId="40325" xr:uid="{00000000-0005-0000-0000-000038810000}"/>
    <cellStyle name="40 % - Markeringsfarve5 3 8 6" xfId="15054" xr:uid="{00000000-0005-0000-0000-000039810000}"/>
    <cellStyle name="40 % - Markeringsfarve5 3 8 6 2" xfId="31333" xr:uid="{00000000-0005-0000-0000-00003A810000}"/>
    <cellStyle name="40 % - Markeringsfarve5 3 8 6 3" xfId="46293" xr:uid="{00000000-0005-0000-0000-00003B810000}"/>
    <cellStyle name="40 % - Markeringsfarve5 3 8 7" xfId="24331" xr:uid="{00000000-0005-0000-0000-00003C810000}"/>
    <cellStyle name="40 % - Markeringsfarve5 3 8 8" xfId="39296" xr:uid="{00000000-0005-0000-0000-00003D810000}"/>
    <cellStyle name="40 % - Markeringsfarve5 3 9" xfId="6574" xr:uid="{00000000-0005-0000-0000-00003E810000}"/>
    <cellStyle name="40 % - Markeringsfarve5 3 9 2" xfId="6575" xr:uid="{00000000-0005-0000-0000-00003F810000}"/>
    <cellStyle name="40 % - Markeringsfarve5 3 9 2 2" xfId="9718" xr:uid="{00000000-0005-0000-0000-000040810000}"/>
    <cellStyle name="40 % - Markeringsfarve5 3 9 2 2 2" xfId="17572" xr:uid="{00000000-0005-0000-0000-000041810000}"/>
    <cellStyle name="40 % - Markeringsfarve5 3 9 2 2 2 2" xfId="33848" xr:uid="{00000000-0005-0000-0000-000042810000}"/>
    <cellStyle name="40 % - Markeringsfarve5 3 9 2 2 2 3" xfId="48807" xr:uid="{00000000-0005-0000-0000-000043810000}"/>
    <cellStyle name="40 % - Markeringsfarve5 3 9 2 2 3" xfId="26846" xr:uid="{00000000-0005-0000-0000-000044810000}"/>
    <cellStyle name="40 % - Markeringsfarve5 3 9 2 2 4" xfId="41810" xr:uid="{00000000-0005-0000-0000-000045810000}"/>
    <cellStyle name="40 % - Markeringsfarve5 3 9 2 3" xfId="15060" xr:uid="{00000000-0005-0000-0000-000046810000}"/>
    <cellStyle name="40 % - Markeringsfarve5 3 9 2 3 2" xfId="31339" xr:uid="{00000000-0005-0000-0000-000047810000}"/>
    <cellStyle name="40 % - Markeringsfarve5 3 9 2 3 3" xfId="46299" xr:uid="{00000000-0005-0000-0000-000048810000}"/>
    <cellStyle name="40 % - Markeringsfarve5 3 9 2 4" xfId="24337" xr:uid="{00000000-0005-0000-0000-000049810000}"/>
    <cellStyle name="40 % - Markeringsfarve5 3 9 2 5" xfId="39302" xr:uid="{00000000-0005-0000-0000-00004A810000}"/>
    <cellStyle name="40 % - Markeringsfarve5 3 9 3" xfId="8317" xr:uid="{00000000-0005-0000-0000-00004B810000}"/>
    <cellStyle name="40 % - Markeringsfarve5 3 9 3 2" xfId="16187" xr:uid="{00000000-0005-0000-0000-00004C810000}"/>
    <cellStyle name="40 % - Markeringsfarve5 3 9 3 2 2" xfId="32463" xr:uid="{00000000-0005-0000-0000-00004D810000}"/>
    <cellStyle name="40 % - Markeringsfarve5 3 9 3 2 3" xfId="47422" xr:uid="{00000000-0005-0000-0000-00004E810000}"/>
    <cellStyle name="40 % - Markeringsfarve5 3 9 3 3" xfId="25461" xr:uid="{00000000-0005-0000-0000-00004F810000}"/>
    <cellStyle name="40 % - Markeringsfarve5 3 9 3 4" xfId="40425" xr:uid="{00000000-0005-0000-0000-000050810000}"/>
    <cellStyle name="40 % - Markeringsfarve5 3 9 4" xfId="15059" xr:uid="{00000000-0005-0000-0000-000051810000}"/>
    <cellStyle name="40 % - Markeringsfarve5 3 9 4 2" xfId="31338" xr:uid="{00000000-0005-0000-0000-000052810000}"/>
    <cellStyle name="40 % - Markeringsfarve5 3 9 4 3" xfId="46298" xr:uid="{00000000-0005-0000-0000-000053810000}"/>
    <cellStyle name="40 % - Markeringsfarve5 3 9 5" xfId="24336" xr:uid="{00000000-0005-0000-0000-000054810000}"/>
    <cellStyle name="40 % - Markeringsfarve5 3 9 6" xfId="39301" xr:uid="{00000000-0005-0000-0000-000055810000}"/>
    <cellStyle name="40 % - Markeringsfarve5 4" xfId="6576" xr:uid="{00000000-0005-0000-0000-000056810000}"/>
    <cellStyle name="40 % - Markeringsfarve5 4 10" xfId="8223" xr:uid="{00000000-0005-0000-0000-000057810000}"/>
    <cellStyle name="40 % - Markeringsfarve5 4 10 2" xfId="16088" xr:uid="{00000000-0005-0000-0000-000058810000}"/>
    <cellStyle name="40 % - Markeringsfarve5 4 10 2 2" xfId="32364" xr:uid="{00000000-0005-0000-0000-000059810000}"/>
    <cellStyle name="40 % - Markeringsfarve5 4 10 2 3" xfId="47323" xr:uid="{00000000-0005-0000-0000-00005A810000}"/>
    <cellStyle name="40 % - Markeringsfarve5 4 10 3" xfId="25362" xr:uid="{00000000-0005-0000-0000-00005B810000}"/>
    <cellStyle name="40 % - Markeringsfarve5 4 10 4" xfId="40326" xr:uid="{00000000-0005-0000-0000-00005C810000}"/>
    <cellStyle name="40 % - Markeringsfarve5 4 11" xfId="15061" xr:uid="{00000000-0005-0000-0000-00005D810000}"/>
    <cellStyle name="40 % - Markeringsfarve5 4 11 2" xfId="31340" xr:uid="{00000000-0005-0000-0000-00005E810000}"/>
    <cellStyle name="40 % - Markeringsfarve5 4 11 3" xfId="46300" xr:uid="{00000000-0005-0000-0000-00005F810000}"/>
    <cellStyle name="40 % - Markeringsfarve5 4 12" xfId="24338" xr:uid="{00000000-0005-0000-0000-000060810000}"/>
    <cellStyle name="40 % - Markeringsfarve5 4 13" xfId="39303" xr:uid="{00000000-0005-0000-0000-000061810000}"/>
    <cellStyle name="40 % - Markeringsfarve5 4 2" xfId="6577" xr:uid="{00000000-0005-0000-0000-000062810000}"/>
    <cellStyle name="40 % - Markeringsfarve5 4 2 2" xfId="6578" xr:uid="{00000000-0005-0000-0000-000063810000}"/>
    <cellStyle name="40 % - Markeringsfarve5 4 2 2 2" xfId="6579" xr:uid="{00000000-0005-0000-0000-000064810000}"/>
    <cellStyle name="40 % - Markeringsfarve5 4 2 2 2 2" xfId="9861" xr:uid="{00000000-0005-0000-0000-000065810000}"/>
    <cellStyle name="40 % - Markeringsfarve5 4 2 2 2 2 2" xfId="17716" xr:uid="{00000000-0005-0000-0000-000066810000}"/>
    <cellStyle name="40 % - Markeringsfarve5 4 2 2 2 2 2 2" xfId="33992" xr:uid="{00000000-0005-0000-0000-000067810000}"/>
    <cellStyle name="40 % - Markeringsfarve5 4 2 2 2 2 2 3" xfId="48951" xr:uid="{00000000-0005-0000-0000-000068810000}"/>
    <cellStyle name="40 % - Markeringsfarve5 4 2 2 2 2 3" xfId="26990" xr:uid="{00000000-0005-0000-0000-000069810000}"/>
    <cellStyle name="40 % - Markeringsfarve5 4 2 2 2 2 4" xfId="41954" xr:uid="{00000000-0005-0000-0000-00006A810000}"/>
    <cellStyle name="40 % - Markeringsfarve5 4 2 2 2 3" xfId="15064" xr:uid="{00000000-0005-0000-0000-00006B810000}"/>
    <cellStyle name="40 % - Markeringsfarve5 4 2 2 2 3 2" xfId="31343" xr:uid="{00000000-0005-0000-0000-00006C810000}"/>
    <cellStyle name="40 % - Markeringsfarve5 4 2 2 2 3 3" xfId="46303" xr:uid="{00000000-0005-0000-0000-00006D810000}"/>
    <cellStyle name="40 % - Markeringsfarve5 4 2 2 2 4" xfId="24341" xr:uid="{00000000-0005-0000-0000-00006E810000}"/>
    <cellStyle name="40 % - Markeringsfarve5 4 2 2 2 5" xfId="39306" xr:uid="{00000000-0005-0000-0000-00006F810000}"/>
    <cellStyle name="40 % - Markeringsfarve5 4 2 2 3" xfId="8437" xr:uid="{00000000-0005-0000-0000-000070810000}"/>
    <cellStyle name="40 % - Markeringsfarve5 4 2 2 3 2" xfId="16307" xr:uid="{00000000-0005-0000-0000-000071810000}"/>
    <cellStyle name="40 % - Markeringsfarve5 4 2 2 3 2 2" xfId="32583" xr:uid="{00000000-0005-0000-0000-000072810000}"/>
    <cellStyle name="40 % - Markeringsfarve5 4 2 2 3 2 3" xfId="47542" xr:uid="{00000000-0005-0000-0000-000073810000}"/>
    <cellStyle name="40 % - Markeringsfarve5 4 2 2 3 3" xfId="25581" xr:uid="{00000000-0005-0000-0000-000074810000}"/>
    <cellStyle name="40 % - Markeringsfarve5 4 2 2 3 4" xfId="40545" xr:uid="{00000000-0005-0000-0000-000075810000}"/>
    <cellStyle name="40 % - Markeringsfarve5 4 2 2 4" xfId="15063" xr:uid="{00000000-0005-0000-0000-000076810000}"/>
    <cellStyle name="40 % - Markeringsfarve5 4 2 2 4 2" xfId="31342" xr:uid="{00000000-0005-0000-0000-000077810000}"/>
    <cellStyle name="40 % - Markeringsfarve5 4 2 2 4 3" xfId="46302" xr:uid="{00000000-0005-0000-0000-000078810000}"/>
    <cellStyle name="40 % - Markeringsfarve5 4 2 2 5" xfId="24340" xr:uid="{00000000-0005-0000-0000-000079810000}"/>
    <cellStyle name="40 % - Markeringsfarve5 4 2 2 6" xfId="39305" xr:uid="{00000000-0005-0000-0000-00007A810000}"/>
    <cellStyle name="40 % - Markeringsfarve5 4 2 3" xfId="6580" xr:uid="{00000000-0005-0000-0000-00007B810000}"/>
    <cellStyle name="40 % - Markeringsfarve5 4 2 3 2" xfId="9092" xr:uid="{00000000-0005-0000-0000-00007C810000}"/>
    <cellStyle name="40 % - Markeringsfarve5 4 2 3 2 2" xfId="16956" xr:uid="{00000000-0005-0000-0000-00007D810000}"/>
    <cellStyle name="40 % - Markeringsfarve5 4 2 3 2 2 2" xfId="33232" xr:uid="{00000000-0005-0000-0000-00007E810000}"/>
    <cellStyle name="40 % - Markeringsfarve5 4 2 3 2 2 3" xfId="48191" xr:uid="{00000000-0005-0000-0000-00007F810000}"/>
    <cellStyle name="40 % - Markeringsfarve5 4 2 3 2 3" xfId="26230" xr:uid="{00000000-0005-0000-0000-000080810000}"/>
    <cellStyle name="40 % - Markeringsfarve5 4 2 3 2 4" xfId="41194" xr:uid="{00000000-0005-0000-0000-000081810000}"/>
    <cellStyle name="40 % - Markeringsfarve5 4 2 3 3" xfId="15065" xr:uid="{00000000-0005-0000-0000-000082810000}"/>
    <cellStyle name="40 % - Markeringsfarve5 4 2 3 3 2" xfId="31344" xr:uid="{00000000-0005-0000-0000-000083810000}"/>
    <cellStyle name="40 % - Markeringsfarve5 4 2 3 3 3" xfId="46304" xr:uid="{00000000-0005-0000-0000-000084810000}"/>
    <cellStyle name="40 % - Markeringsfarve5 4 2 3 4" xfId="24342" xr:uid="{00000000-0005-0000-0000-000085810000}"/>
    <cellStyle name="40 % - Markeringsfarve5 4 2 3 5" xfId="39307" xr:uid="{00000000-0005-0000-0000-000086810000}"/>
    <cellStyle name="40 % - Markeringsfarve5 4 2 4" xfId="6581" xr:uid="{00000000-0005-0000-0000-000087810000}"/>
    <cellStyle name="40 % - Markeringsfarve5 4 2 4 2" xfId="10959" xr:uid="{00000000-0005-0000-0000-000088810000}"/>
    <cellStyle name="40 % - Markeringsfarve5 4 2 4 2 2" xfId="18790" xr:uid="{00000000-0005-0000-0000-000089810000}"/>
    <cellStyle name="40 % - Markeringsfarve5 4 2 4 2 2 2" xfId="35066" xr:uid="{00000000-0005-0000-0000-00008A810000}"/>
    <cellStyle name="40 % - Markeringsfarve5 4 2 4 2 2 3" xfId="50025" xr:uid="{00000000-0005-0000-0000-00008B810000}"/>
    <cellStyle name="40 % - Markeringsfarve5 4 2 4 2 3" xfId="28064" xr:uid="{00000000-0005-0000-0000-00008C810000}"/>
    <cellStyle name="40 % - Markeringsfarve5 4 2 4 2 4" xfId="43028" xr:uid="{00000000-0005-0000-0000-00008D810000}"/>
    <cellStyle name="40 % - Markeringsfarve5 4 2 4 3" xfId="15066" xr:uid="{00000000-0005-0000-0000-00008E810000}"/>
    <cellStyle name="40 % - Markeringsfarve5 4 2 4 3 2" xfId="31345" xr:uid="{00000000-0005-0000-0000-00008F810000}"/>
    <cellStyle name="40 % - Markeringsfarve5 4 2 4 3 3" xfId="46305" xr:uid="{00000000-0005-0000-0000-000090810000}"/>
    <cellStyle name="40 % - Markeringsfarve5 4 2 4 4" xfId="24343" xr:uid="{00000000-0005-0000-0000-000091810000}"/>
    <cellStyle name="40 % - Markeringsfarve5 4 2 4 5" xfId="39308" xr:uid="{00000000-0005-0000-0000-000092810000}"/>
    <cellStyle name="40 % - Markeringsfarve5 4 2 5" xfId="8224" xr:uid="{00000000-0005-0000-0000-000093810000}"/>
    <cellStyle name="40 % - Markeringsfarve5 4 2 5 2" xfId="16089" xr:uid="{00000000-0005-0000-0000-000094810000}"/>
    <cellStyle name="40 % - Markeringsfarve5 4 2 5 2 2" xfId="32365" xr:uid="{00000000-0005-0000-0000-000095810000}"/>
    <cellStyle name="40 % - Markeringsfarve5 4 2 5 2 3" xfId="47324" xr:uid="{00000000-0005-0000-0000-000096810000}"/>
    <cellStyle name="40 % - Markeringsfarve5 4 2 5 3" xfId="25363" xr:uid="{00000000-0005-0000-0000-000097810000}"/>
    <cellStyle name="40 % - Markeringsfarve5 4 2 5 4" xfId="40327" xr:uid="{00000000-0005-0000-0000-000098810000}"/>
    <cellStyle name="40 % - Markeringsfarve5 4 2 6" xfId="15062" xr:uid="{00000000-0005-0000-0000-000099810000}"/>
    <cellStyle name="40 % - Markeringsfarve5 4 2 6 2" xfId="31341" xr:uid="{00000000-0005-0000-0000-00009A810000}"/>
    <cellStyle name="40 % - Markeringsfarve5 4 2 6 3" xfId="46301" xr:uid="{00000000-0005-0000-0000-00009B810000}"/>
    <cellStyle name="40 % - Markeringsfarve5 4 2 7" xfId="24339" xr:uid="{00000000-0005-0000-0000-00009C810000}"/>
    <cellStyle name="40 % - Markeringsfarve5 4 2 8" xfId="39304" xr:uid="{00000000-0005-0000-0000-00009D810000}"/>
    <cellStyle name="40 % - Markeringsfarve5 4 3" xfId="6582" xr:uid="{00000000-0005-0000-0000-00009E810000}"/>
    <cellStyle name="40 % - Markeringsfarve5 4 3 2" xfId="6583" xr:uid="{00000000-0005-0000-0000-00009F810000}"/>
    <cellStyle name="40 % - Markeringsfarve5 4 3 2 2" xfId="6584" xr:uid="{00000000-0005-0000-0000-0000A0810000}"/>
    <cellStyle name="40 % - Markeringsfarve5 4 3 2 2 2" xfId="10028" xr:uid="{00000000-0005-0000-0000-0000A1810000}"/>
    <cellStyle name="40 % - Markeringsfarve5 4 3 2 2 2 2" xfId="17883" xr:uid="{00000000-0005-0000-0000-0000A2810000}"/>
    <cellStyle name="40 % - Markeringsfarve5 4 3 2 2 2 2 2" xfId="34159" xr:uid="{00000000-0005-0000-0000-0000A3810000}"/>
    <cellStyle name="40 % - Markeringsfarve5 4 3 2 2 2 2 3" xfId="49118" xr:uid="{00000000-0005-0000-0000-0000A4810000}"/>
    <cellStyle name="40 % - Markeringsfarve5 4 3 2 2 2 3" xfId="27157" xr:uid="{00000000-0005-0000-0000-0000A5810000}"/>
    <cellStyle name="40 % - Markeringsfarve5 4 3 2 2 2 4" xfId="42121" xr:uid="{00000000-0005-0000-0000-0000A6810000}"/>
    <cellStyle name="40 % - Markeringsfarve5 4 3 2 2 3" xfId="15069" xr:uid="{00000000-0005-0000-0000-0000A7810000}"/>
    <cellStyle name="40 % - Markeringsfarve5 4 3 2 2 3 2" xfId="31348" xr:uid="{00000000-0005-0000-0000-0000A8810000}"/>
    <cellStyle name="40 % - Markeringsfarve5 4 3 2 2 3 3" xfId="46308" xr:uid="{00000000-0005-0000-0000-0000A9810000}"/>
    <cellStyle name="40 % - Markeringsfarve5 4 3 2 2 4" xfId="24346" xr:uid="{00000000-0005-0000-0000-0000AA810000}"/>
    <cellStyle name="40 % - Markeringsfarve5 4 3 2 2 5" xfId="39311" xr:uid="{00000000-0005-0000-0000-0000AB810000}"/>
    <cellStyle name="40 % - Markeringsfarve5 4 3 2 3" xfId="8575" xr:uid="{00000000-0005-0000-0000-0000AC810000}"/>
    <cellStyle name="40 % - Markeringsfarve5 4 3 2 3 2" xfId="16445" xr:uid="{00000000-0005-0000-0000-0000AD810000}"/>
    <cellStyle name="40 % - Markeringsfarve5 4 3 2 3 2 2" xfId="32721" xr:uid="{00000000-0005-0000-0000-0000AE810000}"/>
    <cellStyle name="40 % - Markeringsfarve5 4 3 2 3 2 3" xfId="47680" xr:uid="{00000000-0005-0000-0000-0000AF810000}"/>
    <cellStyle name="40 % - Markeringsfarve5 4 3 2 3 3" xfId="25719" xr:uid="{00000000-0005-0000-0000-0000B0810000}"/>
    <cellStyle name="40 % - Markeringsfarve5 4 3 2 3 4" xfId="40683" xr:uid="{00000000-0005-0000-0000-0000B1810000}"/>
    <cellStyle name="40 % - Markeringsfarve5 4 3 2 4" xfId="15068" xr:uid="{00000000-0005-0000-0000-0000B2810000}"/>
    <cellStyle name="40 % - Markeringsfarve5 4 3 2 4 2" xfId="31347" xr:uid="{00000000-0005-0000-0000-0000B3810000}"/>
    <cellStyle name="40 % - Markeringsfarve5 4 3 2 4 3" xfId="46307" xr:uid="{00000000-0005-0000-0000-0000B4810000}"/>
    <cellStyle name="40 % - Markeringsfarve5 4 3 2 5" xfId="24345" xr:uid="{00000000-0005-0000-0000-0000B5810000}"/>
    <cellStyle name="40 % - Markeringsfarve5 4 3 2 6" xfId="39310" xr:uid="{00000000-0005-0000-0000-0000B6810000}"/>
    <cellStyle name="40 % - Markeringsfarve5 4 3 3" xfId="6585" xr:uid="{00000000-0005-0000-0000-0000B7810000}"/>
    <cellStyle name="40 % - Markeringsfarve5 4 3 3 2" xfId="9259" xr:uid="{00000000-0005-0000-0000-0000B8810000}"/>
    <cellStyle name="40 % - Markeringsfarve5 4 3 3 2 2" xfId="17123" xr:uid="{00000000-0005-0000-0000-0000B9810000}"/>
    <cellStyle name="40 % - Markeringsfarve5 4 3 3 2 2 2" xfId="33399" xr:uid="{00000000-0005-0000-0000-0000BA810000}"/>
    <cellStyle name="40 % - Markeringsfarve5 4 3 3 2 2 3" xfId="48358" xr:uid="{00000000-0005-0000-0000-0000BB810000}"/>
    <cellStyle name="40 % - Markeringsfarve5 4 3 3 2 3" xfId="26397" xr:uid="{00000000-0005-0000-0000-0000BC810000}"/>
    <cellStyle name="40 % - Markeringsfarve5 4 3 3 2 4" xfId="41361" xr:uid="{00000000-0005-0000-0000-0000BD810000}"/>
    <cellStyle name="40 % - Markeringsfarve5 4 3 3 3" xfId="15070" xr:uid="{00000000-0005-0000-0000-0000BE810000}"/>
    <cellStyle name="40 % - Markeringsfarve5 4 3 3 3 2" xfId="31349" xr:uid="{00000000-0005-0000-0000-0000BF810000}"/>
    <cellStyle name="40 % - Markeringsfarve5 4 3 3 3 3" xfId="46309" xr:uid="{00000000-0005-0000-0000-0000C0810000}"/>
    <cellStyle name="40 % - Markeringsfarve5 4 3 3 4" xfId="24347" xr:uid="{00000000-0005-0000-0000-0000C1810000}"/>
    <cellStyle name="40 % - Markeringsfarve5 4 3 3 5" xfId="39312" xr:uid="{00000000-0005-0000-0000-0000C2810000}"/>
    <cellStyle name="40 % - Markeringsfarve5 4 3 4" xfId="6586" xr:uid="{00000000-0005-0000-0000-0000C3810000}"/>
    <cellStyle name="40 % - Markeringsfarve5 4 3 4 2" xfId="10680" xr:uid="{00000000-0005-0000-0000-0000C4810000}"/>
    <cellStyle name="40 % - Markeringsfarve5 4 3 4 2 2" xfId="18524" xr:uid="{00000000-0005-0000-0000-0000C5810000}"/>
    <cellStyle name="40 % - Markeringsfarve5 4 3 4 2 2 2" xfId="34800" xr:uid="{00000000-0005-0000-0000-0000C6810000}"/>
    <cellStyle name="40 % - Markeringsfarve5 4 3 4 2 2 3" xfId="49759" xr:uid="{00000000-0005-0000-0000-0000C7810000}"/>
    <cellStyle name="40 % - Markeringsfarve5 4 3 4 2 3" xfId="27798" xr:uid="{00000000-0005-0000-0000-0000C8810000}"/>
    <cellStyle name="40 % - Markeringsfarve5 4 3 4 2 4" xfId="42762" xr:uid="{00000000-0005-0000-0000-0000C9810000}"/>
    <cellStyle name="40 % - Markeringsfarve5 4 3 4 3" xfId="15071" xr:uid="{00000000-0005-0000-0000-0000CA810000}"/>
    <cellStyle name="40 % - Markeringsfarve5 4 3 4 3 2" xfId="31350" xr:uid="{00000000-0005-0000-0000-0000CB810000}"/>
    <cellStyle name="40 % - Markeringsfarve5 4 3 4 3 3" xfId="46310" xr:uid="{00000000-0005-0000-0000-0000CC810000}"/>
    <cellStyle name="40 % - Markeringsfarve5 4 3 4 4" xfId="24348" xr:uid="{00000000-0005-0000-0000-0000CD810000}"/>
    <cellStyle name="40 % - Markeringsfarve5 4 3 4 5" xfId="39313" xr:uid="{00000000-0005-0000-0000-0000CE810000}"/>
    <cellStyle name="40 % - Markeringsfarve5 4 3 5" xfId="8225" xr:uid="{00000000-0005-0000-0000-0000CF810000}"/>
    <cellStyle name="40 % - Markeringsfarve5 4 3 5 2" xfId="16090" xr:uid="{00000000-0005-0000-0000-0000D0810000}"/>
    <cellStyle name="40 % - Markeringsfarve5 4 3 5 2 2" xfId="32366" xr:uid="{00000000-0005-0000-0000-0000D1810000}"/>
    <cellStyle name="40 % - Markeringsfarve5 4 3 5 2 3" xfId="47325" xr:uid="{00000000-0005-0000-0000-0000D2810000}"/>
    <cellStyle name="40 % - Markeringsfarve5 4 3 5 3" xfId="25364" xr:uid="{00000000-0005-0000-0000-0000D3810000}"/>
    <cellStyle name="40 % - Markeringsfarve5 4 3 5 4" xfId="40328" xr:uid="{00000000-0005-0000-0000-0000D4810000}"/>
    <cellStyle name="40 % - Markeringsfarve5 4 3 6" xfId="15067" xr:uid="{00000000-0005-0000-0000-0000D5810000}"/>
    <cellStyle name="40 % - Markeringsfarve5 4 3 6 2" xfId="31346" xr:uid="{00000000-0005-0000-0000-0000D6810000}"/>
    <cellStyle name="40 % - Markeringsfarve5 4 3 6 3" xfId="46306" xr:uid="{00000000-0005-0000-0000-0000D7810000}"/>
    <cellStyle name="40 % - Markeringsfarve5 4 3 7" xfId="24344" xr:uid="{00000000-0005-0000-0000-0000D8810000}"/>
    <cellStyle name="40 % - Markeringsfarve5 4 3 8" xfId="39309" xr:uid="{00000000-0005-0000-0000-0000D9810000}"/>
    <cellStyle name="40 % - Markeringsfarve5 4 4" xfId="6587" xr:uid="{00000000-0005-0000-0000-0000DA810000}"/>
    <cellStyle name="40 % - Markeringsfarve5 4 4 2" xfId="6588" xr:uid="{00000000-0005-0000-0000-0000DB810000}"/>
    <cellStyle name="40 % - Markeringsfarve5 4 4 2 2" xfId="6589" xr:uid="{00000000-0005-0000-0000-0000DC810000}"/>
    <cellStyle name="40 % - Markeringsfarve5 4 4 2 2 2" xfId="10099" xr:uid="{00000000-0005-0000-0000-0000DD810000}"/>
    <cellStyle name="40 % - Markeringsfarve5 4 4 2 2 2 2" xfId="17954" xr:uid="{00000000-0005-0000-0000-0000DE810000}"/>
    <cellStyle name="40 % - Markeringsfarve5 4 4 2 2 2 2 2" xfId="34230" xr:uid="{00000000-0005-0000-0000-0000DF810000}"/>
    <cellStyle name="40 % - Markeringsfarve5 4 4 2 2 2 2 3" xfId="49189" xr:uid="{00000000-0005-0000-0000-0000E0810000}"/>
    <cellStyle name="40 % - Markeringsfarve5 4 4 2 2 2 3" xfId="27228" xr:uid="{00000000-0005-0000-0000-0000E1810000}"/>
    <cellStyle name="40 % - Markeringsfarve5 4 4 2 2 2 4" xfId="42192" xr:uid="{00000000-0005-0000-0000-0000E2810000}"/>
    <cellStyle name="40 % - Markeringsfarve5 4 4 2 2 3" xfId="15074" xr:uid="{00000000-0005-0000-0000-0000E3810000}"/>
    <cellStyle name="40 % - Markeringsfarve5 4 4 2 2 3 2" xfId="31353" xr:uid="{00000000-0005-0000-0000-0000E4810000}"/>
    <cellStyle name="40 % - Markeringsfarve5 4 4 2 2 3 3" xfId="46313" xr:uid="{00000000-0005-0000-0000-0000E5810000}"/>
    <cellStyle name="40 % - Markeringsfarve5 4 4 2 2 4" xfId="24351" xr:uid="{00000000-0005-0000-0000-0000E6810000}"/>
    <cellStyle name="40 % - Markeringsfarve5 4 4 2 2 5" xfId="39316" xr:uid="{00000000-0005-0000-0000-0000E7810000}"/>
    <cellStyle name="40 % - Markeringsfarve5 4 4 2 3" xfId="8639" xr:uid="{00000000-0005-0000-0000-0000E8810000}"/>
    <cellStyle name="40 % - Markeringsfarve5 4 4 2 3 2" xfId="16506" xr:uid="{00000000-0005-0000-0000-0000E9810000}"/>
    <cellStyle name="40 % - Markeringsfarve5 4 4 2 3 2 2" xfId="32782" xr:uid="{00000000-0005-0000-0000-0000EA810000}"/>
    <cellStyle name="40 % - Markeringsfarve5 4 4 2 3 2 3" xfId="47741" xr:uid="{00000000-0005-0000-0000-0000EB810000}"/>
    <cellStyle name="40 % - Markeringsfarve5 4 4 2 3 3" xfId="25780" xr:uid="{00000000-0005-0000-0000-0000EC810000}"/>
    <cellStyle name="40 % - Markeringsfarve5 4 4 2 3 4" xfId="40744" xr:uid="{00000000-0005-0000-0000-0000ED810000}"/>
    <cellStyle name="40 % - Markeringsfarve5 4 4 2 4" xfId="15073" xr:uid="{00000000-0005-0000-0000-0000EE810000}"/>
    <cellStyle name="40 % - Markeringsfarve5 4 4 2 4 2" xfId="31352" xr:uid="{00000000-0005-0000-0000-0000EF810000}"/>
    <cellStyle name="40 % - Markeringsfarve5 4 4 2 4 3" xfId="46312" xr:uid="{00000000-0005-0000-0000-0000F0810000}"/>
    <cellStyle name="40 % - Markeringsfarve5 4 4 2 5" xfId="24350" xr:uid="{00000000-0005-0000-0000-0000F1810000}"/>
    <cellStyle name="40 % - Markeringsfarve5 4 4 2 6" xfId="39315" xr:uid="{00000000-0005-0000-0000-0000F2810000}"/>
    <cellStyle name="40 % - Markeringsfarve5 4 4 3" xfId="6590" xr:uid="{00000000-0005-0000-0000-0000F3810000}"/>
    <cellStyle name="40 % - Markeringsfarve5 4 4 3 2" xfId="9376" xr:uid="{00000000-0005-0000-0000-0000F4810000}"/>
    <cellStyle name="40 % - Markeringsfarve5 4 4 3 2 2" xfId="17239" xr:uid="{00000000-0005-0000-0000-0000F5810000}"/>
    <cellStyle name="40 % - Markeringsfarve5 4 4 3 2 2 2" xfId="33515" xr:uid="{00000000-0005-0000-0000-0000F6810000}"/>
    <cellStyle name="40 % - Markeringsfarve5 4 4 3 2 2 3" xfId="48474" xr:uid="{00000000-0005-0000-0000-0000F7810000}"/>
    <cellStyle name="40 % - Markeringsfarve5 4 4 3 2 3" xfId="26513" xr:uid="{00000000-0005-0000-0000-0000F8810000}"/>
    <cellStyle name="40 % - Markeringsfarve5 4 4 3 2 4" xfId="41477" xr:uid="{00000000-0005-0000-0000-0000F9810000}"/>
    <cellStyle name="40 % - Markeringsfarve5 4 4 3 3" xfId="15075" xr:uid="{00000000-0005-0000-0000-0000FA810000}"/>
    <cellStyle name="40 % - Markeringsfarve5 4 4 3 3 2" xfId="31354" xr:uid="{00000000-0005-0000-0000-0000FB810000}"/>
    <cellStyle name="40 % - Markeringsfarve5 4 4 3 3 3" xfId="46314" xr:uid="{00000000-0005-0000-0000-0000FC810000}"/>
    <cellStyle name="40 % - Markeringsfarve5 4 4 3 4" xfId="24352" xr:uid="{00000000-0005-0000-0000-0000FD810000}"/>
    <cellStyle name="40 % - Markeringsfarve5 4 4 3 5" xfId="39317" xr:uid="{00000000-0005-0000-0000-0000FE810000}"/>
    <cellStyle name="40 % - Markeringsfarve5 4 4 4" xfId="6591" xr:uid="{00000000-0005-0000-0000-0000FF810000}"/>
    <cellStyle name="40 % - Markeringsfarve5 4 4 4 2" xfId="10906" xr:uid="{00000000-0005-0000-0000-000000820000}"/>
    <cellStyle name="40 % - Markeringsfarve5 4 4 4 2 2" xfId="18742" xr:uid="{00000000-0005-0000-0000-000001820000}"/>
    <cellStyle name="40 % - Markeringsfarve5 4 4 4 2 2 2" xfId="35018" xr:uid="{00000000-0005-0000-0000-000002820000}"/>
    <cellStyle name="40 % - Markeringsfarve5 4 4 4 2 2 3" xfId="49977" xr:uid="{00000000-0005-0000-0000-000003820000}"/>
    <cellStyle name="40 % - Markeringsfarve5 4 4 4 2 3" xfId="28016" xr:uid="{00000000-0005-0000-0000-000004820000}"/>
    <cellStyle name="40 % - Markeringsfarve5 4 4 4 2 4" xfId="42980" xr:uid="{00000000-0005-0000-0000-000005820000}"/>
    <cellStyle name="40 % - Markeringsfarve5 4 4 4 3" xfId="15076" xr:uid="{00000000-0005-0000-0000-000006820000}"/>
    <cellStyle name="40 % - Markeringsfarve5 4 4 4 3 2" xfId="31355" xr:uid="{00000000-0005-0000-0000-000007820000}"/>
    <cellStyle name="40 % - Markeringsfarve5 4 4 4 3 3" xfId="46315" xr:uid="{00000000-0005-0000-0000-000008820000}"/>
    <cellStyle name="40 % - Markeringsfarve5 4 4 4 4" xfId="24353" xr:uid="{00000000-0005-0000-0000-000009820000}"/>
    <cellStyle name="40 % - Markeringsfarve5 4 4 4 5" xfId="39318" xr:uid="{00000000-0005-0000-0000-00000A820000}"/>
    <cellStyle name="40 % - Markeringsfarve5 4 4 5" xfId="8226" xr:uid="{00000000-0005-0000-0000-00000B820000}"/>
    <cellStyle name="40 % - Markeringsfarve5 4 4 5 2" xfId="16091" xr:uid="{00000000-0005-0000-0000-00000C820000}"/>
    <cellStyle name="40 % - Markeringsfarve5 4 4 5 2 2" xfId="32367" xr:uid="{00000000-0005-0000-0000-00000D820000}"/>
    <cellStyle name="40 % - Markeringsfarve5 4 4 5 2 3" xfId="47326" xr:uid="{00000000-0005-0000-0000-00000E820000}"/>
    <cellStyle name="40 % - Markeringsfarve5 4 4 5 3" xfId="25365" xr:uid="{00000000-0005-0000-0000-00000F820000}"/>
    <cellStyle name="40 % - Markeringsfarve5 4 4 5 4" xfId="40329" xr:uid="{00000000-0005-0000-0000-000010820000}"/>
    <cellStyle name="40 % - Markeringsfarve5 4 4 6" xfId="15072" xr:uid="{00000000-0005-0000-0000-000011820000}"/>
    <cellStyle name="40 % - Markeringsfarve5 4 4 6 2" xfId="31351" xr:uid="{00000000-0005-0000-0000-000012820000}"/>
    <cellStyle name="40 % - Markeringsfarve5 4 4 6 3" xfId="46311" xr:uid="{00000000-0005-0000-0000-000013820000}"/>
    <cellStyle name="40 % - Markeringsfarve5 4 4 7" xfId="24349" xr:uid="{00000000-0005-0000-0000-000014820000}"/>
    <cellStyle name="40 % - Markeringsfarve5 4 4 8" xfId="39314" xr:uid="{00000000-0005-0000-0000-000015820000}"/>
    <cellStyle name="40 % - Markeringsfarve5 4 5" xfId="6592" xr:uid="{00000000-0005-0000-0000-000016820000}"/>
    <cellStyle name="40 % - Markeringsfarve5 4 5 2" xfId="6593" xr:uid="{00000000-0005-0000-0000-000017820000}"/>
    <cellStyle name="40 % - Markeringsfarve5 4 5 2 2" xfId="6594" xr:uid="{00000000-0005-0000-0000-000018820000}"/>
    <cellStyle name="40 % - Markeringsfarve5 4 5 2 2 2" xfId="10216" xr:uid="{00000000-0005-0000-0000-000019820000}"/>
    <cellStyle name="40 % - Markeringsfarve5 4 5 2 2 2 2" xfId="18071" xr:uid="{00000000-0005-0000-0000-00001A820000}"/>
    <cellStyle name="40 % - Markeringsfarve5 4 5 2 2 2 2 2" xfId="34347" xr:uid="{00000000-0005-0000-0000-00001B820000}"/>
    <cellStyle name="40 % - Markeringsfarve5 4 5 2 2 2 2 3" xfId="49306" xr:uid="{00000000-0005-0000-0000-00001C820000}"/>
    <cellStyle name="40 % - Markeringsfarve5 4 5 2 2 2 3" xfId="27345" xr:uid="{00000000-0005-0000-0000-00001D820000}"/>
    <cellStyle name="40 % - Markeringsfarve5 4 5 2 2 2 4" xfId="42309" xr:uid="{00000000-0005-0000-0000-00001E820000}"/>
    <cellStyle name="40 % - Markeringsfarve5 4 5 2 2 3" xfId="15079" xr:uid="{00000000-0005-0000-0000-00001F820000}"/>
    <cellStyle name="40 % - Markeringsfarve5 4 5 2 2 3 2" xfId="31358" xr:uid="{00000000-0005-0000-0000-000020820000}"/>
    <cellStyle name="40 % - Markeringsfarve5 4 5 2 2 3 3" xfId="46318" xr:uid="{00000000-0005-0000-0000-000021820000}"/>
    <cellStyle name="40 % - Markeringsfarve5 4 5 2 2 4" xfId="24356" xr:uid="{00000000-0005-0000-0000-000022820000}"/>
    <cellStyle name="40 % - Markeringsfarve5 4 5 2 2 5" xfId="39321" xr:uid="{00000000-0005-0000-0000-000023820000}"/>
    <cellStyle name="40 % - Markeringsfarve5 4 5 2 3" xfId="8738" xr:uid="{00000000-0005-0000-0000-000024820000}"/>
    <cellStyle name="40 % - Markeringsfarve5 4 5 2 3 2" xfId="16605" xr:uid="{00000000-0005-0000-0000-000025820000}"/>
    <cellStyle name="40 % - Markeringsfarve5 4 5 2 3 2 2" xfId="32881" xr:uid="{00000000-0005-0000-0000-000026820000}"/>
    <cellStyle name="40 % - Markeringsfarve5 4 5 2 3 2 3" xfId="47840" xr:uid="{00000000-0005-0000-0000-000027820000}"/>
    <cellStyle name="40 % - Markeringsfarve5 4 5 2 3 3" xfId="25879" xr:uid="{00000000-0005-0000-0000-000028820000}"/>
    <cellStyle name="40 % - Markeringsfarve5 4 5 2 3 4" xfId="40843" xr:uid="{00000000-0005-0000-0000-000029820000}"/>
    <cellStyle name="40 % - Markeringsfarve5 4 5 2 4" xfId="15078" xr:uid="{00000000-0005-0000-0000-00002A820000}"/>
    <cellStyle name="40 % - Markeringsfarve5 4 5 2 4 2" xfId="31357" xr:uid="{00000000-0005-0000-0000-00002B820000}"/>
    <cellStyle name="40 % - Markeringsfarve5 4 5 2 4 3" xfId="46317" xr:uid="{00000000-0005-0000-0000-00002C820000}"/>
    <cellStyle name="40 % - Markeringsfarve5 4 5 2 5" xfId="24355" xr:uid="{00000000-0005-0000-0000-00002D820000}"/>
    <cellStyle name="40 % - Markeringsfarve5 4 5 2 6" xfId="39320" xr:uid="{00000000-0005-0000-0000-00002E820000}"/>
    <cellStyle name="40 % - Markeringsfarve5 4 5 3" xfId="6595" xr:uid="{00000000-0005-0000-0000-00002F820000}"/>
    <cellStyle name="40 % - Markeringsfarve5 4 5 3 2" xfId="9493" xr:uid="{00000000-0005-0000-0000-000030820000}"/>
    <cellStyle name="40 % - Markeringsfarve5 4 5 3 2 2" xfId="17356" xr:uid="{00000000-0005-0000-0000-000031820000}"/>
    <cellStyle name="40 % - Markeringsfarve5 4 5 3 2 2 2" xfId="33632" xr:uid="{00000000-0005-0000-0000-000032820000}"/>
    <cellStyle name="40 % - Markeringsfarve5 4 5 3 2 2 3" xfId="48591" xr:uid="{00000000-0005-0000-0000-000033820000}"/>
    <cellStyle name="40 % - Markeringsfarve5 4 5 3 2 3" xfId="26630" xr:uid="{00000000-0005-0000-0000-000034820000}"/>
    <cellStyle name="40 % - Markeringsfarve5 4 5 3 2 4" xfId="41594" xr:uid="{00000000-0005-0000-0000-000035820000}"/>
    <cellStyle name="40 % - Markeringsfarve5 4 5 3 3" xfId="15080" xr:uid="{00000000-0005-0000-0000-000036820000}"/>
    <cellStyle name="40 % - Markeringsfarve5 4 5 3 3 2" xfId="31359" xr:uid="{00000000-0005-0000-0000-000037820000}"/>
    <cellStyle name="40 % - Markeringsfarve5 4 5 3 3 3" xfId="46319" xr:uid="{00000000-0005-0000-0000-000038820000}"/>
    <cellStyle name="40 % - Markeringsfarve5 4 5 3 4" xfId="24357" xr:uid="{00000000-0005-0000-0000-000039820000}"/>
    <cellStyle name="40 % - Markeringsfarve5 4 5 3 5" xfId="39322" xr:uid="{00000000-0005-0000-0000-00003A820000}"/>
    <cellStyle name="40 % - Markeringsfarve5 4 5 4" xfId="6596" xr:uid="{00000000-0005-0000-0000-00003B820000}"/>
    <cellStyle name="40 % - Markeringsfarve5 4 5 4 2" xfId="10631" xr:uid="{00000000-0005-0000-0000-00003C820000}"/>
    <cellStyle name="40 % - Markeringsfarve5 4 5 4 2 2" xfId="18479" xr:uid="{00000000-0005-0000-0000-00003D820000}"/>
    <cellStyle name="40 % - Markeringsfarve5 4 5 4 2 2 2" xfId="34755" xr:uid="{00000000-0005-0000-0000-00003E820000}"/>
    <cellStyle name="40 % - Markeringsfarve5 4 5 4 2 2 3" xfId="49714" xr:uid="{00000000-0005-0000-0000-00003F820000}"/>
    <cellStyle name="40 % - Markeringsfarve5 4 5 4 2 3" xfId="27753" xr:uid="{00000000-0005-0000-0000-000040820000}"/>
    <cellStyle name="40 % - Markeringsfarve5 4 5 4 2 4" xfId="42717" xr:uid="{00000000-0005-0000-0000-000041820000}"/>
    <cellStyle name="40 % - Markeringsfarve5 4 5 4 3" xfId="15081" xr:uid="{00000000-0005-0000-0000-000042820000}"/>
    <cellStyle name="40 % - Markeringsfarve5 4 5 4 3 2" xfId="31360" xr:uid="{00000000-0005-0000-0000-000043820000}"/>
    <cellStyle name="40 % - Markeringsfarve5 4 5 4 3 3" xfId="46320" xr:uid="{00000000-0005-0000-0000-000044820000}"/>
    <cellStyle name="40 % - Markeringsfarve5 4 5 4 4" xfId="24358" xr:uid="{00000000-0005-0000-0000-000045820000}"/>
    <cellStyle name="40 % - Markeringsfarve5 4 5 4 5" xfId="39323" xr:uid="{00000000-0005-0000-0000-000046820000}"/>
    <cellStyle name="40 % - Markeringsfarve5 4 5 5" xfId="8227" xr:uid="{00000000-0005-0000-0000-000047820000}"/>
    <cellStyle name="40 % - Markeringsfarve5 4 5 5 2" xfId="16092" xr:uid="{00000000-0005-0000-0000-000048820000}"/>
    <cellStyle name="40 % - Markeringsfarve5 4 5 5 2 2" xfId="32368" xr:uid="{00000000-0005-0000-0000-000049820000}"/>
    <cellStyle name="40 % - Markeringsfarve5 4 5 5 2 3" xfId="47327" xr:uid="{00000000-0005-0000-0000-00004A820000}"/>
    <cellStyle name="40 % - Markeringsfarve5 4 5 5 3" xfId="25366" xr:uid="{00000000-0005-0000-0000-00004B820000}"/>
    <cellStyle name="40 % - Markeringsfarve5 4 5 5 4" xfId="40330" xr:uid="{00000000-0005-0000-0000-00004C820000}"/>
    <cellStyle name="40 % - Markeringsfarve5 4 5 6" xfId="15077" xr:uid="{00000000-0005-0000-0000-00004D820000}"/>
    <cellStyle name="40 % - Markeringsfarve5 4 5 6 2" xfId="31356" xr:uid="{00000000-0005-0000-0000-00004E820000}"/>
    <cellStyle name="40 % - Markeringsfarve5 4 5 6 3" xfId="46316" xr:uid="{00000000-0005-0000-0000-00004F820000}"/>
    <cellStyle name="40 % - Markeringsfarve5 4 5 7" xfId="24354" xr:uid="{00000000-0005-0000-0000-000050820000}"/>
    <cellStyle name="40 % - Markeringsfarve5 4 5 8" xfId="39319" xr:uid="{00000000-0005-0000-0000-000051820000}"/>
    <cellStyle name="40 % - Markeringsfarve5 4 6" xfId="6597" xr:uid="{00000000-0005-0000-0000-000052820000}"/>
    <cellStyle name="40 % - Markeringsfarve5 4 6 2" xfId="6598" xr:uid="{00000000-0005-0000-0000-000053820000}"/>
    <cellStyle name="40 % - Markeringsfarve5 4 6 2 2" xfId="6599" xr:uid="{00000000-0005-0000-0000-000054820000}"/>
    <cellStyle name="40 % - Markeringsfarve5 4 6 2 2 2" xfId="10382" xr:uid="{00000000-0005-0000-0000-000055820000}"/>
    <cellStyle name="40 % - Markeringsfarve5 4 6 2 2 2 2" xfId="18237" xr:uid="{00000000-0005-0000-0000-000056820000}"/>
    <cellStyle name="40 % - Markeringsfarve5 4 6 2 2 2 2 2" xfId="34513" xr:uid="{00000000-0005-0000-0000-000057820000}"/>
    <cellStyle name="40 % - Markeringsfarve5 4 6 2 2 2 2 3" xfId="49472" xr:uid="{00000000-0005-0000-0000-000058820000}"/>
    <cellStyle name="40 % - Markeringsfarve5 4 6 2 2 2 3" xfId="27511" xr:uid="{00000000-0005-0000-0000-000059820000}"/>
    <cellStyle name="40 % - Markeringsfarve5 4 6 2 2 2 4" xfId="42475" xr:uid="{00000000-0005-0000-0000-00005A820000}"/>
    <cellStyle name="40 % - Markeringsfarve5 4 6 2 2 3" xfId="15084" xr:uid="{00000000-0005-0000-0000-00005B820000}"/>
    <cellStyle name="40 % - Markeringsfarve5 4 6 2 2 3 2" xfId="31363" xr:uid="{00000000-0005-0000-0000-00005C820000}"/>
    <cellStyle name="40 % - Markeringsfarve5 4 6 2 2 3 3" xfId="46323" xr:uid="{00000000-0005-0000-0000-00005D820000}"/>
    <cellStyle name="40 % - Markeringsfarve5 4 6 2 2 4" xfId="24361" xr:uid="{00000000-0005-0000-0000-00005E820000}"/>
    <cellStyle name="40 % - Markeringsfarve5 4 6 2 2 5" xfId="39326" xr:uid="{00000000-0005-0000-0000-00005F820000}"/>
    <cellStyle name="40 % - Markeringsfarve5 4 6 2 3" xfId="8876" xr:uid="{00000000-0005-0000-0000-000060820000}"/>
    <cellStyle name="40 % - Markeringsfarve5 4 6 2 3 2" xfId="16743" xr:uid="{00000000-0005-0000-0000-000061820000}"/>
    <cellStyle name="40 % - Markeringsfarve5 4 6 2 3 2 2" xfId="33019" xr:uid="{00000000-0005-0000-0000-000062820000}"/>
    <cellStyle name="40 % - Markeringsfarve5 4 6 2 3 2 3" xfId="47978" xr:uid="{00000000-0005-0000-0000-000063820000}"/>
    <cellStyle name="40 % - Markeringsfarve5 4 6 2 3 3" xfId="26017" xr:uid="{00000000-0005-0000-0000-000064820000}"/>
    <cellStyle name="40 % - Markeringsfarve5 4 6 2 3 4" xfId="40981" xr:uid="{00000000-0005-0000-0000-000065820000}"/>
    <cellStyle name="40 % - Markeringsfarve5 4 6 2 4" xfId="15083" xr:uid="{00000000-0005-0000-0000-000066820000}"/>
    <cellStyle name="40 % - Markeringsfarve5 4 6 2 4 2" xfId="31362" xr:uid="{00000000-0005-0000-0000-000067820000}"/>
    <cellStyle name="40 % - Markeringsfarve5 4 6 2 4 3" xfId="46322" xr:uid="{00000000-0005-0000-0000-000068820000}"/>
    <cellStyle name="40 % - Markeringsfarve5 4 6 2 5" xfId="24360" xr:uid="{00000000-0005-0000-0000-000069820000}"/>
    <cellStyle name="40 % - Markeringsfarve5 4 6 2 6" xfId="39325" xr:uid="{00000000-0005-0000-0000-00006A820000}"/>
    <cellStyle name="40 % - Markeringsfarve5 4 6 3" xfId="6600" xr:uid="{00000000-0005-0000-0000-00006B820000}"/>
    <cellStyle name="40 % - Markeringsfarve5 4 6 3 2" xfId="9660" xr:uid="{00000000-0005-0000-0000-00006C820000}"/>
    <cellStyle name="40 % - Markeringsfarve5 4 6 3 2 2" xfId="17523" xr:uid="{00000000-0005-0000-0000-00006D820000}"/>
    <cellStyle name="40 % - Markeringsfarve5 4 6 3 2 2 2" xfId="33799" xr:uid="{00000000-0005-0000-0000-00006E820000}"/>
    <cellStyle name="40 % - Markeringsfarve5 4 6 3 2 2 3" xfId="48758" xr:uid="{00000000-0005-0000-0000-00006F820000}"/>
    <cellStyle name="40 % - Markeringsfarve5 4 6 3 2 3" xfId="26797" xr:uid="{00000000-0005-0000-0000-000070820000}"/>
    <cellStyle name="40 % - Markeringsfarve5 4 6 3 2 4" xfId="41761" xr:uid="{00000000-0005-0000-0000-000071820000}"/>
    <cellStyle name="40 % - Markeringsfarve5 4 6 3 3" xfId="15085" xr:uid="{00000000-0005-0000-0000-000072820000}"/>
    <cellStyle name="40 % - Markeringsfarve5 4 6 3 3 2" xfId="31364" xr:uid="{00000000-0005-0000-0000-000073820000}"/>
    <cellStyle name="40 % - Markeringsfarve5 4 6 3 3 3" xfId="46324" xr:uid="{00000000-0005-0000-0000-000074820000}"/>
    <cellStyle name="40 % - Markeringsfarve5 4 6 3 4" xfId="24362" xr:uid="{00000000-0005-0000-0000-000075820000}"/>
    <cellStyle name="40 % - Markeringsfarve5 4 6 3 5" xfId="39327" xr:uid="{00000000-0005-0000-0000-000076820000}"/>
    <cellStyle name="40 % - Markeringsfarve5 4 6 4" xfId="6601" xr:uid="{00000000-0005-0000-0000-000077820000}"/>
    <cellStyle name="40 % - Markeringsfarve5 4 6 4 2" xfId="10867" xr:uid="{00000000-0005-0000-0000-000078820000}"/>
    <cellStyle name="40 % - Markeringsfarve5 4 6 4 2 2" xfId="18705" xr:uid="{00000000-0005-0000-0000-000079820000}"/>
    <cellStyle name="40 % - Markeringsfarve5 4 6 4 2 2 2" xfId="34981" xr:uid="{00000000-0005-0000-0000-00007A820000}"/>
    <cellStyle name="40 % - Markeringsfarve5 4 6 4 2 2 3" xfId="49940" xr:uid="{00000000-0005-0000-0000-00007B820000}"/>
    <cellStyle name="40 % - Markeringsfarve5 4 6 4 2 3" xfId="27979" xr:uid="{00000000-0005-0000-0000-00007C820000}"/>
    <cellStyle name="40 % - Markeringsfarve5 4 6 4 2 4" xfId="42943" xr:uid="{00000000-0005-0000-0000-00007D820000}"/>
    <cellStyle name="40 % - Markeringsfarve5 4 6 4 3" xfId="15086" xr:uid="{00000000-0005-0000-0000-00007E820000}"/>
    <cellStyle name="40 % - Markeringsfarve5 4 6 4 3 2" xfId="31365" xr:uid="{00000000-0005-0000-0000-00007F820000}"/>
    <cellStyle name="40 % - Markeringsfarve5 4 6 4 3 3" xfId="46325" xr:uid="{00000000-0005-0000-0000-000080820000}"/>
    <cellStyle name="40 % - Markeringsfarve5 4 6 4 4" xfId="24363" xr:uid="{00000000-0005-0000-0000-000081820000}"/>
    <cellStyle name="40 % - Markeringsfarve5 4 6 4 5" xfId="39328" xr:uid="{00000000-0005-0000-0000-000082820000}"/>
    <cellStyle name="40 % - Markeringsfarve5 4 6 5" xfId="8228" xr:uid="{00000000-0005-0000-0000-000083820000}"/>
    <cellStyle name="40 % - Markeringsfarve5 4 6 5 2" xfId="16093" xr:uid="{00000000-0005-0000-0000-000084820000}"/>
    <cellStyle name="40 % - Markeringsfarve5 4 6 5 2 2" xfId="32369" xr:uid="{00000000-0005-0000-0000-000085820000}"/>
    <cellStyle name="40 % - Markeringsfarve5 4 6 5 2 3" xfId="47328" xr:uid="{00000000-0005-0000-0000-000086820000}"/>
    <cellStyle name="40 % - Markeringsfarve5 4 6 5 3" xfId="25367" xr:uid="{00000000-0005-0000-0000-000087820000}"/>
    <cellStyle name="40 % - Markeringsfarve5 4 6 5 4" xfId="40331" xr:uid="{00000000-0005-0000-0000-000088820000}"/>
    <cellStyle name="40 % - Markeringsfarve5 4 6 6" xfId="15082" xr:uid="{00000000-0005-0000-0000-000089820000}"/>
    <cellStyle name="40 % - Markeringsfarve5 4 6 6 2" xfId="31361" xr:uid="{00000000-0005-0000-0000-00008A820000}"/>
    <cellStyle name="40 % - Markeringsfarve5 4 6 6 3" xfId="46321" xr:uid="{00000000-0005-0000-0000-00008B820000}"/>
    <cellStyle name="40 % - Markeringsfarve5 4 6 7" xfId="24359" xr:uid="{00000000-0005-0000-0000-00008C820000}"/>
    <cellStyle name="40 % - Markeringsfarve5 4 6 8" xfId="39324" xr:uid="{00000000-0005-0000-0000-00008D820000}"/>
    <cellStyle name="40 % - Markeringsfarve5 4 7" xfId="6602" xr:uid="{00000000-0005-0000-0000-00008E820000}"/>
    <cellStyle name="40 % - Markeringsfarve5 4 7 2" xfId="6603" xr:uid="{00000000-0005-0000-0000-00008F820000}"/>
    <cellStyle name="40 % - Markeringsfarve5 4 7 2 2" xfId="9743" xr:uid="{00000000-0005-0000-0000-000090820000}"/>
    <cellStyle name="40 % - Markeringsfarve5 4 7 2 2 2" xfId="17597" xr:uid="{00000000-0005-0000-0000-000091820000}"/>
    <cellStyle name="40 % - Markeringsfarve5 4 7 2 2 2 2" xfId="33873" xr:uid="{00000000-0005-0000-0000-000092820000}"/>
    <cellStyle name="40 % - Markeringsfarve5 4 7 2 2 2 3" xfId="48832" xr:uid="{00000000-0005-0000-0000-000093820000}"/>
    <cellStyle name="40 % - Markeringsfarve5 4 7 2 2 3" xfId="26871" xr:uid="{00000000-0005-0000-0000-000094820000}"/>
    <cellStyle name="40 % - Markeringsfarve5 4 7 2 2 4" xfId="41835" xr:uid="{00000000-0005-0000-0000-000095820000}"/>
    <cellStyle name="40 % - Markeringsfarve5 4 7 2 3" xfId="15088" xr:uid="{00000000-0005-0000-0000-000096820000}"/>
    <cellStyle name="40 % - Markeringsfarve5 4 7 2 3 2" xfId="31367" xr:uid="{00000000-0005-0000-0000-000097820000}"/>
    <cellStyle name="40 % - Markeringsfarve5 4 7 2 3 3" xfId="46327" xr:uid="{00000000-0005-0000-0000-000098820000}"/>
    <cellStyle name="40 % - Markeringsfarve5 4 7 2 4" xfId="24365" xr:uid="{00000000-0005-0000-0000-000099820000}"/>
    <cellStyle name="40 % - Markeringsfarve5 4 7 2 5" xfId="39330" xr:uid="{00000000-0005-0000-0000-00009A820000}"/>
    <cellStyle name="40 % - Markeringsfarve5 4 7 3" xfId="8338" xr:uid="{00000000-0005-0000-0000-00009B820000}"/>
    <cellStyle name="40 % - Markeringsfarve5 4 7 3 2" xfId="16208" xr:uid="{00000000-0005-0000-0000-00009C820000}"/>
    <cellStyle name="40 % - Markeringsfarve5 4 7 3 2 2" xfId="32484" xr:uid="{00000000-0005-0000-0000-00009D820000}"/>
    <cellStyle name="40 % - Markeringsfarve5 4 7 3 2 3" xfId="47443" xr:uid="{00000000-0005-0000-0000-00009E820000}"/>
    <cellStyle name="40 % - Markeringsfarve5 4 7 3 3" xfId="25482" xr:uid="{00000000-0005-0000-0000-00009F820000}"/>
    <cellStyle name="40 % - Markeringsfarve5 4 7 3 4" xfId="40446" xr:uid="{00000000-0005-0000-0000-0000A0820000}"/>
    <cellStyle name="40 % - Markeringsfarve5 4 7 4" xfId="15087" xr:uid="{00000000-0005-0000-0000-0000A1820000}"/>
    <cellStyle name="40 % - Markeringsfarve5 4 7 4 2" xfId="31366" xr:uid="{00000000-0005-0000-0000-0000A2820000}"/>
    <cellStyle name="40 % - Markeringsfarve5 4 7 4 3" xfId="46326" xr:uid="{00000000-0005-0000-0000-0000A3820000}"/>
    <cellStyle name="40 % - Markeringsfarve5 4 7 5" xfId="24364" xr:uid="{00000000-0005-0000-0000-0000A4820000}"/>
    <cellStyle name="40 % - Markeringsfarve5 4 7 6" xfId="39329" xr:uid="{00000000-0005-0000-0000-0000A5820000}"/>
    <cellStyle name="40 % - Markeringsfarve5 4 8" xfId="6604" xr:uid="{00000000-0005-0000-0000-0000A6820000}"/>
    <cellStyle name="40 % - Markeringsfarve5 4 8 2" xfId="8971" xr:uid="{00000000-0005-0000-0000-0000A7820000}"/>
    <cellStyle name="40 % - Markeringsfarve5 4 8 2 2" xfId="16835" xr:uid="{00000000-0005-0000-0000-0000A8820000}"/>
    <cellStyle name="40 % - Markeringsfarve5 4 8 2 2 2" xfId="33111" xr:uid="{00000000-0005-0000-0000-0000A9820000}"/>
    <cellStyle name="40 % - Markeringsfarve5 4 8 2 2 3" xfId="48070" xr:uid="{00000000-0005-0000-0000-0000AA820000}"/>
    <cellStyle name="40 % - Markeringsfarve5 4 8 2 3" xfId="26109" xr:uid="{00000000-0005-0000-0000-0000AB820000}"/>
    <cellStyle name="40 % - Markeringsfarve5 4 8 2 4" xfId="41073" xr:uid="{00000000-0005-0000-0000-0000AC820000}"/>
    <cellStyle name="40 % - Markeringsfarve5 4 8 3" xfId="15089" xr:uid="{00000000-0005-0000-0000-0000AD820000}"/>
    <cellStyle name="40 % - Markeringsfarve5 4 8 3 2" xfId="31368" xr:uid="{00000000-0005-0000-0000-0000AE820000}"/>
    <cellStyle name="40 % - Markeringsfarve5 4 8 3 3" xfId="46328" xr:uid="{00000000-0005-0000-0000-0000AF820000}"/>
    <cellStyle name="40 % - Markeringsfarve5 4 8 4" xfId="24366" xr:uid="{00000000-0005-0000-0000-0000B0820000}"/>
    <cellStyle name="40 % - Markeringsfarve5 4 8 5" xfId="39331" xr:uid="{00000000-0005-0000-0000-0000B1820000}"/>
    <cellStyle name="40 % - Markeringsfarve5 4 9" xfId="6605" xr:uid="{00000000-0005-0000-0000-0000B2820000}"/>
    <cellStyle name="40 % - Markeringsfarve5 4 9 2" xfId="9298" xr:uid="{00000000-0005-0000-0000-0000B3820000}"/>
    <cellStyle name="40 % - Markeringsfarve5 4 9 2 2" xfId="17161" xr:uid="{00000000-0005-0000-0000-0000B4820000}"/>
    <cellStyle name="40 % - Markeringsfarve5 4 9 2 2 2" xfId="33437" xr:uid="{00000000-0005-0000-0000-0000B5820000}"/>
    <cellStyle name="40 % - Markeringsfarve5 4 9 2 2 3" xfId="48396" xr:uid="{00000000-0005-0000-0000-0000B6820000}"/>
    <cellStyle name="40 % - Markeringsfarve5 4 9 2 3" xfId="26435" xr:uid="{00000000-0005-0000-0000-0000B7820000}"/>
    <cellStyle name="40 % - Markeringsfarve5 4 9 2 4" xfId="41399" xr:uid="{00000000-0005-0000-0000-0000B8820000}"/>
    <cellStyle name="40 % - Markeringsfarve5 4 9 3" xfId="15090" xr:uid="{00000000-0005-0000-0000-0000B9820000}"/>
    <cellStyle name="40 % - Markeringsfarve5 4 9 3 2" xfId="31369" xr:uid="{00000000-0005-0000-0000-0000BA820000}"/>
    <cellStyle name="40 % - Markeringsfarve5 4 9 3 3" xfId="46329" xr:uid="{00000000-0005-0000-0000-0000BB820000}"/>
    <cellStyle name="40 % - Markeringsfarve5 4 9 4" xfId="24367" xr:uid="{00000000-0005-0000-0000-0000BC820000}"/>
    <cellStyle name="40 % - Markeringsfarve5 4 9 5" xfId="39332" xr:uid="{00000000-0005-0000-0000-0000BD820000}"/>
    <cellStyle name="40 % - Markeringsfarve5 5" xfId="6606" xr:uid="{00000000-0005-0000-0000-0000BE820000}"/>
    <cellStyle name="40 % - Markeringsfarve5 5 10" xfId="8229" xr:uid="{00000000-0005-0000-0000-0000BF820000}"/>
    <cellStyle name="40 % - Markeringsfarve5 5 10 2" xfId="16094" xr:uid="{00000000-0005-0000-0000-0000C0820000}"/>
    <cellStyle name="40 % - Markeringsfarve5 5 10 2 2" xfId="32370" xr:uid="{00000000-0005-0000-0000-0000C1820000}"/>
    <cellStyle name="40 % - Markeringsfarve5 5 10 2 3" xfId="47329" xr:uid="{00000000-0005-0000-0000-0000C2820000}"/>
    <cellStyle name="40 % - Markeringsfarve5 5 10 3" xfId="25368" xr:uid="{00000000-0005-0000-0000-0000C3820000}"/>
    <cellStyle name="40 % - Markeringsfarve5 5 10 4" xfId="40332" xr:uid="{00000000-0005-0000-0000-0000C4820000}"/>
    <cellStyle name="40 % - Markeringsfarve5 5 11" xfId="15091" xr:uid="{00000000-0005-0000-0000-0000C5820000}"/>
    <cellStyle name="40 % - Markeringsfarve5 5 11 2" xfId="31370" xr:uid="{00000000-0005-0000-0000-0000C6820000}"/>
    <cellStyle name="40 % - Markeringsfarve5 5 11 3" xfId="46330" xr:uid="{00000000-0005-0000-0000-0000C7820000}"/>
    <cellStyle name="40 % - Markeringsfarve5 5 12" xfId="24368" xr:uid="{00000000-0005-0000-0000-0000C8820000}"/>
    <cellStyle name="40 % - Markeringsfarve5 5 13" xfId="39333" xr:uid="{00000000-0005-0000-0000-0000C9820000}"/>
    <cellStyle name="40 % - Markeringsfarve5 5 2" xfId="6607" xr:uid="{00000000-0005-0000-0000-0000CA820000}"/>
    <cellStyle name="40 % - Markeringsfarve5 5 2 2" xfId="6608" xr:uid="{00000000-0005-0000-0000-0000CB820000}"/>
    <cellStyle name="40 % - Markeringsfarve5 5 2 2 2" xfId="6609" xr:uid="{00000000-0005-0000-0000-0000CC820000}"/>
    <cellStyle name="40 % - Markeringsfarve5 5 2 2 2 2" xfId="9900" xr:uid="{00000000-0005-0000-0000-0000CD820000}"/>
    <cellStyle name="40 % - Markeringsfarve5 5 2 2 2 2 2" xfId="17755" xr:uid="{00000000-0005-0000-0000-0000CE820000}"/>
    <cellStyle name="40 % - Markeringsfarve5 5 2 2 2 2 2 2" xfId="34031" xr:uid="{00000000-0005-0000-0000-0000CF820000}"/>
    <cellStyle name="40 % - Markeringsfarve5 5 2 2 2 2 2 3" xfId="48990" xr:uid="{00000000-0005-0000-0000-0000D0820000}"/>
    <cellStyle name="40 % - Markeringsfarve5 5 2 2 2 2 3" xfId="27029" xr:uid="{00000000-0005-0000-0000-0000D1820000}"/>
    <cellStyle name="40 % - Markeringsfarve5 5 2 2 2 2 4" xfId="41993" xr:uid="{00000000-0005-0000-0000-0000D2820000}"/>
    <cellStyle name="40 % - Markeringsfarve5 5 2 2 2 3" xfId="15094" xr:uid="{00000000-0005-0000-0000-0000D3820000}"/>
    <cellStyle name="40 % - Markeringsfarve5 5 2 2 2 3 2" xfId="31373" xr:uid="{00000000-0005-0000-0000-0000D4820000}"/>
    <cellStyle name="40 % - Markeringsfarve5 5 2 2 2 3 3" xfId="46333" xr:uid="{00000000-0005-0000-0000-0000D5820000}"/>
    <cellStyle name="40 % - Markeringsfarve5 5 2 2 2 4" xfId="24371" xr:uid="{00000000-0005-0000-0000-0000D6820000}"/>
    <cellStyle name="40 % - Markeringsfarve5 5 2 2 2 5" xfId="39336" xr:uid="{00000000-0005-0000-0000-0000D7820000}"/>
    <cellStyle name="40 % - Markeringsfarve5 5 2 2 3" xfId="8470" xr:uid="{00000000-0005-0000-0000-0000D8820000}"/>
    <cellStyle name="40 % - Markeringsfarve5 5 2 2 3 2" xfId="16340" xr:uid="{00000000-0005-0000-0000-0000D9820000}"/>
    <cellStyle name="40 % - Markeringsfarve5 5 2 2 3 2 2" xfId="32616" xr:uid="{00000000-0005-0000-0000-0000DA820000}"/>
    <cellStyle name="40 % - Markeringsfarve5 5 2 2 3 2 3" xfId="47575" xr:uid="{00000000-0005-0000-0000-0000DB820000}"/>
    <cellStyle name="40 % - Markeringsfarve5 5 2 2 3 3" xfId="25614" xr:uid="{00000000-0005-0000-0000-0000DC820000}"/>
    <cellStyle name="40 % - Markeringsfarve5 5 2 2 3 4" xfId="40578" xr:uid="{00000000-0005-0000-0000-0000DD820000}"/>
    <cellStyle name="40 % - Markeringsfarve5 5 2 2 4" xfId="15093" xr:uid="{00000000-0005-0000-0000-0000DE820000}"/>
    <cellStyle name="40 % - Markeringsfarve5 5 2 2 4 2" xfId="31372" xr:uid="{00000000-0005-0000-0000-0000DF820000}"/>
    <cellStyle name="40 % - Markeringsfarve5 5 2 2 4 3" xfId="46332" xr:uid="{00000000-0005-0000-0000-0000E0820000}"/>
    <cellStyle name="40 % - Markeringsfarve5 5 2 2 5" xfId="24370" xr:uid="{00000000-0005-0000-0000-0000E1820000}"/>
    <cellStyle name="40 % - Markeringsfarve5 5 2 2 6" xfId="39335" xr:uid="{00000000-0005-0000-0000-0000E2820000}"/>
    <cellStyle name="40 % - Markeringsfarve5 5 2 3" xfId="6610" xr:uid="{00000000-0005-0000-0000-0000E3820000}"/>
    <cellStyle name="40 % - Markeringsfarve5 5 2 3 2" xfId="9131" xr:uid="{00000000-0005-0000-0000-0000E4820000}"/>
    <cellStyle name="40 % - Markeringsfarve5 5 2 3 2 2" xfId="16995" xr:uid="{00000000-0005-0000-0000-0000E5820000}"/>
    <cellStyle name="40 % - Markeringsfarve5 5 2 3 2 2 2" xfId="33271" xr:uid="{00000000-0005-0000-0000-0000E6820000}"/>
    <cellStyle name="40 % - Markeringsfarve5 5 2 3 2 2 3" xfId="48230" xr:uid="{00000000-0005-0000-0000-0000E7820000}"/>
    <cellStyle name="40 % - Markeringsfarve5 5 2 3 2 3" xfId="26269" xr:uid="{00000000-0005-0000-0000-0000E8820000}"/>
    <cellStyle name="40 % - Markeringsfarve5 5 2 3 2 4" xfId="41233" xr:uid="{00000000-0005-0000-0000-0000E9820000}"/>
    <cellStyle name="40 % - Markeringsfarve5 5 2 3 3" xfId="15095" xr:uid="{00000000-0005-0000-0000-0000EA820000}"/>
    <cellStyle name="40 % - Markeringsfarve5 5 2 3 3 2" xfId="31374" xr:uid="{00000000-0005-0000-0000-0000EB820000}"/>
    <cellStyle name="40 % - Markeringsfarve5 5 2 3 3 3" xfId="46334" xr:uid="{00000000-0005-0000-0000-0000EC820000}"/>
    <cellStyle name="40 % - Markeringsfarve5 5 2 3 4" xfId="24372" xr:uid="{00000000-0005-0000-0000-0000ED820000}"/>
    <cellStyle name="40 % - Markeringsfarve5 5 2 3 5" xfId="39337" xr:uid="{00000000-0005-0000-0000-0000EE820000}"/>
    <cellStyle name="40 % - Markeringsfarve5 5 2 4" xfId="6611" xr:uid="{00000000-0005-0000-0000-0000EF820000}"/>
    <cellStyle name="40 % - Markeringsfarve5 5 2 4 2" xfId="10776" xr:uid="{00000000-0005-0000-0000-0000F0820000}"/>
    <cellStyle name="40 % - Markeringsfarve5 5 2 4 2 2" xfId="18618" xr:uid="{00000000-0005-0000-0000-0000F1820000}"/>
    <cellStyle name="40 % - Markeringsfarve5 5 2 4 2 2 2" xfId="34894" xr:uid="{00000000-0005-0000-0000-0000F2820000}"/>
    <cellStyle name="40 % - Markeringsfarve5 5 2 4 2 2 3" xfId="49853" xr:uid="{00000000-0005-0000-0000-0000F3820000}"/>
    <cellStyle name="40 % - Markeringsfarve5 5 2 4 2 3" xfId="27892" xr:uid="{00000000-0005-0000-0000-0000F4820000}"/>
    <cellStyle name="40 % - Markeringsfarve5 5 2 4 2 4" xfId="42856" xr:uid="{00000000-0005-0000-0000-0000F5820000}"/>
    <cellStyle name="40 % - Markeringsfarve5 5 2 4 3" xfId="15096" xr:uid="{00000000-0005-0000-0000-0000F6820000}"/>
    <cellStyle name="40 % - Markeringsfarve5 5 2 4 3 2" xfId="31375" xr:uid="{00000000-0005-0000-0000-0000F7820000}"/>
    <cellStyle name="40 % - Markeringsfarve5 5 2 4 3 3" xfId="46335" xr:uid="{00000000-0005-0000-0000-0000F8820000}"/>
    <cellStyle name="40 % - Markeringsfarve5 5 2 4 4" xfId="24373" xr:uid="{00000000-0005-0000-0000-0000F9820000}"/>
    <cellStyle name="40 % - Markeringsfarve5 5 2 4 5" xfId="39338" xr:uid="{00000000-0005-0000-0000-0000FA820000}"/>
    <cellStyle name="40 % - Markeringsfarve5 5 2 5" xfId="8230" xr:uid="{00000000-0005-0000-0000-0000FB820000}"/>
    <cellStyle name="40 % - Markeringsfarve5 5 2 5 2" xfId="16095" xr:uid="{00000000-0005-0000-0000-0000FC820000}"/>
    <cellStyle name="40 % - Markeringsfarve5 5 2 5 2 2" xfId="32371" xr:uid="{00000000-0005-0000-0000-0000FD820000}"/>
    <cellStyle name="40 % - Markeringsfarve5 5 2 5 2 3" xfId="47330" xr:uid="{00000000-0005-0000-0000-0000FE820000}"/>
    <cellStyle name="40 % - Markeringsfarve5 5 2 5 3" xfId="25369" xr:uid="{00000000-0005-0000-0000-0000FF820000}"/>
    <cellStyle name="40 % - Markeringsfarve5 5 2 5 4" xfId="40333" xr:uid="{00000000-0005-0000-0000-000000830000}"/>
    <cellStyle name="40 % - Markeringsfarve5 5 2 6" xfId="15092" xr:uid="{00000000-0005-0000-0000-000001830000}"/>
    <cellStyle name="40 % - Markeringsfarve5 5 2 6 2" xfId="31371" xr:uid="{00000000-0005-0000-0000-000002830000}"/>
    <cellStyle name="40 % - Markeringsfarve5 5 2 6 3" xfId="46331" xr:uid="{00000000-0005-0000-0000-000003830000}"/>
    <cellStyle name="40 % - Markeringsfarve5 5 2 7" xfId="24369" xr:uid="{00000000-0005-0000-0000-000004830000}"/>
    <cellStyle name="40 % - Markeringsfarve5 5 2 8" xfId="39334" xr:uid="{00000000-0005-0000-0000-000005830000}"/>
    <cellStyle name="40 % - Markeringsfarve5 5 3" xfId="6612" xr:uid="{00000000-0005-0000-0000-000006830000}"/>
    <cellStyle name="40 % - Markeringsfarve5 5 3 2" xfId="6613" xr:uid="{00000000-0005-0000-0000-000007830000}"/>
    <cellStyle name="40 % - Markeringsfarve5 5 3 2 2" xfId="6614" xr:uid="{00000000-0005-0000-0000-000008830000}"/>
    <cellStyle name="40 % - Markeringsfarve5 5 3 2 2 2" xfId="10029" xr:uid="{00000000-0005-0000-0000-000009830000}"/>
    <cellStyle name="40 % - Markeringsfarve5 5 3 2 2 2 2" xfId="17884" xr:uid="{00000000-0005-0000-0000-00000A830000}"/>
    <cellStyle name="40 % - Markeringsfarve5 5 3 2 2 2 2 2" xfId="34160" xr:uid="{00000000-0005-0000-0000-00000B830000}"/>
    <cellStyle name="40 % - Markeringsfarve5 5 3 2 2 2 2 3" xfId="49119" xr:uid="{00000000-0005-0000-0000-00000C830000}"/>
    <cellStyle name="40 % - Markeringsfarve5 5 3 2 2 2 3" xfId="27158" xr:uid="{00000000-0005-0000-0000-00000D830000}"/>
    <cellStyle name="40 % - Markeringsfarve5 5 3 2 2 2 4" xfId="42122" xr:uid="{00000000-0005-0000-0000-00000E830000}"/>
    <cellStyle name="40 % - Markeringsfarve5 5 3 2 2 3" xfId="15099" xr:uid="{00000000-0005-0000-0000-00000F830000}"/>
    <cellStyle name="40 % - Markeringsfarve5 5 3 2 2 3 2" xfId="31378" xr:uid="{00000000-0005-0000-0000-000010830000}"/>
    <cellStyle name="40 % - Markeringsfarve5 5 3 2 2 3 3" xfId="46338" xr:uid="{00000000-0005-0000-0000-000011830000}"/>
    <cellStyle name="40 % - Markeringsfarve5 5 3 2 2 4" xfId="24376" xr:uid="{00000000-0005-0000-0000-000012830000}"/>
    <cellStyle name="40 % - Markeringsfarve5 5 3 2 2 5" xfId="39341" xr:uid="{00000000-0005-0000-0000-000013830000}"/>
    <cellStyle name="40 % - Markeringsfarve5 5 3 2 3" xfId="8576" xr:uid="{00000000-0005-0000-0000-000014830000}"/>
    <cellStyle name="40 % - Markeringsfarve5 5 3 2 3 2" xfId="16446" xr:uid="{00000000-0005-0000-0000-000015830000}"/>
    <cellStyle name="40 % - Markeringsfarve5 5 3 2 3 2 2" xfId="32722" xr:uid="{00000000-0005-0000-0000-000016830000}"/>
    <cellStyle name="40 % - Markeringsfarve5 5 3 2 3 2 3" xfId="47681" xr:uid="{00000000-0005-0000-0000-000017830000}"/>
    <cellStyle name="40 % - Markeringsfarve5 5 3 2 3 3" xfId="25720" xr:uid="{00000000-0005-0000-0000-000018830000}"/>
    <cellStyle name="40 % - Markeringsfarve5 5 3 2 3 4" xfId="40684" xr:uid="{00000000-0005-0000-0000-000019830000}"/>
    <cellStyle name="40 % - Markeringsfarve5 5 3 2 4" xfId="15098" xr:uid="{00000000-0005-0000-0000-00001A830000}"/>
    <cellStyle name="40 % - Markeringsfarve5 5 3 2 4 2" xfId="31377" xr:uid="{00000000-0005-0000-0000-00001B830000}"/>
    <cellStyle name="40 % - Markeringsfarve5 5 3 2 4 3" xfId="46337" xr:uid="{00000000-0005-0000-0000-00001C830000}"/>
    <cellStyle name="40 % - Markeringsfarve5 5 3 2 5" xfId="24375" xr:uid="{00000000-0005-0000-0000-00001D830000}"/>
    <cellStyle name="40 % - Markeringsfarve5 5 3 2 6" xfId="39340" xr:uid="{00000000-0005-0000-0000-00001E830000}"/>
    <cellStyle name="40 % - Markeringsfarve5 5 3 3" xfId="6615" xr:uid="{00000000-0005-0000-0000-00001F830000}"/>
    <cellStyle name="40 % - Markeringsfarve5 5 3 3 2" xfId="9260" xr:uid="{00000000-0005-0000-0000-000020830000}"/>
    <cellStyle name="40 % - Markeringsfarve5 5 3 3 2 2" xfId="17124" xr:uid="{00000000-0005-0000-0000-000021830000}"/>
    <cellStyle name="40 % - Markeringsfarve5 5 3 3 2 2 2" xfId="33400" xr:uid="{00000000-0005-0000-0000-000022830000}"/>
    <cellStyle name="40 % - Markeringsfarve5 5 3 3 2 2 3" xfId="48359" xr:uid="{00000000-0005-0000-0000-000023830000}"/>
    <cellStyle name="40 % - Markeringsfarve5 5 3 3 2 3" xfId="26398" xr:uid="{00000000-0005-0000-0000-000024830000}"/>
    <cellStyle name="40 % - Markeringsfarve5 5 3 3 2 4" xfId="41362" xr:uid="{00000000-0005-0000-0000-000025830000}"/>
    <cellStyle name="40 % - Markeringsfarve5 5 3 3 3" xfId="15100" xr:uid="{00000000-0005-0000-0000-000026830000}"/>
    <cellStyle name="40 % - Markeringsfarve5 5 3 3 3 2" xfId="31379" xr:uid="{00000000-0005-0000-0000-000027830000}"/>
    <cellStyle name="40 % - Markeringsfarve5 5 3 3 3 3" xfId="46339" xr:uid="{00000000-0005-0000-0000-000028830000}"/>
    <cellStyle name="40 % - Markeringsfarve5 5 3 3 4" xfId="24377" xr:uid="{00000000-0005-0000-0000-000029830000}"/>
    <cellStyle name="40 % - Markeringsfarve5 5 3 3 5" xfId="39342" xr:uid="{00000000-0005-0000-0000-00002A830000}"/>
    <cellStyle name="40 % - Markeringsfarve5 5 3 4" xfId="6616" xr:uid="{00000000-0005-0000-0000-00002B830000}"/>
    <cellStyle name="40 % - Markeringsfarve5 5 3 4 2" xfId="10831" xr:uid="{00000000-0005-0000-0000-00002C830000}"/>
    <cellStyle name="40 % - Markeringsfarve5 5 3 4 2 2" xfId="18669" xr:uid="{00000000-0005-0000-0000-00002D830000}"/>
    <cellStyle name="40 % - Markeringsfarve5 5 3 4 2 2 2" xfId="34945" xr:uid="{00000000-0005-0000-0000-00002E830000}"/>
    <cellStyle name="40 % - Markeringsfarve5 5 3 4 2 2 3" xfId="49904" xr:uid="{00000000-0005-0000-0000-00002F830000}"/>
    <cellStyle name="40 % - Markeringsfarve5 5 3 4 2 3" xfId="27943" xr:uid="{00000000-0005-0000-0000-000030830000}"/>
    <cellStyle name="40 % - Markeringsfarve5 5 3 4 2 4" xfId="42907" xr:uid="{00000000-0005-0000-0000-000031830000}"/>
    <cellStyle name="40 % - Markeringsfarve5 5 3 4 3" xfId="15101" xr:uid="{00000000-0005-0000-0000-000032830000}"/>
    <cellStyle name="40 % - Markeringsfarve5 5 3 4 3 2" xfId="31380" xr:uid="{00000000-0005-0000-0000-000033830000}"/>
    <cellStyle name="40 % - Markeringsfarve5 5 3 4 3 3" xfId="46340" xr:uid="{00000000-0005-0000-0000-000034830000}"/>
    <cellStyle name="40 % - Markeringsfarve5 5 3 4 4" xfId="24378" xr:uid="{00000000-0005-0000-0000-000035830000}"/>
    <cellStyle name="40 % - Markeringsfarve5 5 3 4 5" xfId="39343" xr:uid="{00000000-0005-0000-0000-000036830000}"/>
    <cellStyle name="40 % - Markeringsfarve5 5 3 5" xfId="8231" xr:uid="{00000000-0005-0000-0000-000037830000}"/>
    <cellStyle name="40 % - Markeringsfarve5 5 3 5 2" xfId="16096" xr:uid="{00000000-0005-0000-0000-000038830000}"/>
    <cellStyle name="40 % - Markeringsfarve5 5 3 5 2 2" xfId="32372" xr:uid="{00000000-0005-0000-0000-000039830000}"/>
    <cellStyle name="40 % - Markeringsfarve5 5 3 5 2 3" xfId="47331" xr:uid="{00000000-0005-0000-0000-00003A830000}"/>
    <cellStyle name="40 % - Markeringsfarve5 5 3 5 3" xfId="25370" xr:uid="{00000000-0005-0000-0000-00003B830000}"/>
    <cellStyle name="40 % - Markeringsfarve5 5 3 5 4" xfId="40334" xr:uid="{00000000-0005-0000-0000-00003C830000}"/>
    <cellStyle name="40 % - Markeringsfarve5 5 3 6" xfId="15097" xr:uid="{00000000-0005-0000-0000-00003D830000}"/>
    <cellStyle name="40 % - Markeringsfarve5 5 3 6 2" xfId="31376" xr:uid="{00000000-0005-0000-0000-00003E830000}"/>
    <cellStyle name="40 % - Markeringsfarve5 5 3 6 3" xfId="46336" xr:uid="{00000000-0005-0000-0000-00003F830000}"/>
    <cellStyle name="40 % - Markeringsfarve5 5 3 7" xfId="24374" xr:uid="{00000000-0005-0000-0000-000040830000}"/>
    <cellStyle name="40 % - Markeringsfarve5 5 3 8" xfId="39339" xr:uid="{00000000-0005-0000-0000-000041830000}"/>
    <cellStyle name="40 % - Markeringsfarve5 5 4" xfId="6617" xr:uid="{00000000-0005-0000-0000-000042830000}"/>
    <cellStyle name="40 % - Markeringsfarve5 5 4 2" xfId="6618" xr:uid="{00000000-0005-0000-0000-000043830000}"/>
    <cellStyle name="40 % - Markeringsfarve5 5 4 2 2" xfId="6619" xr:uid="{00000000-0005-0000-0000-000044830000}"/>
    <cellStyle name="40 % - Markeringsfarve5 5 4 2 2 2" xfId="10138" xr:uid="{00000000-0005-0000-0000-000045830000}"/>
    <cellStyle name="40 % - Markeringsfarve5 5 4 2 2 2 2" xfId="17993" xr:uid="{00000000-0005-0000-0000-000046830000}"/>
    <cellStyle name="40 % - Markeringsfarve5 5 4 2 2 2 2 2" xfId="34269" xr:uid="{00000000-0005-0000-0000-000047830000}"/>
    <cellStyle name="40 % - Markeringsfarve5 5 4 2 2 2 2 3" xfId="49228" xr:uid="{00000000-0005-0000-0000-000048830000}"/>
    <cellStyle name="40 % - Markeringsfarve5 5 4 2 2 2 3" xfId="27267" xr:uid="{00000000-0005-0000-0000-000049830000}"/>
    <cellStyle name="40 % - Markeringsfarve5 5 4 2 2 2 4" xfId="42231" xr:uid="{00000000-0005-0000-0000-00004A830000}"/>
    <cellStyle name="40 % - Markeringsfarve5 5 4 2 2 3" xfId="15104" xr:uid="{00000000-0005-0000-0000-00004B830000}"/>
    <cellStyle name="40 % - Markeringsfarve5 5 4 2 2 3 2" xfId="31383" xr:uid="{00000000-0005-0000-0000-00004C830000}"/>
    <cellStyle name="40 % - Markeringsfarve5 5 4 2 2 3 3" xfId="46343" xr:uid="{00000000-0005-0000-0000-00004D830000}"/>
    <cellStyle name="40 % - Markeringsfarve5 5 4 2 2 4" xfId="24381" xr:uid="{00000000-0005-0000-0000-00004E830000}"/>
    <cellStyle name="40 % - Markeringsfarve5 5 4 2 2 5" xfId="39346" xr:uid="{00000000-0005-0000-0000-00004F830000}"/>
    <cellStyle name="40 % - Markeringsfarve5 5 4 2 3" xfId="8672" xr:uid="{00000000-0005-0000-0000-000050830000}"/>
    <cellStyle name="40 % - Markeringsfarve5 5 4 2 3 2" xfId="16539" xr:uid="{00000000-0005-0000-0000-000051830000}"/>
    <cellStyle name="40 % - Markeringsfarve5 5 4 2 3 2 2" xfId="32815" xr:uid="{00000000-0005-0000-0000-000052830000}"/>
    <cellStyle name="40 % - Markeringsfarve5 5 4 2 3 2 3" xfId="47774" xr:uid="{00000000-0005-0000-0000-000053830000}"/>
    <cellStyle name="40 % - Markeringsfarve5 5 4 2 3 3" xfId="25813" xr:uid="{00000000-0005-0000-0000-000054830000}"/>
    <cellStyle name="40 % - Markeringsfarve5 5 4 2 3 4" xfId="40777" xr:uid="{00000000-0005-0000-0000-000055830000}"/>
    <cellStyle name="40 % - Markeringsfarve5 5 4 2 4" xfId="15103" xr:uid="{00000000-0005-0000-0000-000056830000}"/>
    <cellStyle name="40 % - Markeringsfarve5 5 4 2 4 2" xfId="31382" xr:uid="{00000000-0005-0000-0000-000057830000}"/>
    <cellStyle name="40 % - Markeringsfarve5 5 4 2 4 3" xfId="46342" xr:uid="{00000000-0005-0000-0000-000058830000}"/>
    <cellStyle name="40 % - Markeringsfarve5 5 4 2 5" xfId="24380" xr:uid="{00000000-0005-0000-0000-000059830000}"/>
    <cellStyle name="40 % - Markeringsfarve5 5 4 2 6" xfId="39345" xr:uid="{00000000-0005-0000-0000-00005A830000}"/>
    <cellStyle name="40 % - Markeringsfarve5 5 4 3" xfId="6620" xr:uid="{00000000-0005-0000-0000-00005B830000}"/>
    <cellStyle name="40 % - Markeringsfarve5 5 4 3 2" xfId="9415" xr:uid="{00000000-0005-0000-0000-00005C830000}"/>
    <cellStyle name="40 % - Markeringsfarve5 5 4 3 2 2" xfId="17278" xr:uid="{00000000-0005-0000-0000-00005D830000}"/>
    <cellStyle name="40 % - Markeringsfarve5 5 4 3 2 2 2" xfId="33554" xr:uid="{00000000-0005-0000-0000-00005E830000}"/>
    <cellStyle name="40 % - Markeringsfarve5 5 4 3 2 2 3" xfId="48513" xr:uid="{00000000-0005-0000-0000-00005F830000}"/>
    <cellStyle name="40 % - Markeringsfarve5 5 4 3 2 3" xfId="26552" xr:uid="{00000000-0005-0000-0000-000060830000}"/>
    <cellStyle name="40 % - Markeringsfarve5 5 4 3 2 4" xfId="41516" xr:uid="{00000000-0005-0000-0000-000061830000}"/>
    <cellStyle name="40 % - Markeringsfarve5 5 4 3 3" xfId="15105" xr:uid="{00000000-0005-0000-0000-000062830000}"/>
    <cellStyle name="40 % - Markeringsfarve5 5 4 3 3 2" xfId="31384" xr:uid="{00000000-0005-0000-0000-000063830000}"/>
    <cellStyle name="40 % - Markeringsfarve5 5 4 3 3 3" xfId="46344" xr:uid="{00000000-0005-0000-0000-000064830000}"/>
    <cellStyle name="40 % - Markeringsfarve5 5 4 3 4" xfId="24382" xr:uid="{00000000-0005-0000-0000-000065830000}"/>
    <cellStyle name="40 % - Markeringsfarve5 5 4 3 5" xfId="39347" xr:uid="{00000000-0005-0000-0000-000066830000}"/>
    <cellStyle name="40 % - Markeringsfarve5 5 4 4" xfId="6621" xr:uid="{00000000-0005-0000-0000-000067830000}"/>
    <cellStyle name="40 % - Markeringsfarve5 5 4 4 2" xfId="10481" xr:uid="{00000000-0005-0000-0000-000068830000}"/>
    <cellStyle name="40 % - Markeringsfarve5 5 4 4 2 2" xfId="18330" xr:uid="{00000000-0005-0000-0000-000069830000}"/>
    <cellStyle name="40 % - Markeringsfarve5 5 4 4 2 2 2" xfId="34606" xr:uid="{00000000-0005-0000-0000-00006A830000}"/>
    <cellStyle name="40 % - Markeringsfarve5 5 4 4 2 2 3" xfId="49565" xr:uid="{00000000-0005-0000-0000-00006B830000}"/>
    <cellStyle name="40 % - Markeringsfarve5 5 4 4 2 3" xfId="27604" xr:uid="{00000000-0005-0000-0000-00006C830000}"/>
    <cellStyle name="40 % - Markeringsfarve5 5 4 4 2 4" xfId="42568" xr:uid="{00000000-0005-0000-0000-00006D830000}"/>
    <cellStyle name="40 % - Markeringsfarve5 5 4 4 3" xfId="15106" xr:uid="{00000000-0005-0000-0000-00006E830000}"/>
    <cellStyle name="40 % - Markeringsfarve5 5 4 4 3 2" xfId="31385" xr:uid="{00000000-0005-0000-0000-00006F830000}"/>
    <cellStyle name="40 % - Markeringsfarve5 5 4 4 3 3" xfId="46345" xr:uid="{00000000-0005-0000-0000-000070830000}"/>
    <cellStyle name="40 % - Markeringsfarve5 5 4 4 4" xfId="24383" xr:uid="{00000000-0005-0000-0000-000071830000}"/>
    <cellStyle name="40 % - Markeringsfarve5 5 4 4 5" xfId="39348" xr:uid="{00000000-0005-0000-0000-000072830000}"/>
    <cellStyle name="40 % - Markeringsfarve5 5 4 5" xfId="8232" xr:uid="{00000000-0005-0000-0000-000073830000}"/>
    <cellStyle name="40 % - Markeringsfarve5 5 4 5 2" xfId="16097" xr:uid="{00000000-0005-0000-0000-000074830000}"/>
    <cellStyle name="40 % - Markeringsfarve5 5 4 5 2 2" xfId="32373" xr:uid="{00000000-0005-0000-0000-000075830000}"/>
    <cellStyle name="40 % - Markeringsfarve5 5 4 5 2 3" xfId="47332" xr:uid="{00000000-0005-0000-0000-000076830000}"/>
    <cellStyle name="40 % - Markeringsfarve5 5 4 5 3" xfId="25371" xr:uid="{00000000-0005-0000-0000-000077830000}"/>
    <cellStyle name="40 % - Markeringsfarve5 5 4 5 4" xfId="40335" xr:uid="{00000000-0005-0000-0000-000078830000}"/>
    <cellStyle name="40 % - Markeringsfarve5 5 4 6" xfId="15102" xr:uid="{00000000-0005-0000-0000-000079830000}"/>
    <cellStyle name="40 % - Markeringsfarve5 5 4 6 2" xfId="31381" xr:uid="{00000000-0005-0000-0000-00007A830000}"/>
    <cellStyle name="40 % - Markeringsfarve5 5 4 6 3" xfId="46341" xr:uid="{00000000-0005-0000-0000-00007B830000}"/>
    <cellStyle name="40 % - Markeringsfarve5 5 4 7" xfId="24379" xr:uid="{00000000-0005-0000-0000-00007C830000}"/>
    <cellStyle name="40 % - Markeringsfarve5 5 4 8" xfId="39344" xr:uid="{00000000-0005-0000-0000-00007D830000}"/>
    <cellStyle name="40 % - Markeringsfarve5 5 5" xfId="6622" xr:uid="{00000000-0005-0000-0000-00007E830000}"/>
    <cellStyle name="40 % - Markeringsfarve5 5 5 2" xfId="6623" xr:uid="{00000000-0005-0000-0000-00007F830000}"/>
    <cellStyle name="40 % - Markeringsfarve5 5 5 2 2" xfId="6624" xr:uid="{00000000-0005-0000-0000-000080830000}"/>
    <cellStyle name="40 % - Markeringsfarve5 5 5 2 2 2" xfId="10255" xr:uid="{00000000-0005-0000-0000-000081830000}"/>
    <cellStyle name="40 % - Markeringsfarve5 5 5 2 2 2 2" xfId="18110" xr:uid="{00000000-0005-0000-0000-000082830000}"/>
    <cellStyle name="40 % - Markeringsfarve5 5 5 2 2 2 2 2" xfId="34386" xr:uid="{00000000-0005-0000-0000-000083830000}"/>
    <cellStyle name="40 % - Markeringsfarve5 5 5 2 2 2 2 3" xfId="49345" xr:uid="{00000000-0005-0000-0000-000084830000}"/>
    <cellStyle name="40 % - Markeringsfarve5 5 5 2 2 2 3" xfId="27384" xr:uid="{00000000-0005-0000-0000-000085830000}"/>
    <cellStyle name="40 % - Markeringsfarve5 5 5 2 2 2 4" xfId="42348" xr:uid="{00000000-0005-0000-0000-000086830000}"/>
    <cellStyle name="40 % - Markeringsfarve5 5 5 2 2 3" xfId="15109" xr:uid="{00000000-0005-0000-0000-000087830000}"/>
    <cellStyle name="40 % - Markeringsfarve5 5 5 2 2 3 2" xfId="31388" xr:uid="{00000000-0005-0000-0000-000088830000}"/>
    <cellStyle name="40 % - Markeringsfarve5 5 5 2 2 3 3" xfId="46348" xr:uid="{00000000-0005-0000-0000-000089830000}"/>
    <cellStyle name="40 % - Markeringsfarve5 5 5 2 2 4" xfId="24386" xr:uid="{00000000-0005-0000-0000-00008A830000}"/>
    <cellStyle name="40 % - Markeringsfarve5 5 5 2 2 5" xfId="39351" xr:uid="{00000000-0005-0000-0000-00008B830000}"/>
    <cellStyle name="40 % - Markeringsfarve5 5 5 2 3" xfId="8771" xr:uid="{00000000-0005-0000-0000-00008C830000}"/>
    <cellStyle name="40 % - Markeringsfarve5 5 5 2 3 2" xfId="16638" xr:uid="{00000000-0005-0000-0000-00008D830000}"/>
    <cellStyle name="40 % - Markeringsfarve5 5 5 2 3 2 2" xfId="32914" xr:uid="{00000000-0005-0000-0000-00008E830000}"/>
    <cellStyle name="40 % - Markeringsfarve5 5 5 2 3 2 3" xfId="47873" xr:uid="{00000000-0005-0000-0000-00008F830000}"/>
    <cellStyle name="40 % - Markeringsfarve5 5 5 2 3 3" xfId="25912" xr:uid="{00000000-0005-0000-0000-000090830000}"/>
    <cellStyle name="40 % - Markeringsfarve5 5 5 2 3 4" xfId="40876" xr:uid="{00000000-0005-0000-0000-000091830000}"/>
    <cellStyle name="40 % - Markeringsfarve5 5 5 2 4" xfId="15108" xr:uid="{00000000-0005-0000-0000-000092830000}"/>
    <cellStyle name="40 % - Markeringsfarve5 5 5 2 4 2" xfId="31387" xr:uid="{00000000-0005-0000-0000-000093830000}"/>
    <cellStyle name="40 % - Markeringsfarve5 5 5 2 4 3" xfId="46347" xr:uid="{00000000-0005-0000-0000-000094830000}"/>
    <cellStyle name="40 % - Markeringsfarve5 5 5 2 5" xfId="24385" xr:uid="{00000000-0005-0000-0000-000095830000}"/>
    <cellStyle name="40 % - Markeringsfarve5 5 5 2 6" xfId="39350" xr:uid="{00000000-0005-0000-0000-000096830000}"/>
    <cellStyle name="40 % - Markeringsfarve5 5 5 3" xfId="6625" xr:uid="{00000000-0005-0000-0000-000097830000}"/>
    <cellStyle name="40 % - Markeringsfarve5 5 5 3 2" xfId="9532" xr:uid="{00000000-0005-0000-0000-000098830000}"/>
    <cellStyle name="40 % - Markeringsfarve5 5 5 3 2 2" xfId="17395" xr:uid="{00000000-0005-0000-0000-000099830000}"/>
    <cellStyle name="40 % - Markeringsfarve5 5 5 3 2 2 2" xfId="33671" xr:uid="{00000000-0005-0000-0000-00009A830000}"/>
    <cellStyle name="40 % - Markeringsfarve5 5 5 3 2 2 3" xfId="48630" xr:uid="{00000000-0005-0000-0000-00009B830000}"/>
    <cellStyle name="40 % - Markeringsfarve5 5 5 3 2 3" xfId="26669" xr:uid="{00000000-0005-0000-0000-00009C830000}"/>
    <cellStyle name="40 % - Markeringsfarve5 5 5 3 2 4" xfId="41633" xr:uid="{00000000-0005-0000-0000-00009D830000}"/>
    <cellStyle name="40 % - Markeringsfarve5 5 5 3 3" xfId="15110" xr:uid="{00000000-0005-0000-0000-00009E830000}"/>
    <cellStyle name="40 % - Markeringsfarve5 5 5 3 3 2" xfId="31389" xr:uid="{00000000-0005-0000-0000-00009F830000}"/>
    <cellStyle name="40 % - Markeringsfarve5 5 5 3 3 3" xfId="46349" xr:uid="{00000000-0005-0000-0000-0000A0830000}"/>
    <cellStyle name="40 % - Markeringsfarve5 5 5 3 4" xfId="24387" xr:uid="{00000000-0005-0000-0000-0000A1830000}"/>
    <cellStyle name="40 % - Markeringsfarve5 5 5 3 5" xfId="39352" xr:uid="{00000000-0005-0000-0000-0000A2830000}"/>
    <cellStyle name="40 % - Markeringsfarve5 5 5 4" xfId="6626" xr:uid="{00000000-0005-0000-0000-0000A3830000}"/>
    <cellStyle name="40 % - Markeringsfarve5 5 5 4 2" xfId="10425" xr:uid="{00000000-0005-0000-0000-0000A4830000}"/>
    <cellStyle name="40 % - Markeringsfarve5 5 5 4 2 2" xfId="18277" xr:uid="{00000000-0005-0000-0000-0000A5830000}"/>
    <cellStyle name="40 % - Markeringsfarve5 5 5 4 2 2 2" xfId="34553" xr:uid="{00000000-0005-0000-0000-0000A6830000}"/>
    <cellStyle name="40 % - Markeringsfarve5 5 5 4 2 2 3" xfId="49512" xr:uid="{00000000-0005-0000-0000-0000A7830000}"/>
    <cellStyle name="40 % - Markeringsfarve5 5 5 4 2 3" xfId="27551" xr:uid="{00000000-0005-0000-0000-0000A8830000}"/>
    <cellStyle name="40 % - Markeringsfarve5 5 5 4 2 4" xfId="42515" xr:uid="{00000000-0005-0000-0000-0000A9830000}"/>
    <cellStyle name="40 % - Markeringsfarve5 5 5 4 3" xfId="15111" xr:uid="{00000000-0005-0000-0000-0000AA830000}"/>
    <cellStyle name="40 % - Markeringsfarve5 5 5 4 3 2" xfId="31390" xr:uid="{00000000-0005-0000-0000-0000AB830000}"/>
    <cellStyle name="40 % - Markeringsfarve5 5 5 4 3 3" xfId="46350" xr:uid="{00000000-0005-0000-0000-0000AC830000}"/>
    <cellStyle name="40 % - Markeringsfarve5 5 5 4 4" xfId="24388" xr:uid="{00000000-0005-0000-0000-0000AD830000}"/>
    <cellStyle name="40 % - Markeringsfarve5 5 5 4 5" xfId="39353" xr:uid="{00000000-0005-0000-0000-0000AE830000}"/>
    <cellStyle name="40 % - Markeringsfarve5 5 5 5" xfId="8233" xr:uid="{00000000-0005-0000-0000-0000AF830000}"/>
    <cellStyle name="40 % - Markeringsfarve5 5 5 5 2" xfId="16098" xr:uid="{00000000-0005-0000-0000-0000B0830000}"/>
    <cellStyle name="40 % - Markeringsfarve5 5 5 5 2 2" xfId="32374" xr:uid="{00000000-0005-0000-0000-0000B1830000}"/>
    <cellStyle name="40 % - Markeringsfarve5 5 5 5 2 3" xfId="47333" xr:uid="{00000000-0005-0000-0000-0000B2830000}"/>
    <cellStyle name="40 % - Markeringsfarve5 5 5 5 3" xfId="25372" xr:uid="{00000000-0005-0000-0000-0000B3830000}"/>
    <cellStyle name="40 % - Markeringsfarve5 5 5 5 4" xfId="40336" xr:uid="{00000000-0005-0000-0000-0000B4830000}"/>
    <cellStyle name="40 % - Markeringsfarve5 5 5 6" xfId="15107" xr:uid="{00000000-0005-0000-0000-0000B5830000}"/>
    <cellStyle name="40 % - Markeringsfarve5 5 5 6 2" xfId="31386" xr:uid="{00000000-0005-0000-0000-0000B6830000}"/>
    <cellStyle name="40 % - Markeringsfarve5 5 5 6 3" xfId="46346" xr:uid="{00000000-0005-0000-0000-0000B7830000}"/>
    <cellStyle name="40 % - Markeringsfarve5 5 5 7" xfId="24384" xr:uid="{00000000-0005-0000-0000-0000B8830000}"/>
    <cellStyle name="40 % - Markeringsfarve5 5 5 8" xfId="39349" xr:uid="{00000000-0005-0000-0000-0000B9830000}"/>
    <cellStyle name="40 % - Markeringsfarve5 5 6" xfId="6627" xr:uid="{00000000-0005-0000-0000-0000BA830000}"/>
    <cellStyle name="40 % - Markeringsfarve5 5 6 2" xfId="6628" xr:uid="{00000000-0005-0000-0000-0000BB830000}"/>
    <cellStyle name="40 % - Markeringsfarve5 5 6 2 2" xfId="6629" xr:uid="{00000000-0005-0000-0000-0000BC830000}"/>
    <cellStyle name="40 % - Markeringsfarve5 5 6 2 2 2" xfId="10383" xr:uid="{00000000-0005-0000-0000-0000BD830000}"/>
    <cellStyle name="40 % - Markeringsfarve5 5 6 2 2 2 2" xfId="18238" xr:uid="{00000000-0005-0000-0000-0000BE830000}"/>
    <cellStyle name="40 % - Markeringsfarve5 5 6 2 2 2 2 2" xfId="34514" xr:uid="{00000000-0005-0000-0000-0000BF830000}"/>
    <cellStyle name="40 % - Markeringsfarve5 5 6 2 2 2 2 3" xfId="49473" xr:uid="{00000000-0005-0000-0000-0000C0830000}"/>
    <cellStyle name="40 % - Markeringsfarve5 5 6 2 2 2 3" xfId="27512" xr:uid="{00000000-0005-0000-0000-0000C1830000}"/>
    <cellStyle name="40 % - Markeringsfarve5 5 6 2 2 2 4" xfId="42476" xr:uid="{00000000-0005-0000-0000-0000C2830000}"/>
    <cellStyle name="40 % - Markeringsfarve5 5 6 2 2 3" xfId="15114" xr:uid="{00000000-0005-0000-0000-0000C3830000}"/>
    <cellStyle name="40 % - Markeringsfarve5 5 6 2 2 3 2" xfId="31393" xr:uid="{00000000-0005-0000-0000-0000C4830000}"/>
    <cellStyle name="40 % - Markeringsfarve5 5 6 2 2 3 3" xfId="46353" xr:uid="{00000000-0005-0000-0000-0000C5830000}"/>
    <cellStyle name="40 % - Markeringsfarve5 5 6 2 2 4" xfId="24391" xr:uid="{00000000-0005-0000-0000-0000C6830000}"/>
    <cellStyle name="40 % - Markeringsfarve5 5 6 2 2 5" xfId="39356" xr:uid="{00000000-0005-0000-0000-0000C7830000}"/>
    <cellStyle name="40 % - Markeringsfarve5 5 6 2 3" xfId="8877" xr:uid="{00000000-0005-0000-0000-0000C8830000}"/>
    <cellStyle name="40 % - Markeringsfarve5 5 6 2 3 2" xfId="16744" xr:uid="{00000000-0005-0000-0000-0000C9830000}"/>
    <cellStyle name="40 % - Markeringsfarve5 5 6 2 3 2 2" xfId="33020" xr:uid="{00000000-0005-0000-0000-0000CA830000}"/>
    <cellStyle name="40 % - Markeringsfarve5 5 6 2 3 2 3" xfId="47979" xr:uid="{00000000-0005-0000-0000-0000CB830000}"/>
    <cellStyle name="40 % - Markeringsfarve5 5 6 2 3 3" xfId="26018" xr:uid="{00000000-0005-0000-0000-0000CC830000}"/>
    <cellStyle name="40 % - Markeringsfarve5 5 6 2 3 4" xfId="40982" xr:uid="{00000000-0005-0000-0000-0000CD830000}"/>
    <cellStyle name="40 % - Markeringsfarve5 5 6 2 4" xfId="15113" xr:uid="{00000000-0005-0000-0000-0000CE830000}"/>
    <cellStyle name="40 % - Markeringsfarve5 5 6 2 4 2" xfId="31392" xr:uid="{00000000-0005-0000-0000-0000CF830000}"/>
    <cellStyle name="40 % - Markeringsfarve5 5 6 2 4 3" xfId="46352" xr:uid="{00000000-0005-0000-0000-0000D0830000}"/>
    <cellStyle name="40 % - Markeringsfarve5 5 6 2 5" xfId="24390" xr:uid="{00000000-0005-0000-0000-0000D1830000}"/>
    <cellStyle name="40 % - Markeringsfarve5 5 6 2 6" xfId="39355" xr:uid="{00000000-0005-0000-0000-0000D2830000}"/>
    <cellStyle name="40 % - Markeringsfarve5 5 6 3" xfId="6630" xr:uid="{00000000-0005-0000-0000-0000D3830000}"/>
    <cellStyle name="40 % - Markeringsfarve5 5 6 3 2" xfId="9661" xr:uid="{00000000-0005-0000-0000-0000D4830000}"/>
    <cellStyle name="40 % - Markeringsfarve5 5 6 3 2 2" xfId="17524" xr:uid="{00000000-0005-0000-0000-0000D5830000}"/>
    <cellStyle name="40 % - Markeringsfarve5 5 6 3 2 2 2" xfId="33800" xr:uid="{00000000-0005-0000-0000-0000D6830000}"/>
    <cellStyle name="40 % - Markeringsfarve5 5 6 3 2 2 3" xfId="48759" xr:uid="{00000000-0005-0000-0000-0000D7830000}"/>
    <cellStyle name="40 % - Markeringsfarve5 5 6 3 2 3" xfId="26798" xr:uid="{00000000-0005-0000-0000-0000D8830000}"/>
    <cellStyle name="40 % - Markeringsfarve5 5 6 3 2 4" xfId="41762" xr:uid="{00000000-0005-0000-0000-0000D9830000}"/>
    <cellStyle name="40 % - Markeringsfarve5 5 6 3 3" xfId="15115" xr:uid="{00000000-0005-0000-0000-0000DA830000}"/>
    <cellStyle name="40 % - Markeringsfarve5 5 6 3 3 2" xfId="31394" xr:uid="{00000000-0005-0000-0000-0000DB830000}"/>
    <cellStyle name="40 % - Markeringsfarve5 5 6 3 3 3" xfId="46354" xr:uid="{00000000-0005-0000-0000-0000DC830000}"/>
    <cellStyle name="40 % - Markeringsfarve5 5 6 3 4" xfId="24392" xr:uid="{00000000-0005-0000-0000-0000DD830000}"/>
    <cellStyle name="40 % - Markeringsfarve5 5 6 3 5" xfId="39357" xr:uid="{00000000-0005-0000-0000-0000DE830000}"/>
    <cellStyle name="40 % - Markeringsfarve5 5 6 4" xfId="6631" xr:uid="{00000000-0005-0000-0000-0000DF830000}"/>
    <cellStyle name="40 % - Markeringsfarve5 5 6 4 2" xfId="10762" xr:uid="{00000000-0005-0000-0000-0000E0830000}"/>
    <cellStyle name="40 % - Markeringsfarve5 5 6 4 2 2" xfId="18605" xr:uid="{00000000-0005-0000-0000-0000E1830000}"/>
    <cellStyle name="40 % - Markeringsfarve5 5 6 4 2 2 2" xfId="34881" xr:uid="{00000000-0005-0000-0000-0000E2830000}"/>
    <cellStyle name="40 % - Markeringsfarve5 5 6 4 2 2 3" xfId="49840" xr:uid="{00000000-0005-0000-0000-0000E3830000}"/>
    <cellStyle name="40 % - Markeringsfarve5 5 6 4 2 3" xfId="27879" xr:uid="{00000000-0005-0000-0000-0000E4830000}"/>
    <cellStyle name="40 % - Markeringsfarve5 5 6 4 2 4" xfId="42843" xr:uid="{00000000-0005-0000-0000-0000E5830000}"/>
    <cellStyle name="40 % - Markeringsfarve5 5 6 4 3" xfId="15116" xr:uid="{00000000-0005-0000-0000-0000E6830000}"/>
    <cellStyle name="40 % - Markeringsfarve5 5 6 4 3 2" xfId="31395" xr:uid="{00000000-0005-0000-0000-0000E7830000}"/>
    <cellStyle name="40 % - Markeringsfarve5 5 6 4 3 3" xfId="46355" xr:uid="{00000000-0005-0000-0000-0000E8830000}"/>
    <cellStyle name="40 % - Markeringsfarve5 5 6 4 4" xfId="24393" xr:uid="{00000000-0005-0000-0000-0000E9830000}"/>
    <cellStyle name="40 % - Markeringsfarve5 5 6 4 5" xfId="39358" xr:uid="{00000000-0005-0000-0000-0000EA830000}"/>
    <cellStyle name="40 % - Markeringsfarve5 5 6 5" xfId="8234" xr:uid="{00000000-0005-0000-0000-0000EB830000}"/>
    <cellStyle name="40 % - Markeringsfarve5 5 6 5 2" xfId="16099" xr:uid="{00000000-0005-0000-0000-0000EC830000}"/>
    <cellStyle name="40 % - Markeringsfarve5 5 6 5 2 2" xfId="32375" xr:uid="{00000000-0005-0000-0000-0000ED830000}"/>
    <cellStyle name="40 % - Markeringsfarve5 5 6 5 2 3" xfId="47334" xr:uid="{00000000-0005-0000-0000-0000EE830000}"/>
    <cellStyle name="40 % - Markeringsfarve5 5 6 5 3" xfId="25373" xr:uid="{00000000-0005-0000-0000-0000EF830000}"/>
    <cellStyle name="40 % - Markeringsfarve5 5 6 5 4" xfId="40337" xr:uid="{00000000-0005-0000-0000-0000F0830000}"/>
    <cellStyle name="40 % - Markeringsfarve5 5 6 6" xfId="15112" xr:uid="{00000000-0005-0000-0000-0000F1830000}"/>
    <cellStyle name="40 % - Markeringsfarve5 5 6 6 2" xfId="31391" xr:uid="{00000000-0005-0000-0000-0000F2830000}"/>
    <cellStyle name="40 % - Markeringsfarve5 5 6 6 3" xfId="46351" xr:uid="{00000000-0005-0000-0000-0000F3830000}"/>
    <cellStyle name="40 % - Markeringsfarve5 5 6 7" xfId="24389" xr:uid="{00000000-0005-0000-0000-0000F4830000}"/>
    <cellStyle name="40 % - Markeringsfarve5 5 6 8" xfId="39354" xr:uid="{00000000-0005-0000-0000-0000F5830000}"/>
    <cellStyle name="40 % - Markeringsfarve5 5 7" xfId="6632" xr:uid="{00000000-0005-0000-0000-0000F6830000}"/>
    <cellStyle name="40 % - Markeringsfarve5 5 7 2" xfId="6633" xr:uid="{00000000-0005-0000-0000-0000F7830000}"/>
    <cellStyle name="40 % - Markeringsfarve5 5 7 2 2" xfId="9782" xr:uid="{00000000-0005-0000-0000-0000F8830000}"/>
    <cellStyle name="40 % - Markeringsfarve5 5 7 2 2 2" xfId="17636" xr:uid="{00000000-0005-0000-0000-0000F9830000}"/>
    <cellStyle name="40 % - Markeringsfarve5 5 7 2 2 2 2" xfId="33912" xr:uid="{00000000-0005-0000-0000-0000FA830000}"/>
    <cellStyle name="40 % - Markeringsfarve5 5 7 2 2 2 3" xfId="48871" xr:uid="{00000000-0005-0000-0000-0000FB830000}"/>
    <cellStyle name="40 % - Markeringsfarve5 5 7 2 2 3" xfId="26910" xr:uid="{00000000-0005-0000-0000-0000FC830000}"/>
    <cellStyle name="40 % - Markeringsfarve5 5 7 2 2 4" xfId="41874" xr:uid="{00000000-0005-0000-0000-0000FD830000}"/>
    <cellStyle name="40 % - Markeringsfarve5 5 7 2 3" xfId="15118" xr:uid="{00000000-0005-0000-0000-0000FE830000}"/>
    <cellStyle name="40 % - Markeringsfarve5 5 7 2 3 2" xfId="31397" xr:uid="{00000000-0005-0000-0000-0000FF830000}"/>
    <cellStyle name="40 % - Markeringsfarve5 5 7 2 3 3" xfId="46357" xr:uid="{00000000-0005-0000-0000-000000840000}"/>
    <cellStyle name="40 % - Markeringsfarve5 5 7 2 4" xfId="24395" xr:uid="{00000000-0005-0000-0000-000001840000}"/>
    <cellStyle name="40 % - Markeringsfarve5 5 7 2 5" xfId="39360" xr:uid="{00000000-0005-0000-0000-000002840000}"/>
    <cellStyle name="40 % - Markeringsfarve5 5 7 3" xfId="8371" xr:uid="{00000000-0005-0000-0000-000003840000}"/>
    <cellStyle name="40 % - Markeringsfarve5 5 7 3 2" xfId="16241" xr:uid="{00000000-0005-0000-0000-000004840000}"/>
    <cellStyle name="40 % - Markeringsfarve5 5 7 3 2 2" xfId="32517" xr:uid="{00000000-0005-0000-0000-000005840000}"/>
    <cellStyle name="40 % - Markeringsfarve5 5 7 3 2 3" xfId="47476" xr:uid="{00000000-0005-0000-0000-000006840000}"/>
    <cellStyle name="40 % - Markeringsfarve5 5 7 3 3" xfId="25515" xr:uid="{00000000-0005-0000-0000-000007840000}"/>
    <cellStyle name="40 % - Markeringsfarve5 5 7 3 4" xfId="40479" xr:uid="{00000000-0005-0000-0000-000008840000}"/>
    <cellStyle name="40 % - Markeringsfarve5 5 7 4" xfId="15117" xr:uid="{00000000-0005-0000-0000-000009840000}"/>
    <cellStyle name="40 % - Markeringsfarve5 5 7 4 2" xfId="31396" xr:uid="{00000000-0005-0000-0000-00000A840000}"/>
    <cellStyle name="40 % - Markeringsfarve5 5 7 4 3" xfId="46356" xr:uid="{00000000-0005-0000-0000-00000B840000}"/>
    <cellStyle name="40 % - Markeringsfarve5 5 7 5" xfId="24394" xr:uid="{00000000-0005-0000-0000-00000C840000}"/>
    <cellStyle name="40 % - Markeringsfarve5 5 7 6" xfId="39359" xr:uid="{00000000-0005-0000-0000-00000D840000}"/>
    <cellStyle name="40 % - Markeringsfarve5 5 8" xfId="6634" xr:uid="{00000000-0005-0000-0000-00000E840000}"/>
    <cellStyle name="40 % - Markeringsfarve5 5 8 2" xfId="9010" xr:uid="{00000000-0005-0000-0000-00000F840000}"/>
    <cellStyle name="40 % - Markeringsfarve5 5 8 2 2" xfId="16874" xr:uid="{00000000-0005-0000-0000-000010840000}"/>
    <cellStyle name="40 % - Markeringsfarve5 5 8 2 2 2" xfId="33150" xr:uid="{00000000-0005-0000-0000-000011840000}"/>
    <cellStyle name="40 % - Markeringsfarve5 5 8 2 2 3" xfId="48109" xr:uid="{00000000-0005-0000-0000-000012840000}"/>
    <cellStyle name="40 % - Markeringsfarve5 5 8 2 3" xfId="26148" xr:uid="{00000000-0005-0000-0000-000013840000}"/>
    <cellStyle name="40 % - Markeringsfarve5 5 8 2 4" xfId="41112" xr:uid="{00000000-0005-0000-0000-000014840000}"/>
    <cellStyle name="40 % - Markeringsfarve5 5 8 3" xfId="15119" xr:uid="{00000000-0005-0000-0000-000015840000}"/>
    <cellStyle name="40 % - Markeringsfarve5 5 8 3 2" xfId="31398" xr:uid="{00000000-0005-0000-0000-000016840000}"/>
    <cellStyle name="40 % - Markeringsfarve5 5 8 3 3" xfId="46358" xr:uid="{00000000-0005-0000-0000-000017840000}"/>
    <cellStyle name="40 % - Markeringsfarve5 5 8 4" xfId="24396" xr:uid="{00000000-0005-0000-0000-000018840000}"/>
    <cellStyle name="40 % - Markeringsfarve5 5 8 5" xfId="39361" xr:uid="{00000000-0005-0000-0000-000019840000}"/>
    <cellStyle name="40 % - Markeringsfarve5 5 9" xfId="6635" xr:uid="{00000000-0005-0000-0000-00001A840000}"/>
    <cellStyle name="40 % - Markeringsfarve5 5 9 2" xfId="10589" xr:uid="{00000000-0005-0000-0000-00001B840000}"/>
    <cellStyle name="40 % - Markeringsfarve5 5 9 2 2" xfId="18438" xr:uid="{00000000-0005-0000-0000-00001C840000}"/>
    <cellStyle name="40 % - Markeringsfarve5 5 9 2 2 2" xfId="34714" xr:uid="{00000000-0005-0000-0000-00001D840000}"/>
    <cellStyle name="40 % - Markeringsfarve5 5 9 2 2 3" xfId="49673" xr:uid="{00000000-0005-0000-0000-00001E840000}"/>
    <cellStyle name="40 % - Markeringsfarve5 5 9 2 3" xfId="27712" xr:uid="{00000000-0005-0000-0000-00001F840000}"/>
    <cellStyle name="40 % - Markeringsfarve5 5 9 2 4" xfId="42676" xr:uid="{00000000-0005-0000-0000-000020840000}"/>
    <cellStyle name="40 % - Markeringsfarve5 5 9 3" xfId="15120" xr:uid="{00000000-0005-0000-0000-000021840000}"/>
    <cellStyle name="40 % - Markeringsfarve5 5 9 3 2" xfId="31399" xr:uid="{00000000-0005-0000-0000-000022840000}"/>
    <cellStyle name="40 % - Markeringsfarve5 5 9 3 3" xfId="46359" xr:uid="{00000000-0005-0000-0000-000023840000}"/>
    <cellStyle name="40 % - Markeringsfarve5 5 9 4" xfId="24397" xr:uid="{00000000-0005-0000-0000-000024840000}"/>
    <cellStyle name="40 % - Markeringsfarve5 5 9 5" xfId="39362" xr:uid="{00000000-0005-0000-0000-000025840000}"/>
    <cellStyle name="40 % - Markeringsfarve5 6" xfId="6636" xr:uid="{00000000-0005-0000-0000-000026840000}"/>
    <cellStyle name="40 % - Markeringsfarve5 6 2" xfId="6637" xr:uid="{00000000-0005-0000-0000-000027840000}"/>
    <cellStyle name="40 % - Markeringsfarve5 6 2 2" xfId="6638" xr:uid="{00000000-0005-0000-0000-000028840000}"/>
    <cellStyle name="40 % - Markeringsfarve5 6 2 2 2" xfId="9822" xr:uid="{00000000-0005-0000-0000-000029840000}"/>
    <cellStyle name="40 % - Markeringsfarve5 6 2 2 2 2" xfId="17677" xr:uid="{00000000-0005-0000-0000-00002A840000}"/>
    <cellStyle name="40 % - Markeringsfarve5 6 2 2 2 2 2" xfId="33953" xr:uid="{00000000-0005-0000-0000-00002B840000}"/>
    <cellStyle name="40 % - Markeringsfarve5 6 2 2 2 2 3" xfId="48912" xr:uid="{00000000-0005-0000-0000-00002C840000}"/>
    <cellStyle name="40 % - Markeringsfarve5 6 2 2 2 3" xfId="26951" xr:uid="{00000000-0005-0000-0000-00002D840000}"/>
    <cellStyle name="40 % - Markeringsfarve5 6 2 2 2 4" xfId="41915" xr:uid="{00000000-0005-0000-0000-00002E840000}"/>
    <cellStyle name="40 % - Markeringsfarve5 6 2 2 3" xfId="15123" xr:uid="{00000000-0005-0000-0000-00002F840000}"/>
    <cellStyle name="40 % - Markeringsfarve5 6 2 2 3 2" xfId="31402" xr:uid="{00000000-0005-0000-0000-000030840000}"/>
    <cellStyle name="40 % - Markeringsfarve5 6 2 2 3 3" xfId="46362" xr:uid="{00000000-0005-0000-0000-000031840000}"/>
    <cellStyle name="40 % - Markeringsfarve5 6 2 2 4" xfId="24400" xr:uid="{00000000-0005-0000-0000-000032840000}"/>
    <cellStyle name="40 % - Markeringsfarve5 6 2 2 5" xfId="39365" xr:uid="{00000000-0005-0000-0000-000033840000}"/>
    <cellStyle name="40 % - Markeringsfarve5 6 2 3" xfId="8404" xr:uid="{00000000-0005-0000-0000-000034840000}"/>
    <cellStyle name="40 % - Markeringsfarve5 6 2 3 2" xfId="16274" xr:uid="{00000000-0005-0000-0000-000035840000}"/>
    <cellStyle name="40 % - Markeringsfarve5 6 2 3 2 2" xfId="32550" xr:uid="{00000000-0005-0000-0000-000036840000}"/>
    <cellStyle name="40 % - Markeringsfarve5 6 2 3 2 3" xfId="47509" xr:uid="{00000000-0005-0000-0000-000037840000}"/>
    <cellStyle name="40 % - Markeringsfarve5 6 2 3 3" xfId="25548" xr:uid="{00000000-0005-0000-0000-000038840000}"/>
    <cellStyle name="40 % - Markeringsfarve5 6 2 3 4" xfId="40512" xr:uid="{00000000-0005-0000-0000-000039840000}"/>
    <cellStyle name="40 % - Markeringsfarve5 6 2 4" xfId="15122" xr:uid="{00000000-0005-0000-0000-00003A840000}"/>
    <cellStyle name="40 % - Markeringsfarve5 6 2 4 2" xfId="31401" xr:uid="{00000000-0005-0000-0000-00003B840000}"/>
    <cellStyle name="40 % - Markeringsfarve5 6 2 4 3" xfId="46361" xr:uid="{00000000-0005-0000-0000-00003C840000}"/>
    <cellStyle name="40 % - Markeringsfarve5 6 2 5" xfId="24399" xr:uid="{00000000-0005-0000-0000-00003D840000}"/>
    <cellStyle name="40 % - Markeringsfarve5 6 2 6" xfId="39364" xr:uid="{00000000-0005-0000-0000-00003E840000}"/>
    <cellStyle name="40 % - Markeringsfarve5 6 3" xfId="6639" xr:uid="{00000000-0005-0000-0000-00003F840000}"/>
    <cellStyle name="40 % - Markeringsfarve5 6 3 2" xfId="9053" xr:uid="{00000000-0005-0000-0000-000040840000}"/>
    <cellStyle name="40 % - Markeringsfarve5 6 3 2 2" xfId="16917" xr:uid="{00000000-0005-0000-0000-000041840000}"/>
    <cellStyle name="40 % - Markeringsfarve5 6 3 2 2 2" xfId="33193" xr:uid="{00000000-0005-0000-0000-000042840000}"/>
    <cellStyle name="40 % - Markeringsfarve5 6 3 2 2 3" xfId="48152" xr:uid="{00000000-0005-0000-0000-000043840000}"/>
    <cellStyle name="40 % - Markeringsfarve5 6 3 2 3" xfId="26191" xr:uid="{00000000-0005-0000-0000-000044840000}"/>
    <cellStyle name="40 % - Markeringsfarve5 6 3 2 4" xfId="41155" xr:uid="{00000000-0005-0000-0000-000045840000}"/>
    <cellStyle name="40 % - Markeringsfarve5 6 3 3" xfId="15124" xr:uid="{00000000-0005-0000-0000-000046840000}"/>
    <cellStyle name="40 % - Markeringsfarve5 6 3 3 2" xfId="31403" xr:uid="{00000000-0005-0000-0000-000047840000}"/>
    <cellStyle name="40 % - Markeringsfarve5 6 3 3 3" xfId="46363" xr:uid="{00000000-0005-0000-0000-000048840000}"/>
    <cellStyle name="40 % - Markeringsfarve5 6 3 4" xfId="24401" xr:uid="{00000000-0005-0000-0000-000049840000}"/>
    <cellStyle name="40 % - Markeringsfarve5 6 3 5" xfId="39366" xr:uid="{00000000-0005-0000-0000-00004A840000}"/>
    <cellStyle name="40 % - Markeringsfarve5 6 4" xfId="6640" xr:uid="{00000000-0005-0000-0000-00004B840000}"/>
    <cellStyle name="40 % - Markeringsfarve5 6 4 2" xfId="10965" xr:uid="{00000000-0005-0000-0000-00004C840000}"/>
    <cellStyle name="40 % - Markeringsfarve5 6 4 2 2" xfId="18796" xr:uid="{00000000-0005-0000-0000-00004D840000}"/>
    <cellStyle name="40 % - Markeringsfarve5 6 4 2 2 2" xfId="35072" xr:uid="{00000000-0005-0000-0000-00004E840000}"/>
    <cellStyle name="40 % - Markeringsfarve5 6 4 2 2 3" xfId="50031" xr:uid="{00000000-0005-0000-0000-00004F840000}"/>
    <cellStyle name="40 % - Markeringsfarve5 6 4 2 3" xfId="28070" xr:uid="{00000000-0005-0000-0000-000050840000}"/>
    <cellStyle name="40 % - Markeringsfarve5 6 4 2 4" xfId="43034" xr:uid="{00000000-0005-0000-0000-000051840000}"/>
    <cellStyle name="40 % - Markeringsfarve5 6 4 3" xfId="15125" xr:uid="{00000000-0005-0000-0000-000052840000}"/>
    <cellStyle name="40 % - Markeringsfarve5 6 4 3 2" xfId="31404" xr:uid="{00000000-0005-0000-0000-000053840000}"/>
    <cellStyle name="40 % - Markeringsfarve5 6 4 3 3" xfId="46364" xr:uid="{00000000-0005-0000-0000-000054840000}"/>
    <cellStyle name="40 % - Markeringsfarve5 6 4 4" xfId="24402" xr:uid="{00000000-0005-0000-0000-000055840000}"/>
    <cellStyle name="40 % - Markeringsfarve5 6 4 5" xfId="39367" xr:uid="{00000000-0005-0000-0000-000056840000}"/>
    <cellStyle name="40 % - Markeringsfarve5 6 5" xfId="8235" xr:uid="{00000000-0005-0000-0000-000057840000}"/>
    <cellStyle name="40 % - Markeringsfarve5 6 5 2" xfId="16100" xr:uid="{00000000-0005-0000-0000-000058840000}"/>
    <cellStyle name="40 % - Markeringsfarve5 6 5 2 2" xfId="32376" xr:uid="{00000000-0005-0000-0000-000059840000}"/>
    <cellStyle name="40 % - Markeringsfarve5 6 5 2 3" xfId="47335" xr:uid="{00000000-0005-0000-0000-00005A840000}"/>
    <cellStyle name="40 % - Markeringsfarve5 6 5 3" xfId="25374" xr:uid="{00000000-0005-0000-0000-00005B840000}"/>
    <cellStyle name="40 % - Markeringsfarve5 6 5 4" xfId="40338" xr:uid="{00000000-0005-0000-0000-00005C840000}"/>
    <cellStyle name="40 % - Markeringsfarve5 6 6" xfId="15121" xr:uid="{00000000-0005-0000-0000-00005D840000}"/>
    <cellStyle name="40 % - Markeringsfarve5 6 6 2" xfId="31400" xr:uid="{00000000-0005-0000-0000-00005E840000}"/>
    <cellStyle name="40 % - Markeringsfarve5 6 6 3" xfId="46360" xr:uid="{00000000-0005-0000-0000-00005F840000}"/>
    <cellStyle name="40 % - Markeringsfarve5 6 7" xfId="24398" xr:uid="{00000000-0005-0000-0000-000060840000}"/>
    <cellStyle name="40 % - Markeringsfarve5 6 8" xfId="39363" xr:uid="{00000000-0005-0000-0000-000061840000}"/>
    <cellStyle name="40 % - Markeringsfarve5 7" xfId="6641" xr:uid="{00000000-0005-0000-0000-000062840000}"/>
    <cellStyle name="40 % - Markeringsfarve5 7 2" xfId="6642" xr:uid="{00000000-0005-0000-0000-000063840000}"/>
    <cellStyle name="40 % - Markeringsfarve5 7 2 2" xfId="6643" xr:uid="{00000000-0005-0000-0000-000064840000}"/>
    <cellStyle name="40 % - Markeringsfarve5 7 2 2 2" xfId="10021" xr:uid="{00000000-0005-0000-0000-000065840000}"/>
    <cellStyle name="40 % - Markeringsfarve5 7 2 2 2 2" xfId="17876" xr:uid="{00000000-0005-0000-0000-000066840000}"/>
    <cellStyle name="40 % - Markeringsfarve5 7 2 2 2 2 2" xfId="34152" xr:uid="{00000000-0005-0000-0000-000067840000}"/>
    <cellStyle name="40 % - Markeringsfarve5 7 2 2 2 2 3" xfId="49111" xr:uid="{00000000-0005-0000-0000-000068840000}"/>
    <cellStyle name="40 % - Markeringsfarve5 7 2 2 2 3" xfId="27150" xr:uid="{00000000-0005-0000-0000-000069840000}"/>
    <cellStyle name="40 % - Markeringsfarve5 7 2 2 2 4" xfId="42114" xr:uid="{00000000-0005-0000-0000-00006A840000}"/>
    <cellStyle name="40 % - Markeringsfarve5 7 2 2 3" xfId="15128" xr:uid="{00000000-0005-0000-0000-00006B840000}"/>
    <cellStyle name="40 % - Markeringsfarve5 7 2 2 3 2" xfId="31407" xr:uid="{00000000-0005-0000-0000-00006C840000}"/>
    <cellStyle name="40 % - Markeringsfarve5 7 2 2 3 3" xfId="46367" xr:uid="{00000000-0005-0000-0000-00006D840000}"/>
    <cellStyle name="40 % - Markeringsfarve5 7 2 2 4" xfId="24405" xr:uid="{00000000-0005-0000-0000-00006E840000}"/>
    <cellStyle name="40 % - Markeringsfarve5 7 2 2 5" xfId="39370" xr:uid="{00000000-0005-0000-0000-00006F840000}"/>
    <cellStyle name="40 % - Markeringsfarve5 7 2 3" xfId="8568" xr:uid="{00000000-0005-0000-0000-000070840000}"/>
    <cellStyle name="40 % - Markeringsfarve5 7 2 3 2" xfId="16438" xr:uid="{00000000-0005-0000-0000-000071840000}"/>
    <cellStyle name="40 % - Markeringsfarve5 7 2 3 2 2" xfId="32714" xr:uid="{00000000-0005-0000-0000-000072840000}"/>
    <cellStyle name="40 % - Markeringsfarve5 7 2 3 2 3" xfId="47673" xr:uid="{00000000-0005-0000-0000-000073840000}"/>
    <cellStyle name="40 % - Markeringsfarve5 7 2 3 3" xfId="25712" xr:uid="{00000000-0005-0000-0000-000074840000}"/>
    <cellStyle name="40 % - Markeringsfarve5 7 2 3 4" xfId="40676" xr:uid="{00000000-0005-0000-0000-000075840000}"/>
    <cellStyle name="40 % - Markeringsfarve5 7 2 4" xfId="15127" xr:uid="{00000000-0005-0000-0000-000076840000}"/>
    <cellStyle name="40 % - Markeringsfarve5 7 2 4 2" xfId="31406" xr:uid="{00000000-0005-0000-0000-000077840000}"/>
    <cellStyle name="40 % - Markeringsfarve5 7 2 4 3" xfId="46366" xr:uid="{00000000-0005-0000-0000-000078840000}"/>
    <cellStyle name="40 % - Markeringsfarve5 7 2 5" xfId="24404" xr:uid="{00000000-0005-0000-0000-000079840000}"/>
    <cellStyle name="40 % - Markeringsfarve5 7 2 6" xfId="39369" xr:uid="{00000000-0005-0000-0000-00007A840000}"/>
    <cellStyle name="40 % - Markeringsfarve5 7 3" xfId="6644" xr:uid="{00000000-0005-0000-0000-00007B840000}"/>
    <cellStyle name="40 % - Markeringsfarve5 7 3 2" xfId="9252" xr:uid="{00000000-0005-0000-0000-00007C840000}"/>
    <cellStyle name="40 % - Markeringsfarve5 7 3 2 2" xfId="17116" xr:uid="{00000000-0005-0000-0000-00007D840000}"/>
    <cellStyle name="40 % - Markeringsfarve5 7 3 2 2 2" xfId="33392" xr:uid="{00000000-0005-0000-0000-00007E840000}"/>
    <cellStyle name="40 % - Markeringsfarve5 7 3 2 2 3" xfId="48351" xr:uid="{00000000-0005-0000-0000-00007F840000}"/>
    <cellStyle name="40 % - Markeringsfarve5 7 3 2 3" xfId="26390" xr:uid="{00000000-0005-0000-0000-000080840000}"/>
    <cellStyle name="40 % - Markeringsfarve5 7 3 2 4" xfId="41354" xr:uid="{00000000-0005-0000-0000-000081840000}"/>
    <cellStyle name="40 % - Markeringsfarve5 7 3 3" xfId="15129" xr:uid="{00000000-0005-0000-0000-000082840000}"/>
    <cellStyle name="40 % - Markeringsfarve5 7 3 3 2" xfId="31408" xr:uid="{00000000-0005-0000-0000-000083840000}"/>
    <cellStyle name="40 % - Markeringsfarve5 7 3 3 3" xfId="46368" xr:uid="{00000000-0005-0000-0000-000084840000}"/>
    <cellStyle name="40 % - Markeringsfarve5 7 3 4" xfId="24406" xr:uid="{00000000-0005-0000-0000-000085840000}"/>
    <cellStyle name="40 % - Markeringsfarve5 7 3 5" xfId="39371" xr:uid="{00000000-0005-0000-0000-000086840000}"/>
    <cellStyle name="40 % - Markeringsfarve5 7 4" xfId="6645" xr:uid="{00000000-0005-0000-0000-000087840000}"/>
    <cellStyle name="40 % - Markeringsfarve5 7 4 2" xfId="10685" xr:uid="{00000000-0005-0000-0000-000088840000}"/>
    <cellStyle name="40 % - Markeringsfarve5 7 4 2 2" xfId="18529" xr:uid="{00000000-0005-0000-0000-000089840000}"/>
    <cellStyle name="40 % - Markeringsfarve5 7 4 2 2 2" xfId="34805" xr:uid="{00000000-0005-0000-0000-00008A840000}"/>
    <cellStyle name="40 % - Markeringsfarve5 7 4 2 2 3" xfId="49764" xr:uid="{00000000-0005-0000-0000-00008B840000}"/>
    <cellStyle name="40 % - Markeringsfarve5 7 4 2 3" xfId="27803" xr:uid="{00000000-0005-0000-0000-00008C840000}"/>
    <cellStyle name="40 % - Markeringsfarve5 7 4 2 4" xfId="42767" xr:uid="{00000000-0005-0000-0000-00008D840000}"/>
    <cellStyle name="40 % - Markeringsfarve5 7 4 3" xfId="15130" xr:uid="{00000000-0005-0000-0000-00008E840000}"/>
    <cellStyle name="40 % - Markeringsfarve5 7 4 3 2" xfId="31409" xr:uid="{00000000-0005-0000-0000-00008F840000}"/>
    <cellStyle name="40 % - Markeringsfarve5 7 4 3 3" xfId="46369" xr:uid="{00000000-0005-0000-0000-000090840000}"/>
    <cellStyle name="40 % - Markeringsfarve5 7 4 4" xfId="24407" xr:uid="{00000000-0005-0000-0000-000091840000}"/>
    <cellStyle name="40 % - Markeringsfarve5 7 4 5" xfId="39372" xr:uid="{00000000-0005-0000-0000-000092840000}"/>
    <cellStyle name="40 % - Markeringsfarve5 7 5" xfId="8236" xr:uid="{00000000-0005-0000-0000-000093840000}"/>
    <cellStyle name="40 % - Markeringsfarve5 7 5 2" xfId="16101" xr:uid="{00000000-0005-0000-0000-000094840000}"/>
    <cellStyle name="40 % - Markeringsfarve5 7 5 2 2" xfId="32377" xr:uid="{00000000-0005-0000-0000-000095840000}"/>
    <cellStyle name="40 % - Markeringsfarve5 7 5 2 3" xfId="47336" xr:uid="{00000000-0005-0000-0000-000096840000}"/>
    <cellStyle name="40 % - Markeringsfarve5 7 5 3" xfId="25375" xr:uid="{00000000-0005-0000-0000-000097840000}"/>
    <cellStyle name="40 % - Markeringsfarve5 7 5 4" xfId="40339" xr:uid="{00000000-0005-0000-0000-000098840000}"/>
    <cellStyle name="40 % - Markeringsfarve5 7 6" xfId="15126" xr:uid="{00000000-0005-0000-0000-000099840000}"/>
    <cellStyle name="40 % - Markeringsfarve5 7 6 2" xfId="31405" xr:uid="{00000000-0005-0000-0000-00009A840000}"/>
    <cellStyle name="40 % - Markeringsfarve5 7 6 3" xfId="46365" xr:uid="{00000000-0005-0000-0000-00009B840000}"/>
    <cellStyle name="40 % - Markeringsfarve5 7 7" xfId="24403" xr:uid="{00000000-0005-0000-0000-00009C840000}"/>
    <cellStyle name="40 % - Markeringsfarve5 7 8" xfId="39368" xr:uid="{00000000-0005-0000-0000-00009D840000}"/>
    <cellStyle name="40 % - Markeringsfarve5 8" xfId="6646" xr:uid="{00000000-0005-0000-0000-00009E840000}"/>
    <cellStyle name="40 % - Markeringsfarve5 8 2" xfId="6647" xr:uid="{00000000-0005-0000-0000-00009F840000}"/>
    <cellStyle name="40 % - Markeringsfarve5 8 2 2" xfId="6648" xr:uid="{00000000-0005-0000-0000-0000A0840000}"/>
    <cellStyle name="40 % - Markeringsfarve5 8 2 2 2" xfId="10060" xr:uid="{00000000-0005-0000-0000-0000A1840000}"/>
    <cellStyle name="40 % - Markeringsfarve5 8 2 2 2 2" xfId="17915" xr:uid="{00000000-0005-0000-0000-0000A2840000}"/>
    <cellStyle name="40 % - Markeringsfarve5 8 2 2 2 2 2" xfId="34191" xr:uid="{00000000-0005-0000-0000-0000A3840000}"/>
    <cellStyle name="40 % - Markeringsfarve5 8 2 2 2 2 3" xfId="49150" xr:uid="{00000000-0005-0000-0000-0000A4840000}"/>
    <cellStyle name="40 % - Markeringsfarve5 8 2 2 2 3" xfId="27189" xr:uid="{00000000-0005-0000-0000-0000A5840000}"/>
    <cellStyle name="40 % - Markeringsfarve5 8 2 2 2 4" xfId="42153" xr:uid="{00000000-0005-0000-0000-0000A6840000}"/>
    <cellStyle name="40 % - Markeringsfarve5 8 2 2 3" xfId="15133" xr:uid="{00000000-0005-0000-0000-0000A7840000}"/>
    <cellStyle name="40 % - Markeringsfarve5 8 2 2 3 2" xfId="31412" xr:uid="{00000000-0005-0000-0000-0000A8840000}"/>
    <cellStyle name="40 % - Markeringsfarve5 8 2 2 3 3" xfId="46372" xr:uid="{00000000-0005-0000-0000-0000A9840000}"/>
    <cellStyle name="40 % - Markeringsfarve5 8 2 2 4" xfId="24410" xr:uid="{00000000-0005-0000-0000-0000AA840000}"/>
    <cellStyle name="40 % - Markeringsfarve5 8 2 2 5" xfId="39375" xr:uid="{00000000-0005-0000-0000-0000AB840000}"/>
    <cellStyle name="40 % - Markeringsfarve5 8 2 3" xfId="8606" xr:uid="{00000000-0005-0000-0000-0000AC840000}"/>
    <cellStyle name="40 % - Markeringsfarve5 8 2 3 2" xfId="16473" xr:uid="{00000000-0005-0000-0000-0000AD840000}"/>
    <cellStyle name="40 % - Markeringsfarve5 8 2 3 2 2" xfId="32749" xr:uid="{00000000-0005-0000-0000-0000AE840000}"/>
    <cellStyle name="40 % - Markeringsfarve5 8 2 3 2 3" xfId="47708" xr:uid="{00000000-0005-0000-0000-0000AF840000}"/>
    <cellStyle name="40 % - Markeringsfarve5 8 2 3 3" xfId="25747" xr:uid="{00000000-0005-0000-0000-0000B0840000}"/>
    <cellStyle name="40 % - Markeringsfarve5 8 2 3 4" xfId="40711" xr:uid="{00000000-0005-0000-0000-0000B1840000}"/>
    <cellStyle name="40 % - Markeringsfarve5 8 2 4" xfId="15132" xr:uid="{00000000-0005-0000-0000-0000B2840000}"/>
    <cellStyle name="40 % - Markeringsfarve5 8 2 4 2" xfId="31411" xr:uid="{00000000-0005-0000-0000-0000B3840000}"/>
    <cellStyle name="40 % - Markeringsfarve5 8 2 4 3" xfId="46371" xr:uid="{00000000-0005-0000-0000-0000B4840000}"/>
    <cellStyle name="40 % - Markeringsfarve5 8 2 5" xfId="24409" xr:uid="{00000000-0005-0000-0000-0000B5840000}"/>
    <cellStyle name="40 % - Markeringsfarve5 8 2 6" xfId="39374" xr:uid="{00000000-0005-0000-0000-0000B6840000}"/>
    <cellStyle name="40 % - Markeringsfarve5 8 3" xfId="6649" xr:uid="{00000000-0005-0000-0000-0000B7840000}"/>
    <cellStyle name="40 % - Markeringsfarve5 8 3 2" xfId="9337" xr:uid="{00000000-0005-0000-0000-0000B8840000}"/>
    <cellStyle name="40 % - Markeringsfarve5 8 3 2 2" xfId="17200" xr:uid="{00000000-0005-0000-0000-0000B9840000}"/>
    <cellStyle name="40 % - Markeringsfarve5 8 3 2 2 2" xfId="33476" xr:uid="{00000000-0005-0000-0000-0000BA840000}"/>
    <cellStyle name="40 % - Markeringsfarve5 8 3 2 2 3" xfId="48435" xr:uid="{00000000-0005-0000-0000-0000BB840000}"/>
    <cellStyle name="40 % - Markeringsfarve5 8 3 2 3" xfId="26474" xr:uid="{00000000-0005-0000-0000-0000BC840000}"/>
    <cellStyle name="40 % - Markeringsfarve5 8 3 2 4" xfId="41438" xr:uid="{00000000-0005-0000-0000-0000BD840000}"/>
    <cellStyle name="40 % - Markeringsfarve5 8 3 3" xfId="15134" xr:uid="{00000000-0005-0000-0000-0000BE840000}"/>
    <cellStyle name="40 % - Markeringsfarve5 8 3 3 2" xfId="31413" xr:uid="{00000000-0005-0000-0000-0000BF840000}"/>
    <cellStyle name="40 % - Markeringsfarve5 8 3 3 3" xfId="46373" xr:uid="{00000000-0005-0000-0000-0000C0840000}"/>
    <cellStyle name="40 % - Markeringsfarve5 8 3 4" xfId="24411" xr:uid="{00000000-0005-0000-0000-0000C1840000}"/>
    <cellStyle name="40 % - Markeringsfarve5 8 3 5" xfId="39376" xr:uid="{00000000-0005-0000-0000-0000C2840000}"/>
    <cellStyle name="40 % - Markeringsfarve5 8 4" xfId="6650" xr:uid="{00000000-0005-0000-0000-0000C3840000}"/>
    <cellStyle name="40 % - Markeringsfarve5 8 4 2" xfId="10935" xr:uid="{00000000-0005-0000-0000-0000C4840000}"/>
    <cellStyle name="40 % - Markeringsfarve5 8 4 2 2" xfId="18770" xr:uid="{00000000-0005-0000-0000-0000C5840000}"/>
    <cellStyle name="40 % - Markeringsfarve5 8 4 2 2 2" xfId="35046" xr:uid="{00000000-0005-0000-0000-0000C6840000}"/>
    <cellStyle name="40 % - Markeringsfarve5 8 4 2 2 3" xfId="50005" xr:uid="{00000000-0005-0000-0000-0000C7840000}"/>
    <cellStyle name="40 % - Markeringsfarve5 8 4 2 3" xfId="28044" xr:uid="{00000000-0005-0000-0000-0000C8840000}"/>
    <cellStyle name="40 % - Markeringsfarve5 8 4 2 4" xfId="43008" xr:uid="{00000000-0005-0000-0000-0000C9840000}"/>
    <cellStyle name="40 % - Markeringsfarve5 8 4 3" xfId="15135" xr:uid="{00000000-0005-0000-0000-0000CA840000}"/>
    <cellStyle name="40 % - Markeringsfarve5 8 4 3 2" xfId="31414" xr:uid="{00000000-0005-0000-0000-0000CB840000}"/>
    <cellStyle name="40 % - Markeringsfarve5 8 4 3 3" xfId="46374" xr:uid="{00000000-0005-0000-0000-0000CC840000}"/>
    <cellStyle name="40 % - Markeringsfarve5 8 4 4" xfId="24412" xr:uid="{00000000-0005-0000-0000-0000CD840000}"/>
    <cellStyle name="40 % - Markeringsfarve5 8 4 5" xfId="39377" xr:uid="{00000000-0005-0000-0000-0000CE840000}"/>
    <cellStyle name="40 % - Markeringsfarve5 8 5" xfId="8237" xr:uid="{00000000-0005-0000-0000-0000CF840000}"/>
    <cellStyle name="40 % - Markeringsfarve5 8 5 2" xfId="16102" xr:uid="{00000000-0005-0000-0000-0000D0840000}"/>
    <cellStyle name="40 % - Markeringsfarve5 8 5 2 2" xfId="32378" xr:uid="{00000000-0005-0000-0000-0000D1840000}"/>
    <cellStyle name="40 % - Markeringsfarve5 8 5 2 3" xfId="47337" xr:uid="{00000000-0005-0000-0000-0000D2840000}"/>
    <cellStyle name="40 % - Markeringsfarve5 8 5 3" xfId="25376" xr:uid="{00000000-0005-0000-0000-0000D3840000}"/>
    <cellStyle name="40 % - Markeringsfarve5 8 5 4" xfId="40340" xr:uid="{00000000-0005-0000-0000-0000D4840000}"/>
    <cellStyle name="40 % - Markeringsfarve5 8 6" xfId="15131" xr:uid="{00000000-0005-0000-0000-0000D5840000}"/>
    <cellStyle name="40 % - Markeringsfarve5 8 6 2" xfId="31410" xr:uid="{00000000-0005-0000-0000-0000D6840000}"/>
    <cellStyle name="40 % - Markeringsfarve5 8 6 3" xfId="46370" xr:uid="{00000000-0005-0000-0000-0000D7840000}"/>
    <cellStyle name="40 % - Markeringsfarve5 8 7" xfId="24408" xr:uid="{00000000-0005-0000-0000-0000D8840000}"/>
    <cellStyle name="40 % - Markeringsfarve5 8 8" xfId="39373" xr:uid="{00000000-0005-0000-0000-0000D9840000}"/>
    <cellStyle name="40 % - Markeringsfarve5 9" xfId="6651" xr:uid="{00000000-0005-0000-0000-0000DA840000}"/>
    <cellStyle name="40 % - Markeringsfarve5 9 2" xfId="6652" xr:uid="{00000000-0005-0000-0000-0000DB840000}"/>
    <cellStyle name="40 % - Markeringsfarve5 9 2 2" xfId="6653" xr:uid="{00000000-0005-0000-0000-0000DC840000}"/>
    <cellStyle name="40 % - Markeringsfarve5 9 2 2 2" xfId="10177" xr:uid="{00000000-0005-0000-0000-0000DD840000}"/>
    <cellStyle name="40 % - Markeringsfarve5 9 2 2 2 2" xfId="18032" xr:uid="{00000000-0005-0000-0000-0000DE840000}"/>
    <cellStyle name="40 % - Markeringsfarve5 9 2 2 2 2 2" xfId="34308" xr:uid="{00000000-0005-0000-0000-0000DF840000}"/>
    <cellStyle name="40 % - Markeringsfarve5 9 2 2 2 2 3" xfId="49267" xr:uid="{00000000-0005-0000-0000-0000E0840000}"/>
    <cellStyle name="40 % - Markeringsfarve5 9 2 2 2 3" xfId="27306" xr:uid="{00000000-0005-0000-0000-0000E1840000}"/>
    <cellStyle name="40 % - Markeringsfarve5 9 2 2 2 4" xfId="42270" xr:uid="{00000000-0005-0000-0000-0000E2840000}"/>
    <cellStyle name="40 % - Markeringsfarve5 9 2 2 3" xfId="15138" xr:uid="{00000000-0005-0000-0000-0000E3840000}"/>
    <cellStyle name="40 % - Markeringsfarve5 9 2 2 3 2" xfId="31417" xr:uid="{00000000-0005-0000-0000-0000E4840000}"/>
    <cellStyle name="40 % - Markeringsfarve5 9 2 2 3 3" xfId="46377" xr:uid="{00000000-0005-0000-0000-0000E5840000}"/>
    <cellStyle name="40 % - Markeringsfarve5 9 2 2 4" xfId="24415" xr:uid="{00000000-0005-0000-0000-0000E6840000}"/>
    <cellStyle name="40 % - Markeringsfarve5 9 2 2 5" xfId="39380" xr:uid="{00000000-0005-0000-0000-0000E7840000}"/>
    <cellStyle name="40 % - Markeringsfarve5 9 2 3" xfId="8705" xr:uid="{00000000-0005-0000-0000-0000E8840000}"/>
    <cellStyle name="40 % - Markeringsfarve5 9 2 3 2" xfId="16572" xr:uid="{00000000-0005-0000-0000-0000E9840000}"/>
    <cellStyle name="40 % - Markeringsfarve5 9 2 3 2 2" xfId="32848" xr:uid="{00000000-0005-0000-0000-0000EA840000}"/>
    <cellStyle name="40 % - Markeringsfarve5 9 2 3 2 3" xfId="47807" xr:uid="{00000000-0005-0000-0000-0000EB840000}"/>
    <cellStyle name="40 % - Markeringsfarve5 9 2 3 3" xfId="25846" xr:uid="{00000000-0005-0000-0000-0000EC840000}"/>
    <cellStyle name="40 % - Markeringsfarve5 9 2 3 4" xfId="40810" xr:uid="{00000000-0005-0000-0000-0000ED840000}"/>
    <cellStyle name="40 % - Markeringsfarve5 9 2 4" xfId="15137" xr:uid="{00000000-0005-0000-0000-0000EE840000}"/>
    <cellStyle name="40 % - Markeringsfarve5 9 2 4 2" xfId="31416" xr:uid="{00000000-0005-0000-0000-0000EF840000}"/>
    <cellStyle name="40 % - Markeringsfarve5 9 2 4 3" xfId="46376" xr:uid="{00000000-0005-0000-0000-0000F0840000}"/>
    <cellStyle name="40 % - Markeringsfarve5 9 2 5" xfId="24414" xr:uid="{00000000-0005-0000-0000-0000F1840000}"/>
    <cellStyle name="40 % - Markeringsfarve5 9 2 6" xfId="39379" xr:uid="{00000000-0005-0000-0000-0000F2840000}"/>
    <cellStyle name="40 % - Markeringsfarve5 9 3" xfId="6654" xr:uid="{00000000-0005-0000-0000-0000F3840000}"/>
    <cellStyle name="40 % - Markeringsfarve5 9 3 2" xfId="9454" xr:uid="{00000000-0005-0000-0000-0000F4840000}"/>
    <cellStyle name="40 % - Markeringsfarve5 9 3 2 2" xfId="17317" xr:uid="{00000000-0005-0000-0000-0000F5840000}"/>
    <cellStyle name="40 % - Markeringsfarve5 9 3 2 2 2" xfId="33593" xr:uid="{00000000-0005-0000-0000-0000F6840000}"/>
    <cellStyle name="40 % - Markeringsfarve5 9 3 2 2 3" xfId="48552" xr:uid="{00000000-0005-0000-0000-0000F7840000}"/>
    <cellStyle name="40 % - Markeringsfarve5 9 3 2 3" xfId="26591" xr:uid="{00000000-0005-0000-0000-0000F8840000}"/>
    <cellStyle name="40 % - Markeringsfarve5 9 3 2 4" xfId="41555" xr:uid="{00000000-0005-0000-0000-0000F9840000}"/>
    <cellStyle name="40 % - Markeringsfarve5 9 3 3" xfId="15139" xr:uid="{00000000-0005-0000-0000-0000FA840000}"/>
    <cellStyle name="40 % - Markeringsfarve5 9 3 3 2" xfId="31418" xr:uid="{00000000-0005-0000-0000-0000FB840000}"/>
    <cellStyle name="40 % - Markeringsfarve5 9 3 3 3" xfId="46378" xr:uid="{00000000-0005-0000-0000-0000FC840000}"/>
    <cellStyle name="40 % - Markeringsfarve5 9 3 4" xfId="24416" xr:uid="{00000000-0005-0000-0000-0000FD840000}"/>
    <cellStyle name="40 % - Markeringsfarve5 9 3 5" xfId="39381" xr:uid="{00000000-0005-0000-0000-0000FE840000}"/>
    <cellStyle name="40 % - Markeringsfarve5 9 4" xfId="6655" xr:uid="{00000000-0005-0000-0000-0000FF840000}"/>
    <cellStyle name="40 % - Markeringsfarve5 9 4 2" xfId="10659" xr:uid="{00000000-0005-0000-0000-000000850000}"/>
    <cellStyle name="40 % - Markeringsfarve5 9 4 2 2" xfId="18506" xr:uid="{00000000-0005-0000-0000-000001850000}"/>
    <cellStyle name="40 % - Markeringsfarve5 9 4 2 2 2" xfId="34782" xr:uid="{00000000-0005-0000-0000-000002850000}"/>
    <cellStyle name="40 % - Markeringsfarve5 9 4 2 2 3" xfId="49741" xr:uid="{00000000-0005-0000-0000-000003850000}"/>
    <cellStyle name="40 % - Markeringsfarve5 9 4 2 3" xfId="27780" xr:uid="{00000000-0005-0000-0000-000004850000}"/>
    <cellStyle name="40 % - Markeringsfarve5 9 4 2 4" xfId="42744" xr:uid="{00000000-0005-0000-0000-000005850000}"/>
    <cellStyle name="40 % - Markeringsfarve5 9 4 3" xfId="15140" xr:uid="{00000000-0005-0000-0000-000006850000}"/>
    <cellStyle name="40 % - Markeringsfarve5 9 4 3 2" xfId="31419" xr:uid="{00000000-0005-0000-0000-000007850000}"/>
    <cellStyle name="40 % - Markeringsfarve5 9 4 3 3" xfId="46379" xr:uid="{00000000-0005-0000-0000-000008850000}"/>
    <cellStyle name="40 % - Markeringsfarve5 9 4 4" xfId="24417" xr:uid="{00000000-0005-0000-0000-000009850000}"/>
    <cellStyle name="40 % - Markeringsfarve5 9 4 5" xfId="39382" xr:uid="{00000000-0005-0000-0000-00000A850000}"/>
    <cellStyle name="40 % - Markeringsfarve5 9 5" xfId="8238" xr:uid="{00000000-0005-0000-0000-00000B850000}"/>
    <cellStyle name="40 % - Markeringsfarve5 9 5 2" xfId="16103" xr:uid="{00000000-0005-0000-0000-00000C850000}"/>
    <cellStyle name="40 % - Markeringsfarve5 9 5 2 2" xfId="32379" xr:uid="{00000000-0005-0000-0000-00000D850000}"/>
    <cellStyle name="40 % - Markeringsfarve5 9 5 2 3" xfId="47338" xr:uid="{00000000-0005-0000-0000-00000E850000}"/>
    <cellStyle name="40 % - Markeringsfarve5 9 5 3" xfId="25377" xr:uid="{00000000-0005-0000-0000-00000F850000}"/>
    <cellStyle name="40 % - Markeringsfarve5 9 5 4" xfId="40341" xr:uid="{00000000-0005-0000-0000-000010850000}"/>
    <cellStyle name="40 % - Markeringsfarve5 9 6" xfId="15136" xr:uid="{00000000-0005-0000-0000-000011850000}"/>
    <cellStyle name="40 % - Markeringsfarve5 9 6 2" xfId="31415" xr:uid="{00000000-0005-0000-0000-000012850000}"/>
    <cellStyle name="40 % - Markeringsfarve5 9 6 3" xfId="46375" xr:uid="{00000000-0005-0000-0000-000013850000}"/>
    <cellStyle name="40 % - Markeringsfarve5 9 7" xfId="24413" xr:uid="{00000000-0005-0000-0000-000014850000}"/>
    <cellStyle name="40 % - Markeringsfarve5 9 8" xfId="39378" xr:uid="{00000000-0005-0000-0000-000015850000}"/>
    <cellStyle name="40 % - Markeringsfarve6 10" xfId="6657" xr:uid="{00000000-0005-0000-0000-000016850000}"/>
    <cellStyle name="40 % - Markeringsfarve6 10 2" xfId="6658" xr:uid="{00000000-0005-0000-0000-000017850000}"/>
    <cellStyle name="40 % - Markeringsfarve6 10 2 2" xfId="6659" xr:uid="{00000000-0005-0000-0000-000018850000}"/>
    <cellStyle name="40 % - Markeringsfarve6 10 2 2 2" xfId="10384" xr:uid="{00000000-0005-0000-0000-000019850000}"/>
    <cellStyle name="40 % - Markeringsfarve6 10 2 2 2 2" xfId="18239" xr:uid="{00000000-0005-0000-0000-00001A850000}"/>
    <cellStyle name="40 % - Markeringsfarve6 10 2 2 2 2 2" xfId="34515" xr:uid="{00000000-0005-0000-0000-00001B850000}"/>
    <cellStyle name="40 % - Markeringsfarve6 10 2 2 2 2 3" xfId="49474" xr:uid="{00000000-0005-0000-0000-00001C850000}"/>
    <cellStyle name="40 % - Markeringsfarve6 10 2 2 2 3" xfId="27513" xr:uid="{00000000-0005-0000-0000-00001D850000}"/>
    <cellStyle name="40 % - Markeringsfarve6 10 2 2 2 4" xfId="42477" xr:uid="{00000000-0005-0000-0000-00001E850000}"/>
    <cellStyle name="40 % - Markeringsfarve6 10 2 2 3" xfId="15144" xr:uid="{00000000-0005-0000-0000-00001F850000}"/>
    <cellStyle name="40 % - Markeringsfarve6 10 2 2 3 2" xfId="31423" xr:uid="{00000000-0005-0000-0000-000020850000}"/>
    <cellStyle name="40 % - Markeringsfarve6 10 2 2 3 3" xfId="46383" xr:uid="{00000000-0005-0000-0000-000021850000}"/>
    <cellStyle name="40 % - Markeringsfarve6 10 2 2 4" xfId="24421" xr:uid="{00000000-0005-0000-0000-000022850000}"/>
    <cellStyle name="40 % - Markeringsfarve6 10 2 2 5" xfId="39386" xr:uid="{00000000-0005-0000-0000-000023850000}"/>
    <cellStyle name="40 % - Markeringsfarve6 10 2 3" xfId="8878" xr:uid="{00000000-0005-0000-0000-000024850000}"/>
    <cellStyle name="40 % - Markeringsfarve6 10 2 3 2" xfId="16745" xr:uid="{00000000-0005-0000-0000-000025850000}"/>
    <cellStyle name="40 % - Markeringsfarve6 10 2 3 2 2" xfId="33021" xr:uid="{00000000-0005-0000-0000-000026850000}"/>
    <cellStyle name="40 % - Markeringsfarve6 10 2 3 2 3" xfId="47980" xr:uid="{00000000-0005-0000-0000-000027850000}"/>
    <cellStyle name="40 % - Markeringsfarve6 10 2 3 3" xfId="26019" xr:uid="{00000000-0005-0000-0000-000028850000}"/>
    <cellStyle name="40 % - Markeringsfarve6 10 2 3 4" xfId="40983" xr:uid="{00000000-0005-0000-0000-000029850000}"/>
    <cellStyle name="40 % - Markeringsfarve6 10 2 4" xfId="15143" xr:uid="{00000000-0005-0000-0000-00002A850000}"/>
    <cellStyle name="40 % - Markeringsfarve6 10 2 4 2" xfId="31422" xr:uid="{00000000-0005-0000-0000-00002B850000}"/>
    <cellStyle name="40 % - Markeringsfarve6 10 2 4 3" xfId="46382" xr:uid="{00000000-0005-0000-0000-00002C850000}"/>
    <cellStyle name="40 % - Markeringsfarve6 10 2 5" xfId="24420" xr:uid="{00000000-0005-0000-0000-00002D850000}"/>
    <cellStyle name="40 % - Markeringsfarve6 10 2 6" xfId="39385" xr:uid="{00000000-0005-0000-0000-00002E850000}"/>
    <cellStyle name="40 % - Markeringsfarve6 10 3" xfId="6660" xr:uid="{00000000-0005-0000-0000-00002F850000}"/>
    <cellStyle name="40 % - Markeringsfarve6 10 3 2" xfId="9662" xr:uid="{00000000-0005-0000-0000-000030850000}"/>
    <cellStyle name="40 % - Markeringsfarve6 10 3 2 2" xfId="17525" xr:uid="{00000000-0005-0000-0000-000031850000}"/>
    <cellStyle name="40 % - Markeringsfarve6 10 3 2 2 2" xfId="33801" xr:uid="{00000000-0005-0000-0000-000032850000}"/>
    <cellStyle name="40 % - Markeringsfarve6 10 3 2 2 3" xfId="48760" xr:uid="{00000000-0005-0000-0000-000033850000}"/>
    <cellStyle name="40 % - Markeringsfarve6 10 3 2 3" xfId="26799" xr:uid="{00000000-0005-0000-0000-000034850000}"/>
    <cellStyle name="40 % - Markeringsfarve6 10 3 2 4" xfId="41763" xr:uid="{00000000-0005-0000-0000-000035850000}"/>
    <cellStyle name="40 % - Markeringsfarve6 10 3 3" xfId="15145" xr:uid="{00000000-0005-0000-0000-000036850000}"/>
    <cellStyle name="40 % - Markeringsfarve6 10 3 3 2" xfId="31424" xr:uid="{00000000-0005-0000-0000-000037850000}"/>
    <cellStyle name="40 % - Markeringsfarve6 10 3 3 3" xfId="46384" xr:uid="{00000000-0005-0000-0000-000038850000}"/>
    <cellStyle name="40 % - Markeringsfarve6 10 3 4" xfId="24422" xr:uid="{00000000-0005-0000-0000-000039850000}"/>
    <cellStyle name="40 % - Markeringsfarve6 10 3 5" xfId="39387" xr:uid="{00000000-0005-0000-0000-00003A850000}"/>
    <cellStyle name="40 % - Markeringsfarve6 10 4" xfId="6661" xr:uid="{00000000-0005-0000-0000-00003B850000}"/>
    <cellStyle name="40 % - Markeringsfarve6 10 4 2" xfId="10618" xr:uid="{00000000-0005-0000-0000-00003C850000}"/>
    <cellStyle name="40 % - Markeringsfarve6 10 4 2 2" xfId="18466" xr:uid="{00000000-0005-0000-0000-00003D850000}"/>
    <cellStyle name="40 % - Markeringsfarve6 10 4 2 2 2" xfId="34742" xr:uid="{00000000-0005-0000-0000-00003E850000}"/>
    <cellStyle name="40 % - Markeringsfarve6 10 4 2 2 3" xfId="49701" xr:uid="{00000000-0005-0000-0000-00003F850000}"/>
    <cellStyle name="40 % - Markeringsfarve6 10 4 2 3" xfId="27740" xr:uid="{00000000-0005-0000-0000-000040850000}"/>
    <cellStyle name="40 % - Markeringsfarve6 10 4 2 4" xfId="42704" xr:uid="{00000000-0005-0000-0000-000041850000}"/>
    <cellStyle name="40 % - Markeringsfarve6 10 4 3" xfId="15146" xr:uid="{00000000-0005-0000-0000-000042850000}"/>
    <cellStyle name="40 % - Markeringsfarve6 10 4 3 2" xfId="31425" xr:uid="{00000000-0005-0000-0000-000043850000}"/>
    <cellStyle name="40 % - Markeringsfarve6 10 4 3 3" xfId="46385" xr:uid="{00000000-0005-0000-0000-000044850000}"/>
    <cellStyle name="40 % - Markeringsfarve6 10 4 4" xfId="24423" xr:uid="{00000000-0005-0000-0000-000045850000}"/>
    <cellStyle name="40 % - Markeringsfarve6 10 4 5" xfId="39388" xr:uid="{00000000-0005-0000-0000-000046850000}"/>
    <cellStyle name="40 % - Markeringsfarve6 10 5" xfId="8240" xr:uid="{00000000-0005-0000-0000-000047850000}"/>
    <cellStyle name="40 % - Markeringsfarve6 10 5 2" xfId="16105" xr:uid="{00000000-0005-0000-0000-000048850000}"/>
    <cellStyle name="40 % - Markeringsfarve6 10 5 2 2" xfId="32381" xr:uid="{00000000-0005-0000-0000-000049850000}"/>
    <cellStyle name="40 % - Markeringsfarve6 10 5 2 3" xfId="47340" xr:uid="{00000000-0005-0000-0000-00004A850000}"/>
    <cellStyle name="40 % - Markeringsfarve6 10 5 3" xfId="25379" xr:uid="{00000000-0005-0000-0000-00004B850000}"/>
    <cellStyle name="40 % - Markeringsfarve6 10 5 4" xfId="40343" xr:uid="{00000000-0005-0000-0000-00004C850000}"/>
    <cellStyle name="40 % - Markeringsfarve6 10 6" xfId="15142" xr:uid="{00000000-0005-0000-0000-00004D850000}"/>
    <cellStyle name="40 % - Markeringsfarve6 10 6 2" xfId="31421" xr:uid="{00000000-0005-0000-0000-00004E850000}"/>
    <cellStyle name="40 % - Markeringsfarve6 10 6 3" xfId="46381" xr:uid="{00000000-0005-0000-0000-00004F850000}"/>
    <cellStyle name="40 % - Markeringsfarve6 10 7" xfId="24419" xr:uid="{00000000-0005-0000-0000-000050850000}"/>
    <cellStyle name="40 % - Markeringsfarve6 10 8" xfId="39384" xr:uid="{00000000-0005-0000-0000-000051850000}"/>
    <cellStyle name="40 % - Markeringsfarve6 11" xfId="6662" xr:uid="{00000000-0005-0000-0000-000052850000}"/>
    <cellStyle name="40 % - Markeringsfarve6 11 2" xfId="6663" xr:uid="{00000000-0005-0000-0000-000053850000}"/>
    <cellStyle name="40 % - Markeringsfarve6 11 2 2" xfId="9705" xr:uid="{00000000-0005-0000-0000-000054850000}"/>
    <cellStyle name="40 % - Markeringsfarve6 11 2 2 2" xfId="17559" xr:uid="{00000000-0005-0000-0000-000055850000}"/>
    <cellStyle name="40 % - Markeringsfarve6 11 2 2 2 2" xfId="33835" xr:uid="{00000000-0005-0000-0000-000056850000}"/>
    <cellStyle name="40 % - Markeringsfarve6 11 2 2 2 3" xfId="48794" xr:uid="{00000000-0005-0000-0000-000057850000}"/>
    <cellStyle name="40 % - Markeringsfarve6 11 2 2 3" xfId="26833" xr:uid="{00000000-0005-0000-0000-000058850000}"/>
    <cellStyle name="40 % - Markeringsfarve6 11 2 2 4" xfId="41797" xr:uid="{00000000-0005-0000-0000-000059850000}"/>
    <cellStyle name="40 % - Markeringsfarve6 11 2 3" xfId="15148" xr:uid="{00000000-0005-0000-0000-00005A850000}"/>
    <cellStyle name="40 % - Markeringsfarve6 11 2 3 2" xfId="31427" xr:uid="{00000000-0005-0000-0000-00005B850000}"/>
    <cellStyle name="40 % - Markeringsfarve6 11 2 3 3" xfId="46387" xr:uid="{00000000-0005-0000-0000-00005C850000}"/>
    <cellStyle name="40 % - Markeringsfarve6 11 2 4" xfId="24425" xr:uid="{00000000-0005-0000-0000-00005D850000}"/>
    <cellStyle name="40 % - Markeringsfarve6 11 2 5" xfId="39390" xr:uid="{00000000-0005-0000-0000-00005E850000}"/>
    <cellStyle name="40 % - Markeringsfarve6 11 3" xfId="6664" xr:uid="{00000000-0005-0000-0000-00005F850000}"/>
    <cellStyle name="40 % - Markeringsfarve6 11 3 2" xfId="10830" xr:uid="{00000000-0005-0000-0000-000060850000}"/>
    <cellStyle name="40 % - Markeringsfarve6 11 3 2 2" xfId="18668" xr:uid="{00000000-0005-0000-0000-000061850000}"/>
    <cellStyle name="40 % - Markeringsfarve6 11 3 2 2 2" xfId="34944" xr:uid="{00000000-0005-0000-0000-000062850000}"/>
    <cellStyle name="40 % - Markeringsfarve6 11 3 2 2 3" xfId="49903" xr:uid="{00000000-0005-0000-0000-000063850000}"/>
    <cellStyle name="40 % - Markeringsfarve6 11 3 2 3" xfId="27942" xr:uid="{00000000-0005-0000-0000-000064850000}"/>
    <cellStyle name="40 % - Markeringsfarve6 11 3 2 4" xfId="42906" xr:uid="{00000000-0005-0000-0000-000065850000}"/>
    <cellStyle name="40 % - Markeringsfarve6 11 3 3" xfId="15149" xr:uid="{00000000-0005-0000-0000-000066850000}"/>
    <cellStyle name="40 % - Markeringsfarve6 11 3 3 2" xfId="31428" xr:uid="{00000000-0005-0000-0000-000067850000}"/>
    <cellStyle name="40 % - Markeringsfarve6 11 3 3 3" xfId="46388" xr:uid="{00000000-0005-0000-0000-000068850000}"/>
    <cellStyle name="40 % - Markeringsfarve6 11 3 4" xfId="24426" xr:uid="{00000000-0005-0000-0000-000069850000}"/>
    <cellStyle name="40 % - Markeringsfarve6 11 3 5" xfId="39391" xr:uid="{00000000-0005-0000-0000-00006A850000}"/>
    <cellStyle name="40 % - Markeringsfarve6 11 4" xfId="8241" xr:uid="{00000000-0005-0000-0000-00006B850000}"/>
    <cellStyle name="40 % - Markeringsfarve6 11 4 2" xfId="16106" xr:uid="{00000000-0005-0000-0000-00006C850000}"/>
    <cellStyle name="40 % - Markeringsfarve6 11 4 2 2" xfId="32382" xr:uid="{00000000-0005-0000-0000-00006D850000}"/>
    <cellStyle name="40 % - Markeringsfarve6 11 4 2 3" xfId="47341" xr:uid="{00000000-0005-0000-0000-00006E850000}"/>
    <cellStyle name="40 % - Markeringsfarve6 11 4 3" xfId="25380" xr:uid="{00000000-0005-0000-0000-00006F850000}"/>
    <cellStyle name="40 % - Markeringsfarve6 11 4 4" xfId="40344" xr:uid="{00000000-0005-0000-0000-000070850000}"/>
    <cellStyle name="40 % - Markeringsfarve6 11 5" xfId="15147" xr:uid="{00000000-0005-0000-0000-000071850000}"/>
    <cellStyle name="40 % - Markeringsfarve6 11 5 2" xfId="31426" xr:uid="{00000000-0005-0000-0000-000072850000}"/>
    <cellStyle name="40 % - Markeringsfarve6 11 5 3" xfId="46386" xr:uid="{00000000-0005-0000-0000-000073850000}"/>
    <cellStyle name="40 % - Markeringsfarve6 11 6" xfId="24424" xr:uid="{00000000-0005-0000-0000-000074850000}"/>
    <cellStyle name="40 % - Markeringsfarve6 11 7" xfId="39389" xr:uid="{00000000-0005-0000-0000-000075850000}"/>
    <cellStyle name="40 % - Markeringsfarve6 12" xfId="6665" xr:uid="{00000000-0005-0000-0000-000076850000}"/>
    <cellStyle name="40 % - Markeringsfarve6 12 2" xfId="6666" xr:uid="{00000000-0005-0000-0000-000077850000}"/>
    <cellStyle name="40 % - Markeringsfarve6 12 2 2" xfId="10480" xr:uid="{00000000-0005-0000-0000-000078850000}"/>
    <cellStyle name="40 % - Markeringsfarve6 12 2 2 2" xfId="18329" xr:uid="{00000000-0005-0000-0000-000079850000}"/>
    <cellStyle name="40 % - Markeringsfarve6 12 2 2 2 2" xfId="34605" xr:uid="{00000000-0005-0000-0000-00007A850000}"/>
    <cellStyle name="40 % - Markeringsfarve6 12 2 2 2 3" xfId="49564" xr:uid="{00000000-0005-0000-0000-00007B850000}"/>
    <cellStyle name="40 % - Markeringsfarve6 12 2 2 3" xfId="27603" xr:uid="{00000000-0005-0000-0000-00007C850000}"/>
    <cellStyle name="40 % - Markeringsfarve6 12 2 2 4" xfId="42567" xr:uid="{00000000-0005-0000-0000-00007D850000}"/>
    <cellStyle name="40 % - Markeringsfarve6 12 2 3" xfId="15151" xr:uid="{00000000-0005-0000-0000-00007E850000}"/>
    <cellStyle name="40 % - Markeringsfarve6 12 2 3 2" xfId="31430" xr:uid="{00000000-0005-0000-0000-00007F850000}"/>
    <cellStyle name="40 % - Markeringsfarve6 12 2 3 3" xfId="46390" xr:uid="{00000000-0005-0000-0000-000080850000}"/>
    <cellStyle name="40 % - Markeringsfarve6 12 2 4" xfId="24428" xr:uid="{00000000-0005-0000-0000-000081850000}"/>
    <cellStyle name="40 % - Markeringsfarve6 12 2 5" xfId="39393" xr:uid="{00000000-0005-0000-0000-000082850000}"/>
    <cellStyle name="40 % - Markeringsfarve6 12 3" xfId="8242" xr:uid="{00000000-0005-0000-0000-000083850000}"/>
    <cellStyle name="40 % - Markeringsfarve6 12 3 2" xfId="16107" xr:uid="{00000000-0005-0000-0000-000084850000}"/>
    <cellStyle name="40 % - Markeringsfarve6 12 3 2 2" xfId="32383" xr:uid="{00000000-0005-0000-0000-000085850000}"/>
    <cellStyle name="40 % - Markeringsfarve6 12 3 2 3" xfId="47342" xr:uid="{00000000-0005-0000-0000-000086850000}"/>
    <cellStyle name="40 % - Markeringsfarve6 12 3 3" xfId="25381" xr:uid="{00000000-0005-0000-0000-000087850000}"/>
    <cellStyle name="40 % - Markeringsfarve6 12 3 4" xfId="40345" xr:uid="{00000000-0005-0000-0000-000088850000}"/>
    <cellStyle name="40 % - Markeringsfarve6 12 4" xfId="15150" xr:uid="{00000000-0005-0000-0000-000089850000}"/>
    <cellStyle name="40 % - Markeringsfarve6 12 4 2" xfId="31429" xr:uid="{00000000-0005-0000-0000-00008A850000}"/>
    <cellStyle name="40 % - Markeringsfarve6 12 4 3" xfId="46389" xr:uid="{00000000-0005-0000-0000-00008B850000}"/>
    <cellStyle name="40 % - Markeringsfarve6 12 5" xfId="24427" xr:uid="{00000000-0005-0000-0000-00008C850000}"/>
    <cellStyle name="40 % - Markeringsfarve6 12 6" xfId="39392" xr:uid="{00000000-0005-0000-0000-00008D850000}"/>
    <cellStyle name="40 % - Markeringsfarve6 13" xfId="6667" xr:uid="{00000000-0005-0000-0000-00008E850000}"/>
    <cellStyle name="40 % - Markeringsfarve6 13 2" xfId="6668" xr:uid="{00000000-0005-0000-0000-00008F850000}"/>
    <cellStyle name="40 % - Markeringsfarve6 13 2 2" xfId="10804" xr:uid="{00000000-0005-0000-0000-000090850000}"/>
    <cellStyle name="40 % - Markeringsfarve6 13 2 2 2" xfId="18645" xr:uid="{00000000-0005-0000-0000-000091850000}"/>
    <cellStyle name="40 % - Markeringsfarve6 13 2 2 2 2" xfId="34921" xr:uid="{00000000-0005-0000-0000-000092850000}"/>
    <cellStyle name="40 % - Markeringsfarve6 13 2 2 2 3" xfId="49880" xr:uid="{00000000-0005-0000-0000-000093850000}"/>
    <cellStyle name="40 % - Markeringsfarve6 13 2 2 3" xfId="27919" xr:uid="{00000000-0005-0000-0000-000094850000}"/>
    <cellStyle name="40 % - Markeringsfarve6 13 2 2 4" xfId="42883" xr:uid="{00000000-0005-0000-0000-000095850000}"/>
    <cellStyle name="40 % - Markeringsfarve6 13 2 3" xfId="15153" xr:uid="{00000000-0005-0000-0000-000096850000}"/>
    <cellStyle name="40 % - Markeringsfarve6 13 2 3 2" xfId="31432" xr:uid="{00000000-0005-0000-0000-000097850000}"/>
    <cellStyle name="40 % - Markeringsfarve6 13 2 3 3" xfId="46392" xr:uid="{00000000-0005-0000-0000-000098850000}"/>
    <cellStyle name="40 % - Markeringsfarve6 13 2 4" xfId="24430" xr:uid="{00000000-0005-0000-0000-000099850000}"/>
    <cellStyle name="40 % - Markeringsfarve6 13 2 5" xfId="39395" xr:uid="{00000000-0005-0000-0000-00009A850000}"/>
    <cellStyle name="40 % - Markeringsfarve6 13 3" xfId="8243" xr:uid="{00000000-0005-0000-0000-00009B850000}"/>
    <cellStyle name="40 % - Markeringsfarve6 13 3 2" xfId="16108" xr:uid="{00000000-0005-0000-0000-00009C850000}"/>
    <cellStyle name="40 % - Markeringsfarve6 13 3 2 2" xfId="32384" xr:uid="{00000000-0005-0000-0000-00009D850000}"/>
    <cellStyle name="40 % - Markeringsfarve6 13 3 2 3" xfId="47343" xr:uid="{00000000-0005-0000-0000-00009E850000}"/>
    <cellStyle name="40 % - Markeringsfarve6 13 3 3" xfId="25382" xr:uid="{00000000-0005-0000-0000-00009F850000}"/>
    <cellStyle name="40 % - Markeringsfarve6 13 3 4" xfId="40346" xr:uid="{00000000-0005-0000-0000-0000A0850000}"/>
    <cellStyle name="40 % - Markeringsfarve6 13 4" xfId="15152" xr:uid="{00000000-0005-0000-0000-0000A1850000}"/>
    <cellStyle name="40 % - Markeringsfarve6 13 4 2" xfId="31431" xr:uid="{00000000-0005-0000-0000-0000A2850000}"/>
    <cellStyle name="40 % - Markeringsfarve6 13 4 3" xfId="46391" xr:uid="{00000000-0005-0000-0000-0000A3850000}"/>
    <cellStyle name="40 % - Markeringsfarve6 13 5" xfId="24429" xr:uid="{00000000-0005-0000-0000-0000A4850000}"/>
    <cellStyle name="40 % - Markeringsfarve6 13 6" xfId="39394" xr:uid="{00000000-0005-0000-0000-0000A5850000}"/>
    <cellStyle name="40 % - Markeringsfarve6 14" xfId="6669" xr:uid="{00000000-0005-0000-0000-0000A6850000}"/>
    <cellStyle name="40 % - Markeringsfarve6 14 2" xfId="6670" xr:uid="{00000000-0005-0000-0000-0000A7850000}"/>
    <cellStyle name="40 % - Markeringsfarve6 14 2 2" xfId="10916" xr:uid="{00000000-0005-0000-0000-0000A8850000}"/>
    <cellStyle name="40 % - Markeringsfarve6 14 2 2 2" xfId="18751" xr:uid="{00000000-0005-0000-0000-0000A9850000}"/>
    <cellStyle name="40 % - Markeringsfarve6 14 2 2 2 2" xfId="35027" xr:uid="{00000000-0005-0000-0000-0000AA850000}"/>
    <cellStyle name="40 % - Markeringsfarve6 14 2 2 2 3" xfId="49986" xr:uid="{00000000-0005-0000-0000-0000AB850000}"/>
    <cellStyle name="40 % - Markeringsfarve6 14 2 2 3" xfId="28025" xr:uid="{00000000-0005-0000-0000-0000AC850000}"/>
    <cellStyle name="40 % - Markeringsfarve6 14 2 2 4" xfId="42989" xr:uid="{00000000-0005-0000-0000-0000AD850000}"/>
    <cellStyle name="40 % - Markeringsfarve6 14 2 3" xfId="15155" xr:uid="{00000000-0005-0000-0000-0000AE850000}"/>
    <cellStyle name="40 % - Markeringsfarve6 14 2 3 2" xfId="31434" xr:uid="{00000000-0005-0000-0000-0000AF850000}"/>
    <cellStyle name="40 % - Markeringsfarve6 14 2 3 3" xfId="46394" xr:uid="{00000000-0005-0000-0000-0000B0850000}"/>
    <cellStyle name="40 % - Markeringsfarve6 14 2 4" xfId="24432" xr:uid="{00000000-0005-0000-0000-0000B1850000}"/>
    <cellStyle name="40 % - Markeringsfarve6 14 2 5" xfId="39397" xr:uid="{00000000-0005-0000-0000-0000B2850000}"/>
    <cellStyle name="40 % - Markeringsfarve6 14 3" xfId="8239" xr:uid="{00000000-0005-0000-0000-0000B3850000}"/>
    <cellStyle name="40 % - Markeringsfarve6 14 3 2" xfId="16104" xr:uid="{00000000-0005-0000-0000-0000B4850000}"/>
    <cellStyle name="40 % - Markeringsfarve6 14 3 2 2" xfId="32380" xr:uid="{00000000-0005-0000-0000-0000B5850000}"/>
    <cellStyle name="40 % - Markeringsfarve6 14 3 2 3" xfId="47339" xr:uid="{00000000-0005-0000-0000-0000B6850000}"/>
    <cellStyle name="40 % - Markeringsfarve6 14 3 3" xfId="25378" xr:uid="{00000000-0005-0000-0000-0000B7850000}"/>
    <cellStyle name="40 % - Markeringsfarve6 14 3 4" xfId="40342" xr:uid="{00000000-0005-0000-0000-0000B8850000}"/>
    <cellStyle name="40 % - Markeringsfarve6 14 4" xfId="15154" xr:uid="{00000000-0005-0000-0000-0000B9850000}"/>
    <cellStyle name="40 % - Markeringsfarve6 14 4 2" xfId="31433" xr:uid="{00000000-0005-0000-0000-0000BA850000}"/>
    <cellStyle name="40 % - Markeringsfarve6 14 4 3" xfId="46393" xr:uid="{00000000-0005-0000-0000-0000BB850000}"/>
    <cellStyle name="40 % - Markeringsfarve6 14 5" xfId="24431" xr:uid="{00000000-0005-0000-0000-0000BC850000}"/>
    <cellStyle name="40 % - Markeringsfarve6 14 6" xfId="39396" xr:uid="{00000000-0005-0000-0000-0000BD850000}"/>
    <cellStyle name="40 % - Markeringsfarve6 15" xfId="6671" xr:uid="{00000000-0005-0000-0000-0000BE850000}"/>
    <cellStyle name="40 % - Markeringsfarve6 15 2" xfId="8930" xr:uid="{00000000-0005-0000-0000-0000BF850000}"/>
    <cellStyle name="40 % - Markeringsfarve6 15 2 2" xfId="16796" xr:uid="{00000000-0005-0000-0000-0000C0850000}"/>
    <cellStyle name="40 % - Markeringsfarve6 15 2 2 2" xfId="33072" xr:uid="{00000000-0005-0000-0000-0000C1850000}"/>
    <cellStyle name="40 % - Markeringsfarve6 15 2 2 3" xfId="48031" xr:uid="{00000000-0005-0000-0000-0000C2850000}"/>
    <cellStyle name="40 % - Markeringsfarve6 15 2 3" xfId="26070" xr:uid="{00000000-0005-0000-0000-0000C3850000}"/>
    <cellStyle name="40 % - Markeringsfarve6 15 2 4" xfId="41034" xr:uid="{00000000-0005-0000-0000-0000C4850000}"/>
    <cellStyle name="40 % - Markeringsfarve6 15 3" xfId="15156" xr:uid="{00000000-0005-0000-0000-0000C5850000}"/>
    <cellStyle name="40 % - Markeringsfarve6 15 3 2" xfId="31435" xr:uid="{00000000-0005-0000-0000-0000C6850000}"/>
    <cellStyle name="40 % - Markeringsfarve6 15 3 3" xfId="46395" xr:uid="{00000000-0005-0000-0000-0000C7850000}"/>
    <cellStyle name="40 % - Markeringsfarve6 15 4" xfId="24433" xr:uid="{00000000-0005-0000-0000-0000C8850000}"/>
    <cellStyle name="40 % - Markeringsfarve6 15 5" xfId="39398" xr:uid="{00000000-0005-0000-0000-0000C9850000}"/>
    <cellStyle name="40 % - Markeringsfarve6 16" xfId="6672" xr:uid="{00000000-0005-0000-0000-0000CA850000}"/>
    <cellStyle name="40 % - Markeringsfarve6 16 2" xfId="10649" xr:uid="{00000000-0005-0000-0000-0000CB850000}"/>
    <cellStyle name="40 % - Markeringsfarve6 16 2 2" xfId="18496" xr:uid="{00000000-0005-0000-0000-0000CC850000}"/>
    <cellStyle name="40 % - Markeringsfarve6 16 2 2 2" xfId="34772" xr:uid="{00000000-0005-0000-0000-0000CD850000}"/>
    <cellStyle name="40 % - Markeringsfarve6 16 2 2 3" xfId="49731" xr:uid="{00000000-0005-0000-0000-0000CE850000}"/>
    <cellStyle name="40 % - Markeringsfarve6 16 2 3" xfId="27770" xr:uid="{00000000-0005-0000-0000-0000CF850000}"/>
    <cellStyle name="40 % - Markeringsfarve6 16 2 4" xfId="42734" xr:uid="{00000000-0005-0000-0000-0000D0850000}"/>
    <cellStyle name="40 % - Markeringsfarve6 16 3" xfId="15157" xr:uid="{00000000-0005-0000-0000-0000D1850000}"/>
    <cellStyle name="40 % - Markeringsfarve6 16 3 2" xfId="31436" xr:uid="{00000000-0005-0000-0000-0000D2850000}"/>
    <cellStyle name="40 % - Markeringsfarve6 16 3 3" xfId="46396" xr:uid="{00000000-0005-0000-0000-0000D3850000}"/>
    <cellStyle name="40 % - Markeringsfarve6 16 4" xfId="24434" xr:uid="{00000000-0005-0000-0000-0000D4850000}"/>
    <cellStyle name="40 % - Markeringsfarve6 16 5" xfId="39399" xr:uid="{00000000-0005-0000-0000-0000D5850000}"/>
    <cellStyle name="40 % - Markeringsfarve6 17" xfId="6673" xr:uid="{00000000-0005-0000-0000-0000D6850000}"/>
    <cellStyle name="40 % - Markeringsfarve6 17 2" xfId="10894" xr:uid="{00000000-0005-0000-0000-0000D7850000}"/>
    <cellStyle name="40 % - Markeringsfarve6 17 2 2" xfId="18730" xr:uid="{00000000-0005-0000-0000-0000D8850000}"/>
    <cellStyle name="40 % - Markeringsfarve6 17 2 2 2" xfId="35006" xr:uid="{00000000-0005-0000-0000-0000D9850000}"/>
    <cellStyle name="40 % - Markeringsfarve6 17 2 2 3" xfId="49965" xr:uid="{00000000-0005-0000-0000-0000DA850000}"/>
    <cellStyle name="40 % - Markeringsfarve6 17 2 3" xfId="28004" xr:uid="{00000000-0005-0000-0000-0000DB850000}"/>
    <cellStyle name="40 % - Markeringsfarve6 17 2 4" xfId="42968" xr:uid="{00000000-0005-0000-0000-0000DC850000}"/>
    <cellStyle name="40 % - Markeringsfarve6 17 3" xfId="15158" xr:uid="{00000000-0005-0000-0000-0000DD850000}"/>
    <cellStyle name="40 % - Markeringsfarve6 17 3 2" xfId="31437" xr:uid="{00000000-0005-0000-0000-0000DE850000}"/>
    <cellStyle name="40 % - Markeringsfarve6 17 3 3" xfId="46397" xr:uid="{00000000-0005-0000-0000-0000DF850000}"/>
    <cellStyle name="40 % - Markeringsfarve6 17 4" xfId="24435" xr:uid="{00000000-0005-0000-0000-0000E0850000}"/>
    <cellStyle name="40 % - Markeringsfarve6 17 5" xfId="39400" xr:uid="{00000000-0005-0000-0000-0000E1850000}"/>
    <cellStyle name="40 % - Markeringsfarve6 18" xfId="7616" xr:uid="{00000000-0005-0000-0000-0000E2850000}"/>
    <cellStyle name="40 % - Markeringsfarve6 18 2" xfId="15482" xr:uid="{00000000-0005-0000-0000-0000E3850000}"/>
    <cellStyle name="40 % - Markeringsfarve6 18 2 2" xfId="31758" xr:uid="{00000000-0005-0000-0000-0000E4850000}"/>
    <cellStyle name="40 % - Markeringsfarve6 18 2 3" xfId="46717" xr:uid="{00000000-0005-0000-0000-0000E5850000}"/>
    <cellStyle name="40 % - Markeringsfarve6 18 3" xfId="24756" xr:uid="{00000000-0005-0000-0000-0000E6850000}"/>
    <cellStyle name="40 % - Markeringsfarve6 18 4" xfId="39720" xr:uid="{00000000-0005-0000-0000-0000E7850000}"/>
    <cellStyle name="40 % - Markeringsfarve6 19" xfId="6656" xr:uid="{00000000-0005-0000-0000-0000E8850000}"/>
    <cellStyle name="40 % - Markeringsfarve6 19 2" xfId="15141" xr:uid="{00000000-0005-0000-0000-0000E9850000}"/>
    <cellStyle name="40 % - Markeringsfarve6 19 2 2" xfId="31420" xr:uid="{00000000-0005-0000-0000-0000EA850000}"/>
    <cellStyle name="40 % - Markeringsfarve6 19 2 3" xfId="46380" xr:uid="{00000000-0005-0000-0000-0000EB850000}"/>
    <cellStyle name="40 % - Markeringsfarve6 19 3" xfId="24418" xr:uid="{00000000-0005-0000-0000-0000EC850000}"/>
    <cellStyle name="40 % - Markeringsfarve6 19 4" xfId="39383" xr:uid="{00000000-0005-0000-0000-0000ED850000}"/>
    <cellStyle name="40 % - Markeringsfarve6 2" xfId="6674" xr:uid="{00000000-0005-0000-0000-0000EE850000}"/>
    <cellStyle name="40 % - Markeringsfarve6 2 10" xfId="6675" xr:uid="{00000000-0005-0000-0000-0000EF850000}"/>
    <cellStyle name="40 % - Markeringsfarve6 2 10 2" xfId="8959" xr:uid="{00000000-0005-0000-0000-0000F0850000}"/>
    <cellStyle name="40 % - Markeringsfarve6 2 10 2 2" xfId="16823" xr:uid="{00000000-0005-0000-0000-0000F1850000}"/>
    <cellStyle name="40 % - Markeringsfarve6 2 10 2 2 2" xfId="33099" xr:uid="{00000000-0005-0000-0000-0000F2850000}"/>
    <cellStyle name="40 % - Markeringsfarve6 2 10 2 2 3" xfId="48058" xr:uid="{00000000-0005-0000-0000-0000F3850000}"/>
    <cellStyle name="40 % - Markeringsfarve6 2 10 2 3" xfId="26097" xr:uid="{00000000-0005-0000-0000-0000F4850000}"/>
    <cellStyle name="40 % - Markeringsfarve6 2 10 2 4" xfId="41061" xr:uid="{00000000-0005-0000-0000-0000F5850000}"/>
    <cellStyle name="40 % - Markeringsfarve6 2 10 3" xfId="15160" xr:uid="{00000000-0005-0000-0000-0000F6850000}"/>
    <cellStyle name="40 % - Markeringsfarve6 2 10 3 2" xfId="31439" xr:uid="{00000000-0005-0000-0000-0000F7850000}"/>
    <cellStyle name="40 % - Markeringsfarve6 2 10 3 3" xfId="46399" xr:uid="{00000000-0005-0000-0000-0000F8850000}"/>
    <cellStyle name="40 % - Markeringsfarve6 2 10 4" xfId="24437" xr:uid="{00000000-0005-0000-0000-0000F9850000}"/>
    <cellStyle name="40 % - Markeringsfarve6 2 10 5" xfId="39402" xr:uid="{00000000-0005-0000-0000-0000FA850000}"/>
    <cellStyle name="40 % - Markeringsfarve6 2 11" xfId="6676" xr:uid="{00000000-0005-0000-0000-0000FB850000}"/>
    <cellStyle name="40 % - Markeringsfarve6 2 11 2" xfId="10455" xr:uid="{00000000-0005-0000-0000-0000FC850000}"/>
    <cellStyle name="40 % - Markeringsfarve6 2 11 2 2" xfId="18306" xr:uid="{00000000-0005-0000-0000-0000FD850000}"/>
    <cellStyle name="40 % - Markeringsfarve6 2 11 2 2 2" xfId="34582" xr:uid="{00000000-0005-0000-0000-0000FE850000}"/>
    <cellStyle name="40 % - Markeringsfarve6 2 11 2 2 3" xfId="49541" xr:uid="{00000000-0005-0000-0000-0000FF850000}"/>
    <cellStyle name="40 % - Markeringsfarve6 2 11 2 3" xfId="27580" xr:uid="{00000000-0005-0000-0000-000000860000}"/>
    <cellStyle name="40 % - Markeringsfarve6 2 11 2 4" xfId="42544" xr:uid="{00000000-0005-0000-0000-000001860000}"/>
    <cellStyle name="40 % - Markeringsfarve6 2 11 3" xfId="15161" xr:uid="{00000000-0005-0000-0000-000002860000}"/>
    <cellStyle name="40 % - Markeringsfarve6 2 11 3 2" xfId="31440" xr:uid="{00000000-0005-0000-0000-000003860000}"/>
    <cellStyle name="40 % - Markeringsfarve6 2 11 3 3" xfId="46400" xr:uid="{00000000-0005-0000-0000-000004860000}"/>
    <cellStyle name="40 % - Markeringsfarve6 2 11 4" xfId="24438" xr:uid="{00000000-0005-0000-0000-000005860000}"/>
    <cellStyle name="40 % - Markeringsfarve6 2 11 5" xfId="39403" xr:uid="{00000000-0005-0000-0000-000006860000}"/>
    <cellStyle name="40 % - Markeringsfarve6 2 12" xfId="8244" xr:uid="{00000000-0005-0000-0000-000007860000}"/>
    <cellStyle name="40 % - Markeringsfarve6 2 12 2" xfId="16109" xr:uid="{00000000-0005-0000-0000-000008860000}"/>
    <cellStyle name="40 % - Markeringsfarve6 2 12 2 2" xfId="32385" xr:uid="{00000000-0005-0000-0000-000009860000}"/>
    <cellStyle name="40 % - Markeringsfarve6 2 12 2 3" xfId="47344" xr:uid="{00000000-0005-0000-0000-00000A860000}"/>
    <cellStyle name="40 % - Markeringsfarve6 2 12 3" xfId="25383" xr:uid="{00000000-0005-0000-0000-00000B860000}"/>
    <cellStyle name="40 % - Markeringsfarve6 2 12 4" xfId="40347" xr:uid="{00000000-0005-0000-0000-00000C860000}"/>
    <cellStyle name="40 % - Markeringsfarve6 2 13" xfId="15159" xr:uid="{00000000-0005-0000-0000-00000D860000}"/>
    <cellStyle name="40 % - Markeringsfarve6 2 13 2" xfId="31438" xr:uid="{00000000-0005-0000-0000-00000E860000}"/>
    <cellStyle name="40 % - Markeringsfarve6 2 13 3" xfId="46398" xr:uid="{00000000-0005-0000-0000-00000F860000}"/>
    <cellStyle name="40 % - Markeringsfarve6 2 14" xfId="24436" xr:uid="{00000000-0005-0000-0000-000010860000}"/>
    <cellStyle name="40 % - Markeringsfarve6 2 15" xfId="39401" xr:uid="{00000000-0005-0000-0000-000011860000}"/>
    <cellStyle name="40 % - Markeringsfarve6 2 2" xfId="6677" xr:uid="{00000000-0005-0000-0000-000012860000}"/>
    <cellStyle name="40 % - Markeringsfarve6 2 2 10" xfId="8245" xr:uid="{00000000-0005-0000-0000-000013860000}"/>
    <cellStyle name="40 % - Markeringsfarve6 2 2 10 2" xfId="16110" xr:uid="{00000000-0005-0000-0000-000014860000}"/>
    <cellStyle name="40 % - Markeringsfarve6 2 2 10 2 2" xfId="32386" xr:uid="{00000000-0005-0000-0000-000015860000}"/>
    <cellStyle name="40 % - Markeringsfarve6 2 2 10 2 3" xfId="47345" xr:uid="{00000000-0005-0000-0000-000016860000}"/>
    <cellStyle name="40 % - Markeringsfarve6 2 2 10 3" xfId="25384" xr:uid="{00000000-0005-0000-0000-000017860000}"/>
    <cellStyle name="40 % - Markeringsfarve6 2 2 10 4" xfId="40348" xr:uid="{00000000-0005-0000-0000-000018860000}"/>
    <cellStyle name="40 % - Markeringsfarve6 2 2 11" xfId="15162" xr:uid="{00000000-0005-0000-0000-000019860000}"/>
    <cellStyle name="40 % - Markeringsfarve6 2 2 11 2" xfId="31441" xr:uid="{00000000-0005-0000-0000-00001A860000}"/>
    <cellStyle name="40 % - Markeringsfarve6 2 2 11 3" xfId="46401" xr:uid="{00000000-0005-0000-0000-00001B860000}"/>
    <cellStyle name="40 % - Markeringsfarve6 2 2 12" xfId="24439" xr:uid="{00000000-0005-0000-0000-00001C860000}"/>
    <cellStyle name="40 % - Markeringsfarve6 2 2 13" xfId="39404" xr:uid="{00000000-0005-0000-0000-00001D860000}"/>
    <cellStyle name="40 % - Markeringsfarve6 2 2 2" xfId="6678" xr:uid="{00000000-0005-0000-0000-00001E860000}"/>
    <cellStyle name="40 % - Markeringsfarve6 2 2 2 2" xfId="6679" xr:uid="{00000000-0005-0000-0000-00001F860000}"/>
    <cellStyle name="40 % - Markeringsfarve6 2 2 2 2 2" xfId="6680" xr:uid="{00000000-0005-0000-0000-000020860000}"/>
    <cellStyle name="40 % - Markeringsfarve6 2 2 2 2 2 2" xfId="9889" xr:uid="{00000000-0005-0000-0000-000021860000}"/>
    <cellStyle name="40 % - Markeringsfarve6 2 2 2 2 2 2 2" xfId="17744" xr:uid="{00000000-0005-0000-0000-000022860000}"/>
    <cellStyle name="40 % - Markeringsfarve6 2 2 2 2 2 2 2 2" xfId="34020" xr:uid="{00000000-0005-0000-0000-000023860000}"/>
    <cellStyle name="40 % - Markeringsfarve6 2 2 2 2 2 2 2 3" xfId="48979" xr:uid="{00000000-0005-0000-0000-000024860000}"/>
    <cellStyle name="40 % - Markeringsfarve6 2 2 2 2 2 2 3" xfId="27018" xr:uid="{00000000-0005-0000-0000-000025860000}"/>
    <cellStyle name="40 % - Markeringsfarve6 2 2 2 2 2 2 4" xfId="41982" xr:uid="{00000000-0005-0000-0000-000026860000}"/>
    <cellStyle name="40 % - Markeringsfarve6 2 2 2 2 2 3" xfId="15165" xr:uid="{00000000-0005-0000-0000-000027860000}"/>
    <cellStyle name="40 % - Markeringsfarve6 2 2 2 2 2 3 2" xfId="31444" xr:uid="{00000000-0005-0000-0000-000028860000}"/>
    <cellStyle name="40 % - Markeringsfarve6 2 2 2 2 2 3 3" xfId="46404" xr:uid="{00000000-0005-0000-0000-000029860000}"/>
    <cellStyle name="40 % - Markeringsfarve6 2 2 2 2 2 4" xfId="24442" xr:uid="{00000000-0005-0000-0000-00002A860000}"/>
    <cellStyle name="40 % - Markeringsfarve6 2 2 2 2 2 5" xfId="39407" xr:uid="{00000000-0005-0000-0000-00002B860000}"/>
    <cellStyle name="40 % - Markeringsfarve6 2 2 2 2 3" xfId="8461" xr:uid="{00000000-0005-0000-0000-00002C860000}"/>
    <cellStyle name="40 % - Markeringsfarve6 2 2 2 2 3 2" xfId="16331" xr:uid="{00000000-0005-0000-0000-00002D860000}"/>
    <cellStyle name="40 % - Markeringsfarve6 2 2 2 2 3 2 2" xfId="32607" xr:uid="{00000000-0005-0000-0000-00002E860000}"/>
    <cellStyle name="40 % - Markeringsfarve6 2 2 2 2 3 2 3" xfId="47566" xr:uid="{00000000-0005-0000-0000-00002F860000}"/>
    <cellStyle name="40 % - Markeringsfarve6 2 2 2 2 3 3" xfId="25605" xr:uid="{00000000-0005-0000-0000-000030860000}"/>
    <cellStyle name="40 % - Markeringsfarve6 2 2 2 2 3 4" xfId="40569" xr:uid="{00000000-0005-0000-0000-000031860000}"/>
    <cellStyle name="40 % - Markeringsfarve6 2 2 2 2 4" xfId="15164" xr:uid="{00000000-0005-0000-0000-000032860000}"/>
    <cellStyle name="40 % - Markeringsfarve6 2 2 2 2 4 2" xfId="31443" xr:uid="{00000000-0005-0000-0000-000033860000}"/>
    <cellStyle name="40 % - Markeringsfarve6 2 2 2 2 4 3" xfId="46403" xr:uid="{00000000-0005-0000-0000-000034860000}"/>
    <cellStyle name="40 % - Markeringsfarve6 2 2 2 2 5" xfId="24441" xr:uid="{00000000-0005-0000-0000-000035860000}"/>
    <cellStyle name="40 % - Markeringsfarve6 2 2 2 2 6" xfId="39406" xr:uid="{00000000-0005-0000-0000-000036860000}"/>
    <cellStyle name="40 % - Markeringsfarve6 2 2 2 3" xfId="6681" xr:uid="{00000000-0005-0000-0000-000037860000}"/>
    <cellStyle name="40 % - Markeringsfarve6 2 2 2 3 2" xfId="9120" xr:uid="{00000000-0005-0000-0000-000038860000}"/>
    <cellStyle name="40 % - Markeringsfarve6 2 2 2 3 2 2" xfId="16984" xr:uid="{00000000-0005-0000-0000-000039860000}"/>
    <cellStyle name="40 % - Markeringsfarve6 2 2 2 3 2 2 2" xfId="33260" xr:uid="{00000000-0005-0000-0000-00003A860000}"/>
    <cellStyle name="40 % - Markeringsfarve6 2 2 2 3 2 2 3" xfId="48219" xr:uid="{00000000-0005-0000-0000-00003B860000}"/>
    <cellStyle name="40 % - Markeringsfarve6 2 2 2 3 2 3" xfId="26258" xr:uid="{00000000-0005-0000-0000-00003C860000}"/>
    <cellStyle name="40 % - Markeringsfarve6 2 2 2 3 2 4" xfId="41222" xr:uid="{00000000-0005-0000-0000-00003D860000}"/>
    <cellStyle name="40 % - Markeringsfarve6 2 2 2 3 3" xfId="15166" xr:uid="{00000000-0005-0000-0000-00003E860000}"/>
    <cellStyle name="40 % - Markeringsfarve6 2 2 2 3 3 2" xfId="31445" xr:uid="{00000000-0005-0000-0000-00003F860000}"/>
    <cellStyle name="40 % - Markeringsfarve6 2 2 2 3 3 3" xfId="46405" xr:uid="{00000000-0005-0000-0000-000040860000}"/>
    <cellStyle name="40 % - Markeringsfarve6 2 2 2 3 4" xfId="24443" xr:uid="{00000000-0005-0000-0000-000041860000}"/>
    <cellStyle name="40 % - Markeringsfarve6 2 2 2 3 5" xfId="39408" xr:uid="{00000000-0005-0000-0000-000042860000}"/>
    <cellStyle name="40 % - Markeringsfarve6 2 2 2 4" xfId="6682" xr:uid="{00000000-0005-0000-0000-000043860000}"/>
    <cellStyle name="40 % - Markeringsfarve6 2 2 2 4 2" xfId="10749" xr:uid="{00000000-0005-0000-0000-000044860000}"/>
    <cellStyle name="40 % - Markeringsfarve6 2 2 2 4 2 2" xfId="18592" xr:uid="{00000000-0005-0000-0000-000045860000}"/>
    <cellStyle name="40 % - Markeringsfarve6 2 2 2 4 2 2 2" xfId="34868" xr:uid="{00000000-0005-0000-0000-000046860000}"/>
    <cellStyle name="40 % - Markeringsfarve6 2 2 2 4 2 2 3" xfId="49827" xr:uid="{00000000-0005-0000-0000-000047860000}"/>
    <cellStyle name="40 % - Markeringsfarve6 2 2 2 4 2 3" xfId="27866" xr:uid="{00000000-0005-0000-0000-000048860000}"/>
    <cellStyle name="40 % - Markeringsfarve6 2 2 2 4 2 4" xfId="42830" xr:uid="{00000000-0005-0000-0000-000049860000}"/>
    <cellStyle name="40 % - Markeringsfarve6 2 2 2 4 3" xfId="15167" xr:uid="{00000000-0005-0000-0000-00004A860000}"/>
    <cellStyle name="40 % - Markeringsfarve6 2 2 2 4 3 2" xfId="31446" xr:uid="{00000000-0005-0000-0000-00004B860000}"/>
    <cellStyle name="40 % - Markeringsfarve6 2 2 2 4 3 3" xfId="46406" xr:uid="{00000000-0005-0000-0000-00004C860000}"/>
    <cellStyle name="40 % - Markeringsfarve6 2 2 2 4 4" xfId="24444" xr:uid="{00000000-0005-0000-0000-00004D860000}"/>
    <cellStyle name="40 % - Markeringsfarve6 2 2 2 4 5" xfId="39409" xr:uid="{00000000-0005-0000-0000-00004E860000}"/>
    <cellStyle name="40 % - Markeringsfarve6 2 2 2 5" xfId="8246" xr:uid="{00000000-0005-0000-0000-00004F860000}"/>
    <cellStyle name="40 % - Markeringsfarve6 2 2 2 5 2" xfId="16111" xr:uid="{00000000-0005-0000-0000-000050860000}"/>
    <cellStyle name="40 % - Markeringsfarve6 2 2 2 5 2 2" xfId="32387" xr:uid="{00000000-0005-0000-0000-000051860000}"/>
    <cellStyle name="40 % - Markeringsfarve6 2 2 2 5 2 3" xfId="47346" xr:uid="{00000000-0005-0000-0000-000052860000}"/>
    <cellStyle name="40 % - Markeringsfarve6 2 2 2 5 3" xfId="25385" xr:uid="{00000000-0005-0000-0000-000053860000}"/>
    <cellStyle name="40 % - Markeringsfarve6 2 2 2 5 4" xfId="40349" xr:uid="{00000000-0005-0000-0000-000054860000}"/>
    <cellStyle name="40 % - Markeringsfarve6 2 2 2 6" xfId="15163" xr:uid="{00000000-0005-0000-0000-000055860000}"/>
    <cellStyle name="40 % - Markeringsfarve6 2 2 2 6 2" xfId="31442" xr:uid="{00000000-0005-0000-0000-000056860000}"/>
    <cellStyle name="40 % - Markeringsfarve6 2 2 2 6 3" xfId="46402" xr:uid="{00000000-0005-0000-0000-000057860000}"/>
    <cellStyle name="40 % - Markeringsfarve6 2 2 2 7" xfId="24440" xr:uid="{00000000-0005-0000-0000-000058860000}"/>
    <cellStyle name="40 % - Markeringsfarve6 2 2 2 8" xfId="39405" xr:uid="{00000000-0005-0000-0000-000059860000}"/>
    <cellStyle name="40 % - Markeringsfarve6 2 2 3" xfId="6683" xr:uid="{00000000-0005-0000-0000-00005A860000}"/>
    <cellStyle name="40 % - Markeringsfarve6 2 2 3 2" xfId="6684" xr:uid="{00000000-0005-0000-0000-00005B860000}"/>
    <cellStyle name="40 % - Markeringsfarve6 2 2 3 2 2" xfId="6685" xr:uid="{00000000-0005-0000-0000-00005C860000}"/>
    <cellStyle name="40 % - Markeringsfarve6 2 2 3 2 2 2" xfId="10032" xr:uid="{00000000-0005-0000-0000-00005D860000}"/>
    <cellStyle name="40 % - Markeringsfarve6 2 2 3 2 2 2 2" xfId="17887" xr:uid="{00000000-0005-0000-0000-00005E860000}"/>
    <cellStyle name="40 % - Markeringsfarve6 2 2 3 2 2 2 2 2" xfId="34163" xr:uid="{00000000-0005-0000-0000-00005F860000}"/>
    <cellStyle name="40 % - Markeringsfarve6 2 2 3 2 2 2 2 3" xfId="49122" xr:uid="{00000000-0005-0000-0000-000060860000}"/>
    <cellStyle name="40 % - Markeringsfarve6 2 2 3 2 2 2 3" xfId="27161" xr:uid="{00000000-0005-0000-0000-000061860000}"/>
    <cellStyle name="40 % - Markeringsfarve6 2 2 3 2 2 2 4" xfId="42125" xr:uid="{00000000-0005-0000-0000-000062860000}"/>
    <cellStyle name="40 % - Markeringsfarve6 2 2 3 2 2 3" xfId="15170" xr:uid="{00000000-0005-0000-0000-000063860000}"/>
    <cellStyle name="40 % - Markeringsfarve6 2 2 3 2 2 3 2" xfId="31449" xr:uid="{00000000-0005-0000-0000-000064860000}"/>
    <cellStyle name="40 % - Markeringsfarve6 2 2 3 2 2 3 3" xfId="46409" xr:uid="{00000000-0005-0000-0000-000065860000}"/>
    <cellStyle name="40 % - Markeringsfarve6 2 2 3 2 2 4" xfId="24447" xr:uid="{00000000-0005-0000-0000-000066860000}"/>
    <cellStyle name="40 % - Markeringsfarve6 2 2 3 2 2 5" xfId="39412" xr:uid="{00000000-0005-0000-0000-000067860000}"/>
    <cellStyle name="40 % - Markeringsfarve6 2 2 3 2 3" xfId="8579" xr:uid="{00000000-0005-0000-0000-000068860000}"/>
    <cellStyle name="40 % - Markeringsfarve6 2 2 3 2 3 2" xfId="16449" xr:uid="{00000000-0005-0000-0000-000069860000}"/>
    <cellStyle name="40 % - Markeringsfarve6 2 2 3 2 3 2 2" xfId="32725" xr:uid="{00000000-0005-0000-0000-00006A860000}"/>
    <cellStyle name="40 % - Markeringsfarve6 2 2 3 2 3 2 3" xfId="47684" xr:uid="{00000000-0005-0000-0000-00006B860000}"/>
    <cellStyle name="40 % - Markeringsfarve6 2 2 3 2 3 3" xfId="25723" xr:uid="{00000000-0005-0000-0000-00006C860000}"/>
    <cellStyle name="40 % - Markeringsfarve6 2 2 3 2 3 4" xfId="40687" xr:uid="{00000000-0005-0000-0000-00006D860000}"/>
    <cellStyle name="40 % - Markeringsfarve6 2 2 3 2 4" xfId="15169" xr:uid="{00000000-0005-0000-0000-00006E860000}"/>
    <cellStyle name="40 % - Markeringsfarve6 2 2 3 2 4 2" xfId="31448" xr:uid="{00000000-0005-0000-0000-00006F860000}"/>
    <cellStyle name="40 % - Markeringsfarve6 2 2 3 2 4 3" xfId="46408" xr:uid="{00000000-0005-0000-0000-000070860000}"/>
    <cellStyle name="40 % - Markeringsfarve6 2 2 3 2 5" xfId="24446" xr:uid="{00000000-0005-0000-0000-000071860000}"/>
    <cellStyle name="40 % - Markeringsfarve6 2 2 3 2 6" xfId="39411" xr:uid="{00000000-0005-0000-0000-000072860000}"/>
    <cellStyle name="40 % - Markeringsfarve6 2 2 3 3" xfId="6686" xr:uid="{00000000-0005-0000-0000-000073860000}"/>
    <cellStyle name="40 % - Markeringsfarve6 2 2 3 3 2" xfId="9263" xr:uid="{00000000-0005-0000-0000-000074860000}"/>
    <cellStyle name="40 % - Markeringsfarve6 2 2 3 3 2 2" xfId="17127" xr:uid="{00000000-0005-0000-0000-000075860000}"/>
    <cellStyle name="40 % - Markeringsfarve6 2 2 3 3 2 2 2" xfId="33403" xr:uid="{00000000-0005-0000-0000-000076860000}"/>
    <cellStyle name="40 % - Markeringsfarve6 2 2 3 3 2 2 3" xfId="48362" xr:uid="{00000000-0005-0000-0000-000077860000}"/>
    <cellStyle name="40 % - Markeringsfarve6 2 2 3 3 2 3" xfId="26401" xr:uid="{00000000-0005-0000-0000-000078860000}"/>
    <cellStyle name="40 % - Markeringsfarve6 2 2 3 3 2 4" xfId="41365" xr:uid="{00000000-0005-0000-0000-000079860000}"/>
    <cellStyle name="40 % - Markeringsfarve6 2 2 3 3 3" xfId="15171" xr:uid="{00000000-0005-0000-0000-00007A860000}"/>
    <cellStyle name="40 % - Markeringsfarve6 2 2 3 3 3 2" xfId="31450" xr:uid="{00000000-0005-0000-0000-00007B860000}"/>
    <cellStyle name="40 % - Markeringsfarve6 2 2 3 3 3 3" xfId="46410" xr:uid="{00000000-0005-0000-0000-00007C860000}"/>
    <cellStyle name="40 % - Markeringsfarve6 2 2 3 3 4" xfId="24448" xr:uid="{00000000-0005-0000-0000-00007D860000}"/>
    <cellStyle name="40 % - Markeringsfarve6 2 2 3 3 5" xfId="39413" xr:uid="{00000000-0005-0000-0000-00007E860000}"/>
    <cellStyle name="40 % - Markeringsfarve6 2 2 3 4" xfId="6687" xr:uid="{00000000-0005-0000-0000-00007F860000}"/>
    <cellStyle name="40 % - Markeringsfarve6 2 2 3 4 2" xfId="10964" xr:uid="{00000000-0005-0000-0000-000080860000}"/>
    <cellStyle name="40 % - Markeringsfarve6 2 2 3 4 2 2" xfId="18795" xr:uid="{00000000-0005-0000-0000-000081860000}"/>
    <cellStyle name="40 % - Markeringsfarve6 2 2 3 4 2 2 2" xfId="35071" xr:uid="{00000000-0005-0000-0000-000082860000}"/>
    <cellStyle name="40 % - Markeringsfarve6 2 2 3 4 2 2 3" xfId="50030" xr:uid="{00000000-0005-0000-0000-000083860000}"/>
    <cellStyle name="40 % - Markeringsfarve6 2 2 3 4 2 3" xfId="28069" xr:uid="{00000000-0005-0000-0000-000084860000}"/>
    <cellStyle name="40 % - Markeringsfarve6 2 2 3 4 2 4" xfId="43033" xr:uid="{00000000-0005-0000-0000-000085860000}"/>
    <cellStyle name="40 % - Markeringsfarve6 2 2 3 4 3" xfId="15172" xr:uid="{00000000-0005-0000-0000-000086860000}"/>
    <cellStyle name="40 % - Markeringsfarve6 2 2 3 4 3 2" xfId="31451" xr:uid="{00000000-0005-0000-0000-000087860000}"/>
    <cellStyle name="40 % - Markeringsfarve6 2 2 3 4 3 3" xfId="46411" xr:uid="{00000000-0005-0000-0000-000088860000}"/>
    <cellStyle name="40 % - Markeringsfarve6 2 2 3 4 4" xfId="24449" xr:uid="{00000000-0005-0000-0000-000089860000}"/>
    <cellStyle name="40 % - Markeringsfarve6 2 2 3 4 5" xfId="39414" xr:uid="{00000000-0005-0000-0000-00008A860000}"/>
    <cellStyle name="40 % - Markeringsfarve6 2 2 3 5" xfId="8247" xr:uid="{00000000-0005-0000-0000-00008B860000}"/>
    <cellStyle name="40 % - Markeringsfarve6 2 2 3 5 2" xfId="16112" xr:uid="{00000000-0005-0000-0000-00008C860000}"/>
    <cellStyle name="40 % - Markeringsfarve6 2 2 3 5 2 2" xfId="32388" xr:uid="{00000000-0005-0000-0000-00008D860000}"/>
    <cellStyle name="40 % - Markeringsfarve6 2 2 3 5 2 3" xfId="47347" xr:uid="{00000000-0005-0000-0000-00008E860000}"/>
    <cellStyle name="40 % - Markeringsfarve6 2 2 3 5 3" xfId="25386" xr:uid="{00000000-0005-0000-0000-00008F860000}"/>
    <cellStyle name="40 % - Markeringsfarve6 2 2 3 5 4" xfId="40350" xr:uid="{00000000-0005-0000-0000-000090860000}"/>
    <cellStyle name="40 % - Markeringsfarve6 2 2 3 6" xfId="15168" xr:uid="{00000000-0005-0000-0000-000091860000}"/>
    <cellStyle name="40 % - Markeringsfarve6 2 2 3 6 2" xfId="31447" xr:uid="{00000000-0005-0000-0000-000092860000}"/>
    <cellStyle name="40 % - Markeringsfarve6 2 2 3 6 3" xfId="46407" xr:uid="{00000000-0005-0000-0000-000093860000}"/>
    <cellStyle name="40 % - Markeringsfarve6 2 2 3 7" xfId="24445" xr:uid="{00000000-0005-0000-0000-000094860000}"/>
    <cellStyle name="40 % - Markeringsfarve6 2 2 3 8" xfId="39410" xr:uid="{00000000-0005-0000-0000-000095860000}"/>
    <cellStyle name="40 % - Markeringsfarve6 2 2 4" xfId="6688" xr:uid="{00000000-0005-0000-0000-000096860000}"/>
    <cellStyle name="40 % - Markeringsfarve6 2 2 4 2" xfId="6689" xr:uid="{00000000-0005-0000-0000-000097860000}"/>
    <cellStyle name="40 % - Markeringsfarve6 2 2 4 2 2" xfId="6690" xr:uid="{00000000-0005-0000-0000-000098860000}"/>
    <cellStyle name="40 % - Markeringsfarve6 2 2 4 2 2 2" xfId="10127" xr:uid="{00000000-0005-0000-0000-000099860000}"/>
    <cellStyle name="40 % - Markeringsfarve6 2 2 4 2 2 2 2" xfId="17982" xr:uid="{00000000-0005-0000-0000-00009A860000}"/>
    <cellStyle name="40 % - Markeringsfarve6 2 2 4 2 2 2 2 2" xfId="34258" xr:uid="{00000000-0005-0000-0000-00009B860000}"/>
    <cellStyle name="40 % - Markeringsfarve6 2 2 4 2 2 2 2 3" xfId="49217" xr:uid="{00000000-0005-0000-0000-00009C860000}"/>
    <cellStyle name="40 % - Markeringsfarve6 2 2 4 2 2 2 3" xfId="27256" xr:uid="{00000000-0005-0000-0000-00009D860000}"/>
    <cellStyle name="40 % - Markeringsfarve6 2 2 4 2 2 2 4" xfId="42220" xr:uid="{00000000-0005-0000-0000-00009E860000}"/>
    <cellStyle name="40 % - Markeringsfarve6 2 2 4 2 2 3" xfId="15175" xr:uid="{00000000-0005-0000-0000-00009F860000}"/>
    <cellStyle name="40 % - Markeringsfarve6 2 2 4 2 2 3 2" xfId="31454" xr:uid="{00000000-0005-0000-0000-0000A0860000}"/>
    <cellStyle name="40 % - Markeringsfarve6 2 2 4 2 2 3 3" xfId="46414" xr:uid="{00000000-0005-0000-0000-0000A1860000}"/>
    <cellStyle name="40 % - Markeringsfarve6 2 2 4 2 2 4" xfId="24452" xr:uid="{00000000-0005-0000-0000-0000A2860000}"/>
    <cellStyle name="40 % - Markeringsfarve6 2 2 4 2 2 5" xfId="39417" xr:uid="{00000000-0005-0000-0000-0000A3860000}"/>
    <cellStyle name="40 % - Markeringsfarve6 2 2 4 2 3" xfId="8663" xr:uid="{00000000-0005-0000-0000-0000A4860000}"/>
    <cellStyle name="40 % - Markeringsfarve6 2 2 4 2 3 2" xfId="16530" xr:uid="{00000000-0005-0000-0000-0000A5860000}"/>
    <cellStyle name="40 % - Markeringsfarve6 2 2 4 2 3 2 2" xfId="32806" xr:uid="{00000000-0005-0000-0000-0000A6860000}"/>
    <cellStyle name="40 % - Markeringsfarve6 2 2 4 2 3 2 3" xfId="47765" xr:uid="{00000000-0005-0000-0000-0000A7860000}"/>
    <cellStyle name="40 % - Markeringsfarve6 2 2 4 2 3 3" xfId="25804" xr:uid="{00000000-0005-0000-0000-0000A8860000}"/>
    <cellStyle name="40 % - Markeringsfarve6 2 2 4 2 3 4" xfId="40768" xr:uid="{00000000-0005-0000-0000-0000A9860000}"/>
    <cellStyle name="40 % - Markeringsfarve6 2 2 4 2 4" xfId="15174" xr:uid="{00000000-0005-0000-0000-0000AA860000}"/>
    <cellStyle name="40 % - Markeringsfarve6 2 2 4 2 4 2" xfId="31453" xr:uid="{00000000-0005-0000-0000-0000AB860000}"/>
    <cellStyle name="40 % - Markeringsfarve6 2 2 4 2 4 3" xfId="46413" xr:uid="{00000000-0005-0000-0000-0000AC860000}"/>
    <cellStyle name="40 % - Markeringsfarve6 2 2 4 2 5" xfId="24451" xr:uid="{00000000-0005-0000-0000-0000AD860000}"/>
    <cellStyle name="40 % - Markeringsfarve6 2 2 4 2 6" xfId="39416" xr:uid="{00000000-0005-0000-0000-0000AE860000}"/>
    <cellStyle name="40 % - Markeringsfarve6 2 2 4 3" xfId="6691" xr:uid="{00000000-0005-0000-0000-0000AF860000}"/>
    <cellStyle name="40 % - Markeringsfarve6 2 2 4 3 2" xfId="9404" xr:uid="{00000000-0005-0000-0000-0000B0860000}"/>
    <cellStyle name="40 % - Markeringsfarve6 2 2 4 3 2 2" xfId="17267" xr:uid="{00000000-0005-0000-0000-0000B1860000}"/>
    <cellStyle name="40 % - Markeringsfarve6 2 2 4 3 2 2 2" xfId="33543" xr:uid="{00000000-0005-0000-0000-0000B2860000}"/>
    <cellStyle name="40 % - Markeringsfarve6 2 2 4 3 2 2 3" xfId="48502" xr:uid="{00000000-0005-0000-0000-0000B3860000}"/>
    <cellStyle name="40 % - Markeringsfarve6 2 2 4 3 2 3" xfId="26541" xr:uid="{00000000-0005-0000-0000-0000B4860000}"/>
    <cellStyle name="40 % - Markeringsfarve6 2 2 4 3 2 4" xfId="41505" xr:uid="{00000000-0005-0000-0000-0000B5860000}"/>
    <cellStyle name="40 % - Markeringsfarve6 2 2 4 3 3" xfId="15176" xr:uid="{00000000-0005-0000-0000-0000B6860000}"/>
    <cellStyle name="40 % - Markeringsfarve6 2 2 4 3 3 2" xfId="31455" xr:uid="{00000000-0005-0000-0000-0000B7860000}"/>
    <cellStyle name="40 % - Markeringsfarve6 2 2 4 3 3 3" xfId="46415" xr:uid="{00000000-0005-0000-0000-0000B8860000}"/>
    <cellStyle name="40 % - Markeringsfarve6 2 2 4 3 4" xfId="24453" xr:uid="{00000000-0005-0000-0000-0000B9860000}"/>
    <cellStyle name="40 % - Markeringsfarve6 2 2 4 3 5" xfId="39418" xr:uid="{00000000-0005-0000-0000-0000BA860000}"/>
    <cellStyle name="40 % - Markeringsfarve6 2 2 4 4" xfId="6692" xr:uid="{00000000-0005-0000-0000-0000BB860000}"/>
    <cellStyle name="40 % - Markeringsfarve6 2 2 4 4 2" xfId="10684" xr:uid="{00000000-0005-0000-0000-0000BC860000}"/>
    <cellStyle name="40 % - Markeringsfarve6 2 2 4 4 2 2" xfId="18528" xr:uid="{00000000-0005-0000-0000-0000BD860000}"/>
    <cellStyle name="40 % - Markeringsfarve6 2 2 4 4 2 2 2" xfId="34804" xr:uid="{00000000-0005-0000-0000-0000BE860000}"/>
    <cellStyle name="40 % - Markeringsfarve6 2 2 4 4 2 2 3" xfId="49763" xr:uid="{00000000-0005-0000-0000-0000BF860000}"/>
    <cellStyle name="40 % - Markeringsfarve6 2 2 4 4 2 3" xfId="27802" xr:uid="{00000000-0005-0000-0000-0000C0860000}"/>
    <cellStyle name="40 % - Markeringsfarve6 2 2 4 4 2 4" xfId="42766" xr:uid="{00000000-0005-0000-0000-0000C1860000}"/>
    <cellStyle name="40 % - Markeringsfarve6 2 2 4 4 3" xfId="15177" xr:uid="{00000000-0005-0000-0000-0000C2860000}"/>
    <cellStyle name="40 % - Markeringsfarve6 2 2 4 4 3 2" xfId="31456" xr:uid="{00000000-0005-0000-0000-0000C3860000}"/>
    <cellStyle name="40 % - Markeringsfarve6 2 2 4 4 3 3" xfId="46416" xr:uid="{00000000-0005-0000-0000-0000C4860000}"/>
    <cellStyle name="40 % - Markeringsfarve6 2 2 4 4 4" xfId="24454" xr:uid="{00000000-0005-0000-0000-0000C5860000}"/>
    <cellStyle name="40 % - Markeringsfarve6 2 2 4 4 5" xfId="39419" xr:uid="{00000000-0005-0000-0000-0000C6860000}"/>
    <cellStyle name="40 % - Markeringsfarve6 2 2 4 5" xfId="8248" xr:uid="{00000000-0005-0000-0000-0000C7860000}"/>
    <cellStyle name="40 % - Markeringsfarve6 2 2 4 5 2" xfId="16113" xr:uid="{00000000-0005-0000-0000-0000C8860000}"/>
    <cellStyle name="40 % - Markeringsfarve6 2 2 4 5 2 2" xfId="32389" xr:uid="{00000000-0005-0000-0000-0000C9860000}"/>
    <cellStyle name="40 % - Markeringsfarve6 2 2 4 5 2 3" xfId="47348" xr:uid="{00000000-0005-0000-0000-0000CA860000}"/>
    <cellStyle name="40 % - Markeringsfarve6 2 2 4 5 3" xfId="25387" xr:uid="{00000000-0005-0000-0000-0000CB860000}"/>
    <cellStyle name="40 % - Markeringsfarve6 2 2 4 5 4" xfId="40351" xr:uid="{00000000-0005-0000-0000-0000CC860000}"/>
    <cellStyle name="40 % - Markeringsfarve6 2 2 4 6" xfId="15173" xr:uid="{00000000-0005-0000-0000-0000CD860000}"/>
    <cellStyle name="40 % - Markeringsfarve6 2 2 4 6 2" xfId="31452" xr:uid="{00000000-0005-0000-0000-0000CE860000}"/>
    <cellStyle name="40 % - Markeringsfarve6 2 2 4 6 3" xfId="46412" xr:uid="{00000000-0005-0000-0000-0000CF860000}"/>
    <cellStyle name="40 % - Markeringsfarve6 2 2 4 7" xfId="24450" xr:uid="{00000000-0005-0000-0000-0000D0860000}"/>
    <cellStyle name="40 % - Markeringsfarve6 2 2 4 8" xfId="39415" xr:uid="{00000000-0005-0000-0000-0000D1860000}"/>
    <cellStyle name="40 % - Markeringsfarve6 2 2 5" xfId="6693" xr:uid="{00000000-0005-0000-0000-0000D2860000}"/>
    <cellStyle name="40 % - Markeringsfarve6 2 2 5 2" xfId="6694" xr:uid="{00000000-0005-0000-0000-0000D3860000}"/>
    <cellStyle name="40 % - Markeringsfarve6 2 2 5 2 2" xfId="6695" xr:uid="{00000000-0005-0000-0000-0000D4860000}"/>
    <cellStyle name="40 % - Markeringsfarve6 2 2 5 2 2 2" xfId="10244" xr:uid="{00000000-0005-0000-0000-0000D5860000}"/>
    <cellStyle name="40 % - Markeringsfarve6 2 2 5 2 2 2 2" xfId="18099" xr:uid="{00000000-0005-0000-0000-0000D6860000}"/>
    <cellStyle name="40 % - Markeringsfarve6 2 2 5 2 2 2 2 2" xfId="34375" xr:uid="{00000000-0005-0000-0000-0000D7860000}"/>
    <cellStyle name="40 % - Markeringsfarve6 2 2 5 2 2 2 2 3" xfId="49334" xr:uid="{00000000-0005-0000-0000-0000D8860000}"/>
    <cellStyle name="40 % - Markeringsfarve6 2 2 5 2 2 2 3" xfId="27373" xr:uid="{00000000-0005-0000-0000-0000D9860000}"/>
    <cellStyle name="40 % - Markeringsfarve6 2 2 5 2 2 2 4" xfId="42337" xr:uid="{00000000-0005-0000-0000-0000DA860000}"/>
    <cellStyle name="40 % - Markeringsfarve6 2 2 5 2 2 3" xfId="15180" xr:uid="{00000000-0005-0000-0000-0000DB860000}"/>
    <cellStyle name="40 % - Markeringsfarve6 2 2 5 2 2 3 2" xfId="31459" xr:uid="{00000000-0005-0000-0000-0000DC860000}"/>
    <cellStyle name="40 % - Markeringsfarve6 2 2 5 2 2 3 3" xfId="46419" xr:uid="{00000000-0005-0000-0000-0000DD860000}"/>
    <cellStyle name="40 % - Markeringsfarve6 2 2 5 2 2 4" xfId="24457" xr:uid="{00000000-0005-0000-0000-0000DE860000}"/>
    <cellStyle name="40 % - Markeringsfarve6 2 2 5 2 2 5" xfId="39422" xr:uid="{00000000-0005-0000-0000-0000DF860000}"/>
    <cellStyle name="40 % - Markeringsfarve6 2 2 5 2 3" xfId="8762" xr:uid="{00000000-0005-0000-0000-0000E0860000}"/>
    <cellStyle name="40 % - Markeringsfarve6 2 2 5 2 3 2" xfId="16629" xr:uid="{00000000-0005-0000-0000-0000E1860000}"/>
    <cellStyle name="40 % - Markeringsfarve6 2 2 5 2 3 2 2" xfId="32905" xr:uid="{00000000-0005-0000-0000-0000E2860000}"/>
    <cellStyle name="40 % - Markeringsfarve6 2 2 5 2 3 2 3" xfId="47864" xr:uid="{00000000-0005-0000-0000-0000E3860000}"/>
    <cellStyle name="40 % - Markeringsfarve6 2 2 5 2 3 3" xfId="25903" xr:uid="{00000000-0005-0000-0000-0000E4860000}"/>
    <cellStyle name="40 % - Markeringsfarve6 2 2 5 2 3 4" xfId="40867" xr:uid="{00000000-0005-0000-0000-0000E5860000}"/>
    <cellStyle name="40 % - Markeringsfarve6 2 2 5 2 4" xfId="15179" xr:uid="{00000000-0005-0000-0000-0000E6860000}"/>
    <cellStyle name="40 % - Markeringsfarve6 2 2 5 2 4 2" xfId="31458" xr:uid="{00000000-0005-0000-0000-0000E7860000}"/>
    <cellStyle name="40 % - Markeringsfarve6 2 2 5 2 4 3" xfId="46418" xr:uid="{00000000-0005-0000-0000-0000E8860000}"/>
    <cellStyle name="40 % - Markeringsfarve6 2 2 5 2 5" xfId="24456" xr:uid="{00000000-0005-0000-0000-0000E9860000}"/>
    <cellStyle name="40 % - Markeringsfarve6 2 2 5 2 6" xfId="39421" xr:uid="{00000000-0005-0000-0000-0000EA860000}"/>
    <cellStyle name="40 % - Markeringsfarve6 2 2 5 3" xfId="6696" xr:uid="{00000000-0005-0000-0000-0000EB860000}"/>
    <cellStyle name="40 % - Markeringsfarve6 2 2 5 3 2" xfId="9521" xr:uid="{00000000-0005-0000-0000-0000EC860000}"/>
    <cellStyle name="40 % - Markeringsfarve6 2 2 5 3 2 2" xfId="17384" xr:uid="{00000000-0005-0000-0000-0000ED860000}"/>
    <cellStyle name="40 % - Markeringsfarve6 2 2 5 3 2 2 2" xfId="33660" xr:uid="{00000000-0005-0000-0000-0000EE860000}"/>
    <cellStyle name="40 % - Markeringsfarve6 2 2 5 3 2 2 3" xfId="48619" xr:uid="{00000000-0005-0000-0000-0000EF860000}"/>
    <cellStyle name="40 % - Markeringsfarve6 2 2 5 3 2 3" xfId="26658" xr:uid="{00000000-0005-0000-0000-0000F0860000}"/>
    <cellStyle name="40 % - Markeringsfarve6 2 2 5 3 2 4" xfId="41622" xr:uid="{00000000-0005-0000-0000-0000F1860000}"/>
    <cellStyle name="40 % - Markeringsfarve6 2 2 5 3 3" xfId="15181" xr:uid="{00000000-0005-0000-0000-0000F2860000}"/>
    <cellStyle name="40 % - Markeringsfarve6 2 2 5 3 3 2" xfId="31460" xr:uid="{00000000-0005-0000-0000-0000F3860000}"/>
    <cellStyle name="40 % - Markeringsfarve6 2 2 5 3 3 3" xfId="46420" xr:uid="{00000000-0005-0000-0000-0000F4860000}"/>
    <cellStyle name="40 % - Markeringsfarve6 2 2 5 3 4" xfId="24458" xr:uid="{00000000-0005-0000-0000-0000F5860000}"/>
    <cellStyle name="40 % - Markeringsfarve6 2 2 5 3 5" xfId="39423" xr:uid="{00000000-0005-0000-0000-0000F6860000}"/>
    <cellStyle name="40 % - Markeringsfarve6 2 2 5 4" xfId="6697" xr:uid="{00000000-0005-0000-0000-0000F7860000}"/>
    <cellStyle name="40 % - Markeringsfarve6 2 2 5 4 2" xfId="10922" xr:uid="{00000000-0005-0000-0000-0000F8860000}"/>
    <cellStyle name="40 % - Markeringsfarve6 2 2 5 4 2 2" xfId="18757" xr:uid="{00000000-0005-0000-0000-0000F9860000}"/>
    <cellStyle name="40 % - Markeringsfarve6 2 2 5 4 2 2 2" xfId="35033" xr:uid="{00000000-0005-0000-0000-0000FA860000}"/>
    <cellStyle name="40 % - Markeringsfarve6 2 2 5 4 2 2 3" xfId="49992" xr:uid="{00000000-0005-0000-0000-0000FB860000}"/>
    <cellStyle name="40 % - Markeringsfarve6 2 2 5 4 2 3" xfId="28031" xr:uid="{00000000-0005-0000-0000-0000FC860000}"/>
    <cellStyle name="40 % - Markeringsfarve6 2 2 5 4 2 4" xfId="42995" xr:uid="{00000000-0005-0000-0000-0000FD860000}"/>
    <cellStyle name="40 % - Markeringsfarve6 2 2 5 4 3" xfId="15182" xr:uid="{00000000-0005-0000-0000-0000FE860000}"/>
    <cellStyle name="40 % - Markeringsfarve6 2 2 5 4 3 2" xfId="31461" xr:uid="{00000000-0005-0000-0000-0000FF860000}"/>
    <cellStyle name="40 % - Markeringsfarve6 2 2 5 4 3 3" xfId="46421" xr:uid="{00000000-0005-0000-0000-000000870000}"/>
    <cellStyle name="40 % - Markeringsfarve6 2 2 5 4 4" xfId="24459" xr:uid="{00000000-0005-0000-0000-000001870000}"/>
    <cellStyle name="40 % - Markeringsfarve6 2 2 5 4 5" xfId="39424" xr:uid="{00000000-0005-0000-0000-000002870000}"/>
    <cellStyle name="40 % - Markeringsfarve6 2 2 5 5" xfId="8249" xr:uid="{00000000-0005-0000-0000-000003870000}"/>
    <cellStyle name="40 % - Markeringsfarve6 2 2 5 5 2" xfId="16114" xr:uid="{00000000-0005-0000-0000-000004870000}"/>
    <cellStyle name="40 % - Markeringsfarve6 2 2 5 5 2 2" xfId="32390" xr:uid="{00000000-0005-0000-0000-000005870000}"/>
    <cellStyle name="40 % - Markeringsfarve6 2 2 5 5 2 3" xfId="47349" xr:uid="{00000000-0005-0000-0000-000006870000}"/>
    <cellStyle name="40 % - Markeringsfarve6 2 2 5 5 3" xfId="25388" xr:uid="{00000000-0005-0000-0000-000007870000}"/>
    <cellStyle name="40 % - Markeringsfarve6 2 2 5 5 4" xfId="40352" xr:uid="{00000000-0005-0000-0000-000008870000}"/>
    <cellStyle name="40 % - Markeringsfarve6 2 2 5 6" xfId="15178" xr:uid="{00000000-0005-0000-0000-000009870000}"/>
    <cellStyle name="40 % - Markeringsfarve6 2 2 5 6 2" xfId="31457" xr:uid="{00000000-0005-0000-0000-00000A870000}"/>
    <cellStyle name="40 % - Markeringsfarve6 2 2 5 6 3" xfId="46417" xr:uid="{00000000-0005-0000-0000-00000B870000}"/>
    <cellStyle name="40 % - Markeringsfarve6 2 2 5 7" xfId="24455" xr:uid="{00000000-0005-0000-0000-00000C870000}"/>
    <cellStyle name="40 % - Markeringsfarve6 2 2 5 8" xfId="39420" xr:uid="{00000000-0005-0000-0000-00000D870000}"/>
    <cellStyle name="40 % - Markeringsfarve6 2 2 6" xfId="6698" xr:uid="{00000000-0005-0000-0000-00000E870000}"/>
    <cellStyle name="40 % - Markeringsfarve6 2 2 6 2" xfId="6699" xr:uid="{00000000-0005-0000-0000-00000F870000}"/>
    <cellStyle name="40 % - Markeringsfarve6 2 2 6 2 2" xfId="6700" xr:uid="{00000000-0005-0000-0000-000010870000}"/>
    <cellStyle name="40 % - Markeringsfarve6 2 2 6 2 2 2" xfId="10386" xr:uid="{00000000-0005-0000-0000-000011870000}"/>
    <cellStyle name="40 % - Markeringsfarve6 2 2 6 2 2 2 2" xfId="18241" xr:uid="{00000000-0005-0000-0000-000012870000}"/>
    <cellStyle name="40 % - Markeringsfarve6 2 2 6 2 2 2 2 2" xfId="34517" xr:uid="{00000000-0005-0000-0000-000013870000}"/>
    <cellStyle name="40 % - Markeringsfarve6 2 2 6 2 2 2 2 3" xfId="49476" xr:uid="{00000000-0005-0000-0000-000014870000}"/>
    <cellStyle name="40 % - Markeringsfarve6 2 2 6 2 2 2 3" xfId="27515" xr:uid="{00000000-0005-0000-0000-000015870000}"/>
    <cellStyle name="40 % - Markeringsfarve6 2 2 6 2 2 2 4" xfId="42479" xr:uid="{00000000-0005-0000-0000-000016870000}"/>
    <cellStyle name="40 % - Markeringsfarve6 2 2 6 2 2 3" xfId="15185" xr:uid="{00000000-0005-0000-0000-000017870000}"/>
    <cellStyle name="40 % - Markeringsfarve6 2 2 6 2 2 3 2" xfId="31464" xr:uid="{00000000-0005-0000-0000-000018870000}"/>
    <cellStyle name="40 % - Markeringsfarve6 2 2 6 2 2 3 3" xfId="46424" xr:uid="{00000000-0005-0000-0000-000019870000}"/>
    <cellStyle name="40 % - Markeringsfarve6 2 2 6 2 2 4" xfId="24462" xr:uid="{00000000-0005-0000-0000-00001A870000}"/>
    <cellStyle name="40 % - Markeringsfarve6 2 2 6 2 2 5" xfId="39427" xr:uid="{00000000-0005-0000-0000-00001B870000}"/>
    <cellStyle name="40 % - Markeringsfarve6 2 2 6 2 3" xfId="8880" xr:uid="{00000000-0005-0000-0000-00001C870000}"/>
    <cellStyle name="40 % - Markeringsfarve6 2 2 6 2 3 2" xfId="16747" xr:uid="{00000000-0005-0000-0000-00001D870000}"/>
    <cellStyle name="40 % - Markeringsfarve6 2 2 6 2 3 2 2" xfId="33023" xr:uid="{00000000-0005-0000-0000-00001E870000}"/>
    <cellStyle name="40 % - Markeringsfarve6 2 2 6 2 3 2 3" xfId="47982" xr:uid="{00000000-0005-0000-0000-00001F870000}"/>
    <cellStyle name="40 % - Markeringsfarve6 2 2 6 2 3 3" xfId="26021" xr:uid="{00000000-0005-0000-0000-000020870000}"/>
    <cellStyle name="40 % - Markeringsfarve6 2 2 6 2 3 4" xfId="40985" xr:uid="{00000000-0005-0000-0000-000021870000}"/>
    <cellStyle name="40 % - Markeringsfarve6 2 2 6 2 4" xfId="15184" xr:uid="{00000000-0005-0000-0000-000022870000}"/>
    <cellStyle name="40 % - Markeringsfarve6 2 2 6 2 4 2" xfId="31463" xr:uid="{00000000-0005-0000-0000-000023870000}"/>
    <cellStyle name="40 % - Markeringsfarve6 2 2 6 2 4 3" xfId="46423" xr:uid="{00000000-0005-0000-0000-000024870000}"/>
    <cellStyle name="40 % - Markeringsfarve6 2 2 6 2 5" xfId="24461" xr:uid="{00000000-0005-0000-0000-000025870000}"/>
    <cellStyle name="40 % - Markeringsfarve6 2 2 6 2 6" xfId="39426" xr:uid="{00000000-0005-0000-0000-000026870000}"/>
    <cellStyle name="40 % - Markeringsfarve6 2 2 6 3" xfId="6701" xr:uid="{00000000-0005-0000-0000-000027870000}"/>
    <cellStyle name="40 % - Markeringsfarve6 2 2 6 3 2" xfId="9664" xr:uid="{00000000-0005-0000-0000-000028870000}"/>
    <cellStyle name="40 % - Markeringsfarve6 2 2 6 3 2 2" xfId="17527" xr:uid="{00000000-0005-0000-0000-000029870000}"/>
    <cellStyle name="40 % - Markeringsfarve6 2 2 6 3 2 2 2" xfId="33803" xr:uid="{00000000-0005-0000-0000-00002A870000}"/>
    <cellStyle name="40 % - Markeringsfarve6 2 2 6 3 2 2 3" xfId="48762" xr:uid="{00000000-0005-0000-0000-00002B870000}"/>
    <cellStyle name="40 % - Markeringsfarve6 2 2 6 3 2 3" xfId="26801" xr:uid="{00000000-0005-0000-0000-00002C870000}"/>
    <cellStyle name="40 % - Markeringsfarve6 2 2 6 3 2 4" xfId="41765" xr:uid="{00000000-0005-0000-0000-00002D870000}"/>
    <cellStyle name="40 % - Markeringsfarve6 2 2 6 3 3" xfId="15186" xr:uid="{00000000-0005-0000-0000-00002E870000}"/>
    <cellStyle name="40 % - Markeringsfarve6 2 2 6 3 3 2" xfId="31465" xr:uid="{00000000-0005-0000-0000-00002F870000}"/>
    <cellStyle name="40 % - Markeringsfarve6 2 2 6 3 3 3" xfId="46425" xr:uid="{00000000-0005-0000-0000-000030870000}"/>
    <cellStyle name="40 % - Markeringsfarve6 2 2 6 3 4" xfId="24463" xr:uid="{00000000-0005-0000-0000-000031870000}"/>
    <cellStyle name="40 % - Markeringsfarve6 2 2 6 3 5" xfId="39428" xr:uid="{00000000-0005-0000-0000-000032870000}"/>
    <cellStyle name="40 % - Markeringsfarve6 2 2 6 4" xfId="6702" xr:uid="{00000000-0005-0000-0000-000033870000}"/>
    <cellStyle name="40 % - Markeringsfarve6 2 2 6 4 2" xfId="10647" xr:uid="{00000000-0005-0000-0000-000034870000}"/>
    <cellStyle name="40 % - Markeringsfarve6 2 2 6 4 2 2" xfId="18494" xr:uid="{00000000-0005-0000-0000-000035870000}"/>
    <cellStyle name="40 % - Markeringsfarve6 2 2 6 4 2 2 2" xfId="34770" xr:uid="{00000000-0005-0000-0000-000036870000}"/>
    <cellStyle name="40 % - Markeringsfarve6 2 2 6 4 2 2 3" xfId="49729" xr:uid="{00000000-0005-0000-0000-000037870000}"/>
    <cellStyle name="40 % - Markeringsfarve6 2 2 6 4 2 3" xfId="27768" xr:uid="{00000000-0005-0000-0000-000038870000}"/>
    <cellStyle name="40 % - Markeringsfarve6 2 2 6 4 2 4" xfId="42732" xr:uid="{00000000-0005-0000-0000-000039870000}"/>
    <cellStyle name="40 % - Markeringsfarve6 2 2 6 4 3" xfId="15187" xr:uid="{00000000-0005-0000-0000-00003A870000}"/>
    <cellStyle name="40 % - Markeringsfarve6 2 2 6 4 3 2" xfId="31466" xr:uid="{00000000-0005-0000-0000-00003B870000}"/>
    <cellStyle name="40 % - Markeringsfarve6 2 2 6 4 3 3" xfId="46426" xr:uid="{00000000-0005-0000-0000-00003C870000}"/>
    <cellStyle name="40 % - Markeringsfarve6 2 2 6 4 4" xfId="24464" xr:uid="{00000000-0005-0000-0000-00003D870000}"/>
    <cellStyle name="40 % - Markeringsfarve6 2 2 6 4 5" xfId="39429" xr:uid="{00000000-0005-0000-0000-00003E870000}"/>
    <cellStyle name="40 % - Markeringsfarve6 2 2 6 5" xfId="8250" xr:uid="{00000000-0005-0000-0000-00003F870000}"/>
    <cellStyle name="40 % - Markeringsfarve6 2 2 6 5 2" xfId="16115" xr:uid="{00000000-0005-0000-0000-000040870000}"/>
    <cellStyle name="40 % - Markeringsfarve6 2 2 6 5 2 2" xfId="32391" xr:uid="{00000000-0005-0000-0000-000041870000}"/>
    <cellStyle name="40 % - Markeringsfarve6 2 2 6 5 2 3" xfId="47350" xr:uid="{00000000-0005-0000-0000-000042870000}"/>
    <cellStyle name="40 % - Markeringsfarve6 2 2 6 5 3" xfId="25389" xr:uid="{00000000-0005-0000-0000-000043870000}"/>
    <cellStyle name="40 % - Markeringsfarve6 2 2 6 5 4" xfId="40353" xr:uid="{00000000-0005-0000-0000-000044870000}"/>
    <cellStyle name="40 % - Markeringsfarve6 2 2 6 6" xfId="15183" xr:uid="{00000000-0005-0000-0000-000045870000}"/>
    <cellStyle name="40 % - Markeringsfarve6 2 2 6 6 2" xfId="31462" xr:uid="{00000000-0005-0000-0000-000046870000}"/>
    <cellStyle name="40 % - Markeringsfarve6 2 2 6 6 3" xfId="46422" xr:uid="{00000000-0005-0000-0000-000047870000}"/>
    <cellStyle name="40 % - Markeringsfarve6 2 2 6 7" xfId="24460" xr:uid="{00000000-0005-0000-0000-000048870000}"/>
    <cellStyle name="40 % - Markeringsfarve6 2 2 6 8" xfId="39425" xr:uid="{00000000-0005-0000-0000-000049870000}"/>
    <cellStyle name="40 % - Markeringsfarve6 2 2 7" xfId="6703" xr:uid="{00000000-0005-0000-0000-00004A870000}"/>
    <cellStyle name="40 % - Markeringsfarve6 2 2 7 2" xfId="6704" xr:uid="{00000000-0005-0000-0000-00004B870000}"/>
    <cellStyle name="40 % - Markeringsfarve6 2 2 7 2 2" xfId="9771" xr:uid="{00000000-0005-0000-0000-00004C870000}"/>
    <cellStyle name="40 % - Markeringsfarve6 2 2 7 2 2 2" xfId="17625" xr:uid="{00000000-0005-0000-0000-00004D870000}"/>
    <cellStyle name="40 % - Markeringsfarve6 2 2 7 2 2 2 2" xfId="33901" xr:uid="{00000000-0005-0000-0000-00004E870000}"/>
    <cellStyle name="40 % - Markeringsfarve6 2 2 7 2 2 2 3" xfId="48860" xr:uid="{00000000-0005-0000-0000-00004F870000}"/>
    <cellStyle name="40 % - Markeringsfarve6 2 2 7 2 2 3" xfId="26899" xr:uid="{00000000-0005-0000-0000-000050870000}"/>
    <cellStyle name="40 % - Markeringsfarve6 2 2 7 2 2 4" xfId="41863" xr:uid="{00000000-0005-0000-0000-000051870000}"/>
    <cellStyle name="40 % - Markeringsfarve6 2 2 7 2 3" xfId="15189" xr:uid="{00000000-0005-0000-0000-000052870000}"/>
    <cellStyle name="40 % - Markeringsfarve6 2 2 7 2 3 2" xfId="31468" xr:uid="{00000000-0005-0000-0000-000053870000}"/>
    <cellStyle name="40 % - Markeringsfarve6 2 2 7 2 3 3" xfId="46428" xr:uid="{00000000-0005-0000-0000-000054870000}"/>
    <cellStyle name="40 % - Markeringsfarve6 2 2 7 2 4" xfId="24466" xr:uid="{00000000-0005-0000-0000-000055870000}"/>
    <cellStyle name="40 % - Markeringsfarve6 2 2 7 2 5" xfId="39431" xr:uid="{00000000-0005-0000-0000-000056870000}"/>
    <cellStyle name="40 % - Markeringsfarve6 2 2 7 3" xfId="8362" xr:uid="{00000000-0005-0000-0000-000057870000}"/>
    <cellStyle name="40 % - Markeringsfarve6 2 2 7 3 2" xfId="16232" xr:uid="{00000000-0005-0000-0000-000058870000}"/>
    <cellStyle name="40 % - Markeringsfarve6 2 2 7 3 2 2" xfId="32508" xr:uid="{00000000-0005-0000-0000-000059870000}"/>
    <cellStyle name="40 % - Markeringsfarve6 2 2 7 3 2 3" xfId="47467" xr:uid="{00000000-0005-0000-0000-00005A870000}"/>
    <cellStyle name="40 % - Markeringsfarve6 2 2 7 3 3" xfId="25506" xr:uid="{00000000-0005-0000-0000-00005B870000}"/>
    <cellStyle name="40 % - Markeringsfarve6 2 2 7 3 4" xfId="40470" xr:uid="{00000000-0005-0000-0000-00005C870000}"/>
    <cellStyle name="40 % - Markeringsfarve6 2 2 7 4" xfId="15188" xr:uid="{00000000-0005-0000-0000-00005D870000}"/>
    <cellStyle name="40 % - Markeringsfarve6 2 2 7 4 2" xfId="31467" xr:uid="{00000000-0005-0000-0000-00005E870000}"/>
    <cellStyle name="40 % - Markeringsfarve6 2 2 7 4 3" xfId="46427" xr:uid="{00000000-0005-0000-0000-00005F870000}"/>
    <cellStyle name="40 % - Markeringsfarve6 2 2 7 5" xfId="24465" xr:uid="{00000000-0005-0000-0000-000060870000}"/>
    <cellStyle name="40 % - Markeringsfarve6 2 2 7 6" xfId="39430" xr:uid="{00000000-0005-0000-0000-000061870000}"/>
    <cellStyle name="40 % - Markeringsfarve6 2 2 8" xfId="6705" xr:uid="{00000000-0005-0000-0000-000062870000}"/>
    <cellStyle name="40 % - Markeringsfarve6 2 2 8 2" xfId="8999" xr:uid="{00000000-0005-0000-0000-000063870000}"/>
    <cellStyle name="40 % - Markeringsfarve6 2 2 8 2 2" xfId="16863" xr:uid="{00000000-0005-0000-0000-000064870000}"/>
    <cellStyle name="40 % - Markeringsfarve6 2 2 8 2 2 2" xfId="33139" xr:uid="{00000000-0005-0000-0000-000065870000}"/>
    <cellStyle name="40 % - Markeringsfarve6 2 2 8 2 2 3" xfId="48098" xr:uid="{00000000-0005-0000-0000-000066870000}"/>
    <cellStyle name="40 % - Markeringsfarve6 2 2 8 2 3" xfId="26137" xr:uid="{00000000-0005-0000-0000-000067870000}"/>
    <cellStyle name="40 % - Markeringsfarve6 2 2 8 2 4" xfId="41101" xr:uid="{00000000-0005-0000-0000-000068870000}"/>
    <cellStyle name="40 % - Markeringsfarve6 2 2 8 3" xfId="15190" xr:uid="{00000000-0005-0000-0000-000069870000}"/>
    <cellStyle name="40 % - Markeringsfarve6 2 2 8 3 2" xfId="31469" xr:uid="{00000000-0005-0000-0000-00006A870000}"/>
    <cellStyle name="40 % - Markeringsfarve6 2 2 8 3 3" xfId="46429" xr:uid="{00000000-0005-0000-0000-00006B870000}"/>
    <cellStyle name="40 % - Markeringsfarve6 2 2 8 4" xfId="24467" xr:uid="{00000000-0005-0000-0000-00006C870000}"/>
    <cellStyle name="40 % - Markeringsfarve6 2 2 8 5" xfId="39432" xr:uid="{00000000-0005-0000-0000-00006D870000}"/>
    <cellStyle name="40 % - Markeringsfarve6 2 2 9" xfId="6706" xr:uid="{00000000-0005-0000-0000-00006E870000}"/>
    <cellStyle name="40 % - Markeringsfarve6 2 2 9 2" xfId="10408" xr:uid="{00000000-0005-0000-0000-00006F870000}"/>
    <cellStyle name="40 % - Markeringsfarve6 2 2 9 2 2" xfId="18261" xr:uid="{00000000-0005-0000-0000-000070870000}"/>
    <cellStyle name="40 % - Markeringsfarve6 2 2 9 2 2 2" xfId="34537" xr:uid="{00000000-0005-0000-0000-000071870000}"/>
    <cellStyle name="40 % - Markeringsfarve6 2 2 9 2 2 3" xfId="49496" xr:uid="{00000000-0005-0000-0000-000072870000}"/>
    <cellStyle name="40 % - Markeringsfarve6 2 2 9 2 3" xfId="27535" xr:uid="{00000000-0005-0000-0000-000073870000}"/>
    <cellStyle name="40 % - Markeringsfarve6 2 2 9 2 4" xfId="42499" xr:uid="{00000000-0005-0000-0000-000074870000}"/>
    <cellStyle name="40 % - Markeringsfarve6 2 2 9 3" xfId="15191" xr:uid="{00000000-0005-0000-0000-000075870000}"/>
    <cellStyle name="40 % - Markeringsfarve6 2 2 9 3 2" xfId="31470" xr:uid="{00000000-0005-0000-0000-000076870000}"/>
    <cellStyle name="40 % - Markeringsfarve6 2 2 9 3 3" xfId="46430" xr:uid="{00000000-0005-0000-0000-000077870000}"/>
    <cellStyle name="40 % - Markeringsfarve6 2 2 9 4" xfId="24468" xr:uid="{00000000-0005-0000-0000-000078870000}"/>
    <cellStyle name="40 % - Markeringsfarve6 2 2 9 5" xfId="39433" xr:uid="{00000000-0005-0000-0000-000079870000}"/>
    <cellStyle name="40 % - Markeringsfarve6 2 3" xfId="6707" xr:uid="{00000000-0005-0000-0000-00007A870000}"/>
    <cellStyle name="40 % - Markeringsfarve6 2 3 10" xfId="8251" xr:uid="{00000000-0005-0000-0000-00007B870000}"/>
    <cellStyle name="40 % - Markeringsfarve6 2 3 10 2" xfId="16116" xr:uid="{00000000-0005-0000-0000-00007C870000}"/>
    <cellStyle name="40 % - Markeringsfarve6 2 3 10 2 2" xfId="32392" xr:uid="{00000000-0005-0000-0000-00007D870000}"/>
    <cellStyle name="40 % - Markeringsfarve6 2 3 10 2 3" xfId="47351" xr:uid="{00000000-0005-0000-0000-00007E870000}"/>
    <cellStyle name="40 % - Markeringsfarve6 2 3 10 3" xfId="25390" xr:uid="{00000000-0005-0000-0000-00007F870000}"/>
    <cellStyle name="40 % - Markeringsfarve6 2 3 10 4" xfId="40354" xr:uid="{00000000-0005-0000-0000-000080870000}"/>
    <cellStyle name="40 % - Markeringsfarve6 2 3 11" xfId="15192" xr:uid="{00000000-0005-0000-0000-000081870000}"/>
    <cellStyle name="40 % - Markeringsfarve6 2 3 11 2" xfId="31471" xr:uid="{00000000-0005-0000-0000-000082870000}"/>
    <cellStyle name="40 % - Markeringsfarve6 2 3 11 3" xfId="46431" xr:uid="{00000000-0005-0000-0000-000083870000}"/>
    <cellStyle name="40 % - Markeringsfarve6 2 3 12" xfId="24469" xr:uid="{00000000-0005-0000-0000-000084870000}"/>
    <cellStyle name="40 % - Markeringsfarve6 2 3 13" xfId="39434" xr:uid="{00000000-0005-0000-0000-000085870000}"/>
    <cellStyle name="40 % - Markeringsfarve6 2 3 2" xfId="6708" xr:uid="{00000000-0005-0000-0000-000086870000}"/>
    <cellStyle name="40 % - Markeringsfarve6 2 3 2 2" xfId="6709" xr:uid="{00000000-0005-0000-0000-000087870000}"/>
    <cellStyle name="40 % - Markeringsfarve6 2 3 2 2 2" xfId="6710" xr:uid="{00000000-0005-0000-0000-000088870000}"/>
    <cellStyle name="40 % - Markeringsfarve6 2 3 2 2 2 2" xfId="9928" xr:uid="{00000000-0005-0000-0000-000089870000}"/>
    <cellStyle name="40 % - Markeringsfarve6 2 3 2 2 2 2 2" xfId="17783" xr:uid="{00000000-0005-0000-0000-00008A870000}"/>
    <cellStyle name="40 % - Markeringsfarve6 2 3 2 2 2 2 2 2" xfId="34059" xr:uid="{00000000-0005-0000-0000-00008B870000}"/>
    <cellStyle name="40 % - Markeringsfarve6 2 3 2 2 2 2 2 3" xfId="49018" xr:uid="{00000000-0005-0000-0000-00008C870000}"/>
    <cellStyle name="40 % - Markeringsfarve6 2 3 2 2 2 2 3" xfId="27057" xr:uid="{00000000-0005-0000-0000-00008D870000}"/>
    <cellStyle name="40 % - Markeringsfarve6 2 3 2 2 2 2 4" xfId="42021" xr:uid="{00000000-0005-0000-0000-00008E870000}"/>
    <cellStyle name="40 % - Markeringsfarve6 2 3 2 2 2 3" xfId="15195" xr:uid="{00000000-0005-0000-0000-00008F870000}"/>
    <cellStyle name="40 % - Markeringsfarve6 2 3 2 2 2 3 2" xfId="31474" xr:uid="{00000000-0005-0000-0000-000090870000}"/>
    <cellStyle name="40 % - Markeringsfarve6 2 3 2 2 2 3 3" xfId="46434" xr:uid="{00000000-0005-0000-0000-000091870000}"/>
    <cellStyle name="40 % - Markeringsfarve6 2 3 2 2 2 4" xfId="24472" xr:uid="{00000000-0005-0000-0000-000092870000}"/>
    <cellStyle name="40 % - Markeringsfarve6 2 3 2 2 2 5" xfId="39437" xr:uid="{00000000-0005-0000-0000-000093870000}"/>
    <cellStyle name="40 % - Markeringsfarve6 2 3 2 2 3" xfId="8494" xr:uid="{00000000-0005-0000-0000-000094870000}"/>
    <cellStyle name="40 % - Markeringsfarve6 2 3 2 2 3 2" xfId="16364" xr:uid="{00000000-0005-0000-0000-000095870000}"/>
    <cellStyle name="40 % - Markeringsfarve6 2 3 2 2 3 2 2" xfId="32640" xr:uid="{00000000-0005-0000-0000-000096870000}"/>
    <cellStyle name="40 % - Markeringsfarve6 2 3 2 2 3 2 3" xfId="47599" xr:uid="{00000000-0005-0000-0000-000097870000}"/>
    <cellStyle name="40 % - Markeringsfarve6 2 3 2 2 3 3" xfId="25638" xr:uid="{00000000-0005-0000-0000-000098870000}"/>
    <cellStyle name="40 % - Markeringsfarve6 2 3 2 2 3 4" xfId="40602" xr:uid="{00000000-0005-0000-0000-000099870000}"/>
    <cellStyle name="40 % - Markeringsfarve6 2 3 2 2 4" xfId="15194" xr:uid="{00000000-0005-0000-0000-00009A870000}"/>
    <cellStyle name="40 % - Markeringsfarve6 2 3 2 2 4 2" xfId="31473" xr:uid="{00000000-0005-0000-0000-00009B870000}"/>
    <cellStyle name="40 % - Markeringsfarve6 2 3 2 2 4 3" xfId="46433" xr:uid="{00000000-0005-0000-0000-00009C870000}"/>
    <cellStyle name="40 % - Markeringsfarve6 2 3 2 2 5" xfId="24471" xr:uid="{00000000-0005-0000-0000-00009D870000}"/>
    <cellStyle name="40 % - Markeringsfarve6 2 3 2 2 6" xfId="39436" xr:uid="{00000000-0005-0000-0000-00009E870000}"/>
    <cellStyle name="40 % - Markeringsfarve6 2 3 2 3" xfId="6711" xr:uid="{00000000-0005-0000-0000-00009F870000}"/>
    <cellStyle name="40 % - Markeringsfarve6 2 3 2 3 2" xfId="9159" xr:uid="{00000000-0005-0000-0000-0000A0870000}"/>
    <cellStyle name="40 % - Markeringsfarve6 2 3 2 3 2 2" xfId="17023" xr:uid="{00000000-0005-0000-0000-0000A1870000}"/>
    <cellStyle name="40 % - Markeringsfarve6 2 3 2 3 2 2 2" xfId="33299" xr:uid="{00000000-0005-0000-0000-0000A2870000}"/>
    <cellStyle name="40 % - Markeringsfarve6 2 3 2 3 2 2 3" xfId="48258" xr:uid="{00000000-0005-0000-0000-0000A3870000}"/>
    <cellStyle name="40 % - Markeringsfarve6 2 3 2 3 2 3" xfId="26297" xr:uid="{00000000-0005-0000-0000-0000A4870000}"/>
    <cellStyle name="40 % - Markeringsfarve6 2 3 2 3 2 4" xfId="41261" xr:uid="{00000000-0005-0000-0000-0000A5870000}"/>
    <cellStyle name="40 % - Markeringsfarve6 2 3 2 3 3" xfId="15196" xr:uid="{00000000-0005-0000-0000-0000A6870000}"/>
    <cellStyle name="40 % - Markeringsfarve6 2 3 2 3 3 2" xfId="31475" xr:uid="{00000000-0005-0000-0000-0000A7870000}"/>
    <cellStyle name="40 % - Markeringsfarve6 2 3 2 3 3 3" xfId="46435" xr:uid="{00000000-0005-0000-0000-0000A8870000}"/>
    <cellStyle name="40 % - Markeringsfarve6 2 3 2 3 4" xfId="24473" xr:uid="{00000000-0005-0000-0000-0000A9870000}"/>
    <cellStyle name="40 % - Markeringsfarve6 2 3 2 3 5" xfId="39438" xr:uid="{00000000-0005-0000-0000-0000AA870000}"/>
    <cellStyle name="40 % - Markeringsfarve6 2 3 2 4" xfId="6712" xr:uid="{00000000-0005-0000-0000-0000AB870000}"/>
    <cellStyle name="40 % - Markeringsfarve6 2 3 2 4 2" xfId="10605" xr:uid="{00000000-0005-0000-0000-0000AC870000}"/>
    <cellStyle name="40 % - Markeringsfarve6 2 3 2 4 2 2" xfId="18453" xr:uid="{00000000-0005-0000-0000-0000AD870000}"/>
    <cellStyle name="40 % - Markeringsfarve6 2 3 2 4 2 2 2" xfId="34729" xr:uid="{00000000-0005-0000-0000-0000AE870000}"/>
    <cellStyle name="40 % - Markeringsfarve6 2 3 2 4 2 2 3" xfId="49688" xr:uid="{00000000-0005-0000-0000-0000AF870000}"/>
    <cellStyle name="40 % - Markeringsfarve6 2 3 2 4 2 3" xfId="27727" xr:uid="{00000000-0005-0000-0000-0000B0870000}"/>
    <cellStyle name="40 % - Markeringsfarve6 2 3 2 4 2 4" xfId="42691" xr:uid="{00000000-0005-0000-0000-0000B1870000}"/>
    <cellStyle name="40 % - Markeringsfarve6 2 3 2 4 3" xfId="15197" xr:uid="{00000000-0005-0000-0000-0000B2870000}"/>
    <cellStyle name="40 % - Markeringsfarve6 2 3 2 4 3 2" xfId="31476" xr:uid="{00000000-0005-0000-0000-0000B3870000}"/>
    <cellStyle name="40 % - Markeringsfarve6 2 3 2 4 3 3" xfId="46436" xr:uid="{00000000-0005-0000-0000-0000B4870000}"/>
    <cellStyle name="40 % - Markeringsfarve6 2 3 2 4 4" xfId="24474" xr:uid="{00000000-0005-0000-0000-0000B5870000}"/>
    <cellStyle name="40 % - Markeringsfarve6 2 3 2 4 5" xfId="39439" xr:uid="{00000000-0005-0000-0000-0000B6870000}"/>
    <cellStyle name="40 % - Markeringsfarve6 2 3 2 5" xfId="8252" xr:uid="{00000000-0005-0000-0000-0000B7870000}"/>
    <cellStyle name="40 % - Markeringsfarve6 2 3 2 5 2" xfId="16117" xr:uid="{00000000-0005-0000-0000-0000B8870000}"/>
    <cellStyle name="40 % - Markeringsfarve6 2 3 2 5 2 2" xfId="32393" xr:uid="{00000000-0005-0000-0000-0000B9870000}"/>
    <cellStyle name="40 % - Markeringsfarve6 2 3 2 5 2 3" xfId="47352" xr:uid="{00000000-0005-0000-0000-0000BA870000}"/>
    <cellStyle name="40 % - Markeringsfarve6 2 3 2 5 3" xfId="25391" xr:uid="{00000000-0005-0000-0000-0000BB870000}"/>
    <cellStyle name="40 % - Markeringsfarve6 2 3 2 5 4" xfId="40355" xr:uid="{00000000-0005-0000-0000-0000BC870000}"/>
    <cellStyle name="40 % - Markeringsfarve6 2 3 2 6" xfId="15193" xr:uid="{00000000-0005-0000-0000-0000BD870000}"/>
    <cellStyle name="40 % - Markeringsfarve6 2 3 2 6 2" xfId="31472" xr:uid="{00000000-0005-0000-0000-0000BE870000}"/>
    <cellStyle name="40 % - Markeringsfarve6 2 3 2 6 3" xfId="46432" xr:uid="{00000000-0005-0000-0000-0000BF870000}"/>
    <cellStyle name="40 % - Markeringsfarve6 2 3 2 7" xfId="24470" xr:uid="{00000000-0005-0000-0000-0000C0870000}"/>
    <cellStyle name="40 % - Markeringsfarve6 2 3 2 8" xfId="39435" xr:uid="{00000000-0005-0000-0000-0000C1870000}"/>
    <cellStyle name="40 % - Markeringsfarve6 2 3 3" xfId="6713" xr:uid="{00000000-0005-0000-0000-0000C2870000}"/>
    <cellStyle name="40 % - Markeringsfarve6 2 3 3 2" xfId="6714" xr:uid="{00000000-0005-0000-0000-0000C3870000}"/>
    <cellStyle name="40 % - Markeringsfarve6 2 3 3 2 2" xfId="6715" xr:uid="{00000000-0005-0000-0000-0000C4870000}"/>
    <cellStyle name="40 % - Markeringsfarve6 2 3 3 2 2 2" xfId="10033" xr:uid="{00000000-0005-0000-0000-0000C5870000}"/>
    <cellStyle name="40 % - Markeringsfarve6 2 3 3 2 2 2 2" xfId="17888" xr:uid="{00000000-0005-0000-0000-0000C6870000}"/>
    <cellStyle name="40 % - Markeringsfarve6 2 3 3 2 2 2 2 2" xfId="34164" xr:uid="{00000000-0005-0000-0000-0000C7870000}"/>
    <cellStyle name="40 % - Markeringsfarve6 2 3 3 2 2 2 2 3" xfId="49123" xr:uid="{00000000-0005-0000-0000-0000C8870000}"/>
    <cellStyle name="40 % - Markeringsfarve6 2 3 3 2 2 2 3" xfId="27162" xr:uid="{00000000-0005-0000-0000-0000C9870000}"/>
    <cellStyle name="40 % - Markeringsfarve6 2 3 3 2 2 2 4" xfId="42126" xr:uid="{00000000-0005-0000-0000-0000CA870000}"/>
    <cellStyle name="40 % - Markeringsfarve6 2 3 3 2 2 3" xfId="15200" xr:uid="{00000000-0005-0000-0000-0000CB870000}"/>
    <cellStyle name="40 % - Markeringsfarve6 2 3 3 2 2 3 2" xfId="31479" xr:uid="{00000000-0005-0000-0000-0000CC870000}"/>
    <cellStyle name="40 % - Markeringsfarve6 2 3 3 2 2 3 3" xfId="46439" xr:uid="{00000000-0005-0000-0000-0000CD870000}"/>
    <cellStyle name="40 % - Markeringsfarve6 2 3 3 2 2 4" xfId="24477" xr:uid="{00000000-0005-0000-0000-0000CE870000}"/>
    <cellStyle name="40 % - Markeringsfarve6 2 3 3 2 2 5" xfId="39442" xr:uid="{00000000-0005-0000-0000-0000CF870000}"/>
    <cellStyle name="40 % - Markeringsfarve6 2 3 3 2 3" xfId="8580" xr:uid="{00000000-0005-0000-0000-0000D0870000}"/>
    <cellStyle name="40 % - Markeringsfarve6 2 3 3 2 3 2" xfId="16450" xr:uid="{00000000-0005-0000-0000-0000D1870000}"/>
    <cellStyle name="40 % - Markeringsfarve6 2 3 3 2 3 2 2" xfId="32726" xr:uid="{00000000-0005-0000-0000-0000D2870000}"/>
    <cellStyle name="40 % - Markeringsfarve6 2 3 3 2 3 2 3" xfId="47685" xr:uid="{00000000-0005-0000-0000-0000D3870000}"/>
    <cellStyle name="40 % - Markeringsfarve6 2 3 3 2 3 3" xfId="25724" xr:uid="{00000000-0005-0000-0000-0000D4870000}"/>
    <cellStyle name="40 % - Markeringsfarve6 2 3 3 2 3 4" xfId="40688" xr:uid="{00000000-0005-0000-0000-0000D5870000}"/>
    <cellStyle name="40 % - Markeringsfarve6 2 3 3 2 4" xfId="15199" xr:uid="{00000000-0005-0000-0000-0000D6870000}"/>
    <cellStyle name="40 % - Markeringsfarve6 2 3 3 2 4 2" xfId="31478" xr:uid="{00000000-0005-0000-0000-0000D7870000}"/>
    <cellStyle name="40 % - Markeringsfarve6 2 3 3 2 4 3" xfId="46438" xr:uid="{00000000-0005-0000-0000-0000D8870000}"/>
    <cellStyle name="40 % - Markeringsfarve6 2 3 3 2 5" xfId="24476" xr:uid="{00000000-0005-0000-0000-0000D9870000}"/>
    <cellStyle name="40 % - Markeringsfarve6 2 3 3 2 6" xfId="39441" xr:uid="{00000000-0005-0000-0000-0000DA870000}"/>
    <cellStyle name="40 % - Markeringsfarve6 2 3 3 3" xfId="6716" xr:uid="{00000000-0005-0000-0000-0000DB870000}"/>
    <cellStyle name="40 % - Markeringsfarve6 2 3 3 3 2" xfId="9264" xr:uid="{00000000-0005-0000-0000-0000DC870000}"/>
    <cellStyle name="40 % - Markeringsfarve6 2 3 3 3 2 2" xfId="17128" xr:uid="{00000000-0005-0000-0000-0000DD870000}"/>
    <cellStyle name="40 % - Markeringsfarve6 2 3 3 3 2 2 2" xfId="33404" xr:uid="{00000000-0005-0000-0000-0000DE870000}"/>
    <cellStyle name="40 % - Markeringsfarve6 2 3 3 3 2 2 3" xfId="48363" xr:uid="{00000000-0005-0000-0000-0000DF870000}"/>
    <cellStyle name="40 % - Markeringsfarve6 2 3 3 3 2 3" xfId="26402" xr:uid="{00000000-0005-0000-0000-0000E0870000}"/>
    <cellStyle name="40 % - Markeringsfarve6 2 3 3 3 2 4" xfId="41366" xr:uid="{00000000-0005-0000-0000-0000E1870000}"/>
    <cellStyle name="40 % - Markeringsfarve6 2 3 3 3 3" xfId="15201" xr:uid="{00000000-0005-0000-0000-0000E2870000}"/>
    <cellStyle name="40 % - Markeringsfarve6 2 3 3 3 3 2" xfId="31480" xr:uid="{00000000-0005-0000-0000-0000E3870000}"/>
    <cellStyle name="40 % - Markeringsfarve6 2 3 3 3 3 3" xfId="46440" xr:uid="{00000000-0005-0000-0000-0000E4870000}"/>
    <cellStyle name="40 % - Markeringsfarve6 2 3 3 3 4" xfId="24478" xr:uid="{00000000-0005-0000-0000-0000E5870000}"/>
    <cellStyle name="40 % - Markeringsfarve6 2 3 3 3 5" xfId="39443" xr:uid="{00000000-0005-0000-0000-0000E6870000}"/>
    <cellStyle name="40 % - Markeringsfarve6 2 3 3 4" xfId="6717" xr:uid="{00000000-0005-0000-0000-0000E7870000}"/>
    <cellStyle name="40 % - Markeringsfarve6 2 3 3 4 2" xfId="10829" xr:uid="{00000000-0005-0000-0000-0000E8870000}"/>
    <cellStyle name="40 % - Markeringsfarve6 2 3 3 4 2 2" xfId="18667" xr:uid="{00000000-0005-0000-0000-0000E9870000}"/>
    <cellStyle name="40 % - Markeringsfarve6 2 3 3 4 2 2 2" xfId="34943" xr:uid="{00000000-0005-0000-0000-0000EA870000}"/>
    <cellStyle name="40 % - Markeringsfarve6 2 3 3 4 2 2 3" xfId="49902" xr:uid="{00000000-0005-0000-0000-0000EB870000}"/>
    <cellStyle name="40 % - Markeringsfarve6 2 3 3 4 2 3" xfId="27941" xr:uid="{00000000-0005-0000-0000-0000EC870000}"/>
    <cellStyle name="40 % - Markeringsfarve6 2 3 3 4 2 4" xfId="42905" xr:uid="{00000000-0005-0000-0000-0000ED870000}"/>
    <cellStyle name="40 % - Markeringsfarve6 2 3 3 4 3" xfId="15202" xr:uid="{00000000-0005-0000-0000-0000EE870000}"/>
    <cellStyle name="40 % - Markeringsfarve6 2 3 3 4 3 2" xfId="31481" xr:uid="{00000000-0005-0000-0000-0000EF870000}"/>
    <cellStyle name="40 % - Markeringsfarve6 2 3 3 4 3 3" xfId="46441" xr:uid="{00000000-0005-0000-0000-0000F0870000}"/>
    <cellStyle name="40 % - Markeringsfarve6 2 3 3 4 4" xfId="24479" xr:uid="{00000000-0005-0000-0000-0000F1870000}"/>
    <cellStyle name="40 % - Markeringsfarve6 2 3 3 4 5" xfId="39444" xr:uid="{00000000-0005-0000-0000-0000F2870000}"/>
    <cellStyle name="40 % - Markeringsfarve6 2 3 3 5" xfId="8253" xr:uid="{00000000-0005-0000-0000-0000F3870000}"/>
    <cellStyle name="40 % - Markeringsfarve6 2 3 3 5 2" xfId="16118" xr:uid="{00000000-0005-0000-0000-0000F4870000}"/>
    <cellStyle name="40 % - Markeringsfarve6 2 3 3 5 2 2" xfId="32394" xr:uid="{00000000-0005-0000-0000-0000F5870000}"/>
    <cellStyle name="40 % - Markeringsfarve6 2 3 3 5 2 3" xfId="47353" xr:uid="{00000000-0005-0000-0000-0000F6870000}"/>
    <cellStyle name="40 % - Markeringsfarve6 2 3 3 5 3" xfId="25392" xr:uid="{00000000-0005-0000-0000-0000F7870000}"/>
    <cellStyle name="40 % - Markeringsfarve6 2 3 3 5 4" xfId="40356" xr:uid="{00000000-0005-0000-0000-0000F8870000}"/>
    <cellStyle name="40 % - Markeringsfarve6 2 3 3 6" xfId="15198" xr:uid="{00000000-0005-0000-0000-0000F9870000}"/>
    <cellStyle name="40 % - Markeringsfarve6 2 3 3 6 2" xfId="31477" xr:uid="{00000000-0005-0000-0000-0000FA870000}"/>
    <cellStyle name="40 % - Markeringsfarve6 2 3 3 6 3" xfId="46437" xr:uid="{00000000-0005-0000-0000-0000FB870000}"/>
    <cellStyle name="40 % - Markeringsfarve6 2 3 3 7" xfId="24475" xr:uid="{00000000-0005-0000-0000-0000FC870000}"/>
    <cellStyle name="40 % - Markeringsfarve6 2 3 3 8" xfId="39440" xr:uid="{00000000-0005-0000-0000-0000FD870000}"/>
    <cellStyle name="40 % - Markeringsfarve6 2 3 4" xfId="6718" xr:uid="{00000000-0005-0000-0000-0000FE870000}"/>
    <cellStyle name="40 % - Markeringsfarve6 2 3 4 2" xfId="6719" xr:uid="{00000000-0005-0000-0000-0000FF870000}"/>
    <cellStyle name="40 % - Markeringsfarve6 2 3 4 2 2" xfId="6720" xr:uid="{00000000-0005-0000-0000-000000880000}"/>
    <cellStyle name="40 % - Markeringsfarve6 2 3 4 2 2 2" xfId="10166" xr:uid="{00000000-0005-0000-0000-000001880000}"/>
    <cellStyle name="40 % - Markeringsfarve6 2 3 4 2 2 2 2" xfId="18021" xr:uid="{00000000-0005-0000-0000-000002880000}"/>
    <cellStyle name="40 % - Markeringsfarve6 2 3 4 2 2 2 2 2" xfId="34297" xr:uid="{00000000-0005-0000-0000-000003880000}"/>
    <cellStyle name="40 % - Markeringsfarve6 2 3 4 2 2 2 2 3" xfId="49256" xr:uid="{00000000-0005-0000-0000-000004880000}"/>
    <cellStyle name="40 % - Markeringsfarve6 2 3 4 2 2 2 3" xfId="27295" xr:uid="{00000000-0005-0000-0000-000005880000}"/>
    <cellStyle name="40 % - Markeringsfarve6 2 3 4 2 2 2 4" xfId="42259" xr:uid="{00000000-0005-0000-0000-000006880000}"/>
    <cellStyle name="40 % - Markeringsfarve6 2 3 4 2 2 3" xfId="15205" xr:uid="{00000000-0005-0000-0000-000007880000}"/>
    <cellStyle name="40 % - Markeringsfarve6 2 3 4 2 2 3 2" xfId="31484" xr:uid="{00000000-0005-0000-0000-000008880000}"/>
    <cellStyle name="40 % - Markeringsfarve6 2 3 4 2 2 3 3" xfId="46444" xr:uid="{00000000-0005-0000-0000-000009880000}"/>
    <cellStyle name="40 % - Markeringsfarve6 2 3 4 2 2 4" xfId="24482" xr:uid="{00000000-0005-0000-0000-00000A880000}"/>
    <cellStyle name="40 % - Markeringsfarve6 2 3 4 2 2 5" xfId="39447" xr:uid="{00000000-0005-0000-0000-00000B880000}"/>
    <cellStyle name="40 % - Markeringsfarve6 2 3 4 2 3" xfId="8696" xr:uid="{00000000-0005-0000-0000-00000C880000}"/>
    <cellStyle name="40 % - Markeringsfarve6 2 3 4 2 3 2" xfId="16563" xr:uid="{00000000-0005-0000-0000-00000D880000}"/>
    <cellStyle name="40 % - Markeringsfarve6 2 3 4 2 3 2 2" xfId="32839" xr:uid="{00000000-0005-0000-0000-00000E880000}"/>
    <cellStyle name="40 % - Markeringsfarve6 2 3 4 2 3 2 3" xfId="47798" xr:uid="{00000000-0005-0000-0000-00000F880000}"/>
    <cellStyle name="40 % - Markeringsfarve6 2 3 4 2 3 3" xfId="25837" xr:uid="{00000000-0005-0000-0000-000010880000}"/>
    <cellStyle name="40 % - Markeringsfarve6 2 3 4 2 3 4" xfId="40801" xr:uid="{00000000-0005-0000-0000-000011880000}"/>
    <cellStyle name="40 % - Markeringsfarve6 2 3 4 2 4" xfId="15204" xr:uid="{00000000-0005-0000-0000-000012880000}"/>
    <cellStyle name="40 % - Markeringsfarve6 2 3 4 2 4 2" xfId="31483" xr:uid="{00000000-0005-0000-0000-000013880000}"/>
    <cellStyle name="40 % - Markeringsfarve6 2 3 4 2 4 3" xfId="46443" xr:uid="{00000000-0005-0000-0000-000014880000}"/>
    <cellStyle name="40 % - Markeringsfarve6 2 3 4 2 5" xfId="24481" xr:uid="{00000000-0005-0000-0000-000015880000}"/>
    <cellStyle name="40 % - Markeringsfarve6 2 3 4 2 6" xfId="39446" xr:uid="{00000000-0005-0000-0000-000016880000}"/>
    <cellStyle name="40 % - Markeringsfarve6 2 3 4 3" xfId="6721" xr:uid="{00000000-0005-0000-0000-000017880000}"/>
    <cellStyle name="40 % - Markeringsfarve6 2 3 4 3 2" xfId="9443" xr:uid="{00000000-0005-0000-0000-000018880000}"/>
    <cellStyle name="40 % - Markeringsfarve6 2 3 4 3 2 2" xfId="17306" xr:uid="{00000000-0005-0000-0000-000019880000}"/>
    <cellStyle name="40 % - Markeringsfarve6 2 3 4 3 2 2 2" xfId="33582" xr:uid="{00000000-0005-0000-0000-00001A880000}"/>
    <cellStyle name="40 % - Markeringsfarve6 2 3 4 3 2 2 3" xfId="48541" xr:uid="{00000000-0005-0000-0000-00001B880000}"/>
    <cellStyle name="40 % - Markeringsfarve6 2 3 4 3 2 3" xfId="26580" xr:uid="{00000000-0005-0000-0000-00001C880000}"/>
    <cellStyle name="40 % - Markeringsfarve6 2 3 4 3 2 4" xfId="41544" xr:uid="{00000000-0005-0000-0000-00001D880000}"/>
    <cellStyle name="40 % - Markeringsfarve6 2 3 4 3 3" xfId="15206" xr:uid="{00000000-0005-0000-0000-00001E880000}"/>
    <cellStyle name="40 % - Markeringsfarve6 2 3 4 3 3 2" xfId="31485" xr:uid="{00000000-0005-0000-0000-00001F880000}"/>
    <cellStyle name="40 % - Markeringsfarve6 2 3 4 3 3 3" xfId="46445" xr:uid="{00000000-0005-0000-0000-000020880000}"/>
    <cellStyle name="40 % - Markeringsfarve6 2 3 4 3 4" xfId="24483" xr:uid="{00000000-0005-0000-0000-000021880000}"/>
    <cellStyle name="40 % - Markeringsfarve6 2 3 4 3 5" xfId="39448" xr:uid="{00000000-0005-0000-0000-000022880000}"/>
    <cellStyle name="40 % - Markeringsfarve6 2 3 4 4" xfId="6722" xr:uid="{00000000-0005-0000-0000-000023880000}"/>
    <cellStyle name="40 % - Markeringsfarve6 2 3 4 4 2" xfId="10479" xr:uid="{00000000-0005-0000-0000-000024880000}"/>
    <cellStyle name="40 % - Markeringsfarve6 2 3 4 4 2 2" xfId="18328" xr:uid="{00000000-0005-0000-0000-000025880000}"/>
    <cellStyle name="40 % - Markeringsfarve6 2 3 4 4 2 2 2" xfId="34604" xr:uid="{00000000-0005-0000-0000-000026880000}"/>
    <cellStyle name="40 % - Markeringsfarve6 2 3 4 4 2 2 3" xfId="49563" xr:uid="{00000000-0005-0000-0000-000027880000}"/>
    <cellStyle name="40 % - Markeringsfarve6 2 3 4 4 2 3" xfId="27602" xr:uid="{00000000-0005-0000-0000-000028880000}"/>
    <cellStyle name="40 % - Markeringsfarve6 2 3 4 4 2 4" xfId="42566" xr:uid="{00000000-0005-0000-0000-000029880000}"/>
    <cellStyle name="40 % - Markeringsfarve6 2 3 4 4 3" xfId="15207" xr:uid="{00000000-0005-0000-0000-00002A880000}"/>
    <cellStyle name="40 % - Markeringsfarve6 2 3 4 4 3 2" xfId="31486" xr:uid="{00000000-0005-0000-0000-00002B880000}"/>
    <cellStyle name="40 % - Markeringsfarve6 2 3 4 4 3 3" xfId="46446" xr:uid="{00000000-0005-0000-0000-00002C880000}"/>
    <cellStyle name="40 % - Markeringsfarve6 2 3 4 4 4" xfId="24484" xr:uid="{00000000-0005-0000-0000-00002D880000}"/>
    <cellStyle name="40 % - Markeringsfarve6 2 3 4 4 5" xfId="39449" xr:uid="{00000000-0005-0000-0000-00002E880000}"/>
    <cellStyle name="40 % - Markeringsfarve6 2 3 4 5" xfId="8254" xr:uid="{00000000-0005-0000-0000-00002F880000}"/>
    <cellStyle name="40 % - Markeringsfarve6 2 3 4 5 2" xfId="16119" xr:uid="{00000000-0005-0000-0000-000030880000}"/>
    <cellStyle name="40 % - Markeringsfarve6 2 3 4 5 2 2" xfId="32395" xr:uid="{00000000-0005-0000-0000-000031880000}"/>
    <cellStyle name="40 % - Markeringsfarve6 2 3 4 5 2 3" xfId="47354" xr:uid="{00000000-0005-0000-0000-000032880000}"/>
    <cellStyle name="40 % - Markeringsfarve6 2 3 4 5 3" xfId="25393" xr:uid="{00000000-0005-0000-0000-000033880000}"/>
    <cellStyle name="40 % - Markeringsfarve6 2 3 4 5 4" xfId="40357" xr:uid="{00000000-0005-0000-0000-000034880000}"/>
    <cellStyle name="40 % - Markeringsfarve6 2 3 4 6" xfId="15203" xr:uid="{00000000-0005-0000-0000-000035880000}"/>
    <cellStyle name="40 % - Markeringsfarve6 2 3 4 6 2" xfId="31482" xr:uid="{00000000-0005-0000-0000-000036880000}"/>
    <cellStyle name="40 % - Markeringsfarve6 2 3 4 6 3" xfId="46442" xr:uid="{00000000-0005-0000-0000-000037880000}"/>
    <cellStyle name="40 % - Markeringsfarve6 2 3 4 7" xfId="24480" xr:uid="{00000000-0005-0000-0000-000038880000}"/>
    <cellStyle name="40 % - Markeringsfarve6 2 3 4 8" xfId="39445" xr:uid="{00000000-0005-0000-0000-000039880000}"/>
    <cellStyle name="40 % - Markeringsfarve6 2 3 5" xfId="6723" xr:uid="{00000000-0005-0000-0000-00003A880000}"/>
    <cellStyle name="40 % - Markeringsfarve6 2 3 5 2" xfId="6724" xr:uid="{00000000-0005-0000-0000-00003B880000}"/>
    <cellStyle name="40 % - Markeringsfarve6 2 3 5 2 2" xfId="6725" xr:uid="{00000000-0005-0000-0000-00003C880000}"/>
    <cellStyle name="40 % - Markeringsfarve6 2 3 5 2 2 2" xfId="10283" xr:uid="{00000000-0005-0000-0000-00003D880000}"/>
    <cellStyle name="40 % - Markeringsfarve6 2 3 5 2 2 2 2" xfId="18138" xr:uid="{00000000-0005-0000-0000-00003E880000}"/>
    <cellStyle name="40 % - Markeringsfarve6 2 3 5 2 2 2 2 2" xfId="34414" xr:uid="{00000000-0005-0000-0000-00003F880000}"/>
    <cellStyle name="40 % - Markeringsfarve6 2 3 5 2 2 2 2 3" xfId="49373" xr:uid="{00000000-0005-0000-0000-000040880000}"/>
    <cellStyle name="40 % - Markeringsfarve6 2 3 5 2 2 2 3" xfId="27412" xr:uid="{00000000-0005-0000-0000-000041880000}"/>
    <cellStyle name="40 % - Markeringsfarve6 2 3 5 2 2 2 4" xfId="42376" xr:uid="{00000000-0005-0000-0000-000042880000}"/>
    <cellStyle name="40 % - Markeringsfarve6 2 3 5 2 2 3" xfId="15210" xr:uid="{00000000-0005-0000-0000-000043880000}"/>
    <cellStyle name="40 % - Markeringsfarve6 2 3 5 2 2 3 2" xfId="31489" xr:uid="{00000000-0005-0000-0000-000044880000}"/>
    <cellStyle name="40 % - Markeringsfarve6 2 3 5 2 2 3 3" xfId="46449" xr:uid="{00000000-0005-0000-0000-000045880000}"/>
    <cellStyle name="40 % - Markeringsfarve6 2 3 5 2 2 4" xfId="24487" xr:uid="{00000000-0005-0000-0000-000046880000}"/>
    <cellStyle name="40 % - Markeringsfarve6 2 3 5 2 2 5" xfId="39452" xr:uid="{00000000-0005-0000-0000-000047880000}"/>
    <cellStyle name="40 % - Markeringsfarve6 2 3 5 2 3" xfId="8795" xr:uid="{00000000-0005-0000-0000-000048880000}"/>
    <cellStyle name="40 % - Markeringsfarve6 2 3 5 2 3 2" xfId="16662" xr:uid="{00000000-0005-0000-0000-000049880000}"/>
    <cellStyle name="40 % - Markeringsfarve6 2 3 5 2 3 2 2" xfId="32938" xr:uid="{00000000-0005-0000-0000-00004A880000}"/>
    <cellStyle name="40 % - Markeringsfarve6 2 3 5 2 3 2 3" xfId="47897" xr:uid="{00000000-0005-0000-0000-00004B880000}"/>
    <cellStyle name="40 % - Markeringsfarve6 2 3 5 2 3 3" xfId="25936" xr:uid="{00000000-0005-0000-0000-00004C880000}"/>
    <cellStyle name="40 % - Markeringsfarve6 2 3 5 2 3 4" xfId="40900" xr:uid="{00000000-0005-0000-0000-00004D880000}"/>
    <cellStyle name="40 % - Markeringsfarve6 2 3 5 2 4" xfId="15209" xr:uid="{00000000-0005-0000-0000-00004E880000}"/>
    <cellStyle name="40 % - Markeringsfarve6 2 3 5 2 4 2" xfId="31488" xr:uid="{00000000-0005-0000-0000-00004F880000}"/>
    <cellStyle name="40 % - Markeringsfarve6 2 3 5 2 4 3" xfId="46448" xr:uid="{00000000-0005-0000-0000-000050880000}"/>
    <cellStyle name="40 % - Markeringsfarve6 2 3 5 2 5" xfId="24486" xr:uid="{00000000-0005-0000-0000-000051880000}"/>
    <cellStyle name="40 % - Markeringsfarve6 2 3 5 2 6" xfId="39451" xr:uid="{00000000-0005-0000-0000-000052880000}"/>
    <cellStyle name="40 % - Markeringsfarve6 2 3 5 3" xfId="6726" xr:uid="{00000000-0005-0000-0000-000053880000}"/>
    <cellStyle name="40 % - Markeringsfarve6 2 3 5 3 2" xfId="9560" xr:uid="{00000000-0005-0000-0000-000054880000}"/>
    <cellStyle name="40 % - Markeringsfarve6 2 3 5 3 2 2" xfId="17423" xr:uid="{00000000-0005-0000-0000-000055880000}"/>
    <cellStyle name="40 % - Markeringsfarve6 2 3 5 3 2 2 2" xfId="33699" xr:uid="{00000000-0005-0000-0000-000056880000}"/>
    <cellStyle name="40 % - Markeringsfarve6 2 3 5 3 2 2 3" xfId="48658" xr:uid="{00000000-0005-0000-0000-000057880000}"/>
    <cellStyle name="40 % - Markeringsfarve6 2 3 5 3 2 3" xfId="26697" xr:uid="{00000000-0005-0000-0000-000058880000}"/>
    <cellStyle name="40 % - Markeringsfarve6 2 3 5 3 2 4" xfId="41661" xr:uid="{00000000-0005-0000-0000-000059880000}"/>
    <cellStyle name="40 % - Markeringsfarve6 2 3 5 3 3" xfId="15211" xr:uid="{00000000-0005-0000-0000-00005A880000}"/>
    <cellStyle name="40 % - Markeringsfarve6 2 3 5 3 3 2" xfId="31490" xr:uid="{00000000-0005-0000-0000-00005B880000}"/>
    <cellStyle name="40 % - Markeringsfarve6 2 3 5 3 3 3" xfId="46450" xr:uid="{00000000-0005-0000-0000-00005C880000}"/>
    <cellStyle name="40 % - Markeringsfarve6 2 3 5 3 4" xfId="24488" xr:uid="{00000000-0005-0000-0000-00005D880000}"/>
    <cellStyle name="40 % - Markeringsfarve6 2 3 5 3 5" xfId="39453" xr:uid="{00000000-0005-0000-0000-00005E880000}"/>
    <cellStyle name="40 % - Markeringsfarve6 2 3 5 4" xfId="6727" xr:uid="{00000000-0005-0000-0000-00005F880000}"/>
    <cellStyle name="40 % - Markeringsfarve6 2 3 5 4 2" xfId="10790" xr:uid="{00000000-0005-0000-0000-000060880000}"/>
    <cellStyle name="40 % - Markeringsfarve6 2 3 5 4 2 2" xfId="18632" xr:uid="{00000000-0005-0000-0000-000061880000}"/>
    <cellStyle name="40 % - Markeringsfarve6 2 3 5 4 2 2 2" xfId="34908" xr:uid="{00000000-0005-0000-0000-000062880000}"/>
    <cellStyle name="40 % - Markeringsfarve6 2 3 5 4 2 2 3" xfId="49867" xr:uid="{00000000-0005-0000-0000-000063880000}"/>
    <cellStyle name="40 % - Markeringsfarve6 2 3 5 4 2 3" xfId="27906" xr:uid="{00000000-0005-0000-0000-000064880000}"/>
    <cellStyle name="40 % - Markeringsfarve6 2 3 5 4 2 4" xfId="42870" xr:uid="{00000000-0005-0000-0000-000065880000}"/>
    <cellStyle name="40 % - Markeringsfarve6 2 3 5 4 3" xfId="15212" xr:uid="{00000000-0005-0000-0000-000066880000}"/>
    <cellStyle name="40 % - Markeringsfarve6 2 3 5 4 3 2" xfId="31491" xr:uid="{00000000-0005-0000-0000-000067880000}"/>
    <cellStyle name="40 % - Markeringsfarve6 2 3 5 4 3 3" xfId="46451" xr:uid="{00000000-0005-0000-0000-000068880000}"/>
    <cellStyle name="40 % - Markeringsfarve6 2 3 5 4 4" xfId="24489" xr:uid="{00000000-0005-0000-0000-000069880000}"/>
    <cellStyle name="40 % - Markeringsfarve6 2 3 5 4 5" xfId="39454" xr:uid="{00000000-0005-0000-0000-00006A880000}"/>
    <cellStyle name="40 % - Markeringsfarve6 2 3 5 5" xfId="8255" xr:uid="{00000000-0005-0000-0000-00006B880000}"/>
    <cellStyle name="40 % - Markeringsfarve6 2 3 5 5 2" xfId="16120" xr:uid="{00000000-0005-0000-0000-00006C880000}"/>
    <cellStyle name="40 % - Markeringsfarve6 2 3 5 5 2 2" xfId="32396" xr:uid="{00000000-0005-0000-0000-00006D880000}"/>
    <cellStyle name="40 % - Markeringsfarve6 2 3 5 5 2 3" xfId="47355" xr:uid="{00000000-0005-0000-0000-00006E880000}"/>
    <cellStyle name="40 % - Markeringsfarve6 2 3 5 5 3" xfId="25394" xr:uid="{00000000-0005-0000-0000-00006F880000}"/>
    <cellStyle name="40 % - Markeringsfarve6 2 3 5 5 4" xfId="40358" xr:uid="{00000000-0005-0000-0000-000070880000}"/>
    <cellStyle name="40 % - Markeringsfarve6 2 3 5 6" xfId="15208" xr:uid="{00000000-0005-0000-0000-000071880000}"/>
    <cellStyle name="40 % - Markeringsfarve6 2 3 5 6 2" xfId="31487" xr:uid="{00000000-0005-0000-0000-000072880000}"/>
    <cellStyle name="40 % - Markeringsfarve6 2 3 5 6 3" xfId="46447" xr:uid="{00000000-0005-0000-0000-000073880000}"/>
    <cellStyle name="40 % - Markeringsfarve6 2 3 5 7" xfId="24485" xr:uid="{00000000-0005-0000-0000-000074880000}"/>
    <cellStyle name="40 % - Markeringsfarve6 2 3 5 8" xfId="39450" xr:uid="{00000000-0005-0000-0000-000075880000}"/>
    <cellStyle name="40 % - Markeringsfarve6 2 3 6" xfId="6728" xr:uid="{00000000-0005-0000-0000-000076880000}"/>
    <cellStyle name="40 % - Markeringsfarve6 2 3 6 2" xfId="6729" xr:uid="{00000000-0005-0000-0000-000077880000}"/>
    <cellStyle name="40 % - Markeringsfarve6 2 3 6 2 2" xfId="6730" xr:uid="{00000000-0005-0000-0000-000078880000}"/>
    <cellStyle name="40 % - Markeringsfarve6 2 3 6 2 2 2" xfId="10387" xr:uid="{00000000-0005-0000-0000-000079880000}"/>
    <cellStyle name="40 % - Markeringsfarve6 2 3 6 2 2 2 2" xfId="18242" xr:uid="{00000000-0005-0000-0000-00007A880000}"/>
    <cellStyle name="40 % - Markeringsfarve6 2 3 6 2 2 2 2 2" xfId="34518" xr:uid="{00000000-0005-0000-0000-00007B880000}"/>
    <cellStyle name="40 % - Markeringsfarve6 2 3 6 2 2 2 2 3" xfId="49477" xr:uid="{00000000-0005-0000-0000-00007C880000}"/>
    <cellStyle name="40 % - Markeringsfarve6 2 3 6 2 2 2 3" xfId="27516" xr:uid="{00000000-0005-0000-0000-00007D880000}"/>
    <cellStyle name="40 % - Markeringsfarve6 2 3 6 2 2 2 4" xfId="42480" xr:uid="{00000000-0005-0000-0000-00007E880000}"/>
    <cellStyle name="40 % - Markeringsfarve6 2 3 6 2 2 3" xfId="15215" xr:uid="{00000000-0005-0000-0000-00007F880000}"/>
    <cellStyle name="40 % - Markeringsfarve6 2 3 6 2 2 3 2" xfId="31494" xr:uid="{00000000-0005-0000-0000-000080880000}"/>
    <cellStyle name="40 % - Markeringsfarve6 2 3 6 2 2 3 3" xfId="46454" xr:uid="{00000000-0005-0000-0000-000081880000}"/>
    <cellStyle name="40 % - Markeringsfarve6 2 3 6 2 2 4" xfId="24492" xr:uid="{00000000-0005-0000-0000-000082880000}"/>
    <cellStyle name="40 % - Markeringsfarve6 2 3 6 2 2 5" xfId="39457" xr:uid="{00000000-0005-0000-0000-000083880000}"/>
    <cellStyle name="40 % - Markeringsfarve6 2 3 6 2 3" xfId="8881" xr:uid="{00000000-0005-0000-0000-000084880000}"/>
    <cellStyle name="40 % - Markeringsfarve6 2 3 6 2 3 2" xfId="16748" xr:uid="{00000000-0005-0000-0000-000085880000}"/>
    <cellStyle name="40 % - Markeringsfarve6 2 3 6 2 3 2 2" xfId="33024" xr:uid="{00000000-0005-0000-0000-000086880000}"/>
    <cellStyle name="40 % - Markeringsfarve6 2 3 6 2 3 2 3" xfId="47983" xr:uid="{00000000-0005-0000-0000-000087880000}"/>
    <cellStyle name="40 % - Markeringsfarve6 2 3 6 2 3 3" xfId="26022" xr:uid="{00000000-0005-0000-0000-000088880000}"/>
    <cellStyle name="40 % - Markeringsfarve6 2 3 6 2 3 4" xfId="40986" xr:uid="{00000000-0005-0000-0000-000089880000}"/>
    <cellStyle name="40 % - Markeringsfarve6 2 3 6 2 4" xfId="15214" xr:uid="{00000000-0005-0000-0000-00008A880000}"/>
    <cellStyle name="40 % - Markeringsfarve6 2 3 6 2 4 2" xfId="31493" xr:uid="{00000000-0005-0000-0000-00008B880000}"/>
    <cellStyle name="40 % - Markeringsfarve6 2 3 6 2 4 3" xfId="46453" xr:uid="{00000000-0005-0000-0000-00008C880000}"/>
    <cellStyle name="40 % - Markeringsfarve6 2 3 6 2 5" xfId="24491" xr:uid="{00000000-0005-0000-0000-00008D880000}"/>
    <cellStyle name="40 % - Markeringsfarve6 2 3 6 2 6" xfId="39456" xr:uid="{00000000-0005-0000-0000-00008E880000}"/>
    <cellStyle name="40 % - Markeringsfarve6 2 3 6 3" xfId="6731" xr:uid="{00000000-0005-0000-0000-00008F880000}"/>
    <cellStyle name="40 % - Markeringsfarve6 2 3 6 3 2" xfId="9665" xr:uid="{00000000-0005-0000-0000-000090880000}"/>
    <cellStyle name="40 % - Markeringsfarve6 2 3 6 3 2 2" xfId="17528" xr:uid="{00000000-0005-0000-0000-000091880000}"/>
    <cellStyle name="40 % - Markeringsfarve6 2 3 6 3 2 2 2" xfId="33804" xr:uid="{00000000-0005-0000-0000-000092880000}"/>
    <cellStyle name="40 % - Markeringsfarve6 2 3 6 3 2 2 3" xfId="48763" xr:uid="{00000000-0005-0000-0000-000093880000}"/>
    <cellStyle name="40 % - Markeringsfarve6 2 3 6 3 2 3" xfId="26802" xr:uid="{00000000-0005-0000-0000-000094880000}"/>
    <cellStyle name="40 % - Markeringsfarve6 2 3 6 3 2 4" xfId="41766" xr:uid="{00000000-0005-0000-0000-000095880000}"/>
    <cellStyle name="40 % - Markeringsfarve6 2 3 6 3 3" xfId="15216" xr:uid="{00000000-0005-0000-0000-000096880000}"/>
    <cellStyle name="40 % - Markeringsfarve6 2 3 6 3 3 2" xfId="31495" xr:uid="{00000000-0005-0000-0000-000097880000}"/>
    <cellStyle name="40 % - Markeringsfarve6 2 3 6 3 3 3" xfId="46455" xr:uid="{00000000-0005-0000-0000-000098880000}"/>
    <cellStyle name="40 % - Markeringsfarve6 2 3 6 3 4" xfId="24493" xr:uid="{00000000-0005-0000-0000-000099880000}"/>
    <cellStyle name="40 % - Markeringsfarve6 2 3 6 3 5" xfId="39458" xr:uid="{00000000-0005-0000-0000-00009A880000}"/>
    <cellStyle name="40 % - Markeringsfarve6 2 3 6 4" xfId="6732" xr:uid="{00000000-0005-0000-0000-00009B880000}"/>
    <cellStyle name="40 % - Markeringsfarve6 2 3 6 4 2" xfId="10440" xr:uid="{00000000-0005-0000-0000-00009C880000}"/>
    <cellStyle name="40 % - Markeringsfarve6 2 3 6 4 2 2" xfId="18292" xr:uid="{00000000-0005-0000-0000-00009D880000}"/>
    <cellStyle name="40 % - Markeringsfarve6 2 3 6 4 2 2 2" xfId="34568" xr:uid="{00000000-0005-0000-0000-00009E880000}"/>
    <cellStyle name="40 % - Markeringsfarve6 2 3 6 4 2 2 3" xfId="49527" xr:uid="{00000000-0005-0000-0000-00009F880000}"/>
    <cellStyle name="40 % - Markeringsfarve6 2 3 6 4 2 3" xfId="27566" xr:uid="{00000000-0005-0000-0000-0000A0880000}"/>
    <cellStyle name="40 % - Markeringsfarve6 2 3 6 4 2 4" xfId="42530" xr:uid="{00000000-0005-0000-0000-0000A1880000}"/>
    <cellStyle name="40 % - Markeringsfarve6 2 3 6 4 3" xfId="15217" xr:uid="{00000000-0005-0000-0000-0000A2880000}"/>
    <cellStyle name="40 % - Markeringsfarve6 2 3 6 4 3 2" xfId="31496" xr:uid="{00000000-0005-0000-0000-0000A3880000}"/>
    <cellStyle name="40 % - Markeringsfarve6 2 3 6 4 3 3" xfId="46456" xr:uid="{00000000-0005-0000-0000-0000A4880000}"/>
    <cellStyle name="40 % - Markeringsfarve6 2 3 6 4 4" xfId="24494" xr:uid="{00000000-0005-0000-0000-0000A5880000}"/>
    <cellStyle name="40 % - Markeringsfarve6 2 3 6 4 5" xfId="39459" xr:uid="{00000000-0005-0000-0000-0000A6880000}"/>
    <cellStyle name="40 % - Markeringsfarve6 2 3 6 5" xfId="8256" xr:uid="{00000000-0005-0000-0000-0000A7880000}"/>
    <cellStyle name="40 % - Markeringsfarve6 2 3 6 5 2" xfId="16121" xr:uid="{00000000-0005-0000-0000-0000A8880000}"/>
    <cellStyle name="40 % - Markeringsfarve6 2 3 6 5 2 2" xfId="32397" xr:uid="{00000000-0005-0000-0000-0000A9880000}"/>
    <cellStyle name="40 % - Markeringsfarve6 2 3 6 5 2 3" xfId="47356" xr:uid="{00000000-0005-0000-0000-0000AA880000}"/>
    <cellStyle name="40 % - Markeringsfarve6 2 3 6 5 3" xfId="25395" xr:uid="{00000000-0005-0000-0000-0000AB880000}"/>
    <cellStyle name="40 % - Markeringsfarve6 2 3 6 5 4" xfId="40359" xr:uid="{00000000-0005-0000-0000-0000AC880000}"/>
    <cellStyle name="40 % - Markeringsfarve6 2 3 6 6" xfId="15213" xr:uid="{00000000-0005-0000-0000-0000AD880000}"/>
    <cellStyle name="40 % - Markeringsfarve6 2 3 6 6 2" xfId="31492" xr:uid="{00000000-0005-0000-0000-0000AE880000}"/>
    <cellStyle name="40 % - Markeringsfarve6 2 3 6 6 3" xfId="46452" xr:uid="{00000000-0005-0000-0000-0000AF880000}"/>
    <cellStyle name="40 % - Markeringsfarve6 2 3 6 7" xfId="24490" xr:uid="{00000000-0005-0000-0000-0000B0880000}"/>
    <cellStyle name="40 % - Markeringsfarve6 2 3 6 8" xfId="39455" xr:uid="{00000000-0005-0000-0000-0000B1880000}"/>
    <cellStyle name="40 % - Markeringsfarve6 2 3 7" xfId="6733" xr:uid="{00000000-0005-0000-0000-0000B2880000}"/>
    <cellStyle name="40 % - Markeringsfarve6 2 3 7 2" xfId="6734" xr:uid="{00000000-0005-0000-0000-0000B3880000}"/>
    <cellStyle name="40 % - Markeringsfarve6 2 3 7 2 2" xfId="9810" xr:uid="{00000000-0005-0000-0000-0000B4880000}"/>
    <cellStyle name="40 % - Markeringsfarve6 2 3 7 2 2 2" xfId="17664" xr:uid="{00000000-0005-0000-0000-0000B5880000}"/>
    <cellStyle name="40 % - Markeringsfarve6 2 3 7 2 2 2 2" xfId="33940" xr:uid="{00000000-0005-0000-0000-0000B6880000}"/>
    <cellStyle name="40 % - Markeringsfarve6 2 3 7 2 2 2 3" xfId="48899" xr:uid="{00000000-0005-0000-0000-0000B7880000}"/>
    <cellStyle name="40 % - Markeringsfarve6 2 3 7 2 2 3" xfId="26938" xr:uid="{00000000-0005-0000-0000-0000B8880000}"/>
    <cellStyle name="40 % - Markeringsfarve6 2 3 7 2 2 4" xfId="41902" xr:uid="{00000000-0005-0000-0000-0000B9880000}"/>
    <cellStyle name="40 % - Markeringsfarve6 2 3 7 2 3" xfId="15219" xr:uid="{00000000-0005-0000-0000-0000BA880000}"/>
    <cellStyle name="40 % - Markeringsfarve6 2 3 7 2 3 2" xfId="31498" xr:uid="{00000000-0005-0000-0000-0000BB880000}"/>
    <cellStyle name="40 % - Markeringsfarve6 2 3 7 2 3 3" xfId="46458" xr:uid="{00000000-0005-0000-0000-0000BC880000}"/>
    <cellStyle name="40 % - Markeringsfarve6 2 3 7 2 4" xfId="24496" xr:uid="{00000000-0005-0000-0000-0000BD880000}"/>
    <cellStyle name="40 % - Markeringsfarve6 2 3 7 2 5" xfId="39461" xr:uid="{00000000-0005-0000-0000-0000BE880000}"/>
    <cellStyle name="40 % - Markeringsfarve6 2 3 7 3" xfId="8395" xr:uid="{00000000-0005-0000-0000-0000BF880000}"/>
    <cellStyle name="40 % - Markeringsfarve6 2 3 7 3 2" xfId="16265" xr:uid="{00000000-0005-0000-0000-0000C0880000}"/>
    <cellStyle name="40 % - Markeringsfarve6 2 3 7 3 2 2" xfId="32541" xr:uid="{00000000-0005-0000-0000-0000C1880000}"/>
    <cellStyle name="40 % - Markeringsfarve6 2 3 7 3 2 3" xfId="47500" xr:uid="{00000000-0005-0000-0000-0000C2880000}"/>
    <cellStyle name="40 % - Markeringsfarve6 2 3 7 3 3" xfId="25539" xr:uid="{00000000-0005-0000-0000-0000C3880000}"/>
    <cellStyle name="40 % - Markeringsfarve6 2 3 7 3 4" xfId="40503" xr:uid="{00000000-0005-0000-0000-0000C4880000}"/>
    <cellStyle name="40 % - Markeringsfarve6 2 3 7 4" xfId="15218" xr:uid="{00000000-0005-0000-0000-0000C5880000}"/>
    <cellStyle name="40 % - Markeringsfarve6 2 3 7 4 2" xfId="31497" xr:uid="{00000000-0005-0000-0000-0000C6880000}"/>
    <cellStyle name="40 % - Markeringsfarve6 2 3 7 4 3" xfId="46457" xr:uid="{00000000-0005-0000-0000-0000C7880000}"/>
    <cellStyle name="40 % - Markeringsfarve6 2 3 7 5" xfId="24495" xr:uid="{00000000-0005-0000-0000-0000C8880000}"/>
    <cellStyle name="40 % - Markeringsfarve6 2 3 7 6" xfId="39460" xr:uid="{00000000-0005-0000-0000-0000C9880000}"/>
    <cellStyle name="40 % - Markeringsfarve6 2 3 8" xfId="6735" xr:uid="{00000000-0005-0000-0000-0000CA880000}"/>
    <cellStyle name="40 % - Markeringsfarve6 2 3 8 2" xfId="9038" xr:uid="{00000000-0005-0000-0000-0000CB880000}"/>
    <cellStyle name="40 % - Markeringsfarve6 2 3 8 2 2" xfId="16902" xr:uid="{00000000-0005-0000-0000-0000CC880000}"/>
    <cellStyle name="40 % - Markeringsfarve6 2 3 8 2 2 2" xfId="33178" xr:uid="{00000000-0005-0000-0000-0000CD880000}"/>
    <cellStyle name="40 % - Markeringsfarve6 2 3 8 2 2 3" xfId="48137" xr:uid="{00000000-0005-0000-0000-0000CE880000}"/>
    <cellStyle name="40 % - Markeringsfarve6 2 3 8 2 3" xfId="26176" xr:uid="{00000000-0005-0000-0000-0000CF880000}"/>
    <cellStyle name="40 % - Markeringsfarve6 2 3 8 2 4" xfId="41140" xr:uid="{00000000-0005-0000-0000-0000D0880000}"/>
    <cellStyle name="40 % - Markeringsfarve6 2 3 8 3" xfId="15220" xr:uid="{00000000-0005-0000-0000-0000D1880000}"/>
    <cellStyle name="40 % - Markeringsfarve6 2 3 8 3 2" xfId="31499" xr:uid="{00000000-0005-0000-0000-0000D2880000}"/>
    <cellStyle name="40 % - Markeringsfarve6 2 3 8 3 3" xfId="46459" xr:uid="{00000000-0005-0000-0000-0000D3880000}"/>
    <cellStyle name="40 % - Markeringsfarve6 2 3 8 4" xfId="24497" xr:uid="{00000000-0005-0000-0000-0000D4880000}"/>
    <cellStyle name="40 % - Markeringsfarve6 2 3 8 5" xfId="39462" xr:uid="{00000000-0005-0000-0000-0000D5880000}"/>
    <cellStyle name="40 % - Markeringsfarve6 2 3 9" xfId="6736" xr:uid="{00000000-0005-0000-0000-0000D6880000}"/>
    <cellStyle name="40 % - Markeringsfarve6 2 3 9 2" xfId="10881" xr:uid="{00000000-0005-0000-0000-0000D7880000}"/>
    <cellStyle name="40 % - Markeringsfarve6 2 3 9 2 2" xfId="18718" xr:uid="{00000000-0005-0000-0000-0000D8880000}"/>
    <cellStyle name="40 % - Markeringsfarve6 2 3 9 2 2 2" xfId="34994" xr:uid="{00000000-0005-0000-0000-0000D9880000}"/>
    <cellStyle name="40 % - Markeringsfarve6 2 3 9 2 2 3" xfId="49953" xr:uid="{00000000-0005-0000-0000-0000DA880000}"/>
    <cellStyle name="40 % - Markeringsfarve6 2 3 9 2 3" xfId="27992" xr:uid="{00000000-0005-0000-0000-0000DB880000}"/>
    <cellStyle name="40 % - Markeringsfarve6 2 3 9 2 4" xfId="42956" xr:uid="{00000000-0005-0000-0000-0000DC880000}"/>
    <cellStyle name="40 % - Markeringsfarve6 2 3 9 3" xfId="15221" xr:uid="{00000000-0005-0000-0000-0000DD880000}"/>
    <cellStyle name="40 % - Markeringsfarve6 2 3 9 3 2" xfId="31500" xr:uid="{00000000-0005-0000-0000-0000DE880000}"/>
    <cellStyle name="40 % - Markeringsfarve6 2 3 9 3 3" xfId="46460" xr:uid="{00000000-0005-0000-0000-0000DF880000}"/>
    <cellStyle name="40 % - Markeringsfarve6 2 3 9 4" xfId="24498" xr:uid="{00000000-0005-0000-0000-0000E0880000}"/>
    <cellStyle name="40 % - Markeringsfarve6 2 3 9 5" xfId="39463" xr:uid="{00000000-0005-0000-0000-0000E1880000}"/>
    <cellStyle name="40 % - Markeringsfarve6 2 4" xfId="6737" xr:uid="{00000000-0005-0000-0000-0000E2880000}"/>
    <cellStyle name="40 % - Markeringsfarve6 2 4 2" xfId="6738" xr:uid="{00000000-0005-0000-0000-0000E3880000}"/>
    <cellStyle name="40 % - Markeringsfarve6 2 4 2 2" xfId="6739" xr:uid="{00000000-0005-0000-0000-0000E4880000}"/>
    <cellStyle name="40 % - Markeringsfarve6 2 4 2 2 2" xfId="9850" xr:uid="{00000000-0005-0000-0000-0000E5880000}"/>
    <cellStyle name="40 % - Markeringsfarve6 2 4 2 2 2 2" xfId="17705" xr:uid="{00000000-0005-0000-0000-0000E6880000}"/>
    <cellStyle name="40 % - Markeringsfarve6 2 4 2 2 2 2 2" xfId="33981" xr:uid="{00000000-0005-0000-0000-0000E7880000}"/>
    <cellStyle name="40 % - Markeringsfarve6 2 4 2 2 2 2 3" xfId="48940" xr:uid="{00000000-0005-0000-0000-0000E8880000}"/>
    <cellStyle name="40 % - Markeringsfarve6 2 4 2 2 2 3" xfId="26979" xr:uid="{00000000-0005-0000-0000-0000E9880000}"/>
    <cellStyle name="40 % - Markeringsfarve6 2 4 2 2 2 4" xfId="41943" xr:uid="{00000000-0005-0000-0000-0000EA880000}"/>
    <cellStyle name="40 % - Markeringsfarve6 2 4 2 2 3" xfId="15224" xr:uid="{00000000-0005-0000-0000-0000EB880000}"/>
    <cellStyle name="40 % - Markeringsfarve6 2 4 2 2 3 2" xfId="31503" xr:uid="{00000000-0005-0000-0000-0000EC880000}"/>
    <cellStyle name="40 % - Markeringsfarve6 2 4 2 2 3 3" xfId="46463" xr:uid="{00000000-0005-0000-0000-0000ED880000}"/>
    <cellStyle name="40 % - Markeringsfarve6 2 4 2 2 4" xfId="24501" xr:uid="{00000000-0005-0000-0000-0000EE880000}"/>
    <cellStyle name="40 % - Markeringsfarve6 2 4 2 2 5" xfId="39466" xr:uid="{00000000-0005-0000-0000-0000EF880000}"/>
    <cellStyle name="40 % - Markeringsfarve6 2 4 2 3" xfId="8428" xr:uid="{00000000-0005-0000-0000-0000F0880000}"/>
    <cellStyle name="40 % - Markeringsfarve6 2 4 2 3 2" xfId="16298" xr:uid="{00000000-0005-0000-0000-0000F1880000}"/>
    <cellStyle name="40 % - Markeringsfarve6 2 4 2 3 2 2" xfId="32574" xr:uid="{00000000-0005-0000-0000-0000F2880000}"/>
    <cellStyle name="40 % - Markeringsfarve6 2 4 2 3 2 3" xfId="47533" xr:uid="{00000000-0005-0000-0000-0000F3880000}"/>
    <cellStyle name="40 % - Markeringsfarve6 2 4 2 3 3" xfId="25572" xr:uid="{00000000-0005-0000-0000-0000F4880000}"/>
    <cellStyle name="40 % - Markeringsfarve6 2 4 2 3 4" xfId="40536" xr:uid="{00000000-0005-0000-0000-0000F5880000}"/>
    <cellStyle name="40 % - Markeringsfarve6 2 4 2 4" xfId="15223" xr:uid="{00000000-0005-0000-0000-0000F6880000}"/>
    <cellStyle name="40 % - Markeringsfarve6 2 4 2 4 2" xfId="31502" xr:uid="{00000000-0005-0000-0000-0000F7880000}"/>
    <cellStyle name="40 % - Markeringsfarve6 2 4 2 4 3" xfId="46462" xr:uid="{00000000-0005-0000-0000-0000F8880000}"/>
    <cellStyle name="40 % - Markeringsfarve6 2 4 2 5" xfId="24500" xr:uid="{00000000-0005-0000-0000-0000F9880000}"/>
    <cellStyle name="40 % - Markeringsfarve6 2 4 2 6" xfId="39465" xr:uid="{00000000-0005-0000-0000-0000FA880000}"/>
    <cellStyle name="40 % - Markeringsfarve6 2 4 3" xfId="6740" xr:uid="{00000000-0005-0000-0000-0000FB880000}"/>
    <cellStyle name="40 % - Markeringsfarve6 2 4 3 2" xfId="9081" xr:uid="{00000000-0005-0000-0000-0000FC880000}"/>
    <cellStyle name="40 % - Markeringsfarve6 2 4 3 2 2" xfId="16945" xr:uid="{00000000-0005-0000-0000-0000FD880000}"/>
    <cellStyle name="40 % - Markeringsfarve6 2 4 3 2 2 2" xfId="33221" xr:uid="{00000000-0005-0000-0000-0000FE880000}"/>
    <cellStyle name="40 % - Markeringsfarve6 2 4 3 2 2 3" xfId="48180" xr:uid="{00000000-0005-0000-0000-0000FF880000}"/>
    <cellStyle name="40 % - Markeringsfarve6 2 4 3 2 3" xfId="26219" xr:uid="{00000000-0005-0000-0000-000000890000}"/>
    <cellStyle name="40 % - Markeringsfarve6 2 4 3 2 4" xfId="41183" xr:uid="{00000000-0005-0000-0000-000001890000}"/>
    <cellStyle name="40 % - Markeringsfarve6 2 4 3 3" xfId="15225" xr:uid="{00000000-0005-0000-0000-000002890000}"/>
    <cellStyle name="40 % - Markeringsfarve6 2 4 3 3 2" xfId="31504" xr:uid="{00000000-0005-0000-0000-000003890000}"/>
    <cellStyle name="40 % - Markeringsfarve6 2 4 3 3 3" xfId="46464" xr:uid="{00000000-0005-0000-0000-000004890000}"/>
    <cellStyle name="40 % - Markeringsfarve6 2 4 3 4" xfId="24502" xr:uid="{00000000-0005-0000-0000-000005890000}"/>
    <cellStyle name="40 % - Markeringsfarve6 2 4 3 5" xfId="39467" xr:uid="{00000000-0005-0000-0000-000006890000}"/>
    <cellStyle name="40 % - Markeringsfarve6 2 4 4" xfId="6741" xr:uid="{00000000-0005-0000-0000-000007890000}"/>
    <cellStyle name="40 % - Markeringsfarve6 2 4 4 2" xfId="8922" xr:uid="{00000000-0005-0000-0000-000008890000}"/>
    <cellStyle name="40 % - Markeringsfarve6 2 4 4 2 2" xfId="16788" xr:uid="{00000000-0005-0000-0000-000009890000}"/>
    <cellStyle name="40 % - Markeringsfarve6 2 4 4 2 2 2" xfId="33064" xr:uid="{00000000-0005-0000-0000-00000A890000}"/>
    <cellStyle name="40 % - Markeringsfarve6 2 4 4 2 2 3" xfId="48023" xr:uid="{00000000-0005-0000-0000-00000B890000}"/>
    <cellStyle name="40 % - Markeringsfarve6 2 4 4 2 3" xfId="26062" xr:uid="{00000000-0005-0000-0000-00000C890000}"/>
    <cellStyle name="40 % - Markeringsfarve6 2 4 4 2 4" xfId="41026" xr:uid="{00000000-0005-0000-0000-00000D890000}"/>
    <cellStyle name="40 % - Markeringsfarve6 2 4 4 3" xfId="15226" xr:uid="{00000000-0005-0000-0000-00000E890000}"/>
    <cellStyle name="40 % - Markeringsfarve6 2 4 4 3 2" xfId="31505" xr:uid="{00000000-0005-0000-0000-00000F890000}"/>
    <cellStyle name="40 % - Markeringsfarve6 2 4 4 3 3" xfId="46465" xr:uid="{00000000-0005-0000-0000-000010890000}"/>
    <cellStyle name="40 % - Markeringsfarve6 2 4 4 4" xfId="24503" xr:uid="{00000000-0005-0000-0000-000011890000}"/>
    <cellStyle name="40 % - Markeringsfarve6 2 4 4 5" xfId="39468" xr:uid="{00000000-0005-0000-0000-000012890000}"/>
    <cellStyle name="40 % - Markeringsfarve6 2 4 5" xfId="8257" xr:uid="{00000000-0005-0000-0000-000013890000}"/>
    <cellStyle name="40 % - Markeringsfarve6 2 4 5 2" xfId="16122" xr:uid="{00000000-0005-0000-0000-000014890000}"/>
    <cellStyle name="40 % - Markeringsfarve6 2 4 5 2 2" xfId="32398" xr:uid="{00000000-0005-0000-0000-000015890000}"/>
    <cellStyle name="40 % - Markeringsfarve6 2 4 5 2 3" xfId="47357" xr:uid="{00000000-0005-0000-0000-000016890000}"/>
    <cellStyle name="40 % - Markeringsfarve6 2 4 5 3" xfId="25396" xr:uid="{00000000-0005-0000-0000-000017890000}"/>
    <cellStyle name="40 % - Markeringsfarve6 2 4 5 4" xfId="40360" xr:uid="{00000000-0005-0000-0000-000018890000}"/>
    <cellStyle name="40 % - Markeringsfarve6 2 4 6" xfId="15222" xr:uid="{00000000-0005-0000-0000-000019890000}"/>
    <cellStyle name="40 % - Markeringsfarve6 2 4 6 2" xfId="31501" xr:uid="{00000000-0005-0000-0000-00001A890000}"/>
    <cellStyle name="40 % - Markeringsfarve6 2 4 6 3" xfId="46461" xr:uid="{00000000-0005-0000-0000-00001B890000}"/>
    <cellStyle name="40 % - Markeringsfarve6 2 4 7" xfId="24499" xr:uid="{00000000-0005-0000-0000-00001C890000}"/>
    <cellStyle name="40 % - Markeringsfarve6 2 4 8" xfId="39464" xr:uid="{00000000-0005-0000-0000-00001D890000}"/>
    <cellStyle name="40 % - Markeringsfarve6 2 5" xfId="6742" xr:uid="{00000000-0005-0000-0000-00001E890000}"/>
    <cellStyle name="40 % - Markeringsfarve6 2 5 2" xfId="6743" xr:uid="{00000000-0005-0000-0000-00001F890000}"/>
    <cellStyle name="40 % - Markeringsfarve6 2 5 2 2" xfId="6744" xr:uid="{00000000-0005-0000-0000-000020890000}"/>
    <cellStyle name="40 % - Markeringsfarve6 2 5 2 2 2" xfId="10031" xr:uid="{00000000-0005-0000-0000-000021890000}"/>
    <cellStyle name="40 % - Markeringsfarve6 2 5 2 2 2 2" xfId="17886" xr:uid="{00000000-0005-0000-0000-000022890000}"/>
    <cellStyle name="40 % - Markeringsfarve6 2 5 2 2 2 2 2" xfId="34162" xr:uid="{00000000-0005-0000-0000-000023890000}"/>
    <cellStyle name="40 % - Markeringsfarve6 2 5 2 2 2 2 3" xfId="49121" xr:uid="{00000000-0005-0000-0000-000024890000}"/>
    <cellStyle name="40 % - Markeringsfarve6 2 5 2 2 2 3" xfId="27160" xr:uid="{00000000-0005-0000-0000-000025890000}"/>
    <cellStyle name="40 % - Markeringsfarve6 2 5 2 2 2 4" xfId="42124" xr:uid="{00000000-0005-0000-0000-000026890000}"/>
    <cellStyle name="40 % - Markeringsfarve6 2 5 2 2 3" xfId="15229" xr:uid="{00000000-0005-0000-0000-000027890000}"/>
    <cellStyle name="40 % - Markeringsfarve6 2 5 2 2 3 2" xfId="31508" xr:uid="{00000000-0005-0000-0000-000028890000}"/>
    <cellStyle name="40 % - Markeringsfarve6 2 5 2 2 3 3" xfId="46468" xr:uid="{00000000-0005-0000-0000-000029890000}"/>
    <cellStyle name="40 % - Markeringsfarve6 2 5 2 2 4" xfId="24506" xr:uid="{00000000-0005-0000-0000-00002A890000}"/>
    <cellStyle name="40 % - Markeringsfarve6 2 5 2 2 5" xfId="39471" xr:uid="{00000000-0005-0000-0000-00002B890000}"/>
    <cellStyle name="40 % - Markeringsfarve6 2 5 2 3" xfId="8578" xr:uid="{00000000-0005-0000-0000-00002C890000}"/>
    <cellStyle name="40 % - Markeringsfarve6 2 5 2 3 2" xfId="16448" xr:uid="{00000000-0005-0000-0000-00002D890000}"/>
    <cellStyle name="40 % - Markeringsfarve6 2 5 2 3 2 2" xfId="32724" xr:uid="{00000000-0005-0000-0000-00002E890000}"/>
    <cellStyle name="40 % - Markeringsfarve6 2 5 2 3 2 3" xfId="47683" xr:uid="{00000000-0005-0000-0000-00002F890000}"/>
    <cellStyle name="40 % - Markeringsfarve6 2 5 2 3 3" xfId="25722" xr:uid="{00000000-0005-0000-0000-000030890000}"/>
    <cellStyle name="40 % - Markeringsfarve6 2 5 2 3 4" xfId="40686" xr:uid="{00000000-0005-0000-0000-000031890000}"/>
    <cellStyle name="40 % - Markeringsfarve6 2 5 2 4" xfId="15228" xr:uid="{00000000-0005-0000-0000-000032890000}"/>
    <cellStyle name="40 % - Markeringsfarve6 2 5 2 4 2" xfId="31507" xr:uid="{00000000-0005-0000-0000-000033890000}"/>
    <cellStyle name="40 % - Markeringsfarve6 2 5 2 4 3" xfId="46467" xr:uid="{00000000-0005-0000-0000-000034890000}"/>
    <cellStyle name="40 % - Markeringsfarve6 2 5 2 5" xfId="24505" xr:uid="{00000000-0005-0000-0000-000035890000}"/>
    <cellStyle name="40 % - Markeringsfarve6 2 5 2 6" xfId="39470" xr:uid="{00000000-0005-0000-0000-000036890000}"/>
    <cellStyle name="40 % - Markeringsfarve6 2 5 3" xfId="6745" xr:uid="{00000000-0005-0000-0000-000037890000}"/>
    <cellStyle name="40 % - Markeringsfarve6 2 5 3 2" xfId="9262" xr:uid="{00000000-0005-0000-0000-000038890000}"/>
    <cellStyle name="40 % - Markeringsfarve6 2 5 3 2 2" xfId="17126" xr:uid="{00000000-0005-0000-0000-000039890000}"/>
    <cellStyle name="40 % - Markeringsfarve6 2 5 3 2 2 2" xfId="33402" xr:uid="{00000000-0005-0000-0000-00003A890000}"/>
    <cellStyle name="40 % - Markeringsfarve6 2 5 3 2 2 3" xfId="48361" xr:uid="{00000000-0005-0000-0000-00003B890000}"/>
    <cellStyle name="40 % - Markeringsfarve6 2 5 3 2 3" xfId="26400" xr:uid="{00000000-0005-0000-0000-00003C890000}"/>
    <cellStyle name="40 % - Markeringsfarve6 2 5 3 2 4" xfId="41364" xr:uid="{00000000-0005-0000-0000-00003D890000}"/>
    <cellStyle name="40 % - Markeringsfarve6 2 5 3 3" xfId="15230" xr:uid="{00000000-0005-0000-0000-00003E890000}"/>
    <cellStyle name="40 % - Markeringsfarve6 2 5 3 3 2" xfId="31509" xr:uid="{00000000-0005-0000-0000-00003F890000}"/>
    <cellStyle name="40 % - Markeringsfarve6 2 5 3 3 3" xfId="46469" xr:uid="{00000000-0005-0000-0000-000040890000}"/>
    <cellStyle name="40 % - Markeringsfarve6 2 5 3 4" xfId="24507" xr:uid="{00000000-0005-0000-0000-000041890000}"/>
    <cellStyle name="40 % - Markeringsfarve6 2 5 3 5" xfId="39472" xr:uid="{00000000-0005-0000-0000-000042890000}"/>
    <cellStyle name="40 % - Markeringsfarve6 2 5 4" xfId="6746" xr:uid="{00000000-0005-0000-0000-000043890000}"/>
    <cellStyle name="40 % - Markeringsfarve6 2 5 4 2" xfId="10740" xr:uid="{00000000-0005-0000-0000-000044890000}"/>
    <cellStyle name="40 % - Markeringsfarve6 2 5 4 2 2" xfId="18583" xr:uid="{00000000-0005-0000-0000-000045890000}"/>
    <cellStyle name="40 % - Markeringsfarve6 2 5 4 2 2 2" xfId="34859" xr:uid="{00000000-0005-0000-0000-000046890000}"/>
    <cellStyle name="40 % - Markeringsfarve6 2 5 4 2 2 3" xfId="49818" xr:uid="{00000000-0005-0000-0000-000047890000}"/>
    <cellStyle name="40 % - Markeringsfarve6 2 5 4 2 3" xfId="27857" xr:uid="{00000000-0005-0000-0000-000048890000}"/>
    <cellStyle name="40 % - Markeringsfarve6 2 5 4 2 4" xfId="42821" xr:uid="{00000000-0005-0000-0000-000049890000}"/>
    <cellStyle name="40 % - Markeringsfarve6 2 5 4 3" xfId="15231" xr:uid="{00000000-0005-0000-0000-00004A890000}"/>
    <cellStyle name="40 % - Markeringsfarve6 2 5 4 3 2" xfId="31510" xr:uid="{00000000-0005-0000-0000-00004B890000}"/>
    <cellStyle name="40 % - Markeringsfarve6 2 5 4 3 3" xfId="46470" xr:uid="{00000000-0005-0000-0000-00004C890000}"/>
    <cellStyle name="40 % - Markeringsfarve6 2 5 4 4" xfId="24508" xr:uid="{00000000-0005-0000-0000-00004D890000}"/>
    <cellStyle name="40 % - Markeringsfarve6 2 5 4 5" xfId="39473" xr:uid="{00000000-0005-0000-0000-00004E890000}"/>
    <cellStyle name="40 % - Markeringsfarve6 2 5 5" xfId="8258" xr:uid="{00000000-0005-0000-0000-00004F890000}"/>
    <cellStyle name="40 % - Markeringsfarve6 2 5 5 2" xfId="16123" xr:uid="{00000000-0005-0000-0000-000050890000}"/>
    <cellStyle name="40 % - Markeringsfarve6 2 5 5 2 2" xfId="32399" xr:uid="{00000000-0005-0000-0000-000051890000}"/>
    <cellStyle name="40 % - Markeringsfarve6 2 5 5 2 3" xfId="47358" xr:uid="{00000000-0005-0000-0000-000052890000}"/>
    <cellStyle name="40 % - Markeringsfarve6 2 5 5 3" xfId="25397" xr:uid="{00000000-0005-0000-0000-000053890000}"/>
    <cellStyle name="40 % - Markeringsfarve6 2 5 5 4" xfId="40361" xr:uid="{00000000-0005-0000-0000-000054890000}"/>
    <cellStyle name="40 % - Markeringsfarve6 2 5 6" xfId="15227" xr:uid="{00000000-0005-0000-0000-000055890000}"/>
    <cellStyle name="40 % - Markeringsfarve6 2 5 6 2" xfId="31506" xr:uid="{00000000-0005-0000-0000-000056890000}"/>
    <cellStyle name="40 % - Markeringsfarve6 2 5 6 3" xfId="46466" xr:uid="{00000000-0005-0000-0000-000057890000}"/>
    <cellStyle name="40 % - Markeringsfarve6 2 5 7" xfId="24504" xr:uid="{00000000-0005-0000-0000-000058890000}"/>
    <cellStyle name="40 % - Markeringsfarve6 2 5 8" xfId="39469" xr:uid="{00000000-0005-0000-0000-000059890000}"/>
    <cellStyle name="40 % - Markeringsfarve6 2 6" xfId="6747" xr:uid="{00000000-0005-0000-0000-00005A890000}"/>
    <cellStyle name="40 % - Markeringsfarve6 2 6 2" xfId="6748" xr:uid="{00000000-0005-0000-0000-00005B890000}"/>
    <cellStyle name="40 % - Markeringsfarve6 2 6 2 2" xfId="6749" xr:uid="{00000000-0005-0000-0000-00005C890000}"/>
    <cellStyle name="40 % - Markeringsfarve6 2 6 2 2 2" xfId="10088" xr:uid="{00000000-0005-0000-0000-00005D890000}"/>
    <cellStyle name="40 % - Markeringsfarve6 2 6 2 2 2 2" xfId="17943" xr:uid="{00000000-0005-0000-0000-00005E890000}"/>
    <cellStyle name="40 % - Markeringsfarve6 2 6 2 2 2 2 2" xfId="34219" xr:uid="{00000000-0005-0000-0000-00005F890000}"/>
    <cellStyle name="40 % - Markeringsfarve6 2 6 2 2 2 2 3" xfId="49178" xr:uid="{00000000-0005-0000-0000-000060890000}"/>
    <cellStyle name="40 % - Markeringsfarve6 2 6 2 2 2 3" xfId="27217" xr:uid="{00000000-0005-0000-0000-000061890000}"/>
    <cellStyle name="40 % - Markeringsfarve6 2 6 2 2 2 4" xfId="42181" xr:uid="{00000000-0005-0000-0000-000062890000}"/>
    <cellStyle name="40 % - Markeringsfarve6 2 6 2 2 3" xfId="15234" xr:uid="{00000000-0005-0000-0000-000063890000}"/>
    <cellStyle name="40 % - Markeringsfarve6 2 6 2 2 3 2" xfId="31513" xr:uid="{00000000-0005-0000-0000-000064890000}"/>
    <cellStyle name="40 % - Markeringsfarve6 2 6 2 2 3 3" xfId="46473" xr:uid="{00000000-0005-0000-0000-000065890000}"/>
    <cellStyle name="40 % - Markeringsfarve6 2 6 2 2 4" xfId="24511" xr:uid="{00000000-0005-0000-0000-000066890000}"/>
    <cellStyle name="40 % - Markeringsfarve6 2 6 2 2 5" xfId="39476" xr:uid="{00000000-0005-0000-0000-000067890000}"/>
    <cellStyle name="40 % - Markeringsfarve6 2 6 2 3" xfId="8630" xr:uid="{00000000-0005-0000-0000-000068890000}"/>
    <cellStyle name="40 % - Markeringsfarve6 2 6 2 3 2" xfId="16497" xr:uid="{00000000-0005-0000-0000-000069890000}"/>
    <cellStyle name="40 % - Markeringsfarve6 2 6 2 3 2 2" xfId="32773" xr:uid="{00000000-0005-0000-0000-00006A890000}"/>
    <cellStyle name="40 % - Markeringsfarve6 2 6 2 3 2 3" xfId="47732" xr:uid="{00000000-0005-0000-0000-00006B890000}"/>
    <cellStyle name="40 % - Markeringsfarve6 2 6 2 3 3" xfId="25771" xr:uid="{00000000-0005-0000-0000-00006C890000}"/>
    <cellStyle name="40 % - Markeringsfarve6 2 6 2 3 4" xfId="40735" xr:uid="{00000000-0005-0000-0000-00006D890000}"/>
    <cellStyle name="40 % - Markeringsfarve6 2 6 2 4" xfId="15233" xr:uid="{00000000-0005-0000-0000-00006E890000}"/>
    <cellStyle name="40 % - Markeringsfarve6 2 6 2 4 2" xfId="31512" xr:uid="{00000000-0005-0000-0000-00006F890000}"/>
    <cellStyle name="40 % - Markeringsfarve6 2 6 2 4 3" xfId="46472" xr:uid="{00000000-0005-0000-0000-000070890000}"/>
    <cellStyle name="40 % - Markeringsfarve6 2 6 2 5" xfId="24510" xr:uid="{00000000-0005-0000-0000-000071890000}"/>
    <cellStyle name="40 % - Markeringsfarve6 2 6 2 6" xfId="39475" xr:uid="{00000000-0005-0000-0000-000072890000}"/>
    <cellStyle name="40 % - Markeringsfarve6 2 6 3" xfId="6750" xr:uid="{00000000-0005-0000-0000-000073890000}"/>
    <cellStyle name="40 % - Markeringsfarve6 2 6 3 2" xfId="9365" xr:uid="{00000000-0005-0000-0000-000074890000}"/>
    <cellStyle name="40 % - Markeringsfarve6 2 6 3 2 2" xfId="17228" xr:uid="{00000000-0005-0000-0000-000075890000}"/>
    <cellStyle name="40 % - Markeringsfarve6 2 6 3 2 2 2" xfId="33504" xr:uid="{00000000-0005-0000-0000-000076890000}"/>
    <cellStyle name="40 % - Markeringsfarve6 2 6 3 2 2 3" xfId="48463" xr:uid="{00000000-0005-0000-0000-000077890000}"/>
    <cellStyle name="40 % - Markeringsfarve6 2 6 3 2 3" xfId="26502" xr:uid="{00000000-0005-0000-0000-000078890000}"/>
    <cellStyle name="40 % - Markeringsfarve6 2 6 3 2 4" xfId="41466" xr:uid="{00000000-0005-0000-0000-000079890000}"/>
    <cellStyle name="40 % - Markeringsfarve6 2 6 3 3" xfId="15235" xr:uid="{00000000-0005-0000-0000-00007A890000}"/>
    <cellStyle name="40 % - Markeringsfarve6 2 6 3 3 2" xfId="31514" xr:uid="{00000000-0005-0000-0000-00007B890000}"/>
    <cellStyle name="40 % - Markeringsfarve6 2 6 3 3 3" xfId="46474" xr:uid="{00000000-0005-0000-0000-00007C890000}"/>
    <cellStyle name="40 % - Markeringsfarve6 2 6 3 4" xfId="24512" xr:uid="{00000000-0005-0000-0000-00007D890000}"/>
    <cellStyle name="40 % - Markeringsfarve6 2 6 3 5" xfId="39477" xr:uid="{00000000-0005-0000-0000-00007E890000}"/>
    <cellStyle name="40 % - Markeringsfarve6 2 6 4" xfId="6751" xr:uid="{00000000-0005-0000-0000-00007F890000}"/>
    <cellStyle name="40 % - Markeringsfarve6 2 6 4 2" xfId="10961" xr:uid="{00000000-0005-0000-0000-000080890000}"/>
    <cellStyle name="40 % - Markeringsfarve6 2 6 4 2 2" xfId="18792" xr:uid="{00000000-0005-0000-0000-000081890000}"/>
    <cellStyle name="40 % - Markeringsfarve6 2 6 4 2 2 2" xfId="35068" xr:uid="{00000000-0005-0000-0000-000082890000}"/>
    <cellStyle name="40 % - Markeringsfarve6 2 6 4 2 2 3" xfId="50027" xr:uid="{00000000-0005-0000-0000-000083890000}"/>
    <cellStyle name="40 % - Markeringsfarve6 2 6 4 2 3" xfId="28066" xr:uid="{00000000-0005-0000-0000-000084890000}"/>
    <cellStyle name="40 % - Markeringsfarve6 2 6 4 2 4" xfId="43030" xr:uid="{00000000-0005-0000-0000-000085890000}"/>
    <cellStyle name="40 % - Markeringsfarve6 2 6 4 3" xfId="15236" xr:uid="{00000000-0005-0000-0000-000086890000}"/>
    <cellStyle name="40 % - Markeringsfarve6 2 6 4 3 2" xfId="31515" xr:uid="{00000000-0005-0000-0000-000087890000}"/>
    <cellStyle name="40 % - Markeringsfarve6 2 6 4 3 3" xfId="46475" xr:uid="{00000000-0005-0000-0000-000088890000}"/>
    <cellStyle name="40 % - Markeringsfarve6 2 6 4 4" xfId="24513" xr:uid="{00000000-0005-0000-0000-000089890000}"/>
    <cellStyle name="40 % - Markeringsfarve6 2 6 4 5" xfId="39478" xr:uid="{00000000-0005-0000-0000-00008A890000}"/>
    <cellStyle name="40 % - Markeringsfarve6 2 6 5" xfId="8259" xr:uid="{00000000-0005-0000-0000-00008B890000}"/>
    <cellStyle name="40 % - Markeringsfarve6 2 6 5 2" xfId="16124" xr:uid="{00000000-0005-0000-0000-00008C890000}"/>
    <cellStyle name="40 % - Markeringsfarve6 2 6 5 2 2" xfId="32400" xr:uid="{00000000-0005-0000-0000-00008D890000}"/>
    <cellStyle name="40 % - Markeringsfarve6 2 6 5 2 3" xfId="47359" xr:uid="{00000000-0005-0000-0000-00008E890000}"/>
    <cellStyle name="40 % - Markeringsfarve6 2 6 5 3" xfId="25398" xr:uid="{00000000-0005-0000-0000-00008F890000}"/>
    <cellStyle name="40 % - Markeringsfarve6 2 6 5 4" xfId="40362" xr:uid="{00000000-0005-0000-0000-000090890000}"/>
    <cellStyle name="40 % - Markeringsfarve6 2 6 6" xfId="15232" xr:uid="{00000000-0005-0000-0000-000091890000}"/>
    <cellStyle name="40 % - Markeringsfarve6 2 6 6 2" xfId="31511" xr:uid="{00000000-0005-0000-0000-000092890000}"/>
    <cellStyle name="40 % - Markeringsfarve6 2 6 6 3" xfId="46471" xr:uid="{00000000-0005-0000-0000-000093890000}"/>
    <cellStyle name="40 % - Markeringsfarve6 2 6 7" xfId="24509" xr:uid="{00000000-0005-0000-0000-000094890000}"/>
    <cellStyle name="40 % - Markeringsfarve6 2 6 8" xfId="39474" xr:uid="{00000000-0005-0000-0000-000095890000}"/>
    <cellStyle name="40 % - Markeringsfarve6 2 7" xfId="6752" xr:uid="{00000000-0005-0000-0000-000096890000}"/>
    <cellStyle name="40 % - Markeringsfarve6 2 7 2" xfId="6753" xr:uid="{00000000-0005-0000-0000-000097890000}"/>
    <cellStyle name="40 % - Markeringsfarve6 2 7 2 2" xfId="6754" xr:uid="{00000000-0005-0000-0000-000098890000}"/>
    <cellStyle name="40 % - Markeringsfarve6 2 7 2 2 2" xfId="10205" xr:uid="{00000000-0005-0000-0000-000099890000}"/>
    <cellStyle name="40 % - Markeringsfarve6 2 7 2 2 2 2" xfId="18060" xr:uid="{00000000-0005-0000-0000-00009A890000}"/>
    <cellStyle name="40 % - Markeringsfarve6 2 7 2 2 2 2 2" xfId="34336" xr:uid="{00000000-0005-0000-0000-00009B890000}"/>
    <cellStyle name="40 % - Markeringsfarve6 2 7 2 2 2 2 3" xfId="49295" xr:uid="{00000000-0005-0000-0000-00009C890000}"/>
    <cellStyle name="40 % - Markeringsfarve6 2 7 2 2 2 3" xfId="27334" xr:uid="{00000000-0005-0000-0000-00009D890000}"/>
    <cellStyle name="40 % - Markeringsfarve6 2 7 2 2 2 4" xfId="42298" xr:uid="{00000000-0005-0000-0000-00009E890000}"/>
    <cellStyle name="40 % - Markeringsfarve6 2 7 2 2 3" xfId="15239" xr:uid="{00000000-0005-0000-0000-00009F890000}"/>
    <cellStyle name="40 % - Markeringsfarve6 2 7 2 2 3 2" xfId="31518" xr:uid="{00000000-0005-0000-0000-0000A0890000}"/>
    <cellStyle name="40 % - Markeringsfarve6 2 7 2 2 3 3" xfId="46478" xr:uid="{00000000-0005-0000-0000-0000A1890000}"/>
    <cellStyle name="40 % - Markeringsfarve6 2 7 2 2 4" xfId="24516" xr:uid="{00000000-0005-0000-0000-0000A2890000}"/>
    <cellStyle name="40 % - Markeringsfarve6 2 7 2 2 5" xfId="39481" xr:uid="{00000000-0005-0000-0000-0000A3890000}"/>
    <cellStyle name="40 % - Markeringsfarve6 2 7 2 3" xfId="8729" xr:uid="{00000000-0005-0000-0000-0000A4890000}"/>
    <cellStyle name="40 % - Markeringsfarve6 2 7 2 3 2" xfId="16596" xr:uid="{00000000-0005-0000-0000-0000A5890000}"/>
    <cellStyle name="40 % - Markeringsfarve6 2 7 2 3 2 2" xfId="32872" xr:uid="{00000000-0005-0000-0000-0000A6890000}"/>
    <cellStyle name="40 % - Markeringsfarve6 2 7 2 3 2 3" xfId="47831" xr:uid="{00000000-0005-0000-0000-0000A7890000}"/>
    <cellStyle name="40 % - Markeringsfarve6 2 7 2 3 3" xfId="25870" xr:uid="{00000000-0005-0000-0000-0000A8890000}"/>
    <cellStyle name="40 % - Markeringsfarve6 2 7 2 3 4" xfId="40834" xr:uid="{00000000-0005-0000-0000-0000A9890000}"/>
    <cellStyle name="40 % - Markeringsfarve6 2 7 2 4" xfId="15238" xr:uid="{00000000-0005-0000-0000-0000AA890000}"/>
    <cellStyle name="40 % - Markeringsfarve6 2 7 2 4 2" xfId="31517" xr:uid="{00000000-0005-0000-0000-0000AB890000}"/>
    <cellStyle name="40 % - Markeringsfarve6 2 7 2 4 3" xfId="46477" xr:uid="{00000000-0005-0000-0000-0000AC890000}"/>
    <cellStyle name="40 % - Markeringsfarve6 2 7 2 5" xfId="24515" xr:uid="{00000000-0005-0000-0000-0000AD890000}"/>
    <cellStyle name="40 % - Markeringsfarve6 2 7 2 6" xfId="39480" xr:uid="{00000000-0005-0000-0000-0000AE890000}"/>
    <cellStyle name="40 % - Markeringsfarve6 2 7 3" xfId="6755" xr:uid="{00000000-0005-0000-0000-0000AF890000}"/>
    <cellStyle name="40 % - Markeringsfarve6 2 7 3 2" xfId="9482" xr:uid="{00000000-0005-0000-0000-0000B0890000}"/>
    <cellStyle name="40 % - Markeringsfarve6 2 7 3 2 2" xfId="17345" xr:uid="{00000000-0005-0000-0000-0000B1890000}"/>
    <cellStyle name="40 % - Markeringsfarve6 2 7 3 2 2 2" xfId="33621" xr:uid="{00000000-0005-0000-0000-0000B2890000}"/>
    <cellStyle name="40 % - Markeringsfarve6 2 7 3 2 2 3" xfId="48580" xr:uid="{00000000-0005-0000-0000-0000B3890000}"/>
    <cellStyle name="40 % - Markeringsfarve6 2 7 3 2 3" xfId="26619" xr:uid="{00000000-0005-0000-0000-0000B4890000}"/>
    <cellStyle name="40 % - Markeringsfarve6 2 7 3 2 4" xfId="41583" xr:uid="{00000000-0005-0000-0000-0000B5890000}"/>
    <cellStyle name="40 % - Markeringsfarve6 2 7 3 3" xfId="15240" xr:uid="{00000000-0005-0000-0000-0000B6890000}"/>
    <cellStyle name="40 % - Markeringsfarve6 2 7 3 3 2" xfId="31519" xr:uid="{00000000-0005-0000-0000-0000B7890000}"/>
    <cellStyle name="40 % - Markeringsfarve6 2 7 3 3 3" xfId="46479" xr:uid="{00000000-0005-0000-0000-0000B8890000}"/>
    <cellStyle name="40 % - Markeringsfarve6 2 7 3 4" xfId="24517" xr:uid="{00000000-0005-0000-0000-0000B9890000}"/>
    <cellStyle name="40 % - Markeringsfarve6 2 7 3 5" xfId="39482" xr:uid="{00000000-0005-0000-0000-0000BA890000}"/>
    <cellStyle name="40 % - Markeringsfarve6 2 7 4" xfId="6756" xr:uid="{00000000-0005-0000-0000-0000BB890000}"/>
    <cellStyle name="40 % - Markeringsfarve6 2 7 4 2" xfId="10681" xr:uid="{00000000-0005-0000-0000-0000BC890000}"/>
    <cellStyle name="40 % - Markeringsfarve6 2 7 4 2 2" xfId="18525" xr:uid="{00000000-0005-0000-0000-0000BD890000}"/>
    <cellStyle name="40 % - Markeringsfarve6 2 7 4 2 2 2" xfId="34801" xr:uid="{00000000-0005-0000-0000-0000BE890000}"/>
    <cellStyle name="40 % - Markeringsfarve6 2 7 4 2 2 3" xfId="49760" xr:uid="{00000000-0005-0000-0000-0000BF890000}"/>
    <cellStyle name="40 % - Markeringsfarve6 2 7 4 2 3" xfId="27799" xr:uid="{00000000-0005-0000-0000-0000C0890000}"/>
    <cellStyle name="40 % - Markeringsfarve6 2 7 4 2 4" xfId="42763" xr:uid="{00000000-0005-0000-0000-0000C1890000}"/>
    <cellStyle name="40 % - Markeringsfarve6 2 7 4 3" xfId="15241" xr:uid="{00000000-0005-0000-0000-0000C2890000}"/>
    <cellStyle name="40 % - Markeringsfarve6 2 7 4 3 2" xfId="31520" xr:uid="{00000000-0005-0000-0000-0000C3890000}"/>
    <cellStyle name="40 % - Markeringsfarve6 2 7 4 3 3" xfId="46480" xr:uid="{00000000-0005-0000-0000-0000C4890000}"/>
    <cellStyle name="40 % - Markeringsfarve6 2 7 4 4" xfId="24518" xr:uid="{00000000-0005-0000-0000-0000C5890000}"/>
    <cellStyle name="40 % - Markeringsfarve6 2 7 4 5" xfId="39483" xr:uid="{00000000-0005-0000-0000-0000C6890000}"/>
    <cellStyle name="40 % - Markeringsfarve6 2 7 5" xfId="8260" xr:uid="{00000000-0005-0000-0000-0000C7890000}"/>
    <cellStyle name="40 % - Markeringsfarve6 2 7 5 2" xfId="16125" xr:uid="{00000000-0005-0000-0000-0000C8890000}"/>
    <cellStyle name="40 % - Markeringsfarve6 2 7 5 2 2" xfId="32401" xr:uid="{00000000-0005-0000-0000-0000C9890000}"/>
    <cellStyle name="40 % - Markeringsfarve6 2 7 5 2 3" xfId="47360" xr:uid="{00000000-0005-0000-0000-0000CA890000}"/>
    <cellStyle name="40 % - Markeringsfarve6 2 7 5 3" xfId="25399" xr:uid="{00000000-0005-0000-0000-0000CB890000}"/>
    <cellStyle name="40 % - Markeringsfarve6 2 7 5 4" xfId="40363" xr:uid="{00000000-0005-0000-0000-0000CC890000}"/>
    <cellStyle name="40 % - Markeringsfarve6 2 7 6" xfId="15237" xr:uid="{00000000-0005-0000-0000-0000CD890000}"/>
    <cellStyle name="40 % - Markeringsfarve6 2 7 6 2" xfId="31516" xr:uid="{00000000-0005-0000-0000-0000CE890000}"/>
    <cellStyle name="40 % - Markeringsfarve6 2 7 6 3" xfId="46476" xr:uid="{00000000-0005-0000-0000-0000CF890000}"/>
    <cellStyle name="40 % - Markeringsfarve6 2 7 7" xfId="24514" xr:uid="{00000000-0005-0000-0000-0000D0890000}"/>
    <cellStyle name="40 % - Markeringsfarve6 2 7 8" xfId="39479" xr:uid="{00000000-0005-0000-0000-0000D1890000}"/>
    <cellStyle name="40 % - Markeringsfarve6 2 8" xfId="6757" xr:uid="{00000000-0005-0000-0000-0000D2890000}"/>
    <cellStyle name="40 % - Markeringsfarve6 2 8 2" xfId="6758" xr:uid="{00000000-0005-0000-0000-0000D3890000}"/>
    <cellStyle name="40 % - Markeringsfarve6 2 8 2 2" xfId="6759" xr:uid="{00000000-0005-0000-0000-0000D4890000}"/>
    <cellStyle name="40 % - Markeringsfarve6 2 8 2 2 2" xfId="10385" xr:uid="{00000000-0005-0000-0000-0000D5890000}"/>
    <cellStyle name="40 % - Markeringsfarve6 2 8 2 2 2 2" xfId="18240" xr:uid="{00000000-0005-0000-0000-0000D6890000}"/>
    <cellStyle name="40 % - Markeringsfarve6 2 8 2 2 2 2 2" xfId="34516" xr:uid="{00000000-0005-0000-0000-0000D7890000}"/>
    <cellStyle name="40 % - Markeringsfarve6 2 8 2 2 2 2 3" xfId="49475" xr:uid="{00000000-0005-0000-0000-0000D8890000}"/>
    <cellStyle name="40 % - Markeringsfarve6 2 8 2 2 2 3" xfId="27514" xr:uid="{00000000-0005-0000-0000-0000D9890000}"/>
    <cellStyle name="40 % - Markeringsfarve6 2 8 2 2 2 4" xfId="42478" xr:uid="{00000000-0005-0000-0000-0000DA890000}"/>
    <cellStyle name="40 % - Markeringsfarve6 2 8 2 2 3" xfId="15244" xr:uid="{00000000-0005-0000-0000-0000DB890000}"/>
    <cellStyle name="40 % - Markeringsfarve6 2 8 2 2 3 2" xfId="31523" xr:uid="{00000000-0005-0000-0000-0000DC890000}"/>
    <cellStyle name="40 % - Markeringsfarve6 2 8 2 2 3 3" xfId="46483" xr:uid="{00000000-0005-0000-0000-0000DD890000}"/>
    <cellStyle name="40 % - Markeringsfarve6 2 8 2 2 4" xfId="24521" xr:uid="{00000000-0005-0000-0000-0000DE890000}"/>
    <cellStyle name="40 % - Markeringsfarve6 2 8 2 2 5" xfId="39486" xr:uid="{00000000-0005-0000-0000-0000DF890000}"/>
    <cellStyle name="40 % - Markeringsfarve6 2 8 2 3" xfId="8879" xr:uid="{00000000-0005-0000-0000-0000E0890000}"/>
    <cellStyle name="40 % - Markeringsfarve6 2 8 2 3 2" xfId="16746" xr:uid="{00000000-0005-0000-0000-0000E1890000}"/>
    <cellStyle name="40 % - Markeringsfarve6 2 8 2 3 2 2" xfId="33022" xr:uid="{00000000-0005-0000-0000-0000E2890000}"/>
    <cellStyle name="40 % - Markeringsfarve6 2 8 2 3 2 3" xfId="47981" xr:uid="{00000000-0005-0000-0000-0000E3890000}"/>
    <cellStyle name="40 % - Markeringsfarve6 2 8 2 3 3" xfId="26020" xr:uid="{00000000-0005-0000-0000-0000E4890000}"/>
    <cellStyle name="40 % - Markeringsfarve6 2 8 2 3 4" xfId="40984" xr:uid="{00000000-0005-0000-0000-0000E5890000}"/>
    <cellStyle name="40 % - Markeringsfarve6 2 8 2 4" xfId="15243" xr:uid="{00000000-0005-0000-0000-0000E6890000}"/>
    <cellStyle name="40 % - Markeringsfarve6 2 8 2 4 2" xfId="31522" xr:uid="{00000000-0005-0000-0000-0000E7890000}"/>
    <cellStyle name="40 % - Markeringsfarve6 2 8 2 4 3" xfId="46482" xr:uid="{00000000-0005-0000-0000-0000E8890000}"/>
    <cellStyle name="40 % - Markeringsfarve6 2 8 2 5" xfId="24520" xr:uid="{00000000-0005-0000-0000-0000E9890000}"/>
    <cellStyle name="40 % - Markeringsfarve6 2 8 2 6" xfId="39485" xr:uid="{00000000-0005-0000-0000-0000EA890000}"/>
    <cellStyle name="40 % - Markeringsfarve6 2 8 3" xfId="6760" xr:uid="{00000000-0005-0000-0000-0000EB890000}"/>
    <cellStyle name="40 % - Markeringsfarve6 2 8 3 2" xfId="9663" xr:uid="{00000000-0005-0000-0000-0000EC890000}"/>
    <cellStyle name="40 % - Markeringsfarve6 2 8 3 2 2" xfId="17526" xr:uid="{00000000-0005-0000-0000-0000ED890000}"/>
    <cellStyle name="40 % - Markeringsfarve6 2 8 3 2 2 2" xfId="33802" xr:uid="{00000000-0005-0000-0000-0000EE890000}"/>
    <cellStyle name="40 % - Markeringsfarve6 2 8 3 2 2 3" xfId="48761" xr:uid="{00000000-0005-0000-0000-0000EF890000}"/>
    <cellStyle name="40 % - Markeringsfarve6 2 8 3 2 3" xfId="26800" xr:uid="{00000000-0005-0000-0000-0000F0890000}"/>
    <cellStyle name="40 % - Markeringsfarve6 2 8 3 2 4" xfId="41764" xr:uid="{00000000-0005-0000-0000-0000F1890000}"/>
    <cellStyle name="40 % - Markeringsfarve6 2 8 3 3" xfId="15245" xr:uid="{00000000-0005-0000-0000-0000F2890000}"/>
    <cellStyle name="40 % - Markeringsfarve6 2 8 3 3 2" xfId="31524" xr:uid="{00000000-0005-0000-0000-0000F3890000}"/>
    <cellStyle name="40 % - Markeringsfarve6 2 8 3 3 3" xfId="46484" xr:uid="{00000000-0005-0000-0000-0000F4890000}"/>
    <cellStyle name="40 % - Markeringsfarve6 2 8 3 4" xfId="24522" xr:uid="{00000000-0005-0000-0000-0000F5890000}"/>
    <cellStyle name="40 % - Markeringsfarve6 2 8 3 5" xfId="39487" xr:uid="{00000000-0005-0000-0000-0000F6890000}"/>
    <cellStyle name="40 % - Markeringsfarve6 2 8 4" xfId="6761" xr:uid="{00000000-0005-0000-0000-0000F7890000}"/>
    <cellStyle name="40 % - Markeringsfarve6 2 8 4 2" xfId="10914" xr:uid="{00000000-0005-0000-0000-0000F8890000}"/>
    <cellStyle name="40 % - Markeringsfarve6 2 8 4 2 2" xfId="18749" xr:uid="{00000000-0005-0000-0000-0000F9890000}"/>
    <cellStyle name="40 % - Markeringsfarve6 2 8 4 2 2 2" xfId="35025" xr:uid="{00000000-0005-0000-0000-0000FA890000}"/>
    <cellStyle name="40 % - Markeringsfarve6 2 8 4 2 2 3" xfId="49984" xr:uid="{00000000-0005-0000-0000-0000FB890000}"/>
    <cellStyle name="40 % - Markeringsfarve6 2 8 4 2 3" xfId="28023" xr:uid="{00000000-0005-0000-0000-0000FC890000}"/>
    <cellStyle name="40 % - Markeringsfarve6 2 8 4 2 4" xfId="42987" xr:uid="{00000000-0005-0000-0000-0000FD890000}"/>
    <cellStyle name="40 % - Markeringsfarve6 2 8 4 3" xfId="15246" xr:uid="{00000000-0005-0000-0000-0000FE890000}"/>
    <cellStyle name="40 % - Markeringsfarve6 2 8 4 3 2" xfId="31525" xr:uid="{00000000-0005-0000-0000-0000FF890000}"/>
    <cellStyle name="40 % - Markeringsfarve6 2 8 4 3 3" xfId="46485" xr:uid="{00000000-0005-0000-0000-0000008A0000}"/>
    <cellStyle name="40 % - Markeringsfarve6 2 8 4 4" xfId="24523" xr:uid="{00000000-0005-0000-0000-0000018A0000}"/>
    <cellStyle name="40 % - Markeringsfarve6 2 8 4 5" xfId="39488" xr:uid="{00000000-0005-0000-0000-0000028A0000}"/>
    <cellStyle name="40 % - Markeringsfarve6 2 8 5" xfId="8261" xr:uid="{00000000-0005-0000-0000-0000038A0000}"/>
    <cellStyle name="40 % - Markeringsfarve6 2 8 5 2" xfId="16126" xr:uid="{00000000-0005-0000-0000-0000048A0000}"/>
    <cellStyle name="40 % - Markeringsfarve6 2 8 5 2 2" xfId="32402" xr:uid="{00000000-0005-0000-0000-0000058A0000}"/>
    <cellStyle name="40 % - Markeringsfarve6 2 8 5 2 3" xfId="47361" xr:uid="{00000000-0005-0000-0000-0000068A0000}"/>
    <cellStyle name="40 % - Markeringsfarve6 2 8 5 3" xfId="25400" xr:uid="{00000000-0005-0000-0000-0000078A0000}"/>
    <cellStyle name="40 % - Markeringsfarve6 2 8 5 4" xfId="40364" xr:uid="{00000000-0005-0000-0000-0000088A0000}"/>
    <cellStyle name="40 % - Markeringsfarve6 2 8 6" xfId="15242" xr:uid="{00000000-0005-0000-0000-0000098A0000}"/>
    <cellStyle name="40 % - Markeringsfarve6 2 8 6 2" xfId="31521" xr:uid="{00000000-0005-0000-0000-00000A8A0000}"/>
    <cellStyle name="40 % - Markeringsfarve6 2 8 6 3" xfId="46481" xr:uid="{00000000-0005-0000-0000-00000B8A0000}"/>
    <cellStyle name="40 % - Markeringsfarve6 2 8 7" xfId="24519" xr:uid="{00000000-0005-0000-0000-00000C8A0000}"/>
    <cellStyle name="40 % - Markeringsfarve6 2 8 8" xfId="39484" xr:uid="{00000000-0005-0000-0000-00000D8A0000}"/>
    <cellStyle name="40 % - Markeringsfarve6 2 9" xfId="6762" xr:uid="{00000000-0005-0000-0000-00000E8A0000}"/>
    <cellStyle name="40 % - Markeringsfarve6 2 9 2" xfId="6763" xr:uid="{00000000-0005-0000-0000-00000F8A0000}"/>
    <cellStyle name="40 % - Markeringsfarve6 2 9 2 2" xfId="9732" xr:uid="{00000000-0005-0000-0000-0000108A0000}"/>
    <cellStyle name="40 % - Markeringsfarve6 2 9 2 2 2" xfId="17586" xr:uid="{00000000-0005-0000-0000-0000118A0000}"/>
    <cellStyle name="40 % - Markeringsfarve6 2 9 2 2 2 2" xfId="33862" xr:uid="{00000000-0005-0000-0000-0000128A0000}"/>
    <cellStyle name="40 % - Markeringsfarve6 2 9 2 2 2 3" xfId="48821" xr:uid="{00000000-0005-0000-0000-0000138A0000}"/>
    <cellStyle name="40 % - Markeringsfarve6 2 9 2 2 3" xfId="26860" xr:uid="{00000000-0005-0000-0000-0000148A0000}"/>
    <cellStyle name="40 % - Markeringsfarve6 2 9 2 2 4" xfId="41824" xr:uid="{00000000-0005-0000-0000-0000158A0000}"/>
    <cellStyle name="40 % - Markeringsfarve6 2 9 2 3" xfId="15248" xr:uid="{00000000-0005-0000-0000-0000168A0000}"/>
    <cellStyle name="40 % - Markeringsfarve6 2 9 2 3 2" xfId="31527" xr:uid="{00000000-0005-0000-0000-0000178A0000}"/>
    <cellStyle name="40 % - Markeringsfarve6 2 9 2 3 3" xfId="46487" xr:uid="{00000000-0005-0000-0000-0000188A0000}"/>
    <cellStyle name="40 % - Markeringsfarve6 2 9 2 4" xfId="24525" xr:uid="{00000000-0005-0000-0000-0000198A0000}"/>
    <cellStyle name="40 % - Markeringsfarve6 2 9 2 5" xfId="39490" xr:uid="{00000000-0005-0000-0000-00001A8A0000}"/>
    <cellStyle name="40 % - Markeringsfarve6 2 9 3" xfId="8329" xr:uid="{00000000-0005-0000-0000-00001B8A0000}"/>
    <cellStyle name="40 % - Markeringsfarve6 2 9 3 2" xfId="16199" xr:uid="{00000000-0005-0000-0000-00001C8A0000}"/>
    <cellStyle name="40 % - Markeringsfarve6 2 9 3 2 2" xfId="32475" xr:uid="{00000000-0005-0000-0000-00001D8A0000}"/>
    <cellStyle name="40 % - Markeringsfarve6 2 9 3 2 3" xfId="47434" xr:uid="{00000000-0005-0000-0000-00001E8A0000}"/>
    <cellStyle name="40 % - Markeringsfarve6 2 9 3 3" xfId="25473" xr:uid="{00000000-0005-0000-0000-00001F8A0000}"/>
    <cellStyle name="40 % - Markeringsfarve6 2 9 3 4" xfId="40437" xr:uid="{00000000-0005-0000-0000-0000208A0000}"/>
    <cellStyle name="40 % - Markeringsfarve6 2 9 4" xfId="15247" xr:uid="{00000000-0005-0000-0000-0000218A0000}"/>
    <cellStyle name="40 % - Markeringsfarve6 2 9 4 2" xfId="31526" xr:uid="{00000000-0005-0000-0000-0000228A0000}"/>
    <cellStyle name="40 % - Markeringsfarve6 2 9 4 3" xfId="46486" xr:uid="{00000000-0005-0000-0000-0000238A0000}"/>
    <cellStyle name="40 % - Markeringsfarve6 2 9 5" xfId="24524" xr:uid="{00000000-0005-0000-0000-0000248A0000}"/>
    <cellStyle name="40 % - Markeringsfarve6 2 9 6" xfId="39489" xr:uid="{00000000-0005-0000-0000-0000258A0000}"/>
    <cellStyle name="40 % - Markeringsfarve6 3" xfId="6764" xr:uid="{00000000-0005-0000-0000-0000268A0000}"/>
    <cellStyle name="40 % - Markeringsfarve6 3 10" xfId="6765" xr:uid="{00000000-0005-0000-0000-0000278A0000}"/>
    <cellStyle name="40 % - Markeringsfarve6 3 10 2" xfId="8945" xr:uid="{00000000-0005-0000-0000-0000288A0000}"/>
    <cellStyle name="40 % - Markeringsfarve6 3 10 2 2" xfId="16810" xr:uid="{00000000-0005-0000-0000-0000298A0000}"/>
    <cellStyle name="40 % - Markeringsfarve6 3 10 2 2 2" xfId="33086" xr:uid="{00000000-0005-0000-0000-00002A8A0000}"/>
    <cellStyle name="40 % - Markeringsfarve6 3 10 2 2 3" xfId="48045" xr:uid="{00000000-0005-0000-0000-00002B8A0000}"/>
    <cellStyle name="40 % - Markeringsfarve6 3 10 2 3" xfId="26084" xr:uid="{00000000-0005-0000-0000-00002C8A0000}"/>
    <cellStyle name="40 % - Markeringsfarve6 3 10 2 4" xfId="41048" xr:uid="{00000000-0005-0000-0000-00002D8A0000}"/>
    <cellStyle name="40 % - Markeringsfarve6 3 10 3" xfId="15250" xr:uid="{00000000-0005-0000-0000-00002E8A0000}"/>
    <cellStyle name="40 % - Markeringsfarve6 3 10 3 2" xfId="31529" xr:uid="{00000000-0005-0000-0000-00002F8A0000}"/>
    <cellStyle name="40 % - Markeringsfarve6 3 10 3 3" xfId="46489" xr:uid="{00000000-0005-0000-0000-0000308A0000}"/>
    <cellStyle name="40 % - Markeringsfarve6 3 10 4" xfId="24527" xr:uid="{00000000-0005-0000-0000-0000318A0000}"/>
    <cellStyle name="40 % - Markeringsfarve6 3 10 5" xfId="39492" xr:uid="{00000000-0005-0000-0000-0000328A0000}"/>
    <cellStyle name="40 % - Markeringsfarve6 3 11" xfId="6766" xr:uid="{00000000-0005-0000-0000-0000338A0000}"/>
    <cellStyle name="40 % - Markeringsfarve6 3 11 2" xfId="10639" xr:uid="{00000000-0005-0000-0000-0000348A0000}"/>
    <cellStyle name="40 % - Markeringsfarve6 3 11 2 2" xfId="18486" xr:uid="{00000000-0005-0000-0000-0000358A0000}"/>
    <cellStyle name="40 % - Markeringsfarve6 3 11 2 2 2" xfId="34762" xr:uid="{00000000-0005-0000-0000-0000368A0000}"/>
    <cellStyle name="40 % - Markeringsfarve6 3 11 2 2 3" xfId="49721" xr:uid="{00000000-0005-0000-0000-0000378A0000}"/>
    <cellStyle name="40 % - Markeringsfarve6 3 11 2 3" xfId="27760" xr:uid="{00000000-0005-0000-0000-0000388A0000}"/>
    <cellStyle name="40 % - Markeringsfarve6 3 11 2 4" xfId="42724" xr:uid="{00000000-0005-0000-0000-0000398A0000}"/>
    <cellStyle name="40 % - Markeringsfarve6 3 11 3" xfId="15251" xr:uid="{00000000-0005-0000-0000-00003A8A0000}"/>
    <cellStyle name="40 % - Markeringsfarve6 3 11 3 2" xfId="31530" xr:uid="{00000000-0005-0000-0000-00003B8A0000}"/>
    <cellStyle name="40 % - Markeringsfarve6 3 11 3 3" xfId="46490" xr:uid="{00000000-0005-0000-0000-00003C8A0000}"/>
    <cellStyle name="40 % - Markeringsfarve6 3 11 4" xfId="24528" xr:uid="{00000000-0005-0000-0000-00003D8A0000}"/>
    <cellStyle name="40 % - Markeringsfarve6 3 11 5" xfId="39493" xr:uid="{00000000-0005-0000-0000-00003E8A0000}"/>
    <cellStyle name="40 % - Markeringsfarve6 3 12" xfId="8262" xr:uid="{00000000-0005-0000-0000-00003F8A0000}"/>
    <cellStyle name="40 % - Markeringsfarve6 3 12 2" xfId="16127" xr:uid="{00000000-0005-0000-0000-0000408A0000}"/>
    <cellStyle name="40 % - Markeringsfarve6 3 12 2 2" xfId="32403" xr:uid="{00000000-0005-0000-0000-0000418A0000}"/>
    <cellStyle name="40 % - Markeringsfarve6 3 12 2 3" xfId="47362" xr:uid="{00000000-0005-0000-0000-0000428A0000}"/>
    <cellStyle name="40 % - Markeringsfarve6 3 12 3" xfId="25401" xr:uid="{00000000-0005-0000-0000-0000438A0000}"/>
    <cellStyle name="40 % - Markeringsfarve6 3 12 4" xfId="40365" xr:uid="{00000000-0005-0000-0000-0000448A0000}"/>
    <cellStyle name="40 % - Markeringsfarve6 3 13" xfId="15249" xr:uid="{00000000-0005-0000-0000-0000458A0000}"/>
    <cellStyle name="40 % - Markeringsfarve6 3 13 2" xfId="31528" xr:uid="{00000000-0005-0000-0000-0000468A0000}"/>
    <cellStyle name="40 % - Markeringsfarve6 3 13 3" xfId="46488" xr:uid="{00000000-0005-0000-0000-0000478A0000}"/>
    <cellStyle name="40 % - Markeringsfarve6 3 14" xfId="24526" xr:uid="{00000000-0005-0000-0000-0000488A0000}"/>
    <cellStyle name="40 % - Markeringsfarve6 3 15" xfId="39491" xr:uid="{00000000-0005-0000-0000-0000498A0000}"/>
    <cellStyle name="40 % - Markeringsfarve6 3 2" xfId="6767" xr:uid="{00000000-0005-0000-0000-00004A8A0000}"/>
    <cellStyle name="40 % - Markeringsfarve6 3 2 10" xfId="8263" xr:uid="{00000000-0005-0000-0000-00004B8A0000}"/>
    <cellStyle name="40 % - Markeringsfarve6 3 2 10 2" xfId="16128" xr:uid="{00000000-0005-0000-0000-00004C8A0000}"/>
    <cellStyle name="40 % - Markeringsfarve6 3 2 10 2 2" xfId="32404" xr:uid="{00000000-0005-0000-0000-00004D8A0000}"/>
    <cellStyle name="40 % - Markeringsfarve6 3 2 10 2 3" xfId="47363" xr:uid="{00000000-0005-0000-0000-00004E8A0000}"/>
    <cellStyle name="40 % - Markeringsfarve6 3 2 10 3" xfId="25402" xr:uid="{00000000-0005-0000-0000-00004F8A0000}"/>
    <cellStyle name="40 % - Markeringsfarve6 3 2 10 4" xfId="40366" xr:uid="{00000000-0005-0000-0000-0000508A0000}"/>
    <cellStyle name="40 % - Markeringsfarve6 3 2 11" xfId="15252" xr:uid="{00000000-0005-0000-0000-0000518A0000}"/>
    <cellStyle name="40 % - Markeringsfarve6 3 2 11 2" xfId="31531" xr:uid="{00000000-0005-0000-0000-0000528A0000}"/>
    <cellStyle name="40 % - Markeringsfarve6 3 2 11 3" xfId="46491" xr:uid="{00000000-0005-0000-0000-0000538A0000}"/>
    <cellStyle name="40 % - Markeringsfarve6 3 2 12" xfId="24529" xr:uid="{00000000-0005-0000-0000-0000548A0000}"/>
    <cellStyle name="40 % - Markeringsfarve6 3 2 13" xfId="39494" xr:uid="{00000000-0005-0000-0000-0000558A0000}"/>
    <cellStyle name="40 % - Markeringsfarve6 3 2 2" xfId="6768" xr:uid="{00000000-0005-0000-0000-0000568A0000}"/>
    <cellStyle name="40 % - Markeringsfarve6 3 2 2 2" xfId="6769" xr:uid="{00000000-0005-0000-0000-0000578A0000}"/>
    <cellStyle name="40 % - Markeringsfarve6 3 2 2 2 2" xfId="6770" xr:uid="{00000000-0005-0000-0000-0000588A0000}"/>
    <cellStyle name="40 % - Markeringsfarve6 3 2 2 2 2 2" xfId="9877" xr:uid="{00000000-0005-0000-0000-0000598A0000}"/>
    <cellStyle name="40 % - Markeringsfarve6 3 2 2 2 2 2 2" xfId="17732" xr:uid="{00000000-0005-0000-0000-00005A8A0000}"/>
    <cellStyle name="40 % - Markeringsfarve6 3 2 2 2 2 2 2 2" xfId="34008" xr:uid="{00000000-0005-0000-0000-00005B8A0000}"/>
    <cellStyle name="40 % - Markeringsfarve6 3 2 2 2 2 2 2 3" xfId="48967" xr:uid="{00000000-0005-0000-0000-00005C8A0000}"/>
    <cellStyle name="40 % - Markeringsfarve6 3 2 2 2 2 2 3" xfId="27006" xr:uid="{00000000-0005-0000-0000-00005D8A0000}"/>
    <cellStyle name="40 % - Markeringsfarve6 3 2 2 2 2 2 4" xfId="41970" xr:uid="{00000000-0005-0000-0000-00005E8A0000}"/>
    <cellStyle name="40 % - Markeringsfarve6 3 2 2 2 2 3" xfId="15255" xr:uid="{00000000-0005-0000-0000-00005F8A0000}"/>
    <cellStyle name="40 % - Markeringsfarve6 3 2 2 2 2 3 2" xfId="31534" xr:uid="{00000000-0005-0000-0000-0000608A0000}"/>
    <cellStyle name="40 % - Markeringsfarve6 3 2 2 2 2 3 3" xfId="46494" xr:uid="{00000000-0005-0000-0000-0000618A0000}"/>
    <cellStyle name="40 % - Markeringsfarve6 3 2 2 2 2 4" xfId="24532" xr:uid="{00000000-0005-0000-0000-0000628A0000}"/>
    <cellStyle name="40 % - Markeringsfarve6 3 2 2 2 2 5" xfId="39497" xr:uid="{00000000-0005-0000-0000-0000638A0000}"/>
    <cellStyle name="40 % - Markeringsfarve6 3 2 2 2 3" xfId="8451" xr:uid="{00000000-0005-0000-0000-0000648A0000}"/>
    <cellStyle name="40 % - Markeringsfarve6 3 2 2 2 3 2" xfId="16321" xr:uid="{00000000-0005-0000-0000-0000658A0000}"/>
    <cellStyle name="40 % - Markeringsfarve6 3 2 2 2 3 2 2" xfId="32597" xr:uid="{00000000-0005-0000-0000-0000668A0000}"/>
    <cellStyle name="40 % - Markeringsfarve6 3 2 2 2 3 2 3" xfId="47556" xr:uid="{00000000-0005-0000-0000-0000678A0000}"/>
    <cellStyle name="40 % - Markeringsfarve6 3 2 2 2 3 3" xfId="25595" xr:uid="{00000000-0005-0000-0000-0000688A0000}"/>
    <cellStyle name="40 % - Markeringsfarve6 3 2 2 2 3 4" xfId="40559" xr:uid="{00000000-0005-0000-0000-0000698A0000}"/>
    <cellStyle name="40 % - Markeringsfarve6 3 2 2 2 4" xfId="15254" xr:uid="{00000000-0005-0000-0000-00006A8A0000}"/>
    <cellStyle name="40 % - Markeringsfarve6 3 2 2 2 4 2" xfId="31533" xr:uid="{00000000-0005-0000-0000-00006B8A0000}"/>
    <cellStyle name="40 % - Markeringsfarve6 3 2 2 2 4 3" xfId="46493" xr:uid="{00000000-0005-0000-0000-00006C8A0000}"/>
    <cellStyle name="40 % - Markeringsfarve6 3 2 2 2 5" xfId="24531" xr:uid="{00000000-0005-0000-0000-00006D8A0000}"/>
    <cellStyle name="40 % - Markeringsfarve6 3 2 2 2 6" xfId="39496" xr:uid="{00000000-0005-0000-0000-00006E8A0000}"/>
    <cellStyle name="40 % - Markeringsfarve6 3 2 2 3" xfId="6771" xr:uid="{00000000-0005-0000-0000-00006F8A0000}"/>
    <cellStyle name="40 % - Markeringsfarve6 3 2 2 3 2" xfId="9108" xr:uid="{00000000-0005-0000-0000-0000708A0000}"/>
    <cellStyle name="40 % - Markeringsfarve6 3 2 2 3 2 2" xfId="16972" xr:uid="{00000000-0005-0000-0000-0000718A0000}"/>
    <cellStyle name="40 % - Markeringsfarve6 3 2 2 3 2 2 2" xfId="33248" xr:uid="{00000000-0005-0000-0000-0000728A0000}"/>
    <cellStyle name="40 % - Markeringsfarve6 3 2 2 3 2 2 3" xfId="48207" xr:uid="{00000000-0005-0000-0000-0000738A0000}"/>
    <cellStyle name="40 % - Markeringsfarve6 3 2 2 3 2 3" xfId="26246" xr:uid="{00000000-0005-0000-0000-0000748A0000}"/>
    <cellStyle name="40 % - Markeringsfarve6 3 2 2 3 2 4" xfId="41210" xr:uid="{00000000-0005-0000-0000-0000758A0000}"/>
    <cellStyle name="40 % - Markeringsfarve6 3 2 2 3 3" xfId="15256" xr:uid="{00000000-0005-0000-0000-0000768A0000}"/>
    <cellStyle name="40 % - Markeringsfarve6 3 2 2 3 3 2" xfId="31535" xr:uid="{00000000-0005-0000-0000-0000778A0000}"/>
    <cellStyle name="40 % - Markeringsfarve6 3 2 2 3 3 3" xfId="46495" xr:uid="{00000000-0005-0000-0000-0000788A0000}"/>
    <cellStyle name="40 % - Markeringsfarve6 3 2 2 3 4" xfId="24533" xr:uid="{00000000-0005-0000-0000-0000798A0000}"/>
    <cellStyle name="40 % - Markeringsfarve6 3 2 2 3 5" xfId="39498" xr:uid="{00000000-0005-0000-0000-00007A8A0000}"/>
    <cellStyle name="40 % - Markeringsfarve6 3 2 2 4" xfId="6772" xr:uid="{00000000-0005-0000-0000-00007B8A0000}"/>
    <cellStyle name="40 % - Markeringsfarve6 3 2 2 4 2" xfId="10597" xr:uid="{00000000-0005-0000-0000-00007C8A0000}"/>
    <cellStyle name="40 % - Markeringsfarve6 3 2 2 4 2 2" xfId="18445" xr:uid="{00000000-0005-0000-0000-00007D8A0000}"/>
    <cellStyle name="40 % - Markeringsfarve6 3 2 2 4 2 2 2" xfId="34721" xr:uid="{00000000-0005-0000-0000-00007E8A0000}"/>
    <cellStyle name="40 % - Markeringsfarve6 3 2 2 4 2 2 3" xfId="49680" xr:uid="{00000000-0005-0000-0000-00007F8A0000}"/>
    <cellStyle name="40 % - Markeringsfarve6 3 2 2 4 2 3" xfId="27719" xr:uid="{00000000-0005-0000-0000-0000808A0000}"/>
    <cellStyle name="40 % - Markeringsfarve6 3 2 2 4 2 4" xfId="42683" xr:uid="{00000000-0005-0000-0000-0000818A0000}"/>
    <cellStyle name="40 % - Markeringsfarve6 3 2 2 4 3" xfId="15257" xr:uid="{00000000-0005-0000-0000-0000828A0000}"/>
    <cellStyle name="40 % - Markeringsfarve6 3 2 2 4 3 2" xfId="31536" xr:uid="{00000000-0005-0000-0000-0000838A0000}"/>
    <cellStyle name="40 % - Markeringsfarve6 3 2 2 4 3 3" xfId="46496" xr:uid="{00000000-0005-0000-0000-0000848A0000}"/>
    <cellStyle name="40 % - Markeringsfarve6 3 2 2 4 4" xfId="24534" xr:uid="{00000000-0005-0000-0000-0000858A0000}"/>
    <cellStyle name="40 % - Markeringsfarve6 3 2 2 4 5" xfId="39499" xr:uid="{00000000-0005-0000-0000-0000868A0000}"/>
    <cellStyle name="40 % - Markeringsfarve6 3 2 2 5" xfId="8264" xr:uid="{00000000-0005-0000-0000-0000878A0000}"/>
    <cellStyle name="40 % - Markeringsfarve6 3 2 2 5 2" xfId="16129" xr:uid="{00000000-0005-0000-0000-0000888A0000}"/>
    <cellStyle name="40 % - Markeringsfarve6 3 2 2 5 2 2" xfId="32405" xr:uid="{00000000-0005-0000-0000-0000898A0000}"/>
    <cellStyle name="40 % - Markeringsfarve6 3 2 2 5 2 3" xfId="47364" xr:uid="{00000000-0005-0000-0000-00008A8A0000}"/>
    <cellStyle name="40 % - Markeringsfarve6 3 2 2 5 3" xfId="25403" xr:uid="{00000000-0005-0000-0000-00008B8A0000}"/>
    <cellStyle name="40 % - Markeringsfarve6 3 2 2 5 4" xfId="40367" xr:uid="{00000000-0005-0000-0000-00008C8A0000}"/>
    <cellStyle name="40 % - Markeringsfarve6 3 2 2 6" xfId="15253" xr:uid="{00000000-0005-0000-0000-00008D8A0000}"/>
    <cellStyle name="40 % - Markeringsfarve6 3 2 2 6 2" xfId="31532" xr:uid="{00000000-0005-0000-0000-00008E8A0000}"/>
    <cellStyle name="40 % - Markeringsfarve6 3 2 2 6 3" xfId="46492" xr:uid="{00000000-0005-0000-0000-00008F8A0000}"/>
    <cellStyle name="40 % - Markeringsfarve6 3 2 2 7" xfId="24530" xr:uid="{00000000-0005-0000-0000-0000908A0000}"/>
    <cellStyle name="40 % - Markeringsfarve6 3 2 2 8" xfId="39495" xr:uid="{00000000-0005-0000-0000-0000918A0000}"/>
    <cellStyle name="40 % - Markeringsfarve6 3 2 3" xfId="6773" xr:uid="{00000000-0005-0000-0000-0000928A0000}"/>
    <cellStyle name="40 % - Markeringsfarve6 3 2 3 2" xfId="6774" xr:uid="{00000000-0005-0000-0000-0000938A0000}"/>
    <cellStyle name="40 % - Markeringsfarve6 3 2 3 2 2" xfId="6775" xr:uid="{00000000-0005-0000-0000-0000948A0000}"/>
    <cellStyle name="40 % - Markeringsfarve6 3 2 3 2 2 2" xfId="10035" xr:uid="{00000000-0005-0000-0000-0000958A0000}"/>
    <cellStyle name="40 % - Markeringsfarve6 3 2 3 2 2 2 2" xfId="17890" xr:uid="{00000000-0005-0000-0000-0000968A0000}"/>
    <cellStyle name="40 % - Markeringsfarve6 3 2 3 2 2 2 2 2" xfId="34166" xr:uid="{00000000-0005-0000-0000-0000978A0000}"/>
    <cellStyle name="40 % - Markeringsfarve6 3 2 3 2 2 2 2 3" xfId="49125" xr:uid="{00000000-0005-0000-0000-0000988A0000}"/>
    <cellStyle name="40 % - Markeringsfarve6 3 2 3 2 2 2 3" xfId="27164" xr:uid="{00000000-0005-0000-0000-0000998A0000}"/>
    <cellStyle name="40 % - Markeringsfarve6 3 2 3 2 2 2 4" xfId="42128" xr:uid="{00000000-0005-0000-0000-00009A8A0000}"/>
    <cellStyle name="40 % - Markeringsfarve6 3 2 3 2 2 3" xfId="15260" xr:uid="{00000000-0005-0000-0000-00009B8A0000}"/>
    <cellStyle name="40 % - Markeringsfarve6 3 2 3 2 2 3 2" xfId="31539" xr:uid="{00000000-0005-0000-0000-00009C8A0000}"/>
    <cellStyle name="40 % - Markeringsfarve6 3 2 3 2 2 3 3" xfId="46499" xr:uid="{00000000-0005-0000-0000-00009D8A0000}"/>
    <cellStyle name="40 % - Markeringsfarve6 3 2 3 2 2 4" xfId="24537" xr:uid="{00000000-0005-0000-0000-00009E8A0000}"/>
    <cellStyle name="40 % - Markeringsfarve6 3 2 3 2 2 5" xfId="39502" xr:uid="{00000000-0005-0000-0000-00009F8A0000}"/>
    <cellStyle name="40 % - Markeringsfarve6 3 2 3 2 3" xfId="8582" xr:uid="{00000000-0005-0000-0000-0000A08A0000}"/>
    <cellStyle name="40 % - Markeringsfarve6 3 2 3 2 3 2" xfId="16452" xr:uid="{00000000-0005-0000-0000-0000A18A0000}"/>
    <cellStyle name="40 % - Markeringsfarve6 3 2 3 2 3 2 2" xfId="32728" xr:uid="{00000000-0005-0000-0000-0000A28A0000}"/>
    <cellStyle name="40 % - Markeringsfarve6 3 2 3 2 3 2 3" xfId="47687" xr:uid="{00000000-0005-0000-0000-0000A38A0000}"/>
    <cellStyle name="40 % - Markeringsfarve6 3 2 3 2 3 3" xfId="25726" xr:uid="{00000000-0005-0000-0000-0000A48A0000}"/>
    <cellStyle name="40 % - Markeringsfarve6 3 2 3 2 3 4" xfId="40690" xr:uid="{00000000-0005-0000-0000-0000A58A0000}"/>
    <cellStyle name="40 % - Markeringsfarve6 3 2 3 2 4" xfId="15259" xr:uid="{00000000-0005-0000-0000-0000A68A0000}"/>
    <cellStyle name="40 % - Markeringsfarve6 3 2 3 2 4 2" xfId="31538" xr:uid="{00000000-0005-0000-0000-0000A78A0000}"/>
    <cellStyle name="40 % - Markeringsfarve6 3 2 3 2 4 3" xfId="46498" xr:uid="{00000000-0005-0000-0000-0000A88A0000}"/>
    <cellStyle name="40 % - Markeringsfarve6 3 2 3 2 5" xfId="24536" xr:uid="{00000000-0005-0000-0000-0000A98A0000}"/>
    <cellStyle name="40 % - Markeringsfarve6 3 2 3 2 6" xfId="39501" xr:uid="{00000000-0005-0000-0000-0000AA8A0000}"/>
    <cellStyle name="40 % - Markeringsfarve6 3 2 3 3" xfId="6776" xr:uid="{00000000-0005-0000-0000-0000AB8A0000}"/>
    <cellStyle name="40 % - Markeringsfarve6 3 2 3 3 2" xfId="9266" xr:uid="{00000000-0005-0000-0000-0000AC8A0000}"/>
    <cellStyle name="40 % - Markeringsfarve6 3 2 3 3 2 2" xfId="17130" xr:uid="{00000000-0005-0000-0000-0000AD8A0000}"/>
    <cellStyle name="40 % - Markeringsfarve6 3 2 3 3 2 2 2" xfId="33406" xr:uid="{00000000-0005-0000-0000-0000AE8A0000}"/>
    <cellStyle name="40 % - Markeringsfarve6 3 2 3 3 2 2 3" xfId="48365" xr:uid="{00000000-0005-0000-0000-0000AF8A0000}"/>
    <cellStyle name="40 % - Markeringsfarve6 3 2 3 3 2 3" xfId="26404" xr:uid="{00000000-0005-0000-0000-0000B08A0000}"/>
    <cellStyle name="40 % - Markeringsfarve6 3 2 3 3 2 4" xfId="41368" xr:uid="{00000000-0005-0000-0000-0000B18A0000}"/>
    <cellStyle name="40 % - Markeringsfarve6 3 2 3 3 3" xfId="15261" xr:uid="{00000000-0005-0000-0000-0000B28A0000}"/>
    <cellStyle name="40 % - Markeringsfarve6 3 2 3 3 3 2" xfId="31540" xr:uid="{00000000-0005-0000-0000-0000B38A0000}"/>
    <cellStyle name="40 % - Markeringsfarve6 3 2 3 3 3 3" xfId="46500" xr:uid="{00000000-0005-0000-0000-0000B48A0000}"/>
    <cellStyle name="40 % - Markeringsfarve6 3 2 3 3 4" xfId="24538" xr:uid="{00000000-0005-0000-0000-0000B58A0000}"/>
    <cellStyle name="40 % - Markeringsfarve6 3 2 3 3 5" xfId="39503" xr:uid="{00000000-0005-0000-0000-0000B68A0000}"/>
    <cellStyle name="40 % - Markeringsfarve6 3 2 3 4" xfId="6777" xr:uid="{00000000-0005-0000-0000-0000B78A0000}"/>
    <cellStyle name="40 % - Markeringsfarve6 3 2 3 4 2" xfId="10826" xr:uid="{00000000-0005-0000-0000-0000B88A0000}"/>
    <cellStyle name="40 % - Markeringsfarve6 3 2 3 4 2 2" xfId="18664" xr:uid="{00000000-0005-0000-0000-0000B98A0000}"/>
    <cellStyle name="40 % - Markeringsfarve6 3 2 3 4 2 2 2" xfId="34940" xr:uid="{00000000-0005-0000-0000-0000BA8A0000}"/>
    <cellStyle name="40 % - Markeringsfarve6 3 2 3 4 2 2 3" xfId="49899" xr:uid="{00000000-0005-0000-0000-0000BB8A0000}"/>
    <cellStyle name="40 % - Markeringsfarve6 3 2 3 4 2 3" xfId="27938" xr:uid="{00000000-0005-0000-0000-0000BC8A0000}"/>
    <cellStyle name="40 % - Markeringsfarve6 3 2 3 4 2 4" xfId="42902" xr:uid="{00000000-0005-0000-0000-0000BD8A0000}"/>
    <cellStyle name="40 % - Markeringsfarve6 3 2 3 4 3" xfId="15262" xr:uid="{00000000-0005-0000-0000-0000BE8A0000}"/>
    <cellStyle name="40 % - Markeringsfarve6 3 2 3 4 3 2" xfId="31541" xr:uid="{00000000-0005-0000-0000-0000BF8A0000}"/>
    <cellStyle name="40 % - Markeringsfarve6 3 2 3 4 3 3" xfId="46501" xr:uid="{00000000-0005-0000-0000-0000C08A0000}"/>
    <cellStyle name="40 % - Markeringsfarve6 3 2 3 4 4" xfId="24539" xr:uid="{00000000-0005-0000-0000-0000C18A0000}"/>
    <cellStyle name="40 % - Markeringsfarve6 3 2 3 4 5" xfId="39504" xr:uid="{00000000-0005-0000-0000-0000C28A0000}"/>
    <cellStyle name="40 % - Markeringsfarve6 3 2 3 5" xfId="8265" xr:uid="{00000000-0005-0000-0000-0000C38A0000}"/>
    <cellStyle name="40 % - Markeringsfarve6 3 2 3 5 2" xfId="16130" xr:uid="{00000000-0005-0000-0000-0000C48A0000}"/>
    <cellStyle name="40 % - Markeringsfarve6 3 2 3 5 2 2" xfId="32406" xr:uid="{00000000-0005-0000-0000-0000C58A0000}"/>
    <cellStyle name="40 % - Markeringsfarve6 3 2 3 5 2 3" xfId="47365" xr:uid="{00000000-0005-0000-0000-0000C68A0000}"/>
    <cellStyle name="40 % - Markeringsfarve6 3 2 3 5 3" xfId="25404" xr:uid="{00000000-0005-0000-0000-0000C78A0000}"/>
    <cellStyle name="40 % - Markeringsfarve6 3 2 3 5 4" xfId="40368" xr:uid="{00000000-0005-0000-0000-0000C88A0000}"/>
    <cellStyle name="40 % - Markeringsfarve6 3 2 3 6" xfId="15258" xr:uid="{00000000-0005-0000-0000-0000C98A0000}"/>
    <cellStyle name="40 % - Markeringsfarve6 3 2 3 6 2" xfId="31537" xr:uid="{00000000-0005-0000-0000-0000CA8A0000}"/>
    <cellStyle name="40 % - Markeringsfarve6 3 2 3 6 3" xfId="46497" xr:uid="{00000000-0005-0000-0000-0000CB8A0000}"/>
    <cellStyle name="40 % - Markeringsfarve6 3 2 3 7" xfId="24535" xr:uid="{00000000-0005-0000-0000-0000CC8A0000}"/>
    <cellStyle name="40 % - Markeringsfarve6 3 2 3 8" xfId="39500" xr:uid="{00000000-0005-0000-0000-0000CD8A0000}"/>
    <cellStyle name="40 % - Markeringsfarve6 3 2 4" xfId="6778" xr:uid="{00000000-0005-0000-0000-0000CE8A0000}"/>
    <cellStyle name="40 % - Markeringsfarve6 3 2 4 2" xfId="6779" xr:uid="{00000000-0005-0000-0000-0000CF8A0000}"/>
    <cellStyle name="40 % - Markeringsfarve6 3 2 4 2 2" xfId="6780" xr:uid="{00000000-0005-0000-0000-0000D08A0000}"/>
    <cellStyle name="40 % - Markeringsfarve6 3 2 4 2 2 2" xfId="10115" xr:uid="{00000000-0005-0000-0000-0000D18A0000}"/>
    <cellStyle name="40 % - Markeringsfarve6 3 2 4 2 2 2 2" xfId="17970" xr:uid="{00000000-0005-0000-0000-0000D28A0000}"/>
    <cellStyle name="40 % - Markeringsfarve6 3 2 4 2 2 2 2 2" xfId="34246" xr:uid="{00000000-0005-0000-0000-0000D38A0000}"/>
    <cellStyle name="40 % - Markeringsfarve6 3 2 4 2 2 2 2 3" xfId="49205" xr:uid="{00000000-0005-0000-0000-0000D48A0000}"/>
    <cellStyle name="40 % - Markeringsfarve6 3 2 4 2 2 2 3" xfId="27244" xr:uid="{00000000-0005-0000-0000-0000D58A0000}"/>
    <cellStyle name="40 % - Markeringsfarve6 3 2 4 2 2 2 4" xfId="42208" xr:uid="{00000000-0005-0000-0000-0000D68A0000}"/>
    <cellStyle name="40 % - Markeringsfarve6 3 2 4 2 2 3" xfId="15265" xr:uid="{00000000-0005-0000-0000-0000D78A0000}"/>
    <cellStyle name="40 % - Markeringsfarve6 3 2 4 2 2 3 2" xfId="31544" xr:uid="{00000000-0005-0000-0000-0000D88A0000}"/>
    <cellStyle name="40 % - Markeringsfarve6 3 2 4 2 2 3 3" xfId="46504" xr:uid="{00000000-0005-0000-0000-0000D98A0000}"/>
    <cellStyle name="40 % - Markeringsfarve6 3 2 4 2 2 4" xfId="24542" xr:uid="{00000000-0005-0000-0000-0000DA8A0000}"/>
    <cellStyle name="40 % - Markeringsfarve6 3 2 4 2 2 5" xfId="39507" xr:uid="{00000000-0005-0000-0000-0000DB8A0000}"/>
    <cellStyle name="40 % - Markeringsfarve6 3 2 4 2 3" xfId="8653" xr:uid="{00000000-0005-0000-0000-0000DC8A0000}"/>
    <cellStyle name="40 % - Markeringsfarve6 3 2 4 2 3 2" xfId="16520" xr:uid="{00000000-0005-0000-0000-0000DD8A0000}"/>
    <cellStyle name="40 % - Markeringsfarve6 3 2 4 2 3 2 2" xfId="32796" xr:uid="{00000000-0005-0000-0000-0000DE8A0000}"/>
    <cellStyle name="40 % - Markeringsfarve6 3 2 4 2 3 2 3" xfId="47755" xr:uid="{00000000-0005-0000-0000-0000DF8A0000}"/>
    <cellStyle name="40 % - Markeringsfarve6 3 2 4 2 3 3" xfId="25794" xr:uid="{00000000-0005-0000-0000-0000E08A0000}"/>
    <cellStyle name="40 % - Markeringsfarve6 3 2 4 2 3 4" xfId="40758" xr:uid="{00000000-0005-0000-0000-0000E18A0000}"/>
    <cellStyle name="40 % - Markeringsfarve6 3 2 4 2 4" xfId="15264" xr:uid="{00000000-0005-0000-0000-0000E28A0000}"/>
    <cellStyle name="40 % - Markeringsfarve6 3 2 4 2 4 2" xfId="31543" xr:uid="{00000000-0005-0000-0000-0000E38A0000}"/>
    <cellStyle name="40 % - Markeringsfarve6 3 2 4 2 4 3" xfId="46503" xr:uid="{00000000-0005-0000-0000-0000E48A0000}"/>
    <cellStyle name="40 % - Markeringsfarve6 3 2 4 2 5" xfId="24541" xr:uid="{00000000-0005-0000-0000-0000E58A0000}"/>
    <cellStyle name="40 % - Markeringsfarve6 3 2 4 2 6" xfId="39506" xr:uid="{00000000-0005-0000-0000-0000E68A0000}"/>
    <cellStyle name="40 % - Markeringsfarve6 3 2 4 3" xfId="6781" xr:uid="{00000000-0005-0000-0000-0000E78A0000}"/>
    <cellStyle name="40 % - Markeringsfarve6 3 2 4 3 2" xfId="9392" xr:uid="{00000000-0005-0000-0000-0000E88A0000}"/>
    <cellStyle name="40 % - Markeringsfarve6 3 2 4 3 2 2" xfId="17255" xr:uid="{00000000-0005-0000-0000-0000E98A0000}"/>
    <cellStyle name="40 % - Markeringsfarve6 3 2 4 3 2 2 2" xfId="33531" xr:uid="{00000000-0005-0000-0000-0000EA8A0000}"/>
    <cellStyle name="40 % - Markeringsfarve6 3 2 4 3 2 2 3" xfId="48490" xr:uid="{00000000-0005-0000-0000-0000EB8A0000}"/>
    <cellStyle name="40 % - Markeringsfarve6 3 2 4 3 2 3" xfId="26529" xr:uid="{00000000-0005-0000-0000-0000EC8A0000}"/>
    <cellStyle name="40 % - Markeringsfarve6 3 2 4 3 2 4" xfId="41493" xr:uid="{00000000-0005-0000-0000-0000ED8A0000}"/>
    <cellStyle name="40 % - Markeringsfarve6 3 2 4 3 3" xfId="15266" xr:uid="{00000000-0005-0000-0000-0000EE8A0000}"/>
    <cellStyle name="40 % - Markeringsfarve6 3 2 4 3 3 2" xfId="31545" xr:uid="{00000000-0005-0000-0000-0000EF8A0000}"/>
    <cellStyle name="40 % - Markeringsfarve6 3 2 4 3 3 3" xfId="46505" xr:uid="{00000000-0005-0000-0000-0000F08A0000}"/>
    <cellStyle name="40 % - Markeringsfarve6 3 2 4 3 4" xfId="24543" xr:uid="{00000000-0005-0000-0000-0000F18A0000}"/>
    <cellStyle name="40 % - Markeringsfarve6 3 2 4 3 5" xfId="39508" xr:uid="{00000000-0005-0000-0000-0000F28A0000}"/>
    <cellStyle name="40 % - Markeringsfarve6 3 2 4 4" xfId="6782" xr:uid="{00000000-0005-0000-0000-0000F38A0000}"/>
    <cellStyle name="40 % - Markeringsfarve6 3 2 4 4 2" xfId="10476" xr:uid="{00000000-0005-0000-0000-0000F48A0000}"/>
    <cellStyle name="40 % - Markeringsfarve6 3 2 4 4 2 2" xfId="18325" xr:uid="{00000000-0005-0000-0000-0000F58A0000}"/>
    <cellStyle name="40 % - Markeringsfarve6 3 2 4 4 2 2 2" xfId="34601" xr:uid="{00000000-0005-0000-0000-0000F68A0000}"/>
    <cellStyle name="40 % - Markeringsfarve6 3 2 4 4 2 2 3" xfId="49560" xr:uid="{00000000-0005-0000-0000-0000F78A0000}"/>
    <cellStyle name="40 % - Markeringsfarve6 3 2 4 4 2 3" xfId="27599" xr:uid="{00000000-0005-0000-0000-0000F88A0000}"/>
    <cellStyle name="40 % - Markeringsfarve6 3 2 4 4 2 4" xfId="42563" xr:uid="{00000000-0005-0000-0000-0000F98A0000}"/>
    <cellStyle name="40 % - Markeringsfarve6 3 2 4 4 3" xfId="15267" xr:uid="{00000000-0005-0000-0000-0000FA8A0000}"/>
    <cellStyle name="40 % - Markeringsfarve6 3 2 4 4 3 2" xfId="31546" xr:uid="{00000000-0005-0000-0000-0000FB8A0000}"/>
    <cellStyle name="40 % - Markeringsfarve6 3 2 4 4 3 3" xfId="46506" xr:uid="{00000000-0005-0000-0000-0000FC8A0000}"/>
    <cellStyle name="40 % - Markeringsfarve6 3 2 4 4 4" xfId="24544" xr:uid="{00000000-0005-0000-0000-0000FD8A0000}"/>
    <cellStyle name="40 % - Markeringsfarve6 3 2 4 4 5" xfId="39509" xr:uid="{00000000-0005-0000-0000-0000FE8A0000}"/>
    <cellStyle name="40 % - Markeringsfarve6 3 2 4 5" xfId="8266" xr:uid="{00000000-0005-0000-0000-0000FF8A0000}"/>
    <cellStyle name="40 % - Markeringsfarve6 3 2 4 5 2" xfId="16131" xr:uid="{00000000-0005-0000-0000-0000008B0000}"/>
    <cellStyle name="40 % - Markeringsfarve6 3 2 4 5 2 2" xfId="32407" xr:uid="{00000000-0005-0000-0000-0000018B0000}"/>
    <cellStyle name="40 % - Markeringsfarve6 3 2 4 5 2 3" xfId="47366" xr:uid="{00000000-0005-0000-0000-0000028B0000}"/>
    <cellStyle name="40 % - Markeringsfarve6 3 2 4 5 3" xfId="25405" xr:uid="{00000000-0005-0000-0000-0000038B0000}"/>
    <cellStyle name="40 % - Markeringsfarve6 3 2 4 5 4" xfId="40369" xr:uid="{00000000-0005-0000-0000-0000048B0000}"/>
    <cellStyle name="40 % - Markeringsfarve6 3 2 4 6" xfId="15263" xr:uid="{00000000-0005-0000-0000-0000058B0000}"/>
    <cellStyle name="40 % - Markeringsfarve6 3 2 4 6 2" xfId="31542" xr:uid="{00000000-0005-0000-0000-0000068B0000}"/>
    <cellStyle name="40 % - Markeringsfarve6 3 2 4 6 3" xfId="46502" xr:uid="{00000000-0005-0000-0000-0000078B0000}"/>
    <cellStyle name="40 % - Markeringsfarve6 3 2 4 7" xfId="24540" xr:uid="{00000000-0005-0000-0000-0000088B0000}"/>
    <cellStyle name="40 % - Markeringsfarve6 3 2 4 8" xfId="39505" xr:uid="{00000000-0005-0000-0000-0000098B0000}"/>
    <cellStyle name="40 % - Markeringsfarve6 3 2 5" xfId="6783" xr:uid="{00000000-0005-0000-0000-00000A8B0000}"/>
    <cellStyle name="40 % - Markeringsfarve6 3 2 5 2" xfId="6784" xr:uid="{00000000-0005-0000-0000-00000B8B0000}"/>
    <cellStyle name="40 % - Markeringsfarve6 3 2 5 2 2" xfId="6785" xr:uid="{00000000-0005-0000-0000-00000C8B0000}"/>
    <cellStyle name="40 % - Markeringsfarve6 3 2 5 2 2 2" xfId="10232" xr:uid="{00000000-0005-0000-0000-00000D8B0000}"/>
    <cellStyle name="40 % - Markeringsfarve6 3 2 5 2 2 2 2" xfId="18087" xr:uid="{00000000-0005-0000-0000-00000E8B0000}"/>
    <cellStyle name="40 % - Markeringsfarve6 3 2 5 2 2 2 2 2" xfId="34363" xr:uid="{00000000-0005-0000-0000-00000F8B0000}"/>
    <cellStyle name="40 % - Markeringsfarve6 3 2 5 2 2 2 2 3" xfId="49322" xr:uid="{00000000-0005-0000-0000-0000108B0000}"/>
    <cellStyle name="40 % - Markeringsfarve6 3 2 5 2 2 2 3" xfId="27361" xr:uid="{00000000-0005-0000-0000-0000118B0000}"/>
    <cellStyle name="40 % - Markeringsfarve6 3 2 5 2 2 2 4" xfId="42325" xr:uid="{00000000-0005-0000-0000-0000128B0000}"/>
    <cellStyle name="40 % - Markeringsfarve6 3 2 5 2 2 3" xfId="15270" xr:uid="{00000000-0005-0000-0000-0000138B0000}"/>
    <cellStyle name="40 % - Markeringsfarve6 3 2 5 2 2 3 2" xfId="31549" xr:uid="{00000000-0005-0000-0000-0000148B0000}"/>
    <cellStyle name="40 % - Markeringsfarve6 3 2 5 2 2 3 3" xfId="46509" xr:uid="{00000000-0005-0000-0000-0000158B0000}"/>
    <cellStyle name="40 % - Markeringsfarve6 3 2 5 2 2 4" xfId="24547" xr:uid="{00000000-0005-0000-0000-0000168B0000}"/>
    <cellStyle name="40 % - Markeringsfarve6 3 2 5 2 2 5" xfId="39512" xr:uid="{00000000-0005-0000-0000-0000178B0000}"/>
    <cellStyle name="40 % - Markeringsfarve6 3 2 5 2 3" xfId="8752" xr:uid="{00000000-0005-0000-0000-0000188B0000}"/>
    <cellStyle name="40 % - Markeringsfarve6 3 2 5 2 3 2" xfId="16619" xr:uid="{00000000-0005-0000-0000-0000198B0000}"/>
    <cellStyle name="40 % - Markeringsfarve6 3 2 5 2 3 2 2" xfId="32895" xr:uid="{00000000-0005-0000-0000-00001A8B0000}"/>
    <cellStyle name="40 % - Markeringsfarve6 3 2 5 2 3 2 3" xfId="47854" xr:uid="{00000000-0005-0000-0000-00001B8B0000}"/>
    <cellStyle name="40 % - Markeringsfarve6 3 2 5 2 3 3" xfId="25893" xr:uid="{00000000-0005-0000-0000-00001C8B0000}"/>
    <cellStyle name="40 % - Markeringsfarve6 3 2 5 2 3 4" xfId="40857" xr:uid="{00000000-0005-0000-0000-00001D8B0000}"/>
    <cellStyle name="40 % - Markeringsfarve6 3 2 5 2 4" xfId="15269" xr:uid="{00000000-0005-0000-0000-00001E8B0000}"/>
    <cellStyle name="40 % - Markeringsfarve6 3 2 5 2 4 2" xfId="31548" xr:uid="{00000000-0005-0000-0000-00001F8B0000}"/>
    <cellStyle name="40 % - Markeringsfarve6 3 2 5 2 4 3" xfId="46508" xr:uid="{00000000-0005-0000-0000-0000208B0000}"/>
    <cellStyle name="40 % - Markeringsfarve6 3 2 5 2 5" xfId="24546" xr:uid="{00000000-0005-0000-0000-0000218B0000}"/>
    <cellStyle name="40 % - Markeringsfarve6 3 2 5 2 6" xfId="39511" xr:uid="{00000000-0005-0000-0000-0000228B0000}"/>
    <cellStyle name="40 % - Markeringsfarve6 3 2 5 3" xfId="6786" xr:uid="{00000000-0005-0000-0000-0000238B0000}"/>
    <cellStyle name="40 % - Markeringsfarve6 3 2 5 3 2" xfId="9509" xr:uid="{00000000-0005-0000-0000-0000248B0000}"/>
    <cellStyle name="40 % - Markeringsfarve6 3 2 5 3 2 2" xfId="17372" xr:uid="{00000000-0005-0000-0000-0000258B0000}"/>
    <cellStyle name="40 % - Markeringsfarve6 3 2 5 3 2 2 2" xfId="33648" xr:uid="{00000000-0005-0000-0000-0000268B0000}"/>
    <cellStyle name="40 % - Markeringsfarve6 3 2 5 3 2 2 3" xfId="48607" xr:uid="{00000000-0005-0000-0000-0000278B0000}"/>
    <cellStyle name="40 % - Markeringsfarve6 3 2 5 3 2 3" xfId="26646" xr:uid="{00000000-0005-0000-0000-0000288B0000}"/>
    <cellStyle name="40 % - Markeringsfarve6 3 2 5 3 2 4" xfId="41610" xr:uid="{00000000-0005-0000-0000-0000298B0000}"/>
    <cellStyle name="40 % - Markeringsfarve6 3 2 5 3 3" xfId="15271" xr:uid="{00000000-0005-0000-0000-00002A8B0000}"/>
    <cellStyle name="40 % - Markeringsfarve6 3 2 5 3 3 2" xfId="31550" xr:uid="{00000000-0005-0000-0000-00002B8B0000}"/>
    <cellStyle name="40 % - Markeringsfarve6 3 2 5 3 3 3" xfId="46510" xr:uid="{00000000-0005-0000-0000-00002C8B0000}"/>
    <cellStyle name="40 % - Markeringsfarve6 3 2 5 3 4" xfId="24548" xr:uid="{00000000-0005-0000-0000-00002D8B0000}"/>
    <cellStyle name="40 % - Markeringsfarve6 3 2 5 3 5" xfId="39513" xr:uid="{00000000-0005-0000-0000-00002E8B0000}"/>
    <cellStyle name="40 % - Markeringsfarve6 3 2 5 4" xfId="6787" xr:uid="{00000000-0005-0000-0000-00002F8B0000}"/>
    <cellStyle name="40 % - Markeringsfarve6 3 2 5 4 2" xfId="10782" xr:uid="{00000000-0005-0000-0000-0000308B0000}"/>
    <cellStyle name="40 % - Markeringsfarve6 3 2 5 4 2 2" xfId="18624" xr:uid="{00000000-0005-0000-0000-0000318B0000}"/>
    <cellStyle name="40 % - Markeringsfarve6 3 2 5 4 2 2 2" xfId="34900" xr:uid="{00000000-0005-0000-0000-0000328B0000}"/>
    <cellStyle name="40 % - Markeringsfarve6 3 2 5 4 2 2 3" xfId="49859" xr:uid="{00000000-0005-0000-0000-0000338B0000}"/>
    <cellStyle name="40 % - Markeringsfarve6 3 2 5 4 2 3" xfId="27898" xr:uid="{00000000-0005-0000-0000-0000348B0000}"/>
    <cellStyle name="40 % - Markeringsfarve6 3 2 5 4 2 4" xfId="42862" xr:uid="{00000000-0005-0000-0000-0000358B0000}"/>
    <cellStyle name="40 % - Markeringsfarve6 3 2 5 4 3" xfId="15272" xr:uid="{00000000-0005-0000-0000-0000368B0000}"/>
    <cellStyle name="40 % - Markeringsfarve6 3 2 5 4 3 2" xfId="31551" xr:uid="{00000000-0005-0000-0000-0000378B0000}"/>
    <cellStyle name="40 % - Markeringsfarve6 3 2 5 4 3 3" xfId="46511" xr:uid="{00000000-0005-0000-0000-0000388B0000}"/>
    <cellStyle name="40 % - Markeringsfarve6 3 2 5 4 4" xfId="24549" xr:uid="{00000000-0005-0000-0000-0000398B0000}"/>
    <cellStyle name="40 % - Markeringsfarve6 3 2 5 4 5" xfId="39514" xr:uid="{00000000-0005-0000-0000-00003A8B0000}"/>
    <cellStyle name="40 % - Markeringsfarve6 3 2 5 5" xfId="8267" xr:uid="{00000000-0005-0000-0000-00003B8B0000}"/>
    <cellStyle name="40 % - Markeringsfarve6 3 2 5 5 2" xfId="16132" xr:uid="{00000000-0005-0000-0000-00003C8B0000}"/>
    <cellStyle name="40 % - Markeringsfarve6 3 2 5 5 2 2" xfId="32408" xr:uid="{00000000-0005-0000-0000-00003D8B0000}"/>
    <cellStyle name="40 % - Markeringsfarve6 3 2 5 5 2 3" xfId="47367" xr:uid="{00000000-0005-0000-0000-00003E8B0000}"/>
    <cellStyle name="40 % - Markeringsfarve6 3 2 5 5 3" xfId="25406" xr:uid="{00000000-0005-0000-0000-00003F8B0000}"/>
    <cellStyle name="40 % - Markeringsfarve6 3 2 5 5 4" xfId="40370" xr:uid="{00000000-0005-0000-0000-0000408B0000}"/>
    <cellStyle name="40 % - Markeringsfarve6 3 2 5 6" xfId="15268" xr:uid="{00000000-0005-0000-0000-0000418B0000}"/>
    <cellStyle name="40 % - Markeringsfarve6 3 2 5 6 2" xfId="31547" xr:uid="{00000000-0005-0000-0000-0000428B0000}"/>
    <cellStyle name="40 % - Markeringsfarve6 3 2 5 6 3" xfId="46507" xr:uid="{00000000-0005-0000-0000-0000438B0000}"/>
    <cellStyle name="40 % - Markeringsfarve6 3 2 5 7" xfId="24545" xr:uid="{00000000-0005-0000-0000-0000448B0000}"/>
    <cellStyle name="40 % - Markeringsfarve6 3 2 5 8" xfId="39510" xr:uid="{00000000-0005-0000-0000-0000458B0000}"/>
    <cellStyle name="40 % - Markeringsfarve6 3 2 6" xfId="6788" xr:uid="{00000000-0005-0000-0000-0000468B0000}"/>
    <cellStyle name="40 % - Markeringsfarve6 3 2 6 2" xfId="6789" xr:uid="{00000000-0005-0000-0000-0000478B0000}"/>
    <cellStyle name="40 % - Markeringsfarve6 3 2 6 2 2" xfId="6790" xr:uid="{00000000-0005-0000-0000-0000488B0000}"/>
    <cellStyle name="40 % - Markeringsfarve6 3 2 6 2 2 2" xfId="10389" xr:uid="{00000000-0005-0000-0000-0000498B0000}"/>
    <cellStyle name="40 % - Markeringsfarve6 3 2 6 2 2 2 2" xfId="18244" xr:uid="{00000000-0005-0000-0000-00004A8B0000}"/>
    <cellStyle name="40 % - Markeringsfarve6 3 2 6 2 2 2 2 2" xfId="34520" xr:uid="{00000000-0005-0000-0000-00004B8B0000}"/>
    <cellStyle name="40 % - Markeringsfarve6 3 2 6 2 2 2 2 3" xfId="49479" xr:uid="{00000000-0005-0000-0000-00004C8B0000}"/>
    <cellStyle name="40 % - Markeringsfarve6 3 2 6 2 2 2 3" xfId="27518" xr:uid="{00000000-0005-0000-0000-00004D8B0000}"/>
    <cellStyle name="40 % - Markeringsfarve6 3 2 6 2 2 2 4" xfId="42482" xr:uid="{00000000-0005-0000-0000-00004E8B0000}"/>
    <cellStyle name="40 % - Markeringsfarve6 3 2 6 2 2 3" xfId="15275" xr:uid="{00000000-0005-0000-0000-00004F8B0000}"/>
    <cellStyle name="40 % - Markeringsfarve6 3 2 6 2 2 3 2" xfId="31554" xr:uid="{00000000-0005-0000-0000-0000508B0000}"/>
    <cellStyle name="40 % - Markeringsfarve6 3 2 6 2 2 3 3" xfId="46514" xr:uid="{00000000-0005-0000-0000-0000518B0000}"/>
    <cellStyle name="40 % - Markeringsfarve6 3 2 6 2 2 4" xfId="24552" xr:uid="{00000000-0005-0000-0000-0000528B0000}"/>
    <cellStyle name="40 % - Markeringsfarve6 3 2 6 2 2 5" xfId="39517" xr:uid="{00000000-0005-0000-0000-0000538B0000}"/>
    <cellStyle name="40 % - Markeringsfarve6 3 2 6 2 3" xfId="8883" xr:uid="{00000000-0005-0000-0000-0000548B0000}"/>
    <cellStyle name="40 % - Markeringsfarve6 3 2 6 2 3 2" xfId="16750" xr:uid="{00000000-0005-0000-0000-0000558B0000}"/>
    <cellStyle name="40 % - Markeringsfarve6 3 2 6 2 3 2 2" xfId="33026" xr:uid="{00000000-0005-0000-0000-0000568B0000}"/>
    <cellStyle name="40 % - Markeringsfarve6 3 2 6 2 3 2 3" xfId="47985" xr:uid="{00000000-0005-0000-0000-0000578B0000}"/>
    <cellStyle name="40 % - Markeringsfarve6 3 2 6 2 3 3" xfId="26024" xr:uid="{00000000-0005-0000-0000-0000588B0000}"/>
    <cellStyle name="40 % - Markeringsfarve6 3 2 6 2 3 4" xfId="40988" xr:uid="{00000000-0005-0000-0000-0000598B0000}"/>
    <cellStyle name="40 % - Markeringsfarve6 3 2 6 2 4" xfId="15274" xr:uid="{00000000-0005-0000-0000-00005A8B0000}"/>
    <cellStyle name="40 % - Markeringsfarve6 3 2 6 2 4 2" xfId="31553" xr:uid="{00000000-0005-0000-0000-00005B8B0000}"/>
    <cellStyle name="40 % - Markeringsfarve6 3 2 6 2 4 3" xfId="46513" xr:uid="{00000000-0005-0000-0000-00005C8B0000}"/>
    <cellStyle name="40 % - Markeringsfarve6 3 2 6 2 5" xfId="24551" xr:uid="{00000000-0005-0000-0000-00005D8B0000}"/>
    <cellStyle name="40 % - Markeringsfarve6 3 2 6 2 6" xfId="39516" xr:uid="{00000000-0005-0000-0000-00005E8B0000}"/>
    <cellStyle name="40 % - Markeringsfarve6 3 2 6 3" xfId="6791" xr:uid="{00000000-0005-0000-0000-00005F8B0000}"/>
    <cellStyle name="40 % - Markeringsfarve6 3 2 6 3 2" xfId="9667" xr:uid="{00000000-0005-0000-0000-0000608B0000}"/>
    <cellStyle name="40 % - Markeringsfarve6 3 2 6 3 2 2" xfId="17530" xr:uid="{00000000-0005-0000-0000-0000618B0000}"/>
    <cellStyle name="40 % - Markeringsfarve6 3 2 6 3 2 2 2" xfId="33806" xr:uid="{00000000-0005-0000-0000-0000628B0000}"/>
    <cellStyle name="40 % - Markeringsfarve6 3 2 6 3 2 2 3" xfId="48765" xr:uid="{00000000-0005-0000-0000-0000638B0000}"/>
    <cellStyle name="40 % - Markeringsfarve6 3 2 6 3 2 3" xfId="26804" xr:uid="{00000000-0005-0000-0000-0000648B0000}"/>
    <cellStyle name="40 % - Markeringsfarve6 3 2 6 3 2 4" xfId="41768" xr:uid="{00000000-0005-0000-0000-0000658B0000}"/>
    <cellStyle name="40 % - Markeringsfarve6 3 2 6 3 3" xfId="15276" xr:uid="{00000000-0005-0000-0000-0000668B0000}"/>
    <cellStyle name="40 % - Markeringsfarve6 3 2 6 3 3 2" xfId="31555" xr:uid="{00000000-0005-0000-0000-0000678B0000}"/>
    <cellStyle name="40 % - Markeringsfarve6 3 2 6 3 3 3" xfId="46515" xr:uid="{00000000-0005-0000-0000-0000688B0000}"/>
    <cellStyle name="40 % - Markeringsfarve6 3 2 6 3 4" xfId="24553" xr:uid="{00000000-0005-0000-0000-0000698B0000}"/>
    <cellStyle name="40 % - Markeringsfarve6 3 2 6 3 5" xfId="39518" xr:uid="{00000000-0005-0000-0000-00006A8B0000}"/>
    <cellStyle name="40 % - Markeringsfarve6 3 2 6 4" xfId="6792" xr:uid="{00000000-0005-0000-0000-00006B8B0000}"/>
    <cellStyle name="40 % - Markeringsfarve6 3 2 6 4 2" xfId="10431" xr:uid="{00000000-0005-0000-0000-00006C8B0000}"/>
    <cellStyle name="40 % - Markeringsfarve6 3 2 6 4 2 2" xfId="18283" xr:uid="{00000000-0005-0000-0000-00006D8B0000}"/>
    <cellStyle name="40 % - Markeringsfarve6 3 2 6 4 2 2 2" xfId="34559" xr:uid="{00000000-0005-0000-0000-00006E8B0000}"/>
    <cellStyle name="40 % - Markeringsfarve6 3 2 6 4 2 2 3" xfId="49518" xr:uid="{00000000-0005-0000-0000-00006F8B0000}"/>
    <cellStyle name="40 % - Markeringsfarve6 3 2 6 4 2 3" xfId="27557" xr:uid="{00000000-0005-0000-0000-0000708B0000}"/>
    <cellStyle name="40 % - Markeringsfarve6 3 2 6 4 2 4" xfId="42521" xr:uid="{00000000-0005-0000-0000-0000718B0000}"/>
    <cellStyle name="40 % - Markeringsfarve6 3 2 6 4 3" xfId="15277" xr:uid="{00000000-0005-0000-0000-0000728B0000}"/>
    <cellStyle name="40 % - Markeringsfarve6 3 2 6 4 3 2" xfId="31556" xr:uid="{00000000-0005-0000-0000-0000738B0000}"/>
    <cellStyle name="40 % - Markeringsfarve6 3 2 6 4 3 3" xfId="46516" xr:uid="{00000000-0005-0000-0000-0000748B0000}"/>
    <cellStyle name="40 % - Markeringsfarve6 3 2 6 4 4" xfId="24554" xr:uid="{00000000-0005-0000-0000-0000758B0000}"/>
    <cellStyle name="40 % - Markeringsfarve6 3 2 6 4 5" xfId="39519" xr:uid="{00000000-0005-0000-0000-0000768B0000}"/>
    <cellStyle name="40 % - Markeringsfarve6 3 2 6 5" xfId="8268" xr:uid="{00000000-0005-0000-0000-0000778B0000}"/>
    <cellStyle name="40 % - Markeringsfarve6 3 2 6 5 2" xfId="16133" xr:uid="{00000000-0005-0000-0000-0000788B0000}"/>
    <cellStyle name="40 % - Markeringsfarve6 3 2 6 5 2 2" xfId="32409" xr:uid="{00000000-0005-0000-0000-0000798B0000}"/>
    <cellStyle name="40 % - Markeringsfarve6 3 2 6 5 2 3" xfId="47368" xr:uid="{00000000-0005-0000-0000-00007A8B0000}"/>
    <cellStyle name="40 % - Markeringsfarve6 3 2 6 5 3" xfId="25407" xr:uid="{00000000-0005-0000-0000-00007B8B0000}"/>
    <cellStyle name="40 % - Markeringsfarve6 3 2 6 5 4" xfId="40371" xr:uid="{00000000-0005-0000-0000-00007C8B0000}"/>
    <cellStyle name="40 % - Markeringsfarve6 3 2 6 6" xfId="15273" xr:uid="{00000000-0005-0000-0000-00007D8B0000}"/>
    <cellStyle name="40 % - Markeringsfarve6 3 2 6 6 2" xfId="31552" xr:uid="{00000000-0005-0000-0000-00007E8B0000}"/>
    <cellStyle name="40 % - Markeringsfarve6 3 2 6 6 3" xfId="46512" xr:uid="{00000000-0005-0000-0000-00007F8B0000}"/>
    <cellStyle name="40 % - Markeringsfarve6 3 2 6 7" xfId="24550" xr:uid="{00000000-0005-0000-0000-0000808B0000}"/>
    <cellStyle name="40 % - Markeringsfarve6 3 2 6 8" xfId="39515" xr:uid="{00000000-0005-0000-0000-0000818B0000}"/>
    <cellStyle name="40 % - Markeringsfarve6 3 2 7" xfId="6793" xr:uid="{00000000-0005-0000-0000-0000828B0000}"/>
    <cellStyle name="40 % - Markeringsfarve6 3 2 7 2" xfId="6794" xr:uid="{00000000-0005-0000-0000-0000838B0000}"/>
    <cellStyle name="40 % - Markeringsfarve6 3 2 7 2 2" xfId="9759" xr:uid="{00000000-0005-0000-0000-0000848B0000}"/>
    <cellStyle name="40 % - Markeringsfarve6 3 2 7 2 2 2" xfId="17613" xr:uid="{00000000-0005-0000-0000-0000858B0000}"/>
    <cellStyle name="40 % - Markeringsfarve6 3 2 7 2 2 2 2" xfId="33889" xr:uid="{00000000-0005-0000-0000-0000868B0000}"/>
    <cellStyle name="40 % - Markeringsfarve6 3 2 7 2 2 2 3" xfId="48848" xr:uid="{00000000-0005-0000-0000-0000878B0000}"/>
    <cellStyle name="40 % - Markeringsfarve6 3 2 7 2 2 3" xfId="26887" xr:uid="{00000000-0005-0000-0000-0000888B0000}"/>
    <cellStyle name="40 % - Markeringsfarve6 3 2 7 2 2 4" xfId="41851" xr:uid="{00000000-0005-0000-0000-0000898B0000}"/>
    <cellStyle name="40 % - Markeringsfarve6 3 2 7 2 3" xfId="15279" xr:uid="{00000000-0005-0000-0000-00008A8B0000}"/>
    <cellStyle name="40 % - Markeringsfarve6 3 2 7 2 3 2" xfId="31558" xr:uid="{00000000-0005-0000-0000-00008B8B0000}"/>
    <cellStyle name="40 % - Markeringsfarve6 3 2 7 2 3 3" xfId="46518" xr:uid="{00000000-0005-0000-0000-00008C8B0000}"/>
    <cellStyle name="40 % - Markeringsfarve6 3 2 7 2 4" xfId="24556" xr:uid="{00000000-0005-0000-0000-00008D8B0000}"/>
    <cellStyle name="40 % - Markeringsfarve6 3 2 7 2 5" xfId="39521" xr:uid="{00000000-0005-0000-0000-00008E8B0000}"/>
    <cellStyle name="40 % - Markeringsfarve6 3 2 7 3" xfId="8352" xr:uid="{00000000-0005-0000-0000-00008F8B0000}"/>
    <cellStyle name="40 % - Markeringsfarve6 3 2 7 3 2" xfId="16222" xr:uid="{00000000-0005-0000-0000-0000908B0000}"/>
    <cellStyle name="40 % - Markeringsfarve6 3 2 7 3 2 2" xfId="32498" xr:uid="{00000000-0005-0000-0000-0000918B0000}"/>
    <cellStyle name="40 % - Markeringsfarve6 3 2 7 3 2 3" xfId="47457" xr:uid="{00000000-0005-0000-0000-0000928B0000}"/>
    <cellStyle name="40 % - Markeringsfarve6 3 2 7 3 3" xfId="25496" xr:uid="{00000000-0005-0000-0000-0000938B0000}"/>
    <cellStyle name="40 % - Markeringsfarve6 3 2 7 3 4" xfId="40460" xr:uid="{00000000-0005-0000-0000-0000948B0000}"/>
    <cellStyle name="40 % - Markeringsfarve6 3 2 7 4" xfId="15278" xr:uid="{00000000-0005-0000-0000-0000958B0000}"/>
    <cellStyle name="40 % - Markeringsfarve6 3 2 7 4 2" xfId="31557" xr:uid="{00000000-0005-0000-0000-0000968B0000}"/>
    <cellStyle name="40 % - Markeringsfarve6 3 2 7 4 3" xfId="46517" xr:uid="{00000000-0005-0000-0000-0000978B0000}"/>
    <cellStyle name="40 % - Markeringsfarve6 3 2 7 5" xfId="24555" xr:uid="{00000000-0005-0000-0000-0000988B0000}"/>
    <cellStyle name="40 % - Markeringsfarve6 3 2 7 6" xfId="39520" xr:uid="{00000000-0005-0000-0000-0000998B0000}"/>
    <cellStyle name="40 % - Markeringsfarve6 3 2 8" xfId="6795" xr:uid="{00000000-0005-0000-0000-00009A8B0000}"/>
    <cellStyle name="40 % - Markeringsfarve6 3 2 8 2" xfId="8987" xr:uid="{00000000-0005-0000-0000-00009B8B0000}"/>
    <cellStyle name="40 % - Markeringsfarve6 3 2 8 2 2" xfId="16851" xr:uid="{00000000-0005-0000-0000-00009C8B0000}"/>
    <cellStyle name="40 % - Markeringsfarve6 3 2 8 2 2 2" xfId="33127" xr:uid="{00000000-0005-0000-0000-00009D8B0000}"/>
    <cellStyle name="40 % - Markeringsfarve6 3 2 8 2 2 3" xfId="48086" xr:uid="{00000000-0005-0000-0000-00009E8B0000}"/>
    <cellStyle name="40 % - Markeringsfarve6 3 2 8 2 3" xfId="26125" xr:uid="{00000000-0005-0000-0000-00009F8B0000}"/>
    <cellStyle name="40 % - Markeringsfarve6 3 2 8 2 4" xfId="41089" xr:uid="{00000000-0005-0000-0000-0000A08B0000}"/>
    <cellStyle name="40 % - Markeringsfarve6 3 2 8 3" xfId="15280" xr:uid="{00000000-0005-0000-0000-0000A18B0000}"/>
    <cellStyle name="40 % - Markeringsfarve6 3 2 8 3 2" xfId="31559" xr:uid="{00000000-0005-0000-0000-0000A28B0000}"/>
    <cellStyle name="40 % - Markeringsfarve6 3 2 8 3 3" xfId="46519" xr:uid="{00000000-0005-0000-0000-0000A38B0000}"/>
    <cellStyle name="40 % - Markeringsfarve6 3 2 8 4" xfId="24557" xr:uid="{00000000-0005-0000-0000-0000A48B0000}"/>
    <cellStyle name="40 % - Markeringsfarve6 3 2 8 5" xfId="39522" xr:uid="{00000000-0005-0000-0000-0000A58B0000}"/>
    <cellStyle name="40 % - Markeringsfarve6 3 2 9" xfId="6796" xr:uid="{00000000-0005-0000-0000-0000A68B0000}"/>
    <cellStyle name="40 % - Markeringsfarve6 3 2 9 2" xfId="10874" xr:uid="{00000000-0005-0000-0000-0000A78B0000}"/>
    <cellStyle name="40 % - Markeringsfarve6 3 2 9 2 2" xfId="18711" xr:uid="{00000000-0005-0000-0000-0000A88B0000}"/>
    <cellStyle name="40 % - Markeringsfarve6 3 2 9 2 2 2" xfId="34987" xr:uid="{00000000-0005-0000-0000-0000A98B0000}"/>
    <cellStyle name="40 % - Markeringsfarve6 3 2 9 2 2 3" xfId="49946" xr:uid="{00000000-0005-0000-0000-0000AA8B0000}"/>
    <cellStyle name="40 % - Markeringsfarve6 3 2 9 2 3" xfId="27985" xr:uid="{00000000-0005-0000-0000-0000AB8B0000}"/>
    <cellStyle name="40 % - Markeringsfarve6 3 2 9 2 4" xfId="42949" xr:uid="{00000000-0005-0000-0000-0000AC8B0000}"/>
    <cellStyle name="40 % - Markeringsfarve6 3 2 9 3" xfId="15281" xr:uid="{00000000-0005-0000-0000-0000AD8B0000}"/>
    <cellStyle name="40 % - Markeringsfarve6 3 2 9 3 2" xfId="31560" xr:uid="{00000000-0005-0000-0000-0000AE8B0000}"/>
    <cellStyle name="40 % - Markeringsfarve6 3 2 9 3 3" xfId="46520" xr:uid="{00000000-0005-0000-0000-0000AF8B0000}"/>
    <cellStyle name="40 % - Markeringsfarve6 3 2 9 4" xfId="24558" xr:uid="{00000000-0005-0000-0000-0000B08B0000}"/>
    <cellStyle name="40 % - Markeringsfarve6 3 2 9 5" xfId="39523" xr:uid="{00000000-0005-0000-0000-0000B18B0000}"/>
    <cellStyle name="40 % - Markeringsfarve6 3 3" xfId="6797" xr:uid="{00000000-0005-0000-0000-0000B28B0000}"/>
    <cellStyle name="40 % - Markeringsfarve6 3 3 10" xfId="8269" xr:uid="{00000000-0005-0000-0000-0000B38B0000}"/>
    <cellStyle name="40 % - Markeringsfarve6 3 3 10 2" xfId="16134" xr:uid="{00000000-0005-0000-0000-0000B48B0000}"/>
    <cellStyle name="40 % - Markeringsfarve6 3 3 10 2 2" xfId="32410" xr:uid="{00000000-0005-0000-0000-0000B58B0000}"/>
    <cellStyle name="40 % - Markeringsfarve6 3 3 10 2 3" xfId="47369" xr:uid="{00000000-0005-0000-0000-0000B68B0000}"/>
    <cellStyle name="40 % - Markeringsfarve6 3 3 10 3" xfId="25408" xr:uid="{00000000-0005-0000-0000-0000B78B0000}"/>
    <cellStyle name="40 % - Markeringsfarve6 3 3 10 4" xfId="40372" xr:uid="{00000000-0005-0000-0000-0000B88B0000}"/>
    <cellStyle name="40 % - Markeringsfarve6 3 3 11" xfId="15282" xr:uid="{00000000-0005-0000-0000-0000B98B0000}"/>
    <cellStyle name="40 % - Markeringsfarve6 3 3 11 2" xfId="31561" xr:uid="{00000000-0005-0000-0000-0000BA8B0000}"/>
    <cellStyle name="40 % - Markeringsfarve6 3 3 11 3" xfId="46521" xr:uid="{00000000-0005-0000-0000-0000BB8B0000}"/>
    <cellStyle name="40 % - Markeringsfarve6 3 3 12" xfId="24559" xr:uid="{00000000-0005-0000-0000-0000BC8B0000}"/>
    <cellStyle name="40 % - Markeringsfarve6 3 3 13" xfId="39524" xr:uid="{00000000-0005-0000-0000-0000BD8B0000}"/>
    <cellStyle name="40 % - Markeringsfarve6 3 3 2" xfId="6798" xr:uid="{00000000-0005-0000-0000-0000BE8B0000}"/>
    <cellStyle name="40 % - Markeringsfarve6 3 3 2 2" xfId="6799" xr:uid="{00000000-0005-0000-0000-0000BF8B0000}"/>
    <cellStyle name="40 % - Markeringsfarve6 3 3 2 2 2" xfId="6800" xr:uid="{00000000-0005-0000-0000-0000C08B0000}"/>
    <cellStyle name="40 % - Markeringsfarve6 3 3 2 2 2 2" xfId="9916" xr:uid="{00000000-0005-0000-0000-0000C18B0000}"/>
    <cellStyle name="40 % - Markeringsfarve6 3 3 2 2 2 2 2" xfId="17771" xr:uid="{00000000-0005-0000-0000-0000C28B0000}"/>
    <cellStyle name="40 % - Markeringsfarve6 3 3 2 2 2 2 2 2" xfId="34047" xr:uid="{00000000-0005-0000-0000-0000C38B0000}"/>
    <cellStyle name="40 % - Markeringsfarve6 3 3 2 2 2 2 2 3" xfId="49006" xr:uid="{00000000-0005-0000-0000-0000C48B0000}"/>
    <cellStyle name="40 % - Markeringsfarve6 3 3 2 2 2 2 3" xfId="27045" xr:uid="{00000000-0005-0000-0000-0000C58B0000}"/>
    <cellStyle name="40 % - Markeringsfarve6 3 3 2 2 2 2 4" xfId="42009" xr:uid="{00000000-0005-0000-0000-0000C68B0000}"/>
    <cellStyle name="40 % - Markeringsfarve6 3 3 2 2 2 3" xfId="15285" xr:uid="{00000000-0005-0000-0000-0000C78B0000}"/>
    <cellStyle name="40 % - Markeringsfarve6 3 3 2 2 2 3 2" xfId="31564" xr:uid="{00000000-0005-0000-0000-0000C88B0000}"/>
    <cellStyle name="40 % - Markeringsfarve6 3 3 2 2 2 3 3" xfId="46524" xr:uid="{00000000-0005-0000-0000-0000C98B0000}"/>
    <cellStyle name="40 % - Markeringsfarve6 3 3 2 2 2 4" xfId="24562" xr:uid="{00000000-0005-0000-0000-0000CA8B0000}"/>
    <cellStyle name="40 % - Markeringsfarve6 3 3 2 2 2 5" xfId="39527" xr:uid="{00000000-0005-0000-0000-0000CB8B0000}"/>
    <cellStyle name="40 % - Markeringsfarve6 3 3 2 2 3" xfId="8484" xr:uid="{00000000-0005-0000-0000-0000CC8B0000}"/>
    <cellStyle name="40 % - Markeringsfarve6 3 3 2 2 3 2" xfId="16354" xr:uid="{00000000-0005-0000-0000-0000CD8B0000}"/>
    <cellStyle name="40 % - Markeringsfarve6 3 3 2 2 3 2 2" xfId="32630" xr:uid="{00000000-0005-0000-0000-0000CE8B0000}"/>
    <cellStyle name="40 % - Markeringsfarve6 3 3 2 2 3 2 3" xfId="47589" xr:uid="{00000000-0005-0000-0000-0000CF8B0000}"/>
    <cellStyle name="40 % - Markeringsfarve6 3 3 2 2 3 3" xfId="25628" xr:uid="{00000000-0005-0000-0000-0000D08B0000}"/>
    <cellStyle name="40 % - Markeringsfarve6 3 3 2 2 3 4" xfId="40592" xr:uid="{00000000-0005-0000-0000-0000D18B0000}"/>
    <cellStyle name="40 % - Markeringsfarve6 3 3 2 2 4" xfId="15284" xr:uid="{00000000-0005-0000-0000-0000D28B0000}"/>
    <cellStyle name="40 % - Markeringsfarve6 3 3 2 2 4 2" xfId="31563" xr:uid="{00000000-0005-0000-0000-0000D38B0000}"/>
    <cellStyle name="40 % - Markeringsfarve6 3 3 2 2 4 3" xfId="46523" xr:uid="{00000000-0005-0000-0000-0000D48B0000}"/>
    <cellStyle name="40 % - Markeringsfarve6 3 3 2 2 5" xfId="24561" xr:uid="{00000000-0005-0000-0000-0000D58B0000}"/>
    <cellStyle name="40 % - Markeringsfarve6 3 3 2 2 6" xfId="39526" xr:uid="{00000000-0005-0000-0000-0000D68B0000}"/>
    <cellStyle name="40 % - Markeringsfarve6 3 3 2 3" xfId="6801" xr:uid="{00000000-0005-0000-0000-0000D78B0000}"/>
    <cellStyle name="40 % - Markeringsfarve6 3 3 2 3 2" xfId="9147" xr:uid="{00000000-0005-0000-0000-0000D88B0000}"/>
    <cellStyle name="40 % - Markeringsfarve6 3 3 2 3 2 2" xfId="17011" xr:uid="{00000000-0005-0000-0000-0000D98B0000}"/>
    <cellStyle name="40 % - Markeringsfarve6 3 3 2 3 2 2 2" xfId="33287" xr:uid="{00000000-0005-0000-0000-0000DA8B0000}"/>
    <cellStyle name="40 % - Markeringsfarve6 3 3 2 3 2 2 3" xfId="48246" xr:uid="{00000000-0005-0000-0000-0000DB8B0000}"/>
    <cellStyle name="40 % - Markeringsfarve6 3 3 2 3 2 3" xfId="26285" xr:uid="{00000000-0005-0000-0000-0000DC8B0000}"/>
    <cellStyle name="40 % - Markeringsfarve6 3 3 2 3 2 4" xfId="41249" xr:uid="{00000000-0005-0000-0000-0000DD8B0000}"/>
    <cellStyle name="40 % - Markeringsfarve6 3 3 2 3 3" xfId="15286" xr:uid="{00000000-0005-0000-0000-0000DE8B0000}"/>
    <cellStyle name="40 % - Markeringsfarve6 3 3 2 3 3 2" xfId="31565" xr:uid="{00000000-0005-0000-0000-0000DF8B0000}"/>
    <cellStyle name="40 % - Markeringsfarve6 3 3 2 3 3 3" xfId="46525" xr:uid="{00000000-0005-0000-0000-0000E08B0000}"/>
    <cellStyle name="40 % - Markeringsfarve6 3 3 2 3 4" xfId="24563" xr:uid="{00000000-0005-0000-0000-0000E18B0000}"/>
    <cellStyle name="40 % - Markeringsfarve6 3 3 2 3 5" xfId="39528" xr:uid="{00000000-0005-0000-0000-0000E28B0000}"/>
    <cellStyle name="40 % - Markeringsfarve6 3 3 2 4" xfId="6802" xr:uid="{00000000-0005-0000-0000-0000E38B0000}"/>
    <cellStyle name="40 % - Markeringsfarve6 3 3 2 4 2" xfId="10963" xr:uid="{00000000-0005-0000-0000-0000E48B0000}"/>
    <cellStyle name="40 % - Markeringsfarve6 3 3 2 4 2 2" xfId="18794" xr:uid="{00000000-0005-0000-0000-0000E58B0000}"/>
    <cellStyle name="40 % - Markeringsfarve6 3 3 2 4 2 2 2" xfId="35070" xr:uid="{00000000-0005-0000-0000-0000E68B0000}"/>
    <cellStyle name="40 % - Markeringsfarve6 3 3 2 4 2 2 3" xfId="50029" xr:uid="{00000000-0005-0000-0000-0000E78B0000}"/>
    <cellStyle name="40 % - Markeringsfarve6 3 3 2 4 2 3" xfId="28068" xr:uid="{00000000-0005-0000-0000-0000E88B0000}"/>
    <cellStyle name="40 % - Markeringsfarve6 3 3 2 4 2 4" xfId="43032" xr:uid="{00000000-0005-0000-0000-0000E98B0000}"/>
    <cellStyle name="40 % - Markeringsfarve6 3 3 2 4 3" xfId="15287" xr:uid="{00000000-0005-0000-0000-0000EA8B0000}"/>
    <cellStyle name="40 % - Markeringsfarve6 3 3 2 4 3 2" xfId="31566" xr:uid="{00000000-0005-0000-0000-0000EB8B0000}"/>
    <cellStyle name="40 % - Markeringsfarve6 3 3 2 4 3 3" xfId="46526" xr:uid="{00000000-0005-0000-0000-0000EC8B0000}"/>
    <cellStyle name="40 % - Markeringsfarve6 3 3 2 4 4" xfId="24564" xr:uid="{00000000-0005-0000-0000-0000ED8B0000}"/>
    <cellStyle name="40 % - Markeringsfarve6 3 3 2 4 5" xfId="39529" xr:uid="{00000000-0005-0000-0000-0000EE8B0000}"/>
    <cellStyle name="40 % - Markeringsfarve6 3 3 2 5" xfId="8270" xr:uid="{00000000-0005-0000-0000-0000EF8B0000}"/>
    <cellStyle name="40 % - Markeringsfarve6 3 3 2 5 2" xfId="16135" xr:uid="{00000000-0005-0000-0000-0000F08B0000}"/>
    <cellStyle name="40 % - Markeringsfarve6 3 3 2 5 2 2" xfId="32411" xr:uid="{00000000-0005-0000-0000-0000F18B0000}"/>
    <cellStyle name="40 % - Markeringsfarve6 3 3 2 5 2 3" xfId="47370" xr:uid="{00000000-0005-0000-0000-0000F28B0000}"/>
    <cellStyle name="40 % - Markeringsfarve6 3 3 2 5 3" xfId="25409" xr:uid="{00000000-0005-0000-0000-0000F38B0000}"/>
    <cellStyle name="40 % - Markeringsfarve6 3 3 2 5 4" xfId="40373" xr:uid="{00000000-0005-0000-0000-0000F48B0000}"/>
    <cellStyle name="40 % - Markeringsfarve6 3 3 2 6" xfId="15283" xr:uid="{00000000-0005-0000-0000-0000F58B0000}"/>
    <cellStyle name="40 % - Markeringsfarve6 3 3 2 6 2" xfId="31562" xr:uid="{00000000-0005-0000-0000-0000F68B0000}"/>
    <cellStyle name="40 % - Markeringsfarve6 3 3 2 6 3" xfId="46522" xr:uid="{00000000-0005-0000-0000-0000F78B0000}"/>
    <cellStyle name="40 % - Markeringsfarve6 3 3 2 7" xfId="24560" xr:uid="{00000000-0005-0000-0000-0000F88B0000}"/>
    <cellStyle name="40 % - Markeringsfarve6 3 3 2 8" xfId="39525" xr:uid="{00000000-0005-0000-0000-0000F98B0000}"/>
    <cellStyle name="40 % - Markeringsfarve6 3 3 3" xfId="6803" xr:uid="{00000000-0005-0000-0000-0000FA8B0000}"/>
    <cellStyle name="40 % - Markeringsfarve6 3 3 3 2" xfId="6804" xr:uid="{00000000-0005-0000-0000-0000FB8B0000}"/>
    <cellStyle name="40 % - Markeringsfarve6 3 3 3 2 2" xfId="6805" xr:uid="{00000000-0005-0000-0000-0000FC8B0000}"/>
    <cellStyle name="40 % - Markeringsfarve6 3 3 3 2 2 2" xfId="10036" xr:uid="{00000000-0005-0000-0000-0000FD8B0000}"/>
    <cellStyle name="40 % - Markeringsfarve6 3 3 3 2 2 2 2" xfId="17891" xr:uid="{00000000-0005-0000-0000-0000FE8B0000}"/>
    <cellStyle name="40 % - Markeringsfarve6 3 3 3 2 2 2 2 2" xfId="34167" xr:uid="{00000000-0005-0000-0000-0000FF8B0000}"/>
    <cellStyle name="40 % - Markeringsfarve6 3 3 3 2 2 2 2 3" xfId="49126" xr:uid="{00000000-0005-0000-0000-0000008C0000}"/>
    <cellStyle name="40 % - Markeringsfarve6 3 3 3 2 2 2 3" xfId="27165" xr:uid="{00000000-0005-0000-0000-0000018C0000}"/>
    <cellStyle name="40 % - Markeringsfarve6 3 3 3 2 2 2 4" xfId="42129" xr:uid="{00000000-0005-0000-0000-0000028C0000}"/>
    <cellStyle name="40 % - Markeringsfarve6 3 3 3 2 2 3" xfId="15290" xr:uid="{00000000-0005-0000-0000-0000038C0000}"/>
    <cellStyle name="40 % - Markeringsfarve6 3 3 3 2 2 3 2" xfId="31569" xr:uid="{00000000-0005-0000-0000-0000048C0000}"/>
    <cellStyle name="40 % - Markeringsfarve6 3 3 3 2 2 3 3" xfId="46529" xr:uid="{00000000-0005-0000-0000-0000058C0000}"/>
    <cellStyle name="40 % - Markeringsfarve6 3 3 3 2 2 4" xfId="24567" xr:uid="{00000000-0005-0000-0000-0000068C0000}"/>
    <cellStyle name="40 % - Markeringsfarve6 3 3 3 2 2 5" xfId="39532" xr:uid="{00000000-0005-0000-0000-0000078C0000}"/>
    <cellStyle name="40 % - Markeringsfarve6 3 3 3 2 3" xfId="8583" xr:uid="{00000000-0005-0000-0000-0000088C0000}"/>
    <cellStyle name="40 % - Markeringsfarve6 3 3 3 2 3 2" xfId="16453" xr:uid="{00000000-0005-0000-0000-0000098C0000}"/>
    <cellStyle name="40 % - Markeringsfarve6 3 3 3 2 3 2 2" xfId="32729" xr:uid="{00000000-0005-0000-0000-00000A8C0000}"/>
    <cellStyle name="40 % - Markeringsfarve6 3 3 3 2 3 2 3" xfId="47688" xr:uid="{00000000-0005-0000-0000-00000B8C0000}"/>
    <cellStyle name="40 % - Markeringsfarve6 3 3 3 2 3 3" xfId="25727" xr:uid="{00000000-0005-0000-0000-00000C8C0000}"/>
    <cellStyle name="40 % - Markeringsfarve6 3 3 3 2 3 4" xfId="40691" xr:uid="{00000000-0005-0000-0000-00000D8C0000}"/>
    <cellStyle name="40 % - Markeringsfarve6 3 3 3 2 4" xfId="15289" xr:uid="{00000000-0005-0000-0000-00000E8C0000}"/>
    <cellStyle name="40 % - Markeringsfarve6 3 3 3 2 4 2" xfId="31568" xr:uid="{00000000-0005-0000-0000-00000F8C0000}"/>
    <cellStyle name="40 % - Markeringsfarve6 3 3 3 2 4 3" xfId="46528" xr:uid="{00000000-0005-0000-0000-0000108C0000}"/>
    <cellStyle name="40 % - Markeringsfarve6 3 3 3 2 5" xfId="24566" xr:uid="{00000000-0005-0000-0000-0000118C0000}"/>
    <cellStyle name="40 % - Markeringsfarve6 3 3 3 2 6" xfId="39531" xr:uid="{00000000-0005-0000-0000-0000128C0000}"/>
    <cellStyle name="40 % - Markeringsfarve6 3 3 3 3" xfId="6806" xr:uid="{00000000-0005-0000-0000-0000138C0000}"/>
    <cellStyle name="40 % - Markeringsfarve6 3 3 3 3 2" xfId="9267" xr:uid="{00000000-0005-0000-0000-0000148C0000}"/>
    <cellStyle name="40 % - Markeringsfarve6 3 3 3 3 2 2" xfId="17131" xr:uid="{00000000-0005-0000-0000-0000158C0000}"/>
    <cellStyle name="40 % - Markeringsfarve6 3 3 3 3 2 2 2" xfId="33407" xr:uid="{00000000-0005-0000-0000-0000168C0000}"/>
    <cellStyle name="40 % - Markeringsfarve6 3 3 3 3 2 2 3" xfId="48366" xr:uid="{00000000-0005-0000-0000-0000178C0000}"/>
    <cellStyle name="40 % - Markeringsfarve6 3 3 3 3 2 3" xfId="26405" xr:uid="{00000000-0005-0000-0000-0000188C0000}"/>
    <cellStyle name="40 % - Markeringsfarve6 3 3 3 3 2 4" xfId="41369" xr:uid="{00000000-0005-0000-0000-0000198C0000}"/>
    <cellStyle name="40 % - Markeringsfarve6 3 3 3 3 3" xfId="15291" xr:uid="{00000000-0005-0000-0000-00001A8C0000}"/>
    <cellStyle name="40 % - Markeringsfarve6 3 3 3 3 3 2" xfId="31570" xr:uid="{00000000-0005-0000-0000-00001B8C0000}"/>
    <cellStyle name="40 % - Markeringsfarve6 3 3 3 3 3 3" xfId="46530" xr:uid="{00000000-0005-0000-0000-00001C8C0000}"/>
    <cellStyle name="40 % - Markeringsfarve6 3 3 3 3 4" xfId="24568" xr:uid="{00000000-0005-0000-0000-00001D8C0000}"/>
    <cellStyle name="40 % - Markeringsfarve6 3 3 3 3 5" xfId="39533" xr:uid="{00000000-0005-0000-0000-00001E8C0000}"/>
    <cellStyle name="40 % - Markeringsfarve6 3 3 3 4" xfId="6807" xr:uid="{00000000-0005-0000-0000-00001F8C0000}"/>
    <cellStyle name="40 % - Markeringsfarve6 3 3 3 4 2" xfId="10683" xr:uid="{00000000-0005-0000-0000-0000208C0000}"/>
    <cellStyle name="40 % - Markeringsfarve6 3 3 3 4 2 2" xfId="18527" xr:uid="{00000000-0005-0000-0000-0000218C0000}"/>
    <cellStyle name="40 % - Markeringsfarve6 3 3 3 4 2 2 2" xfId="34803" xr:uid="{00000000-0005-0000-0000-0000228C0000}"/>
    <cellStyle name="40 % - Markeringsfarve6 3 3 3 4 2 2 3" xfId="49762" xr:uid="{00000000-0005-0000-0000-0000238C0000}"/>
    <cellStyle name="40 % - Markeringsfarve6 3 3 3 4 2 3" xfId="27801" xr:uid="{00000000-0005-0000-0000-0000248C0000}"/>
    <cellStyle name="40 % - Markeringsfarve6 3 3 3 4 2 4" xfId="42765" xr:uid="{00000000-0005-0000-0000-0000258C0000}"/>
    <cellStyle name="40 % - Markeringsfarve6 3 3 3 4 3" xfId="15292" xr:uid="{00000000-0005-0000-0000-0000268C0000}"/>
    <cellStyle name="40 % - Markeringsfarve6 3 3 3 4 3 2" xfId="31571" xr:uid="{00000000-0005-0000-0000-0000278C0000}"/>
    <cellStyle name="40 % - Markeringsfarve6 3 3 3 4 3 3" xfId="46531" xr:uid="{00000000-0005-0000-0000-0000288C0000}"/>
    <cellStyle name="40 % - Markeringsfarve6 3 3 3 4 4" xfId="24569" xr:uid="{00000000-0005-0000-0000-0000298C0000}"/>
    <cellStyle name="40 % - Markeringsfarve6 3 3 3 4 5" xfId="39534" xr:uid="{00000000-0005-0000-0000-00002A8C0000}"/>
    <cellStyle name="40 % - Markeringsfarve6 3 3 3 5" xfId="8271" xr:uid="{00000000-0005-0000-0000-00002B8C0000}"/>
    <cellStyle name="40 % - Markeringsfarve6 3 3 3 5 2" xfId="16136" xr:uid="{00000000-0005-0000-0000-00002C8C0000}"/>
    <cellStyle name="40 % - Markeringsfarve6 3 3 3 5 2 2" xfId="32412" xr:uid="{00000000-0005-0000-0000-00002D8C0000}"/>
    <cellStyle name="40 % - Markeringsfarve6 3 3 3 5 2 3" xfId="47371" xr:uid="{00000000-0005-0000-0000-00002E8C0000}"/>
    <cellStyle name="40 % - Markeringsfarve6 3 3 3 5 3" xfId="25410" xr:uid="{00000000-0005-0000-0000-00002F8C0000}"/>
    <cellStyle name="40 % - Markeringsfarve6 3 3 3 5 4" xfId="40374" xr:uid="{00000000-0005-0000-0000-0000308C0000}"/>
    <cellStyle name="40 % - Markeringsfarve6 3 3 3 6" xfId="15288" xr:uid="{00000000-0005-0000-0000-0000318C0000}"/>
    <cellStyle name="40 % - Markeringsfarve6 3 3 3 6 2" xfId="31567" xr:uid="{00000000-0005-0000-0000-0000328C0000}"/>
    <cellStyle name="40 % - Markeringsfarve6 3 3 3 6 3" xfId="46527" xr:uid="{00000000-0005-0000-0000-0000338C0000}"/>
    <cellStyle name="40 % - Markeringsfarve6 3 3 3 7" xfId="24565" xr:uid="{00000000-0005-0000-0000-0000348C0000}"/>
    <cellStyle name="40 % - Markeringsfarve6 3 3 3 8" xfId="39530" xr:uid="{00000000-0005-0000-0000-0000358C0000}"/>
    <cellStyle name="40 % - Markeringsfarve6 3 3 4" xfId="6808" xr:uid="{00000000-0005-0000-0000-0000368C0000}"/>
    <cellStyle name="40 % - Markeringsfarve6 3 3 4 2" xfId="6809" xr:uid="{00000000-0005-0000-0000-0000378C0000}"/>
    <cellStyle name="40 % - Markeringsfarve6 3 3 4 2 2" xfId="6810" xr:uid="{00000000-0005-0000-0000-0000388C0000}"/>
    <cellStyle name="40 % - Markeringsfarve6 3 3 4 2 2 2" xfId="10154" xr:uid="{00000000-0005-0000-0000-0000398C0000}"/>
    <cellStyle name="40 % - Markeringsfarve6 3 3 4 2 2 2 2" xfId="18009" xr:uid="{00000000-0005-0000-0000-00003A8C0000}"/>
    <cellStyle name="40 % - Markeringsfarve6 3 3 4 2 2 2 2 2" xfId="34285" xr:uid="{00000000-0005-0000-0000-00003B8C0000}"/>
    <cellStyle name="40 % - Markeringsfarve6 3 3 4 2 2 2 2 3" xfId="49244" xr:uid="{00000000-0005-0000-0000-00003C8C0000}"/>
    <cellStyle name="40 % - Markeringsfarve6 3 3 4 2 2 2 3" xfId="27283" xr:uid="{00000000-0005-0000-0000-00003D8C0000}"/>
    <cellStyle name="40 % - Markeringsfarve6 3 3 4 2 2 2 4" xfId="42247" xr:uid="{00000000-0005-0000-0000-00003E8C0000}"/>
    <cellStyle name="40 % - Markeringsfarve6 3 3 4 2 2 3" xfId="15295" xr:uid="{00000000-0005-0000-0000-00003F8C0000}"/>
    <cellStyle name="40 % - Markeringsfarve6 3 3 4 2 2 3 2" xfId="31574" xr:uid="{00000000-0005-0000-0000-0000408C0000}"/>
    <cellStyle name="40 % - Markeringsfarve6 3 3 4 2 2 3 3" xfId="46534" xr:uid="{00000000-0005-0000-0000-0000418C0000}"/>
    <cellStyle name="40 % - Markeringsfarve6 3 3 4 2 2 4" xfId="24572" xr:uid="{00000000-0005-0000-0000-0000428C0000}"/>
    <cellStyle name="40 % - Markeringsfarve6 3 3 4 2 2 5" xfId="39537" xr:uid="{00000000-0005-0000-0000-0000438C0000}"/>
    <cellStyle name="40 % - Markeringsfarve6 3 3 4 2 3" xfId="8686" xr:uid="{00000000-0005-0000-0000-0000448C0000}"/>
    <cellStyle name="40 % - Markeringsfarve6 3 3 4 2 3 2" xfId="16553" xr:uid="{00000000-0005-0000-0000-0000458C0000}"/>
    <cellStyle name="40 % - Markeringsfarve6 3 3 4 2 3 2 2" xfId="32829" xr:uid="{00000000-0005-0000-0000-0000468C0000}"/>
    <cellStyle name="40 % - Markeringsfarve6 3 3 4 2 3 2 3" xfId="47788" xr:uid="{00000000-0005-0000-0000-0000478C0000}"/>
    <cellStyle name="40 % - Markeringsfarve6 3 3 4 2 3 3" xfId="25827" xr:uid="{00000000-0005-0000-0000-0000488C0000}"/>
    <cellStyle name="40 % - Markeringsfarve6 3 3 4 2 3 4" xfId="40791" xr:uid="{00000000-0005-0000-0000-0000498C0000}"/>
    <cellStyle name="40 % - Markeringsfarve6 3 3 4 2 4" xfId="15294" xr:uid="{00000000-0005-0000-0000-00004A8C0000}"/>
    <cellStyle name="40 % - Markeringsfarve6 3 3 4 2 4 2" xfId="31573" xr:uid="{00000000-0005-0000-0000-00004B8C0000}"/>
    <cellStyle name="40 % - Markeringsfarve6 3 3 4 2 4 3" xfId="46533" xr:uid="{00000000-0005-0000-0000-00004C8C0000}"/>
    <cellStyle name="40 % - Markeringsfarve6 3 3 4 2 5" xfId="24571" xr:uid="{00000000-0005-0000-0000-00004D8C0000}"/>
    <cellStyle name="40 % - Markeringsfarve6 3 3 4 2 6" xfId="39536" xr:uid="{00000000-0005-0000-0000-00004E8C0000}"/>
    <cellStyle name="40 % - Markeringsfarve6 3 3 4 3" xfId="6811" xr:uid="{00000000-0005-0000-0000-00004F8C0000}"/>
    <cellStyle name="40 % - Markeringsfarve6 3 3 4 3 2" xfId="9431" xr:uid="{00000000-0005-0000-0000-0000508C0000}"/>
    <cellStyle name="40 % - Markeringsfarve6 3 3 4 3 2 2" xfId="17294" xr:uid="{00000000-0005-0000-0000-0000518C0000}"/>
    <cellStyle name="40 % - Markeringsfarve6 3 3 4 3 2 2 2" xfId="33570" xr:uid="{00000000-0005-0000-0000-0000528C0000}"/>
    <cellStyle name="40 % - Markeringsfarve6 3 3 4 3 2 2 3" xfId="48529" xr:uid="{00000000-0005-0000-0000-0000538C0000}"/>
    <cellStyle name="40 % - Markeringsfarve6 3 3 4 3 2 3" xfId="26568" xr:uid="{00000000-0005-0000-0000-0000548C0000}"/>
    <cellStyle name="40 % - Markeringsfarve6 3 3 4 3 2 4" xfId="41532" xr:uid="{00000000-0005-0000-0000-0000558C0000}"/>
    <cellStyle name="40 % - Markeringsfarve6 3 3 4 3 3" xfId="15296" xr:uid="{00000000-0005-0000-0000-0000568C0000}"/>
    <cellStyle name="40 % - Markeringsfarve6 3 3 4 3 3 2" xfId="31575" xr:uid="{00000000-0005-0000-0000-0000578C0000}"/>
    <cellStyle name="40 % - Markeringsfarve6 3 3 4 3 3 3" xfId="46535" xr:uid="{00000000-0005-0000-0000-0000588C0000}"/>
    <cellStyle name="40 % - Markeringsfarve6 3 3 4 3 4" xfId="24573" xr:uid="{00000000-0005-0000-0000-0000598C0000}"/>
    <cellStyle name="40 % - Markeringsfarve6 3 3 4 3 5" xfId="39538" xr:uid="{00000000-0005-0000-0000-00005A8C0000}"/>
    <cellStyle name="40 % - Markeringsfarve6 3 3 4 4" xfId="6812" xr:uid="{00000000-0005-0000-0000-00005B8C0000}"/>
    <cellStyle name="40 % - Markeringsfarve6 3 3 4 4 2" xfId="10942" xr:uid="{00000000-0005-0000-0000-00005C8C0000}"/>
    <cellStyle name="40 % - Markeringsfarve6 3 3 4 4 2 2" xfId="18776" xr:uid="{00000000-0005-0000-0000-00005D8C0000}"/>
    <cellStyle name="40 % - Markeringsfarve6 3 3 4 4 2 2 2" xfId="35052" xr:uid="{00000000-0005-0000-0000-00005E8C0000}"/>
    <cellStyle name="40 % - Markeringsfarve6 3 3 4 4 2 2 3" xfId="50011" xr:uid="{00000000-0005-0000-0000-00005F8C0000}"/>
    <cellStyle name="40 % - Markeringsfarve6 3 3 4 4 2 3" xfId="28050" xr:uid="{00000000-0005-0000-0000-0000608C0000}"/>
    <cellStyle name="40 % - Markeringsfarve6 3 3 4 4 2 4" xfId="43014" xr:uid="{00000000-0005-0000-0000-0000618C0000}"/>
    <cellStyle name="40 % - Markeringsfarve6 3 3 4 4 3" xfId="15297" xr:uid="{00000000-0005-0000-0000-0000628C0000}"/>
    <cellStyle name="40 % - Markeringsfarve6 3 3 4 4 3 2" xfId="31576" xr:uid="{00000000-0005-0000-0000-0000638C0000}"/>
    <cellStyle name="40 % - Markeringsfarve6 3 3 4 4 3 3" xfId="46536" xr:uid="{00000000-0005-0000-0000-0000648C0000}"/>
    <cellStyle name="40 % - Markeringsfarve6 3 3 4 4 4" xfId="24574" xr:uid="{00000000-0005-0000-0000-0000658C0000}"/>
    <cellStyle name="40 % - Markeringsfarve6 3 3 4 4 5" xfId="39539" xr:uid="{00000000-0005-0000-0000-0000668C0000}"/>
    <cellStyle name="40 % - Markeringsfarve6 3 3 4 5" xfId="8272" xr:uid="{00000000-0005-0000-0000-0000678C0000}"/>
    <cellStyle name="40 % - Markeringsfarve6 3 3 4 5 2" xfId="16137" xr:uid="{00000000-0005-0000-0000-0000688C0000}"/>
    <cellStyle name="40 % - Markeringsfarve6 3 3 4 5 2 2" xfId="32413" xr:uid="{00000000-0005-0000-0000-0000698C0000}"/>
    <cellStyle name="40 % - Markeringsfarve6 3 3 4 5 2 3" xfId="47372" xr:uid="{00000000-0005-0000-0000-00006A8C0000}"/>
    <cellStyle name="40 % - Markeringsfarve6 3 3 4 5 3" xfId="25411" xr:uid="{00000000-0005-0000-0000-00006B8C0000}"/>
    <cellStyle name="40 % - Markeringsfarve6 3 3 4 5 4" xfId="40375" xr:uid="{00000000-0005-0000-0000-00006C8C0000}"/>
    <cellStyle name="40 % - Markeringsfarve6 3 3 4 6" xfId="15293" xr:uid="{00000000-0005-0000-0000-00006D8C0000}"/>
    <cellStyle name="40 % - Markeringsfarve6 3 3 4 6 2" xfId="31572" xr:uid="{00000000-0005-0000-0000-00006E8C0000}"/>
    <cellStyle name="40 % - Markeringsfarve6 3 3 4 6 3" xfId="46532" xr:uid="{00000000-0005-0000-0000-00006F8C0000}"/>
    <cellStyle name="40 % - Markeringsfarve6 3 3 4 7" xfId="24570" xr:uid="{00000000-0005-0000-0000-0000708C0000}"/>
    <cellStyle name="40 % - Markeringsfarve6 3 3 4 8" xfId="39535" xr:uid="{00000000-0005-0000-0000-0000718C0000}"/>
    <cellStyle name="40 % - Markeringsfarve6 3 3 5" xfId="6813" xr:uid="{00000000-0005-0000-0000-0000728C0000}"/>
    <cellStyle name="40 % - Markeringsfarve6 3 3 5 2" xfId="6814" xr:uid="{00000000-0005-0000-0000-0000738C0000}"/>
    <cellStyle name="40 % - Markeringsfarve6 3 3 5 2 2" xfId="6815" xr:uid="{00000000-0005-0000-0000-0000748C0000}"/>
    <cellStyle name="40 % - Markeringsfarve6 3 3 5 2 2 2" xfId="10271" xr:uid="{00000000-0005-0000-0000-0000758C0000}"/>
    <cellStyle name="40 % - Markeringsfarve6 3 3 5 2 2 2 2" xfId="18126" xr:uid="{00000000-0005-0000-0000-0000768C0000}"/>
    <cellStyle name="40 % - Markeringsfarve6 3 3 5 2 2 2 2 2" xfId="34402" xr:uid="{00000000-0005-0000-0000-0000778C0000}"/>
    <cellStyle name="40 % - Markeringsfarve6 3 3 5 2 2 2 2 3" xfId="49361" xr:uid="{00000000-0005-0000-0000-0000788C0000}"/>
    <cellStyle name="40 % - Markeringsfarve6 3 3 5 2 2 2 3" xfId="27400" xr:uid="{00000000-0005-0000-0000-0000798C0000}"/>
    <cellStyle name="40 % - Markeringsfarve6 3 3 5 2 2 2 4" xfId="42364" xr:uid="{00000000-0005-0000-0000-00007A8C0000}"/>
    <cellStyle name="40 % - Markeringsfarve6 3 3 5 2 2 3" xfId="15300" xr:uid="{00000000-0005-0000-0000-00007B8C0000}"/>
    <cellStyle name="40 % - Markeringsfarve6 3 3 5 2 2 3 2" xfId="31579" xr:uid="{00000000-0005-0000-0000-00007C8C0000}"/>
    <cellStyle name="40 % - Markeringsfarve6 3 3 5 2 2 3 3" xfId="46539" xr:uid="{00000000-0005-0000-0000-00007D8C0000}"/>
    <cellStyle name="40 % - Markeringsfarve6 3 3 5 2 2 4" xfId="24577" xr:uid="{00000000-0005-0000-0000-00007E8C0000}"/>
    <cellStyle name="40 % - Markeringsfarve6 3 3 5 2 2 5" xfId="39542" xr:uid="{00000000-0005-0000-0000-00007F8C0000}"/>
    <cellStyle name="40 % - Markeringsfarve6 3 3 5 2 3" xfId="8785" xr:uid="{00000000-0005-0000-0000-0000808C0000}"/>
    <cellStyle name="40 % - Markeringsfarve6 3 3 5 2 3 2" xfId="16652" xr:uid="{00000000-0005-0000-0000-0000818C0000}"/>
    <cellStyle name="40 % - Markeringsfarve6 3 3 5 2 3 2 2" xfId="32928" xr:uid="{00000000-0005-0000-0000-0000828C0000}"/>
    <cellStyle name="40 % - Markeringsfarve6 3 3 5 2 3 2 3" xfId="47887" xr:uid="{00000000-0005-0000-0000-0000838C0000}"/>
    <cellStyle name="40 % - Markeringsfarve6 3 3 5 2 3 3" xfId="25926" xr:uid="{00000000-0005-0000-0000-0000848C0000}"/>
    <cellStyle name="40 % - Markeringsfarve6 3 3 5 2 3 4" xfId="40890" xr:uid="{00000000-0005-0000-0000-0000858C0000}"/>
    <cellStyle name="40 % - Markeringsfarve6 3 3 5 2 4" xfId="15299" xr:uid="{00000000-0005-0000-0000-0000868C0000}"/>
    <cellStyle name="40 % - Markeringsfarve6 3 3 5 2 4 2" xfId="31578" xr:uid="{00000000-0005-0000-0000-0000878C0000}"/>
    <cellStyle name="40 % - Markeringsfarve6 3 3 5 2 4 3" xfId="46538" xr:uid="{00000000-0005-0000-0000-0000888C0000}"/>
    <cellStyle name="40 % - Markeringsfarve6 3 3 5 2 5" xfId="24576" xr:uid="{00000000-0005-0000-0000-0000898C0000}"/>
    <cellStyle name="40 % - Markeringsfarve6 3 3 5 2 6" xfId="39541" xr:uid="{00000000-0005-0000-0000-00008A8C0000}"/>
    <cellStyle name="40 % - Markeringsfarve6 3 3 5 3" xfId="6816" xr:uid="{00000000-0005-0000-0000-00008B8C0000}"/>
    <cellStyle name="40 % - Markeringsfarve6 3 3 5 3 2" xfId="9548" xr:uid="{00000000-0005-0000-0000-00008C8C0000}"/>
    <cellStyle name="40 % - Markeringsfarve6 3 3 5 3 2 2" xfId="17411" xr:uid="{00000000-0005-0000-0000-00008D8C0000}"/>
    <cellStyle name="40 % - Markeringsfarve6 3 3 5 3 2 2 2" xfId="33687" xr:uid="{00000000-0005-0000-0000-00008E8C0000}"/>
    <cellStyle name="40 % - Markeringsfarve6 3 3 5 3 2 2 3" xfId="48646" xr:uid="{00000000-0005-0000-0000-00008F8C0000}"/>
    <cellStyle name="40 % - Markeringsfarve6 3 3 5 3 2 3" xfId="26685" xr:uid="{00000000-0005-0000-0000-0000908C0000}"/>
    <cellStyle name="40 % - Markeringsfarve6 3 3 5 3 2 4" xfId="41649" xr:uid="{00000000-0005-0000-0000-0000918C0000}"/>
    <cellStyle name="40 % - Markeringsfarve6 3 3 5 3 3" xfId="15301" xr:uid="{00000000-0005-0000-0000-0000928C0000}"/>
    <cellStyle name="40 % - Markeringsfarve6 3 3 5 3 3 2" xfId="31580" xr:uid="{00000000-0005-0000-0000-0000938C0000}"/>
    <cellStyle name="40 % - Markeringsfarve6 3 3 5 3 3 3" xfId="46540" xr:uid="{00000000-0005-0000-0000-0000948C0000}"/>
    <cellStyle name="40 % - Markeringsfarve6 3 3 5 3 4" xfId="24578" xr:uid="{00000000-0005-0000-0000-0000958C0000}"/>
    <cellStyle name="40 % - Markeringsfarve6 3 3 5 3 5" xfId="39543" xr:uid="{00000000-0005-0000-0000-0000968C0000}"/>
    <cellStyle name="40 % - Markeringsfarve6 3 3 5 4" xfId="6817" xr:uid="{00000000-0005-0000-0000-0000978C0000}"/>
    <cellStyle name="40 % - Markeringsfarve6 3 3 5 4 2" xfId="10665" xr:uid="{00000000-0005-0000-0000-0000988C0000}"/>
    <cellStyle name="40 % - Markeringsfarve6 3 3 5 4 2 2" xfId="18511" xr:uid="{00000000-0005-0000-0000-0000998C0000}"/>
    <cellStyle name="40 % - Markeringsfarve6 3 3 5 4 2 2 2" xfId="34787" xr:uid="{00000000-0005-0000-0000-00009A8C0000}"/>
    <cellStyle name="40 % - Markeringsfarve6 3 3 5 4 2 2 3" xfId="49746" xr:uid="{00000000-0005-0000-0000-00009B8C0000}"/>
    <cellStyle name="40 % - Markeringsfarve6 3 3 5 4 2 3" xfId="27785" xr:uid="{00000000-0005-0000-0000-00009C8C0000}"/>
    <cellStyle name="40 % - Markeringsfarve6 3 3 5 4 2 4" xfId="42749" xr:uid="{00000000-0005-0000-0000-00009D8C0000}"/>
    <cellStyle name="40 % - Markeringsfarve6 3 3 5 4 3" xfId="15302" xr:uid="{00000000-0005-0000-0000-00009E8C0000}"/>
    <cellStyle name="40 % - Markeringsfarve6 3 3 5 4 3 2" xfId="31581" xr:uid="{00000000-0005-0000-0000-00009F8C0000}"/>
    <cellStyle name="40 % - Markeringsfarve6 3 3 5 4 3 3" xfId="46541" xr:uid="{00000000-0005-0000-0000-0000A08C0000}"/>
    <cellStyle name="40 % - Markeringsfarve6 3 3 5 4 4" xfId="24579" xr:uid="{00000000-0005-0000-0000-0000A18C0000}"/>
    <cellStyle name="40 % - Markeringsfarve6 3 3 5 4 5" xfId="39544" xr:uid="{00000000-0005-0000-0000-0000A28C0000}"/>
    <cellStyle name="40 % - Markeringsfarve6 3 3 5 5" xfId="8273" xr:uid="{00000000-0005-0000-0000-0000A38C0000}"/>
    <cellStyle name="40 % - Markeringsfarve6 3 3 5 5 2" xfId="16138" xr:uid="{00000000-0005-0000-0000-0000A48C0000}"/>
    <cellStyle name="40 % - Markeringsfarve6 3 3 5 5 2 2" xfId="32414" xr:uid="{00000000-0005-0000-0000-0000A58C0000}"/>
    <cellStyle name="40 % - Markeringsfarve6 3 3 5 5 2 3" xfId="47373" xr:uid="{00000000-0005-0000-0000-0000A68C0000}"/>
    <cellStyle name="40 % - Markeringsfarve6 3 3 5 5 3" xfId="25412" xr:uid="{00000000-0005-0000-0000-0000A78C0000}"/>
    <cellStyle name="40 % - Markeringsfarve6 3 3 5 5 4" xfId="40376" xr:uid="{00000000-0005-0000-0000-0000A88C0000}"/>
    <cellStyle name="40 % - Markeringsfarve6 3 3 5 6" xfId="15298" xr:uid="{00000000-0005-0000-0000-0000A98C0000}"/>
    <cellStyle name="40 % - Markeringsfarve6 3 3 5 6 2" xfId="31577" xr:uid="{00000000-0005-0000-0000-0000AA8C0000}"/>
    <cellStyle name="40 % - Markeringsfarve6 3 3 5 6 3" xfId="46537" xr:uid="{00000000-0005-0000-0000-0000AB8C0000}"/>
    <cellStyle name="40 % - Markeringsfarve6 3 3 5 7" xfId="24575" xr:uid="{00000000-0005-0000-0000-0000AC8C0000}"/>
    <cellStyle name="40 % - Markeringsfarve6 3 3 5 8" xfId="39540" xr:uid="{00000000-0005-0000-0000-0000AD8C0000}"/>
    <cellStyle name="40 % - Markeringsfarve6 3 3 6" xfId="6818" xr:uid="{00000000-0005-0000-0000-0000AE8C0000}"/>
    <cellStyle name="40 % - Markeringsfarve6 3 3 6 2" xfId="6819" xr:uid="{00000000-0005-0000-0000-0000AF8C0000}"/>
    <cellStyle name="40 % - Markeringsfarve6 3 3 6 2 2" xfId="6820" xr:uid="{00000000-0005-0000-0000-0000B08C0000}"/>
    <cellStyle name="40 % - Markeringsfarve6 3 3 6 2 2 2" xfId="10390" xr:uid="{00000000-0005-0000-0000-0000B18C0000}"/>
    <cellStyle name="40 % - Markeringsfarve6 3 3 6 2 2 2 2" xfId="18245" xr:uid="{00000000-0005-0000-0000-0000B28C0000}"/>
    <cellStyle name="40 % - Markeringsfarve6 3 3 6 2 2 2 2 2" xfId="34521" xr:uid="{00000000-0005-0000-0000-0000B38C0000}"/>
    <cellStyle name="40 % - Markeringsfarve6 3 3 6 2 2 2 2 3" xfId="49480" xr:uid="{00000000-0005-0000-0000-0000B48C0000}"/>
    <cellStyle name="40 % - Markeringsfarve6 3 3 6 2 2 2 3" xfId="27519" xr:uid="{00000000-0005-0000-0000-0000B58C0000}"/>
    <cellStyle name="40 % - Markeringsfarve6 3 3 6 2 2 2 4" xfId="42483" xr:uid="{00000000-0005-0000-0000-0000B68C0000}"/>
    <cellStyle name="40 % - Markeringsfarve6 3 3 6 2 2 3" xfId="15305" xr:uid="{00000000-0005-0000-0000-0000B78C0000}"/>
    <cellStyle name="40 % - Markeringsfarve6 3 3 6 2 2 3 2" xfId="31584" xr:uid="{00000000-0005-0000-0000-0000B88C0000}"/>
    <cellStyle name="40 % - Markeringsfarve6 3 3 6 2 2 3 3" xfId="46544" xr:uid="{00000000-0005-0000-0000-0000B98C0000}"/>
    <cellStyle name="40 % - Markeringsfarve6 3 3 6 2 2 4" xfId="24582" xr:uid="{00000000-0005-0000-0000-0000BA8C0000}"/>
    <cellStyle name="40 % - Markeringsfarve6 3 3 6 2 2 5" xfId="39547" xr:uid="{00000000-0005-0000-0000-0000BB8C0000}"/>
    <cellStyle name="40 % - Markeringsfarve6 3 3 6 2 3" xfId="8884" xr:uid="{00000000-0005-0000-0000-0000BC8C0000}"/>
    <cellStyle name="40 % - Markeringsfarve6 3 3 6 2 3 2" xfId="16751" xr:uid="{00000000-0005-0000-0000-0000BD8C0000}"/>
    <cellStyle name="40 % - Markeringsfarve6 3 3 6 2 3 2 2" xfId="33027" xr:uid="{00000000-0005-0000-0000-0000BE8C0000}"/>
    <cellStyle name="40 % - Markeringsfarve6 3 3 6 2 3 2 3" xfId="47986" xr:uid="{00000000-0005-0000-0000-0000BF8C0000}"/>
    <cellStyle name="40 % - Markeringsfarve6 3 3 6 2 3 3" xfId="26025" xr:uid="{00000000-0005-0000-0000-0000C08C0000}"/>
    <cellStyle name="40 % - Markeringsfarve6 3 3 6 2 3 4" xfId="40989" xr:uid="{00000000-0005-0000-0000-0000C18C0000}"/>
    <cellStyle name="40 % - Markeringsfarve6 3 3 6 2 4" xfId="15304" xr:uid="{00000000-0005-0000-0000-0000C28C0000}"/>
    <cellStyle name="40 % - Markeringsfarve6 3 3 6 2 4 2" xfId="31583" xr:uid="{00000000-0005-0000-0000-0000C38C0000}"/>
    <cellStyle name="40 % - Markeringsfarve6 3 3 6 2 4 3" xfId="46543" xr:uid="{00000000-0005-0000-0000-0000C48C0000}"/>
    <cellStyle name="40 % - Markeringsfarve6 3 3 6 2 5" xfId="24581" xr:uid="{00000000-0005-0000-0000-0000C58C0000}"/>
    <cellStyle name="40 % - Markeringsfarve6 3 3 6 2 6" xfId="39546" xr:uid="{00000000-0005-0000-0000-0000C68C0000}"/>
    <cellStyle name="40 % - Markeringsfarve6 3 3 6 3" xfId="6821" xr:uid="{00000000-0005-0000-0000-0000C78C0000}"/>
    <cellStyle name="40 % - Markeringsfarve6 3 3 6 3 2" xfId="9668" xr:uid="{00000000-0005-0000-0000-0000C88C0000}"/>
    <cellStyle name="40 % - Markeringsfarve6 3 3 6 3 2 2" xfId="17531" xr:uid="{00000000-0005-0000-0000-0000C98C0000}"/>
    <cellStyle name="40 % - Markeringsfarve6 3 3 6 3 2 2 2" xfId="33807" xr:uid="{00000000-0005-0000-0000-0000CA8C0000}"/>
    <cellStyle name="40 % - Markeringsfarve6 3 3 6 3 2 2 3" xfId="48766" xr:uid="{00000000-0005-0000-0000-0000CB8C0000}"/>
    <cellStyle name="40 % - Markeringsfarve6 3 3 6 3 2 3" xfId="26805" xr:uid="{00000000-0005-0000-0000-0000CC8C0000}"/>
    <cellStyle name="40 % - Markeringsfarve6 3 3 6 3 2 4" xfId="41769" xr:uid="{00000000-0005-0000-0000-0000CD8C0000}"/>
    <cellStyle name="40 % - Markeringsfarve6 3 3 6 3 3" xfId="15306" xr:uid="{00000000-0005-0000-0000-0000CE8C0000}"/>
    <cellStyle name="40 % - Markeringsfarve6 3 3 6 3 3 2" xfId="31585" xr:uid="{00000000-0005-0000-0000-0000CF8C0000}"/>
    <cellStyle name="40 % - Markeringsfarve6 3 3 6 3 3 3" xfId="46545" xr:uid="{00000000-0005-0000-0000-0000D08C0000}"/>
    <cellStyle name="40 % - Markeringsfarve6 3 3 6 3 4" xfId="24583" xr:uid="{00000000-0005-0000-0000-0000D18C0000}"/>
    <cellStyle name="40 % - Markeringsfarve6 3 3 6 3 5" xfId="39548" xr:uid="{00000000-0005-0000-0000-0000D28C0000}"/>
    <cellStyle name="40 % - Markeringsfarve6 3 3 6 4" xfId="6822" xr:uid="{00000000-0005-0000-0000-0000D38C0000}"/>
    <cellStyle name="40 % - Markeringsfarve6 3 3 6 4 2" xfId="10900" xr:uid="{00000000-0005-0000-0000-0000D48C0000}"/>
    <cellStyle name="40 % - Markeringsfarve6 3 3 6 4 2 2" xfId="18736" xr:uid="{00000000-0005-0000-0000-0000D58C0000}"/>
    <cellStyle name="40 % - Markeringsfarve6 3 3 6 4 2 2 2" xfId="35012" xr:uid="{00000000-0005-0000-0000-0000D68C0000}"/>
    <cellStyle name="40 % - Markeringsfarve6 3 3 6 4 2 2 3" xfId="49971" xr:uid="{00000000-0005-0000-0000-0000D78C0000}"/>
    <cellStyle name="40 % - Markeringsfarve6 3 3 6 4 2 3" xfId="28010" xr:uid="{00000000-0005-0000-0000-0000D88C0000}"/>
    <cellStyle name="40 % - Markeringsfarve6 3 3 6 4 2 4" xfId="42974" xr:uid="{00000000-0005-0000-0000-0000D98C0000}"/>
    <cellStyle name="40 % - Markeringsfarve6 3 3 6 4 3" xfId="15307" xr:uid="{00000000-0005-0000-0000-0000DA8C0000}"/>
    <cellStyle name="40 % - Markeringsfarve6 3 3 6 4 3 2" xfId="31586" xr:uid="{00000000-0005-0000-0000-0000DB8C0000}"/>
    <cellStyle name="40 % - Markeringsfarve6 3 3 6 4 3 3" xfId="46546" xr:uid="{00000000-0005-0000-0000-0000DC8C0000}"/>
    <cellStyle name="40 % - Markeringsfarve6 3 3 6 4 4" xfId="24584" xr:uid="{00000000-0005-0000-0000-0000DD8C0000}"/>
    <cellStyle name="40 % - Markeringsfarve6 3 3 6 4 5" xfId="39549" xr:uid="{00000000-0005-0000-0000-0000DE8C0000}"/>
    <cellStyle name="40 % - Markeringsfarve6 3 3 6 5" xfId="8274" xr:uid="{00000000-0005-0000-0000-0000DF8C0000}"/>
    <cellStyle name="40 % - Markeringsfarve6 3 3 6 5 2" xfId="16139" xr:uid="{00000000-0005-0000-0000-0000E08C0000}"/>
    <cellStyle name="40 % - Markeringsfarve6 3 3 6 5 2 2" xfId="32415" xr:uid="{00000000-0005-0000-0000-0000E18C0000}"/>
    <cellStyle name="40 % - Markeringsfarve6 3 3 6 5 2 3" xfId="47374" xr:uid="{00000000-0005-0000-0000-0000E28C0000}"/>
    <cellStyle name="40 % - Markeringsfarve6 3 3 6 5 3" xfId="25413" xr:uid="{00000000-0005-0000-0000-0000E38C0000}"/>
    <cellStyle name="40 % - Markeringsfarve6 3 3 6 5 4" xfId="40377" xr:uid="{00000000-0005-0000-0000-0000E48C0000}"/>
    <cellStyle name="40 % - Markeringsfarve6 3 3 6 6" xfId="15303" xr:uid="{00000000-0005-0000-0000-0000E58C0000}"/>
    <cellStyle name="40 % - Markeringsfarve6 3 3 6 6 2" xfId="31582" xr:uid="{00000000-0005-0000-0000-0000E68C0000}"/>
    <cellStyle name="40 % - Markeringsfarve6 3 3 6 6 3" xfId="46542" xr:uid="{00000000-0005-0000-0000-0000E78C0000}"/>
    <cellStyle name="40 % - Markeringsfarve6 3 3 6 7" xfId="24580" xr:uid="{00000000-0005-0000-0000-0000E88C0000}"/>
    <cellStyle name="40 % - Markeringsfarve6 3 3 6 8" xfId="39545" xr:uid="{00000000-0005-0000-0000-0000E98C0000}"/>
    <cellStyle name="40 % - Markeringsfarve6 3 3 7" xfId="6823" xr:uid="{00000000-0005-0000-0000-0000EA8C0000}"/>
    <cellStyle name="40 % - Markeringsfarve6 3 3 7 2" xfId="6824" xr:uid="{00000000-0005-0000-0000-0000EB8C0000}"/>
    <cellStyle name="40 % - Markeringsfarve6 3 3 7 2 2" xfId="9798" xr:uid="{00000000-0005-0000-0000-0000EC8C0000}"/>
    <cellStyle name="40 % - Markeringsfarve6 3 3 7 2 2 2" xfId="17652" xr:uid="{00000000-0005-0000-0000-0000ED8C0000}"/>
    <cellStyle name="40 % - Markeringsfarve6 3 3 7 2 2 2 2" xfId="33928" xr:uid="{00000000-0005-0000-0000-0000EE8C0000}"/>
    <cellStyle name="40 % - Markeringsfarve6 3 3 7 2 2 2 3" xfId="48887" xr:uid="{00000000-0005-0000-0000-0000EF8C0000}"/>
    <cellStyle name="40 % - Markeringsfarve6 3 3 7 2 2 3" xfId="26926" xr:uid="{00000000-0005-0000-0000-0000F08C0000}"/>
    <cellStyle name="40 % - Markeringsfarve6 3 3 7 2 2 4" xfId="41890" xr:uid="{00000000-0005-0000-0000-0000F18C0000}"/>
    <cellStyle name="40 % - Markeringsfarve6 3 3 7 2 3" xfId="15309" xr:uid="{00000000-0005-0000-0000-0000F28C0000}"/>
    <cellStyle name="40 % - Markeringsfarve6 3 3 7 2 3 2" xfId="31588" xr:uid="{00000000-0005-0000-0000-0000F38C0000}"/>
    <cellStyle name="40 % - Markeringsfarve6 3 3 7 2 3 3" xfId="46548" xr:uid="{00000000-0005-0000-0000-0000F48C0000}"/>
    <cellStyle name="40 % - Markeringsfarve6 3 3 7 2 4" xfId="24586" xr:uid="{00000000-0005-0000-0000-0000F58C0000}"/>
    <cellStyle name="40 % - Markeringsfarve6 3 3 7 2 5" xfId="39551" xr:uid="{00000000-0005-0000-0000-0000F68C0000}"/>
    <cellStyle name="40 % - Markeringsfarve6 3 3 7 3" xfId="8385" xr:uid="{00000000-0005-0000-0000-0000F78C0000}"/>
    <cellStyle name="40 % - Markeringsfarve6 3 3 7 3 2" xfId="16255" xr:uid="{00000000-0005-0000-0000-0000F88C0000}"/>
    <cellStyle name="40 % - Markeringsfarve6 3 3 7 3 2 2" xfId="32531" xr:uid="{00000000-0005-0000-0000-0000F98C0000}"/>
    <cellStyle name="40 % - Markeringsfarve6 3 3 7 3 2 3" xfId="47490" xr:uid="{00000000-0005-0000-0000-0000FA8C0000}"/>
    <cellStyle name="40 % - Markeringsfarve6 3 3 7 3 3" xfId="25529" xr:uid="{00000000-0005-0000-0000-0000FB8C0000}"/>
    <cellStyle name="40 % - Markeringsfarve6 3 3 7 3 4" xfId="40493" xr:uid="{00000000-0005-0000-0000-0000FC8C0000}"/>
    <cellStyle name="40 % - Markeringsfarve6 3 3 7 4" xfId="15308" xr:uid="{00000000-0005-0000-0000-0000FD8C0000}"/>
    <cellStyle name="40 % - Markeringsfarve6 3 3 7 4 2" xfId="31587" xr:uid="{00000000-0005-0000-0000-0000FE8C0000}"/>
    <cellStyle name="40 % - Markeringsfarve6 3 3 7 4 3" xfId="46547" xr:uid="{00000000-0005-0000-0000-0000FF8C0000}"/>
    <cellStyle name="40 % - Markeringsfarve6 3 3 7 5" xfId="24585" xr:uid="{00000000-0005-0000-0000-0000008D0000}"/>
    <cellStyle name="40 % - Markeringsfarve6 3 3 7 6" xfId="39550" xr:uid="{00000000-0005-0000-0000-0000018D0000}"/>
    <cellStyle name="40 % - Markeringsfarve6 3 3 8" xfId="6825" xr:uid="{00000000-0005-0000-0000-0000028D0000}"/>
    <cellStyle name="40 % - Markeringsfarve6 3 3 8 2" xfId="9026" xr:uid="{00000000-0005-0000-0000-0000038D0000}"/>
    <cellStyle name="40 % - Markeringsfarve6 3 3 8 2 2" xfId="16890" xr:uid="{00000000-0005-0000-0000-0000048D0000}"/>
    <cellStyle name="40 % - Markeringsfarve6 3 3 8 2 2 2" xfId="33166" xr:uid="{00000000-0005-0000-0000-0000058D0000}"/>
    <cellStyle name="40 % - Markeringsfarve6 3 3 8 2 2 3" xfId="48125" xr:uid="{00000000-0005-0000-0000-0000068D0000}"/>
    <cellStyle name="40 % - Markeringsfarve6 3 3 8 2 3" xfId="26164" xr:uid="{00000000-0005-0000-0000-0000078D0000}"/>
    <cellStyle name="40 % - Markeringsfarve6 3 3 8 2 4" xfId="41128" xr:uid="{00000000-0005-0000-0000-0000088D0000}"/>
    <cellStyle name="40 % - Markeringsfarve6 3 3 8 3" xfId="15310" xr:uid="{00000000-0005-0000-0000-0000098D0000}"/>
    <cellStyle name="40 % - Markeringsfarve6 3 3 8 3 2" xfId="31589" xr:uid="{00000000-0005-0000-0000-00000A8D0000}"/>
    <cellStyle name="40 % - Markeringsfarve6 3 3 8 3 3" xfId="46549" xr:uid="{00000000-0005-0000-0000-00000B8D0000}"/>
    <cellStyle name="40 % - Markeringsfarve6 3 3 8 4" xfId="24587" xr:uid="{00000000-0005-0000-0000-00000C8D0000}"/>
    <cellStyle name="40 % - Markeringsfarve6 3 3 8 5" xfId="39552" xr:uid="{00000000-0005-0000-0000-00000D8D0000}"/>
    <cellStyle name="40 % - Markeringsfarve6 3 3 9" xfId="6826" xr:uid="{00000000-0005-0000-0000-00000E8D0000}"/>
    <cellStyle name="40 % - Markeringsfarve6 3 3 9 2" xfId="10768" xr:uid="{00000000-0005-0000-0000-00000F8D0000}"/>
    <cellStyle name="40 % - Markeringsfarve6 3 3 9 2 2" xfId="18610" xr:uid="{00000000-0005-0000-0000-0000108D0000}"/>
    <cellStyle name="40 % - Markeringsfarve6 3 3 9 2 2 2" xfId="34886" xr:uid="{00000000-0005-0000-0000-0000118D0000}"/>
    <cellStyle name="40 % - Markeringsfarve6 3 3 9 2 2 3" xfId="49845" xr:uid="{00000000-0005-0000-0000-0000128D0000}"/>
    <cellStyle name="40 % - Markeringsfarve6 3 3 9 2 3" xfId="27884" xr:uid="{00000000-0005-0000-0000-0000138D0000}"/>
    <cellStyle name="40 % - Markeringsfarve6 3 3 9 2 4" xfId="42848" xr:uid="{00000000-0005-0000-0000-0000148D0000}"/>
    <cellStyle name="40 % - Markeringsfarve6 3 3 9 3" xfId="15311" xr:uid="{00000000-0005-0000-0000-0000158D0000}"/>
    <cellStyle name="40 % - Markeringsfarve6 3 3 9 3 2" xfId="31590" xr:uid="{00000000-0005-0000-0000-0000168D0000}"/>
    <cellStyle name="40 % - Markeringsfarve6 3 3 9 3 3" xfId="46550" xr:uid="{00000000-0005-0000-0000-0000178D0000}"/>
    <cellStyle name="40 % - Markeringsfarve6 3 3 9 4" xfId="24588" xr:uid="{00000000-0005-0000-0000-0000188D0000}"/>
    <cellStyle name="40 % - Markeringsfarve6 3 3 9 5" xfId="39553" xr:uid="{00000000-0005-0000-0000-0000198D0000}"/>
    <cellStyle name="40 % - Markeringsfarve6 3 4" xfId="6827" xr:uid="{00000000-0005-0000-0000-00001A8D0000}"/>
    <cellStyle name="40 % - Markeringsfarve6 3 4 2" xfId="6828" xr:uid="{00000000-0005-0000-0000-00001B8D0000}"/>
    <cellStyle name="40 % - Markeringsfarve6 3 4 2 2" xfId="6829" xr:uid="{00000000-0005-0000-0000-00001C8D0000}"/>
    <cellStyle name="40 % - Markeringsfarve6 3 4 2 2 2" xfId="9838" xr:uid="{00000000-0005-0000-0000-00001D8D0000}"/>
    <cellStyle name="40 % - Markeringsfarve6 3 4 2 2 2 2" xfId="17693" xr:uid="{00000000-0005-0000-0000-00001E8D0000}"/>
    <cellStyle name="40 % - Markeringsfarve6 3 4 2 2 2 2 2" xfId="33969" xr:uid="{00000000-0005-0000-0000-00001F8D0000}"/>
    <cellStyle name="40 % - Markeringsfarve6 3 4 2 2 2 2 3" xfId="48928" xr:uid="{00000000-0005-0000-0000-0000208D0000}"/>
    <cellStyle name="40 % - Markeringsfarve6 3 4 2 2 2 3" xfId="26967" xr:uid="{00000000-0005-0000-0000-0000218D0000}"/>
    <cellStyle name="40 % - Markeringsfarve6 3 4 2 2 2 4" xfId="41931" xr:uid="{00000000-0005-0000-0000-0000228D0000}"/>
    <cellStyle name="40 % - Markeringsfarve6 3 4 2 2 3" xfId="15314" xr:uid="{00000000-0005-0000-0000-0000238D0000}"/>
    <cellStyle name="40 % - Markeringsfarve6 3 4 2 2 3 2" xfId="31593" xr:uid="{00000000-0005-0000-0000-0000248D0000}"/>
    <cellStyle name="40 % - Markeringsfarve6 3 4 2 2 3 3" xfId="46553" xr:uid="{00000000-0005-0000-0000-0000258D0000}"/>
    <cellStyle name="40 % - Markeringsfarve6 3 4 2 2 4" xfId="24591" xr:uid="{00000000-0005-0000-0000-0000268D0000}"/>
    <cellStyle name="40 % - Markeringsfarve6 3 4 2 2 5" xfId="39556" xr:uid="{00000000-0005-0000-0000-0000278D0000}"/>
    <cellStyle name="40 % - Markeringsfarve6 3 4 2 3" xfId="8418" xr:uid="{00000000-0005-0000-0000-0000288D0000}"/>
    <cellStyle name="40 % - Markeringsfarve6 3 4 2 3 2" xfId="16288" xr:uid="{00000000-0005-0000-0000-0000298D0000}"/>
    <cellStyle name="40 % - Markeringsfarve6 3 4 2 3 2 2" xfId="32564" xr:uid="{00000000-0005-0000-0000-00002A8D0000}"/>
    <cellStyle name="40 % - Markeringsfarve6 3 4 2 3 2 3" xfId="47523" xr:uid="{00000000-0005-0000-0000-00002B8D0000}"/>
    <cellStyle name="40 % - Markeringsfarve6 3 4 2 3 3" xfId="25562" xr:uid="{00000000-0005-0000-0000-00002C8D0000}"/>
    <cellStyle name="40 % - Markeringsfarve6 3 4 2 3 4" xfId="40526" xr:uid="{00000000-0005-0000-0000-00002D8D0000}"/>
    <cellStyle name="40 % - Markeringsfarve6 3 4 2 4" xfId="15313" xr:uid="{00000000-0005-0000-0000-00002E8D0000}"/>
    <cellStyle name="40 % - Markeringsfarve6 3 4 2 4 2" xfId="31592" xr:uid="{00000000-0005-0000-0000-00002F8D0000}"/>
    <cellStyle name="40 % - Markeringsfarve6 3 4 2 4 3" xfId="46552" xr:uid="{00000000-0005-0000-0000-0000308D0000}"/>
    <cellStyle name="40 % - Markeringsfarve6 3 4 2 5" xfId="24590" xr:uid="{00000000-0005-0000-0000-0000318D0000}"/>
    <cellStyle name="40 % - Markeringsfarve6 3 4 2 6" xfId="39555" xr:uid="{00000000-0005-0000-0000-0000328D0000}"/>
    <cellStyle name="40 % - Markeringsfarve6 3 4 3" xfId="6830" xr:uid="{00000000-0005-0000-0000-0000338D0000}"/>
    <cellStyle name="40 % - Markeringsfarve6 3 4 3 2" xfId="9069" xr:uid="{00000000-0005-0000-0000-0000348D0000}"/>
    <cellStyle name="40 % - Markeringsfarve6 3 4 3 2 2" xfId="16933" xr:uid="{00000000-0005-0000-0000-0000358D0000}"/>
    <cellStyle name="40 % - Markeringsfarve6 3 4 3 2 2 2" xfId="33209" xr:uid="{00000000-0005-0000-0000-0000368D0000}"/>
    <cellStyle name="40 % - Markeringsfarve6 3 4 3 2 2 3" xfId="48168" xr:uid="{00000000-0005-0000-0000-0000378D0000}"/>
    <cellStyle name="40 % - Markeringsfarve6 3 4 3 2 3" xfId="26207" xr:uid="{00000000-0005-0000-0000-0000388D0000}"/>
    <cellStyle name="40 % - Markeringsfarve6 3 4 3 2 4" xfId="41171" xr:uid="{00000000-0005-0000-0000-0000398D0000}"/>
    <cellStyle name="40 % - Markeringsfarve6 3 4 3 3" xfId="15315" xr:uid="{00000000-0005-0000-0000-00003A8D0000}"/>
    <cellStyle name="40 % - Markeringsfarve6 3 4 3 3 2" xfId="31594" xr:uid="{00000000-0005-0000-0000-00003B8D0000}"/>
    <cellStyle name="40 % - Markeringsfarve6 3 4 3 3 3" xfId="46554" xr:uid="{00000000-0005-0000-0000-00003C8D0000}"/>
    <cellStyle name="40 % - Markeringsfarve6 3 4 3 4" xfId="24592" xr:uid="{00000000-0005-0000-0000-00003D8D0000}"/>
    <cellStyle name="40 % - Markeringsfarve6 3 4 3 5" xfId="39557" xr:uid="{00000000-0005-0000-0000-00003E8D0000}"/>
    <cellStyle name="40 % - Markeringsfarve6 3 4 4" xfId="6831" xr:uid="{00000000-0005-0000-0000-00003F8D0000}"/>
    <cellStyle name="40 % - Markeringsfarve6 3 4 4 2" xfId="10625" xr:uid="{00000000-0005-0000-0000-0000408D0000}"/>
    <cellStyle name="40 % - Markeringsfarve6 3 4 4 2 2" xfId="18473" xr:uid="{00000000-0005-0000-0000-0000418D0000}"/>
    <cellStyle name="40 % - Markeringsfarve6 3 4 4 2 2 2" xfId="34749" xr:uid="{00000000-0005-0000-0000-0000428D0000}"/>
    <cellStyle name="40 % - Markeringsfarve6 3 4 4 2 2 3" xfId="49708" xr:uid="{00000000-0005-0000-0000-0000438D0000}"/>
    <cellStyle name="40 % - Markeringsfarve6 3 4 4 2 3" xfId="27747" xr:uid="{00000000-0005-0000-0000-0000448D0000}"/>
    <cellStyle name="40 % - Markeringsfarve6 3 4 4 2 4" xfId="42711" xr:uid="{00000000-0005-0000-0000-0000458D0000}"/>
    <cellStyle name="40 % - Markeringsfarve6 3 4 4 3" xfId="15316" xr:uid="{00000000-0005-0000-0000-0000468D0000}"/>
    <cellStyle name="40 % - Markeringsfarve6 3 4 4 3 2" xfId="31595" xr:uid="{00000000-0005-0000-0000-0000478D0000}"/>
    <cellStyle name="40 % - Markeringsfarve6 3 4 4 3 3" xfId="46555" xr:uid="{00000000-0005-0000-0000-0000488D0000}"/>
    <cellStyle name="40 % - Markeringsfarve6 3 4 4 4" xfId="24593" xr:uid="{00000000-0005-0000-0000-0000498D0000}"/>
    <cellStyle name="40 % - Markeringsfarve6 3 4 4 5" xfId="39558" xr:uid="{00000000-0005-0000-0000-00004A8D0000}"/>
    <cellStyle name="40 % - Markeringsfarve6 3 4 5" xfId="8275" xr:uid="{00000000-0005-0000-0000-00004B8D0000}"/>
    <cellStyle name="40 % - Markeringsfarve6 3 4 5 2" xfId="16140" xr:uid="{00000000-0005-0000-0000-00004C8D0000}"/>
    <cellStyle name="40 % - Markeringsfarve6 3 4 5 2 2" xfId="32416" xr:uid="{00000000-0005-0000-0000-00004D8D0000}"/>
    <cellStyle name="40 % - Markeringsfarve6 3 4 5 2 3" xfId="47375" xr:uid="{00000000-0005-0000-0000-00004E8D0000}"/>
    <cellStyle name="40 % - Markeringsfarve6 3 4 5 3" xfId="25414" xr:uid="{00000000-0005-0000-0000-00004F8D0000}"/>
    <cellStyle name="40 % - Markeringsfarve6 3 4 5 4" xfId="40378" xr:uid="{00000000-0005-0000-0000-0000508D0000}"/>
    <cellStyle name="40 % - Markeringsfarve6 3 4 6" xfId="15312" xr:uid="{00000000-0005-0000-0000-0000518D0000}"/>
    <cellStyle name="40 % - Markeringsfarve6 3 4 6 2" xfId="31591" xr:uid="{00000000-0005-0000-0000-0000528D0000}"/>
    <cellStyle name="40 % - Markeringsfarve6 3 4 6 3" xfId="46551" xr:uid="{00000000-0005-0000-0000-0000538D0000}"/>
    <cellStyle name="40 % - Markeringsfarve6 3 4 7" xfId="24589" xr:uid="{00000000-0005-0000-0000-0000548D0000}"/>
    <cellStyle name="40 % - Markeringsfarve6 3 4 8" xfId="39554" xr:uid="{00000000-0005-0000-0000-0000558D0000}"/>
    <cellStyle name="40 % - Markeringsfarve6 3 5" xfId="6832" xr:uid="{00000000-0005-0000-0000-0000568D0000}"/>
    <cellStyle name="40 % - Markeringsfarve6 3 5 2" xfId="6833" xr:uid="{00000000-0005-0000-0000-0000578D0000}"/>
    <cellStyle name="40 % - Markeringsfarve6 3 5 2 2" xfId="6834" xr:uid="{00000000-0005-0000-0000-0000588D0000}"/>
    <cellStyle name="40 % - Markeringsfarve6 3 5 2 2 2" xfId="10034" xr:uid="{00000000-0005-0000-0000-0000598D0000}"/>
    <cellStyle name="40 % - Markeringsfarve6 3 5 2 2 2 2" xfId="17889" xr:uid="{00000000-0005-0000-0000-00005A8D0000}"/>
    <cellStyle name="40 % - Markeringsfarve6 3 5 2 2 2 2 2" xfId="34165" xr:uid="{00000000-0005-0000-0000-00005B8D0000}"/>
    <cellStyle name="40 % - Markeringsfarve6 3 5 2 2 2 2 3" xfId="49124" xr:uid="{00000000-0005-0000-0000-00005C8D0000}"/>
    <cellStyle name="40 % - Markeringsfarve6 3 5 2 2 2 3" xfId="27163" xr:uid="{00000000-0005-0000-0000-00005D8D0000}"/>
    <cellStyle name="40 % - Markeringsfarve6 3 5 2 2 2 4" xfId="42127" xr:uid="{00000000-0005-0000-0000-00005E8D0000}"/>
    <cellStyle name="40 % - Markeringsfarve6 3 5 2 2 3" xfId="15319" xr:uid="{00000000-0005-0000-0000-00005F8D0000}"/>
    <cellStyle name="40 % - Markeringsfarve6 3 5 2 2 3 2" xfId="31598" xr:uid="{00000000-0005-0000-0000-0000608D0000}"/>
    <cellStyle name="40 % - Markeringsfarve6 3 5 2 2 3 3" xfId="46558" xr:uid="{00000000-0005-0000-0000-0000618D0000}"/>
    <cellStyle name="40 % - Markeringsfarve6 3 5 2 2 4" xfId="24596" xr:uid="{00000000-0005-0000-0000-0000628D0000}"/>
    <cellStyle name="40 % - Markeringsfarve6 3 5 2 2 5" xfId="39561" xr:uid="{00000000-0005-0000-0000-0000638D0000}"/>
    <cellStyle name="40 % - Markeringsfarve6 3 5 2 3" xfId="8581" xr:uid="{00000000-0005-0000-0000-0000648D0000}"/>
    <cellStyle name="40 % - Markeringsfarve6 3 5 2 3 2" xfId="16451" xr:uid="{00000000-0005-0000-0000-0000658D0000}"/>
    <cellStyle name="40 % - Markeringsfarve6 3 5 2 3 2 2" xfId="32727" xr:uid="{00000000-0005-0000-0000-0000668D0000}"/>
    <cellStyle name="40 % - Markeringsfarve6 3 5 2 3 2 3" xfId="47686" xr:uid="{00000000-0005-0000-0000-0000678D0000}"/>
    <cellStyle name="40 % - Markeringsfarve6 3 5 2 3 3" xfId="25725" xr:uid="{00000000-0005-0000-0000-0000688D0000}"/>
    <cellStyle name="40 % - Markeringsfarve6 3 5 2 3 4" xfId="40689" xr:uid="{00000000-0005-0000-0000-0000698D0000}"/>
    <cellStyle name="40 % - Markeringsfarve6 3 5 2 4" xfId="15318" xr:uid="{00000000-0005-0000-0000-00006A8D0000}"/>
    <cellStyle name="40 % - Markeringsfarve6 3 5 2 4 2" xfId="31597" xr:uid="{00000000-0005-0000-0000-00006B8D0000}"/>
    <cellStyle name="40 % - Markeringsfarve6 3 5 2 4 3" xfId="46557" xr:uid="{00000000-0005-0000-0000-00006C8D0000}"/>
    <cellStyle name="40 % - Markeringsfarve6 3 5 2 5" xfId="24595" xr:uid="{00000000-0005-0000-0000-00006D8D0000}"/>
    <cellStyle name="40 % - Markeringsfarve6 3 5 2 6" xfId="39560" xr:uid="{00000000-0005-0000-0000-00006E8D0000}"/>
    <cellStyle name="40 % - Markeringsfarve6 3 5 3" xfId="6835" xr:uid="{00000000-0005-0000-0000-00006F8D0000}"/>
    <cellStyle name="40 % - Markeringsfarve6 3 5 3 2" xfId="9265" xr:uid="{00000000-0005-0000-0000-0000708D0000}"/>
    <cellStyle name="40 % - Markeringsfarve6 3 5 3 2 2" xfId="17129" xr:uid="{00000000-0005-0000-0000-0000718D0000}"/>
    <cellStyle name="40 % - Markeringsfarve6 3 5 3 2 2 2" xfId="33405" xr:uid="{00000000-0005-0000-0000-0000728D0000}"/>
    <cellStyle name="40 % - Markeringsfarve6 3 5 3 2 2 3" xfId="48364" xr:uid="{00000000-0005-0000-0000-0000738D0000}"/>
    <cellStyle name="40 % - Markeringsfarve6 3 5 3 2 3" xfId="26403" xr:uid="{00000000-0005-0000-0000-0000748D0000}"/>
    <cellStyle name="40 % - Markeringsfarve6 3 5 3 2 4" xfId="41367" xr:uid="{00000000-0005-0000-0000-0000758D0000}"/>
    <cellStyle name="40 % - Markeringsfarve6 3 5 3 3" xfId="15320" xr:uid="{00000000-0005-0000-0000-0000768D0000}"/>
    <cellStyle name="40 % - Markeringsfarve6 3 5 3 3 2" xfId="31599" xr:uid="{00000000-0005-0000-0000-0000778D0000}"/>
    <cellStyle name="40 % - Markeringsfarve6 3 5 3 3 3" xfId="46559" xr:uid="{00000000-0005-0000-0000-0000788D0000}"/>
    <cellStyle name="40 % - Markeringsfarve6 3 5 3 4" xfId="24597" xr:uid="{00000000-0005-0000-0000-0000798D0000}"/>
    <cellStyle name="40 % - Markeringsfarve6 3 5 3 5" xfId="39562" xr:uid="{00000000-0005-0000-0000-00007A8D0000}"/>
    <cellStyle name="40 % - Markeringsfarve6 3 5 4" xfId="6836" xr:uid="{00000000-0005-0000-0000-00007B8D0000}"/>
    <cellStyle name="40 % - Markeringsfarve6 3 5 4 2" xfId="10828" xr:uid="{00000000-0005-0000-0000-00007C8D0000}"/>
    <cellStyle name="40 % - Markeringsfarve6 3 5 4 2 2" xfId="18666" xr:uid="{00000000-0005-0000-0000-00007D8D0000}"/>
    <cellStyle name="40 % - Markeringsfarve6 3 5 4 2 2 2" xfId="34942" xr:uid="{00000000-0005-0000-0000-00007E8D0000}"/>
    <cellStyle name="40 % - Markeringsfarve6 3 5 4 2 2 3" xfId="49901" xr:uid="{00000000-0005-0000-0000-00007F8D0000}"/>
    <cellStyle name="40 % - Markeringsfarve6 3 5 4 2 3" xfId="27940" xr:uid="{00000000-0005-0000-0000-0000808D0000}"/>
    <cellStyle name="40 % - Markeringsfarve6 3 5 4 2 4" xfId="42904" xr:uid="{00000000-0005-0000-0000-0000818D0000}"/>
    <cellStyle name="40 % - Markeringsfarve6 3 5 4 3" xfId="15321" xr:uid="{00000000-0005-0000-0000-0000828D0000}"/>
    <cellStyle name="40 % - Markeringsfarve6 3 5 4 3 2" xfId="31600" xr:uid="{00000000-0005-0000-0000-0000838D0000}"/>
    <cellStyle name="40 % - Markeringsfarve6 3 5 4 3 3" xfId="46560" xr:uid="{00000000-0005-0000-0000-0000848D0000}"/>
    <cellStyle name="40 % - Markeringsfarve6 3 5 4 4" xfId="24598" xr:uid="{00000000-0005-0000-0000-0000858D0000}"/>
    <cellStyle name="40 % - Markeringsfarve6 3 5 4 5" xfId="39563" xr:uid="{00000000-0005-0000-0000-0000868D0000}"/>
    <cellStyle name="40 % - Markeringsfarve6 3 5 5" xfId="8276" xr:uid="{00000000-0005-0000-0000-0000878D0000}"/>
    <cellStyle name="40 % - Markeringsfarve6 3 5 5 2" xfId="16141" xr:uid="{00000000-0005-0000-0000-0000888D0000}"/>
    <cellStyle name="40 % - Markeringsfarve6 3 5 5 2 2" xfId="32417" xr:uid="{00000000-0005-0000-0000-0000898D0000}"/>
    <cellStyle name="40 % - Markeringsfarve6 3 5 5 2 3" xfId="47376" xr:uid="{00000000-0005-0000-0000-00008A8D0000}"/>
    <cellStyle name="40 % - Markeringsfarve6 3 5 5 3" xfId="25415" xr:uid="{00000000-0005-0000-0000-00008B8D0000}"/>
    <cellStyle name="40 % - Markeringsfarve6 3 5 5 4" xfId="40379" xr:uid="{00000000-0005-0000-0000-00008C8D0000}"/>
    <cellStyle name="40 % - Markeringsfarve6 3 5 6" xfId="15317" xr:uid="{00000000-0005-0000-0000-00008D8D0000}"/>
    <cellStyle name="40 % - Markeringsfarve6 3 5 6 2" xfId="31596" xr:uid="{00000000-0005-0000-0000-00008E8D0000}"/>
    <cellStyle name="40 % - Markeringsfarve6 3 5 6 3" xfId="46556" xr:uid="{00000000-0005-0000-0000-00008F8D0000}"/>
    <cellStyle name="40 % - Markeringsfarve6 3 5 7" xfId="24594" xr:uid="{00000000-0005-0000-0000-0000908D0000}"/>
    <cellStyle name="40 % - Markeringsfarve6 3 5 8" xfId="39559" xr:uid="{00000000-0005-0000-0000-0000918D0000}"/>
    <cellStyle name="40 % - Markeringsfarve6 3 6" xfId="6837" xr:uid="{00000000-0005-0000-0000-0000928D0000}"/>
    <cellStyle name="40 % - Markeringsfarve6 3 6 2" xfId="6838" xr:uid="{00000000-0005-0000-0000-0000938D0000}"/>
    <cellStyle name="40 % - Markeringsfarve6 3 6 2 2" xfId="6839" xr:uid="{00000000-0005-0000-0000-0000948D0000}"/>
    <cellStyle name="40 % - Markeringsfarve6 3 6 2 2 2" xfId="10076" xr:uid="{00000000-0005-0000-0000-0000958D0000}"/>
    <cellStyle name="40 % - Markeringsfarve6 3 6 2 2 2 2" xfId="17931" xr:uid="{00000000-0005-0000-0000-0000968D0000}"/>
    <cellStyle name="40 % - Markeringsfarve6 3 6 2 2 2 2 2" xfId="34207" xr:uid="{00000000-0005-0000-0000-0000978D0000}"/>
    <cellStyle name="40 % - Markeringsfarve6 3 6 2 2 2 2 3" xfId="49166" xr:uid="{00000000-0005-0000-0000-0000988D0000}"/>
    <cellStyle name="40 % - Markeringsfarve6 3 6 2 2 2 3" xfId="27205" xr:uid="{00000000-0005-0000-0000-0000998D0000}"/>
    <cellStyle name="40 % - Markeringsfarve6 3 6 2 2 2 4" xfId="42169" xr:uid="{00000000-0005-0000-0000-00009A8D0000}"/>
    <cellStyle name="40 % - Markeringsfarve6 3 6 2 2 3" xfId="15324" xr:uid="{00000000-0005-0000-0000-00009B8D0000}"/>
    <cellStyle name="40 % - Markeringsfarve6 3 6 2 2 3 2" xfId="31603" xr:uid="{00000000-0005-0000-0000-00009C8D0000}"/>
    <cellStyle name="40 % - Markeringsfarve6 3 6 2 2 3 3" xfId="46563" xr:uid="{00000000-0005-0000-0000-00009D8D0000}"/>
    <cellStyle name="40 % - Markeringsfarve6 3 6 2 2 4" xfId="24601" xr:uid="{00000000-0005-0000-0000-00009E8D0000}"/>
    <cellStyle name="40 % - Markeringsfarve6 3 6 2 2 5" xfId="39566" xr:uid="{00000000-0005-0000-0000-00009F8D0000}"/>
    <cellStyle name="40 % - Markeringsfarve6 3 6 2 3" xfId="8620" xr:uid="{00000000-0005-0000-0000-0000A08D0000}"/>
    <cellStyle name="40 % - Markeringsfarve6 3 6 2 3 2" xfId="16487" xr:uid="{00000000-0005-0000-0000-0000A18D0000}"/>
    <cellStyle name="40 % - Markeringsfarve6 3 6 2 3 2 2" xfId="32763" xr:uid="{00000000-0005-0000-0000-0000A28D0000}"/>
    <cellStyle name="40 % - Markeringsfarve6 3 6 2 3 2 3" xfId="47722" xr:uid="{00000000-0005-0000-0000-0000A38D0000}"/>
    <cellStyle name="40 % - Markeringsfarve6 3 6 2 3 3" xfId="25761" xr:uid="{00000000-0005-0000-0000-0000A48D0000}"/>
    <cellStyle name="40 % - Markeringsfarve6 3 6 2 3 4" xfId="40725" xr:uid="{00000000-0005-0000-0000-0000A58D0000}"/>
    <cellStyle name="40 % - Markeringsfarve6 3 6 2 4" xfId="15323" xr:uid="{00000000-0005-0000-0000-0000A68D0000}"/>
    <cellStyle name="40 % - Markeringsfarve6 3 6 2 4 2" xfId="31602" xr:uid="{00000000-0005-0000-0000-0000A78D0000}"/>
    <cellStyle name="40 % - Markeringsfarve6 3 6 2 4 3" xfId="46562" xr:uid="{00000000-0005-0000-0000-0000A88D0000}"/>
    <cellStyle name="40 % - Markeringsfarve6 3 6 2 5" xfId="24600" xr:uid="{00000000-0005-0000-0000-0000A98D0000}"/>
    <cellStyle name="40 % - Markeringsfarve6 3 6 2 6" xfId="39565" xr:uid="{00000000-0005-0000-0000-0000AA8D0000}"/>
    <cellStyle name="40 % - Markeringsfarve6 3 6 3" xfId="6840" xr:uid="{00000000-0005-0000-0000-0000AB8D0000}"/>
    <cellStyle name="40 % - Markeringsfarve6 3 6 3 2" xfId="9353" xr:uid="{00000000-0005-0000-0000-0000AC8D0000}"/>
    <cellStyle name="40 % - Markeringsfarve6 3 6 3 2 2" xfId="17216" xr:uid="{00000000-0005-0000-0000-0000AD8D0000}"/>
    <cellStyle name="40 % - Markeringsfarve6 3 6 3 2 2 2" xfId="33492" xr:uid="{00000000-0005-0000-0000-0000AE8D0000}"/>
    <cellStyle name="40 % - Markeringsfarve6 3 6 3 2 2 3" xfId="48451" xr:uid="{00000000-0005-0000-0000-0000AF8D0000}"/>
    <cellStyle name="40 % - Markeringsfarve6 3 6 3 2 3" xfId="26490" xr:uid="{00000000-0005-0000-0000-0000B08D0000}"/>
    <cellStyle name="40 % - Markeringsfarve6 3 6 3 2 4" xfId="41454" xr:uid="{00000000-0005-0000-0000-0000B18D0000}"/>
    <cellStyle name="40 % - Markeringsfarve6 3 6 3 3" xfId="15325" xr:uid="{00000000-0005-0000-0000-0000B28D0000}"/>
    <cellStyle name="40 % - Markeringsfarve6 3 6 3 3 2" xfId="31604" xr:uid="{00000000-0005-0000-0000-0000B38D0000}"/>
    <cellStyle name="40 % - Markeringsfarve6 3 6 3 3 3" xfId="46564" xr:uid="{00000000-0005-0000-0000-0000B48D0000}"/>
    <cellStyle name="40 % - Markeringsfarve6 3 6 3 4" xfId="24602" xr:uid="{00000000-0005-0000-0000-0000B58D0000}"/>
    <cellStyle name="40 % - Markeringsfarve6 3 6 3 5" xfId="39567" xr:uid="{00000000-0005-0000-0000-0000B68D0000}"/>
    <cellStyle name="40 % - Markeringsfarve6 3 6 4" xfId="6841" xr:uid="{00000000-0005-0000-0000-0000B78D0000}"/>
    <cellStyle name="40 % - Markeringsfarve6 3 6 4 2" xfId="10478" xr:uid="{00000000-0005-0000-0000-0000B88D0000}"/>
    <cellStyle name="40 % - Markeringsfarve6 3 6 4 2 2" xfId="18327" xr:uid="{00000000-0005-0000-0000-0000B98D0000}"/>
    <cellStyle name="40 % - Markeringsfarve6 3 6 4 2 2 2" xfId="34603" xr:uid="{00000000-0005-0000-0000-0000BA8D0000}"/>
    <cellStyle name="40 % - Markeringsfarve6 3 6 4 2 2 3" xfId="49562" xr:uid="{00000000-0005-0000-0000-0000BB8D0000}"/>
    <cellStyle name="40 % - Markeringsfarve6 3 6 4 2 3" xfId="27601" xr:uid="{00000000-0005-0000-0000-0000BC8D0000}"/>
    <cellStyle name="40 % - Markeringsfarve6 3 6 4 2 4" xfId="42565" xr:uid="{00000000-0005-0000-0000-0000BD8D0000}"/>
    <cellStyle name="40 % - Markeringsfarve6 3 6 4 3" xfId="15326" xr:uid="{00000000-0005-0000-0000-0000BE8D0000}"/>
    <cellStyle name="40 % - Markeringsfarve6 3 6 4 3 2" xfId="31605" xr:uid="{00000000-0005-0000-0000-0000BF8D0000}"/>
    <cellStyle name="40 % - Markeringsfarve6 3 6 4 3 3" xfId="46565" xr:uid="{00000000-0005-0000-0000-0000C08D0000}"/>
    <cellStyle name="40 % - Markeringsfarve6 3 6 4 4" xfId="24603" xr:uid="{00000000-0005-0000-0000-0000C18D0000}"/>
    <cellStyle name="40 % - Markeringsfarve6 3 6 4 5" xfId="39568" xr:uid="{00000000-0005-0000-0000-0000C28D0000}"/>
    <cellStyle name="40 % - Markeringsfarve6 3 6 5" xfId="8277" xr:uid="{00000000-0005-0000-0000-0000C38D0000}"/>
    <cellStyle name="40 % - Markeringsfarve6 3 6 5 2" xfId="16142" xr:uid="{00000000-0005-0000-0000-0000C48D0000}"/>
    <cellStyle name="40 % - Markeringsfarve6 3 6 5 2 2" xfId="32418" xr:uid="{00000000-0005-0000-0000-0000C58D0000}"/>
    <cellStyle name="40 % - Markeringsfarve6 3 6 5 2 3" xfId="47377" xr:uid="{00000000-0005-0000-0000-0000C68D0000}"/>
    <cellStyle name="40 % - Markeringsfarve6 3 6 5 3" xfId="25416" xr:uid="{00000000-0005-0000-0000-0000C78D0000}"/>
    <cellStyle name="40 % - Markeringsfarve6 3 6 5 4" xfId="40380" xr:uid="{00000000-0005-0000-0000-0000C88D0000}"/>
    <cellStyle name="40 % - Markeringsfarve6 3 6 6" xfId="15322" xr:uid="{00000000-0005-0000-0000-0000C98D0000}"/>
    <cellStyle name="40 % - Markeringsfarve6 3 6 6 2" xfId="31601" xr:uid="{00000000-0005-0000-0000-0000CA8D0000}"/>
    <cellStyle name="40 % - Markeringsfarve6 3 6 6 3" xfId="46561" xr:uid="{00000000-0005-0000-0000-0000CB8D0000}"/>
    <cellStyle name="40 % - Markeringsfarve6 3 6 7" xfId="24599" xr:uid="{00000000-0005-0000-0000-0000CC8D0000}"/>
    <cellStyle name="40 % - Markeringsfarve6 3 6 8" xfId="39564" xr:uid="{00000000-0005-0000-0000-0000CD8D0000}"/>
    <cellStyle name="40 % - Markeringsfarve6 3 7" xfId="6842" xr:uid="{00000000-0005-0000-0000-0000CE8D0000}"/>
    <cellStyle name="40 % - Markeringsfarve6 3 7 2" xfId="6843" xr:uid="{00000000-0005-0000-0000-0000CF8D0000}"/>
    <cellStyle name="40 % - Markeringsfarve6 3 7 2 2" xfId="6844" xr:uid="{00000000-0005-0000-0000-0000D08D0000}"/>
    <cellStyle name="40 % - Markeringsfarve6 3 7 2 2 2" xfId="10193" xr:uid="{00000000-0005-0000-0000-0000D18D0000}"/>
    <cellStyle name="40 % - Markeringsfarve6 3 7 2 2 2 2" xfId="18048" xr:uid="{00000000-0005-0000-0000-0000D28D0000}"/>
    <cellStyle name="40 % - Markeringsfarve6 3 7 2 2 2 2 2" xfId="34324" xr:uid="{00000000-0005-0000-0000-0000D38D0000}"/>
    <cellStyle name="40 % - Markeringsfarve6 3 7 2 2 2 2 3" xfId="49283" xr:uid="{00000000-0005-0000-0000-0000D48D0000}"/>
    <cellStyle name="40 % - Markeringsfarve6 3 7 2 2 2 3" xfId="27322" xr:uid="{00000000-0005-0000-0000-0000D58D0000}"/>
    <cellStyle name="40 % - Markeringsfarve6 3 7 2 2 2 4" xfId="42286" xr:uid="{00000000-0005-0000-0000-0000D68D0000}"/>
    <cellStyle name="40 % - Markeringsfarve6 3 7 2 2 3" xfId="15329" xr:uid="{00000000-0005-0000-0000-0000D78D0000}"/>
    <cellStyle name="40 % - Markeringsfarve6 3 7 2 2 3 2" xfId="31608" xr:uid="{00000000-0005-0000-0000-0000D88D0000}"/>
    <cellStyle name="40 % - Markeringsfarve6 3 7 2 2 3 3" xfId="46568" xr:uid="{00000000-0005-0000-0000-0000D98D0000}"/>
    <cellStyle name="40 % - Markeringsfarve6 3 7 2 2 4" xfId="24606" xr:uid="{00000000-0005-0000-0000-0000DA8D0000}"/>
    <cellStyle name="40 % - Markeringsfarve6 3 7 2 2 5" xfId="39571" xr:uid="{00000000-0005-0000-0000-0000DB8D0000}"/>
    <cellStyle name="40 % - Markeringsfarve6 3 7 2 3" xfId="8719" xr:uid="{00000000-0005-0000-0000-0000DC8D0000}"/>
    <cellStyle name="40 % - Markeringsfarve6 3 7 2 3 2" xfId="16586" xr:uid="{00000000-0005-0000-0000-0000DD8D0000}"/>
    <cellStyle name="40 % - Markeringsfarve6 3 7 2 3 2 2" xfId="32862" xr:uid="{00000000-0005-0000-0000-0000DE8D0000}"/>
    <cellStyle name="40 % - Markeringsfarve6 3 7 2 3 2 3" xfId="47821" xr:uid="{00000000-0005-0000-0000-0000DF8D0000}"/>
    <cellStyle name="40 % - Markeringsfarve6 3 7 2 3 3" xfId="25860" xr:uid="{00000000-0005-0000-0000-0000E08D0000}"/>
    <cellStyle name="40 % - Markeringsfarve6 3 7 2 3 4" xfId="40824" xr:uid="{00000000-0005-0000-0000-0000E18D0000}"/>
    <cellStyle name="40 % - Markeringsfarve6 3 7 2 4" xfId="15328" xr:uid="{00000000-0005-0000-0000-0000E28D0000}"/>
    <cellStyle name="40 % - Markeringsfarve6 3 7 2 4 2" xfId="31607" xr:uid="{00000000-0005-0000-0000-0000E38D0000}"/>
    <cellStyle name="40 % - Markeringsfarve6 3 7 2 4 3" xfId="46567" xr:uid="{00000000-0005-0000-0000-0000E48D0000}"/>
    <cellStyle name="40 % - Markeringsfarve6 3 7 2 5" xfId="24605" xr:uid="{00000000-0005-0000-0000-0000E58D0000}"/>
    <cellStyle name="40 % - Markeringsfarve6 3 7 2 6" xfId="39570" xr:uid="{00000000-0005-0000-0000-0000E68D0000}"/>
    <cellStyle name="40 % - Markeringsfarve6 3 7 3" xfId="6845" xr:uid="{00000000-0005-0000-0000-0000E78D0000}"/>
    <cellStyle name="40 % - Markeringsfarve6 3 7 3 2" xfId="9470" xr:uid="{00000000-0005-0000-0000-0000E88D0000}"/>
    <cellStyle name="40 % - Markeringsfarve6 3 7 3 2 2" xfId="17333" xr:uid="{00000000-0005-0000-0000-0000E98D0000}"/>
    <cellStyle name="40 % - Markeringsfarve6 3 7 3 2 2 2" xfId="33609" xr:uid="{00000000-0005-0000-0000-0000EA8D0000}"/>
    <cellStyle name="40 % - Markeringsfarve6 3 7 3 2 2 3" xfId="48568" xr:uid="{00000000-0005-0000-0000-0000EB8D0000}"/>
    <cellStyle name="40 % - Markeringsfarve6 3 7 3 2 3" xfId="26607" xr:uid="{00000000-0005-0000-0000-0000EC8D0000}"/>
    <cellStyle name="40 % - Markeringsfarve6 3 7 3 2 4" xfId="41571" xr:uid="{00000000-0005-0000-0000-0000ED8D0000}"/>
    <cellStyle name="40 % - Markeringsfarve6 3 7 3 3" xfId="15330" xr:uid="{00000000-0005-0000-0000-0000EE8D0000}"/>
    <cellStyle name="40 % - Markeringsfarve6 3 7 3 3 2" xfId="31609" xr:uid="{00000000-0005-0000-0000-0000EF8D0000}"/>
    <cellStyle name="40 % - Markeringsfarve6 3 7 3 3 3" xfId="46569" xr:uid="{00000000-0005-0000-0000-0000F08D0000}"/>
    <cellStyle name="40 % - Markeringsfarve6 3 7 3 4" xfId="24607" xr:uid="{00000000-0005-0000-0000-0000F18D0000}"/>
    <cellStyle name="40 % - Markeringsfarve6 3 7 3 5" xfId="39572" xr:uid="{00000000-0005-0000-0000-0000F28D0000}"/>
    <cellStyle name="40 % - Markeringsfarve6 3 7 4" xfId="6846" xr:uid="{00000000-0005-0000-0000-0000F38D0000}"/>
    <cellStyle name="40 % - Markeringsfarve6 3 7 4 2" xfId="10810" xr:uid="{00000000-0005-0000-0000-0000F48D0000}"/>
    <cellStyle name="40 % - Markeringsfarve6 3 7 4 2 2" xfId="18651" xr:uid="{00000000-0005-0000-0000-0000F58D0000}"/>
    <cellStyle name="40 % - Markeringsfarve6 3 7 4 2 2 2" xfId="34927" xr:uid="{00000000-0005-0000-0000-0000F68D0000}"/>
    <cellStyle name="40 % - Markeringsfarve6 3 7 4 2 2 3" xfId="49886" xr:uid="{00000000-0005-0000-0000-0000F78D0000}"/>
    <cellStyle name="40 % - Markeringsfarve6 3 7 4 2 3" xfId="27925" xr:uid="{00000000-0005-0000-0000-0000F88D0000}"/>
    <cellStyle name="40 % - Markeringsfarve6 3 7 4 2 4" xfId="42889" xr:uid="{00000000-0005-0000-0000-0000F98D0000}"/>
    <cellStyle name="40 % - Markeringsfarve6 3 7 4 3" xfId="15331" xr:uid="{00000000-0005-0000-0000-0000FA8D0000}"/>
    <cellStyle name="40 % - Markeringsfarve6 3 7 4 3 2" xfId="31610" xr:uid="{00000000-0005-0000-0000-0000FB8D0000}"/>
    <cellStyle name="40 % - Markeringsfarve6 3 7 4 3 3" xfId="46570" xr:uid="{00000000-0005-0000-0000-0000FC8D0000}"/>
    <cellStyle name="40 % - Markeringsfarve6 3 7 4 4" xfId="24608" xr:uid="{00000000-0005-0000-0000-0000FD8D0000}"/>
    <cellStyle name="40 % - Markeringsfarve6 3 7 4 5" xfId="39573" xr:uid="{00000000-0005-0000-0000-0000FE8D0000}"/>
    <cellStyle name="40 % - Markeringsfarve6 3 7 5" xfId="8278" xr:uid="{00000000-0005-0000-0000-0000FF8D0000}"/>
    <cellStyle name="40 % - Markeringsfarve6 3 7 5 2" xfId="16143" xr:uid="{00000000-0005-0000-0000-0000008E0000}"/>
    <cellStyle name="40 % - Markeringsfarve6 3 7 5 2 2" xfId="32419" xr:uid="{00000000-0005-0000-0000-0000018E0000}"/>
    <cellStyle name="40 % - Markeringsfarve6 3 7 5 2 3" xfId="47378" xr:uid="{00000000-0005-0000-0000-0000028E0000}"/>
    <cellStyle name="40 % - Markeringsfarve6 3 7 5 3" xfId="25417" xr:uid="{00000000-0005-0000-0000-0000038E0000}"/>
    <cellStyle name="40 % - Markeringsfarve6 3 7 5 4" xfId="40381" xr:uid="{00000000-0005-0000-0000-0000048E0000}"/>
    <cellStyle name="40 % - Markeringsfarve6 3 7 6" xfId="15327" xr:uid="{00000000-0005-0000-0000-0000058E0000}"/>
    <cellStyle name="40 % - Markeringsfarve6 3 7 6 2" xfId="31606" xr:uid="{00000000-0005-0000-0000-0000068E0000}"/>
    <cellStyle name="40 % - Markeringsfarve6 3 7 6 3" xfId="46566" xr:uid="{00000000-0005-0000-0000-0000078E0000}"/>
    <cellStyle name="40 % - Markeringsfarve6 3 7 7" xfId="24604" xr:uid="{00000000-0005-0000-0000-0000088E0000}"/>
    <cellStyle name="40 % - Markeringsfarve6 3 7 8" xfId="39569" xr:uid="{00000000-0005-0000-0000-0000098E0000}"/>
    <cellStyle name="40 % - Markeringsfarve6 3 8" xfId="6847" xr:uid="{00000000-0005-0000-0000-00000A8E0000}"/>
    <cellStyle name="40 % - Markeringsfarve6 3 8 2" xfId="6848" xr:uid="{00000000-0005-0000-0000-00000B8E0000}"/>
    <cellStyle name="40 % - Markeringsfarve6 3 8 2 2" xfId="6849" xr:uid="{00000000-0005-0000-0000-00000C8E0000}"/>
    <cellStyle name="40 % - Markeringsfarve6 3 8 2 2 2" xfId="10388" xr:uid="{00000000-0005-0000-0000-00000D8E0000}"/>
    <cellStyle name="40 % - Markeringsfarve6 3 8 2 2 2 2" xfId="18243" xr:uid="{00000000-0005-0000-0000-00000E8E0000}"/>
    <cellStyle name="40 % - Markeringsfarve6 3 8 2 2 2 2 2" xfId="34519" xr:uid="{00000000-0005-0000-0000-00000F8E0000}"/>
    <cellStyle name="40 % - Markeringsfarve6 3 8 2 2 2 2 3" xfId="49478" xr:uid="{00000000-0005-0000-0000-0000108E0000}"/>
    <cellStyle name="40 % - Markeringsfarve6 3 8 2 2 2 3" xfId="27517" xr:uid="{00000000-0005-0000-0000-0000118E0000}"/>
    <cellStyle name="40 % - Markeringsfarve6 3 8 2 2 2 4" xfId="42481" xr:uid="{00000000-0005-0000-0000-0000128E0000}"/>
    <cellStyle name="40 % - Markeringsfarve6 3 8 2 2 3" xfId="15334" xr:uid="{00000000-0005-0000-0000-0000138E0000}"/>
    <cellStyle name="40 % - Markeringsfarve6 3 8 2 2 3 2" xfId="31613" xr:uid="{00000000-0005-0000-0000-0000148E0000}"/>
    <cellStyle name="40 % - Markeringsfarve6 3 8 2 2 3 3" xfId="46573" xr:uid="{00000000-0005-0000-0000-0000158E0000}"/>
    <cellStyle name="40 % - Markeringsfarve6 3 8 2 2 4" xfId="24611" xr:uid="{00000000-0005-0000-0000-0000168E0000}"/>
    <cellStyle name="40 % - Markeringsfarve6 3 8 2 2 5" xfId="39576" xr:uid="{00000000-0005-0000-0000-0000178E0000}"/>
    <cellStyle name="40 % - Markeringsfarve6 3 8 2 3" xfId="8882" xr:uid="{00000000-0005-0000-0000-0000188E0000}"/>
    <cellStyle name="40 % - Markeringsfarve6 3 8 2 3 2" xfId="16749" xr:uid="{00000000-0005-0000-0000-0000198E0000}"/>
    <cellStyle name="40 % - Markeringsfarve6 3 8 2 3 2 2" xfId="33025" xr:uid="{00000000-0005-0000-0000-00001A8E0000}"/>
    <cellStyle name="40 % - Markeringsfarve6 3 8 2 3 2 3" xfId="47984" xr:uid="{00000000-0005-0000-0000-00001B8E0000}"/>
    <cellStyle name="40 % - Markeringsfarve6 3 8 2 3 3" xfId="26023" xr:uid="{00000000-0005-0000-0000-00001C8E0000}"/>
    <cellStyle name="40 % - Markeringsfarve6 3 8 2 3 4" xfId="40987" xr:uid="{00000000-0005-0000-0000-00001D8E0000}"/>
    <cellStyle name="40 % - Markeringsfarve6 3 8 2 4" xfId="15333" xr:uid="{00000000-0005-0000-0000-00001E8E0000}"/>
    <cellStyle name="40 % - Markeringsfarve6 3 8 2 4 2" xfId="31612" xr:uid="{00000000-0005-0000-0000-00001F8E0000}"/>
    <cellStyle name="40 % - Markeringsfarve6 3 8 2 4 3" xfId="46572" xr:uid="{00000000-0005-0000-0000-0000208E0000}"/>
    <cellStyle name="40 % - Markeringsfarve6 3 8 2 5" xfId="24610" xr:uid="{00000000-0005-0000-0000-0000218E0000}"/>
    <cellStyle name="40 % - Markeringsfarve6 3 8 2 6" xfId="39575" xr:uid="{00000000-0005-0000-0000-0000228E0000}"/>
    <cellStyle name="40 % - Markeringsfarve6 3 8 3" xfId="6850" xr:uid="{00000000-0005-0000-0000-0000238E0000}"/>
    <cellStyle name="40 % - Markeringsfarve6 3 8 3 2" xfId="9666" xr:uid="{00000000-0005-0000-0000-0000248E0000}"/>
    <cellStyle name="40 % - Markeringsfarve6 3 8 3 2 2" xfId="17529" xr:uid="{00000000-0005-0000-0000-0000258E0000}"/>
    <cellStyle name="40 % - Markeringsfarve6 3 8 3 2 2 2" xfId="33805" xr:uid="{00000000-0005-0000-0000-0000268E0000}"/>
    <cellStyle name="40 % - Markeringsfarve6 3 8 3 2 2 3" xfId="48764" xr:uid="{00000000-0005-0000-0000-0000278E0000}"/>
    <cellStyle name="40 % - Markeringsfarve6 3 8 3 2 3" xfId="26803" xr:uid="{00000000-0005-0000-0000-0000288E0000}"/>
    <cellStyle name="40 % - Markeringsfarve6 3 8 3 2 4" xfId="41767" xr:uid="{00000000-0005-0000-0000-0000298E0000}"/>
    <cellStyle name="40 % - Markeringsfarve6 3 8 3 3" xfId="15335" xr:uid="{00000000-0005-0000-0000-00002A8E0000}"/>
    <cellStyle name="40 % - Markeringsfarve6 3 8 3 3 2" xfId="31614" xr:uid="{00000000-0005-0000-0000-00002B8E0000}"/>
    <cellStyle name="40 % - Markeringsfarve6 3 8 3 3 3" xfId="46574" xr:uid="{00000000-0005-0000-0000-00002C8E0000}"/>
    <cellStyle name="40 % - Markeringsfarve6 3 8 3 4" xfId="24612" xr:uid="{00000000-0005-0000-0000-00002D8E0000}"/>
    <cellStyle name="40 % - Markeringsfarve6 3 8 3 5" xfId="39577" xr:uid="{00000000-0005-0000-0000-00002E8E0000}"/>
    <cellStyle name="40 % - Markeringsfarve6 3 8 4" xfId="6851" xr:uid="{00000000-0005-0000-0000-00002F8E0000}"/>
    <cellStyle name="40 % - Markeringsfarve6 3 8 4 2" xfId="10461" xr:uid="{00000000-0005-0000-0000-0000308E0000}"/>
    <cellStyle name="40 % - Markeringsfarve6 3 8 4 2 2" xfId="18312" xr:uid="{00000000-0005-0000-0000-0000318E0000}"/>
    <cellStyle name="40 % - Markeringsfarve6 3 8 4 2 2 2" xfId="34588" xr:uid="{00000000-0005-0000-0000-0000328E0000}"/>
    <cellStyle name="40 % - Markeringsfarve6 3 8 4 2 2 3" xfId="49547" xr:uid="{00000000-0005-0000-0000-0000338E0000}"/>
    <cellStyle name="40 % - Markeringsfarve6 3 8 4 2 3" xfId="27586" xr:uid="{00000000-0005-0000-0000-0000348E0000}"/>
    <cellStyle name="40 % - Markeringsfarve6 3 8 4 2 4" xfId="42550" xr:uid="{00000000-0005-0000-0000-0000358E0000}"/>
    <cellStyle name="40 % - Markeringsfarve6 3 8 4 3" xfId="15336" xr:uid="{00000000-0005-0000-0000-0000368E0000}"/>
    <cellStyle name="40 % - Markeringsfarve6 3 8 4 3 2" xfId="31615" xr:uid="{00000000-0005-0000-0000-0000378E0000}"/>
    <cellStyle name="40 % - Markeringsfarve6 3 8 4 3 3" xfId="46575" xr:uid="{00000000-0005-0000-0000-0000388E0000}"/>
    <cellStyle name="40 % - Markeringsfarve6 3 8 4 4" xfId="24613" xr:uid="{00000000-0005-0000-0000-0000398E0000}"/>
    <cellStyle name="40 % - Markeringsfarve6 3 8 4 5" xfId="39578" xr:uid="{00000000-0005-0000-0000-00003A8E0000}"/>
    <cellStyle name="40 % - Markeringsfarve6 3 8 5" xfId="8279" xr:uid="{00000000-0005-0000-0000-00003B8E0000}"/>
    <cellStyle name="40 % - Markeringsfarve6 3 8 5 2" xfId="16144" xr:uid="{00000000-0005-0000-0000-00003C8E0000}"/>
    <cellStyle name="40 % - Markeringsfarve6 3 8 5 2 2" xfId="32420" xr:uid="{00000000-0005-0000-0000-00003D8E0000}"/>
    <cellStyle name="40 % - Markeringsfarve6 3 8 5 2 3" xfId="47379" xr:uid="{00000000-0005-0000-0000-00003E8E0000}"/>
    <cellStyle name="40 % - Markeringsfarve6 3 8 5 3" xfId="25418" xr:uid="{00000000-0005-0000-0000-00003F8E0000}"/>
    <cellStyle name="40 % - Markeringsfarve6 3 8 5 4" xfId="40382" xr:uid="{00000000-0005-0000-0000-0000408E0000}"/>
    <cellStyle name="40 % - Markeringsfarve6 3 8 6" xfId="15332" xr:uid="{00000000-0005-0000-0000-0000418E0000}"/>
    <cellStyle name="40 % - Markeringsfarve6 3 8 6 2" xfId="31611" xr:uid="{00000000-0005-0000-0000-0000428E0000}"/>
    <cellStyle name="40 % - Markeringsfarve6 3 8 6 3" xfId="46571" xr:uid="{00000000-0005-0000-0000-0000438E0000}"/>
    <cellStyle name="40 % - Markeringsfarve6 3 8 7" xfId="24609" xr:uid="{00000000-0005-0000-0000-0000448E0000}"/>
    <cellStyle name="40 % - Markeringsfarve6 3 8 8" xfId="39574" xr:uid="{00000000-0005-0000-0000-0000458E0000}"/>
    <cellStyle name="40 % - Markeringsfarve6 3 9" xfId="6852" xr:uid="{00000000-0005-0000-0000-0000468E0000}"/>
    <cellStyle name="40 % - Markeringsfarve6 3 9 2" xfId="6853" xr:uid="{00000000-0005-0000-0000-0000478E0000}"/>
    <cellStyle name="40 % - Markeringsfarve6 3 9 2 2" xfId="9720" xr:uid="{00000000-0005-0000-0000-0000488E0000}"/>
    <cellStyle name="40 % - Markeringsfarve6 3 9 2 2 2" xfId="17574" xr:uid="{00000000-0005-0000-0000-0000498E0000}"/>
    <cellStyle name="40 % - Markeringsfarve6 3 9 2 2 2 2" xfId="33850" xr:uid="{00000000-0005-0000-0000-00004A8E0000}"/>
    <cellStyle name="40 % - Markeringsfarve6 3 9 2 2 2 3" xfId="48809" xr:uid="{00000000-0005-0000-0000-00004B8E0000}"/>
    <cellStyle name="40 % - Markeringsfarve6 3 9 2 2 3" xfId="26848" xr:uid="{00000000-0005-0000-0000-00004C8E0000}"/>
    <cellStyle name="40 % - Markeringsfarve6 3 9 2 2 4" xfId="41812" xr:uid="{00000000-0005-0000-0000-00004D8E0000}"/>
    <cellStyle name="40 % - Markeringsfarve6 3 9 2 3" xfId="15338" xr:uid="{00000000-0005-0000-0000-00004E8E0000}"/>
    <cellStyle name="40 % - Markeringsfarve6 3 9 2 3 2" xfId="31617" xr:uid="{00000000-0005-0000-0000-00004F8E0000}"/>
    <cellStyle name="40 % - Markeringsfarve6 3 9 2 3 3" xfId="46577" xr:uid="{00000000-0005-0000-0000-0000508E0000}"/>
    <cellStyle name="40 % - Markeringsfarve6 3 9 2 4" xfId="24615" xr:uid="{00000000-0005-0000-0000-0000518E0000}"/>
    <cellStyle name="40 % - Markeringsfarve6 3 9 2 5" xfId="39580" xr:uid="{00000000-0005-0000-0000-0000528E0000}"/>
    <cellStyle name="40 % - Markeringsfarve6 3 9 3" xfId="8319" xr:uid="{00000000-0005-0000-0000-0000538E0000}"/>
    <cellStyle name="40 % - Markeringsfarve6 3 9 3 2" xfId="16189" xr:uid="{00000000-0005-0000-0000-0000548E0000}"/>
    <cellStyle name="40 % - Markeringsfarve6 3 9 3 2 2" xfId="32465" xr:uid="{00000000-0005-0000-0000-0000558E0000}"/>
    <cellStyle name="40 % - Markeringsfarve6 3 9 3 2 3" xfId="47424" xr:uid="{00000000-0005-0000-0000-0000568E0000}"/>
    <cellStyle name="40 % - Markeringsfarve6 3 9 3 3" xfId="25463" xr:uid="{00000000-0005-0000-0000-0000578E0000}"/>
    <cellStyle name="40 % - Markeringsfarve6 3 9 3 4" xfId="40427" xr:uid="{00000000-0005-0000-0000-0000588E0000}"/>
    <cellStyle name="40 % - Markeringsfarve6 3 9 4" xfId="15337" xr:uid="{00000000-0005-0000-0000-0000598E0000}"/>
    <cellStyle name="40 % - Markeringsfarve6 3 9 4 2" xfId="31616" xr:uid="{00000000-0005-0000-0000-00005A8E0000}"/>
    <cellStyle name="40 % - Markeringsfarve6 3 9 4 3" xfId="46576" xr:uid="{00000000-0005-0000-0000-00005B8E0000}"/>
    <cellStyle name="40 % - Markeringsfarve6 3 9 5" xfId="24614" xr:uid="{00000000-0005-0000-0000-00005C8E0000}"/>
    <cellStyle name="40 % - Markeringsfarve6 3 9 6" xfId="39579" xr:uid="{00000000-0005-0000-0000-00005D8E0000}"/>
    <cellStyle name="40 % - Markeringsfarve6 4" xfId="6854" xr:uid="{00000000-0005-0000-0000-00005E8E0000}"/>
    <cellStyle name="40 % - Markeringsfarve6 4 10" xfId="8280" xr:uid="{00000000-0005-0000-0000-00005F8E0000}"/>
    <cellStyle name="40 % - Markeringsfarve6 4 10 2" xfId="16145" xr:uid="{00000000-0005-0000-0000-0000608E0000}"/>
    <cellStyle name="40 % - Markeringsfarve6 4 10 2 2" xfId="32421" xr:uid="{00000000-0005-0000-0000-0000618E0000}"/>
    <cellStyle name="40 % - Markeringsfarve6 4 10 2 3" xfId="47380" xr:uid="{00000000-0005-0000-0000-0000628E0000}"/>
    <cellStyle name="40 % - Markeringsfarve6 4 10 3" xfId="25419" xr:uid="{00000000-0005-0000-0000-0000638E0000}"/>
    <cellStyle name="40 % - Markeringsfarve6 4 10 4" xfId="40383" xr:uid="{00000000-0005-0000-0000-0000648E0000}"/>
    <cellStyle name="40 % - Markeringsfarve6 4 11" xfId="15339" xr:uid="{00000000-0005-0000-0000-0000658E0000}"/>
    <cellStyle name="40 % - Markeringsfarve6 4 11 2" xfId="31618" xr:uid="{00000000-0005-0000-0000-0000668E0000}"/>
    <cellStyle name="40 % - Markeringsfarve6 4 11 3" xfId="46578" xr:uid="{00000000-0005-0000-0000-0000678E0000}"/>
    <cellStyle name="40 % - Markeringsfarve6 4 12" xfId="24616" xr:uid="{00000000-0005-0000-0000-0000688E0000}"/>
    <cellStyle name="40 % - Markeringsfarve6 4 13" xfId="39581" xr:uid="{00000000-0005-0000-0000-0000698E0000}"/>
    <cellStyle name="40 % - Markeringsfarve6 4 2" xfId="6855" xr:uid="{00000000-0005-0000-0000-00006A8E0000}"/>
    <cellStyle name="40 % - Markeringsfarve6 4 2 2" xfId="6856" xr:uid="{00000000-0005-0000-0000-00006B8E0000}"/>
    <cellStyle name="40 % - Markeringsfarve6 4 2 2 2" xfId="6857" xr:uid="{00000000-0005-0000-0000-00006C8E0000}"/>
    <cellStyle name="40 % - Markeringsfarve6 4 2 2 2 2" xfId="9863" xr:uid="{00000000-0005-0000-0000-00006D8E0000}"/>
    <cellStyle name="40 % - Markeringsfarve6 4 2 2 2 2 2" xfId="17718" xr:uid="{00000000-0005-0000-0000-00006E8E0000}"/>
    <cellStyle name="40 % - Markeringsfarve6 4 2 2 2 2 2 2" xfId="33994" xr:uid="{00000000-0005-0000-0000-00006F8E0000}"/>
    <cellStyle name="40 % - Markeringsfarve6 4 2 2 2 2 2 3" xfId="48953" xr:uid="{00000000-0005-0000-0000-0000708E0000}"/>
    <cellStyle name="40 % - Markeringsfarve6 4 2 2 2 2 3" xfId="26992" xr:uid="{00000000-0005-0000-0000-0000718E0000}"/>
    <cellStyle name="40 % - Markeringsfarve6 4 2 2 2 2 4" xfId="41956" xr:uid="{00000000-0005-0000-0000-0000728E0000}"/>
    <cellStyle name="40 % - Markeringsfarve6 4 2 2 2 3" xfId="15342" xr:uid="{00000000-0005-0000-0000-0000738E0000}"/>
    <cellStyle name="40 % - Markeringsfarve6 4 2 2 2 3 2" xfId="31621" xr:uid="{00000000-0005-0000-0000-0000748E0000}"/>
    <cellStyle name="40 % - Markeringsfarve6 4 2 2 2 3 3" xfId="46581" xr:uid="{00000000-0005-0000-0000-0000758E0000}"/>
    <cellStyle name="40 % - Markeringsfarve6 4 2 2 2 4" xfId="24619" xr:uid="{00000000-0005-0000-0000-0000768E0000}"/>
    <cellStyle name="40 % - Markeringsfarve6 4 2 2 2 5" xfId="39584" xr:uid="{00000000-0005-0000-0000-0000778E0000}"/>
    <cellStyle name="40 % - Markeringsfarve6 4 2 2 3" xfId="8439" xr:uid="{00000000-0005-0000-0000-0000788E0000}"/>
    <cellStyle name="40 % - Markeringsfarve6 4 2 2 3 2" xfId="16309" xr:uid="{00000000-0005-0000-0000-0000798E0000}"/>
    <cellStyle name="40 % - Markeringsfarve6 4 2 2 3 2 2" xfId="32585" xr:uid="{00000000-0005-0000-0000-00007A8E0000}"/>
    <cellStyle name="40 % - Markeringsfarve6 4 2 2 3 2 3" xfId="47544" xr:uid="{00000000-0005-0000-0000-00007B8E0000}"/>
    <cellStyle name="40 % - Markeringsfarve6 4 2 2 3 3" xfId="25583" xr:uid="{00000000-0005-0000-0000-00007C8E0000}"/>
    <cellStyle name="40 % - Markeringsfarve6 4 2 2 3 4" xfId="40547" xr:uid="{00000000-0005-0000-0000-00007D8E0000}"/>
    <cellStyle name="40 % - Markeringsfarve6 4 2 2 4" xfId="15341" xr:uid="{00000000-0005-0000-0000-00007E8E0000}"/>
    <cellStyle name="40 % - Markeringsfarve6 4 2 2 4 2" xfId="31620" xr:uid="{00000000-0005-0000-0000-00007F8E0000}"/>
    <cellStyle name="40 % - Markeringsfarve6 4 2 2 4 3" xfId="46580" xr:uid="{00000000-0005-0000-0000-0000808E0000}"/>
    <cellStyle name="40 % - Markeringsfarve6 4 2 2 5" xfId="24618" xr:uid="{00000000-0005-0000-0000-0000818E0000}"/>
    <cellStyle name="40 % - Markeringsfarve6 4 2 2 6" xfId="39583" xr:uid="{00000000-0005-0000-0000-0000828E0000}"/>
    <cellStyle name="40 % - Markeringsfarve6 4 2 3" xfId="6858" xr:uid="{00000000-0005-0000-0000-0000838E0000}"/>
    <cellStyle name="40 % - Markeringsfarve6 4 2 3 2" xfId="9094" xr:uid="{00000000-0005-0000-0000-0000848E0000}"/>
    <cellStyle name="40 % - Markeringsfarve6 4 2 3 2 2" xfId="16958" xr:uid="{00000000-0005-0000-0000-0000858E0000}"/>
    <cellStyle name="40 % - Markeringsfarve6 4 2 3 2 2 2" xfId="33234" xr:uid="{00000000-0005-0000-0000-0000868E0000}"/>
    <cellStyle name="40 % - Markeringsfarve6 4 2 3 2 2 3" xfId="48193" xr:uid="{00000000-0005-0000-0000-0000878E0000}"/>
    <cellStyle name="40 % - Markeringsfarve6 4 2 3 2 3" xfId="26232" xr:uid="{00000000-0005-0000-0000-0000888E0000}"/>
    <cellStyle name="40 % - Markeringsfarve6 4 2 3 2 4" xfId="41196" xr:uid="{00000000-0005-0000-0000-0000898E0000}"/>
    <cellStyle name="40 % - Markeringsfarve6 4 2 3 3" xfId="15343" xr:uid="{00000000-0005-0000-0000-00008A8E0000}"/>
    <cellStyle name="40 % - Markeringsfarve6 4 2 3 3 2" xfId="31622" xr:uid="{00000000-0005-0000-0000-00008B8E0000}"/>
    <cellStyle name="40 % - Markeringsfarve6 4 2 3 3 3" xfId="46582" xr:uid="{00000000-0005-0000-0000-00008C8E0000}"/>
    <cellStyle name="40 % - Markeringsfarve6 4 2 3 4" xfId="24620" xr:uid="{00000000-0005-0000-0000-00008D8E0000}"/>
    <cellStyle name="40 % - Markeringsfarve6 4 2 3 5" xfId="39585" xr:uid="{00000000-0005-0000-0000-00008E8E0000}"/>
    <cellStyle name="40 % - Markeringsfarve6 4 2 4" xfId="6859" xr:uid="{00000000-0005-0000-0000-00008F8E0000}"/>
    <cellStyle name="40 % - Markeringsfarve6 4 2 4 2" xfId="10755" xr:uid="{00000000-0005-0000-0000-0000908E0000}"/>
    <cellStyle name="40 % - Markeringsfarve6 4 2 4 2 2" xfId="18598" xr:uid="{00000000-0005-0000-0000-0000918E0000}"/>
    <cellStyle name="40 % - Markeringsfarve6 4 2 4 2 2 2" xfId="34874" xr:uid="{00000000-0005-0000-0000-0000928E0000}"/>
    <cellStyle name="40 % - Markeringsfarve6 4 2 4 2 2 3" xfId="49833" xr:uid="{00000000-0005-0000-0000-0000938E0000}"/>
    <cellStyle name="40 % - Markeringsfarve6 4 2 4 2 3" xfId="27872" xr:uid="{00000000-0005-0000-0000-0000948E0000}"/>
    <cellStyle name="40 % - Markeringsfarve6 4 2 4 2 4" xfId="42836" xr:uid="{00000000-0005-0000-0000-0000958E0000}"/>
    <cellStyle name="40 % - Markeringsfarve6 4 2 4 3" xfId="15344" xr:uid="{00000000-0005-0000-0000-0000968E0000}"/>
    <cellStyle name="40 % - Markeringsfarve6 4 2 4 3 2" xfId="31623" xr:uid="{00000000-0005-0000-0000-0000978E0000}"/>
    <cellStyle name="40 % - Markeringsfarve6 4 2 4 3 3" xfId="46583" xr:uid="{00000000-0005-0000-0000-0000988E0000}"/>
    <cellStyle name="40 % - Markeringsfarve6 4 2 4 4" xfId="24621" xr:uid="{00000000-0005-0000-0000-0000998E0000}"/>
    <cellStyle name="40 % - Markeringsfarve6 4 2 4 5" xfId="39586" xr:uid="{00000000-0005-0000-0000-00009A8E0000}"/>
    <cellStyle name="40 % - Markeringsfarve6 4 2 5" xfId="8281" xr:uid="{00000000-0005-0000-0000-00009B8E0000}"/>
    <cellStyle name="40 % - Markeringsfarve6 4 2 5 2" xfId="16146" xr:uid="{00000000-0005-0000-0000-00009C8E0000}"/>
    <cellStyle name="40 % - Markeringsfarve6 4 2 5 2 2" xfId="32422" xr:uid="{00000000-0005-0000-0000-00009D8E0000}"/>
    <cellStyle name="40 % - Markeringsfarve6 4 2 5 2 3" xfId="47381" xr:uid="{00000000-0005-0000-0000-00009E8E0000}"/>
    <cellStyle name="40 % - Markeringsfarve6 4 2 5 3" xfId="25420" xr:uid="{00000000-0005-0000-0000-00009F8E0000}"/>
    <cellStyle name="40 % - Markeringsfarve6 4 2 5 4" xfId="40384" xr:uid="{00000000-0005-0000-0000-0000A08E0000}"/>
    <cellStyle name="40 % - Markeringsfarve6 4 2 6" xfId="15340" xr:uid="{00000000-0005-0000-0000-0000A18E0000}"/>
    <cellStyle name="40 % - Markeringsfarve6 4 2 6 2" xfId="31619" xr:uid="{00000000-0005-0000-0000-0000A28E0000}"/>
    <cellStyle name="40 % - Markeringsfarve6 4 2 6 3" xfId="46579" xr:uid="{00000000-0005-0000-0000-0000A38E0000}"/>
    <cellStyle name="40 % - Markeringsfarve6 4 2 7" xfId="24617" xr:uid="{00000000-0005-0000-0000-0000A48E0000}"/>
    <cellStyle name="40 % - Markeringsfarve6 4 2 8" xfId="39582" xr:uid="{00000000-0005-0000-0000-0000A58E0000}"/>
    <cellStyle name="40 % - Markeringsfarve6 4 3" xfId="6860" xr:uid="{00000000-0005-0000-0000-0000A68E0000}"/>
    <cellStyle name="40 % - Markeringsfarve6 4 3 2" xfId="6861" xr:uid="{00000000-0005-0000-0000-0000A78E0000}"/>
    <cellStyle name="40 % - Markeringsfarve6 4 3 2 2" xfId="6862" xr:uid="{00000000-0005-0000-0000-0000A88E0000}"/>
    <cellStyle name="40 % - Markeringsfarve6 4 3 2 2 2" xfId="10037" xr:uid="{00000000-0005-0000-0000-0000A98E0000}"/>
    <cellStyle name="40 % - Markeringsfarve6 4 3 2 2 2 2" xfId="17892" xr:uid="{00000000-0005-0000-0000-0000AA8E0000}"/>
    <cellStyle name="40 % - Markeringsfarve6 4 3 2 2 2 2 2" xfId="34168" xr:uid="{00000000-0005-0000-0000-0000AB8E0000}"/>
    <cellStyle name="40 % - Markeringsfarve6 4 3 2 2 2 2 3" xfId="49127" xr:uid="{00000000-0005-0000-0000-0000AC8E0000}"/>
    <cellStyle name="40 % - Markeringsfarve6 4 3 2 2 2 3" xfId="27166" xr:uid="{00000000-0005-0000-0000-0000AD8E0000}"/>
    <cellStyle name="40 % - Markeringsfarve6 4 3 2 2 2 4" xfId="42130" xr:uid="{00000000-0005-0000-0000-0000AE8E0000}"/>
    <cellStyle name="40 % - Markeringsfarve6 4 3 2 2 3" xfId="15347" xr:uid="{00000000-0005-0000-0000-0000AF8E0000}"/>
    <cellStyle name="40 % - Markeringsfarve6 4 3 2 2 3 2" xfId="31626" xr:uid="{00000000-0005-0000-0000-0000B08E0000}"/>
    <cellStyle name="40 % - Markeringsfarve6 4 3 2 2 3 3" xfId="46586" xr:uid="{00000000-0005-0000-0000-0000B18E0000}"/>
    <cellStyle name="40 % - Markeringsfarve6 4 3 2 2 4" xfId="24624" xr:uid="{00000000-0005-0000-0000-0000B28E0000}"/>
    <cellStyle name="40 % - Markeringsfarve6 4 3 2 2 5" xfId="39589" xr:uid="{00000000-0005-0000-0000-0000B38E0000}"/>
    <cellStyle name="40 % - Markeringsfarve6 4 3 2 3" xfId="8584" xr:uid="{00000000-0005-0000-0000-0000B48E0000}"/>
    <cellStyle name="40 % - Markeringsfarve6 4 3 2 3 2" xfId="16454" xr:uid="{00000000-0005-0000-0000-0000B58E0000}"/>
    <cellStyle name="40 % - Markeringsfarve6 4 3 2 3 2 2" xfId="32730" xr:uid="{00000000-0005-0000-0000-0000B68E0000}"/>
    <cellStyle name="40 % - Markeringsfarve6 4 3 2 3 2 3" xfId="47689" xr:uid="{00000000-0005-0000-0000-0000B78E0000}"/>
    <cellStyle name="40 % - Markeringsfarve6 4 3 2 3 3" xfId="25728" xr:uid="{00000000-0005-0000-0000-0000B88E0000}"/>
    <cellStyle name="40 % - Markeringsfarve6 4 3 2 3 4" xfId="40692" xr:uid="{00000000-0005-0000-0000-0000B98E0000}"/>
    <cellStyle name="40 % - Markeringsfarve6 4 3 2 4" xfId="15346" xr:uid="{00000000-0005-0000-0000-0000BA8E0000}"/>
    <cellStyle name="40 % - Markeringsfarve6 4 3 2 4 2" xfId="31625" xr:uid="{00000000-0005-0000-0000-0000BB8E0000}"/>
    <cellStyle name="40 % - Markeringsfarve6 4 3 2 4 3" xfId="46585" xr:uid="{00000000-0005-0000-0000-0000BC8E0000}"/>
    <cellStyle name="40 % - Markeringsfarve6 4 3 2 5" xfId="24623" xr:uid="{00000000-0005-0000-0000-0000BD8E0000}"/>
    <cellStyle name="40 % - Markeringsfarve6 4 3 2 6" xfId="39588" xr:uid="{00000000-0005-0000-0000-0000BE8E0000}"/>
    <cellStyle name="40 % - Markeringsfarve6 4 3 3" xfId="6863" xr:uid="{00000000-0005-0000-0000-0000BF8E0000}"/>
    <cellStyle name="40 % - Markeringsfarve6 4 3 3 2" xfId="9268" xr:uid="{00000000-0005-0000-0000-0000C08E0000}"/>
    <cellStyle name="40 % - Markeringsfarve6 4 3 3 2 2" xfId="17132" xr:uid="{00000000-0005-0000-0000-0000C18E0000}"/>
    <cellStyle name="40 % - Markeringsfarve6 4 3 3 2 2 2" xfId="33408" xr:uid="{00000000-0005-0000-0000-0000C28E0000}"/>
    <cellStyle name="40 % - Markeringsfarve6 4 3 3 2 2 3" xfId="48367" xr:uid="{00000000-0005-0000-0000-0000C38E0000}"/>
    <cellStyle name="40 % - Markeringsfarve6 4 3 3 2 3" xfId="26406" xr:uid="{00000000-0005-0000-0000-0000C48E0000}"/>
    <cellStyle name="40 % - Markeringsfarve6 4 3 3 2 4" xfId="41370" xr:uid="{00000000-0005-0000-0000-0000C58E0000}"/>
    <cellStyle name="40 % - Markeringsfarve6 4 3 3 3" xfId="15348" xr:uid="{00000000-0005-0000-0000-0000C68E0000}"/>
    <cellStyle name="40 % - Markeringsfarve6 4 3 3 3 2" xfId="31627" xr:uid="{00000000-0005-0000-0000-0000C78E0000}"/>
    <cellStyle name="40 % - Markeringsfarve6 4 3 3 3 3" xfId="46587" xr:uid="{00000000-0005-0000-0000-0000C88E0000}"/>
    <cellStyle name="40 % - Markeringsfarve6 4 3 3 4" xfId="24625" xr:uid="{00000000-0005-0000-0000-0000C98E0000}"/>
    <cellStyle name="40 % - Markeringsfarve6 4 3 3 5" xfId="39590" xr:uid="{00000000-0005-0000-0000-0000CA8E0000}"/>
    <cellStyle name="40 % - Markeringsfarve6 4 3 4" xfId="6864" xr:uid="{00000000-0005-0000-0000-0000CB8E0000}"/>
    <cellStyle name="40 % - Markeringsfarve6 4 3 4 2" xfId="10962" xr:uid="{00000000-0005-0000-0000-0000CC8E0000}"/>
    <cellStyle name="40 % - Markeringsfarve6 4 3 4 2 2" xfId="18793" xr:uid="{00000000-0005-0000-0000-0000CD8E0000}"/>
    <cellStyle name="40 % - Markeringsfarve6 4 3 4 2 2 2" xfId="35069" xr:uid="{00000000-0005-0000-0000-0000CE8E0000}"/>
    <cellStyle name="40 % - Markeringsfarve6 4 3 4 2 2 3" xfId="50028" xr:uid="{00000000-0005-0000-0000-0000CF8E0000}"/>
    <cellStyle name="40 % - Markeringsfarve6 4 3 4 2 3" xfId="28067" xr:uid="{00000000-0005-0000-0000-0000D08E0000}"/>
    <cellStyle name="40 % - Markeringsfarve6 4 3 4 2 4" xfId="43031" xr:uid="{00000000-0005-0000-0000-0000D18E0000}"/>
    <cellStyle name="40 % - Markeringsfarve6 4 3 4 3" xfId="15349" xr:uid="{00000000-0005-0000-0000-0000D28E0000}"/>
    <cellStyle name="40 % - Markeringsfarve6 4 3 4 3 2" xfId="31628" xr:uid="{00000000-0005-0000-0000-0000D38E0000}"/>
    <cellStyle name="40 % - Markeringsfarve6 4 3 4 3 3" xfId="46588" xr:uid="{00000000-0005-0000-0000-0000D48E0000}"/>
    <cellStyle name="40 % - Markeringsfarve6 4 3 4 4" xfId="24626" xr:uid="{00000000-0005-0000-0000-0000D58E0000}"/>
    <cellStyle name="40 % - Markeringsfarve6 4 3 4 5" xfId="39591" xr:uid="{00000000-0005-0000-0000-0000D68E0000}"/>
    <cellStyle name="40 % - Markeringsfarve6 4 3 5" xfId="8282" xr:uid="{00000000-0005-0000-0000-0000D78E0000}"/>
    <cellStyle name="40 % - Markeringsfarve6 4 3 5 2" xfId="16147" xr:uid="{00000000-0005-0000-0000-0000D88E0000}"/>
    <cellStyle name="40 % - Markeringsfarve6 4 3 5 2 2" xfId="32423" xr:uid="{00000000-0005-0000-0000-0000D98E0000}"/>
    <cellStyle name="40 % - Markeringsfarve6 4 3 5 2 3" xfId="47382" xr:uid="{00000000-0005-0000-0000-0000DA8E0000}"/>
    <cellStyle name="40 % - Markeringsfarve6 4 3 5 3" xfId="25421" xr:uid="{00000000-0005-0000-0000-0000DB8E0000}"/>
    <cellStyle name="40 % - Markeringsfarve6 4 3 5 4" xfId="40385" xr:uid="{00000000-0005-0000-0000-0000DC8E0000}"/>
    <cellStyle name="40 % - Markeringsfarve6 4 3 6" xfId="15345" xr:uid="{00000000-0005-0000-0000-0000DD8E0000}"/>
    <cellStyle name="40 % - Markeringsfarve6 4 3 6 2" xfId="31624" xr:uid="{00000000-0005-0000-0000-0000DE8E0000}"/>
    <cellStyle name="40 % - Markeringsfarve6 4 3 6 3" xfId="46584" xr:uid="{00000000-0005-0000-0000-0000DF8E0000}"/>
    <cellStyle name="40 % - Markeringsfarve6 4 3 7" xfId="24622" xr:uid="{00000000-0005-0000-0000-0000E08E0000}"/>
    <cellStyle name="40 % - Markeringsfarve6 4 3 8" xfId="39587" xr:uid="{00000000-0005-0000-0000-0000E18E0000}"/>
    <cellStyle name="40 % - Markeringsfarve6 4 4" xfId="6865" xr:uid="{00000000-0005-0000-0000-0000E28E0000}"/>
    <cellStyle name="40 % - Markeringsfarve6 4 4 2" xfId="6866" xr:uid="{00000000-0005-0000-0000-0000E38E0000}"/>
    <cellStyle name="40 % - Markeringsfarve6 4 4 2 2" xfId="6867" xr:uid="{00000000-0005-0000-0000-0000E48E0000}"/>
    <cellStyle name="40 % - Markeringsfarve6 4 4 2 2 2" xfId="10101" xr:uid="{00000000-0005-0000-0000-0000E58E0000}"/>
    <cellStyle name="40 % - Markeringsfarve6 4 4 2 2 2 2" xfId="17956" xr:uid="{00000000-0005-0000-0000-0000E68E0000}"/>
    <cellStyle name="40 % - Markeringsfarve6 4 4 2 2 2 2 2" xfId="34232" xr:uid="{00000000-0005-0000-0000-0000E78E0000}"/>
    <cellStyle name="40 % - Markeringsfarve6 4 4 2 2 2 2 3" xfId="49191" xr:uid="{00000000-0005-0000-0000-0000E88E0000}"/>
    <cellStyle name="40 % - Markeringsfarve6 4 4 2 2 2 3" xfId="27230" xr:uid="{00000000-0005-0000-0000-0000E98E0000}"/>
    <cellStyle name="40 % - Markeringsfarve6 4 4 2 2 2 4" xfId="42194" xr:uid="{00000000-0005-0000-0000-0000EA8E0000}"/>
    <cellStyle name="40 % - Markeringsfarve6 4 4 2 2 3" xfId="15352" xr:uid="{00000000-0005-0000-0000-0000EB8E0000}"/>
    <cellStyle name="40 % - Markeringsfarve6 4 4 2 2 3 2" xfId="31631" xr:uid="{00000000-0005-0000-0000-0000EC8E0000}"/>
    <cellStyle name="40 % - Markeringsfarve6 4 4 2 2 3 3" xfId="46591" xr:uid="{00000000-0005-0000-0000-0000ED8E0000}"/>
    <cellStyle name="40 % - Markeringsfarve6 4 4 2 2 4" xfId="24629" xr:uid="{00000000-0005-0000-0000-0000EE8E0000}"/>
    <cellStyle name="40 % - Markeringsfarve6 4 4 2 2 5" xfId="39594" xr:uid="{00000000-0005-0000-0000-0000EF8E0000}"/>
    <cellStyle name="40 % - Markeringsfarve6 4 4 2 3" xfId="8641" xr:uid="{00000000-0005-0000-0000-0000F08E0000}"/>
    <cellStyle name="40 % - Markeringsfarve6 4 4 2 3 2" xfId="16508" xr:uid="{00000000-0005-0000-0000-0000F18E0000}"/>
    <cellStyle name="40 % - Markeringsfarve6 4 4 2 3 2 2" xfId="32784" xr:uid="{00000000-0005-0000-0000-0000F28E0000}"/>
    <cellStyle name="40 % - Markeringsfarve6 4 4 2 3 2 3" xfId="47743" xr:uid="{00000000-0005-0000-0000-0000F38E0000}"/>
    <cellStyle name="40 % - Markeringsfarve6 4 4 2 3 3" xfId="25782" xr:uid="{00000000-0005-0000-0000-0000F48E0000}"/>
    <cellStyle name="40 % - Markeringsfarve6 4 4 2 3 4" xfId="40746" xr:uid="{00000000-0005-0000-0000-0000F58E0000}"/>
    <cellStyle name="40 % - Markeringsfarve6 4 4 2 4" xfId="15351" xr:uid="{00000000-0005-0000-0000-0000F68E0000}"/>
    <cellStyle name="40 % - Markeringsfarve6 4 4 2 4 2" xfId="31630" xr:uid="{00000000-0005-0000-0000-0000F78E0000}"/>
    <cellStyle name="40 % - Markeringsfarve6 4 4 2 4 3" xfId="46590" xr:uid="{00000000-0005-0000-0000-0000F88E0000}"/>
    <cellStyle name="40 % - Markeringsfarve6 4 4 2 5" xfId="24628" xr:uid="{00000000-0005-0000-0000-0000F98E0000}"/>
    <cellStyle name="40 % - Markeringsfarve6 4 4 2 6" xfId="39593" xr:uid="{00000000-0005-0000-0000-0000FA8E0000}"/>
    <cellStyle name="40 % - Markeringsfarve6 4 4 3" xfId="6868" xr:uid="{00000000-0005-0000-0000-0000FB8E0000}"/>
    <cellStyle name="40 % - Markeringsfarve6 4 4 3 2" xfId="9378" xr:uid="{00000000-0005-0000-0000-0000FC8E0000}"/>
    <cellStyle name="40 % - Markeringsfarve6 4 4 3 2 2" xfId="17241" xr:uid="{00000000-0005-0000-0000-0000FD8E0000}"/>
    <cellStyle name="40 % - Markeringsfarve6 4 4 3 2 2 2" xfId="33517" xr:uid="{00000000-0005-0000-0000-0000FE8E0000}"/>
    <cellStyle name="40 % - Markeringsfarve6 4 4 3 2 2 3" xfId="48476" xr:uid="{00000000-0005-0000-0000-0000FF8E0000}"/>
    <cellStyle name="40 % - Markeringsfarve6 4 4 3 2 3" xfId="26515" xr:uid="{00000000-0005-0000-0000-0000008F0000}"/>
    <cellStyle name="40 % - Markeringsfarve6 4 4 3 2 4" xfId="41479" xr:uid="{00000000-0005-0000-0000-0000018F0000}"/>
    <cellStyle name="40 % - Markeringsfarve6 4 4 3 3" xfId="15353" xr:uid="{00000000-0005-0000-0000-0000028F0000}"/>
    <cellStyle name="40 % - Markeringsfarve6 4 4 3 3 2" xfId="31632" xr:uid="{00000000-0005-0000-0000-0000038F0000}"/>
    <cellStyle name="40 % - Markeringsfarve6 4 4 3 3 3" xfId="46592" xr:uid="{00000000-0005-0000-0000-0000048F0000}"/>
    <cellStyle name="40 % - Markeringsfarve6 4 4 3 4" xfId="24630" xr:uid="{00000000-0005-0000-0000-0000058F0000}"/>
    <cellStyle name="40 % - Markeringsfarve6 4 4 3 5" xfId="39595" xr:uid="{00000000-0005-0000-0000-0000068F0000}"/>
    <cellStyle name="40 % - Markeringsfarve6 4 4 4" xfId="6869" xr:uid="{00000000-0005-0000-0000-0000078F0000}"/>
    <cellStyle name="40 % - Markeringsfarve6 4 4 4 2" xfId="10682" xr:uid="{00000000-0005-0000-0000-0000088F0000}"/>
    <cellStyle name="40 % - Markeringsfarve6 4 4 4 2 2" xfId="18526" xr:uid="{00000000-0005-0000-0000-0000098F0000}"/>
    <cellStyle name="40 % - Markeringsfarve6 4 4 4 2 2 2" xfId="34802" xr:uid="{00000000-0005-0000-0000-00000A8F0000}"/>
    <cellStyle name="40 % - Markeringsfarve6 4 4 4 2 2 3" xfId="49761" xr:uid="{00000000-0005-0000-0000-00000B8F0000}"/>
    <cellStyle name="40 % - Markeringsfarve6 4 4 4 2 3" xfId="27800" xr:uid="{00000000-0005-0000-0000-00000C8F0000}"/>
    <cellStyle name="40 % - Markeringsfarve6 4 4 4 2 4" xfId="42764" xr:uid="{00000000-0005-0000-0000-00000D8F0000}"/>
    <cellStyle name="40 % - Markeringsfarve6 4 4 4 3" xfId="15354" xr:uid="{00000000-0005-0000-0000-00000E8F0000}"/>
    <cellStyle name="40 % - Markeringsfarve6 4 4 4 3 2" xfId="31633" xr:uid="{00000000-0005-0000-0000-00000F8F0000}"/>
    <cellStyle name="40 % - Markeringsfarve6 4 4 4 3 3" xfId="46593" xr:uid="{00000000-0005-0000-0000-0000108F0000}"/>
    <cellStyle name="40 % - Markeringsfarve6 4 4 4 4" xfId="24631" xr:uid="{00000000-0005-0000-0000-0000118F0000}"/>
    <cellStyle name="40 % - Markeringsfarve6 4 4 4 5" xfId="39596" xr:uid="{00000000-0005-0000-0000-0000128F0000}"/>
    <cellStyle name="40 % - Markeringsfarve6 4 4 5" xfId="8283" xr:uid="{00000000-0005-0000-0000-0000138F0000}"/>
    <cellStyle name="40 % - Markeringsfarve6 4 4 5 2" xfId="16148" xr:uid="{00000000-0005-0000-0000-0000148F0000}"/>
    <cellStyle name="40 % - Markeringsfarve6 4 4 5 2 2" xfId="32424" xr:uid="{00000000-0005-0000-0000-0000158F0000}"/>
    <cellStyle name="40 % - Markeringsfarve6 4 4 5 2 3" xfId="47383" xr:uid="{00000000-0005-0000-0000-0000168F0000}"/>
    <cellStyle name="40 % - Markeringsfarve6 4 4 5 3" xfId="25422" xr:uid="{00000000-0005-0000-0000-0000178F0000}"/>
    <cellStyle name="40 % - Markeringsfarve6 4 4 5 4" xfId="40386" xr:uid="{00000000-0005-0000-0000-0000188F0000}"/>
    <cellStyle name="40 % - Markeringsfarve6 4 4 6" xfId="15350" xr:uid="{00000000-0005-0000-0000-0000198F0000}"/>
    <cellStyle name="40 % - Markeringsfarve6 4 4 6 2" xfId="31629" xr:uid="{00000000-0005-0000-0000-00001A8F0000}"/>
    <cellStyle name="40 % - Markeringsfarve6 4 4 6 3" xfId="46589" xr:uid="{00000000-0005-0000-0000-00001B8F0000}"/>
    <cellStyle name="40 % - Markeringsfarve6 4 4 7" xfId="24627" xr:uid="{00000000-0005-0000-0000-00001C8F0000}"/>
    <cellStyle name="40 % - Markeringsfarve6 4 4 8" xfId="39592" xr:uid="{00000000-0005-0000-0000-00001D8F0000}"/>
    <cellStyle name="40 % - Markeringsfarve6 4 5" xfId="6870" xr:uid="{00000000-0005-0000-0000-00001E8F0000}"/>
    <cellStyle name="40 % - Markeringsfarve6 4 5 2" xfId="6871" xr:uid="{00000000-0005-0000-0000-00001F8F0000}"/>
    <cellStyle name="40 % - Markeringsfarve6 4 5 2 2" xfId="6872" xr:uid="{00000000-0005-0000-0000-0000208F0000}"/>
    <cellStyle name="40 % - Markeringsfarve6 4 5 2 2 2" xfId="10218" xr:uid="{00000000-0005-0000-0000-0000218F0000}"/>
    <cellStyle name="40 % - Markeringsfarve6 4 5 2 2 2 2" xfId="18073" xr:uid="{00000000-0005-0000-0000-0000228F0000}"/>
    <cellStyle name="40 % - Markeringsfarve6 4 5 2 2 2 2 2" xfId="34349" xr:uid="{00000000-0005-0000-0000-0000238F0000}"/>
    <cellStyle name="40 % - Markeringsfarve6 4 5 2 2 2 2 3" xfId="49308" xr:uid="{00000000-0005-0000-0000-0000248F0000}"/>
    <cellStyle name="40 % - Markeringsfarve6 4 5 2 2 2 3" xfId="27347" xr:uid="{00000000-0005-0000-0000-0000258F0000}"/>
    <cellStyle name="40 % - Markeringsfarve6 4 5 2 2 2 4" xfId="42311" xr:uid="{00000000-0005-0000-0000-0000268F0000}"/>
    <cellStyle name="40 % - Markeringsfarve6 4 5 2 2 3" xfId="15357" xr:uid="{00000000-0005-0000-0000-0000278F0000}"/>
    <cellStyle name="40 % - Markeringsfarve6 4 5 2 2 3 2" xfId="31636" xr:uid="{00000000-0005-0000-0000-0000288F0000}"/>
    <cellStyle name="40 % - Markeringsfarve6 4 5 2 2 3 3" xfId="46596" xr:uid="{00000000-0005-0000-0000-0000298F0000}"/>
    <cellStyle name="40 % - Markeringsfarve6 4 5 2 2 4" xfId="24634" xr:uid="{00000000-0005-0000-0000-00002A8F0000}"/>
    <cellStyle name="40 % - Markeringsfarve6 4 5 2 2 5" xfId="39599" xr:uid="{00000000-0005-0000-0000-00002B8F0000}"/>
    <cellStyle name="40 % - Markeringsfarve6 4 5 2 3" xfId="8740" xr:uid="{00000000-0005-0000-0000-00002C8F0000}"/>
    <cellStyle name="40 % - Markeringsfarve6 4 5 2 3 2" xfId="16607" xr:uid="{00000000-0005-0000-0000-00002D8F0000}"/>
    <cellStyle name="40 % - Markeringsfarve6 4 5 2 3 2 2" xfId="32883" xr:uid="{00000000-0005-0000-0000-00002E8F0000}"/>
    <cellStyle name="40 % - Markeringsfarve6 4 5 2 3 2 3" xfId="47842" xr:uid="{00000000-0005-0000-0000-00002F8F0000}"/>
    <cellStyle name="40 % - Markeringsfarve6 4 5 2 3 3" xfId="25881" xr:uid="{00000000-0005-0000-0000-0000308F0000}"/>
    <cellStyle name="40 % - Markeringsfarve6 4 5 2 3 4" xfId="40845" xr:uid="{00000000-0005-0000-0000-0000318F0000}"/>
    <cellStyle name="40 % - Markeringsfarve6 4 5 2 4" xfId="15356" xr:uid="{00000000-0005-0000-0000-0000328F0000}"/>
    <cellStyle name="40 % - Markeringsfarve6 4 5 2 4 2" xfId="31635" xr:uid="{00000000-0005-0000-0000-0000338F0000}"/>
    <cellStyle name="40 % - Markeringsfarve6 4 5 2 4 3" xfId="46595" xr:uid="{00000000-0005-0000-0000-0000348F0000}"/>
    <cellStyle name="40 % - Markeringsfarve6 4 5 2 5" xfId="24633" xr:uid="{00000000-0005-0000-0000-0000358F0000}"/>
    <cellStyle name="40 % - Markeringsfarve6 4 5 2 6" xfId="39598" xr:uid="{00000000-0005-0000-0000-0000368F0000}"/>
    <cellStyle name="40 % - Markeringsfarve6 4 5 3" xfId="6873" xr:uid="{00000000-0005-0000-0000-0000378F0000}"/>
    <cellStyle name="40 % - Markeringsfarve6 4 5 3 2" xfId="9495" xr:uid="{00000000-0005-0000-0000-0000388F0000}"/>
    <cellStyle name="40 % - Markeringsfarve6 4 5 3 2 2" xfId="17358" xr:uid="{00000000-0005-0000-0000-0000398F0000}"/>
    <cellStyle name="40 % - Markeringsfarve6 4 5 3 2 2 2" xfId="33634" xr:uid="{00000000-0005-0000-0000-00003A8F0000}"/>
    <cellStyle name="40 % - Markeringsfarve6 4 5 3 2 2 3" xfId="48593" xr:uid="{00000000-0005-0000-0000-00003B8F0000}"/>
    <cellStyle name="40 % - Markeringsfarve6 4 5 3 2 3" xfId="26632" xr:uid="{00000000-0005-0000-0000-00003C8F0000}"/>
    <cellStyle name="40 % - Markeringsfarve6 4 5 3 2 4" xfId="41596" xr:uid="{00000000-0005-0000-0000-00003D8F0000}"/>
    <cellStyle name="40 % - Markeringsfarve6 4 5 3 3" xfId="15358" xr:uid="{00000000-0005-0000-0000-00003E8F0000}"/>
    <cellStyle name="40 % - Markeringsfarve6 4 5 3 3 2" xfId="31637" xr:uid="{00000000-0005-0000-0000-00003F8F0000}"/>
    <cellStyle name="40 % - Markeringsfarve6 4 5 3 3 3" xfId="46597" xr:uid="{00000000-0005-0000-0000-0000408F0000}"/>
    <cellStyle name="40 % - Markeringsfarve6 4 5 3 4" xfId="24635" xr:uid="{00000000-0005-0000-0000-0000418F0000}"/>
    <cellStyle name="40 % - Markeringsfarve6 4 5 3 5" xfId="39600" xr:uid="{00000000-0005-0000-0000-0000428F0000}"/>
    <cellStyle name="40 % - Markeringsfarve6 4 5 4" xfId="6874" xr:uid="{00000000-0005-0000-0000-0000438F0000}"/>
    <cellStyle name="40 % - Markeringsfarve6 4 5 4 2" xfId="10927" xr:uid="{00000000-0005-0000-0000-0000448F0000}"/>
    <cellStyle name="40 % - Markeringsfarve6 4 5 4 2 2" xfId="18762" xr:uid="{00000000-0005-0000-0000-0000458F0000}"/>
    <cellStyle name="40 % - Markeringsfarve6 4 5 4 2 2 2" xfId="35038" xr:uid="{00000000-0005-0000-0000-0000468F0000}"/>
    <cellStyle name="40 % - Markeringsfarve6 4 5 4 2 2 3" xfId="49997" xr:uid="{00000000-0005-0000-0000-0000478F0000}"/>
    <cellStyle name="40 % - Markeringsfarve6 4 5 4 2 3" xfId="28036" xr:uid="{00000000-0005-0000-0000-0000488F0000}"/>
    <cellStyle name="40 % - Markeringsfarve6 4 5 4 2 4" xfId="43000" xr:uid="{00000000-0005-0000-0000-0000498F0000}"/>
    <cellStyle name="40 % - Markeringsfarve6 4 5 4 3" xfId="15359" xr:uid="{00000000-0005-0000-0000-00004A8F0000}"/>
    <cellStyle name="40 % - Markeringsfarve6 4 5 4 3 2" xfId="31638" xr:uid="{00000000-0005-0000-0000-00004B8F0000}"/>
    <cellStyle name="40 % - Markeringsfarve6 4 5 4 3 3" xfId="46598" xr:uid="{00000000-0005-0000-0000-00004C8F0000}"/>
    <cellStyle name="40 % - Markeringsfarve6 4 5 4 4" xfId="24636" xr:uid="{00000000-0005-0000-0000-00004D8F0000}"/>
    <cellStyle name="40 % - Markeringsfarve6 4 5 4 5" xfId="39601" xr:uid="{00000000-0005-0000-0000-00004E8F0000}"/>
    <cellStyle name="40 % - Markeringsfarve6 4 5 5" xfId="8284" xr:uid="{00000000-0005-0000-0000-00004F8F0000}"/>
    <cellStyle name="40 % - Markeringsfarve6 4 5 5 2" xfId="16149" xr:uid="{00000000-0005-0000-0000-0000508F0000}"/>
    <cellStyle name="40 % - Markeringsfarve6 4 5 5 2 2" xfId="32425" xr:uid="{00000000-0005-0000-0000-0000518F0000}"/>
    <cellStyle name="40 % - Markeringsfarve6 4 5 5 2 3" xfId="47384" xr:uid="{00000000-0005-0000-0000-0000528F0000}"/>
    <cellStyle name="40 % - Markeringsfarve6 4 5 5 3" xfId="25423" xr:uid="{00000000-0005-0000-0000-0000538F0000}"/>
    <cellStyle name="40 % - Markeringsfarve6 4 5 5 4" xfId="40387" xr:uid="{00000000-0005-0000-0000-0000548F0000}"/>
    <cellStyle name="40 % - Markeringsfarve6 4 5 6" xfId="15355" xr:uid="{00000000-0005-0000-0000-0000558F0000}"/>
    <cellStyle name="40 % - Markeringsfarve6 4 5 6 2" xfId="31634" xr:uid="{00000000-0005-0000-0000-0000568F0000}"/>
    <cellStyle name="40 % - Markeringsfarve6 4 5 6 3" xfId="46594" xr:uid="{00000000-0005-0000-0000-0000578F0000}"/>
    <cellStyle name="40 % - Markeringsfarve6 4 5 7" xfId="24632" xr:uid="{00000000-0005-0000-0000-0000588F0000}"/>
    <cellStyle name="40 % - Markeringsfarve6 4 5 8" xfId="39597" xr:uid="{00000000-0005-0000-0000-0000598F0000}"/>
    <cellStyle name="40 % - Markeringsfarve6 4 6" xfId="6875" xr:uid="{00000000-0005-0000-0000-00005A8F0000}"/>
    <cellStyle name="40 % - Markeringsfarve6 4 6 2" xfId="6876" xr:uid="{00000000-0005-0000-0000-00005B8F0000}"/>
    <cellStyle name="40 % - Markeringsfarve6 4 6 2 2" xfId="6877" xr:uid="{00000000-0005-0000-0000-00005C8F0000}"/>
    <cellStyle name="40 % - Markeringsfarve6 4 6 2 2 2" xfId="10391" xr:uid="{00000000-0005-0000-0000-00005D8F0000}"/>
    <cellStyle name="40 % - Markeringsfarve6 4 6 2 2 2 2" xfId="18246" xr:uid="{00000000-0005-0000-0000-00005E8F0000}"/>
    <cellStyle name="40 % - Markeringsfarve6 4 6 2 2 2 2 2" xfId="34522" xr:uid="{00000000-0005-0000-0000-00005F8F0000}"/>
    <cellStyle name="40 % - Markeringsfarve6 4 6 2 2 2 2 3" xfId="49481" xr:uid="{00000000-0005-0000-0000-0000608F0000}"/>
    <cellStyle name="40 % - Markeringsfarve6 4 6 2 2 2 3" xfId="27520" xr:uid="{00000000-0005-0000-0000-0000618F0000}"/>
    <cellStyle name="40 % - Markeringsfarve6 4 6 2 2 2 4" xfId="42484" xr:uid="{00000000-0005-0000-0000-0000628F0000}"/>
    <cellStyle name="40 % - Markeringsfarve6 4 6 2 2 3" xfId="15362" xr:uid="{00000000-0005-0000-0000-0000638F0000}"/>
    <cellStyle name="40 % - Markeringsfarve6 4 6 2 2 3 2" xfId="31641" xr:uid="{00000000-0005-0000-0000-0000648F0000}"/>
    <cellStyle name="40 % - Markeringsfarve6 4 6 2 2 3 3" xfId="46601" xr:uid="{00000000-0005-0000-0000-0000658F0000}"/>
    <cellStyle name="40 % - Markeringsfarve6 4 6 2 2 4" xfId="24639" xr:uid="{00000000-0005-0000-0000-0000668F0000}"/>
    <cellStyle name="40 % - Markeringsfarve6 4 6 2 2 5" xfId="39604" xr:uid="{00000000-0005-0000-0000-0000678F0000}"/>
    <cellStyle name="40 % - Markeringsfarve6 4 6 2 3" xfId="8885" xr:uid="{00000000-0005-0000-0000-0000688F0000}"/>
    <cellStyle name="40 % - Markeringsfarve6 4 6 2 3 2" xfId="16752" xr:uid="{00000000-0005-0000-0000-0000698F0000}"/>
    <cellStyle name="40 % - Markeringsfarve6 4 6 2 3 2 2" xfId="33028" xr:uid="{00000000-0005-0000-0000-00006A8F0000}"/>
    <cellStyle name="40 % - Markeringsfarve6 4 6 2 3 2 3" xfId="47987" xr:uid="{00000000-0005-0000-0000-00006B8F0000}"/>
    <cellStyle name="40 % - Markeringsfarve6 4 6 2 3 3" xfId="26026" xr:uid="{00000000-0005-0000-0000-00006C8F0000}"/>
    <cellStyle name="40 % - Markeringsfarve6 4 6 2 3 4" xfId="40990" xr:uid="{00000000-0005-0000-0000-00006D8F0000}"/>
    <cellStyle name="40 % - Markeringsfarve6 4 6 2 4" xfId="15361" xr:uid="{00000000-0005-0000-0000-00006E8F0000}"/>
    <cellStyle name="40 % - Markeringsfarve6 4 6 2 4 2" xfId="31640" xr:uid="{00000000-0005-0000-0000-00006F8F0000}"/>
    <cellStyle name="40 % - Markeringsfarve6 4 6 2 4 3" xfId="46600" xr:uid="{00000000-0005-0000-0000-0000708F0000}"/>
    <cellStyle name="40 % - Markeringsfarve6 4 6 2 5" xfId="24638" xr:uid="{00000000-0005-0000-0000-0000718F0000}"/>
    <cellStyle name="40 % - Markeringsfarve6 4 6 2 6" xfId="39603" xr:uid="{00000000-0005-0000-0000-0000728F0000}"/>
    <cellStyle name="40 % - Markeringsfarve6 4 6 3" xfId="6878" xr:uid="{00000000-0005-0000-0000-0000738F0000}"/>
    <cellStyle name="40 % - Markeringsfarve6 4 6 3 2" xfId="9669" xr:uid="{00000000-0005-0000-0000-0000748F0000}"/>
    <cellStyle name="40 % - Markeringsfarve6 4 6 3 2 2" xfId="17532" xr:uid="{00000000-0005-0000-0000-0000758F0000}"/>
    <cellStyle name="40 % - Markeringsfarve6 4 6 3 2 2 2" xfId="33808" xr:uid="{00000000-0005-0000-0000-0000768F0000}"/>
    <cellStyle name="40 % - Markeringsfarve6 4 6 3 2 2 3" xfId="48767" xr:uid="{00000000-0005-0000-0000-0000778F0000}"/>
    <cellStyle name="40 % - Markeringsfarve6 4 6 3 2 3" xfId="26806" xr:uid="{00000000-0005-0000-0000-0000788F0000}"/>
    <cellStyle name="40 % - Markeringsfarve6 4 6 3 2 4" xfId="41770" xr:uid="{00000000-0005-0000-0000-0000798F0000}"/>
    <cellStyle name="40 % - Markeringsfarve6 4 6 3 3" xfId="15363" xr:uid="{00000000-0005-0000-0000-00007A8F0000}"/>
    <cellStyle name="40 % - Markeringsfarve6 4 6 3 3 2" xfId="31642" xr:uid="{00000000-0005-0000-0000-00007B8F0000}"/>
    <cellStyle name="40 % - Markeringsfarve6 4 6 3 3 3" xfId="46602" xr:uid="{00000000-0005-0000-0000-00007C8F0000}"/>
    <cellStyle name="40 % - Markeringsfarve6 4 6 3 4" xfId="24640" xr:uid="{00000000-0005-0000-0000-00007D8F0000}"/>
    <cellStyle name="40 % - Markeringsfarve6 4 6 3 5" xfId="39605" xr:uid="{00000000-0005-0000-0000-00007E8F0000}"/>
    <cellStyle name="40 % - Markeringsfarve6 4 6 4" xfId="6879" xr:uid="{00000000-0005-0000-0000-00007F8F0000}"/>
    <cellStyle name="40 % - Markeringsfarve6 4 6 4 2" xfId="10652" xr:uid="{00000000-0005-0000-0000-0000808F0000}"/>
    <cellStyle name="40 % - Markeringsfarve6 4 6 4 2 2" xfId="18499" xr:uid="{00000000-0005-0000-0000-0000818F0000}"/>
    <cellStyle name="40 % - Markeringsfarve6 4 6 4 2 2 2" xfId="34775" xr:uid="{00000000-0005-0000-0000-0000828F0000}"/>
    <cellStyle name="40 % - Markeringsfarve6 4 6 4 2 2 3" xfId="49734" xr:uid="{00000000-0005-0000-0000-0000838F0000}"/>
    <cellStyle name="40 % - Markeringsfarve6 4 6 4 2 3" xfId="27773" xr:uid="{00000000-0005-0000-0000-0000848F0000}"/>
    <cellStyle name="40 % - Markeringsfarve6 4 6 4 2 4" xfId="42737" xr:uid="{00000000-0005-0000-0000-0000858F0000}"/>
    <cellStyle name="40 % - Markeringsfarve6 4 6 4 3" xfId="15364" xr:uid="{00000000-0005-0000-0000-0000868F0000}"/>
    <cellStyle name="40 % - Markeringsfarve6 4 6 4 3 2" xfId="31643" xr:uid="{00000000-0005-0000-0000-0000878F0000}"/>
    <cellStyle name="40 % - Markeringsfarve6 4 6 4 3 3" xfId="46603" xr:uid="{00000000-0005-0000-0000-0000888F0000}"/>
    <cellStyle name="40 % - Markeringsfarve6 4 6 4 4" xfId="24641" xr:uid="{00000000-0005-0000-0000-0000898F0000}"/>
    <cellStyle name="40 % - Markeringsfarve6 4 6 4 5" xfId="39606" xr:uid="{00000000-0005-0000-0000-00008A8F0000}"/>
    <cellStyle name="40 % - Markeringsfarve6 4 6 5" xfId="8285" xr:uid="{00000000-0005-0000-0000-00008B8F0000}"/>
    <cellStyle name="40 % - Markeringsfarve6 4 6 5 2" xfId="16150" xr:uid="{00000000-0005-0000-0000-00008C8F0000}"/>
    <cellStyle name="40 % - Markeringsfarve6 4 6 5 2 2" xfId="32426" xr:uid="{00000000-0005-0000-0000-00008D8F0000}"/>
    <cellStyle name="40 % - Markeringsfarve6 4 6 5 2 3" xfId="47385" xr:uid="{00000000-0005-0000-0000-00008E8F0000}"/>
    <cellStyle name="40 % - Markeringsfarve6 4 6 5 3" xfId="25424" xr:uid="{00000000-0005-0000-0000-00008F8F0000}"/>
    <cellStyle name="40 % - Markeringsfarve6 4 6 5 4" xfId="40388" xr:uid="{00000000-0005-0000-0000-0000908F0000}"/>
    <cellStyle name="40 % - Markeringsfarve6 4 6 6" xfId="15360" xr:uid="{00000000-0005-0000-0000-0000918F0000}"/>
    <cellStyle name="40 % - Markeringsfarve6 4 6 6 2" xfId="31639" xr:uid="{00000000-0005-0000-0000-0000928F0000}"/>
    <cellStyle name="40 % - Markeringsfarve6 4 6 6 3" xfId="46599" xr:uid="{00000000-0005-0000-0000-0000938F0000}"/>
    <cellStyle name="40 % - Markeringsfarve6 4 6 7" xfId="24637" xr:uid="{00000000-0005-0000-0000-0000948F0000}"/>
    <cellStyle name="40 % - Markeringsfarve6 4 6 8" xfId="39602" xr:uid="{00000000-0005-0000-0000-0000958F0000}"/>
    <cellStyle name="40 % - Markeringsfarve6 4 7" xfId="6880" xr:uid="{00000000-0005-0000-0000-0000968F0000}"/>
    <cellStyle name="40 % - Markeringsfarve6 4 7 2" xfId="6881" xr:uid="{00000000-0005-0000-0000-0000978F0000}"/>
    <cellStyle name="40 % - Markeringsfarve6 4 7 2 2" xfId="9745" xr:uid="{00000000-0005-0000-0000-0000988F0000}"/>
    <cellStyle name="40 % - Markeringsfarve6 4 7 2 2 2" xfId="17599" xr:uid="{00000000-0005-0000-0000-0000998F0000}"/>
    <cellStyle name="40 % - Markeringsfarve6 4 7 2 2 2 2" xfId="33875" xr:uid="{00000000-0005-0000-0000-00009A8F0000}"/>
    <cellStyle name="40 % - Markeringsfarve6 4 7 2 2 2 3" xfId="48834" xr:uid="{00000000-0005-0000-0000-00009B8F0000}"/>
    <cellStyle name="40 % - Markeringsfarve6 4 7 2 2 3" xfId="26873" xr:uid="{00000000-0005-0000-0000-00009C8F0000}"/>
    <cellStyle name="40 % - Markeringsfarve6 4 7 2 2 4" xfId="41837" xr:uid="{00000000-0005-0000-0000-00009D8F0000}"/>
    <cellStyle name="40 % - Markeringsfarve6 4 7 2 3" xfId="15366" xr:uid="{00000000-0005-0000-0000-00009E8F0000}"/>
    <cellStyle name="40 % - Markeringsfarve6 4 7 2 3 2" xfId="31645" xr:uid="{00000000-0005-0000-0000-00009F8F0000}"/>
    <cellStyle name="40 % - Markeringsfarve6 4 7 2 3 3" xfId="46605" xr:uid="{00000000-0005-0000-0000-0000A08F0000}"/>
    <cellStyle name="40 % - Markeringsfarve6 4 7 2 4" xfId="24643" xr:uid="{00000000-0005-0000-0000-0000A18F0000}"/>
    <cellStyle name="40 % - Markeringsfarve6 4 7 2 5" xfId="39608" xr:uid="{00000000-0005-0000-0000-0000A28F0000}"/>
    <cellStyle name="40 % - Markeringsfarve6 4 7 3" xfId="8340" xr:uid="{00000000-0005-0000-0000-0000A38F0000}"/>
    <cellStyle name="40 % - Markeringsfarve6 4 7 3 2" xfId="16210" xr:uid="{00000000-0005-0000-0000-0000A48F0000}"/>
    <cellStyle name="40 % - Markeringsfarve6 4 7 3 2 2" xfId="32486" xr:uid="{00000000-0005-0000-0000-0000A58F0000}"/>
    <cellStyle name="40 % - Markeringsfarve6 4 7 3 2 3" xfId="47445" xr:uid="{00000000-0005-0000-0000-0000A68F0000}"/>
    <cellStyle name="40 % - Markeringsfarve6 4 7 3 3" xfId="25484" xr:uid="{00000000-0005-0000-0000-0000A78F0000}"/>
    <cellStyle name="40 % - Markeringsfarve6 4 7 3 4" xfId="40448" xr:uid="{00000000-0005-0000-0000-0000A88F0000}"/>
    <cellStyle name="40 % - Markeringsfarve6 4 7 4" xfId="15365" xr:uid="{00000000-0005-0000-0000-0000A98F0000}"/>
    <cellStyle name="40 % - Markeringsfarve6 4 7 4 2" xfId="31644" xr:uid="{00000000-0005-0000-0000-0000AA8F0000}"/>
    <cellStyle name="40 % - Markeringsfarve6 4 7 4 3" xfId="46604" xr:uid="{00000000-0005-0000-0000-0000AB8F0000}"/>
    <cellStyle name="40 % - Markeringsfarve6 4 7 5" xfId="24642" xr:uid="{00000000-0005-0000-0000-0000AC8F0000}"/>
    <cellStyle name="40 % - Markeringsfarve6 4 7 6" xfId="39607" xr:uid="{00000000-0005-0000-0000-0000AD8F0000}"/>
    <cellStyle name="40 % - Markeringsfarve6 4 8" xfId="6882" xr:uid="{00000000-0005-0000-0000-0000AE8F0000}"/>
    <cellStyle name="40 % - Markeringsfarve6 4 8 2" xfId="8973" xr:uid="{00000000-0005-0000-0000-0000AF8F0000}"/>
    <cellStyle name="40 % - Markeringsfarve6 4 8 2 2" xfId="16837" xr:uid="{00000000-0005-0000-0000-0000B08F0000}"/>
    <cellStyle name="40 % - Markeringsfarve6 4 8 2 2 2" xfId="33113" xr:uid="{00000000-0005-0000-0000-0000B18F0000}"/>
    <cellStyle name="40 % - Markeringsfarve6 4 8 2 2 3" xfId="48072" xr:uid="{00000000-0005-0000-0000-0000B28F0000}"/>
    <cellStyle name="40 % - Markeringsfarve6 4 8 2 3" xfId="26111" xr:uid="{00000000-0005-0000-0000-0000B38F0000}"/>
    <cellStyle name="40 % - Markeringsfarve6 4 8 2 4" xfId="41075" xr:uid="{00000000-0005-0000-0000-0000B48F0000}"/>
    <cellStyle name="40 % - Markeringsfarve6 4 8 3" xfId="15367" xr:uid="{00000000-0005-0000-0000-0000B58F0000}"/>
    <cellStyle name="40 % - Markeringsfarve6 4 8 3 2" xfId="31646" xr:uid="{00000000-0005-0000-0000-0000B68F0000}"/>
    <cellStyle name="40 % - Markeringsfarve6 4 8 3 3" xfId="46606" xr:uid="{00000000-0005-0000-0000-0000B78F0000}"/>
    <cellStyle name="40 % - Markeringsfarve6 4 8 4" xfId="24644" xr:uid="{00000000-0005-0000-0000-0000B88F0000}"/>
    <cellStyle name="40 % - Markeringsfarve6 4 8 5" xfId="39609" xr:uid="{00000000-0005-0000-0000-0000B98F0000}"/>
    <cellStyle name="40 % - Markeringsfarve6 4 9" xfId="6883" xr:uid="{00000000-0005-0000-0000-0000BA8F0000}"/>
    <cellStyle name="40 % - Markeringsfarve6 4 9 2" xfId="10414" xr:uid="{00000000-0005-0000-0000-0000BB8F0000}"/>
    <cellStyle name="40 % - Markeringsfarve6 4 9 2 2" xfId="18266" xr:uid="{00000000-0005-0000-0000-0000BC8F0000}"/>
    <cellStyle name="40 % - Markeringsfarve6 4 9 2 2 2" xfId="34542" xr:uid="{00000000-0005-0000-0000-0000BD8F0000}"/>
    <cellStyle name="40 % - Markeringsfarve6 4 9 2 2 3" xfId="49501" xr:uid="{00000000-0005-0000-0000-0000BE8F0000}"/>
    <cellStyle name="40 % - Markeringsfarve6 4 9 2 3" xfId="27540" xr:uid="{00000000-0005-0000-0000-0000BF8F0000}"/>
    <cellStyle name="40 % - Markeringsfarve6 4 9 2 4" xfId="42504" xr:uid="{00000000-0005-0000-0000-0000C08F0000}"/>
    <cellStyle name="40 % - Markeringsfarve6 4 9 3" xfId="15368" xr:uid="{00000000-0005-0000-0000-0000C18F0000}"/>
    <cellStyle name="40 % - Markeringsfarve6 4 9 3 2" xfId="31647" xr:uid="{00000000-0005-0000-0000-0000C28F0000}"/>
    <cellStyle name="40 % - Markeringsfarve6 4 9 3 3" xfId="46607" xr:uid="{00000000-0005-0000-0000-0000C38F0000}"/>
    <cellStyle name="40 % - Markeringsfarve6 4 9 4" xfId="24645" xr:uid="{00000000-0005-0000-0000-0000C48F0000}"/>
    <cellStyle name="40 % - Markeringsfarve6 4 9 5" xfId="39610" xr:uid="{00000000-0005-0000-0000-0000C58F0000}"/>
    <cellStyle name="40 % - Markeringsfarve6 5" xfId="6884" xr:uid="{00000000-0005-0000-0000-0000C68F0000}"/>
    <cellStyle name="40 % - Markeringsfarve6 5 10" xfId="8286" xr:uid="{00000000-0005-0000-0000-0000C78F0000}"/>
    <cellStyle name="40 % - Markeringsfarve6 5 10 2" xfId="16151" xr:uid="{00000000-0005-0000-0000-0000C88F0000}"/>
    <cellStyle name="40 % - Markeringsfarve6 5 10 2 2" xfId="32427" xr:uid="{00000000-0005-0000-0000-0000C98F0000}"/>
    <cellStyle name="40 % - Markeringsfarve6 5 10 2 3" xfId="47386" xr:uid="{00000000-0005-0000-0000-0000CA8F0000}"/>
    <cellStyle name="40 % - Markeringsfarve6 5 10 3" xfId="25425" xr:uid="{00000000-0005-0000-0000-0000CB8F0000}"/>
    <cellStyle name="40 % - Markeringsfarve6 5 10 4" xfId="40389" xr:uid="{00000000-0005-0000-0000-0000CC8F0000}"/>
    <cellStyle name="40 % - Markeringsfarve6 5 11" xfId="15369" xr:uid="{00000000-0005-0000-0000-0000CD8F0000}"/>
    <cellStyle name="40 % - Markeringsfarve6 5 11 2" xfId="31648" xr:uid="{00000000-0005-0000-0000-0000CE8F0000}"/>
    <cellStyle name="40 % - Markeringsfarve6 5 11 3" xfId="46608" xr:uid="{00000000-0005-0000-0000-0000CF8F0000}"/>
    <cellStyle name="40 % - Markeringsfarve6 5 12" xfId="24646" xr:uid="{00000000-0005-0000-0000-0000D08F0000}"/>
    <cellStyle name="40 % - Markeringsfarve6 5 13" xfId="39611" xr:uid="{00000000-0005-0000-0000-0000D18F0000}"/>
    <cellStyle name="40 % - Markeringsfarve6 5 2" xfId="6885" xr:uid="{00000000-0005-0000-0000-0000D28F0000}"/>
    <cellStyle name="40 % - Markeringsfarve6 5 2 2" xfId="6886" xr:uid="{00000000-0005-0000-0000-0000D38F0000}"/>
    <cellStyle name="40 % - Markeringsfarve6 5 2 2 2" xfId="6887" xr:uid="{00000000-0005-0000-0000-0000D48F0000}"/>
    <cellStyle name="40 % - Markeringsfarve6 5 2 2 2 2" xfId="9902" xr:uid="{00000000-0005-0000-0000-0000D58F0000}"/>
    <cellStyle name="40 % - Markeringsfarve6 5 2 2 2 2 2" xfId="17757" xr:uid="{00000000-0005-0000-0000-0000D68F0000}"/>
    <cellStyle name="40 % - Markeringsfarve6 5 2 2 2 2 2 2" xfId="34033" xr:uid="{00000000-0005-0000-0000-0000D78F0000}"/>
    <cellStyle name="40 % - Markeringsfarve6 5 2 2 2 2 2 3" xfId="48992" xr:uid="{00000000-0005-0000-0000-0000D88F0000}"/>
    <cellStyle name="40 % - Markeringsfarve6 5 2 2 2 2 3" xfId="27031" xr:uid="{00000000-0005-0000-0000-0000D98F0000}"/>
    <cellStyle name="40 % - Markeringsfarve6 5 2 2 2 2 4" xfId="41995" xr:uid="{00000000-0005-0000-0000-0000DA8F0000}"/>
    <cellStyle name="40 % - Markeringsfarve6 5 2 2 2 3" xfId="15372" xr:uid="{00000000-0005-0000-0000-0000DB8F0000}"/>
    <cellStyle name="40 % - Markeringsfarve6 5 2 2 2 3 2" xfId="31651" xr:uid="{00000000-0005-0000-0000-0000DC8F0000}"/>
    <cellStyle name="40 % - Markeringsfarve6 5 2 2 2 3 3" xfId="46611" xr:uid="{00000000-0005-0000-0000-0000DD8F0000}"/>
    <cellStyle name="40 % - Markeringsfarve6 5 2 2 2 4" xfId="24649" xr:uid="{00000000-0005-0000-0000-0000DE8F0000}"/>
    <cellStyle name="40 % - Markeringsfarve6 5 2 2 2 5" xfId="39614" xr:uid="{00000000-0005-0000-0000-0000DF8F0000}"/>
    <cellStyle name="40 % - Markeringsfarve6 5 2 2 3" xfId="8472" xr:uid="{00000000-0005-0000-0000-0000E08F0000}"/>
    <cellStyle name="40 % - Markeringsfarve6 5 2 2 3 2" xfId="16342" xr:uid="{00000000-0005-0000-0000-0000E18F0000}"/>
    <cellStyle name="40 % - Markeringsfarve6 5 2 2 3 2 2" xfId="32618" xr:uid="{00000000-0005-0000-0000-0000E28F0000}"/>
    <cellStyle name="40 % - Markeringsfarve6 5 2 2 3 2 3" xfId="47577" xr:uid="{00000000-0005-0000-0000-0000E38F0000}"/>
    <cellStyle name="40 % - Markeringsfarve6 5 2 2 3 3" xfId="25616" xr:uid="{00000000-0005-0000-0000-0000E48F0000}"/>
    <cellStyle name="40 % - Markeringsfarve6 5 2 2 3 4" xfId="40580" xr:uid="{00000000-0005-0000-0000-0000E58F0000}"/>
    <cellStyle name="40 % - Markeringsfarve6 5 2 2 4" xfId="15371" xr:uid="{00000000-0005-0000-0000-0000E68F0000}"/>
    <cellStyle name="40 % - Markeringsfarve6 5 2 2 4 2" xfId="31650" xr:uid="{00000000-0005-0000-0000-0000E78F0000}"/>
    <cellStyle name="40 % - Markeringsfarve6 5 2 2 4 3" xfId="46610" xr:uid="{00000000-0005-0000-0000-0000E88F0000}"/>
    <cellStyle name="40 % - Markeringsfarve6 5 2 2 5" xfId="24648" xr:uid="{00000000-0005-0000-0000-0000E98F0000}"/>
    <cellStyle name="40 % - Markeringsfarve6 5 2 2 6" xfId="39613" xr:uid="{00000000-0005-0000-0000-0000EA8F0000}"/>
    <cellStyle name="40 % - Markeringsfarve6 5 2 3" xfId="6888" xr:uid="{00000000-0005-0000-0000-0000EB8F0000}"/>
    <cellStyle name="40 % - Markeringsfarve6 5 2 3 2" xfId="9133" xr:uid="{00000000-0005-0000-0000-0000EC8F0000}"/>
    <cellStyle name="40 % - Markeringsfarve6 5 2 3 2 2" xfId="16997" xr:uid="{00000000-0005-0000-0000-0000ED8F0000}"/>
    <cellStyle name="40 % - Markeringsfarve6 5 2 3 2 2 2" xfId="33273" xr:uid="{00000000-0005-0000-0000-0000EE8F0000}"/>
    <cellStyle name="40 % - Markeringsfarve6 5 2 3 2 2 3" xfId="48232" xr:uid="{00000000-0005-0000-0000-0000EF8F0000}"/>
    <cellStyle name="40 % - Markeringsfarve6 5 2 3 2 3" xfId="26271" xr:uid="{00000000-0005-0000-0000-0000F08F0000}"/>
    <cellStyle name="40 % - Markeringsfarve6 5 2 3 2 4" xfId="41235" xr:uid="{00000000-0005-0000-0000-0000F18F0000}"/>
    <cellStyle name="40 % - Markeringsfarve6 5 2 3 3" xfId="15373" xr:uid="{00000000-0005-0000-0000-0000F28F0000}"/>
    <cellStyle name="40 % - Markeringsfarve6 5 2 3 3 2" xfId="31652" xr:uid="{00000000-0005-0000-0000-0000F38F0000}"/>
    <cellStyle name="40 % - Markeringsfarve6 5 2 3 3 3" xfId="46612" xr:uid="{00000000-0005-0000-0000-0000F48F0000}"/>
    <cellStyle name="40 % - Markeringsfarve6 5 2 3 4" xfId="24650" xr:uid="{00000000-0005-0000-0000-0000F58F0000}"/>
    <cellStyle name="40 % - Markeringsfarve6 5 2 3 5" xfId="39615" xr:uid="{00000000-0005-0000-0000-0000F68F0000}"/>
    <cellStyle name="40 % - Markeringsfarve6 5 2 4" xfId="6889" xr:uid="{00000000-0005-0000-0000-0000F78F0000}"/>
    <cellStyle name="40 % - Markeringsfarve6 5 2 4 2" xfId="10611" xr:uid="{00000000-0005-0000-0000-0000F88F0000}"/>
    <cellStyle name="40 % - Markeringsfarve6 5 2 4 2 2" xfId="18459" xr:uid="{00000000-0005-0000-0000-0000F98F0000}"/>
    <cellStyle name="40 % - Markeringsfarve6 5 2 4 2 2 2" xfId="34735" xr:uid="{00000000-0005-0000-0000-0000FA8F0000}"/>
    <cellStyle name="40 % - Markeringsfarve6 5 2 4 2 2 3" xfId="49694" xr:uid="{00000000-0005-0000-0000-0000FB8F0000}"/>
    <cellStyle name="40 % - Markeringsfarve6 5 2 4 2 3" xfId="27733" xr:uid="{00000000-0005-0000-0000-0000FC8F0000}"/>
    <cellStyle name="40 % - Markeringsfarve6 5 2 4 2 4" xfId="42697" xr:uid="{00000000-0005-0000-0000-0000FD8F0000}"/>
    <cellStyle name="40 % - Markeringsfarve6 5 2 4 3" xfId="15374" xr:uid="{00000000-0005-0000-0000-0000FE8F0000}"/>
    <cellStyle name="40 % - Markeringsfarve6 5 2 4 3 2" xfId="31653" xr:uid="{00000000-0005-0000-0000-0000FF8F0000}"/>
    <cellStyle name="40 % - Markeringsfarve6 5 2 4 3 3" xfId="46613" xr:uid="{00000000-0005-0000-0000-000000900000}"/>
    <cellStyle name="40 % - Markeringsfarve6 5 2 4 4" xfId="24651" xr:uid="{00000000-0005-0000-0000-000001900000}"/>
    <cellStyle name="40 % - Markeringsfarve6 5 2 4 5" xfId="39616" xr:uid="{00000000-0005-0000-0000-000002900000}"/>
    <cellStyle name="40 % - Markeringsfarve6 5 2 5" xfId="8287" xr:uid="{00000000-0005-0000-0000-000003900000}"/>
    <cellStyle name="40 % - Markeringsfarve6 5 2 5 2" xfId="16152" xr:uid="{00000000-0005-0000-0000-000004900000}"/>
    <cellStyle name="40 % - Markeringsfarve6 5 2 5 2 2" xfId="32428" xr:uid="{00000000-0005-0000-0000-000005900000}"/>
    <cellStyle name="40 % - Markeringsfarve6 5 2 5 2 3" xfId="47387" xr:uid="{00000000-0005-0000-0000-000006900000}"/>
    <cellStyle name="40 % - Markeringsfarve6 5 2 5 3" xfId="25426" xr:uid="{00000000-0005-0000-0000-000007900000}"/>
    <cellStyle name="40 % - Markeringsfarve6 5 2 5 4" xfId="40390" xr:uid="{00000000-0005-0000-0000-000008900000}"/>
    <cellStyle name="40 % - Markeringsfarve6 5 2 6" xfId="15370" xr:uid="{00000000-0005-0000-0000-000009900000}"/>
    <cellStyle name="40 % - Markeringsfarve6 5 2 6 2" xfId="31649" xr:uid="{00000000-0005-0000-0000-00000A900000}"/>
    <cellStyle name="40 % - Markeringsfarve6 5 2 6 3" xfId="46609" xr:uid="{00000000-0005-0000-0000-00000B900000}"/>
    <cellStyle name="40 % - Markeringsfarve6 5 2 7" xfId="24647" xr:uid="{00000000-0005-0000-0000-00000C900000}"/>
    <cellStyle name="40 % - Markeringsfarve6 5 2 8" xfId="39612" xr:uid="{00000000-0005-0000-0000-00000D900000}"/>
    <cellStyle name="40 % - Markeringsfarve6 5 3" xfId="6890" xr:uid="{00000000-0005-0000-0000-00000E900000}"/>
    <cellStyle name="40 % - Markeringsfarve6 5 3 2" xfId="6891" xr:uid="{00000000-0005-0000-0000-00000F900000}"/>
    <cellStyle name="40 % - Markeringsfarve6 5 3 2 2" xfId="6892" xr:uid="{00000000-0005-0000-0000-000010900000}"/>
    <cellStyle name="40 % - Markeringsfarve6 5 3 2 2 2" xfId="10038" xr:uid="{00000000-0005-0000-0000-000011900000}"/>
    <cellStyle name="40 % - Markeringsfarve6 5 3 2 2 2 2" xfId="17893" xr:uid="{00000000-0005-0000-0000-000012900000}"/>
    <cellStyle name="40 % - Markeringsfarve6 5 3 2 2 2 2 2" xfId="34169" xr:uid="{00000000-0005-0000-0000-000013900000}"/>
    <cellStyle name="40 % - Markeringsfarve6 5 3 2 2 2 2 3" xfId="49128" xr:uid="{00000000-0005-0000-0000-000014900000}"/>
    <cellStyle name="40 % - Markeringsfarve6 5 3 2 2 2 3" xfId="27167" xr:uid="{00000000-0005-0000-0000-000015900000}"/>
    <cellStyle name="40 % - Markeringsfarve6 5 3 2 2 2 4" xfId="42131" xr:uid="{00000000-0005-0000-0000-000016900000}"/>
    <cellStyle name="40 % - Markeringsfarve6 5 3 2 2 3" xfId="15377" xr:uid="{00000000-0005-0000-0000-000017900000}"/>
    <cellStyle name="40 % - Markeringsfarve6 5 3 2 2 3 2" xfId="31656" xr:uid="{00000000-0005-0000-0000-000018900000}"/>
    <cellStyle name="40 % - Markeringsfarve6 5 3 2 2 3 3" xfId="46616" xr:uid="{00000000-0005-0000-0000-000019900000}"/>
    <cellStyle name="40 % - Markeringsfarve6 5 3 2 2 4" xfId="24654" xr:uid="{00000000-0005-0000-0000-00001A900000}"/>
    <cellStyle name="40 % - Markeringsfarve6 5 3 2 2 5" xfId="39619" xr:uid="{00000000-0005-0000-0000-00001B900000}"/>
    <cellStyle name="40 % - Markeringsfarve6 5 3 2 3" xfId="8585" xr:uid="{00000000-0005-0000-0000-00001C900000}"/>
    <cellStyle name="40 % - Markeringsfarve6 5 3 2 3 2" xfId="16455" xr:uid="{00000000-0005-0000-0000-00001D900000}"/>
    <cellStyle name="40 % - Markeringsfarve6 5 3 2 3 2 2" xfId="32731" xr:uid="{00000000-0005-0000-0000-00001E900000}"/>
    <cellStyle name="40 % - Markeringsfarve6 5 3 2 3 2 3" xfId="47690" xr:uid="{00000000-0005-0000-0000-00001F900000}"/>
    <cellStyle name="40 % - Markeringsfarve6 5 3 2 3 3" xfId="25729" xr:uid="{00000000-0005-0000-0000-000020900000}"/>
    <cellStyle name="40 % - Markeringsfarve6 5 3 2 3 4" xfId="40693" xr:uid="{00000000-0005-0000-0000-000021900000}"/>
    <cellStyle name="40 % - Markeringsfarve6 5 3 2 4" xfId="15376" xr:uid="{00000000-0005-0000-0000-000022900000}"/>
    <cellStyle name="40 % - Markeringsfarve6 5 3 2 4 2" xfId="31655" xr:uid="{00000000-0005-0000-0000-000023900000}"/>
    <cellStyle name="40 % - Markeringsfarve6 5 3 2 4 3" xfId="46615" xr:uid="{00000000-0005-0000-0000-000024900000}"/>
    <cellStyle name="40 % - Markeringsfarve6 5 3 2 5" xfId="24653" xr:uid="{00000000-0005-0000-0000-000025900000}"/>
    <cellStyle name="40 % - Markeringsfarve6 5 3 2 6" xfId="39618" xr:uid="{00000000-0005-0000-0000-000026900000}"/>
    <cellStyle name="40 % - Markeringsfarve6 5 3 3" xfId="6893" xr:uid="{00000000-0005-0000-0000-000027900000}"/>
    <cellStyle name="40 % - Markeringsfarve6 5 3 3 2" xfId="9269" xr:uid="{00000000-0005-0000-0000-000028900000}"/>
    <cellStyle name="40 % - Markeringsfarve6 5 3 3 2 2" xfId="17133" xr:uid="{00000000-0005-0000-0000-000029900000}"/>
    <cellStyle name="40 % - Markeringsfarve6 5 3 3 2 2 2" xfId="33409" xr:uid="{00000000-0005-0000-0000-00002A900000}"/>
    <cellStyle name="40 % - Markeringsfarve6 5 3 3 2 2 3" xfId="48368" xr:uid="{00000000-0005-0000-0000-00002B900000}"/>
    <cellStyle name="40 % - Markeringsfarve6 5 3 3 2 3" xfId="26407" xr:uid="{00000000-0005-0000-0000-00002C900000}"/>
    <cellStyle name="40 % - Markeringsfarve6 5 3 3 2 4" xfId="41371" xr:uid="{00000000-0005-0000-0000-00002D900000}"/>
    <cellStyle name="40 % - Markeringsfarve6 5 3 3 3" xfId="15378" xr:uid="{00000000-0005-0000-0000-00002E900000}"/>
    <cellStyle name="40 % - Markeringsfarve6 5 3 3 3 2" xfId="31657" xr:uid="{00000000-0005-0000-0000-00002F900000}"/>
    <cellStyle name="40 % - Markeringsfarve6 5 3 3 3 3" xfId="46617" xr:uid="{00000000-0005-0000-0000-000030900000}"/>
    <cellStyle name="40 % - Markeringsfarve6 5 3 3 4" xfId="24655" xr:uid="{00000000-0005-0000-0000-000031900000}"/>
    <cellStyle name="40 % - Markeringsfarve6 5 3 3 5" xfId="39620" xr:uid="{00000000-0005-0000-0000-000032900000}"/>
    <cellStyle name="40 % - Markeringsfarve6 5 3 4" xfId="6894" xr:uid="{00000000-0005-0000-0000-000033900000}"/>
    <cellStyle name="40 % - Markeringsfarve6 5 3 4 2" xfId="10827" xr:uid="{00000000-0005-0000-0000-000034900000}"/>
    <cellStyle name="40 % - Markeringsfarve6 5 3 4 2 2" xfId="18665" xr:uid="{00000000-0005-0000-0000-000035900000}"/>
    <cellStyle name="40 % - Markeringsfarve6 5 3 4 2 2 2" xfId="34941" xr:uid="{00000000-0005-0000-0000-000036900000}"/>
    <cellStyle name="40 % - Markeringsfarve6 5 3 4 2 2 3" xfId="49900" xr:uid="{00000000-0005-0000-0000-000037900000}"/>
    <cellStyle name="40 % - Markeringsfarve6 5 3 4 2 3" xfId="27939" xr:uid="{00000000-0005-0000-0000-000038900000}"/>
    <cellStyle name="40 % - Markeringsfarve6 5 3 4 2 4" xfId="42903" xr:uid="{00000000-0005-0000-0000-000039900000}"/>
    <cellStyle name="40 % - Markeringsfarve6 5 3 4 3" xfId="15379" xr:uid="{00000000-0005-0000-0000-00003A900000}"/>
    <cellStyle name="40 % - Markeringsfarve6 5 3 4 3 2" xfId="31658" xr:uid="{00000000-0005-0000-0000-00003B900000}"/>
    <cellStyle name="40 % - Markeringsfarve6 5 3 4 3 3" xfId="46618" xr:uid="{00000000-0005-0000-0000-00003C900000}"/>
    <cellStyle name="40 % - Markeringsfarve6 5 3 4 4" xfId="24656" xr:uid="{00000000-0005-0000-0000-00003D900000}"/>
    <cellStyle name="40 % - Markeringsfarve6 5 3 4 5" xfId="39621" xr:uid="{00000000-0005-0000-0000-00003E900000}"/>
    <cellStyle name="40 % - Markeringsfarve6 5 3 5" xfId="8288" xr:uid="{00000000-0005-0000-0000-00003F900000}"/>
    <cellStyle name="40 % - Markeringsfarve6 5 3 5 2" xfId="16153" xr:uid="{00000000-0005-0000-0000-000040900000}"/>
    <cellStyle name="40 % - Markeringsfarve6 5 3 5 2 2" xfId="32429" xr:uid="{00000000-0005-0000-0000-000041900000}"/>
    <cellStyle name="40 % - Markeringsfarve6 5 3 5 2 3" xfId="47388" xr:uid="{00000000-0005-0000-0000-000042900000}"/>
    <cellStyle name="40 % - Markeringsfarve6 5 3 5 3" xfId="25427" xr:uid="{00000000-0005-0000-0000-000043900000}"/>
    <cellStyle name="40 % - Markeringsfarve6 5 3 5 4" xfId="40391" xr:uid="{00000000-0005-0000-0000-000044900000}"/>
    <cellStyle name="40 % - Markeringsfarve6 5 3 6" xfId="15375" xr:uid="{00000000-0005-0000-0000-000045900000}"/>
    <cellStyle name="40 % - Markeringsfarve6 5 3 6 2" xfId="31654" xr:uid="{00000000-0005-0000-0000-000046900000}"/>
    <cellStyle name="40 % - Markeringsfarve6 5 3 6 3" xfId="46614" xr:uid="{00000000-0005-0000-0000-000047900000}"/>
    <cellStyle name="40 % - Markeringsfarve6 5 3 7" xfId="24652" xr:uid="{00000000-0005-0000-0000-000048900000}"/>
    <cellStyle name="40 % - Markeringsfarve6 5 3 8" xfId="39617" xr:uid="{00000000-0005-0000-0000-000049900000}"/>
    <cellStyle name="40 % - Markeringsfarve6 5 4" xfId="6895" xr:uid="{00000000-0005-0000-0000-00004A900000}"/>
    <cellStyle name="40 % - Markeringsfarve6 5 4 2" xfId="6896" xr:uid="{00000000-0005-0000-0000-00004B900000}"/>
    <cellStyle name="40 % - Markeringsfarve6 5 4 2 2" xfId="6897" xr:uid="{00000000-0005-0000-0000-00004C900000}"/>
    <cellStyle name="40 % - Markeringsfarve6 5 4 2 2 2" xfId="10140" xr:uid="{00000000-0005-0000-0000-00004D900000}"/>
    <cellStyle name="40 % - Markeringsfarve6 5 4 2 2 2 2" xfId="17995" xr:uid="{00000000-0005-0000-0000-00004E900000}"/>
    <cellStyle name="40 % - Markeringsfarve6 5 4 2 2 2 2 2" xfId="34271" xr:uid="{00000000-0005-0000-0000-00004F900000}"/>
    <cellStyle name="40 % - Markeringsfarve6 5 4 2 2 2 2 3" xfId="49230" xr:uid="{00000000-0005-0000-0000-000050900000}"/>
    <cellStyle name="40 % - Markeringsfarve6 5 4 2 2 2 3" xfId="27269" xr:uid="{00000000-0005-0000-0000-000051900000}"/>
    <cellStyle name="40 % - Markeringsfarve6 5 4 2 2 2 4" xfId="42233" xr:uid="{00000000-0005-0000-0000-000052900000}"/>
    <cellStyle name="40 % - Markeringsfarve6 5 4 2 2 3" xfId="15382" xr:uid="{00000000-0005-0000-0000-000053900000}"/>
    <cellStyle name="40 % - Markeringsfarve6 5 4 2 2 3 2" xfId="31661" xr:uid="{00000000-0005-0000-0000-000054900000}"/>
    <cellStyle name="40 % - Markeringsfarve6 5 4 2 2 3 3" xfId="46621" xr:uid="{00000000-0005-0000-0000-000055900000}"/>
    <cellStyle name="40 % - Markeringsfarve6 5 4 2 2 4" xfId="24659" xr:uid="{00000000-0005-0000-0000-000056900000}"/>
    <cellStyle name="40 % - Markeringsfarve6 5 4 2 2 5" xfId="39624" xr:uid="{00000000-0005-0000-0000-000057900000}"/>
    <cellStyle name="40 % - Markeringsfarve6 5 4 2 3" xfId="8674" xr:uid="{00000000-0005-0000-0000-000058900000}"/>
    <cellStyle name="40 % - Markeringsfarve6 5 4 2 3 2" xfId="16541" xr:uid="{00000000-0005-0000-0000-000059900000}"/>
    <cellStyle name="40 % - Markeringsfarve6 5 4 2 3 2 2" xfId="32817" xr:uid="{00000000-0005-0000-0000-00005A900000}"/>
    <cellStyle name="40 % - Markeringsfarve6 5 4 2 3 2 3" xfId="47776" xr:uid="{00000000-0005-0000-0000-00005B900000}"/>
    <cellStyle name="40 % - Markeringsfarve6 5 4 2 3 3" xfId="25815" xr:uid="{00000000-0005-0000-0000-00005C900000}"/>
    <cellStyle name="40 % - Markeringsfarve6 5 4 2 3 4" xfId="40779" xr:uid="{00000000-0005-0000-0000-00005D900000}"/>
    <cellStyle name="40 % - Markeringsfarve6 5 4 2 4" xfId="15381" xr:uid="{00000000-0005-0000-0000-00005E900000}"/>
    <cellStyle name="40 % - Markeringsfarve6 5 4 2 4 2" xfId="31660" xr:uid="{00000000-0005-0000-0000-00005F900000}"/>
    <cellStyle name="40 % - Markeringsfarve6 5 4 2 4 3" xfId="46620" xr:uid="{00000000-0005-0000-0000-000060900000}"/>
    <cellStyle name="40 % - Markeringsfarve6 5 4 2 5" xfId="24658" xr:uid="{00000000-0005-0000-0000-000061900000}"/>
    <cellStyle name="40 % - Markeringsfarve6 5 4 2 6" xfId="39623" xr:uid="{00000000-0005-0000-0000-000062900000}"/>
    <cellStyle name="40 % - Markeringsfarve6 5 4 3" xfId="6898" xr:uid="{00000000-0005-0000-0000-000063900000}"/>
    <cellStyle name="40 % - Markeringsfarve6 5 4 3 2" xfId="9417" xr:uid="{00000000-0005-0000-0000-000064900000}"/>
    <cellStyle name="40 % - Markeringsfarve6 5 4 3 2 2" xfId="17280" xr:uid="{00000000-0005-0000-0000-000065900000}"/>
    <cellStyle name="40 % - Markeringsfarve6 5 4 3 2 2 2" xfId="33556" xr:uid="{00000000-0005-0000-0000-000066900000}"/>
    <cellStyle name="40 % - Markeringsfarve6 5 4 3 2 2 3" xfId="48515" xr:uid="{00000000-0005-0000-0000-000067900000}"/>
    <cellStyle name="40 % - Markeringsfarve6 5 4 3 2 3" xfId="26554" xr:uid="{00000000-0005-0000-0000-000068900000}"/>
    <cellStyle name="40 % - Markeringsfarve6 5 4 3 2 4" xfId="41518" xr:uid="{00000000-0005-0000-0000-000069900000}"/>
    <cellStyle name="40 % - Markeringsfarve6 5 4 3 3" xfId="15383" xr:uid="{00000000-0005-0000-0000-00006A900000}"/>
    <cellStyle name="40 % - Markeringsfarve6 5 4 3 3 2" xfId="31662" xr:uid="{00000000-0005-0000-0000-00006B900000}"/>
    <cellStyle name="40 % - Markeringsfarve6 5 4 3 3 3" xfId="46622" xr:uid="{00000000-0005-0000-0000-00006C900000}"/>
    <cellStyle name="40 % - Markeringsfarve6 5 4 3 4" xfId="24660" xr:uid="{00000000-0005-0000-0000-00006D900000}"/>
    <cellStyle name="40 % - Markeringsfarve6 5 4 3 5" xfId="39625" xr:uid="{00000000-0005-0000-0000-00006E900000}"/>
    <cellStyle name="40 % - Markeringsfarve6 5 4 4" xfId="6899" xr:uid="{00000000-0005-0000-0000-00006F900000}"/>
    <cellStyle name="40 % - Markeringsfarve6 5 4 4 2" xfId="10477" xr:uid="{00000000-0005-0000-0000-000070900000}"/>
    <cellStyle name="40 % - Markeringsfarve6 5 4 4 2 2" xfId="18326" xr:uid="{00000000-0005-0000-0000-000071900000}"/>
    <cellStyle name="40 % - Markeringsfarve6 5 4 4 2 2 2" xfId="34602" xr:uid="{00000000-0005-0000-0000-000072900000}"/>
    <cellStyle name="40 % - Markeringsfarve6 5 4 4 2 2 3" xfId="49561" xr:uid="{00000000-0005-0000-0000-000073900000}"/>
    <cellStyle name="40 % - Markeringsfarve6 5 4 4 2 3" xfId="27600" xr:uid="{00000000-0005-0000-0000-000074900000}"/>
    <cellStyle name="40 % - Markeringsfarve6 5 4 4 2 4" xfId="42564" xr:uid="{00000000-0005-0000-0000-000075900000}"/>
    <cellStyle name="40 % - Markeringsfarve6 5 4 4 3" xfId="15384" xr:uid="{00000000-0005-0000-0000-000076900000}"/>
    <cellStyle name="40 % - Markeringsfarve6 5 4 4 3 2" xfId="31663" xr:uid="{00000000-0005-0000-0000-000077900000}"/>
    <cellStyle name="40 % - Markeringsfarve6 5 4 4 3 3" xfId="46623" xr:uid="{00000000-0005-0000-0000-000078900000}"/>
    <cellStyle name="40 % - Markeringsfarve6 5 4 4 4" xfId="24661" xr:uid="{00000000-0005-0000-0000-000079900000}"/>
    <cellStyle name="40 % - Markeringsfarve6 5 4 4 5" xfId="39626" xr:uid="{00000000-0005-0000-0000-00007A900000}"/>
    <cellStyle name="40 % - Markeringsfarve6 5 4 5" xfId="8289" xr:uid="{00000000-0005-0000-0000-00007B900000}"/>
    <cellStyle name="40 % - Markeringsfarve6 5 4 5 2" xfId="16154" xr:uid="{00000000-0005-0000-0000-00007C900000}"/>
    <cellStyle name="40 % - Markeringsfarve6 5 4 5 2 2" xfId="32430" xr:uid="{00000000-0005-0000-0000-00007D900000}"/>
    <cellStyle name="40 % - Markeringsfarve6 5 4 5 2 3" xfId="47389" xr:uid="{00000000-0005-0000-0000-00007E900000}"/>
    <cellStyle name="40 % - Markeringsfarve6 5 4 5 3" xfId="25428" xr:uid="{00000000-0005-0000-0000-00007F900000}"/>
    <cellStyle name="40 % - Markeringsfarve6 5 4 5 4" xfId="40392" xr:uid="{00000000-0005-0000-0000-000080900000}"/>
    <cellStyle name="40 % - Markeringsfarve6 5 4 6" xfId="15380" xr:uid="{00000000-0005-0000-0000-000081900000}"/>
    <cellStyle name="40 % - Markeringsfarve6 5 4 6 2" xfId="31659" xr:uid="{00000000-0005-0000-0000-000082900000}"/>
    <cellStyle name="40 % - Markeringsfarve6 5 4 6 3" xfId="46619" xr:uid="{00000000-0005-0000-0000-000083900000}"/>
    <cellStyle name="40 % - Markeringsfarve6 5 4 7" xfId="24657" xr:uid="{00000000-0005-0000-0000-000084900000}"/>
    <cellStyle name="40 % - Markeringsfarve6 5 4 8" xfId="39622" xr:uid="{00000000-0005-0000-0000-000085900000}"/>
    <cellStyle name="40 % - Markeringsfarve6 5 5" xfId="6900" xr:uid="{00000000-0005-0000-0000-000086900000}"/>
    <cellStyle name="40 % - Markeringsfarve6 5 5 2" xfId="6901" xr:uid="{00000000-0005-0000-0000-000087900000}"/>
    <cellStyle name="40 % - Markeringsfarve6 5 5 2 2" xfId="6902" xr:uid="{00000000-0005-0000-0000-000088900000}"/>
    <cellStyle name="40 % - Markeringsfarve6 5 5 2 2 2" xfId="10257" xr:uid="{00000000-0005-0000-0000-000089900000}"/>
    <cellStyle name="40 % - Markeringsfarve6 5 5 2 2 2 2" xfId="18112" xr:uid="{00000000-0005-0000-0000-00008A900000}"/>
    <cellStyle name="40 % - Markeringsfarve6 5 5 2 2 2 2 2" xfId="34388" xr:uid="{00000000-0005-0000-0000-00008B900000}"/>
    <cellStyle name="40 % - Markeringsfarve6 5 5 2 2 2 2 3" xfId="49347" xr:uid="{00000000-0005-0000-0000-00008C900000}"/>
    <cellStyle name="40 % - Markeringsfarve6 5 5 2 2 2 3" xfId="27386" xr:uid="{00000000-0005-0000-0000-00008D900000}"/>
    <cellStyle name="40 % - Markeringsfarve6 5 5 2 2 2 4" xfId="42350" xr:uid="{00000000-0005-0000-0000-00008E900000}"/>
    <cellStyle name="40 % - Markeringsfarve6 5 5 2 2 3" xfId="15387" xr:uid="{00000000-0005-0000-0000-00008F900000}"/>
    <cellStyle name="40 % - Markeringsfarve6 5 5 2 2 3 2" xfId="31666" xr:uid="{00000000-0005-0000-0000-000090900000}"/>
    <cellStyle name="40 % - Markeringsfarve6 5 5 2 2 3 3" xfId="46626" xr:uid="{00000000-0005-0000-0000-000091900000}"/>
    <cellStyle name="40 % - Markeringsfarve6 5 5 2 2 4" xfId="24664" xr:uid="{00000000-0005-0000-0000-000092900000}"/>
    <cellStyle name="40 % - Markeringsfarve6 5 5 2 2 5" xfId="39629" xr:uid="{00000000-0005-0000-0000-000093900000}"/>
    <cellStyle name="40 % - Markeringsfarve6 5 5 2 3" xfId="8773" xr:uid="{00000000-0005-0000-0000-000094900000}"/>
    <cellStyle name="40 % - Markeringsfarve6 5 5 2 3 2" xfId="16640" xr:uid="{00000000-0005-0000-0000-000095900000}"/>
    <cellStyle name="40 % - Markeringsfarve6 5 5 2 3 2 2" xfId="32916" xr:uid="{00000000-0005-0000-0000-000096900000}"/>
    <cellStyle name="40 % - Markeringsfarve6 5 5 2 3 2 3" xfId="47875" xr:uid="{00000000-0005-0000-0000-000097900000}"/>
    <cellStyle name="40 % - Markeringsfarve6 5 5 2 3 3" xfId="25914" xr:uid="{00000000-0005-0000-0000-000098900000}"/>
    <cellStyle name="40 % - Markeringsfarve6 5 5 2 3 4" xfId="40878" xr:uid="{00000000-0005-0000-0000-000099900000}"/>
    <cellStyle name="40 % - Markeringsfarve6 5 5 2 4" xfId="15386" xr:uid="{00000000-0005-0000-0000-00009A900000}"/>
    <cellStyle name="40 % - Markeringsfarve6 5 5 2 4 2" xfId="31665" xr:uid="{00000000-0005-0000-0000-00009B900000}"/>
    <cellStyle name="40 % - Markeringsfarve6 5 5 2 4 3" xfId="46625" xr:uid="{00000000-0005-0000-0000-00009C900000}"/>
    <cellStyle name="40 % - Markeringsfarve6 5 5 2 5" xfId="24663" xr:uid="{00000000-0005-0000-0000-00009D900000}"/>
    <cellStyle name="40 % - Markeringsfarve6 5 5 2 6" xfId="39628" xr:uid="{00000000-0005-0000-0000-00009E900000}"/>
    <cellStyle name="40 % - Markeringsfarve6 5 5 3" xfId="6903" xr:uid="{00000000-0005-0000-0000-00009F900000}"/>
    <cellStyle name="40 % - Markeringsfarve6 5 5 3 2" xfId="9534" xr:uid="{00000000-0005-0000-0000-0000A0900000}"/>
    <cellStyle name="40 % - Markeringsfarve6 5 5 3 2 2" xfId="17397" xr:uid="{00000000-0005-0000-0000-0000A1900000}"/>
    <cellStyle name="40 % - Markeringsfarve6 5 5 3 2 2 2" xfId="33673" xr:uid="{00000000-0005-0000-0000-0000A2900000}"/>
    <cellStyle name="40 % - Markeringsfarve6 5 5 3 2 2 3" xfId="48632" xr:uid="{00000000-0005-0000-0000-0000A3900000}"/>
    <cellStyle name="40 % - Markeringsfarve6 5 5 3 2 3" xfId="26671" xr:uid="{00000000-0005-0000-0000-0000A4900000}"/>
    <cellStyle name="40 % - Markeringsfarve6 5 5 3 2 4" xfId="41635" xr:uid="{00000000-0005-0000-0000-0000A5900000}"/>
    <cellStyle name="40 % - Markeringsfarve6 5 5 3 3" xfId="15388" xr:uid="{00000000-0005-0000-0000-0000A6900000}"/>
    <cellStyle name="40 % - Markeringsfarve6 5 5 3 3 2" xfId="31667" xr:uid="{00000000-0005-0000-0000-0000A7900000}"/>
    <cellStyle name="40 % - Markeringsfarve6 5 5 3 3 3" xfId="46627" xr:uid="{00000000-0005-0000-0000-0000A8900000}"/>
    <cellStyle name="40 % - Markeringsfarve6 5 5 3 4" xfId="24665" xr:uid="{00000000-0005-0000-0000-0000A9900000}"/>
    <cellStyle name="40 % - Markeringsfarve6 5 5 3 5" xfId="39630" xr:uid="{00000000-0005-0000-0000-0000AA900000}"/>
    <cellStyle name="40 % - Markeringsfarve6 5 5 4" xfId="6904" xr:uid="{00000000-0005-0000-0000-0000AB900000}"/>
    <cellStyle name="40 % - Markeringsfarve6 5 5 4 2" xfId="10795" xr:uid="{00000000-0005-0000-0000-0000AC900000}"/>
    <cellStyle name="40 % - Markeringsfarve6 5 5 4 2 2" xfId="18637" xr:uid="{00000000-0005-0000-0000-0000AD900000}"/>
    <cellStyle name="40 % - Markeringsfarve6 5 5 4 2 2 2" xfId="34913" xr:uid="{00000000-0005-0000-0000-0000AE900000}"/>
    <cellStyle name="40 % - Markeringsfarve6 5 5 4 2 2 3" xfId="49872" xr:uid="{00000000-0005-0000-0000-0000AF900000}"/>
    <cellStyle name="40 % - Markeringsfarve6 5 5 4 2 3" xfId="27911" xr:uid="{00000000-0005-0000-0000-0000B0900000}"/>
    <cellStyle name="40 % - Markeringsfarve6 5 5 4 2 4" xfId="42875" xr:uid="{00000000-0005-0000-0000-0000B1900000}"/>
    <cellStyle name="40 % - Markeringsfarve6 5 5 4 3" xfId="15389" xr:uid="{00000000-0005-0000-0000-0000B2900000}"/>
    <cellStyle name="40 % - Markeringsfarve6 5 5 4 3 2" xfId="31668" xr:uid="{00000000-0005-0000-0000-0000B3900000}"/>
    <cellStyle name="40 % - Markeringsfarve6 5 5 4 3 3" xfId="46628" xr:uid="{00000000-0005-0000-0000-0000B4900000}"/>
    <cellStyle name="40 % - Markeringsfarve6 5 5 4 4" xfId="24666" xr:uid="{00000000-0005-0000-0000-0000B5900000}"/>
    <cellStyle name="40 % - Markeringsfarve6 5 5 4 5" xfId="39631" xr:uid="{00000000-0005-0000-0000-0000B6900000}"/>
    <cellStyle name="40 % - Markeringsfarve6 5 5 5" xfId="8290" xr:uid="{00000000-0005-0000-0000-0000B7900000}"/>
    <cellStyle name="40 % - Markeringsfarve6 5 5 5 2" xfId="16155" xr:uid="{00000000-0005-0000-0000-0000B8900000}"/>
    <cellStyle name="40 % - Markeringsfarve6 5 5 5 2 2" xfId="32431" xr:uid="{00000000-0005-0000-0000-0000B9900000}"/>
    <cellStyle name="40 % - Markeringsfarve6 5 5 5 2 3" xfId="47390" xr:uid="{00000000-0005-0000-0000-0000BA900000}"/>
    <cellStyle name="40 % - Markeringsfarve6 5 5 5 3" xfId="25429" xr:uid="{00000000-0005-0000-0000-0000BB900000}"/>
    <cellStyle name="40 % - Markeringsfarve6 5 5 5 4" xfId="40393" xr:uid="{00000000-0005-0000-0000-0000BC900000}"/>
    <cellStyle name="40 % - Markeringsfarve6 5 5 6" xfId="15385" xr:uid="{00000000-0005-0000-0000-0000BD900000}"/>
    <cellStyle name="40 % - Markeringsfarve6 5 5 6 2" xfId="31664" xr:uid="{00000000-0005-0000-0000-0000BE900000}"/>
    <cellStyle name="40 % - Markeringsfarve6 5 5 6 3" xfId="46624" xr:uid="{00000000-0005-0000-0000-0000BF900000}"/>
    <cellStyle name="40 % - Markeringsfarve6 5 5 7" xfId="24662" xr:uid="{00000000-0005-0000-0000-0000C0900000}"/>
    <cellStyle name="40 % - Markeringsfarve6 5 5 8" xfId="39627" xr:uid="{00000000-0005-0000-0000-0000C1900000}"/>
    <cellStyle name="40 % - Markeringsfarve6 5 6" xfId="6905" xr:uid="{00000000-0005-0000-0000-0000C2900000}"/>
    <cellStyle name="40 % - Markeringsfarve6 5 6 2" xfId="6906" xr:uid="{00000000-0005-0000-0000-0000C3900000}"/>
    <cellStyle name="40 % - Markeringsfarve6 5 6 2 2" xfId="6907" xr:uid="{00000000-0005-0000-0000-0000C4900000}"/>
    <cellStyle name="40 % - Markeringsfarve6 5 6 2 2 2" xfId="10392" xr:uid="{00000000-0005-0000-0000-0000C5900000}"/>
    <cellStyle name="40 % - Markeringsfarve6 5 6 2 2 2 2" xfId="18247" xr:uid="{00000000-0005-0000-0000-0000C6900000}"/>
    <cellStyle name="40 % - Markeringsfarve6 5 6 2 2 2 2 2" xfId="34523" xr:uid="{00000000-0005-0000-0000-0000C7900000}"/>
    <cellStyle name="40 % - Markeringsfarve6 5 6 2 2 2 2 3" xfId="49482" xr:uid="{00000000-0005-0000-0000-0000C8900000}"/>
    <cellStyle name="40 % - Markeringsfarve6 5 6 2 2 2 3" xfId="27521" xr:uid="{00000000-0005-0000-0000-0000C9900000}"/>
    <cellStyle name="40 % - Markeringsfarve6 5 6 2 2 2 4" xfId="42485" xr:uid="{00000000-0005-0000-0000-0000CA900000}"/>
    <cellStyle name="40 % - Markeringsfarve6 5 6 2 2 3" xfId="15392" xr:uid="{00000000-0005-0000-0000-0000CB900000}"/>
    <cellStyle name="40 % - Markeringsfarve6 5 6 2 2 3 2" xfId="31671" xr:uid="{00000000-0005-0000-0000-0000CC900000}"/>
    <cellStyle name="40 % - Markeringsfarve6 5 6 2 2 3 3" xfId="46631" xr:uid="{00000000-0005-0000-0000-0000CD900000}"/>
    <cellStyle name="40 % - Markeringsfarve6 5 6 2 2 4" xfId="24669" xr:uid="{00000000-0005-0000-0000-0000CE900000}"/>
    <cellStyle name="40 % - Markeringsfarve6 5 6 2 2 5" xfId="39634" xr:uid="{00000000-0005-0000-0000-0000CF900000}"/>
    <cellStyle name="40 % - Markeringsfarve6 5 6 2 3" xfId="8886" xr:uid="{00000000-0005-0000-0000-0000D0900000}"/>
    <cellStyle name="40 % - Markeringsfarve6 5 6 2 3 2" xfId="16753" xr:uid="{00000000-0005-0000-0000-0000D1900000}"/>
    <cellStyle name="40 % - Markeringsfarve6 5 6 2 3 2 2" xfId="33029" xr:uid="{00000000-0005-0000-0000-0000D2900000}"/>
    <cellStyle name="40 % - Markeringsfarve6 5 6 2 3 2 3" xfId="47988" xr:uid="{00000000-0005-0000-0000-0000D3900000}"/>
    <cellStyle name="40 % - Markeringsfarve6 5 6 2 3 3" xfId="26027" xr:uid="{00000000-0005-0000-0000-0000D4900000}"/>
    <cellStyle name="40 % - Markeringsfarve6 5 6 2 3 4" xfId="40991" xr:uid="{00000000-0005-0000-0000-0000D5900000}"/>
    <cellStyle name="40 % - Markeringsfarve6 5 6 2 4" xfId="15391" xr:uid="{00000000-0005-0000-0000-0000D6900000}"/>
    <cellStyle name="40 % - Markeringsfarve6 5 6 2 4 2" xfId="31670" xr:uid="{00000000-0005-0000-0000-0000D7900000}"/>
    <cellStyle name="40 % - Markeringsfarve6 5 6 2 4 3" xfId="46630" xr:uid="{00000000-0005-0000-0000-0000D8900000}"/>
    <cellStyle name="40 % - Markeringsfarve6 5 6 2 5" xfId="24668" xr:uid="{00000000-0005-0000-0000-0000D9900000}"/>
    <cellStyle name="40 % - Markeringsfarve6 5 6 2 6" xfId="39633" xr:uid="{00000000-0005-0000-0000-0000DA900000}"/>
    <cellStyle name="40 % - Markeringsfarve6 5 6 3" xfId="6908" xr:uid="{00000000-0005-0000-0000-0000DB900000}"/>
    <cellStyle name="40 % - Markeringsfarve6 5 6 3 2" xfId="9670" xr:uid="{00000000-0005-0000-0000-0000DC900000}"/>
    <cellStyle name="40 % - Markeringsfarve6 5 6 3 2 2" xfId="17533" xr:uid="{00000000-0005-0000-0000-0000DD900000}"/>
    <cellStyle name="40 % - Markeringsfarve6 5 6 3 2 2 2" xfId="33809" xr:uid="{00000000-0005-0000-0000-0000DE900000}"/>
    <cellStyle name="40 % - Markeringsfarve6 5 6 3 2 2 3" xfId="48768" xr:uid="{00000000-0005-0000-0000-0000DF900000}"/>
    <cellStyle name="40 % - Markeringsfarve6 5 6 3 2 3" xfId="26807" xr:uid="{00000000-0005-0000-0000-0000E0900000}"/>
    <cellStyle name="40 % - Markeringsfarve6 5 6 3 2 4" xfId="41771" xr:uid="{00000000-0005-0000-0000-0000E1900000}"/>
    <cellStyle name="40 % - Markeringsfarve6 5 6 3 3" xfId="15393" xr:uid="{00000000-0005-0000-0000-0000E2900000}"/>
    <cellStyle name="40 % - Markeringsfarve6 5 6 3 3 2" xfId="31672" xr:uid="{00000000-0005-0000-0000-0000E3900000}"/>
    <cellStyle name="40 % - Markeringsfarve6 5 6 3 3 3" xfId="46632" xr:uid="{00000000-0005-0000-0000-0000E4900000}"/>
    <cellStyle name="40 % - Markeringsfarve6 5 6 3 4" xfId="24670" xr:uid="{00000000-0005-0000-0000-0000E5900000}"/>
    <cellStyle name="40 % - Markeringsfarve6 5 6 3 5" xfId="39635" xr:uid="{00000000-0005-0000-0000-0000E6900000}"/>
    <cellStyle name="40 % - Markeringsfarve6 5 6 4" xfId="6909" xr:uid="{00000000-0005-0000-0000-0000E7900000}"/>
    <cellStyle name="40 % - Markeringsfarve6 5 6 4 2" xfId="10446" xr:uid="{00000000-0005-0000-0000-0000E8900000}"/>
    <cellStyle name="40 % - Markeringsfarve6 5 6 4 2 2" xfId="18298" xr:uid="{00000000-0005-0000-0000-0000E9900000}"/>
    <cellStyle name="40 % - Markeringsfarve6 5 6 4 2 2 2" xfId="34574" xr:uid="{00000000-0005-0000-0000-0000EA900000}"/>
    <cellStyle name="40 % - Markeringsfarve6 5 6 4 2 2 3" xfId="49533" xr:uid="{00000000-0005-0000-0000-0000EB900000}"/>
    <cellStyle name="40 % - Markeringsfarve6 5 6 4 2 3" xfId="27572" xr:uid="{00000000-0005-0000-0000-0000EC900000}"/>
    <cellStyle name="40 % - Markeringsfarve6 5 6 4 2 4" xfId="42536" xr:uid="{00000000-0005-0000-0000-0000ED900000}"/>
    <cellStyle name="40 % - Markeringsfarve6 5 6 4 3" xfId="15394" xr:uid="{00000000-0005-0000-0000-0000EE900000}"/>
    <cellStyle name="40 % - Markeringsfarve6 5 6 4 3 2" xfId="31673" xr:uid="{00000000-0005-0000-0000-0000EF900000}"/>
    <cellStyle name="40 % - Markeringsfarve6 5 6 4 3 3" xfId="46633" xr:uid="{00000000-0005-0000-0000-0000F0900000}"/>
    <cellStyle name="40 % - Markeringsfarve6 5 6 4 4" xfId="24671" xr:uid="{00000000-0005-0000-0000-0000F1900000}"/>
    <cellStyle name="40 % - Markeringsfarve6 5 6 4 5" xfId="39636" xr:uid="{00000000-0005-0000-0000-0000F2900000}"/>
    <cellStyle name="40 % - Markeringsfarve6 5 6 5" xfId="8291" xr:uid="{00000000-0005-0000-0000-0000F3900000}"/>
    <cellStyle name="40 % - Markeringsfarve6 5 6 5 2" xfId="16156" xr:uid="{00000000-0005-0000-0000-0000F4900000}"/>
    <cellStyle name="40 % - Markeringsfarve6 5 6 5 2 2" xfId="32432" xr:uid="{00000000-0005-0000-0000-0000F5900000}"/>
    <cellStyle name="40 % - Markeringsfarve6 5 6 5 2 3" xfId="47391" xr:uid="{00000000-0005-0000-0000-0000F6900000}"/>
    <cellStyle name="40 % - Markeringsfarve6 5 6 5 3" xfId="25430" xr:uid="{00000000-0005-0000-0000-0000F7900000}"/>
    <cellStyle name="40 % - Markeringsfarve6 5 6 5 4" xfId="40394" xr:uid="{00000000-0005-0000-0000-0000F8900000}"/>
    <cellStyle name="40 % - Markeringsfarve6 5 6 6" xfId="15390" xr:uid="{00000000-0005-0000-0000-0000F9900000}"/>
    <cellStyle name="40 % - Markeringsfarve6 5 6 6 2" xfId="31669" xr:uid="{00000000-0005-0000-0000-0000FA900000}"/>
    <cellStyle name="40 % - Markeringsfarve6 5 6 6 3" xfId="46629" xr:uid="{00000000-0005-0000-0000-0000FB900000}"/>
    <cellStyle name="40 % - Markeringsfarve6 5 6 7" xfId="24667" xr:uid="{00000000-0005-0000-0000-0000FC900000}"/>
    <cellStyle name="40 % - Markeringsfarve6 5 6 8" xfId="39632" xr:uid="{00000000-0005-0000-0000-0000FD900000}"/>
    <cellStyle name="40 % - Markeringsfarve6 5 7" xfId="6910" xr:uid="{00000000-0005-0000-0000-0000FE900000}"/>
    <cellStyle name="40 % - Markeringsfarve6 5 7 2" xfId="6911" xr:uid="{00000000-0005-0000-0000-0000FF900000}"/>
    <cellStyle name="40 % - Markeringsfarve6 5 7 2 2" xfId="9784" xr:uid="{00000000-0005-0000-0000-000000910000}"/>
    <cellStyle name="40 % - Markeringsfarve6 5 7 2 2 2" xfId="17638" xr:uid="{00000000-0005-0000-0000-000001910000}"/>
    <cellStyle name="40 % - Markeringsfarve6 5 7 2 2 2 2" xfId="33914" xr:uid="{00000000-0005-0000-0000-000002910000}"/>
    <cellStyle name="40 % - Markeringsfarve6 5 7 2 2 2 3" xfId="48873" xr:uid="{00000000-0005-0000-0000-000003910000}"/>
    <cellStyle name="40 % - Markeringsfarve6 5 7 2 2 3" xfId="26912" xr:uid="{00000000-0005-0000-0000-000004910000}"/>
    <cellStyle name="40 % - Markeringsfarve6 5 7 2 2 4" xfId="41876" xr:uid="{00000000-0005-0000-0000-000005910000}"/>
    <cellStyle name="40 % - Markeringsfarve6 5 7 2 3" xfId="15396" xr:uid="{00000000-0005-0000-0000-000006910000}"/>
    <cellStyle name="40 % - Markeringsfarve6 5 7 2 3 2" xfId="31675" xr:uid="{00000000-0005-0000-0000-000007910000}"/>
    <cellStyle name="40 % - Markeringsfarve6 5 7 2 3 3" xfId="46635" xr:uid="{00000000-0005-0000-0000-000008910000}"/>
    <cellStyle name="40 % - Markeringsfarve6 5 7 2 4" xfId="24673" xr:uid="{00000000-0005-0000-0000-000009910000}"/>
    <cellStyle name="40 % - Markeringsfarve6 5 7 2 5" xfId="39638" xr:uid="{00000000-0005-0000-0000-00000A910000}"/>
    <cellStyle name="40 % - Markeringsfarve6 5 7 3" xfId="8373" xr:uid="{00000000-0005-0000-0000-00000B910000}"/>
    <cellStyle name="40 % - Markeringsfarve6 5 7 3 2" xfId="16243" xr:uid="{00000000-0005-0000-0000-00000C910000}"/>
    <cellStyle name="40 % - Markeringsfarve6 5 7 3 2 2" xfId="32519" xr:uid="{00000000-0005-0000-0000-00000D910000}"/>
    <cellStyle name="40 % - Markeringsfarve6 5 7 3 2 3" xfId="47478" xr:uid="{00000000-0005-0000-0000-00000E910000}"/>
    <cellStyle name="40 % - Markeringsfarve6 5 7 3 3" xfId="25517" xr:uid="{00000000-0005-0000-0000-00000F910000}"/>
    <cellStyle name="40 % - Markeringsfarve6 5 7 3 4" xfId="40481" xr:uid="{00000000-0005-0000-0000-000010910000}"/>
    <cellStyle name="40 % - Markeringsfarve6 5 7 4" xfId="15395" xr:uid="{00000000-0005-0000-0000-000011910000}"/>
    <cellStyle name="40 % - Markeringsfarve6 5 7 4 2" xfId="31674" xr:uid="{00000000-0005-0000-0000-000012910000}"/>
    <cellStyle name="40 % - Markeringsfarve6 5 7 4 3" xfId="46634" xr:uid="{00000000-0005-0000-0000-000013910000}"/>
    <cellStyle name="40 % - Markeringsfarve6 5 7 5" xfId="24672" xr:uid="{00000000-0005-0000-0000-000014910000}"/>
    <cellStyle name="40 % - Markeringsfarve6 5 7 6" xfId="39637" xr:uid="{00000000-0005-0000-0000-000015910000}"/>
    <cellStyle name="40 % - Markeringsfarve6 5 8" xfId="6912" xr:uid="{00000000-0005-0000-0000-000016910000}"/>
    <cellStyle name="40 % - Markeringsfarve6 5 8 2" xfId="9012" xr:uid="{00000000-0005-0000-0000-000017910000}"/>
    <cellStyle name="40 % - Markeringsfarve6 5 8 2 2" xfId="16876" xr:uid="{00000000-0005-0000-0000-000018910000}"/>
    <cellStyle name="40 % - Markeringsfarve6 5 8 2 2 2" xfId="33152" xr:uid="{00000000-0005-0000-0000-000019910000}"/>
    <cellStyle name="40 % - Markeringsfarve6 5 8 2 2 3" xfId="48111" xr:uid="{00000000-0005-0000-0000-00001A910000}"/>
    <cellStyle name="40 % - Markeringsfarve6 5 8 2 3" xfId="26150" xr:uid="{00000000-0005-0000-0000-00001B910000}"/>
    <cellStyle name="40 % - Markeringsfarve6 5 8 2 4" xfId="41114" xr:uid="{00000000-0005-0000-0000-00001C910000}"/>
    <cellStyle name="40 % - Markeringsfarve6 5 8 3" xfId="15397" xr:uid="{00000000-0005-0000-0000-00001D910000}"/>
    <cellStyle name="40 % - Markeringsfarve6 5 8 3 2" xfId="31676" xr:uid="{00000000-0005-0000-0000-00001E910000}"/>
    <cellStyle name="40 % - Markeringsfarve6 5 8 3 3" xfId="46636" xr:uid="{00000000-0005-0000-0000-00001F910000}"/>
    <cellStyle name="40 % - Markeringsfarve6 5 8 4" xfId="24674" xr:uid="{00000000-0005-0000-0000-000020910000}"/>
    <cellStyle name="40 % - Markeringsfarve6 5 8 5" xfId="39639" xr:uid="{00000000-0005-0000-0000-000021910000}"/>
    <cellStyle name="40 % - Markeringsfarve6 5 9" xfId="6913" xr:uid="{00000000-0005-0000-0000-000022910000}"/>
    <cellStyle name="40 % - Markeringsfarve6 5 9 2" xfId="10887" xr:uid="{00000000-0005-0000-0000-000023910000}"/>
    <cellStyle name="40 % - Markeringsfarve6 5 9 2 2" xfId="18723" xr:uid="{00000000-0005-0000-0000-000024910000}"/>
    <cellStyle name="40 % - Markeringsfarve6 5 9 2 2 2" xfId="34999" xr:uid="{00000000-0005-0000-0000-000025910000}"/>
    <cellStyle name="40 % - Markeringsfarve6 5 9 2 2 3" xfId="49958" xr:uid="{00000000-0005-0000-0000-000026910000}"/>
    <cellStyle name="40 % - Markeringsfarve6 5 9 2 3" xfId="27997" xr:uid="{00000000-0005-0000-0000-000027910000}"/>
    <cellStyle name="40 % - Markeringsfarve6 5 9 2 4" xfId="42961" xr:uid="{00000000-0005-0000-0000-000028910000}"/>
    <cellStyle name="40 % - Markeringsfarve6 5 9 3" xfId="15398" xr:uid="{00000000-0005-0000-0000-000029910000}"/>
    <cellStyle name="40 % - Markeringsfarve6 5 9 3 2" xfId="31677" xr:uid="{00000000-0005-0000-0000-00002A910000}"/>
    <cellStyle name="40 % - Markeringsfarve6 5 9 3 3" xfId="46637" xr:uid="{00000000-0005-0000-0000-00002B910000}"/>
    <cellStyle name="40 % - Markeringsfarve6 5 9 4" xfId="24675" xr:uid="{00000000-0005-0000-0000-00002C910000}"/>
    <cellStyle name="40 % - Markeringsfarve6 5 9 5" xfId="39640" xr:uid="{00000000-0005-0000-0000-00002D910000}"/>
    <cellStyle name="40 % - Markeringsfarve6 6" xfId="6914" xr:uid="{00000000-0005-0000-0000-00002E910000}"/>
    <cellStyle name="40 % - Markeringsfarve6 6 2" xfId="6915" xr:uid="{00000000-0005-0000-0000-00002F910000}"/>
    <cellStyle name="40 % - Markeringsfarve6 6 2 2" xfId="6916" xr:uid="{00000000-0005-0000-0000-000030910000}"/>
    <cellStyle name="40 % - Markeringsfarve6 6 2 2 2" xfId="9824" xr:uid="{00000000-0005-0000-0000-000031910000}"/>
    <cellStyle name="40 % - Markeringsfarve6 6 2 2 2 2" xfId="17679" xr:uid="{00000000-0005-0000-0000-000032910000}"/>
    <cellStyle name="40 % - Markeringsfarve6 6 2 2 2 2 2" xfId="33955" xr:uid="{00000000-0005-0000-0000-000033910000}"/>
    <cellStyle name="40 % - Markeringsfarve6 6 2 2 2 2 3" xfId="48914" xr:uid="{00000000-0005-0000-0000-000034910000}"/>
    <cellStyle name="40 % - Markeringsfarve6 6 2 2 2 3" xfId="26953" xr:uid="{00000000-0005-0000-0000-000035910000}"/>
    <cellStyle name="40 % - Markeringsfarve6 6 2 2 2 4" xfId="41917" xr:uid="{00000000-0005-0000-0000-000036910000}"/>
    <cellStyle name="40 % - Markeringsfarve6 6 2 2 3" xfId="15401" xr:uid="{00000000-0005-0000-0000-000037910000}"/>
    <cellStyle name="40 % - Markeringsfarve6 6 2 2 3 2" xfId="31680" xr:uid="{00000000-0005-0000-0000-000038910000}"/>
    <cellStyle name="40 % - Markeringsfarve6 6 2 2 3 3" xfId="46640" xr:uid="{00000000-0005-0000-0000-000039910000}"/>
    <cellStyle name="40 % - Markeringsfarve6 6 2 2 4" xfId="24678" xr:uid="{00000000-0005-0000-0000-00003A910000}"/>
    <cellStyle name="40 % - Markeringsfarve6 6 2 2 5" xfId="39643" xr:uid="{00000000-0005-0000-0000-00003B910000}"/>
    <cellStyle name="40 % - Markeringsfarve6 6 2 3" xfId="8406" xr:uid="{00000000-0005-0000-0000-00003C910000}"/>
    <cellStyle name="40 % - Markeringsfarve6 6 2 3 2" xfId="16276" xr:uid="{00000000-0005-0000-0000-00003D910000}"/>
    <cellStyle name="40 % - Markeringsfarve6 6 2 3 2 2" xfId="32552" xr:uid="{00000000-0005-0000-0000-00003E910000}"/>
    <cellStyle name="40 % - Markeringsfarve6 6 2 3 2 3" xfId="47511" xr:uid="{00000000-0005-0000-0000-00003F910000}"/>
    <cellStyle name="40 % - Markeringsfarve6 6 2 3 3" xfId="25550" xr:uid="{00000000-0005-0000-0000-000040910000}"/>
    <cellStyle name="40 % - Markeringsfarve6 6 2 3 4" xfId="40514" xr:uid="{00000000-0005-0000-0000-000041910000}"/>
    <cellStyle name="40 % - Markeringsfarve6 6 2 4" xfId="15400" xr:uid="{00000000-0005-0000-0000-000042910000}"/>
    <cellStyle name="40 % - Markeringsfarve6 6 2 4 2" xfId="31679" xr:uid="{00000000-0005-0000-0000-000043910000}"/>
    <cellStyle name="40 % - Markeringsfarve6 6 2 4 3" xfId="46639" xr:uid="{00000000-0005-0000-0000-000044910000}"/>
    <cellStyle name="40 % - Markeringsfarve6 6 2 5" xfId="24677" xr:uid="{00000000-0005-0000-0000-000045910000}"/>
    <cellStyle name="40 % - Markeringsfarve6 6 2 6" xfId="39642" xr:uid="{00000000-0005-0000-0000-000046910000}"/>
    <cellStyle name="40 % - Markeringsfarve6 6 3" xfId="6917" xr:uid="{00000000-0005-0000-0000-000047910000}"/>
    <cellStyle name="40 % - Markeringsfarve6 6 3 2" xfId="9055" xr:uid="{00000000-0005-0000-0000-000048910000}"/>
    <cellStyle name="40 % - Markeringsfarve6 6 3 2 2" xfId="16919" xr:uid="{00000000-0005-0000-0000-000049910000}"/>
    <cellStyle name="40 % - Markeringsfarve6 6 3 2 2 2" xfId="33195" xr:uid="{00000000-0005-0000-0000-00004A910000}"/>
    <cellStyle name="40 % - Markeringsfarve6 6 3 2 2 3" xfId="48154" xr:uid="{00000000-0005-0000-0000-00004B910000}"/>
    <cellStyle name="40 % - Markeringsfarve6 6 3 2 3" xfId="26193" xr:uid="{00000000-0005-0000-0000-00004C910000}"/>
    <cellStyle name="40 % - Markeringsfarve6 6 3 2 4" xfId="41157" xr:uid="{00000000-0005-0000-0000-00004D910000}"/>
    <cellStyle name="40 % - Markeringsfarve6 6 3 3" xfId="15402" xr:uid="{00000000-0005-0000-0000-00004E910000}"/>
    <cellStyle name="40 % - Markeringsfarve6 6 3 3 2" xfId="31681" xr:uid="{00000000-0005-0000-0000-00004F910000}"/>
    <cellStyle name="40 % - Markeringsfarve6 6 3 3 3" xfId="46641" xr:uid="{00000000-0005-0000-0000-000050910000}"/>
    <cellStyle name="40 % - Markeringsfarve6 6 3 4" xfId="24679" xr:uid="{00000000-0005-0000-0000-000051910000}"/>
    <cellStyle name="40 % - Markeringsfarve6 6 3 5" xfId="39644" xr:uid="{00000000-0005-0000-0000-000052910000}"/>
    <cellStyle name="40 % - Markeringsfarve6 6 4" xfId="6918" xr:uid="{00000000-0005-0000-0000-000053910000}"/>
    <cellStyle name="40 % - Markeringsfarve6 6 4 2" xfId="9281" xr:uid="{00000000-0005-0000-0000-000054910000}"/>
    <cellStyle name="40 % - Markeringsfarve6 6 4 2 2" xfId="17145" xr:uid="{00000000-0005-0000-0000-000055910000}"/>
    <cellStyle name="40 % - Markeringsfarve6 6 4 2 2 2" xfId="33421" xr:uid="{00000000-0005-0000-0000-000056910000}"/>
    <cellStyle name="40 % - Markeringsfarve6 6 4 2 2 3" xfId="48380" xr:uid="{00000000-0005-0000-0000-000057910000}"/>
    <cellStyle name="40 % - Markeringsfarve6 6 4 2 3" xfId="26419" xr:uid="{00000000-0005-0000-0000-000058910000}"/>
    <cellStyle name="40 % - Markeringsfarve6 6 4 2 4" xfId="41383" xr:uid="{00000000-0005-0000-0000-000059910000}"/>
    <cellStyle name="40 % - Markeringsfarve6 6 4 3" xfId="15403" xr:uid="{00000000-0005-0000-0000-00005A910000}"/>
    <cellStyle name="40 % - Markeringsfarve6 6 4 3 2" xfId="31682" xr:uid="{00000000-0005-0000-0000-00005B910000}"/>
    <cellStyle name="40 % - Markeringsfarve6 6 4 3 3" xfId="46642" xr:uid="{00000000-0005-0000-0000-00005C910000}"/>
    <cellStyle name="40 % - Markeringsfarve6 6 4 4" xfId="24680" xr:uid="{00000000-0005-0000-0000-00005D910000}"/>
    <cellStyle name="40 % - Markeringsfarve6 6 4 5" xfId="39645" xr:uid="{00000000-0005-0000-0000-00005E910000}"/>
    <cellStyle name="40 % - Markeringsfarve6 6 5" xfId="8292" xr:uid="{00000000-0005-0000-0000-00005F910000}"/>
    <cellStyle name="40 % - Markeringsfarve6 6 5 2" xfId="16157" xr:uid="{00000000-0005-0000-0000-000060910000}"/>
    <cellStyle name="40 % - Markeringsfarve6 6 5 2 2" xfId="32433" xr:uid="{00000000-0005-0000-0000-000061910000}"/>
    <cellStyle name="40 % - Markeringsfarve6 6 5 2 3" xfId="47392" xr:uid="{00000000-0005-0000-0000-000062910000}"/>
    <cellStyle name="40 % - Markeringsfarve6 6 5 3" xfId="25431" xr:uid="{00000000-0005-0000-0000-000063910000}"/>
    <cellStyle name="40 % - Markeringsfarve6 6 5 4" xfId="40395" xr:uid="{00000000-0005-0000-0000-000064910000}"/>
    <cellStyle name="40 % - Markeringsfarve6 6 6" xfId="15399" xr:uid="{00000000-0005-0000-0000-000065910000}"/>
    <cellStyle name="40 % - Markeringsfarve6 6 6 2" xfId="31678" xr:uid="{00000000-0005-0000-0000-000066910000}"/>
    <cellStyle name="40 % - Markeringsfarve6 6 6 3" xfId="46638" xr:uid="{00000000-0005-0000-0000-000067910000}"/>
    <cellStyle name="40 % - Markeringsfarve6 6 7" xfId="24676" xr:uid="{00000000-0005-0000-0000-000068910000}"/>
    <cellStyle name="40 % - Markeringsfarve6 6 8" xfId="39641" xr:uid="{00000000-0005-0000-0000-000069910000}"/>
    <cellStyle name="40 % - Markeringsfarve6 7" xfId="6919" xr:uid="{00000000-0005-0000-0000-00006A910000}"/>
    <cellStyle name="40 % - Markeringsfarve6 7 2" xfId="6920" xr:uid="{00000000-0005-0000-0000-00006B910000}"/>
    <cellStyle name="40 % - Markeringsfarve6 7 2 2" xfId="6921" xr:uid="{00000000-0005-0000-0000-00006C910000}"/>
    <cellStyle name="40 % - Markeringsfarve6 7 2 2 2" xfId="10030" xr:uid="{00000000-0005-0000-0000-00006D910000}"/>
    <cellStyle name="40 % - Markeringsfarve6 7 2 2 2 2" xfId="17885" xr:uid="{00000000-0005-0000-0000-00006E910000}"/>
    <cellStyle name="40 % - Markeringsfarve6 7 2 2 2 2 2" xfId="34161" xr:uid="{00000000-0005-0000-0000-00006F910000}"/>
    <cellStyle name="40 % - Markeringsfarve6 7 2 2 2 2 3" xfId="49120" xr:uid="{00000000-0005-0000-0000-000070910000}"/>
    <cellStyle name="40 % - Markeringsfarve6 7 2 2 2 3" xfId="27159" xr:uid="{00000000-0005-0000-0000-000071910000}"/>
    <cellStyle name="40 % - Markeringsfarve6 7 2 2 2 4" xfId="42123" xr:uid="{00000000-0005-0000-0000-000072910000}"/>
    <cellStyle name="40 % - Markeringsfarve6 7 2 2 3" xfId="15406" xr:uid="{00000000-0005-0000-0000-000073910000}"/>
    <cellStyle name="40 % - Markeringsfarve6 7 2 2 3 2" xfId="31685" xr:uid="{00000000-0005-0000-0000-000074910000}"/>
    <cellStyle name="40 % - Markeringsfarve6 7 2 2 3 3" xfId="46645" xr:uid="{00000000-0005-0000-0000-000075910000}"/>
    <cellStyle name="40 % - Markeringsfarve6 7 2 2 4" xfId="24683" xr:uid="{00000000-0005-0000-0000-000076910000}"/>
    <cellStyle name="40 % - Markeringsfarve6 7 2 2 5" xfId="39648" xr:uid="{00000000-0005-0000-0000-000077910000}"/>
    <cellStyle name="40 % - Markeringsfarve6 7 2 3" xfId="8577" xr:uid="{00000000-0005-0000-0000-000078910000}"/>
    <cellStyle name="40 % - Markeringsfarve6 7 2 3 2" xfId="16447" xr:uid="{00000000-0005-0000-0000-000079910000}"/>
    <cellStyle name="40 % - Markeringsfarve6 7 2 3 2 2" xfId="32723" xr:uid="{00000000-0005-0000-0000-00007A910000}"/>
    <cellStyle name="40 % - Markeringsfarve6 7 2 3 2 3" xfId="47682" xr:uid="{00000000-0005-0000-0000-00007B910000}"/>
    <cellStyle name="40 % - Markeringsfarve6 7 2 3 3" xfId="25721" xr:uid="{00000000-0005-0000-0000-00007C910000}"/>
    <cellStyle name="40 % - Markeringsfarve6 7 2 3 4" xfId="40685" xr:uid="{00000000-0005-0000-0000-00007D910000}"/>
    <cellStyle name="40 % - Markeringsfarve6 7 2 4" xfId="15405" xr:uid="{00000000-0005-0000-0000-00007E910000}"/>
    <cellStyle name="40 % - Markeringsfarve6 7 2 4 2" xfId="31684" xr:uid="{00000000-0005-0000-0000-00007F910000}"/>
    <cellStyle name="40 % - Markeringsfarve6 7 2 4 3" xfId="46644" xr:uid="{00000000-0005-0000-0000-000080910000}"/>
    <cellStyle name="40 % - Markeringsfarve6 7 2 5" xfId="24682" xr:uid="{00000000-0005-0000-0000-000081910000}"/>
    <cellStyle name="40 % - Markeringsfarve6 7 2 6" xfId="39647" xr:uid="{00000000-0005-0000-0000-000082910000}"/>
    <cellStyle name="40 % - Markeringsfarve6 7 3" xfId="6922" xr:uid="{00000000-0005-0000-0000-000083910000}"/>
    <cellStyle name="40 % - Markeringsfarve6 7 3 2" xfId="9261" xr:uid="{00000000-0005-0000-0000-000084910000}"/>
    <cellStyle name="40 % - Markeringsfarve6 7 3 2 2" xfId="17125" xr:uid="{00000000-0005-0000-0000-000085910000}"/>
    <cellStyle name="40 % - Markeringsfarve6 7 3 2 2 2" xfId="33401" xr:uid="{00000000-0005-0000-0000-000086910000}"/>
    <cellStyle name="40 % - Markeringsfarve6 7 3 2 2 3" xfId="48360" xr:uid="{00000000-0005-0000-0000-000087910000}"/>
    <cellStyle name="40 % - Markeringsfarve6 7 3 2 3" xfId="26399" xr:uid="{00000000-0005-0000-0000-000088910000}"/>
    <cellStyle name="40 % - Markeringsfarve6 7 3 2 4" xfId="41363" xr:uid="{00000000-0005-0000-0000-000089910000}"/>
    <cellStyle name="40 % - Markeringsfarve6 7 3 3" xfId="15407" xr:uid="{00000000-0005-0000-0000-00008A910000}"/>
    <cellStyle name="40 % - Markeringsfarve6 7 3 3 2" xfId="31686" xr:uid="{00000000-0005-0000-0000-00008B910000}"/>
    <cellStyle name="40 % - Markeringsfarve6 7 3 3 3" xfId="46646" xr:uid="{00000000-0005-0000-0000-00008C910000}"/>
    <cellStyle name="40 % - Markeringsfarve6 7 3 4" xfId="24684" xr:uid="{00000000-0005-0000-0000-00008D910000}"/>
    <cellStyle name="40 % - Markeringsfarve6 7 3 5" xfId="39649" xr:uid="{00000000-0005-0000-0000-00008E910000}"/>
    <cellStyle name="40 % - Markeringsfarve6 7 4" xfId="6923" xr:uid="{00000000-0005-0000-0000-00008F910000}"/>
    <cellStyle name="40 % - Markeringsfarve6 7 4 2" xfId="8904" xr:uid="{00000000-0005-0000-0000-000090910000}"/>
    <cellStyle name="40 % - Markeringsfarve6 7 4 2 2" xfId="16770" xr:uid="{00000000-0005-0000-0000-000091910000}"/>
    <cellStyle name="40 % - Markeringsfarve6 7 4 2 2 2" xfId="33046" xr:uid="{00000000-0005-0000-0000-000092910000}"/>
    <cellStyle name="40 % - Markeringsfarve6 7 4 2 2 3" xfId="48005" xr:uid="{00000000-0005-0000-0000-000093910000}"/>
    <cellStyle name="40 % - Markeringsfarve6 7 4 2 3" xfId="26044" xr:uid="{00000000-0005-0000-0000-000094910000}"/>
    <cellStyle name="40 % - Markeringsfarve6 7 4 2 4" xfId="41008" xr:uid="{00000000-0005-0000-0000-000095910000}"/>
    <cellStyle name="40 % - Markeringsfarve6 7 4 3" xfId="15408" xr:uid="{00000000-0005-0000-0000-000096910000}"/>
    <cellStyle name="40 % - Markeringsfarve6 7 4 3 2" xfId="31687" xr:uid="{00000000-0005-0000-0000-000097910000}"/>
    <cellStyle name="40 % - Markeringsfarve6 7 4 3 3" xfId="46647" xr:uid="{00000000-0005-0000-0000-000098910000}"/>
    <cellStyle name="40 % - Markeringsfarve6 7 4 4" xfId="24685" xr:uid="{00000000-0005-0000-0000-000099910000}"/>
    <cellStyle name="40 % - Markeringsfarve6 7 4 5" xfId="39650" xr:uid="{00000000-0005-0000-0000-00009A910000}"/>
    <cellStyle name="40 % - Markeringsfarve6 7 5" xfId="8293" xr:uid="{00000000-0005-0000-0000-00009B910000}"/>
    <cellStyle name="40 % - Markeringsfarve6 7 5 2" xfId="16158" xr:uid="{00000000-0005-0000-0000-00009C910000}"/>
    <cellStyle name="40 % - Markeringsfarve6 7 5 2 2" xfId="32434" xr:uid="{00000000-0005-0000-0000-00009D910000}"/>
    <cellStyle name="40 % - Markeringsfarve6 7 5 2 3" xfId="47393" xr:uid="{00000000-0005-0000-0000-00009E910000}"/>
    <cellStyle name="40 % - Markeringsfarve6 7 5 3" xfId="25432" xr:uid="{00000000-0005-0000-0000-00009F910000}"/>
    <cellStyle name="40 % - Markeringsfarve6 7 5 4" xfId="40396" xr:uid="{00000000-0005-0000-0000-0000A0910000}"/>
    <cellStyle name="40 % - Markeringsfarve6 7 6" xfId="15404" xr:uid="{00000000-0005-0000-0000-0000A1910000}"/>
    <cellStyle name="40 % - Markeringsfarve6 7 6 2" xfId="31683" xr:uid="{00000000-0005-0000-0000-0000A2910000}"/>
    <cellStyle name="40 % - Markeringsfarve6 7 6 3" xfId="46643" xr:uid="{00000000-0005-0000-0000-0000A3910000}"/>
    <cellStyle name="40 % - Markeringsfarve6 7 7" xfId="24681" xr:uid="{00000000-0005-0000-0000-0000A4910000}"/>
    <cellStyle name="40 % - Markeringsfarve6 7 8" xfId="39646" xr:uid="{00000000-0005-0000-0000-0000A5910000}"/>
    <cellStyle name="40 % - Markeringsfarve6 8" xfId="6924" xr:uid="{00000000-0005-0000-0000-0000A6910000}"/>
    <cellStyle name="40 % - Markeringsfarve6 8 2" xfId="6925" xr:uid="{00000000-0005-0000-0000-0000A7910000}"/>
    <cellStyle name="40 % - Markeringsfarve6 8 2 2" xfId="6926" xr:uid="{00000000-0005-0000-0000-0000A8910000}"/>
    <cellStyle name="40 % - Markeringsfarve6 8 2 2 2" xfId="10062" xr:uid="{00000000-0005-0000-0000-0000A9910000}"/>
    <cellStyle name="40 % - Markeringsfarve6 8 2 2 2 2" xfId="17917" xr:uid="{00000000-0005-0000-0000-0000AA910000}"/>
    <cellStyle name="40 % - Markeringsfarve6 8 2 2 2 2 2" xfId="34193" xr:uid="{00000000-0005-0000-0000-0000AB910000}"/>
    <cellStyle name="40 % - Markeringsfarve6 8 2 2 2 2 3" xfId="49152" xr:uid="{00000000-0005-0000-0000-0000AC910000}"/>
    <cellStyle name="40 % - Markeringsfarve6 8 2 2 2 3" xfId="27191" xr:uid="{00000000-0005-0000-0000-0000AD910000}"/>
    <cellStyle name="40 % - Markeringsfarve6 8 2 2 2 4" xfId="42155" xr:uid="{00000000-0005-0000-0000-0000AE910000}"/>
    <cellStyle name="40 % - Markeringsfarve6 8 2 2 3" xfId="15411" xr:uid="{00000000-0005-0000-0000-0000AF910000}"/>
    <cellStyle name="40 % - Markeringsfarve6 8 2 2 3 2" xfId="31690" xr:uid="{00000000-0005-0000-0000-0000B0910000}"/>
    <cellStyle name="40 % - Markeringsfarve6 8 2 2 3 3" xfId="46650" xr:uid="{00000000-0005-0000-0000-0000B1910000}"/>
    <cellStyle name="40 % - Markeringsfarve6 8 2 2 4" xfId="24688" xr:uid="{00000000-0005-0000-0000-0000B2910000}"/>
    <cellStyle name="40 % - Markeringsfarve6 8 2 2 5" xfId="39653" xr:uid="{00000000-0005-0000-0000-0000B3910000}"/>
    <cellStyle name="40 % - Markeringsfarve6 8 2 3" xfId="8608" xr:uid="{00000000-0005-0000-0000-0000B4910000}"/>
    <cellStyle name="40 % - Markeringsfarve6 8 2 3 2" xfId="16475" xr:uid="{00000000-0005-0000-0000-0000B5910000}"/>
    <cellStyle name="40 % - Markeringsfarve6 8 2 3 2 2" xfId="32751" xr:uid="{00000000-0005-0000-0000-0000B6910000}"/>
    <cellStyle name="40 % - Markeringsfarve6 8 2 3 2 3" xfId="47710" xr:uid="{00000000-0005-0000-0000-0000B7910000}"/>
    <cellStyle name="40 % - Markeringsfarve6 8 2 3 3" xfId="25749" xr:uid="{00000000-0005-0000-0000-0000B8910000}"/>
    <cellStyle name="40 % - Markeringsfarve6 8 2 3 4" xfId="40713" xr:uid="{00000000-0005-0000-0000-0000B9910000}"/>
    <cellStyle name="40 % - Markeringsfarve6 8 2 4" xfId="15410" xr:uid="{00000000-0005-0000-0000-0000BA910000}"/>
    <cellStyle name="40 % - Markeringsfarve6 8 2 4 2" xfId="31689" xr:uid="{00000000-0005-0000-0000-0000BB910000}"/>
    <cellStyle name="40 % - Markeringsfarve6 8 2 4 3" xfId="46649" xr:uid="{00000000-0005-0000-0000-0000BC910000}"/>
    <cellStyle name="40 % - Markeringsfarve6 8 2 5" xfId="24687" xr:uid="{00000000-0005-0000-0000-0000BD910000}"/>
    <cellStyle name="40 % - Markeringsfarve6 8 2 6" xfId="39652" xr:uid="{00000000-0005-0000-0000-0000BE910000}"/>
    <cellStyle name="40 % - Markeringsfarve6 8 3" xfId="6927" xr:uid="{00000000-0005-0000-0000-0000BF910000}"/>
    <cellStyle name="40 % - Markeringsfarve6 8 3 2" xfId="9339" xr:uid="{00000000-0005-0000-0000-0000C0910000}"/>
    <cellStyle name="40 % - Markeringsfarve6 8 3 2 2" xfId="17202" xr:uid="{00000000-0005-0000-0000-0000C1910000}"/>
    <cellStyle name="40 % - Markeringsfarve6 8 3 2 2 2" xfId="33478" xr:uid="{00000000-0005-0000-0000-0000C2910000}"/>
    <cellStyle name="40 % - Markeringsfarve6 8 3 2 2 3" xfId="48437" xr:uid="{00000000-0005-0000-0000-0000C3910000}"/>
    <cellStyle name="40 % - Markeringsfarve6 8 3 2 3" xfId="26476" xr:uid="{00000000-0005-0000-0000-0000C4910000}"/>
    <cellStyle name="40 % - Markeringsfarve6 8 3 2 4" xfId="41440" xr:uid="{00000000-0005-0000-0000-0000C5910000}"/>
    <cellStyle name="40 % - Markeringsfarve6 8 3 3" xfId="15412" xr:uid="{00000000-0005-0000-0000-0000C6910000}"/>
    <cellStyle name="40 % - Markeringsfarve6 8 3 3 2" xfId="31691" xr:uid="{00000000-0005-0000-0000-0000C7910000}"/>
    <cellStyle name="40 % - Markeringsfarve6 8 3 3 3" xfId="46651" xr:uid="{00000000-0005-0000-0000-0000C8910000}"/>
    <cellStyle name="40 % - Markeringsfarve6 8 3 4" xfId="24689" xr:uid="{00000000-0005-0000-0000-0000C9910000}"/>
    <cellStyle name="40 % - Markeringsfarve6 8 3 5" xfId="39654" xr:uid="{00000000-0005-0000-0000-0000CA910000}"/>
    <cellStyle name="40 % - Markeringsfarve6 8 4" xfId="6928" xr:uid="{00000000-0005-0000-0000-0000CB910000}"/>
    <cellStyle name="40 % - Markeringsfarve6 8 4 2" xfId="10745" xr:uid="{00000000-0005-0000-0000-0000CC910000}"/>
    <cellStyle name="40 % - Markeringsfarve6 8 4 2 2" xfId="18588" xr:uid="{00000000-0005-0000-0000-0000CD910000}"/>
    <cellStyle name="40 % - Markeringsfarve6 8 4 2 2 2" xfId="34864" xr:uid="{00000000-0005-0000-0000-0000CE910000}"/>
    <cellStyle name="40 % - Markeringsfarve6 8 4 2 2 3" xfId="49823" xr:uid="{00000000-0005-0000-0000-0000CF910000}"/>
    <cellStyle name="40 % - Markeringsfarve6 8 4 2 3" xfId="27862" xr:uid="{00000000-0005-0000-0000-0000D0910000}"/>
    <cellStyle name="40 % - Markeringsfarve6 8 4 2 4" xfId="42826" xr:uid="{00000000-0005-0000-0000-0000D1910000}"/>
    <cellStyle name="40 % - Markeringsfarve6 8 4 3" xfId="15413" xr:uid="{00000000-0005-0000-0000-0000D2910000}"/>
    <cellStyle name="40 % - Markeringsfarve6 8 4 3 2" xfId="31692" xr:uid="{00000000-0005-0000-0000-0000D3910000}"/>
    <cellStyle name="40 % - Markeringsfarve6 8 4 3 3" xfId="46652" xr:uid="{00000000-0005-0000-0000-0000D4910000}"/>
    <cellStyle name="40 % - Markeringsfarve6 8 4 4" xfId="24690" xr:uid="{00000000-0005-0000-0000-0000D5910000}"/>
    <cellStyle name="40 % - Markeringsfarve6 8 4 5" xfId="39655" xr:uid="{00000000-0005-0000-0000-0000D6910000}"/>
    <cellStyle name="40 % - Markeringsfarve6 8 5" xfId="8294" xr:uid="{00000000-0005-0000-0000-0000D7910000}"/>
    <cellStyle name="40 % - Markeringsfarve6 8 5 2" xfId="16159" xr:uid="{00000000-0005-0000-0000-0000D8910000}"/>
    <cellStyle name="40 % - Markeringsfarve6 8 5 2 2" xfId="32435" xr:uid="{00000000-0005-0000-0000-0000D9910000}"/>
    <cellStyle name="40 % - Markeringsfarve6 8 5 2 3" xfId="47394" xr:uid="{00000000-0005-0000-0000-0000DA910000}"/>
    <cellStyle name="40 % - Markeringsfarve6 8 5 3" xfId="25433" xr:uid="{00000000-0005-0000-0000-0000DB910000}"/>
    <cellStyle name="40 % - Markeringsfarve6 8 5 4" xfId="40397" xr:uid="{00000000-0005-0000-0000-0000DC910000}"/>
    <cellStyle name="40 % - Markeringsfarve6 8 6" xfId="15409" xr:uid="{00000000-0005-0000-0000-0000DD910000}"/>
    <cellStyle name="40 % - Markeringsfarve6 8 6 2" xfId="31688" xr:uid="{00000000-0005-0000-0000-0000DE910000}"/>
    <cellStyle name="40 % - Markeringsfarve6 8 6 3" xfId="46648" xr:uid="{00000000-0005-0000-0000-0000DF910000}"/>
    <cellStyle name="40 % - Markeringsfarve6 8 7" xfId="24686" xr:uid="{00000000-0005-0000-0000-0000E0910000}"/>
    <cellStyle name="40 % - Markeringsfarve6 8 8" xfId="39651" xr:uid="{00000000-0005-0000-0000-0000E1910000}"/>
    <cellStyle name="40 % - Markeringsfarve6 9" xfId="6929" xr:uid="{00000000-0005-0000-0000-0000E2910000}"/>
    <cellStyle name="40 % - Markeringsfarve6 9 2" xfId="6930" xr:uid="{00000000-0005-0000-0000-0000E3910000}"/>
    <cellStyle name="40 % - Markeringsfarve6 9 2 2" xfId="6931" xr:uid="{00000000-0005-0000-0000-0000E4910000}"/>
    <cellStyle name="40 % - Markeringsfarve6 9 2 2 2" xfId="10179" xr:uid="{00000000-0005-0000-0000-0000E5910000}"/>
    <cellStyle name="40 % - Markeringsfarve6 9 2 2 2 2" xfId="18034" xr:uid="{00000000-0005-0000-0000-0000E6910000}"/>
    <cellStyle name="40 % - Markeringsfarve6 9 2 2 2 2 2" xfId="34310" xr:uid="{00000000-0005-0000-0000-0000E7910000}"/>
    <cellStyle name="40 % - Markeringsfarve6 9 2 2 2 2 3" xfId="49269" xr:uid="{00000000-0005-0000-0000-0000E8910000}"/>
    <cellStyle name="40 % - Markeringsfarve6 9 2 2 2 3" xfId="27308" xr:uid="{00000000-0005-0000-0000-0000E9910000}"/>
    <cellStyle name="40 % - Markeringsfarve6 9 2 2 2 4" xfId="42272" xr:uid="{00000000-0005-0000-0000-0000EA910000}"/>
    <cellStyle name="40 % - Markeringsfarve6 9 2 2 3" xfId="15416" xr:uid="{00000000-0005-0000-0000-0000EB910000}"/>
    <cellStyle name="40 % - Markeringsfarve6 9 2 2 3 2" xfId="31695" xr:uid="{00000000-0005-0000-0000-0000EC910000}"/>
    <cellStyle name="40 % - Markeringsfarve6 9 2 2 3 3" xfId="46655" xr:uid="{00000000-0005-0000-0000-0000ED910000}"/>
    <cellStyle name="40 % - Markeringsfarve6 9 2 2 4" xfId="24693" xr:uid="{00000000-0005-0000-0000-0000EE910000}"/>
    <cellStyle name="40 % - Markeringsfarve6 9 2 2 5" xfId="39658" xr:uid="{00000000-0005-0000-0000-0000EF910000}"/>
    <cellStyle name="40 % - Markeringsfarve6 9 2 3" xfId="8707" xr:uid="{00000000-0005-0000-0000-0000F0910000}"/>
    <cellStyle name="40 % - Markeringsfarve6 9 2 3 2" xfId="16574" xr:uid="{00000000-0005-0000-0000-0000F1910000}"/>
    <cellStyle name="40 % - Markeringsfarve6 9 2 3 2 2" xfId="32850" xr:uid="{00000000-0005-0000-0000-0000F2910000}"/>
    <cellStyle name="40 % - Markeringsfarve6 9 2 3 2 3" xfId="47809" xr:uid="{00000000-0005-0000-0000-0000F3910000}"/>
    <cellStyle name="40 % - Markeringsfarve6 9 2 3 3" xfId="25848" xr:uid="{00000000-0005-0000-0000-0000F4910000}"/>
    <cellStyle name="40 % - Markeringsfarve6 9 2 3 4" xfId="40812" xr:uid="{00000000-0005-0000-0000-0000F5910000}"/>
    <cellStyle name="40 % - Markeringsfarve6 9 2 4" xfId="15415" xr:uid="{00000000-0005-0000-0000-0000F6910000}"/>
    <cellStyle name="40 % - Markeringsfarve6 9 2 4 2" xfId="31694" xr:uid="{00000000-0005-0000-0000-0000F7910000}"/>
    <cellStyle name="40 % - Markeringsfarve6 9 2 4 3" xfId="46654" xr:uid="{00000000-0005-0000-0000-0000F8910000}"/>
    <cellStyle name="40 % - Markeringsfarve6 9 2 5" xfId="24692" xr:uid="{00000000-0005-0000-0000-0000F9910000}"/>
    <cellStyle name="40 % - Markeringsfarve6 9 2 6" xfId="39657" xr:uid="{00000000-0005-0000-0000-0000FA910000}"/>
    <cellStyle name="40 % - Markeringsfarve6 9 3" xfId="6932" xr:uid="{00000000-0005-0000-0000-0000FB910000}"/>
    <cellStyle name="40 % - Markeringsfarve6 9 3 2" xfId="9456" xr:uid="{00000000-0005-0000-0000-0000FC910000}"/>
    <cellStyle name="40 % - Markeringsfarve6 9 3 2 2" xfId="17319" xr:uid="{00000000-0005-0000-0000-0000FD910000}"/>
    <cellStyle name="40 % - Markeringsfarve6 9 3 2 2 2" xfId="33595" xr:uid="{00000000-0005-0000-0000-0000FE910000}"/>
    <cellStyle name="40 % - Markeringsfarve6 9 3 2 2 3" xfId="48554" xr:uid="{00000000-0005-0000-0000-0000FF910000}"/>
    <cellStyle name="40 % - Markeringsfarve6 9 3 2 3" xfId="26593" xr:uid="{00000000-0005-0000-0000-000000920000}"/>
    <cellStyle name="40 % - Markeringsfarve6 9 3 2 4" xfId="41557" xr:uid="{00000000-0005-0000-0000-000001920000}"/>
    <cellStyle name="40 % - Markeringsfarve6 9 3 3" xfId="15417" xr:uid="{00000000-0005-0000-0000-000002920000}"/>
    <cellStyle name="40 % - Markeringsfarve6 9 3 3 2" xfId="31696" xr:uid="{00000000-0005-0000-0000-000003920000}"/>
    <cellStyle name="40 % - Markeringsfarve6 9 3 3 3" xfId="46656" xr:uid="{00000000-0005-0000-0000-000004920000}"/>
    <cellStyle name="40 % - Markeringsfarve6 9 3 4" xfId="24694" xr:uid="{00000000-0005-0000-0000-000005920000}"/>
    <cellStyle name="40 % - Markeringsfarve6 9 3 5" xfId="39659" xr:uid="{00000000-0005-0000-0000-000006920000}"/>
    <cellStyle name="40 % - Markeringsfarve6 9 4" xfId="6933" xr:uid="{00000000-0005-0000-0000-000007920000}"/>
    <cellStyle name="40 % - Markeringsfarve6 9 4 2" xfId="10960" xr:uid="{00000000-0005-0000-0000-000008920000}"/>
    <cellStyle name="40 % - Markeringsfarve6 9 4 2 2" xfId="18791" xr:uid="{00000000-0005-0000-0000-000009920000}"/>
    <cellStyle name="40 % - Markeringsfarve6 9 4 2 2 2" xfId="35067" xr:uid="{00000000-0005-0000-0000-00000A920000}"/>
    <cellStyle name="40 % - Markeringsfarve6 9 4 2 2 3" xfId="50026" xr:uid="{00000000-0005-0000-0000-00000B920000}"/>
    <cellStyle name="40 % - Markeringsfarve6 9 4 2 3" xfId="28065" xr:uid="{00000000-0005-0000-0000-00000C920000}"/>
    <cellStyle name="40 % - Markeringsfarve6 9 4 2 4" xfId="43029" xr:uid="{00000000-0005-0000-0000-00000D920000}"/>
    <cellStyle name="40 % - Markeringsfarve6 9 4 3" xfId="15418" xr:uid="{00000000-0005-0000-0000-00000E920000}"/>
    <cellStyle name="40 % - Markeringsfarve6 9 4 3 2" xfId="31697" xr:uid="{00000000-0005-0000-0000-00000F920000}"/>
    <cellStyle name="40 % - Markeringsfarve6 9 4 3 3" xfId="46657" xr:uid="{00000000-0005-0000-0000-000010920000}"/>
    <cellStyle name="40 % - Markeringsfarve6 9 4 4" xfId="24695" xr:uid="{00000000-0005-0000-0000-000011920000}"/>
    <cellStyle name="40 % - Markeringsfarve6 9 4 5" xfId="39660" xr:uid="{00000000-0005-0000-0000-000012920000}"/>
    <cellStyle name="40 % - Markeringsfarve6 9 5" xfId="8295" xr:uid="{00000000-0005-0000-0000-000013920000}"/>
    <cellStyle name="40 % - Markeringsfarve6 9 5 2" xfId="16160" xr:uid="{00000000-0005-0000-0000-000014920000}"/>
    <cellStyle name="40 % - Markeringsfarve6 9 5 2 2" xfId="32436" xr:uid="{00000000-0005-0000-0000-000015920000}"/>
    <cellStyle name="40 % - Markeringsfarve6 9 5 2 3" xfId="47395" xr:uid="{00000000-0005-0000-0000-000016920000}"/>
    <cellStyle name="40 % - Markeringsfarve6 9 5 3" xfId="25434" xr:uid="{00000000-0005-0000-0000-000017920000}"/>
    <cellStyle name="40 % - Markeringsfarve6 9 5 4" xfId="40398" xr:uid="{00000000-0005-0000-0000-000018920000}"/>
    <cellStyle name="40 % - Markeringsfarve6 9 6" xfId="15414" xr:uid="{00000000-0005-0000-0000-000019920000}"/>
    <cellStyle name="40 % - Markeringsfarve6 9 6 2" xfId="31693" xr:uid="{00000000-0005-0000-0000-00001A920000}"/>
    <cellStyle name="40 % - Markeringsfarve6 9 6 3" xfId="46653" xr:uid="{00000000-0005-0000-0000-00001B920000}"/>
    <cellStyle name="40 % - Markeringsfarve6 9 7" xfId="24691" xr:uid="{00000000-0005-0000-0000-00001C920000}"/>
    <cellStyle name="40 % - Markeringsfarve6 9 8" xfId="39656" xr:uid="{00000000-0005-0000-0000-00001D920000}"/>
    <cellStyle name="40% - Accent1" xfId="81" builtinId="31" customBuiltin="1"/>
    <cellStyle name="40% - Accent1 2" xfId="82" xr:uid="{00000000-0005-0000-0000-00001F920000}"/>
    <cellStyle name="40% - Accent1 2 2" xfId="83" xr:uid="{00000000-0005-0000-0000-000020920000}"/>
    <cellStyle name="40% - Accent1 2 2 2" xfId="35140" xr:uid="{00000000-0005-0000-0000-000021920000}"/>
    <cellStyle name="40% - Accent1 2 2 3" xfId="50099" xr:uid="{00000000-0005-0000-0000-000022920000}"/>
    <cellStyle name="40% - Accent1 2 2 4" xfId="18865" xr:uid="{00000000-0005-0000-0000-000023920000}"/>
    <cellStyle name="40% - Accent1 2 3" xfId="84" xr:uid="{00000000-0005-0000-0000-000024920000}"/>
    <cellStyle name="40% - Accent1 2 4" xfId="43102" xr:uid="{00000000-0005-0000-0000-000025920000}"/>
    <cellStyle name="40% - Accent1 3" xfId="85" xr:uid="{00000000-0005-0000-0000-000026920000}"/>
    <cellStyle name="40% - Accent1 3 2" xfId="86" xr:uid="{00000000-0005-0000-0000-000027920000}"/>
    <cellStyle name="40% - Accent1 3 3" xfId="87" xr:uid="{00000000-0005-0000-0000-000028920000}"/>
    <cellStyle name="40% - Accent1 3 3 2" xfId="43141" xr:uid="{00000000-0005-0000-0000-000029920000}"/>
    <cellStyle name="40% - Accent1 4" xfId="88" xr:uid="{00000000-0005-0000-0000-00002A920000}"/>
    <cellStyle name="40% - Accent1 4 2" xfId="89" xr:uid="{00000000-0005-0000-0000-00002B920000}"/>
    <cellStyle name="40% - Accent1 5" xfId="90" xr:uid="{00000000-0005-0000-0000-00002C920000}"/>
    <cellStyle name="40% - Accent1 5 2" xfId="36144" xr:uid="{00000000-0005-0000-0000-00002D920000}"/>
    <cellStyle name="40% - Accent1 6" xfId="91" xr:uid="{00000000-0005-0000-0000-00002E920000}"/>
    <cellStyle name="40% - Accent1 7" xfId="51797" xr:uid="{00000000-0005-0000-0000-00002F920000}"/>
    <cellStyle name="40% - Accent1 8" xfId="52206" xr:uid="{00000000-0005-0000-0000-000030920000}"/>
    <cellStyle name="40% - Accent1 9" xfId="52611" xr:uid="{00000000-0005-0000-0000-000031920000}"/>
    <cellStyle name="40% - Accent2" xfId="92" builtinId="35" customBuiltin="1"/>
    <cellStyle name="40% - Accent2 10" xfId="52613" xr:uid="{00000000-0005-0000-0000-000033920000}"/>
    <cellStyle name="40% - Accent2 2" xfId="93" xr:uid="{00000000-0005-0000-0000-000034920000}"/>
    <cellStyle name="40% - Accent2 2 2" xfId="94" xr:uid="{00000000-0005-0000-0000-000035920000}"/>
    <cellStyle name="40% - Accent2 2 2 2" xfId="28582" xr:uid="{00000000-0005-0000-0000-000036920000}"/>
    <cellStyle name="40% - Accent2 2 2 3" xfId="43543" xr:uid="{00000000-0005-0000-0000-000037920000}"/>
    <cellStyle name="40% - Accent2 2 3" xfId="95" xr:uid="{00000000-0005-0000-0000-000038920000}"/>
    <cellStyle name="40% - Accent2 2 3 2" xfId="21581" xr:uid="{00000000-0005-0000-0000-000039920000}"/>
    <cellStyle name="40% - Accent2 2 4" xfId="96" xr:uid="{00000000-0005-0000-0000-00003A920000}"/>
    <cellStyle name="40% - Accent2 3" xfId="97" xr:uid="{00000000-0005-0000-0000-00003B920000}"/>
    <cellStyle name="40% - Accent2 3 2" xfId="98" xr:uid="{00000000-0005-0000-0000-00003C920000}"/>
    <cellStyle name="40% - Accent2 3 2 2" xfId="35142" xr:uid="{00000000-0005-0000-0000-00003D920000}"/>
    <cellStyle name="40% - Accent2 3 2 3" xfId="50101" xr:uid="{00000000-0005-0000-0000-00003E920000}"/>
    <cellStyle name="40% - Accent2 3 3" xfId="99" xr:uid="{00000000-0005-0000-0000-00003F920000}"/>
    <cellStyle name="40% - Accent2 3 3 2" xfId="28137" xr:uid="{00000000-0005-0000-0000-000040920000}"/>
    <cellStyle name="40% - Accent2 3 4" xfId="43104" xr:uid="{00000000-0005-0000-0000-000041920000}"/>
    <cellStyle name="40% - Accent2 4" xfId="100" xr:uid="{00000000-0005-0000-0000-000042920000}"/>
    <cellStyle name="40% - Accent2 4 2" xfId="101" xr:uid="{00000000-0005-0000-0000-000043920000}"/>
    <cellStyle name="40% - Accent2 4 3" xfId="43143" xr:uid="{00000000-0005-0000-0000-000044920000}"/>
    <cellStyle name="40% - Accent2 5" xfId="102" xr:uid="{00000000-0005-0000-0000-000045920000}"/>
    <cellStyle name="40% - Accent2 5 2" xfId="21178" xr:uid="{00000000-0005-0000-0000-000046920000}"/>
    <cellStyle name="40% - Accent2 6" xfId="103" xr:uid="{00000000-0005-0000-0000-000047920000}"/>
    <cellStyle name="40% - Accent2 7" xfId="51401" xr:uid="{00000000-0005-0000-0000-000048920000}"/>
    <cellStyle name="40% - Accent2 8" xfId="51799" xr:uid="{00000000-0005-0000-0000-000049920000}"/>
    <cellStyle name="40% - Accent2 9" xfId="52208" xr:uid="{00000000-0005-0000-0000-00004A920000}"/>
    <cellStyle name="40% - Accent3" xfId="104" builtinId="39" customBuiltin="1"/>
    <cellStyle name="40% - Accent3 2" xfId="105" xr:uid="{00000000-0005-0000-0000-00004C920000}"/>
    <cellStyle name="40% - Accent3 2 2" xfId="106" xr:uid="{00000000-0005-0000-0000-00004D920000}"/>
    <cellStyle name="40% - Accent3 2 2 2" xfId="35144" xr:uid="{00000000-0005-0000-0000-00004E920000}"/>
    <cellStyle name="40% - Accent3 2 2 3" xfId="50103" xr:uid="{00000000-0005-0000-0000-00004F920000}"/>
    <cellStyle name="40% - Accent3 2 3" xfId="107" xr:uid="{00000000-0005-0000-0000-000050920000}"/>
    <cellStyle name="40% - Accent3 2 3 2" xfId="28139" xr:uid="{00000000-0005-0000-0000-000051920000}"/>
    <cellStyle name="40% - Accent3 2 4" xfId="108" xr:uid="{00000000-0005-0000-0000-000052920000}"/>
    <cellStyle name="40% - Accent3 3" xfId="109" xr:uid="{00000000-0005-0000-0000-000053920000}"/>
    <cellStyle name="40% - Accent3 3 2" xfId="110" xr:uid="{00000000-0005-0000-0000-000054920000}"/>
    <cellStyle name="40% - Accent3 3 3" xfId="111" xr:uid="{00000000-0005-0000-0000-000055920000}"/>
    <cellStyle name="40% - Accent3 3 3 2" xfId="43145" xr:uid="{00000000-0005-0000-0000-000056920000}"/>
    <cellStyle name="40% - Accent3 4" xfId="112" xr:uid="{00000000-0005-0000-0000-000057920000}"/>
    <cellStyle name="40% - Accent3 4 2" xfId="113" xr:uid="{00000000-0005-0000-0000-000058920000}"/>
    <cellStyle name="40% - Accent3 5" xfId="114" xr:uid="{00000000-0005-0000-0000-000059920000}"/>
    <cellStyle name="40% - Accent3 5 2" xfId="36147" xr:uid="{00000000-0005-0000-0000-00005A920000}"/>
    <cellStyle name="40% - Accent3 6" xfId="115" xr:uid="{00000000-0005-0000-0000-00005B920000}"/>
    <cellStyle name="40% - Accent3 7" xfId="51801" xr:uid="{00000000-0005-0000-0000-00005C920000}"/>
    <cellStyle name="40% - Accent3 8" xfId="52210" xr:uid="{00000000-0005-0000-0000-00005D920000}"/>
    <cellStyle name="40% - Accent3 9" xfId="52615" xr:uid="{00000000-0005-0000-0000-00005E920000}"/>
    <cellStyle name="40% - Accent4" xfId="116" builtinId="43" customBuiltin="1"/>
    <cellStyle name="40% - Accent4 2" xfId="117" xr:uid="{00000000-0005-0000-0000-000060920000}"/>
    <cellStyle name="40% - Accent4 2 2" xfId="118" xr:uid="{00000000-0005-0000-0000-000061920000}"/>
    <cellStyle name="40% - Accent4 2 2 2" xfId="35146" xr:uid="{00000000-0005-0000-0000-000062920000}"/>
    <cellStyle name="40% - Accent4 2 2 3" xfId="50105" xr:uid="{00000000-0005-0000-0000-000063920000}"/>
    <cellStyle name="40% - Accent4 2 2 4" xfId="18868" xr:uid="{00000000-0005-0000-0000-000064920000}"/>
    <cellStyle name="40% - Accent4 2 3" xfId="119" xr:uid="{00000000-0005-0000-0000-000065920000}"/>
    <cellStyle name="40% - Accent4 2 4" xfId="43106" xr:uid="{00000000-0005-0000-0000-000066920000}"/>
    <cellStyle name="40% - Accent4 3" xfId="120" xr:uid="{00000000-0005-0000-0000-000067920000}"/>
    <cellStyle name="40% - Accent4 3 2" xfId="121" xr:uid="{00000000-0005-0000-0000-000068920000}"/>
    <cellStyle name="40% - Accent4 3 3" xfId="122" xr:uid="{00000000-0005-0000-0000-000069920000}"/>
    <cellStyle name="40% - Accent4 3 3 2" xfId="43147" xr:uid="{00000000-0005-0000-0000-00006A920000}"/>
    <cellStyle name="40% - Accent4 4" xfId="123" xr:uid="{00000000-0005-0000-0000-00006B920000}"/>
    <cellStyle name="40% - Accent4 4 2" xfId="124" xr:uid="{00000000-0005-0000-0000-00006C920000}"/>
    <cellStyle name="40% - Accent4 5" xfId="125" xr:uid="{00000000-0005-0000-0000-00006D920000}"/>
    <cellStyle name="40% - Accent4 5 2" xfId="36149" xr:uid="{00000000-0005-0000-0000-00006E920000}"/>
    <cellStyle name="40% - Accent4 6" xfId="126" xr:uid="{00000000-0005-0000-0000-00006F920000}"/>
    <cellStyle name="40% - Accent4 7" xfId="51803" xr:uid="{00000000-0005-0000-0000-000070920000}"/>
    <cellStyle name="40% - Accent4 8" xfId="52212" xr:uid="{00000000-0005-0000-0000-000071920000}"/>
    <cellStyle name="40% - Accent4 9" xfId="52617" xr:uid="{00000000-0005-0000-0000-000072920000}"/>
    <cellStyle name="40% - Accent5" xfId="127" builtinId="47" customBuiltin="1"/>
    <cellStyle name="40% - Accent5 2" xfId="128" xr:uid="{00000000-0005-0000-0000-000074920000}"/>
    <cellStyle name="40% - Accent5 2 2" xfId="129" xr:uid="{00000000-0005-0000-0000-000075920000}"/>
    <cellStyle name="40% - Accent5 2 2 2" xfId="35148" xr:uid="{00000000-0005-0000-0000-000076920000}"/>
    <cellStyle name="40% - Accent5 2 2 3" xfId="50107" xr:uid="{00000000-0005-0000-0000-000077920000}"/>
    <cellStyle name="40% - Accent5 2 2 4" xfId="18869" xr:uid="{00000000-0005-0000-0000-000078920000}"/>
    <cellStyle name="40% - Accent5 2 3" xfId="130" xr:uid="{00000000-0005-0000-0000-000079920000}"/>
    <cellStyle name="40% - Accent5 2 4" xfId="43108" xr:uid="{00000000-0005-0000-0000-00007A920000}"/>
    <cellStyle name="40% - Accent5 3" xfId="131" xr:uid="{00000000-0005-0000-0000-00007B920000}"/>
    <cellStyle name="40% - Accent5 3 2" xfId="132" xr:uid="{00000000-0005-0000-0000-00007C920000}"/>
    <cellStyle name="40% - Accent5 3 3" xfId="133" xr:uid="{00000000-0005-0000-0000-00007D920000}"/>
    <cellStyle name="40% - Accent5 3 3 2" xfId="43149" xr:uid="{00000000-0005-0000-0000-00007E920000}"/>
    <cellStyle name="40% - Accent5 4" xfId="134" xr:uid="{00000000-0005-0000-0000-00007F920000}"/>
    <cellStyle name="40% - Accent5 4 2" xfId="135" xr:uid="{00000000-0005-0000-0000-000080920000}"/>
    <cellStyle name="40% - Accent5 5" xfId="136" xr:uid="{00000000-0005-0000-0000-000081920000}"/>
    <cellStyle name="40% - Accent5 5 2" xfId="36150" xr:uid="{00000000-0005-0000-0000-000082920000}"/>
    <cellStyle name="40% - Accent5 6" xfId="137" xr:uid="{00000000-0005-0000-0000-000083920000}"/>
    <cellStyle name="40% - Accent5 7" xfId="51805" xr:uid="{00000000-0005-0000-0000-000084920000}"/>
    <cellStyle name="40% - Accent5 8" xfId="52214" xr:uid="{00000000-0005-0000-0000-000085920000}"/>
    <cellStyle name="40% - Accent5 9" xfId="52619" xr:uid="{00000000-0005-0000-0000-000086920000}"/>
    <cellStyle name="40% - Accent6" xfId="138" builtinId="51" customBuiltin="1"/>
    <cellStyle name="40% - Accent6 2" xfId="139" xr:uid="{00000000-0005-0000-0000-000088920000}"/>
    <cellStyle name="40% - Accent6 2 2" xfId="140" xr:uid="{00000000-0005-0000-0000-000089920000}"/>
    <cellStyle name="40% - Accent6 2 2 2" xfId="35150" xr:uid="{00000000-0005-0000-0000-00008A920000}"/>
    <cellStyle name="40% - Accent6 2 2 3" xfId="50109" xr:uid="{00000000-0005-0000-0000-00008B920000}"/>
    <cellStyle name="40% - Accent6 2 2 4" xfId="18871" xr:uid="{00000000-0005-0000-0000-00008C920000}"/>
    <cellStyle name="40% - Accent6 2 3" xfId="141" xr:uid="{00000000-0005-0000-0000-00008D920000}"/>
    <cellStyle name="40% - Accent6 2 4" xfId="43110" xr:uid="{00000000-0005-0000-0000-00008E920000}"/>
    <cellStyle name="40% - Accent6 3" xfId="142" xr:uid="{00000000-0005-0000-0000-00008F920000}"/>
    <cellStyle name="40% - Accent6 3 2" xfId="143" xr:uid="{00000000-0005-0000-0000-000090920000}"/>
    <cellStyle name="40% - Accent6 3 3" xfId="144" xr:uid="{00000000-0005-0000-0000-000091920000}"/>
    <cellStyle name="40% - Accent6 3 3 2" xfId="43151" xr:uid="{00000000-0005-0000-0000-000092920000}"/>
    <cellStyle name="40% - Accent6 4" xfId="145" xr:uid="{00000000-0005-0000-0000-000093920000}"/>
    <cellStyle name="40% - Accent6 4 2" xfId="146" xr:uid="{00000000-0005-0000-0000-000094920000}"/>
    <cellStyle name="40% - Accent6 5" xfId="147" xr:uid="{00000000-0005-0000-0000-000095920000}"/>
    <cellStyle name="40% - Accent6 5 2" xfId="36152" xr:uid="{00000000-0005-0000-0000-000096920000}"/>
    <cellStyle name="40% - Accent6 6" xfId="148" xr:uid="{00000000-0005-0000-0000-000097920000}"/>
    <cellStyle name="40% - Accent6 7" xfId="51807" xr:uid="{00000000-0005-0000-0000-000098920000}"/>
    <cellStyle name="40% - Accent6 8" xfId="52216" xr:uid="{00000000-0005-0000-0000-000099920000}"/>
    <cellStyle name="40% - Accent6 9" xfId="52621" xr:uid="{00000000-0005-0000-0000-00009A920000}"/>
    <cellStyle name="40% - Colore 1" xfId="149" xr:uid="{00000000-0005-0000-0000-00009B920000}"/>
    <cellStyle name="40% - Colore 2" xfId="150" xr:uid="{00000000-0005-0000-0000-00009C920000}"/>
    <cellStyle name="40% - Colore 3" xfId="151" xr:uid="{00000000-0005-0000-0000-00009D920000}"/>
    <cellStyle name="40% - Colore 4" xfId="152" xr:uid="{00000000-0005-0000-0000-00009E920000}"/>
    <cellStyle name="40% - Colore 5" xfId="153" xr:uid="{00000000-0005-0000-0000-00009F920000}"/>
    <cellStyle name="40% - Colore 6" xfId="154" xr:uid="{00000000-0005-0000-0000-0000A0920000}"/>
    <cellStyle name="5x indented GHG Textfiels" xfId="155" xr:uid="{00000000-0005-0000-0000-0000A1920000}"/>
    <cellStyle name="5x indented GHG Textfiels 2" xfId="156" xr:uid="{00000000-0005-0000-0000-0000A2920000}"/>
    <cellStyle name="5x indented GHG Textfiels 2 2" xfId="157" xr:uid="{00000000-0005-0000-0000-0000A3920000}"/>
    <cellStyle name="5x indented GHG Textfiels 2 2 2" xfId="28177" xr:uid="{00000000-0005-0000-0000-0000A4920000}"/>
    <cellStyle name="5x indented GHG Textfiels 2 3" xfId="11880" xr:uid="{00000000-0005-0000-0000-0000A5920000}"/>
    <cellStyle name="5x indented GHG Textfiels 2 4" xfId="20170" xr:uid="{00000000-0005-0000-0000-0000A6920000}"/>
    <cellStyle name="5x indented GHG Textfiels 3" xfId="158" xr:uid="{00000000-0005-0000-0000-0000A7920000}"/>
    <cellStyle name="5x indented GHG Textfiels 3 2" xfId="159" xr:uid="{00000000-0005-0000-0000-0000A8920000}"/>
    <cellStyle name="5x indented GHG Textfiels 4" xfId="160" xr:uid="{00000000-0005-0000-0000-0000A9920000}"/>
    <cellStyle name="60 % - Markeringsfarve1 2" xfId="6935" xr:uid="{00000000-0005-0000-0000-0000AA920000}"/>
    <cellStyle name="60 % - Markeringsfarve1 3" xfId="6936" xr:uid="{00000000-0005-0000-0000-0000AB920000}"/>
    <cellStyle name="60 % - Markeringsfarve1 4" xfId="6937" xr:uid="{00000000-0005-0000-0000-0000AC920000}"/>
    <cellStyle name="60 % - Markeringsfarve1 5" xfId="6938" xr:uid="{00000000-0005-0000-0000-0000AD920000}"/>
    <cellStyle name="60 % - Markeringsfarve1 5 2" xfId="10764" xr:uid="{00000000-0005-0000-0000-0000AE920000}"/>
    <cellStyle name="60 % - Markeringsfarve1 6" xfId="7598" xr:uid="{00000000-0005-0000-0000-0000AF920000}"/>
    <cellStyle name="60 % - Markeringsfarve1 7" xfId="6934" xr:uid="{00000000-0005-0000-0000-0000B0920000}"/>
    <cellStyle name="60 % - Markeringsfarve2 2" xfId="6940" xr:uid="{00000000-0005-0000-0000-0000B1920000}"/>
    <cellStyle name="60 % - Markeringsfarve2 3" xfId="6941" xr:uid="{00000000-0005-0000-0000-0000B2920000}"/>
    <cellStyle name="60 % - Markeringsfarve2 4" xfId="6942" xr:uid="{00000000-0005-0000-0000-0000B3920000}"/>
    <cellStyle name="60 % - Markeringsfarve2 5" xfId="6943" xr:uid="{00000000-0005-0000-0000-0000B4920000}"/>
    <cellStyle name="60 % - Markeringsfarve2 5 2" xfId="10937" xr:uid="{00000000-0005-0000-0000-0000B5920000}"/>
    <cellStyle name="60 % - Markeringsfarve2 6" xfId="7602" xr:uid="{00000000-0005-0000-0000-0000B6920000}"/>
    <cellStyle name="60 % - Markeringsfarve2 7" xfId="6939" xr:uid="{00000000-0005-0000-0000-0000B7920000}"/>
    <cellStyle name="60 % - Markeringsfarve3 2" xfId="6945" xr:uid="{00000000-0005-0000-0000-0000B8920000}"/>
    <cellStyle name="60 % - Markeringsfarve3 2 2" xfId="6946" xr:uid="{00000000-0005-0000-0000-0000B9920000}"/>
    <cellStyle name="60 % - Markeringsfarve3 2 2 2" xfId="8586" xr:uid="{00000000-0005-0000-0000-0000BA920000}"/>
    <cellStyle name="60 % - Markeringsfarve3 3" xfId="6947" xr:uid="{00000000-0005-0000-0000-0000BB920000}"/>
    <cellStyle name="60 % - Markeringsfarve3 4" xfId="6948" xr:uid="{00000000-0005-0000-0000-0000BC920000}"/>
    <cellStyle name="60 % - Markeringsfarve3 5" xfId="6949" xr:uid="{00000000-0005-0000-0000-0000BD920000}"/>
    <cellStyle name="60 % - Markeringsfarve3 6" xfId="6950" xr:uid="{00000000-0005-0000-0000-0000BE920000}"/>
    <cellStyle name="60 % - Markeringsfarve3 6 2" xfId="10822" xr:uid="{00000000-0005-0000-0000-0000BF920000}"/>
    <cellStyle name="60 % - Markeringsfarve3 7" xfId="7606" xr:uid="{00000000-0005-0000-0000-0000C0920000}"/>
    <cellStyle name="60 % - Markeringsfarve3 8" xfId="6944" xr:uid="{00000000-0005-0000-0000-0000C1920000}"/>
    <cellStyle name="60 % - Markeringsfarve4 2" xfId="6952" xr:uid="{00000000-0005-0000-0000-0000C2920000}"/>
    <cellStyle name="60 % - Markeringsfarve4 2 2" xfId="6953" xr:uid="{00000000-0005-0000-0000-0000C3920000}"/>
    <cellStyle name="60 % - Markeringsfarve4 2 2 2" xfId="8587" xr:uid="{00000000-0005-0000-0000-0000C4920000}"/>
    <cellStyle name="60 % - Markeringsfarve4 3" xfId="6954" xr:uid="{00000000-0005-0000-0000-0000C5920000}"/>
    <cellStyle name="60 % - Markeringsfarve4 4" xfId="6955" xr:uid="{00000000-0005-0000-0000-0000C6920000}"/>
    <cellStyle name="60 % - Markeringsfarve4 5" xfId="6956" xr:uid="{00000000-0005-0000-0000-0000C7920000}"/>
    <cellStyle name="60 % - Markeringsfarve4 6" xfId="6957" xr:uid="{00000000-0005-0000-0000-0000C8920000}"/>
    <cellStyle name="60 % - Markeringsfarve4 6 2" xfId="10410" xr:uid="{00000000-0005-0000-0000-0000C9920000}"/>
    <cellStyle name="60 % - Markeringsfarve4 7" xfId="7610" xr:uid="{00000000-0005-0000-0000-0000CA920000}"/>
    <cellStyle name="60 % - Markeringsfarve4 8" xfId="6951" xr:uid="{00000000-0005-0000-0000-0000CB920000}"/>
    <cellStyle name="60 % - Markeringsfarve5 2" xfId="6959" xr:uid="{00000000-0005-0000-0000-0000CC920000}"/>
    <cellStyle name="60 % - Markeringsfarve5 3" xfId="6960" xr:uid="{00000000-0005-0000-0000-0000CD920000}"/>
    <cellStyle name="60 % - Markeringsfarve5 4" xfId="6961" xr:uid="{00000000-0005-0000-0000-0000CE920000}"/>
    <cellStyle name="60 % - Markeringsfarve5 5" xfId="6962" xr:uid="{00000000-0005-0000-0000-0000CF920000}"/>
    <cellStyle name="60 % - Markeringsfarve5 5 2" xfId="10956" xr:uid="{00000000-0005-0000-0000-0000D0920000}"/>
    <cellStyle name="60 % - Markeringsfarve5 6" xfId="7613" xr:uid="{00000000-0005-0000-0000-0000D1920000}"/>
    <cellStyle name="60 % - Markeringsfarve5 7" xfId="6958" xr:uid="{00000000-0005-0000-0000-0000D2920000}"/>
    <cellStyle name="60 % - Markeringsfarve6 2" xfId="6964" xr:uid="{00000000-0005-0000-0000-0000D3920000}"/>
    <cellStyle name="60 % - Markeringsfarve6 2 2" xfId="6965" xr:uid="{00000000-0005-0000-0000-0000D4920000}"/>
    <cellStyle name="60 % - Markeringsfarve6 2 2 2" xfId="8588" xr:uid="{00000000-0005-0000-0000-0000D5920000}"/>
    <cellStyle name="60 % - Markeringsfarve6 3" xfId="6966" xr:uid="{00000000-0005-0000-0000-0000D6920000}"/>
    <cellStyle name="60 % - Markeringsfarve6 4" xfId="6967" xr:uid="{00000000-0005-0000-0000-0000D7920000}"/>
    <cellStyle name="60 % - Markeringsfarve6 5" xfId="6968" xr:uid="{00000000-0005-0000-0000-0000D8920000}"/>
    <cellStyle name="60 % - Markeringsfarve6 6" xfId="6969" xr:uid="{00000000-0005-0000-0000-0000D9920000}"/>
    <cellStyle name="60 % - Markeringsfarve6 6 2" xfId="10884" xr:uid="{00000000-0005-0000-0000-0000DA920000}"/>
    <cellStyle name="60 % - Markeringsfarve6 7" xfId="7617" xr:uid="{00000000-0005-0000-0000-0000DB920000}"/>
    <cellStyle name="60 % - Markeringsfarve6 8" xfId="6963" xr:uid="{00000000-0005-0000-0000-0000DC920000}"/>
    <cellStyle name="60% - Accent1" xfId="161" builtinId="32" customBuiltin="1"/>
    <cellStyle name="60% - Accent1 2" xfId="162" xr:uid="{00000000-0005-0000-0000-0000DE920000}"/>
    <cellStyle name="60% - Accent1 3" xfId="163" xr:uid="{00000000-0005-0000-0000-0000DF920000}"/>
    <cellStyle name="60% - Accent1 4" xfId="164" xr:uid="{00000000-0005-0000-0000-0000E0920000}"/>
    <cellStyle name="60% - Accent1 5" xfId="165" xr:uid="{00000000-0005-0000-0000-0000E1920000}"/>
    <cellStyle name="60% - Accent2" xfId="166" builtinId="36" customBuiltin="1"/>
    <cellStyle name="60% - Accent2 2" xfId="167" xr:uid="{00000000-0005-0000-0000-0000E3920000}"/>
    <cellStyle name="60% - Accent2 3" xfId="168" xr:uid="{00000000-0005-0000-0000-0000E4920000}"/>
    <cellStyle name="60% - Accent2 4" xfId="169" xr:uid="{00000000-0005-0000-0000-0000E5920000}"/>
    <cellStyle name="60% - Accent2 5" xfId="170" xr:uid="{00000000-0005-0000-0000-0000E6920000}"/>
    <cellStyle name="60% - Accent3" xfId="171" builtinId="40" customBuiltin="1"/>
    <cellStyle name="60% - Accent3 2" xfId="172" xr:uid="{00000000-0005-0000-0000-0000E8920000}"/>
    <cellStyle name="60% - Accent3 3" xfId="173" xr:uid="{00000000-0005-0000-0000-0000E9920000}"/>
    <cellStyle name="60% - Accent3 3 2" xfId="174" xr:uid="{00000000-0005-0000-0000-0000EA920000}"/>
    <cellStyle name="60% - Accent3 4" xfId="175" xr:uid="{00000000-0005-0000-0000-0000EB920000}"/>
    <cellStyle name="60% - Accent3 5" xfId="176" xr:uid="{00000000-0005-0000-0000-0000EC920000}"/>
    <cellStyle name="60% - Accent4" xfId="177" builtinId="44" customBuiltin="1"/>
    <cellStyle name="60% - Accent4 2" xfId="178" xr:uid="{00000000-0005-0000-0000-0000EE920000}"/>
    <cellStyle name="60% - Accent4 3" xfId="179" xr:uid="{00000000-0005-0000-0000-0000EF920000}"/>
    <cellStyle name="60% - Accent4 3 2" xfId="180" xr:uid="{00000000-0005-0000-0000-0000F0920000}"/>
    <cellStyle name="60% - Accent4 4" xfId="181" xr:uid="{00000000-0005-0000-0000-0000F1920000}"/>
    <cellStyle name="60% - Accent4 5" xfId="182" xr:uid="{00000000-0005-0000-0000-0000F2920000}"/>
    <cellStyle name="60% - Accent5" xfId="183" builtinId="48" customBuiltin="1"/>
    <cellStyle name="60% - Accent5 2" xfId="184" xr:uid="{00000000-0005-0000-0000-0000F4920000}"/>
    <cellStyle name="60% - Accent5 3" xfId="185" xr:uid="{00000000-0005-0000-0000-0000F5920000}"/>
    <cellStyle name="60% - Accent5 4" xfId="186" xr:uid="{00000000-0005-0000-0000-0000F6920000}"/>
    <cellStyle name="60% - Accent5 5" xfId="187" xr:uid="{00000000-0005-0000-0000-0000F7920000}"/>
    <cellStyle name="60% - Accent6" xfId="188" builtinId="52" customBuiltin="1"/>
    <cellStyle name="60% - Accent6 2" xfId="189" xr:uid="{00000000-0005-0000-0000-0000F9920000}"/>
    <cellStyle name="60% - Accent6 3" xfId="190" xr:uid="{00000000-0005-0000-0000-0000FA920000}"/>
    <cellStyle name="60% - Accent6 3 2" xfId="191" xr:uid="{00000000-0005-0000-0000-0000FB920000}"/>
    <cellStyle name="60% - Accent6 4" xfId="192" xr:uid="{00000000-0005-0000-0000-0000FC920000}"/>
    <cellStyle name="60% - Accent6 5" xfId="193" xr:uid="{00000000-0005-0000-0000-0000FD920000}"/>
    <cellStyle name="60% - Colore 1" xfId="194" xr:uid="{00000000-0005-0000-0000-0000FE920000}"/>
    <cellStyle name="60% - Colore 2" xfId="195" xr:uid="{00000000-0005-0000-0000-0000FF920000}"/>
    <cellStyle name="60% - Colore 3" xfId="196" xr:uid="{00000000-0005-0000-0000-000000930000}"/>
    <cellStyle name="60% - Colore 4" xfId="197" xr:uid="{00000000-0005-0000-0000-000001930000}"/>
    <cellStyle name="60% - Colore 5" xfId="198" xr:uid="{00000000-0005-0000-0000-000002930000}"/>
    <cellStyle name="60% - Colore 6" xfId="199" xr:uid="{00000000-0005-0000-0000-000003930000}"/>
    <cellStyle name="Accent1" xfId="200" builtinId="29" customBuiltin="1"/>
    <cellStyle name="Accent1 2" xfId="201" xr:uid="{00000000-0005-0000-0000-000005930000}"/>
    <cellStyle name="Accent1 3" xfId="202" xr:uid="{00000000-0005-0000-0000-000006930000}"/>
    <cellStyle name="Accent1 4" xfId="203" xr:uid="{00000000-0005-0000-0000-000007930000}"/>
    <cellStyle name="Accent1 5" xfId="204" xr:uid="{00000000-0005-0000-0000-000008930000}"/>
    <cellStyle name="Accent2" xfId="205" builtinId="33" customBuiltin="1"/>
    <cellStyle name="Accent2 2" xfId="206" xr:uid="{00000000-0005-0000-0000-00000A930000}"/>
    <cellStyle name="Accent2 3" xfId="207" xr:uid="{00000000-0005-0000-0000-00000B930000}"/>
    <cellStyle name="Accent2 4" xfId="208" xr:uid="{00000000-0005-0000-0000-00000C930000}"/>
    <cellStyle name="Accent2 5" xfId="209" xr:uid="{00000000-0005-0000-0000-00000D930000}"/>
    <cellStyle name="Accent3" xfId="210" builtinId="37" customBuiltin="1"/>
    <cellStyle name="Accent3 2" xfId="211" xr:uid="{00000000-0005-0000-0000-00000F930000}"/>
    <cellStyle name="Accent3 3" xfId="212" xr:uid="{00000000-0005-0000-0000-000010930000}"/>
    <cellStyle name="Accent3 4" xfId="213" xr:uid="{00000000-0005-0000-0000-000011930000}"/>
    <cellStyle name="Accent3 5" xfId="214" xr:uid="{00000000-0005-0000-0000-000012930000}"/>
    <cellStyle name="Accent4" xfId="215" builtinId="41" customBuiltin="1"/>
    <cellStyle name="Accent4 2" xfId="216" xr:uid="{00000000-0005-0000-0000-000014930000}"/>
    <cellStyle name="Accent4 3" xfId="217" xr:uid="{00000000-0005-0000-0000-000015930000}"/>
    <cellStyle name="Accent4 4" xfId="218" xr:uid="{00000000-0005-0000-0000-000016930000}"/>
    <cellStyle name="Accent4 5" xfId="219" xr:uid="{00000000-0005-0000-0000-000017930000}"/>
    <cellStyle name="Accent5" xfId="220" builtinId="45" customBuiltin="1"/>
    <cellStyle name="Accent5 2" xfId="221" xr:uid="{00000000-0005-0000-0000-000019930000}"/>
    <cellStyle name="Accent5 3" xfId="222" xr:uid="{00000000-0005-0000-0000-00001A930000}"/>
    <cellStyle name="Accent5 4" xfId="223" xr:uid="{00000000-0005-0000-0000-00001B930000}"/>
    <cellStyle name="Accent5 5" xfId="224" xr:uid="{00000000-0005-0000-0000-00001C930000}"/>
    <cellStyle name="Accent6" xfId="225" builtinId="49" customBuiltin="1"/>
    <cellStyle name="Accent6 2" xfId="226" xr:uid="{00000000-0005-0000-0000-00001E930000}"/>
    <cellStyle name="Accent6 3" xfId="227" xr:uid="{00000000-0005-0000-0000-00001F930000}"/>
    <cellStyle name="Accent6 4" xfId="228" xr:uid="{00000000-0005-0000-0000-000020930000}"/>
    <cellStyle name="Accent6 5" xfId="229" xr:uid="{00000000-0005-0000-0000-000021930000}"/>
    <cellStyle name="AggblueCels_1x" xfId="230" xr:uid="{00000000-0005-0000-0000-000022930000}"/>
    <cellStyle name="AggOrange_CRFReport-template" xfId="231" xr:uid="{00000000-0005-0000-0000-000023930000}"/>
    <cellStyle name="AggOrange9_CRFReport-template" xfId="232" xr:uid="{00000000-0005-0000-0000-000024930000}"/>
    <cellStyle name="Assumption" xfId="233" xr:uid="{00000000-0005-0000-0000-000025930000}"/>
    <cellStyle name="Assumption Heading" xfId="234" xr:uid="{00000000-0005-0000-0000-000026930000}"/>
    <cellStyle name="Assumptions" xfId="235" xr:uid="{00000000-0005-0000-0000-000027930000}"/>
    <cellStyle name="Attrib" xfId="236" xr:uid="{00000000-0005-0000-0000-000028930000}"/>
    <cellStyle name="Attrib 2" xfId="237" xr:uid="{00000000-0005-0000-0000-000029930000}"/>
    <cellStyle name="Attrib 2 2" xfId="238" xr:uid="{00000000-0005-0000-0000-00002A930000}"/>
    <cellStyle name="Attrib 2 3" xfId="239" xr:uid="{00000000-0005-0000-0000-00002B930000}"/>
    <cellStyle name="Attrib 3" xfId="240" xr:uid="{00000000-0005-0000-0000-00002C930000}"/>
    <cellStyle name="Attrib 4" xfId="241" xr:uid="{00000000-0005-0000-0000-00002D930000}"/>
    <cellStyle name="Attrib 4 2" xfId="242" xr:uid="{00000000-0005-0000-0000-00002E930000}"/>
    <cellStyle name="AZ1" xfId="6970" xr:uid="{00000000-0005-0000-0000-00002F930000}"/>
    <cellStyle name="AZ1 2" xfId="6971" xr:uid="{00000000-0005-0000-0000-000030930000}"/>
    <cellStyle name="Background" xfId="243" xr:uid="{00000000-0005-0000-0000-000031930000}"/>
    <cellStyle name="Bad" xfId="244" builtinId="27" customBuiltin="1"/>
    <cellStyle name="Bad 2" xfId="245" xr:uid="{00000000-0005-0000-0000-000033930000}"/>
    <cellStyle name="Bad 2 2" xfId="246" xr:uid="{00000000-0005-0000-0000-000034930000}"/>
    <cellStyle name="Bad 3" xfId="247" xr:uid="{00000000-0005-0000-0000-000035930000}"/>
    <cellStyle name="Bad 3 2" xfId="20103" xr:uid="{00000000-0005-0000-0000-000036930000}"/>
    <cellStyle name="Bad 4" xfId="248" xr:uid="{00000000-0005-0000-0000-000037930000}"/>
    <cellStyle name="Bad 5" xfId="249" xr:uid="{00000000-0005-0000-0000-000038930000}"/>
    <cellStyle name="Bemærk! 2" xfId="250" xr:uid="{00000000-0005-0000-0000-000039930000}"/>
    <cellStyle name="Bemærk! 2 10" xfId="6973" xr:uid="{00000000-0005-0000-0000-00003A930000}"/>
    <cellStyle name="Bemærk! 2 10 2" xfId="6974" xr:uid="{00000000-0005-0000-0000-00003B930000}"/>
    <cellStyle name="Bemærk! 2 10 2 2" xfId="9707" xr:uid="{00000000-0005-0000-0000-00003C930000}"/>
    <cellStyle name="Bemærk! 2 10 2 2 2" xfId="17561" xr:uid="{00000000-0005-0000-0000-00003D930000}"/>
    <cellStyle name="Bemærk! 2 10 2 2 2 2" xfId="33837" xr:uid="{00000000-0005-0000-0000-00003E930000}"/>
    <cellStyle name="Bemærk! 2 10 2 2 2 3" xfId="48796" xr:uid="{00000000-0005-0000-0000-00003F930000}"/>
    <cellStyle name="Bemærk! 2 10 2 2 3" xfId="26835" xr:uid="{00000000-0005-0000-0000-000040930000}"/>
    <cellStyle name="Bemærk! 2 10 2 2 4" xfId="41799" xr:uid="{00000000-0005-0000-0000-000041930000}"/>
    <cellStyle name="Bemærk! 2 11" xfId="6975" xr:uid="{00000000-0005-0000-0000-000042930000}"/>
    <cellStyle name="Bemærk! 2 11 2" xfId="6976" xr:uid="{00000000-0005-0000-0000-000043930000}"/>
    <cellStyle name="Bemærk! 2 11 2 2" xfId="10954" xr:uid="{00000000-0005-0000-0000-000044930000}"/>
    <cellStyle name="Bemærk! 2 11 2 2 2" xfId="18788" xr:uid="{00000000-0005-0000-0000-000045930000}"/>
    <cellStyle name="Bemærk! 2 11 2 2 2 2" xfId="35064" xr:uid="{00000000-0005-0000-0000-000046930000}"/>
    <cellStyle name="Bemærk! 2 11 2 2 2 3" xfId="50023" xr:uid="{00000000-0005-0000-0000-000047930000}"/>
    <cellStyle name="Bemærk! 2 11 2 2 3" xfId="28062" xr:uid="{00000000-0005-0000-0000-000048930000}"/>
    <cellStyle name="Bemærk! 2 11 2 2 4" xfId="43026" xr:uid="{00000000-0005-0000-0000-000049930000}"/>
    <cellStyle name="Bemærk! 2 11 3" xfId="8308" xr:uid="{00000000-0005-0000-0000-00004A930000}"/>
    <cellStyle name="Bemærk! 2 11 3 2" xfId="16178" xr:uid="{00000000-0005-0000-0000-00004B930000}"/>
    <cellStyle name="Bemærk! 2 11 3 2 2" xfId="32454" xr:uid="{00000000-0005-0000-0000-00004C930000}"/>
    <cellStyle name="Bemærk! 2 11 3 2 3" xfId="47413" xr:uid="{00000000-0005-0000-0000-00004D930000}"/>
    <cellStyle name="Bemærk! 2 11 3 3" xfId="25452" xr:uid="{00000000-0005-0000-0000-00004E930000}"/>
    <cellStyle name="Bemærk! 2 11 3 4" xfId="40416" xr:uid="{00000000-0005-0000-0000-00004F930000}"/>
    <cellStyle name="Bemærk! 2 12" xfId="6977" xr:uid="{00000000-0005-0000-0000-000050930000}"/>
    <cellStyle name="Bemærk! 2 12 2" xfId="8932" xr:uid="{00000000-0005-0000-0000-000051930000}"/>
    <cellStyle name="Bemærk! 2 12 2 2" xfId="16797" xr:uid="{00000000-0005-0000-0000-000052930000}"/>
    <cellStyle name="Bemærk! 2 12 2 2 2" xfId="33073" xr:uid="{00000000-0005-0000-0000-000053930000}"/>
    <cellStyle name="Bemærk! 2 12 2 2 3" xfId="48032" xr:uid="{00000000-0005-0000-0000-000054930000}"/>
    <cellStyle name="Bemærk! 2 12 2 3" xfId="26071" xr:uid="{00000000-0005-0000-0000-000055930000}"/>
    <cellStyle name="Bemærk! 2 12 2 4" xfId="41035" xr:uid="{00000000-0005-0000-0000-000056930000}"/>
    <cellStyle name="Bemærk! 2 13" xfId="6972" xr:uid="{00000000-0005-0000-0000-000057930000}"/>
    <cellStyle name="Bemærk! 2 2" xfId="6978" xr:uid="{00000000-0005-0000-0000-000058930000}"/>
    <cellStyle name="Bemærk! 2 2 10" xfId="6979" xr:uid="{00000000-0005-0000-0000-000059930000}"/>
    <cellStyle name="Bemærk! 2 2 10 2" xfId="6980" xr:uid="{00000000-0005-0000-0000-00005A930000}"/>
    <cellStyle name="Bemærk! 2 2 10 2 2" xfId="10759" xr:uid="{00000000-0005-0000-0000-00005B930000}"/>
    <cellStyle name="Bemærk! 2 2 10 2 2 2" xfId="18602" xr:uid="{00000000-0005-0000-0000-00005C930000}"/>
    <cellStyle name="Bemærk! 2 2 10 2 2 2 2" xfId="34878" xr:uid="{00000000-0005-0000-0000-00005D930000}"/>
    <cellStyle name="Bemærk! 2 2 10 2 2 2 3" xfId="49837" xr:uid="{00000000-0005-0000-0000-00005E930000}"/>
    <cellStyle name="Bemærk! 2 2 10 2 2 3" xfId="27876" xr:uid="{00000000-0005-0000-0000-00005F930000}"/>
    <cellStyle name="Bemærk! 2 2 10 2 2 4" xfId="42840" xr:uid="{00000000-0005-0000-0000-000060930000}"/>
    <cellStyle name="Bemærk! 2 2 10 3" xfId="8330" xr:uid="{00000000-0005-0000-0000-000061930000}"/>
    <cellStyle name="Bemærk! 2 2 10 3 2" xfId="16200" xr:uid="{00000000-0005-0000-0000-000062930000}"/>
    <cellStyle name="Bemærk! 2 2 10 3 2 2" xfId="32476" xr:uid="{00000000-0005-0000-0000-000063930000}"/>
    <cellStyle name="Bemærk! 2 2 10 3 2 3" xfId="47435" xr:uid="{00000000-0005-0000-0000-000064930000}"/>
    <cellStyle name="Bemærk! 2 2 10 3 3" xfId="25474" xr:uid="{00000000-0005-0000-0000-000065930000}"/>
    <cellStyle name="Bemærk! 2 2 10 3 4" xfId="40438" xr:uid="{00000000-0005-0000-0000-000066930000}"/>
    <cellStyle name="Bemærk! 2 2 11" xfId="6981" xr:uid="{00000000-0005-0000-0000-000067930000}"/>
    <cellStyle name="Bemærk! 2 2 11 2" xfId="8960" xr:uid="{00000000-0005-0000-0000-000068930000}"/>
    <cellStyle name="Bemærk! 2 2 11 2 2" xfId="16824" xr:uid="{00000000-0005-0000-0000-000069930000}"/>
    <cellStyle name="Bemærk! 2 2 11 2 2 2" xfId="33100" xr:uid="{00000000-0005-0000-0000-00006A930000}"/>
    <cellStyle name="Bemærk! 2 2 11 2 2 3" xfId="48059" xr:uid="{00000000-0005-0000-0000-00006B930000}"/>
    <cellStyle name="Bemærk! 2 2 11 2 3" xfId="26098" xr:uid="{00000000-0005-0000-0000-00006C930000}"/>
    <cellStyle name="Bemærk! 2 2 11 2 4" xfId="41062" xr:uid="{00000000-0005-0000-0000-00006D930000}"/>
    <cellStyle name="Bemærk! 2 2 2" xfId="6982" xr:uid="{00000000-0005-0000-0000-00006E930000}"/>
    <cellStyle name="Bemærk! 2 2 2 2" xfId="6983" xr:uid="{00000000-0005-0000-0000-00006F930000}"/>
    <cellStyle name="Bemærk! 2 2 2 2 2" xfId="6984" xr:uid="{00000000-0005-0000-0000-000070930000}"/>
    <cellStyle name="Bemærk! 2 2 2 2 2 2" xfId="6985" xr:uid="{00000000-0005-0000-0000-000071930000}"/>
    <cellStyle name="Bemærk! 2 2 2 2 2 2 2" xfId="9890" xr:uid="{00000000-0005-0000-0000-000072930000}"/>
    <cellStyle name="Bemærk! 2 2 2 2 2 2 2 2" xfId="17745" xr:uid="{00000000-0005-0000-0000-000073930000}"/>
    <cellStyle name="Bemærk! 2 2 2 2 2 2 2 2 2" xfId="34021" xr:uid="{00000000-0005-0000-0000-000074930000}"/>
    <cellStyle name="Bemærk! 2 2 2 2 2 2 2 2 3" xfId="48980" xr:uid="{00000000-0005-0000-0000-000075930000}"/>
    <cellStyle name="Bemærk! 2 2 2 2 2 2 2 3" xfId="27019" xr:uid="{00000000-0005-0000-0000-000076930000}"/>
    <cellStyle name="Bemærk! 2 2 2 2 2 2 2 4" xfId="41983" xr:uid="{00000000-0005-0000-0000-000077930000}"/>
    <cellStyle name="Bemærk! 2 2 2 2 3" xfId="6986" xr:uid="{00000000-0005-0000-0000-000078930000}"/>
    <cellStyle name="Bemærk! 2 2 2 2 3 2" xfId="6987" xr:uid="{00000000-0005-0000-0000-000079930000}"/>
    <cellStyle name="Bemærk! 2 2 2 2 3 2 2" xfId="10819" xr:uid="{00000000-0005-0000-0000-00007A930000}"/>
    <cellStyle name="Bemærk! 2 2 2 2 3 2 2 2" xfId="18660" xr:uid="{00000000-0005-0000-0000-00007B930000}"/>
    <cellStyle name="Bemærk! 2 2 2 2 3 2 2 2 2" xfId="34936" xr:uid="{00000000-0005-0000-0000-00007C930000}"/>
    <cellStyle name="Bemærk! 2 2 2 2 3 2 2 2 3" xfId="49895" xr:uid="{00000000-0005-0000-0000-00007D930000}"/>
    <cellStyle name="Bemærk! 2 2 2 2 3 2 2 3" xfId="27934" xr:uid="{00000000-0005-0000-0000-00007E930000}"/>
    <cellStyle name="Bemærk! 2 2 2 2 3 2 2 4" xfId="42898" xr:uid="{00000000-0005-0000-0000-00007F930000}"/>
    <cellStyle name="Bemærk! 2 2 2 2 3 3" xfId="8462" xr:uid="{00000000-0005-0000-0000-000080930000}"/>
    <cellStyle name="Bemærk! 2 2 2 2 3 3 2" xfId="16332" xr:uid="{00000000-0005-0000-0000-000081930000}"/>
    <cellStyle name="Bemærk! 2 2 2 2 3 3 2 2" xfId="32608" xr:uid="{00000000-0005-0000-0000-000082930000}"/>
    <cellStyle name="Bemærk! 2 2 2 2 3 3 2 3" xfId="47567" xr:uid="{00000000-0005-0000-0000-000083930000}"/>
    <cellStyle name="Bemærk! 2 2 2 2 3 3 3" xfId="25606" xr:uid="{00000000-0005-0000-0000-000084930000}"/>
    <cellStyle name="Bemærk! 2 2 2 2 3 3 4" xfId="40570" xr:uid="{00000000-0005-0000-0000-000085930000}"/>
    <cellStyle name="Bemærk! 2 2 2 2 4" xfId="6988" xr:uid="{00000000-0005-0000-0000-000086930000}"/>
    <cellStyle name="Bemærk! 2 2 2 2 4 2" xfId="9121" xr:uid="{00000000-0005-0000-0000-000087930000}"/>
    <cellStyle name="Bemærk! 2 2 2 2 4 2 2" xfId="16985" xr:uid="{00000000-0005-0000-0000-000088930000}"/>
    <cellStyle name="Bemærk! 2 2 2 2 4 2 2 2" xfId="33261" xr:uid="{00000000-0005-0000-0000-000089930000}"/>
    <cellStyle name="Bemærk! 2 2 2 2 4 2 2 3" xfId="48220" xr:uid="{00000000-0005-0000-0000-00008A930000}"/>
    <cellStyle name="Bemærk! 2 2 2 2 4 2 3" xfId="26259" xr:uid="{00000000-0005-0000-0000-00008B930000}"/>
    <cellStyle name="Bemærk! 2 2 2 2 4 2 4" xfId="41223" xr:uid="{00000000-0005-0000-0000-00008C930000}"/>
    <cellStyle name="Bemærk! 2 2 2 3" xfId="6989" xr:uid="{00000000-0005-0000-0000-00008D930000}"/>
    <cellStyle name="Bemærk! 2 2 2 3 2" xfId="6990" xr:uid="{00000000-0005-0000-0000-00008E930000}"/>
    <cellStyle name="Bemærk! 2 2 2 3 2 2" xfId="6991" xr:uid="{00000000-0005-0000-0000-00008F930000}"/>
    <cellStyle name="Bemærk! 2 2 2 3 2 2 2" xfId="10041" xr:uid="{00000000-0005-0000-0000-000090930000}"/>
    <cellStyle name="Bemærk! 2 2 2 3 2 2 2 2" xfId="17896" xr:uid="{00000000-0005-0000-0000-000091930000}"/>
    <cellStyle name="Bemærk! 2 2 2 3 2 2 2 2 2" xfId="34172" xr:uid="{00000000-0005-0000-0000-000092930000}"/>
    <cellStyle name="Bemærk! 2 2 2 3 2 2 2 2 3" xfId="49131" xr:uid="{00000000-0005-0000-0000-000093930000}"/>
    <cellStyle name="Bemærk! 2 2 2 3 2 2 2 3" xfId="27170" xr:uid="{00000000-0005-0000-0000-000094930000}"/>
    <cellStyle name="Bemærk! 2 2 2 3 2 2 2 4" xfId="42134" xr:uid="{00000000-0005-0000-0000-000095930000}"/>
    <cellStyle name="Bemærk! 2 2 2 3 3" xfId="6992" xr:uid="{00000000-0005-0000-0000-000096930000}"/>
    <cellStyle name="Bemærk! 2 2 2 3 3 2" xfId="6993" xr:uid="{00000000-0005-0000-0000-000097930000}"/>
    <cellStyle name="Bemærk! 2 2 2 3 3 2 2" xfId="10604" xr:uid="{00000000-0005-0000-0000-000098930000}"/>
    <cellStyle name="Bemærk! 2 2 2 3 3 2 2 2" xfId="18452" xr:uid="{00000000-0005-0000-0000-000099930000}"/>
    <cellStyle name="Bemærk! 2 2 2 3 3 2 2 2 2" xfId="34728" xr:uid="{00000000-0005-0000-0000-00009A930000}"/>
    <cellStyle name="Bemærk! 2 2 2 3 3 2 2 2 3" xfId="49687" xr:uid="{00000000-0005-0000-0000-00009B930000}"/>
    <cellStyle name="Bemærk! 2 2 2 3 3 2 2 3" xfId="27726" xr:uid="{00000000-0005-0000-0000-00009C930000}"/>
    <cellStyle name="Bemærk! 2 2 2 3 3 2 2 4" xfId="42690" xr:uid="{00000000-0005-0000-0000-00009D930000}"/>
    <cellStyle name="Bemærk! 2 2 2 3 3 3" xfId="8591" xr:uid="{00000000-0005-0000-0000-00009E930000}"/>
    <cellStyle name="Bemærk! 2 2 2 3 3 3 2" xfId="16458" xr:uid="{00000000-0005-0000-0000-00009F930000}"/>
    <cellStyle name="Bemærk! 2 2 2 3 3 3 2 2" xfId="32734" xr:uid="{00000000-0005-0000-0000-0000A0930000}"/>
    <cellStyle name="Bemærk! 2 2 2 3 3 3 2 3" xfId="47693" xr:uid="{00000000-0005-0000-0000-0000A1930000}"/>
    <cellStyle name="Bemærk! 2 2 2 3 3 3 3" xfId="25732" xr:uid="{00000000-0005-0000-0000-0000A2930000}"/>
    <cellStyle name="Bemærk! 2 2 2 3 3 3 4" xfId="40696" xr:uid="{00000000-0005-0000-0000-0000A3930000}"/>
    <cellStyle name="Bemærk! 2 2 2 3 4" xfId="6994" xr:uid="{00000000-0005-0000-0000-0000A4930000}"/>
    <cellStyle name="Bemærk! 2 2 2 3 4 2" xfId="9273" xr:uid="{00000000-0005-0000-0000-0000A5930000}"/>
    <cellStyle name="Bemærk! 2 2 2 3 4 2 2" xfId="17137" xr:uid="{00000000-0005-0000-0000-0000A6930000}"/>
    <cellStyle name="Bemærk! 2 2 2 3 4 2 2 2" xfId="33413" xr:uid="{00000000-0005-0000-0000-0000A7930000}"/>
    <cellStyle name="Bemærk! 2 2 2 3 4 2 2 3" xfId="48372" xr:uid="{00000000-0005-0000-0000-0000A8930000}"/>
    <cellStyle name="Bemærk! 2 2 2 3 4 2 3" xfId="26411" xr:uid="{00000000-0005-0000-0000-0000A9930000}"/>
    <cellStyle name="Bemærk! 2 2 2 3 4 2 4" xfId="41375" xr:uid="{00000000-0005-0000-0000-0000AA930000}"/>
    <cellStyle name="Bemærk! 2 2 2 4" xfId="6995" xr:uid="{00000000-0005-0000-0000-0000AB930000}"/>
    <cellStyle name="Bemærk! 2 2 2 4 2" xfId="6996" xr:uid="{00000000-0005-0000-0000-0000AC930000}"/>
    <cellStyle name="Bemærk! 2 2 2 4 2 2" xfId="6997" xr:uid="{00000000-0005-0000-0000-0000AD930000}"/>
    <cellStyle name="Bemærk! 2 2 2 4 2 2 2" xfId="10128" xr:uid="{00000000-0005-0000-0000-0000AE930000}"/>
    <cellStyle name="Bemærk! 2 2 2 4 2 2 2 2" xfId="17983" xr:uid="{00000000-0005-0000-0000-0000AF930000}"/>
    <cellStyle name="Bemærk! 2 2 2 4 2 2 2 2 2" xfId="34259" xr:uid="{00000000-0005-0000-0000-0000B0930000}"/>
    <cellStyle name="Bemærk! 2 2 2 4 2 2 2 2 3" xfId="49218" xr:uid="{00000000-0005-0000-0000-0000B1930000}"/>
    <cellStyle name="Bemærk! 2 2 2 4 2 2 2 3" xfId="27257" xr:uid="{00000000-0005-0000-0000-0000B2930000}"/>
    <cellStyle name="Bemærk! 2 2 2 4 2 2 2 4" xfId="42221" xr:uid="{00000000-0005-0000-0000-0000B3930000}"/>
    <cellStyle name="Bemærk! 2 2 2 4 3" xfId="6998" xr:uid="{00000000-0005-0000-0000-0000B4930000}"/>
    <cellStyle name="Bemærk! 2 2 2 4 3 2" xfId="6999" xr:uid="{00000000-0005-0000-0000-0000B5930000}"/>
    <cellStyle name="Bemærk! 2 2 2 4 3 2 2" xfId="10469" xr:uid="{00000000-0005-0000-0000-0000B6930000}"/>
    <cellStyle name="Bemærk! 2 2 2 4 3 2 2 2" xfId="18320" xr:uid="{00000000-0005-0000-0000-0000B7930000}"/>
    <cellStyle name="Bemærk! 2 2 2 4 3 2 2 2 2" xfId="34596" xr:uid="{00000000-0005-0000-0000-0000B8930000}"/>
    <cellStyle name="Bemærk! 2 2 2 4 3 2 2 2 3" xfId="49555" xr:uid="{00000000-0005-0000-0000-0000B9930000}"/>
    <cellStyle name="Bemærk! 2 2 2 4 3 2 2 3" xfId="27594" xr:uid="{00000000-0005-0000-0000-0000BA930000}"/>
    <cellStyle name="Bemærk! 2 2 2 4 3 2 2 4" xfId="42558" xr:uid="{00000000-0005-0000-0000-0000BB930000}"/>
    <cellStyle name="Bemærk! 2 2 2 4 3 3" xfId="8664" xr:uid="{00000000-0005-0000-0000-0000BC930000}"/>
    <cellStyle name="Bemærk! 2 2 2 4 3 3 2" xfId="16531" xr:uid="{00000000-0005-0000-0000-0000BD930000}"/>
    <cellStyle name="Bemærk! 2 2 2 4 3 3 2 2" xfId="32807" xr:uid="{00000000-0005-0000-0000-0000BE930000}"/>
    <cellStyle name="Bemærk! 2 2 2 4 3 3 2 3" xfId="47766" xr:uid="{00000000-0005-0000-0000-0000BF930000}"/>
    <cellStyle name="Bemærk! 2 2 2 4 3 3 3" xfId="25805" xr:uid="{00000000-0005-0000-0000-0000C0930000}"/>
    <cellStyle name="Bemærk! 2 2 2 4 3 3 4" xfId="40769" xr:uid="{00000000-0005-0000-0000-0000C1930000}"/>
    <cellStyle name="Bemærk! 2 2 2 4 4" xfId="7000" xr:uid="{00000000-0005-0000-0000-0000C2930000}"/>
    <cellStyle name="Bemærk! 2 2 2 4 4 2" xfId="9405" xr:uid="{00000000-0005-0000-0000-0000C3930000}"/>
    <cellStyle name="Bemærk! 2 2 2 4 4 2 2" xfId="17268" xr:uid="{00000000-0005-0000-0000-0000C4930000}"/>
    <cellStyle name="Bemærk! 2 2 2 4 4 2 2 2" xfId="33544" xr:uid="{00000000-0005-0000-0000-0000C5930000}"/>
    <cellStyle name="Bemærk! 2 2 2 4 4 2 2 3" xfId="48503" xr:uid="{00000000-0005-0000-0000-0000C6930000}"/>
    <cellStyle name="Bemærk! 2 2 2 4 4 2 3" xfId="26542" xr:uid="{00000000-0005-0000-0000-0000C7930000}"/>
    <cellStyle name="Bemærk! 2 2 2 4 4 2 4" xfId="41506" xr:uid="{00000000-0005-0000-0000-0000C8930000}"/>
    <cellStyle name="Bemærk! 2 2 2 5" xfId="7001" xr:uid="{00000000-0005-0000-0000-0000C9930000}"/>
    <cellStyle name="Bemærk! 2 2 2 5 2" xfId="7002" xr:uid="{00000000-0005-0000-0000-0000CA930000}"/>
    <cellStyle name="Bemærk! 2 2 2 5 2 2" xfId="7003" xr:uid="{00000000-0005-0000-0000-0000CB930000}"/>
    <cellStyle name="Bemærk! 2 2 2 5 2 2 2" xfId="10245" xr:uid="{00000000-0005-0000-0000-0000CC930000}"/>
    <cellStyle name="Bemærk! 2 2 2 5 2 2 2 2" xfId="18100" xr:uid="{00000000-0005-0000-0000-0000CD930000}"/>
    <cellStyle name="Bemærk! 2 2 2 5 2 2 2 2 2" xfId="34376" xr:uid="{00000000-0005-0000-0000-0000CE930000}"/>
    <cellStyle name="Bemærk! 2 2 2 5 2 2 2 2 3" xfId="49335" xr:uid="{00000000-0005-0000-0000-0000CF930000}"/>
    <cellStyle name="Bemærk! 2 2 2 5 2 2 2 3" xfId="27374" xr:uid="{00000000-0005-0000-0000-0000D0930000}"/>
    <cellStyle name="Bemærk! 2 2 2 5 2 2 2 4" xfId="42338" xr:uid="{00000000-0005-0000-0000-0000D1930000}"/>
    <cellStyle name="Bemærk! 2 2 2 5 3" xfId="7004" xr:uid="{00000000-0005-0000-0000-0000D2930000}"/>
    <cellStyle name="Bemærk! 2 2 2 5 3 2" xfId="7005" xr:uid="{00000000-0005-0000-0000-0000D3930000}"/>
    <cellStyle name="Bemærk! 2 2 2 5 3 2 2" xfId="10417" xr:uid="{00000000-0005-0000-0000-0000D4930000}"/>
    <cellStyle name="Bemærk! 2 2 2 5 3 2 2 2" xfId="18269" xr:uid="{00000000-0005-0000-0000-0000D5930000}"/>
    <cellStyle name="Bemærk! 2 2 2 5 3 2 2 2 2" xfId="34545" xr:uid="{00000000-0005-0000-0000-0000D6930000}"/>
    <cellStyle name="Bemærk! 2 2 2 5 3 2 2 2 3" xfId="49504" xr:uid="{00000000-0005-0000-0000-0000D7930000}"/>
    <cellStyle name="Bemærk! 2 2 2 5 3 2 2 3" xfId="27543" xr:uid="{00000000-0005-0000-0000-0000D8930000}"/>
    <cellStyle name="Bemærk! 2 2 2 5 3 2 2 4" xfId="42507" xr:uid="{00000000-0005-0000-0000-0000D9930000}"/>
    <cellStyle name="Bemærk! 2 2 2 5 3 3" xfId="8763" xr:uid="{00000000-0005-0000-0000-0000DA930000}"/>
    <cellStyle name="Bemærk! 2 2 2 5 3 3 2" xfId="16630" xr:uid="{00000000-0005-0000-0000-0000DB930000}"/>
    <cellStyle name="Bemærk! 2 2 2 5 3 3 2 2" xfId="32906" xr:uid="{00000000-0005-0000-0000-0000DC930000}"/>
    <cellStyle name="Bemærk! 2 2 2 5 3 3 2 3" xfId="47865" xr:uid="{00000000-0005-0000-0000-0000DD930000}"/>
    <cellStyle name="Bemærk! 2 2 2 5 3 3 3" xfId="25904" xr:uid="{00000000-0005-0000-0000-0000DE930000}"/>
    <cellStyle name="Bemærk! 2 2 2 5 3 3 4" xfId="40868" xr:uid="{00000000-0005-0000-0000-0000DF930000}"/>
    <cellStyle name="Bemærk! 2 2 2 5 4" xfId="7006" xr:uid="{00000000-0005-0000-0000-0000E0930000}"/>
    <cellStyle name="Bemærk! 2 2 2 5 4 2" xfId="9522" xr:uid="{00000000-0005-0000-0000-0000E1930000}"/>
    <cellStyle name="Bemærk! 2 2 2 5 4 2 2" xfId="17385" xr:uid="{00000000-0005-0000-0000-0000E2930000}"/>
    <cellStyle name="Bemærk! 2 2 2 5 4 2 2 2" xfId="33661" xr:uid="{00000000-0005-0000-0000-0000E3930000}"/>
    <cellStyle name="Bemærk! 2 2 2 5 4 2 2 3" xfId="48620" xr:uid="{00000000-0005-0000-0000-0000E4930000}"/>
    <cellStyle name="Bemærk! 2 2 2 5 4 2 3" xfId="26659" xr:uid="{00000000-0005-0000-0000-0000E5930000}"/>
    <cellStyle name="Bemærk! 2 2 2 5 4 2 4" xfId="41623" xr:uid="{00000000-0005-0000-0000-0000E6930000}"/>
    <cellStyle name="Bemærk! 2 2 2 6" xfId="7007" xr:uid="{00000000-0005-0000-0000-0000E7930000}"/>
    <cellStyle name="Bemærk! 2 2 2 6 2" xfId="7008" xr:uid="{00000000-0005-0000-0000-0000E8930000}"/>
    <cellStyle name="Bemærk! 2 2 2 6 2 2" xfId="7009" xr:uid="{00000000-0005-0000-0000-0000E9930000}"/>
    <cellStyle name="Bemærk! 2 2 2 6 2 2 2" xfId="10395" xr:uid="{00000000-0005-0000-0000-0000EA930000}"/>
    <cellStyle name="Bemærk! 2 2 2 6 2 2 2 2" xfId="18250" xr:uid="{00000000-0005-0000-0000-0000EB930000}"/>
    <cellStyle name="Bemærk! 2 2 2 6 2 2 2 2 2" xfId="34526" xr:uid="{00000000-0005-0000-0000-0000EC930000}"/>
    <cellStyle name="Bemærk! 2 2 2 6 2 2 2 2 3" xfId="49485" xr:uid="{00000000-0005-0000-0000-0000ED930000}"/>
    <cellStyle name="Bemærk! 2 2 2 6 2 2 2 3" xfId="27524" xr:uid="{00000000-0005-0000-0000-0000EE930000}"/>
    <cellStyle name="Bemærk! 2 2 2 6 2 2 2 4" xfId="42488" xr:uid="{00000000-0005-0000-0000-0000EF930000}"/>
    <cellStyle name="Bemærk! 2 2 2 6 3" xfId="7010" xr:uid="{00000000-0005-0000-0000-0000F0930000}"/>
    <cellStyle name="Bemærk! 2 2 2 6 3 2" xfId="7011" xr:uid="{00000000-0005-0000-0000-0000F1930000}"/>
    <cellStyle name="Bemærk! 2 2 2 6 3 2 2" xfId="11006" xr:uid="{00000000-0005-0000-0000-0000F2930000}"/>
    <cellStyle name="Bemærk! 2 2 2 6 3 2 2 2" xfId="18837" xr:uid="{00000000-0005-0000-0000-0000F3930000}"/>
    <cellStyle name="Bemærk! 2 2 2 6 3 2 2 2 2" xfId="35113" xr:uid="{00000000-0005-0000-0000-0000F4930000}"/>
    <cellStyle name="Bemærk! 2 2 2 6 3 2 2 2 3" xfId="50072" xr:uid="{00000000-0005-0000-0000-0000F5930000}"/>
    <cellStyle name="Bemærk! 2 2 2 6 3 2 2 3" xfId="28111" xr:uid="{00000000-0005-0000-0000-0000F6930000}"/>
    <cellStyle name="Bemærk! 2 2 2 6 3 2 2 4" xfId="43075" xr:uid="{00000000-0005-0000-0000-0000F7930000}"/>
    <cellStyle name="Bemærk! 2 2 2 6 3 3" xfId="8889" xr:uid="{00000000-0005-0000-0000-0000F8930000}"/>
    <cellStyle name="Bemærk! 2 2 2 6 3 3 2" xfId="16756" xr:uid="{00000000-0005-0000-0000-0000F9930000}"/>
    <cellStyle name="Bemærk! 2 2 2 6 3 3 2 2" xfId="33032" xr:uid="{00000000-0005-0000-0000-0000FA930000}"/>
    <cellStyle name="Bemærk! 2 2 2 6 3 3 2 3" xfId="47991" xr:uid="{00000000-0005-0000-0000-0000FB930000}"/>
    <cellStyle name="Bemærk! 2 2 2 6 3 3 3" xfId="26030" xr:uid="{00000000-0005-0000-0000-0000FC930000}"/>
    <cellStyle name="Bemærk! 2 2 2 6 3 3 4" xfId="40994" xr:uid="{00000000-0005-0000-0000-0000FD930000}"/>
    <cellStyle name="Bemærk! 2 2 2 6 4" xfId="7012" xr:uid="{00000000-0005-0000-0000-0000FE930000}"/>
    <cellStyle name="Bemærk! 2 2 2 6 4 2" xfId="9673" xr:uid="{00000000-0005-0000-0000-0000FF930000}"/>
    <cellStyle name="Bemærk! 2 2 2 6 4 2 2" xfId="17536" xr:uid="{00000000-0005-0000-0000-000000940000}"/>
    <cellStyle name="Bemærk! 2 2 2 6 4 2 2 2" xfId="33812" xr:uid="{00000000-0005-0000-0000-000001940000}"/>
    <cellStyle name="Bemærk! 2 2 2 6 4 2 2 3" xfId="48771" xr:uid="{00000000-0005-0000-0000-000002940000}"/>
    <cellStyle name="Bemærk! 2 2 2 6 4 2 3" xfId="26810" xr:uid="{00000000-0005-0000-0000-000003940000}"/>
    <cellStyle name="Bemærk! 2 2 2 6 4 2 4" xfId="41774" xr:uid="{00000000-0005-0000-0000-000004940000}"/>
    <cellStyle name="Bemærk! 2 2 2 7" xfId="7013" xr:uid="{00000000-0005-0000-0000-000005940000}"/>
    <cellStyle name="Bemærk! 2 2 2 7 2" xfId="7014" xr:uid="{00000000-0005-0000-0000-000006940000}"/>
    <cellStyle name="Bemærk! 2 2 2 7 2 2" xfId="9772" xr:uid="{00000000-0005-0000-0000-000007940000}"/>
    <cellStyle name="Bemærk! 2 2 2 7 2 2 2" xfId="17626" xr:uid="{00000000-0005-0000-0000-000008940000}"/>
    <cellStyle name="Bemærk! 2 2 2 7 2 2 2 2" xfId="33902" xr:uid="{00000000-0005-0000-0000-000009940000}"/>
    <cellStyle name="Bemærk! 2 2 2 7 2 2 2 3" xfId="48861" xr:uid="{00000000-0005-0000-0000-00000A940000}"/>
    <cellStyle name="Bemærk! 2 2 2 7 2 2 3" xfId="26900" xr:uid="{00000000-0005-0000-0000-00000B940000}"/>
    <cellStyle name="Bemærk! 2 2 2 7 2 2 4" xfId="41864" xr:uid="{00000000-0005-0000-0000-00000C940000}"/>
    <cellStyle name="Bemærk! 2 2 2 8" xfId="7015" xr:uid="{00000000-0005-0000-0000-00000D940000}"/>
    <cellStyle name="Bemærk! 2 2 2 8 2" xfId="7016" xr:uid="{00000000-0005-0000-0000-00000E940000}"/>
    <cellStyle name="Bemærk! 2 2 2 8 2 2" xfId="10619" xr:uid="{00000000-0005-0000-0000-00000F940000}"/>
    <cellStyle name="Bemærk! 2 2 2 8 2 2 2" xfId="18467" xr:uid="{00000000-0005-0000-0000-000010940000}"/>
    <cellStyle name="Bemærk! 2 2 2 8 2 2 2 2" xfId="34743" xr:uid="{00000000-0005-0000-0000-000011940000}"/>
    <cellStyle name="Bemærk! 2 2 2 8 2 2 2 3" xfId="49702" xr:uid="{00000000-0005-0000-0000-000012940000}"/>
    <cellStyle name="Bemærk! 2 2 2 8 2 2 3" xfId="27741" xr:uid="{00000000-0005-0000-0000-000013940000}"/>
    <cellStyle name="Bemærk! 2 2 2 8 2 2 4" xfId="42705" xr:uid="{00000000-0005-0000-0000-000014940000}"/>
    <cellStyle name="Bemærk! 2 2 2 8 3" xfId="8363" xr:uid="{00000000-0005-0000-0000-000015940000}"/>
    <cellStyle name="Bemærk! 2 2 2 8 3 2" xfId="16233" xr:uid="{00000000-0005-0000-0000-000016940000}"/>
    <cellStyle name="Bemærk! 2 2 2 8 3 2 2" xfId="32509" xr:uid="{00000000-0005-0000-0000-000017940000}"/>
    <cellStyle name="Bemærk! 2 2 2 8 3 2 3" xfId="47468" xr:uid="{00000000-0005-0000-0000-000018940000}"/>
    <cellStyle name="Bemærk! 2 2 2 8 3 3" xfId="25507" xr:uid="{00000000-0005-0000-0000-000019940000}"/>
    <cellStyle name="Bemærk! 2 2 2 8 3 4" xfId="40471" xr:uid="{00000000-0005-0000-0000-00001A940000}"/>
    <cellStyle name="Bemærk! 2 2 2 9" xfId="7017" xr:uid="{00000000-0005-0000-0000-00001B940000}"/>
    <cellStyle name="Bemærk! 2 2 2 9 2" xfId="9000" xr:uid="{00000000-0005-0000-0000-00001C940000}"/>
    <cellStyle name="Bemærk! 2 2 2 9 2 2" xfId="16864" xr:uid="{00000000-0005-0000-0000-00001D940000}"/>
    <cellStyle name="Bemærk! 2 2 2 9 2 2 2" xfId="33140" xr:uid="{00000000-0005-0000-0000-00001E940000}"/>
    <cellStyle name="Bemærk! 2 2 2 9 2 2 3" xfId="48099" xr:uid="{00000000-0005-0000-0000-00001F940000}"/>
    <cellStyle name="Bemærk! 2 2 2 9 2 3" xfId="26138" xr:uid="{00000000-0005-0000-0000-000020940000}"/>
    <cellStyle name="Bemærk! 2 2 2 9 2 4" xfId="41102" xr:uid="{00000000-0005-0000-0000-000021940000}"/>
    <cellStyle name="Bemærk! 2 2 3" xfId="7018" xr:uid="{00000000-0005-0000-0000-000022940000}"/>
    <cellStyle name="Bemærk! 2 2 3 2" xfId="7019" xr:uid="{00000000-0005-0000-0000-000023940000}"/>
    <cellStyle name="Bemærk! 2 2 3 2 2" xfId="7020" xr:uid="{00000000-0005-0000-0000-000024940000}"/>
    <cellStyle name="Bemærk! 2 2 3 2 2 2" xfId="7021" xr:uid="{00000000-0005-0000-0000-000025940000}"/>
    <cellStyle name="Bemærk! 2 2 3 2 2 2 2" xfId="9929" xr:uid="{00000000-0005-0000-0000-000026940000}"/>
    <cellStyle name="Bemærk! 2 2 3 2 2 2 2 2" xfId="17784" xr:uid="{00000000-0005-0000-0000-000027940000}"/>
    <cellStyle name="Bemærk! 2 2 3 2 2 2 2 2 2" xfId="34060" xr:uid="{00000000-0005-0000-0000-000028940000}"/>
    <cellStyle name="Bemærk! 2 2 3 2 2 2 2 2 3" xfId="49019" xr:uid="{00000000-0005-0000-0000-000029940000}"/>
    <cellStyle name="Bemærk! 2 2 3 2 2 2 2 3" xfId="27058" xr:uid="{00000000-0005-0000-0000-00002A940000}"/>
    <cellStyle name="Bemærk! 2 2 3 2 2 2 2 4" xfId="42022" xr:uid="{00000000-0005-0000-0000-00002B940000}"/>
    <cellStyle name="Bemærk! 2 2 3 2 3" xfId="7022" xr:uid="{00000000-0005-0000-0000-00002C940000}"/>
    <cellStyle name="Bemærk! 2 2 3 2 3 2" xfId="7023" xr:uid="{00000000-0005-0000-0000-00002D940000}"/>
    <cellStyle name="Bemærk! 2 2 3 2 3 2 2" xfId="10596" xr:uid="{00000000-0005-0000-0000-00002E940000}"/>
    <cellStyle name="Bemærk! 2 2 3 2 3 2 2 2" xfId="18444" xr:uid="{00000000-0005-0000-0000-00002F940000}"/>
    <cellStyle name="Bemærk! 2 2 3 2 3 2 2 2 2" xfId="34720" xr:uid="{00000000-0005-0000-0000-000030940000}"/>
    <cellStyle name="Bemærk! 2 2 3 2 3 2 2 2 3" xfId="49679" xr:uid="{00000000-0005-0000-0000-000031940000}"/>
    <cellStyle name="Bemærk! 2 2 3 2 3 2 2 3" xfId="27718" xr:uid="{00000000-0005-0000-0000-000032940000}"/>
    <cellStyle name="Bemærk! 2 2 3 2 3 2 2 4" xfId="42682" xr:uid="{00000000-0005-0000-0000-000033940000}"/>
    <cellStyle name="Bemærk! 2 2 3 2 3 3" xfId="8495" xr:uid="{00000000-0005-0000-0000-000034940000}"/>
    <cellStyle name="Bemærk! 2 2 3 2 3 3 2" xfId="16365" xr:uid="{00000000-0005-0000-0000-000035940000}"/>
    <cellStyle name="Bemærk! 2 2 3 2 3 3 2 2" xfId="32641" xr:uid="{00000000-0005-0000-0000-000036940000}"/>
    <cellStyle name="Bemærk! 2 2 3 2 3 3 2 3" xfId="47600" xr:uid="{00000000-0005-0000-0000-000037940000}"/>
    <cellStyle name="Bemærk! 2 2 3 2 3 3 3" xfId="25639" xr:uid="{00000000-0005-0000-0000-000038940000}"/>
    <cellStyle name="Bemærk! 2 2 3 2 3 3 4" xfId="40603" xr:uid="{00000000-0005-0000-0000-000039940000}"/>
    <cellStyle name="Bemærk! 2 2 3 2 4" xfId="7024" xr:uid="{00000000-0005-0000-0000-00003A940000}"/>
    <cellStyle name="Bemærk! 2 2 3 2 4 2" xfId="9160" xr:uid="{00000000-0005-0000-0000-00003B940000}"/>
    <cellStyle name="Bemærk! 2 2 3 2 4 2 2" xfId="17024" xr:uid="{00000000-0005-0000-0000-00003C940000}"/>
    <cellStyle name="Bemærk! 2 2 3 2 4 2 2 2" xfId="33300" xr:uid="{00000000-0005-0000-0000-00003D940000}"/>
    <cellStyle name="Bemærk! 2 2 3 2 4 2 2 3" xfId="48259" xr:uid="{00000000-0005-0000-0000-00003E940000}"/>
    <cellStyle name="Bemærk! 2 2 3 2 4 2 3" xfId="26298" xr:uid="{00000000-0005-0000-0000-00003F940000}"/>
    <cellStyle name="Bemærk! 2 2 3 2 4 2 4" xfId="41262" xr:uid="{00000000-0005-0000-0000-000040940000}"/>
    <cellStyle name="Bemærk! 2 2 3 3" xfId="7025" xr:uid="{00000000-0005-0000-0000-000041940000}"/>
    <cellStyle name="Bemærk! 2 2 3 3 2" xfId="7026" xr:uid="{00000000-0005-0000-0000-000042940000}"/>
    <cellStyle name="Bemærk! 2 2 3 3 2 2" xfId="7027" xr:uid="{00000000-0005-0000-0000-000043940000}"/>
    <cellStyle name="Bemærk! 2 2 3 3 2 2 2" xfId="10042" xr:uid="{00000000-0005-0000-0000-000044940000}"/>
    <cellStyle name="Bemærk! 2 2 3 3 2 2 2 2" xfId="17897" xr:uid="{00000000-0005-0000-0000-000045940000}"/>
    <cellStyle name="Bemærk! 2 2 3 3 2 2 2 2 2" xfId="34173" xr:uid="{00000000-0005-0000-0000-000046940000}"/>
    <cellStyle name="Bemærk! 2 2 3 3 2 2 2 2 3" xfId="49132" xr:uid="{00000000-0005-0000-0000-000047940000}"/>
    <cellStyle name="Bemærk! 2 2 3 3 2 2 2 3" xfId="27171" xr:uid="{00000000-0005-0000-0000-000048940000}"/>
    <cellStyle name="Bemærk! 2 2 3 3 2 2 2 4" xfId="42135" xr:uid="{00000000-0005-0000-0000-000049940000}"/>
    <cellStyle name="Bemærk! 2 2 3 3 3" xfId="7028" xr:uid="{00000000-0005-0000-0000-00004A940000}"/>
    <cellStyle name="Bemærk! 2 2 3 3 3 2" xfId="7029" xr:uid="{00000000-0005-0000-0000-00004B940000}"/>
    <cellStyle name="Bemærk! 2 2 3 3 3 2 2" xfId="10818" xr:uid="{00000000-0005-0000-0000-00004C940000}"/>
    <cellStyle name="Bemærk! 2 2 3 3 3 2 2 2" xfId="18659" xr:uid="{00000000-0005-0000-0000-00004D940000}"/>
    <cellStyle name="Bemærk! 2 2 3 3 3 2 2 2 2" xfId="34935" xr:uid="{00000000-0005-0000-0000-00004E940000}"/>
    <cellStyle name="Bemærk! 2 2 3 3 3 2 2 2 3" xfId="49894" xr:uid="{00000000-0005-0000-0000-00004F940000}"/>
    <cellStyle name="Bemærk! 2 2 3 3 3 2 2 3" xfId="27933" xr:uid="{00000000-0005-0000-0000-000050940000}"/>
    <cellStyle name="Bemærk! 2 2 3 3 3 2 2 4" xfId="42897" xr:uid="{00000000-0005-0000-0000-000051940000}"/>
    <cellStyle name="Bemærk! 2 2 3 3 3 3" xfId="8592" xr:uid="{00000000-0005-0000-0000-000052940000}"/>
    <cellStyle name="Bemærk! 2 2 3 3 3 3 2" xfId="16459" xr:uid="{00000000-0005-0000-0000-000053940000}"/>
    <cellStyle name="Bemærk! 2 2 3 3 3 3 2 2" xfId="32735" xr:uid="{00000000-0005-0000-0000-000054940000}"/>
    <cellStyle name="Bemærk! 2 2 3 3 3 3 2 3" xfId="47694" xr:uid="{00000000-0005-0000-0000-000055940000}"/>
    <cellStyle name="Bemærk! 2 2 3 3 3 3 3" xfId="25733" xr:uid="{00000000-0005-0000-0000-000056940000}"/>
    <cellStyle name="Bemærk! 2 2 3 3 3 3 4" xfId="40697" xr:uid="{00000000-0005-0000-0000-000057940000}"/>
    <cellStyle name="Bemærk! 2 2 3 3 4" xfId="7030" xr:uid="{00000000-0005-0000-0000-000058940000}"/>
    <cellStyle name="Bemærk! 2 2 3 3 4 2" xfId="9274" xr:uid="{00000000-0005-0000-0000-000059940000}"/>
    <cellStyle name="Bemærk! 2 2 3 3 4 2 2" xfId="17138" xr:uid="{00000000-0005-0000-0000-00005A940000}"/>
    <cellStyle name="Bemærk! 2 2 3 3 4 2 2 2" xfId="33414" xr:uid="{00000000-0005-0000-0000-00005B940000}"/>
    <cellStyle name="Bemærk! 2 2 3 3 4 2 2 3" xfId="48373" xr:uid="{00000000-0005-0000-0000-00005C940000}"/>
    <cellStyle name="Bemærk! 2 2 3 3 4 2 3" xfId="26412" xr:uid="{00000000-0005-0000-0000-00005D940000}"/>
    <cellStyle name="Bemærk! 2 2 3 3 4 2 4" xfId="41376" xr:uid="{00000000-0005-0000-0000-00005E940000}"/>
    <cellStyle name="Bemærk! 2 2 3 4" xfId="7031" xr:uid="{00000000-0005-0000-0000-00005F940000}"/>
    <cellStyle name="Bemærk! 2 2 3 4 2" xfId="7032" xr:uid="{00000000-0005-0000-0000-000060940000}"/>
    <cellStyle name="Bemærk! 2 2 3 4 2 2" xfId="7033" xr:uid="{00000000-0005-0000-0000-000061940000}"/>
    <cellStyle name="Bemærk! 2 2 3 4 2 2 2" xfId="10167" xr:uid="{00000000-0005-0000-0000-000062940000}"/>
    <cellStyle name="Bemærk! 2 2 3 4 2 2 2 2" xfId="18022" xr:uid="{00000000-0005-0000-0000-000063940000}"/>
    <cellStyle name="Bemærk! 2 2 3 4 2 2 2 2 2" xfId="34298" xr:uid="{00000000-0005-0000-0000-000064940000}"/>
    <cellStyle name="Bemærk! 2 2 3 4 2 2 2 2 3" xfId="49257" xr:uid="{00000000-0005-0000-0000-000065940000}"/>
    <cellStyle name="Bemærk! 2 2 3 4 2 2 2 3" xfId="27296" xr:uid="{00000000-0005-0000-0000-000066940000}"/>
    <cellStyle name="Bemærk! 2 2 3 4 2 2 2 4" xfId="42260" xr:uid="{00000000-0005-0000-0000-000067940000}"/>
    <cellStyle name="Bemærk! 2 2 3 4 3" xfId="7034" xr:uid="{00000000-0005-0000-0000-000068940000}"/>
    <cellStyle name="Bemærk! 2 2 3 4 3 2" xfId="7035" xr:uid="{00000000-0005-0000-0000-000069940000}"/>
    <cellStyle name="Bemærk! 2 2 3 4 3 2 2" xfId="10645" xr:uid="{00000000-0005-0000-0000-00006A940000}"/>
    <cellStyle name="Bemærk! 2 2 3 4 3 2 2 2" xfId="18492" xr:uid="{00000000-0005-0000-0000-00006B940000}"/>
    <cellStyle name="Bemærk! 2 2 3 4 3 2 2 2 2" xfId="34768" xr:uid="{00000000-0005-0000-0000-00006C940000}"/>
    <cellStyle name="Bemærk! 2 2 3 4 3 2 2 2 3" xfId="49727" xr:uid="{00000000-0005-0000-0000-00006D940000}"/>
    <cellStyle name="Bemærk! 2 2 3 4 3 2 2 3" xfId="27766" xr:uid="{00000000-0005-0000-0000-00006E940000}"/>
    <cellStyle name="Bemærk! 2 2 3 4 3 2 2 4" xfId="42730" xr:uid="{00000000-0005-0000-0000-00006F940000}"/>
    <cellStyle name="Bemærk! 2 2 3 4 3 3" xfId="8697" xr:uid="{00000000-0005-0000-0000-000070940000}"/>
    <cellStyle name="Bemærk! 2 2 3 4 3 3 2" xfId="16564" xr:uid="{00000000-0005-0000-0000-000071940000}"/>
    <cellStyle name="Bemærk! 2 2 3 4 3 3 2 2" xfId="32840" xr:uid="{00000000-0005-0000-0000-000072940000}"/>
    <cellStyle name="Bemærk! 2 2 3 4 3 3 2 3" xfId="47799" xr:uid="{00000000-0005-0000-0000-000073940000}"/>
    <cellStyle name="Bemærk! 2 2 3 4 3 3 3" xfId="25838" xr:uid="{00000000-0005-0000-0000-000074940000}"/>
    <cellStyle name="Bemærk! 2 2 3 4 3 3 4" xfId="40802" xr:uid="{00000000-0005-0000-0000-000075940000}"/>
    <cellStyle name="Bemærk! 2 2 3 4 4" xfId="7036" xr:uid="{00000000-0005-0000-0000-000076940000}"/>
    <cellStyle name="Bemærk! 2 2 3 4 4 2" xfId="9444" xr:uid="{00000000-0005-0000-0000-000077940000}"/>
    <cellStyle name="Bemærk! 2 2 3 4 4 2 2" xfId="17307" xr:uid="{00000000-0005-0000-0000-000078940000}"/>
    <cellStyle name="Bemærk! 2 2 3 4 4 2 2 2" xfId="33583" xr:uid="{00000000-0005-0000-0000-000079940000}"/>
    <cellStyle name="Bemærk! 2 2 3 4 4 2 2 3" xfId="48542" xr:uid="{00000000-0005-0000-0000-00007A940000}"/>
    <cellStyle name="Bemærk! 2 2 3 4 4 2 3" xfId="26581" xr:uid="{00000000-0005-0000-0000-00007B940000}"/>
    <cellStyle name="Bemærk! 2 2 3 4 4 2 4" xfId="41545" xr:uid="{00000000-0005-0000-0000-00007C940000}"/>
    <cellStyle name="Bemærk! 2 2 3 5" xfId="7037" xr:uid="{00000000-0005-0000-0000-00007D940000}"/>
    <cellStyle name="Bemærk! 2 2 3 5 2" xfId="7038" xr:uid="{00000000-0005-0000-0000-00007E940000}"/>
    <cellStyle name="Bemærk! 2 2 3 5 2 2" xfId="7039" xr:uid="{00000000-0005-0000-0000-00007F940000}"/>
    <cellStyle name="Bemærk! 2 2 3 5 2 2 2" xfId="10284" xr:uid="{00000000-0005-0000-0000-000080940000}"/>
    <cellStyle name="Bemærk! 2 2 3 5 2 2 2 2" xfId="18139" xr:uid="{00000000-0005-0000-0000-000081940000}"/>
    <cellStyle name="Bemærk! 2 2 3 5 2 2 2 2 2" xfId="34415" xr:uid="{00000000-0005-0000-0000-000082940000}"/>
    <cellStyle name="Bemærk! 2 2 3 5 2 2 2 2 3" xfId="49374" xr:uid="{00000000-0005-0000-0000-000083940000}"/>
    <cellStyle name="Bemærk! 2 2 3 5 2 2 2 3" xfId="27413" xr:uid="{00000000-0005-0000-0000-000084940000}"/>
    <cellStyle name="Bemærk! 2 2 3 5 2 2 2 4" xfId="42377" xr:uid="{00000000-0005-0000-0000-000085940000}"/>
    <cellStyle name="Bemærk! 2 2 3 5 3" xfId="7040" xr:uid="{00000000-0005-0000-0000-000086940000}"/>
    <cellStyle name="Bemærk! 2 2 3 5 3 2" xfId="7041" xr:uid="{00000000-0005-0000-0000-000087940000}"/>
    <cellStyle name="Bemærk! 2 2 3 5 3 2 2" xfId="11003" xr:uid="{00000000-0005-0000-0000-000088940000}"/>
    <cellStyle name="Bemærk! 2 2 3 5 3 2 2 2" xfId="18834" xr:uid="{00000000-0005-0000-0000-000089940000}"/>
    <cellStyle name="Bemærk! 2 2 3 5 3 2 2 2 2" xfId="35110" xr:uid="{00000000-0005-0000-0000-00008A940000}"/>
    <cellStyle name="Bemærk! 2 2 3 5 3 2 2 2 3" xfId="50069" xr:uid="{00000000-0005-0000-0000-00008B940000}"/>
    <cellStyle name="Bemærk! 2 2 3 5 3 2 2 3" xfId="28108" xr:uid="{00000000-0005-0000-0000-00008C940000}"/>
    <cellStyle name="Bemærk! 2 2 3 5 3 2 2 4" xfId="43072" xr:uid="{00000000-0005-0000-0000-00008D940000}"/>
    <cellStyle name="Bemærk! 2 2 3 5 3 3" xfId="8796" xr:uid="{00000000-0005-0000-0000-00008E940000}"/>
    <cellStyle name="Bemærk! 2 2 3 5 3 3 2" xfId="16663" xr:uid="{00000000-0005-0000-0000-00008F940000}"/>
    <cellStyle name="Bemærk! 2 2 3 5 3 3 2 2" xfId="32939" xr:uid="{00000000-0005-0000-0000-000090940000}"/>
    <cellStyle name="Bemærk! 2 2 3 5 3 3 2 3" xfId="47898" xr:uid="{00000000-0005-0000-0000-000091940000}"/>
    <cellStyle name="Bemærk! 2 2 3 5 3 3 3" xfId="25937" xr:uid="{00000000-0005-0000-0000-000092940000}"/>
    <cellStyle name="Bemærk! 2 2 3 5 3 3 4" xfId="40901" xr:uid="{00000000-0005-0000-0000-000093940000}"/>
    <cellStyle name="Bemærk! 2 2 3 5 4" xfId="7042" xr:uid="{00000000-0005-0000-0000-000094940000}"/>
    <cellStyle name="Bemærk! 2 2 3 5 4 2" xfId="9561" xr:uid="{00000000-0005-0000-0000-000095940000}"/>
    <cellStyle name="Bemærk! 2 2 3 5 4 2 2" xfId="17424" xr:uid="{00000000-0005-0000-0000-000096940000}"/>
    <cellStyle name="Bemærk! 2 2 3 5 4 2 2 2" xfId="33700" xr:uid="{00000000-0005-0000-0000-000097940000}"/>
    <cellStyle name="Bemærk! 2 2 3 5 4 2 2 3" xfId="48659" xr:uid="{00000000-0005-0000-0000-000098940000}"/>
    <cellStyle name="Bemærk! 2 2 3 5 4 2 3" xfId="26698" xr:uid="{00000000-0005-0000-0000-000099940000}"/>
    <cellStyle name="Bemærk! 2 2 3 5 4 2 4" xfId="41662" xr:uid="{00000000-0005-0000-0000-00009A940000}"/>
    <cellStyle name="Bemærk! 2 2 3 6" xfId="7043" xr:uid="{00000000-0005-0000-0000-00009B940000}"/>
    <cellStyle name="Bemærk! 2 2 3 6 2" xfId="7044" xr:uid="{00000000-0005-0000-0000-00009C940000}"/>
    <cellStyle name="Bemærk! 2 2 3 6 2 2" xfId="7045" xr:uid="{00000000-0005-0000-0000-00009D940000}"/>
    <cellStyle name="Bemærk! 2 2 3 6 2 2 2" xfId="10396" xr:uid="{00000000-0005-0000-0000-00009E940000}"/>
    <cellStyle name="Bemærk! 2 2 3 6 2 2 2 2" xfId="18251" xr:uid="{00000000-0005-0000-0000-00009F940000}"/>
    <cellStyle name="Bemærk! 2 2 3 6 2 2 2 2 2" xfId="34527" xr:uid="{00000000-0005-0000-0000-0000A0940000}"/>
    <cellStyle name="Bemærk! 2 2 3 6 2 2 2 2 3" xfId="49486" xr:uid="{00000000-0005-0000-0000-0000A1940000}"/>
    <cellStyle name="Bemærk! 2 2 3 6 2 2 2 3" xfId="27525" xr:uid="{00000000-0005-0000-0000-0000A2940000}"/>
    <cellStyle name="Bemærk! 2 2 3 6 2 2 2 4" xfId="42489" xr:uid="{00000000-0005-0000-0000-0000A3940000}"/>
    <cellStyle name="Bemærk! 2 2 3 6 3" xfId="7046" xr:uid="{00000000-0005-0000-0000-0000A4940000}"/>
    <cellStyle name="Bemærk! 2 2 3 6 3 2" xfId="7047" xr:uid="{00000000-0005-0000-0000-0000A5940000}"/>
    <cellStyle name="Bemærk! 2 2 3 6 3 2 2" xfId="11007" xr:uid="{00000000-0005-0000-0000-0000A6940000}"/>
    <cellStyle name="Bemærk! 2 2 3 6 3 2 2 2" xfId="18838" xr:uid="{00000000-0005-0000-0000-0000A7940000}"/>
    <cellStyle name="Bemærk! 2 2 3 6 3 2 2 2 2" xfId="35114" xr:uid="{00000000-0005-0000-0000-0000A8940000}"/>
    <cellStyle name="Bemærk! 2 2 3 6 3 2 2 2 3" xfId="50073" xr:uid="{00000000-0005-0000-0000-0000A9940000}"/>
    <cellStyle name="Bemærk! 2 2 3 6 3 2 2 3" xfId="28112" xr:uid="{00000000-0005-0000-0000-0000AA940000}"/>
    <cellStyle name="Bemærk! 2 2 3 6 3 2 2 4" xfId="43076" xr:uid="{00000000-0005-0000-0000-0000AB940000}"/>
    <cellStyle name="Bemærk! 2 2 3 6 3 3" xfId="8890" xr:uid="{00000000-0005-0000-0000-0000AC940000}"/>
    <cellStyle name="Bemærk! 2 2 3 6 3 3 2" xfId="16757" xr:uid="{00000000-0005-0000-0000-0000AD940000}"/>
    <cellStyle name="Bemærk! 2 2 3 6 3 3 2 2" xfId="33033" xr:uid="{00000000-0005-0000-0000-0000AE940000}"/>
    <cellStyle name="Bemærk! 2 2 3 6 3 3 2 3" xfId="47992" xr:uid="{00000000-0005-0000-0000-0000AF940000}"/>
    <cellStyle name="Bemærk! 2 2 3 6 3 3 3" xfId="26031" xr:uid="{00000000-0005-0000-0000-0000B0940000}"/>
    <cellStyle name="Bemærk! 2 2 3 6 3 3 4" xfId="40995" xr:uid="{00000000-0005-0000-0000-0000B1940000}"/>
    <cellStyle name="Bemærk! 2 2 3 6 4" xfId="7048" xr:uid="{00000000-0005-0000-0000-0000B2940000}"/>
    <cellStyle name="Bemærk! 2 2 3 6 4 2" xfId="9674" xr:uid="{00000000-0005-0000-0000-0000B3940000}"/>
    <cellStyle name="Bemærk! 2 2 3 6 4 2 2" xfId="17537" xr:uid="{00000000-0005-0000-0000-0000B4940000}"/>
    <cellStyle name="Bemærk! 2 2 3 6 4 2 2 2" xfId="33813" xr:uid="{00000000-0005-0000-0000-0000B5940000}"/>
    <cellStyle name="Bemærk! 2 2 3 6 4 2 2 3" xfId="48772" xr:uid="{00000000-0005-0000-0000-0000B6940000}"/>
    <cellStyle name="Bemærk! 2 2 3 6 4 2 3" xfId="26811" xr:uid="{00000000-0005-0000-0000-0000B7940000}"/>
    <cellStyle name="Bemærk! 2 2 3 6 4 2 4" xfId="41775" xr:uid="{00000000-0005-0000-0000-0000B8940000}"/>
    <cellStyle name="Bemærk! 2 2 3 7" xfId="7049" xr:uid="{00000000-0005-0000-0000-0000B9940000}"/>
    <cellStyle name="Bemærk! 2 2 3 7 2" xfId="7050" xr:uid="{00000000-0005-0000-0000-0000BA940000}"/>
    <cellStyle name="Bemærk! 2 2 3 7 2 2" xfId="9811" xr:uid="{00000000-0005-0000-0000-0000BB940000}"/>
    <cellStyle name="Bemærk! 2 2 3 7 2 2 2" xfId="17665" xr:uid="{00000000-0005-0000-0000-0000BC940000}"/>
    <cellStyle name="Bemærk! 2 2 3 7 2 2 2 2" xfId="33941" xr:uid="{00000000-0005-0000-0000-0000BD940000}"/>
    <cellStyle name="Bemærk! 2 2 3 7 2 2 2 3" xfId="48900" xr:uid="{00000000-0005-0000-0000-0000BE940000}"/>
    <cellStyle name="Bemærk! 2 2 3 7 2 2 3" xfId="26939" xr:uid="{00000000-0005-0000-0000-0000BF940000}"/>
    <cellStyle name="Bemærk! 2 2 3 7 2 2 4" xfId="41903" xr:uid="{00000000-0005-0000-0000-0000C0940000}"/>
    <cellStyle name="Bemærk! 2 2 3 8" xfId="7051" xr:uid="{00000000-0005-0000-0000-0000C1940000}"/>
    <cellStyle name="Bemærk! 2 2 3 8 2" xfId="7052" xr:uid="{00000000-0005-0000-0000-0000C2940000}"/>
    <cellStyle name="Bemærk! 2 2 3 8 2 2" xfId="10666" xr:uid="{00000000-0005-0000-0000-0000C3940000}"/>
    <cellStyle name="Bemærk! 2 2 3 8 2 2 2" xfId="18512" xr:uid="{00000000-0005-0000-0000-0000C4940000}"/>
    <cellStyle name="Bemærk! 2 2 3 8 2 2 2 2" xfId="34788" xr:uid="{00000000-0005-0000-0000-0000C5940000}"/>
    <cellStyle name="Bemærk! 2 2 3 8 2 2 2 3" xfId="49747" xr:uid="{00000000-0005-0000-0000-0000C6940000}"/>
    <cellStyle name="Bemærk! 2 2 3 8 2 2 3" xfId="27786" xr:uid="{00000000-0005-0000-0000-0000C7940000}"/>
    <cellStyle name="Bemærk! 2 2 3 8 2 2 4" xfId="42750" xr:uid="{00000000-0005-0000-0000-0000C8940000}"/>
    <cellStyle name="Bemærk! 2 2 3 8 3" xfId="8396" xr:uid="{00000000-0005-0000-0000-0000C9940000}"/>
    <cellStyle name="Bemærk! 2 2 3 8 3 2" xfId="16266" xr:uid="{00000000-0005-0000-0000-0000CA940000}"/>
    <cellStyle name="Bemærk! 2 2 3 8 3 2 2" xfId="32542" xr:uid="{00000000-0005-0000-0000-0000CB940000}"/>
    <cellStyle name="Bemærk! 2 2 3 8 3 2 3" xfId="47501" xr:uid="{00000000-0005-0000-0000-0000CC940000}"/>
    <cellStyle name="Bemærk! 2 2 3 8 3 3" xfId="25540" xr:uid="{00000000-0005-0000-0000-0000CD940000}"/>
    <cellStyle name="Bemærk! 2 2 3 8 3 4" xfId="40504" xr:uid="{00000000-0005-0000-0000-0000CE940000}"/>
    <cellStyle name="Bemærk! 2 2 3 9" xfId="7053" xr:uid="{00000000-0005-0000-0000-0000CF940000}"/>
    <cellStyle name="Bemærk! 2 2 3 9 2" xfId="9039" xr:uid="{00000000-0005-0000-0000-0000D0940000}"/>
    <cellStyle name="Bemærk! 2 2 3 9 2 2" xfId="16903" xr:uid="{00000000-0005-0000-0000-0000D1940000}"/>
    <cellStyle name="Bemærk! 2 2 3 9 2 2 2" xfId="33179" xr:uid="{00000000-0005-0000-0000-0000D2940000}"/>
    <cellStyle name="Bemærk! 2 2 3 9 2 2 3" xfId="48138" xr:uid="{00000000-0005-0000-0000-0000D3940000}"/>
    <cellStyle name="Bemærk! 2 2 3 9 2 3" xfId="26177" xr:uid="{00000000-0005-0000-0000-0000D4940000}"/>
    <cellStyle name="Bemærk! 2 2 3 9 2 4" xfId="41141" xr:uid="{00000000-0005-0000-0000-0000D5940000}"/>
    <cellStyle name="Bemærk! 2 2 4" xfId="7054" xr:uid="{00000000-0005-0000-0000-0000D6940000}"/>
    <cellStyle name="Bemærk! 2 2 4 2" xfId="7055" xr:uid="{00000000-0005-0000-0000-0000D7940000}"/>
    <cellStyle name="Bemærk! 2 2 4 2 2" xfId="7056" xr:uid="{00000000-0005-0000-0000-0000D8940000}"/>
    <cellStyle name="Bemærk! 2 2 4 2 2 2" xfId="9851" xr:uid="{00000000-0005-0000-0000-0000D9940000}"/>
    <cellStyle name="Bemærk! 2 2 4 2 2 2 2" xfId="17706" xr:uid="{00000000-0005-0000-0000-0000DA940000}"/>
    <cellStyle name="Bemærk! 2 2 4 2 2 2 2 2" xfId="33982" xr:uid="{00000000-0005-0000-0000-0000DB940000}"/>
    <cellStyle name="Bemærk! 2 2 4 2 2 2 2 3" xfId="48941" xr:uid="{00000000-0005-0000-0000-0000DC940000}"/>
    <cellStyle name="Bemærk! 2 2 4 2 2 2 3" xfId="26980" xr:uid="{00000000-0005-0000-0000-0000DD940000}"/>
    <cellStyle name="Bemærk! 2 2 4 2 2 2 4" xfId="41944" xr:uid="{00000000-0005-0000-0000-0000DE940000}"/>
    <cellStyle name="Bemærk! 2 2 4 3" xfId="7057" xr:uid="{00000000-0005-0000-0000-0000DF940000}"/>
    <cellStyle name="Bemærk! 2 2 4 3 2" xfId="7058" xr:uid="{00000000-0005-0000-0000-0000E0940000}"/>
    <cellStyle name="Bemærk! 2 2 4 3 2 2" xfId="10953" xr:uid="{00000000-0005-0000-0000-0000E1940000}"/>
    <cellStyle name="Bemærk! 2 2 4 3 2 2 2" xfId="18787" xr:uid="{00000000-0005-0000-0000-0000E2940000}"/>
    <cellStyle name="Bemærk! 2 2 4 3 2 2 2 2" xfId="35063" xr:uid="{00000000-0005-0000-0000-0000E3940000}"/>
    <cellStyle name="Bemærk! 2 2 4 3 2 2 2 3" xfId="50022" xr:uid="{00000000-0005-0000-0000-0000E4940000}"/>
    <cellStyle name="Bemærk! 2 2 4 3 2 2 3" xfId="28061" xr:uid="{00000000-0005-0000-0000-0000E5940000}"/>
    <cellStyle name="Bemærk! 2 2 4 3 2 2 4" xfId="43025" xr:uid="{00000000-0005-0000-0000-0000E6940000}"/>
    <cellStyle name="Bemærk! 2 2 4 3 3" xfId="8429" xr:uid="{00000000-0005-0000-0000-0000E7940000}"/>
    <cellStyle name="Bemærk! 2 2 4 3 3 2" xfId="16299" xr:uid="{00000000-0005-0000-0000-0000E8940000}"/>
    <cellStyle name="Bemærk! 2 2 4 3 3 2 2" xfId="32575" xr:uid="{00000000-0005-0000-0000-0000E9940000}"/>
    <cellStyle name="Bemærk! 2 2 4 3 3 2 3" xfId="47534" xr:uid="{00000000-0005-0000-0000-0000EA940000}"/>
    <cellStyle name="Bemærk! 2 2 4 3 3 3" xfId="25573" xr:uid="{00000000-0005-0000-0000-0000EB940000}"/>
    <cellStyle name="Bemærk! 2 2 4 3 3 4" xfId="40537" xr:uid="{00000000-0005-0000-0000-0000EC940000}"/>
    <cellStyle name="Bemærk! 2 2 4 4" xfId="7059" xr:uid="{00000000-0005-0000-0000-0000ED940000}"/>
    <cellStyle name="Bemærk! 2 2 4 4 2" xfId="9082" xr:uid="{00000000-0005-0000-0000-0000EE940000}"/>
    <cellStyle name="Bemærk! 2 2 4 4 2 2" xfId="16946" xr:uid="{00000000-0005-0000-0000-0000EF940000}"/>
    <cellStyle name="Bemærk! 2 2 4 4 2 2 2" xfId="33222" xr:uid="{00000000-0005-0000-0000-0000F0940000}"/>
    <cellStyle name="Bemærk! 2 2 4 4 2 2 3" xfId="48181" xr:uid="{00000000-0005-0000-0000-0000F1940000}"/>
    <cellStyle name="Bemærk! 2 2 4 4 2 3" xfId="26220" xr:uid="{00000000-0005-0000-0000-0000F2940000}"/>
    <cellStyle name="Bemærk! 2 2 4 4 2 4" xfId="41184" xr:uid="{00000000-0005-0000-0000-0000F3940000}"/>
    <cellStyle name="Bemærk! 2 2 5" xfId="7060" xr:uid="{00000000-0005-0000-0000-0000F4940000}"/>
    <cellStyle name="Bemærk! 2 2 5 2" xfId="7061" xr:uid="{00000000-0005-0000-0000-0000F5940000}"/>
    <cellStyle name="Bemærk! 2 2 5 2 2" xfId="7062" xr:uid="{00000000-0005-0000-0000-0000F6940000}"/>
    <cellStyle name="Bemærk! 2 2 5 2 2 2" xfId="10040" xr:uid="{00000000-0005-0000-0000-0000F7940000}"/>
    <cellStyle name="Bemærk! 2 2 5 2 2 2 2" xfId="17895" xr:uid="{00000000-0005-0000-0000-0000F8940000}"/>
    <cellStyle name="Bemærk! 2 2 5 2 2 2 2 2" xfId="34171" xr:uid="{00000000-0005-0000-0000-0000F9940000}"/>
    <cellStyle name="Bemærk! 2 2 5 2 2 2 2 3" xfId="49130" xr:uid="{00000000-0005-0000-0000-0000FA940000}"/>
    <cellStyle name="Bemærk! 2 2 5 2 2 2 3" xfId="27169" xr:uid="{00000000-0005-0000-0000-0000FB940000}"/>
    <cellStyle name="Bemærk! 2 2 5 2 2 2 4" xfId="42133" xr:uid="{00000000-0005-0000-0000-0000FC940000}"/>
    <cellStyle name="Bemærk! 2 2 5 3" xfId="7063" xr:uid="{00000000-0005-0000-0000-0000FD940000}"/>
    <cellStyle name="Bemærk! 2 2 5 3 2" xfId="7064" xr:uid="{00000000-0005-0000-0000-0000FE940000}"/>
    <cellStyle name="Bemærk! 2 2 5 3 2 2" xfId="10880" xr:uid="{00000000-0005-0000-0000-0000FF940000}"/>
    <cellStyle name="Bemærk! 2 2 5 3 2 2 2" xfId="18717" xr:uid="{00000000-0005-0000-0000-000000950000}"/>
    <cellStyle name="Bemærk! 2 2 5 3 2 2 2 2" xfId="34993" xr:uid="{00000000-0005-0000-0000-000001950000}"/>
    <cellStyle name="Bemærk! 2 2 5 3 2 2 2 3" xfId="49952" xr:uid="{00000000-0005-0000-0000-000002950000}"/>
    <cellStyle name="Bemærk! 2 2 5 3 2 2 3" xfId="27991" xr:uid="{00000000-0005-0000-0000-000003950000}"/>
    <cellStyle name="Bemærk! 2 2 5 3 2 2 4" xfId="42955" xr:uid="{00000000-0005-0000-0000-000004950000}"/>
    <cellStyle name="Bemærk! 2 2 5 3 3" xfId="8590" xr:uid="{00000000-0005-0000-0000-000005950000}"/>
    <cellStyle name="Bemærk! 2 2 5 3 3 2" xfId="16457" xr:uid="{00000000-0005-0000-0000-000006950000}"/>
    <cellStyle name="Bemærk! 2 2 5 3 3 2 2" xfId="32733" xr:uid="{00000000-0005-0000-0000-000007950000}"/>
    <cellStyle name="Bemærk! 2 2 5 3 3 2 3" xfId="47692" xr:uid="{00000000-0005-0000-0000-000008950000}"/>
    <cellStyle name="Bemærk! 2 2 5 3 3 3" xfId="25731" xr:uid="{00000000-0005-0000-0000-000009950000}"/>
    <cellStyle name="Bemærk! 2 2 5 3 3 4" xfId="40695" xr:uid="{00000000-0005-0000-0000-00000A950000}"/>
    <cellStyle name="Bemærk! 2 2 5 4" xfId="7065" xr:uid="{00000000-0005-0000-0000-00000B950000}"/>
    <cellStyle name="Bemærk! 2 2 5 4 2" xfId="9272" xr:uid="{00000000-0005-0000-0000-00000C950000}"/>
    <cellStyle name="Bemærk! 2 2 5 4 2 2" xfId="17136" xr:uid="{00000000-0005-0000-0000-00000D950000}"/>
    <cellStyle name="Bemærk! 2 2 5 4 2 2 2" xfId="33412" xr:uid="{00000000-0005-0000-0000-00000E950000}"/>
    <cellStyle name="Bemærk! 2 2 5 4 2 2 3" xfId="48371" xr:uid="{00000000-0005-0000-0000-00000F950000}"/>
    <cellStyle name="Bemærk! 2 2 5 4 2 3" xfId="26410" xr:uid="{00000000-0005-0000-0000-000010950000}"/>
    <cellStyle name="Bemærk! 2 2 5 4 2 4" xfId="41374" xr:uid="{00000000-0005-0000-0000-000011950000}"/>
    <cellStyle name="Bemærk! 2 2 6" xfId="7066" xr:uid="{00000000-0005-0000-0000-000012950000}"/>
    <cellStyle name="Bemærk! 2 2 6 2" xfId="7067" xr:uid="{00000000-0005-0000-0000-000013950000}"/>
    <cellStyle name="Bemærk! 2 2 6 2 2" xfId="7068" xr:uid="{00000000-0005-0000-0000-000014950000}"/>
    <cellStyle name="Bemærk! 2 2 6 2 2 2" xfId="10089" xr:uid="{00000000-0005-0000-0000-000015950000}"/>
    <cellStyle name="Bemærk! 2 2 6 2 2 2 2" xfId="17944" xr:uid="{00000000-0005-0000-0000-000016950000}"/>
    <cellStyle name="Bemærk! 2 2 6 2 2 2 2 2" xfId="34220" xr:uid="{00000000-0005-0000-0000-000017950000}"/>
    <cellStyle name="Bemærk! 2 2 6 2 2 2 2 3" xfId="49179" xr:uid="{00000000-0005-0000-0000-000018950000}"/>
    <cellStyle name="Bemærk! 2 2 6 2 2 2 3" xfId="27218" xr:uid="{00000000-0005-0000-0000-000019950000}"/>
    <cellStyle name="Bemærk! 2 2 6 2 2 2 4" xfId="42182" xr:uid="{00000000-0005-0000-0000-00001A950000}"/>
    <cellStyle name="Bemærk! 2 2 6 3" xfId="7069" xr:uid="{00000000-0005-0000-0000-00001B950000}"/>
    <cellStyle name="Bemærk! 2 2 6 3 2" xfId="7070" xr:uid="{00000000-0005-0000-0000-00001C950000}"/>
    <cellStyle name="Bemærk! 2 2 6 3 2 2" xfId="9282" xr:uid="{00000000-0005-0000-0000-00001D950000}"/>
    <cellStyle name="Bemærk! 2 2 6 3 2 2 2" xfId="17146" xr:uid="{00000000-0005-0000-0000-00001E950000}"/>
    <cellStyle name="Bemærk! 2 2 6 3 2 2 2 2" xfId="33422" xr:uid="{00000000-0005-0000-0000-00001F950000}"/>
    <cellStyle name="Bemærk! 2 2 6 3 2 2 2 3" xfId="48381" xr:uid="{00000000-0005-0000-0000-000020950000}"/>
    <cellStyle name="Bemærk! 2 2 6 3 2 2 3" xfId="26420" xr:uid="{00000000-0005-0000-0000-000021950000}"/>
    <cellStyle name="Bemærk! 2 2 6 3 2 2 4" xfId="41384" xr:uid="{00000000-0005-0000-0000-000022950000}"/>
    <cellStyle name="Bemærk! 2 2 6 3 3" xfId="8631" xr:uid="{00000000-0005-0000-0000-000023950000}"/>
    <cellStyle name="Bemærk! 2 2 6 3 3 2" xfId="16498" xr:uid="{00000000-0005-0000-0000-000024950000}"/>
    <cellStyle name="Bemærk! 2 2 6 3 3 2 2" xfId="32774" xr:uid="{00000000-0005-0000-0000-000025950000}"/>
    <cellStyle name="Bemærk! 2 2 6 3 3 2 3" xfId="47733" xr:uid="{00000000-0005-0000-0000-000026950000}"/>
    <cellStyle name="Bemærk! 2 2 6 3 3 3" xfId="25772" xr:uid="{00000000-0005-0000-0000-000027950000}"/>
    <cellStyle name="Bemærk! 2 2 6 3 3 4" xfId="40736" xr:uid="{00000000-0005-0000-0000-000028950000}"/>
    <cellStyle name="Bemærk! 2 2 6 4" xfId="7071" xr:uid="{00000000-0005-0000-0000-000029950000}"/>
    <cellStyle name="Bemærk! 2 2 6 4 2" xfId="9366" xr:uid="{00000000-0005-0000-0000-00002A950000}"/>
    <cellStyle name="Bemærk! 2 2 6 4 2 2" xfId="17229" xr:uid="{00000000-0005-0000-0000-00002B950000}"/>
    <cellStyle name="Bemærk! 2 2 6 4 2 2 2" xfId="33505" xr:uid="{00000000-0005-0000-0000-00002C950000}"/>
    <cellStyle name="Bemærk! 2 2 6 4 2 2 3" xfId="48464" xr:uid="{00000000-0005-0000-0000-00002D950000}"/>
    <cellStyle name="Bemærk! 2 2 6 4 2 3" xfId="26503" xr:uid="{00000000-0005-0000-0000-00002E950000}"/>
    <cellStyle name="Bemærk! 2 2 6 4 2 4" xfId="41467" xr:uid="{00000000-0005-0000-0000-00002F950000}"/>
    <cellStyle name="Bemærk! 2 2 7" xfId="7072" xr:uid="{00000000-0005-0000-0000-000030950000}"/>
    <cellStyle name="Bemærk! 2 2 7 2" xfId="7073" xr:uid="{00000000-0005-0000-0000-000031950000}"/>
    <cellStyle name="Bemærk! 2 2 7 2 2" xfId="7074" xr:uid="{00000000-0005-0000-0000-000032950000}"/>
    <cellStyle name="Bemærk! 2 2 7 2 2 2" xfId="10206" xr:uid="{00000000-0005-0000-0000-000033950000}"/>
    <cellStyle name="Bemærk! 2 2 7 2 2 2 2" xfId="18061" xr:uid="{00000000-0005-0000-0000-000034950000}"/>
    <cellStyle name="Bemærk! 2 2 7 2 2 2 2 2" xfId="34337" xr:uid="{00000000-0005-0000-0000-000035950000}"/>
    <cellStyle name="Bemærk! 2 2 7 2 2 2 2 3" xfId="49296" xr:uid="{00000000-0005-0000-0000-000036950000}"/>
    <cellStyle name="Bemærk! 2 2 7 2 2 2 3" xfId="27335" xr:uid="{00000000-0005-0000-0000-000037950000}"/>
    <cellStyle name="Bemærk! 2 2 7 2 2 2 4" xfId="42299" xr:uid="{00000000-0005-0000-0000-000038950000}"/>
    <cellStyle name="Bemærk! 2 2 7 3" xfId="7075" xr:uid="{00000000-0005-0000-0000-000039950000}"/>
    <cellStyle name="Bemærk! 2 2 7 3 2" xfId="7076" xr:uid="{00000000-0005-0000-0000-00003A950000}"/>
    <cellStyle name="Bemærk! 2 2 7 3 2 2" xfId="10673" xr:uid="{00000000-0005-0000-0000-00003B950000}"/>
    <cellStyle name="Bemærk! 2 2 7 3 2 2 2" xfId="18519" xr:uid="{00000000-0005-0000-0000-00003C950000}"/>
    <cellStyle name="Bemærk! 2 2 7 3 2 2 2 2" xfId="34795" xr:uid="{00000000-0005-0000-0000-00003D950000}"/>
    <cellStyle name="Bemærk! 2 2 7 3 2 2 2 3" xfId="49754" xr:uid="{00000000-0005-0000-0000-00003E950000}"/>
    <cellStyle name="Bemærk! 2 2 7 3 2 2 3" xfId="27793" xr:uid="{00000000-0005-0000-0000-00003F950000}"/>
    <cellStyle name="Bemærk! 2 2 7 3 2 2 4" xfId="42757" xr:uid="{00000000-0005-0000-0000-000040950000}"/>
    <cellStyle name="Bemærk! 2 2 7 3 3" xfId="8730" xr:uid="{00000000-0005-0000-0000-000041950000}"/>
    <cellStyle name="Bemærk! 2 2 7 3 3 2" xfId="16597" xr:uid="{00000000-0005-0000-0000-000042950000}"/>
    <cellStyle name="Bemærk! 2 2 7 3 3 2 2" xfId="32873" xr:uid="{00000000-0005-0000-0000-000043950000}"/>
    <cellStyle name="Bemærk! 2 2 7 3 3 2 3" xfId="47832" xr:uid="{00000000-0005-0000-0000-000044950000}"/>
    <cellStyle name="Bemærk! 2 2 7 3 3 3" xfId="25871" xr:uid="{00000000-0005-0000-0000-000045950000}"/>
    <cellStyle name="Bemærk! 2 2 7 3 3 4" xfId="40835" xr:uid="{00000000-0005-0000-0000-000046950000}"/>
    <cellStyle name="Bemærk! 2 2 7 4" xfId="7077" xr:uid="{00000000-0005-0000-0000-000047950000}"/>
    <cellStyle name="Bemærk! 2 2 7 4 2" xfId="9483" xr:uid="{00000000-0005-0000-0000-000048950000}"/>
    <cellStyle name="Bemærk! 2 2 7 4 2 2" xfId="17346" xr:uid="{00000000-0005-0000-0000-000049950000}"/>
    <cellStyle name="Bemærk! 2 2 7 4 2 2 2" xfId="33622" xr:uid="{00000000-0005-0000-0000-00004A950000}"/>
    <cellStyle name="Bemærk! 2 2 7 4 2 2 3" xfId="48581" xr:uid="{00000000-0005-0000-0000-00004B950000}"/>
    <cellStyle name="Bemærk! 2 2 7 4 2 3" xfId="26620" xr:uid="{00000000-0005-0000-0000-00004C950000}"/>
    <cellStyle name="Bemærk! 2 2 7 4 2 4" xfId="41584" xr:uid="{00000000-0005-0000-0000-00004D950000}"/>
    <cellStyle name="Bemærk! 2 2 8" xfId="7078" xr:uid="{00000000-0005-0000-0000-00004E950000}"/>
    <cellStyle name="Bemærk! 2 2 8 2" xfId="7079" xr:uid="{00000000-0005-0000-0000-00004F950000}"/>
    <cellStyle name="Bemærk! 2 2 8 2 2" xfId="7080" xr:uid="{00000000-0005-0000-0000-000050950000}"/>
    <cellStyle name="Bemærk! 2 2 8 2 2 2" xfId="10394" xr:uid="{00000000-0005-0000-0000-000051950000}"/>
    <cellStyle name="Bemærk! 2 2 8 2 2 2 2" xfId="18249" xr:uid="{00000000-0005-0000-0000-000052950000}"/>
    <cellStyle name="Bemærk! 2 2 8 2 2 2 2 2" xfId="34525" xr:uid="{00000000-0005-0000-0000-000053950000}"/>
    <cellStyle name="Bemærk! 2 2 8 2 2 2 2 3" xfId="49484" xr:uid="{00000000-0005-0000-0000-000054950000}"/>
    <cellStyle name="Bemærk! 2 2 8 2 2 2 3" xfId="27523" xr:uid="{00000000-0005-0000-0000-000055950000}"/>
    <cellStyle name="Bemærk! 2 2 8 2 2 2 4" xfId="42487" xr:uid="{00000000-0005-0000-0000-000056950000}"/>
    <cellStyle name="Bemærk! 2 2 8 3" xfId="7081" xr:uid="{00000000-0005-0000-0000-000057950000}"/>
    <cellStyle name="Bemærk! 2 2 8 3 2" xfId="7082" xr:uid="{00000000-0005-0000-0000-000058950000}"/>
    <cellStyle name="Bemærk! 2 2 8 3 2 2" xfId="11005" xr:uid="{00000000-0005-0000-0000-000059950000}"/>
    <cellStyle name="Bemærk! 2 2 8 3 2 2 2" xfId="18836" xr:uid="{00000000-0005-0000-0000-00005A950000}"/>
    <cellStyle name="Bemærk! 2 2 8 3 2 2 2 2" xfId="35112" xr:uid="{00000000-0005-0000-0000-00005B950000}"/>
    <cellStyle name="Bemærk! 2 2 8 3 2 2 2 3" xfId="50071" xr:uid="{00000000-0005-0000-0000-00005C950000}"/>
    <cellStyle name="Bemærk! 2 2 8 3 2 2 3" xfId="28110" xr:uid="{00000000-0005-0000-0000-00005D950000}"/>
    <cellStyle name="Bemærk! 2 2 8 3 2 2 4" xfId="43074" xr:uid="{00000000-0005-0000-0000-00005E950000}"/>
    <cellStyle name="Bemærk! 2 2 8 3 3" xfId="8888" xr:uid="{00000000-0005-0000-0000-00005F950000}"/>
    <cellStyle name="Bemærk! 2 2 8 3 3 2" xfId="16755" xr:uid="{00000000-0005-0000-0000-000060950000}"/>
    <cellStyle name="Bemærk! 2 2 8 3 3 2 2" xfId="33031" xr:uid="{00000000-0005-0000-0000-000061950000}"/>
    <cellStyle name="Bemærk! 2 2 8 3 3 2 3" xfId="47990" xr:uid="{00000000-0005-0000-0000-000062950000}"/>
    <cellStyle name="Bemærk! 2 2 8 3 3 3" xfId="26029" xr:uid="{00000000-0005-0000-0000-000063950000}"/>
    <cellStyle name="Bemærk! 2 2 8 3 3 4" xfId="40993" xr:uid="{00000000-0005-0000-0000-000064950000}"/>
    <cellStyle name="Bemærk! 2 2 8 4" xfId="7083" xr:uid="{00000000-0005-0000-0000-000065950000}"/>
    <cellStyle name="Bemærk! 2 2 8 4 2" xfId="9672" xr:uid="{00000000-0005-0000-0000-000066950000}"/>
    <cellStyle name="Bemærk! 2 2 8 4 2 2" xfId="17535" xr:uid="{00000000-0005-0000-0000-000067950000}"/>
    <cellStyle name="Bemærk! 2 2 8 4 2 2 2" xfId="33811" xr:uid="{00000000-0005-0000-0000-000068950000}"/>
    <cellStyle name="Bemærk! 2 2 8 4 2 2 3" xfId="48770" xr:uid="{00000000-0005-0000-0000-000069950000}"/>
    <cellStyle name="Bemærk! 2 2 8 4 2 3" xfId="26809" xr:uid="{00000000-0005-0000-0000-00006A950000}"/>
    <cellStyle name="Bemærk! 2 2 8 4 2 4" xfId="41773" xr:uid="{00000000-0005-0000-0000-00006B950000}"/>
    <cellStyle name="Bemærk! 2 2 9" xfId="7084" xr:uid="{00000000-0005-0000-0000-00006C950000}"/>
    <cellStyle name="Bemærk! 2 2 9 2" xfId="7085" xr:uid="{00000000-0005-0000-0000-00006D950000}"/>
    <cellStyle name="Bemærk! 2 2 9 2 2" xfId="9733" xr:uid="{00000000-0005-0000-0000-00006E950000}"/>
    <cellStyle name="Bemærk! 2 2 9 2 2 2" xfId="17587" xr:uid="{00000000-0005-0000-0000-00006F950000}"/>
    <cellStyle name="Bemærk! 2 2 9 2 2 2 2" xfId="33863" xr:uid="{00000000-0005-0000-0000-000070950000}"/>
    <cellStyle name="Bemærk! 2 2 9 2 2 2 3" xfId="48822" xr:uid="{00000000-0005-0000-0000-000071950000}"/>
    <cellStyle name="Bemærk! 2 2 9 2 2 3" xfId="26861" xr:uid="{00000000-0005-0000-0000-000072950000}"/>
    <cellStyle name="Bemærk! 2 2 9 2 2 4" xfId="41825" xr:uid="{00000000-0005-0000-0000-000073950000}"/>
    <cellStyle name="Bemærk! 2 3" xfId="7086" xr:uid="{00000000-0005-0000-0000-000074950000}"/>
    <cellStyle name="Bemærk! 2 3 2" xfId="7087" xr:uid="{00000000-0005-0000-0000-000075950000}"/>
    <cellStyle name="Bemærk! 2 3 2 2" xfId="7088" xr:uid="{00000000-0005-0000-0000-000076950000}"/>
    <cellStyle name="Bemærk! 2 3 2 2 2" xfId="7089" xr:uid="{00000000-0005-0000-0000-000077950000}"/>
    <cellStyle name="Bemærk! 2 3 2 2 2 2" xfId="9864" xr:uid="{00000000-0005-0000-0000-000078950000}"/>
    <cellStyle name="Bemærk! 2 3 2 2 2 2 2" xfId="17719" xr:uid="{00000000-0005-0000-0000-000079950000}"/>
    <cellStyle name="Bemærk! 2 3 2 2 2 2 2 2" xfId="33995" xr:uid="{00000000-0005-0000-0000-00007A950000}"/>
    <cellStyle name="Bemærk! 2 3 2 2 2 2 2 3" xfId="48954" xr:uid="{00000000-0005-0000-0000-00007B950000}"/>
    <cellStyle name="Bemærk! 2 3 2 2 2 2 3" xfId="26993" xr:uid="{00000000-0005-0000-0000-00007C950000}"/>
    <cellStyle name="Bemærk! 2 3 2 2 2 2 4" xfId="41957" xr:uid="{00000000-0005-0000-0000-00007D950000}"/>
    <cellStyle name="Bemærk! 2 3 2 3" xfId="7090" xr:uid="{00000000-0005-0000-0000-00007E950000}"/>
    <cellStyle name="Bemærk! 2 3 2 3 2" xfId="7091" xr:uid="{00000000-0005-0000-0000-00007F950000}"/>
    <cellStyle name="Bemærk! 2 3 2 3 2 2" xfId="10757" xr:uid="{00000000-0005-0000-0000-000080950000}"/>
    <cellStyle name="Bemærk! 2 3 2 3 2 2 2" xfId="18600" xr:uid="{00000000-0005-0000-0000-000081950000}"/>
    <cellStyle name="Bemærk! 2 3 2 3 2 2 2 2" xfId="34876" xr:uid="{00000000-0005-0000-0000-000082950000}"/>
    <cellStyle name="Bemærk! 2 3 2 3 2 2 2 3" xfId="49835" xr:uid="{00000000-0005-0000-0000-000083950000}"/>
    <cellStyle name="Bemærk! 2 3 2 3 2 2 3" xfId="27874" xr:uid="{00000000-0005-0000-0000-000084950000}"/>
    <cellStyle name="Bemærk! 2 3 2 3 2 2 4" xfId="42838" xr:uid="{00000000-0005-0000-0000-000085950000}"/>
    <cellStyle name="Bemærk! 2 3 2 3 3" xfId="8440" xr:uid="{00000000-0005-0000-0000-000086950000}"/>
    <cellStyle name="Bemærk! 2 3 2 3 3 2" xfId="16310" xr:uid="{00000000-0005-0000-0000-000087950000}"/>
    <cellStyle name="Bemærk! 2 3 2 3 3 2 2" xfId="32586" xr:uid="{00000000-0005-0000-0000-000088950000}"/>
    <cellStyle name="Bemærk! 2 3 2 3 3 2 3" xfId="47545" xr:uid="{00000000-0005-0000-0000-000089950000}"/>
    <cellStyle name="Bemærk! 2 3 2 3 3 3" xfId="25584" xr:uid="{00000000-0005-0000-0000-00008A950000}"/>
    <cellStyle name="Bemærk! 2 3 2 3 3 4" xfId="40548" xr:uid="{00000000-0005-0000-0000-00008B950000}"/>
    <cellStyle name="Bemærk! 2 3 2 4" xfId="7092" xr:uid="{00000000-0005-0000-0000-00008C950000}"/>
    <cellStyle name="Bemærk! 2 3 2 4 2" xfId="9095" xr:uid="{00000000-0005-0000-0000-00008D950000}"/>
    <cellStyle name="Bemærk! 2 3 2 4 2 2" xfId="16959" xr:uid="{00000000-0005-0000-0000-00008E950000}"/>
    <cellStyle name="Bemærk! 2 3 2 4 2 2 2" xfId="33235" xr:uid="{00000000-0005-0000-0000-00008F950000}"/>
    <cellStyle name="Bemærk! 2 3 2 4 2 2 3" xfId="48194" xr:uid="{00000000-0005-0000-0000-000090950000}"/>
    <cellStyle name="Bemærk! 2 3 2 4 2 3" xfId="26233" xr:uid="{00000000-0005-0000-0000-000091950000}"/>
    <cellStyle name="Bemærk! 2 3 2 4 2 4" xfId="41197" xr:uid="{00000000-0005-0000-0000-000092950000}"/>
    <cellStyle name="Bemærk! 2 3 3" xfId="7093" xr:uid="{00000000-0005-0000-0000-000093950000}"/>
    <cellStyle name="Bemærk! 2 3 3 2" xfId="7094" xr:uid="{00000000-0005-0000-0000-000094950000}"/>
    <cellStyle name="Bemærk! 2 3 3 2 2" xfId="7095" xr:uid="{00000000-0005-0000-0000-000095950000}"/>
    <cellStyle name="Bemærk! 2 3 3 2 2 2" xfId="10043" xr:uid="{00000000-0005-0000-0000-000096950000}"/>
    <cellStyle name="Bemærk! 2 3 3 2 2 2 2" xfId="17898" xr:uid="{00000000-0005-0000-0000-000097950000}"/>
    <cellStyle name="Bemærk! 2 3 3 2 2 2 2 2" xfId="34174" xr:uid="{00000000-0005-0000-0000-000098950000}"/>
    <cellStyle name="Bemærk! 2 3 3 2 2 2 2 3" xfId="49133" xr:uid="{00000000-0005-0000-0000-000099950000}"/>
    <cellStyle name="Bemærk! 2 3 3 2 2 2 3" xfId="27172" xr:uid="{00000000-0005-0000-0000-00009A950000}"/>
    <cellStyle name="Bemærk! 2 3 3 2 2 2 4" xfId="42136" xr:uid="{00000000-0005-0000-0000-00009B950000}"/>
    <cellStyle name="Bemærk! 2 3 3 3" xfId="7096" xr:uid="{00000000-0005-0000-0000-00009C950000}"/>
    <cellStyle name="Bemærk! 2 3 3 3 2" xfId="7097" xr:uid="{00000000-0005-0000-0000-00009D950000}"/>
    <cellStyle name="Bemærk! 2 3 3 3 2 2" xfId="10470" xr:uid="{00000000-0005-0000-0000-00009E950000}"/>
    <cellStyle name="Bemærk! 2 3 3 3 2 2 2" xfId="18321" xr:uid="{00000000-0005-0000-0000-00009F950000}"/>
    <cellStyle name="Bemærk! 2 3 3 3 2 2 2 2" xfId="34597" xr:uid="{00000000-0005-0000-0000-0000A0950000}"/>
    <cellStyle name="Bemærk! 2 3 3 3 2 2 2 3" xfId="49556" xr:uid="{00000000-0005-0000-0000-0000A1950000}"/>
    <cellStyle name="Bemærk! 2 3 3 3 2 2 3" xfId="27595" xr:uid="{00000000-0005-0000-0000-0000A2950000}"/>
    <cellStyle name="Bemærk! 2 3 3 3 2 2 4" xfId="42559" xr:uid="{00000000-0005-0000-0000-0000A3950000}"/>
    <cellStyle name="Bemærk! 2 3 3 3 3" xfId="8593" xr:uid="{00000000-0005-0000-0000-0000A4950000}"/>
    <cellStyle name="Bemærk! 2 3 3 3 3 2" xfId="16460" xr:uid="{00000000-0005-0000-0000-0000A5950000}"/>
    <cellStyle name="Bemærk! 2 3 3 3 3 2 2" xfId="32736" xr:uid="{00000000-0005-0000-0000-0000A6950000}"/>
    <cellStyle name="Bemærk! 2 3 3 3 3 2 3" xfId="47695" xr:uid="{00000000-0005-0000-0000-0000A7950000}"/>
    <cellStyle name="Bemærk! 2 3 3 3 3 3" xfId="25734" xr:uid="{00000000-0005-0000-0000-0000A8950000}"/>
    <cellStyle name="Bemærk! 2 3 3 3 3 4" xfId="40698" xr:uid="{00000000-0005-0000-0000-0000A9950000}"/>
    <cellStyle name="Bemærk! 2 3 3 4" xfId="7098" xr:uid="{00000000-0005-0000-0000-0000AA950000}"/>
    <cellStyle name="Bemærk! 2 3 3 4 2" xfId="9275" xr:uid="{00000000-0005-0000-0000-0000AB950000}"/>
    <cellStyle name="Bemærk! 2 3 3 4 2 2" xfId="17139" xr:uid="{00000000-0005-0000-0000-0000AC950000}"/>
    <cellStyle name="Bemærk! 2 3 3 4 2 2 2" xfId="33415" xr:uid="{00000000-0005-0000-0000-0000AD950000}"/>
    <cellStyle name="Bemærk! 2 3 3 4 2 2 3" xfId="48374" xr:uid="{00000000-0005-0000-0000-0000AE950000}"/>
    <cellStyle name="Bemærk! 2 3 3 4 2 3" xfId="26413" xr:uid="{00000000-0005-0000-0000-0000AF950000}"/>
    <cellStyle name="Bemærk! 2 3 3 4 2 4" xfId="41377" xr:uid="{00000000-0005-0000-0000-0000B0950000}"/>
    <cellStyle name="Bemærk! 2 3 4" xfId="7099" xr:uid="{00000000-0005-0000-0000-0000B1950000}"/>
    <cellStyle name="Bemærk! 2 3 4 2" xfId="7100" xr:uid="{00000000-0005-0000-0000-0000B2950000}"/>
    <cellStyle name="Bemærk! 2 3 4 2 2" xfId="7101" xr:uid="{00000000-0005-0000-0000-0000B3950000}"/>
    <cellStyle name="Bemærk! 2 3 4 2 2 2" xfId="10102" xr:uid="{00000000-0005-0000-0000-0000B4950000}"/>
    <cellStyle name="Bemærk! 2 3 4 2 2 2 2" xfId="17957" xr:uid="{00000000-0005-0000-0000-0000B5950000}"/>
    <cellStyle name="Bemærk! 2 3 4 2 2 2 2 2" xfId="34233" xr:uid="{00000000-0005-0000-0000-0000B6950000}"/>
    <cellStyle name="Bemærk! 2 3 4 2 2 2 2 3" xfId="49192" xr:uid="{00000000-0005-0000-0000-0000B7950000}"/>
    <cellStyle name="Bemærk! 2 3 4 2 2 2 3" xfId="27231" xr:uid="{00000000-0005-0000-0000-0000B8950000}"/>
    <cellStyle name="Bemærk! 2 3 4 2 2 2 4" xfId="42195" xr:uid="{00000000-0005-0000-0000-0000B9950000}"/>
    <cellStyle name="Bemærk! 2 3 4 3" xfId="7102" xr:uid="{00000000-0005-0000-0000-0000BA950000}"/>
    <cellStyle name="Bemærk! 2 3 4 3 2" xfId="7103" xr:uid="{00000000-0005-0000-0000-0000BB950000}"/>
    <cellStyle name="Bemærk! 2 3 4 3 2 2" xfId="10785" xr:uid="{00000000-0005-0000-0000-0000BC950000}"/>
    <cellStyle name="Bemærk! 2 3 4 3 2 2 2" xfId="18627" xr:uid="{00000000-0005-0000-0000-0000BD950000}"/>
    <cellStyle name="Bemærk! 2 3 4 3 2 2 2 2" xfId="34903" xr:uid="{00000000-0005-0000-0000-0000BE950000}"/>
    <cellStyle name="Bemærk! 2 3 4 3 2 2 2 3" xfId="49862" xr:uid="{00000000-0005-0000-0000-0000BF950000}"/>
    <cellStyle name="Bemærk! 2 3 4 3 2 2 3" xfId="27901" xr:uid="{00000000-0005-0000-0000-0000C0950000}"/>
    <cellStyle name="Bemærk! 2 3 4 3 2 2 4" xfId="42865" xr:uid="{00000000-0005-0000-0000-0000C1950000}"/>
    <cellStyle name="Bemærk! 2 3 4 3 3" xfId="8642" xr:uid="{00000000-0005-0000-0000-0000C2950000}"/>
    <cellStyle name="Bemærk! 2 3 4 3 3 2" xfId="16509" xr:uid="{00000000-0005-0000-0000-0000C3950000}"/>
    <cellStyle name="Bemærk! 2 3 4 3 3 2 2" xfId="32785" xr:uid="{00000000-0005-0000-0000-0000C4950000}"/>
    <cellStyle name="Bemærk! 2 3 4 3 3 2 3" xfId="47744" xr:uid="{00000000-0005-0000-0000-0000C5950000}"/>
    <cellStyle name="Bemærk! 2 3 4 3 3 3" xfId="25783" xr:uid="{00000000-0005-0000-0000-0000C6950000}"/>
    <cellStyle name="Bemærk! 2 3 4 3 3 4" xfId="40747" xr:uid="{00000000-0005-0000-0000-0000C7950000}"/>
    <cellStyle name="Bemærk! 2 3 4 4" xfId="7104" xr:uid="{00000000-0005-0000-0000-0000C8950000}"/>
    <cellStyle name="Bemærk! 2 3 4 4 2" xfId="9379" xr:uid="{00000000-0005-0000-0000-0000C9950000}"/>
    <cellStyle name="Bemærk! 2 3 4 4 2 2" xfId="17242" xr:uid="{00000000-0005-0000-0000-0000CA950000}"/>
    <cellStyle name="Bemærk! 2 3 4 4 2 2 2" xfId="33518" xr:uid="{00000000-0005-0000-0000-0000CB950000}"/>
    <cellStyle name="Bemærk! 2 3 4 4 2 2 3" xfId="48477" xr:uid="{00000000-0005-0000-0000-0000CC950000}"/>
    <cellStyle name="Bemærk! 2 3 4 4 2 3" xfId="26516" xr:uid="{00000000-0005-0000-0000-0000CD950000}"/>
    <cellStyle name="Bemærk! 2 3 4 4 2 4" xfId="41480" xr:uid="{00000000-0005-0000-0000-0000CE950000}"/>
    <cellStyle name="Bemærk! 2 3 5" xfId="7105" xr:uid="{00000000-0005-0000-0000-0000CF950000}"/>
    <cellStyle name="Bemærk! 2 3 5 2" xfId="7106" xr:uid="{00000000-0005-0000-0000-0000D0950000}"/>
    <cellStyle name="Bemærk! 2 3 5 2 2" xfId="7107" xr:uid="{00000000-0005-0000-0000-0000D1950000}"/>
    <cellStyle name="Bemærk! 2 3 5 2 2 2" xfId="10219" xr:uid="{00000000-0005-0000-0000-0000D2950000}"/>
    <cellStyle name="Bemærk! 2 3 5 2 2 2 2" xfId="18074" xr:uid="{00000000-0005-0000-0000-0000D3950000}"/>
    <cellStyle name="Bemærk! 2 3 5 2 2 2 2 2" xfId="34350" xr:uid="{00000000-0005-0000-0000-0000D4950000}"/>
    <cellStyle name="Bemærk! 2 3 5 2 2 2 2 3" xfId="49309" xr:uid="{00000000-0005-0000-0000-0000D5950000}"/>
    <cellStyle name="Bemærk! 2 3 5 2 2 2 3" xfId="27348" xr:uid="{00000000-0005-0000-0000-0000D6950000}"/>
    <cellStyle name="Bemærk! 2 3 5 2 2 2 4" xfId="42312" xr:uid="{00000000-0005-0000-0000-0000D7950000}"/>
    <cellStyle name="Bemærk! 2 3 5 3" xfId="7108" xr:uid="{00000000-0005-0000-0000-0000D8950000}"/>
    <cellStyle name="Bemærk! 2 3 5 3 2" xfId="7109" xr:uid="{00000000-0005-0000-0000-0000D9950000}"/>
    <cellStyle name="Bemærk! 2 3 5 3 2 2" xfId="10744" xr:uid="{00000000-0005-0000-0000-0000DA950000}"/>
    <cellStyle name="Bemærk! 2 3 5 3 2 2 2" xfId="18587" xr:uid="{00000000-0005-0000-0000-0000DB950000}"/>
    <cellStyle name="Bemærk! 2 3 5 3 2 2 2 2" xfId="34863" xr:uid="{00000000-0005-0000-0000-0000DC950000}"/>
    <cellStyle name="Bemærk! 2 3 5 3 2 2 2 3" xfId="49822" xr:uid="{00000000-0005-0000-0000-0000DD950000}"/>
    <cellStyle name="Bemærk! 2 3 5 3 2 2 3" xfId="27861" xr:uid="{00000000-0005-0000-0000-0000DE950000}"/>
    <cellStyle name="Bemærk! 2 3 5 3 2 2 4" xfId="42825" xr:uid="{00000000-0005-0000-0000-0000DF950000}"/>
    <cellStyle name="Bemærk! 2 3 5 3 3" xfId="8741" xr:uid="{00000000-0005-0000-0000-0000E0950000}"/>
    <cellStyle name="Bemærk! 2 3 5 3 3 2" xfId="16608" xr:uid="{00000000-0005-0000-0000-0000E1950000}"/>
    <cellStyle name="Bemærk! 2 3 5 3 3 2 2" xfId="32884" xr:uid="{00000000-0005-0000-0000-0000E2950000}"/>
    <cellStyle name="Bemærk! 2 3 5 3 3 2 3" xfId="47843" xr:uid="{00000000-0005-0000-0000-0000E3950000}"/>
    <cellStyle name="Bemærk! 2 3 5 3 3 3" xfId="25882" xr:uid="{00000000-0005-0000-0000-0000E4950000}"/>
    <cellStyle name="Bemærk! 2 3 5 3 3 4" xfId="40846" xr:uid="{00000000-0005-0000-0000-0000E5950000}"/>
    <cellStyle name="Bemærk! 2 3 5 4" xfId="7110" xr:uid="{00000000-0005-0000-0000-0000E6950000}"/>
    <cellStyle name="Bemærk! 2 3 5 4 2" xfId="9496" xr:uid="{00000000-0005-0000-0000-0000E7950000}"/>
    <cellStyle name="Bemærk! 2 3 5 4 2 2" xfId="17359" xr:uid="{00000000-0005-0000-0000-0000E8950000}"/>
    <cellStyle name="Bemærk! 2 3 5 4 2 2 2" xfId="33635" xr:uid="{00000000-0005-0000-0000-0000E9950000}"/>
    <cellStyle name="Bemærk! 2 3 5 4 2 2 3" xfId="48594" xr:uid="{00000000-0005-0000-0000-0000EA950000}"/>
    <cellStyle name="Bemærk! 2 3 5 4 2 3" xfId="26633" xr:uid="{00000000-0005-0000-0000-0000EB950000}"/>
    <cellStyle name="Bemærk! 2 3 5 4 2 4" xfId="41597" xr:uid="{00000000-0005-0000-0000-0000EC950000}"/>
    <cellStyle name="Bemærk! 2 3 6" xfId="7111" xr:uid="{00000000-0005-0000-0000-0000ED950000}"/>
    <cellStyle name="Bemærk! 2 3 6 2" xfId="7112" xr:uid="{00000000-0005-0000-0000-0000EE950000}"/>
    <cellStyle name="Bemærk! 2 3 6 2 2" xfId="7113" xr:uid="{00000000-0005-0000-0000-0000EF950000}"/>
    <cellStyle name="Bemærk! 2 3 6 2 2 2" xfId="10397" xr:uid="{00000000-0005-0000-0000-0000F0950000}"/>
    <cellStyle name="Bemærk! 2 3 6 2 2 2 2" xfId="18252" xr:uid="{00000000-0005-0000-0000-0000F1950000}"/>
    <cellStyle name="Bemærk! 2 3 6 2 2 2 2 2" xfId="34528" xr:uid="{00000000-0005-0000-0000-0000F2950000}"/>
    <cellStyle name="Bemærk! 2 3 6 2 2 2 2 3" xfId="49487" xr:uid="{00000000-0005-0000-0000-0000F3950000}"/>
    <cellStyle name="Bemærk! 2 3 6 2 2 2 3" xfId="27526" xr:uid="{00000000-0005-0000-0000-0000F4950000}"/>
    <cellStyle name="Bemærk! 2 3 6 2 2 2 4" xfId="42490" xr:uid="{00000000-0005-0000-0000-0000F5950000}"/>
    <cellStyle name="Bemærk! 2 3 6 3" xfId="7114" xr:uid="{00000000-0005-0000-0000-0000F6950000}"/>
    <cellStyle name="Bemærk! 2 3 6 3 2" xfId="7115" xr:uid="{00000000-0005-0000-0000-0000F7950000}"/>
    <cellStyle name="Bemærk! 2 3 6 3 2 2" xfId="11008" xr:uid="{00000000-0005-0000-0000-0000F8950000}"/>
    <cellStyle name="Bemærk! 2 3 6 3 2 2 2" xfId="18839" xr:uid="{00000000-0005-0000-0000-0000F9950000}"/>
    <cellStyle name="Bemærk! 2 3 6 3 2 2 2 2" xfId="35115" xr:uid="{00000000-0005-0000-0000-0000FA950000}"/>
    <cellStyle name="Bemærk! 2 3 6 3 2 2 2 3" xfId="50074" xr:uid="{00000000-0005-0000-0000-0000FB950000}"/>
    <cellStyle name="Bemærk! 2 3 6 3 2 2 3" xfId="28113" xr:uid="{00000000-0005-0000-0000-0000FC950000}"/>
    <cellStyle name="Bemærk! 2 3 6 3 2 2 4" xfId="43077" xr:uid="{00000000-0005-0000-0000-0000FD950000}"/>
    <cellStyle name="Bemærk! 2 3 6 3 3" xfId="8891" xr:uid="{00000000-0005-0000-0000-0000FE950000}"/>
    <cellStyle name="Bemærk! 2 3 6 3 3 2" xfId="16758" xr:uid="{00000000-0005-0000-0000-0000FF950000}"/>
    <cellStyle name="Bemærk! 2 3 6 3 3 2 2" xfId="33034" xr:uid="{00000000-0005-0000-0000-000000960000}"/>
    <cellStyle name="Bemærk! 2 3 6 3 3 2 3" xfId="47993" xr:uid="{00000000-0005-0000-0000-000001960000}"/>
    <cellStyle name="Bemærk! 2 3 6 3 3 3" xfId="26032" xr:uid="{00000000-0005-0000-0000-000002960000}"/>
    <cellStyle name="Bemærk! 2 3 6 3 3 4" xfId="40996" xr:uid="{00000000-0005-0000-0000-000003960000}"/>
    <cellStyle name="Bemærk! 2 3 6 4" xfId="7116" xr:uid="{00000000-0005-0000-0000-000004960000}"/>
    <cellStyle name="Bemærk! 2 3 6 4 2" xfId="9675" xr:uid="{00000000-0005-0000-0000-000005960000}"/>
    <cellStyle name="Bemærk! 2 3 6 4 2 2" xfId="17538" xr:uid="{00000000-0005-0000-0000-000006960000}"/>
    <cellStyle name="Bemærk! 2 3 6 4 2 2 2" xfId="33814" xr:uid="{00000000-0005-0000-0000-000007960000}"/>
    <cellStyle name="Bemærk! 2 3 6 4 2 2 3" xfId="48773" xr:uid="{00000000-0005-0000-0000-000008960000}"/>
    <cellStyle name="Bemærk! 2 3 6 4 2 3" xfId="26812" xr:uid="{00000000-0005-0000-0000-000009960000}"/>
    <cellStyle name="Bemærk! 2 3 6 4 2 4" xfId="41776" xr:uid="{00000000-0005-0000-0000-00000A960000}"/>
    <cellStyle name="Bemærk! 2 3 7" xfId="7117" xr:uid="{00000000-0005-0000-0000-00000B960000}"/>
    <cellStyle name="Bemærk! 2 3 7 2" xfId="7118" xr:uid="{00000000-0005-0000-0000-00000C960000}"/>
    <cellStyle name="Bemærk! 2 3 7 2 2" xfId="9746" xr:uid="{00000000-0005-0000-0000-00000D960000}"/>
    <cellStyle name="Bemærk! 2 3 7 2 2 2" xfId="17600" xr:uid="{00000000-0005-0000-0000-00000E960000}"/>
    <cellStyle name="Bemærk! 2 3 7 2 2 2 2" xfId="33876" xr:uid="{00000000-0005-0000-0000-00000F960000}"/>
    <cellStyle name="Bemærk! 2 3 7 2 2 2 3" xfId="48835" xr:uid="{00000000-0005-0000-0000-000010960000}"/>
    <cellStyle name="Bemærk! 2 3 7 2 2 3" xfId="26874" xr:uid="{00000000-0005-0000-0000-000011960000}"/>
    <cellStyle name="Bemærk! 2 3 7 2 2 4" xfId="41838" xr:uid="{00000000-0005-0000-0000-000012960000}"/>
    <cellStyle name="Bemærk! 2 3 8" xfId="7119" xr:uid="{00000000-0005-0000-0000-000013960000}"/>
    <cellStyle name="Bemærk! 2 3 8 2" xfId="7120" xr:uid="{00000000-0005-0000-0000-000014960000}"/>
    <cellStyle name="Bemærk! 2 3 8 2 2" xfId="8911" xr:uid="{00000000-0005-0000-0000-000015960000}"/>
    <cellStyle name="Bemærk! 2 3 8 2 2 2" xfId="16777" xr:uid="{00000000-0005-0000-0000-000016960000}"/>
    <cellStyle name="Bemærk! 2 3 8 2 2 2 2" xfId="33053" xr:uid="{00000000-0005-0000-0000-000017960000}"/>
    <cellStyle name="Bemærk! 2 3 8 2 2 2 3" xfId="48012" xr:uid="{00000000-0005-0000-0000-000018960000}"/>
    <cellStyle name="Bemærk! 2 3 8 2 2 3" xfId="26051" xr:uid="{00000000-0005-0000-0000-000019960000}"/>
    <cellStyle name="Bemærk! 2 3 8 2 2 4" xfId="41015" xr:uid="{00000000-0005-0000-0000-00001A960000}"/>
    <cellStyle name="Bemærk! 2 3 8 3" xfId="8341" xr:uid="{00000000-0005-0000-0000-00001B960000}"/>
    <cellStyle name="Bemærk! 2 3 8 3 2" xfId="16211" xr:uid="{00000000-0005-0000-0000-00001C960000}"/>
    <cellStyle name="Bemærk! 2 3 8 3 2 2" xfId="32487" xr:uid="{00000000-0005-0000-0000-00001D960000}"/>
    <cellStyle name="Bemærk! 2 3 8 3 2 3" xfId="47446" xr:uid="{00000000-0005-0000-0000-00001E960000}"/>
    <cellStyle name="Bemærk! 2 3 8 3 3" xfId="25485" xr:uid="{00000000-0005-0000-0000-00001F960000}"/>
    <cellStyle name="Bemærk! 2 3 8 3 4" xfId="40449" xr:uid="{00000000-0005-0000-0000-000020960000}"/>
    <cellStyle name="Bemærk! 2 3 9" xfId="7121" xr:uid="{00000000-0005-0000-0000-000021960000}"/>
    <cellStyle name="Bemærk! 2 3 9 2" xfId="8974" xr:uid="{00000000-0005-0000-0000-000022960000}"/>
    <cellStyle name="Bemærk! 2 3 9 2 2" xfId="16838" xr:uid="{00000000-0005-0000-0000-000023960000}"/>
    <cellStyle name="Bemærk! 2 3 9 2 2 2" xfId="33114" xr:uid="{00000000-0005-0000-0000-000024960000}"/>
    <cellStyle name="Bemærk! 2 3 9 2 2 3" xfId="48073" xr:uid="{00000000-0005-0000-0000-000025960000}"/>
    <cellStyle name="Bemærk! 2 3 9 2 3" xfId="26112" xr:uid="{00000000-0005-0000-0000-000026960000}"/>
    <cellStyle name="Bemærk! 2 3 9 2 4" xfId="41076" xr:uid="{00000000-0005-0000-0000-000027960000}"/>
    <cellStyle name="Bemærk! 2 4" xfId="7122" xr:uid="{00000000-0005-0000-0000-000028960000}"/>
    <cellStyle name="Bemærk! 2 4 2" xfId="7123" xr:uid="{00000000-0005-0000-0000-000029960000}"/>
    <cellStyle name="Bemærk! 2 4 2 2" xfId="7124" xr:uid="{00000000-0005-0000-0000-00002A960000}"/>
    <cellStyle name="Bemærk! 2 4 2 2 2" xfId="7125" xr:uid="{00000000-0005-0000-0000-00002B960000}"/>
    <cellStyle name="Bemærk! 2 4 2 2 2 2" xfId="9903" xr:uid="{00000000-0005-0000-0000-00002C960000}"/>
    <cellStyle name="Bemærk! 2 4 2 2 2 2 2" xfId="17758" xr:uid="{00000000-0005-0000-0000-00002D960000}"/>
    <cellStyle name="Bemærk! 2 4 2 2 2 2 2 2" xfId="34034" xr:uid="{00000000-0005-0000-0000-00002E960000}"/>
    <cellStyle name="Bemærk! 2 4 2 2 2 2 2 3" xfId="48993" xr:uid="{00000000-0005-0000-0000-00002F960000}"/>
    <cellStyle name="Bemærk! 2 4 2 2 2 2 3" xfId="27032" xr:uid="{00000000-0005-0000-0000-000030960000}"/>
    <cellStyle name="Bemærk! 2 4 2 2 2 2 4" xfId="41996" xr:uid="{00000000-0005-0000-0000-000031960000}"/>
    <cellStyle name="Bemærk! 2 4 2 3" xfId="7126" xr:uid="{00000000-0005-0000-0000-000032960000}"/>
    <cellStyle name="Bemærk! 2 4 2 3 2" xfId="7127" xr:uid="{00000000-0005-0000-0000-000033960000}"/>
    <cellStyle name="Bemærk! 2 4 2 3 2 2" xfId="10471" xr:uid="{00000000-0005-0000-0000-000034960000}"/>
    <cellStyle name="Bemærk! 2 4 2 3 2 2 2" xfId="18322" xr:uid="{00000000-0005-0000-0000-000035960000}"/>
    <cellStyle name="Bemærk! 2 4 2 3 2 2 2 2" xfId="34598" xr:uid="{00000000-0005-0000-0000-000036960000}"/>
    <cellStyle name="Bemærk! 2 4 2 3 2 2 2 3" xfId="49557" xr:uid="{00000000-0005-0000-0000-000037960000}"/>
    <cellStyle name="Bemærk! 2 4 2 3 2 2 3" xfId="27596" xr:uid="{00000000-0005-0000-0000-000038960000}"/>
    <cellStyle name="Bemærk! 2 4 2 3 2 2 4" xfId="42560" xr:uid="{00000000-0005-0000-0000-000039960000}"/>
    <cellStyle name="Bemærk! 2 4 2 3 3" xfId="8473" xr:uid="{00000000-0005-0000-0000-00003A960000}"/>
    <cellStyle name="Bemærk! 2 4 2 3 3 2" xfId="16343" xr:uid="{00000000-0005-0000-0000-00003B960000}"/>
    <cellStyle name="Bemærk! 2 4 2 3 3 2 2" xfId="32619" xr:uid="{00000000-0005-0000-0000-00003C960000}"/>
    <cellStyle name="Bemærk! 2 4 2 3 3 2 3" xfId="47578" xr:uid="{00000000-0005-0000-0000-00003D960000}"/>
    <cellStyle name="Bemærk! 2 4 2 3 3 3" xfId="25617" xr:uid="{00000000-0005-0000-0000-00003E960000}"/>
    <cellStyle name="Bemærk! 2 4 2 3 3 4" xfId="40581" xr:uid="{00000000-0005-0000-0000-00003F960000}"/>
    <cellStyle name="Bemærk! 2 4 2 4" xfId="7128" xr:uid="{00000000-0005-0000-0000-000040960000}"/>
    <cellStyle name="Bemærk! 2 4 2 4 2" xfId="9134" xr:uid="{00000000-0005-0000-0000-000041960000}"/>
    <cellStyle name="Bemærk! 2 4 2 4 2 2" xfId="16998" xr:uid="{00000000-0005-0000-0000-000042960000}"/>
    <cellStyle name="Bemærk! 2 4 2 4 2 2 2" xfId="33274" xr:uid="{00000000-0005-0000-0000-000043960000}"/>
    <cellStyle name="Bemærk! 2 4 2 4 2 2 3" xfId="48233" xr:uid="{00000000-0005-0000-0000-000044960000}"/>
    <cellStyle name="Bemærk! 2 4 2 4 2 3" xfId="26272" xr:uid="{00000000-0005-0000-0000-000045960000}"/>
    <cellStyle name="Bemærk! 2 4 2 4 2 4" xfId="41236" xr:uid="{00000000-0005-0000-0000-000046960000}"/>
    <cellStyle name="Bemærk! 2 4 3" xfId="7129" xr:uid="{00000000-0005-0000-0000-000047960000}"/>
    <cellStyle name="Bemærk! 2 4 3 2" xfId="7130" xr:uid="{00000000-0005-0000-0000-000048960000}"/>
    <cellStyle name="Bemærk! 2 4 3 2 2" xfId="7131" xr:uid="{00000000-0005-0000-0000-000049960000}"/>
    <cellStyle name="Bemærk! 2 4 3 2 2 2" xfId="10044" xr:uid="{00000000-0005-0000-0000-00004A960000}"/>
    <cellStyle name="Bemærk! 2 4 3 2 2 2 2" xfId="17899" xr:uid="{00000000-0005-0000-0000-00004B960000}"/>
    <cellStyle name="Bemærk! 2 4 3 2 2 2 2 2" xfId="34175" xr:uid="{00000000-0005-0000-0000-00004C960000}"/>
    <cellStyle name="Bemærk! 2 4 3 2 2 2 2 3" xfId="49134" xr:uid="{00000000-0005-0000-0000-00004D960000}"/>
    <cellStyle name="Bemærk! 2 4 3 2 2 2 3" xfId="27173" xr:uid="{00000000-0005-0000-0000-00004E960000}"/>
    <cellStyle name="Bemærk! 2 4 3 2 2 2 4" xfId="42137" xr:uid="{00000000-0005-0000-0000-00004F960000}"/>
    <cellStyle name="Bemærk! 2 4 3 3" xfId="7132" xr:uid="{00000000-0005-0000-0000-000050960000}"/>
    <cellStyle name="Bemærk! 2 4 3 3 2" xfId="7133" xr:uid="{00000000-0005-0000-0000-000051960000}"/>
    <cellStyle name="Bemærk! 2 4 3 3 2 2" xfId="10789" xr:uid="{00000000-0005-0000-0000-000052960000}"/>
    <cellStyle name="Bemærk! 2 4 3 3 2 2 2" xfId="18631" xr:uid="{00000000-0005-0000-0000-000053960000}"/>
    <cellStyle name="Bemærk! 2 4 3 3 2 2 2 2" xfId="34907" xr:uid="{00000000-0005-0000-0000-000054960000}"/>
    <cellStyle name="Bemærk! 2 4 3 3 2 2 2 3" xfId="49866" xr:uid="{00000000-0005-0000-0000-000055960000}"/>
    <cellStyle name="Bemærk! 2 4 3 3 2 2 3" xfId="27905" xr:uid="{00000000-0005-0000-0000-000056960000}"/>
    <cellStyle name="Bemærk! 2 4 3 3 2 2 4" xfId="42869" xr:uid="{00000000-0005-0000-0000-000057960000}"/>
    <cellStyle name="Bemærk! 2 4 3 3 3" xfId="8594" xr:uid="{00000000-0005-0000-0000-000058960000}"/>
    <cellStyle name="Bemærk! 2 4 3 3 3 2" xfId="16461" xr:uid="{00000000-0005-0000-0000-000059960000}"/>
    <cellStyle name="Bemærk! 2 4 3 3 3 2 2" xfId="32737" xr:uid="{00000000-0005-0000-0000-00005A960000}"/>
    <cellStyle name="Bemærk! 2 4 3 3 3 2 3" xfId="47696" xr:uid="{00000000-0005-0000-0000-00005B960000}"/>
    <cellStyle name="Bemærk! 2 4 3 3 3 3" xfId="25735" xr:uid="{00000000-0005-0000-0000-00005C960000}"/>
    <cellStyle name="Bemærk! 2 4 3 3 3 4" xfId="40699" xr:uid="{00000000-0005-0000-0000-00005D960000}"/>
    <cellStyle name="Bemærk! 2 4 3 4" xfId="7134" xr:uid="{00000000-0005-0000-0000-00005E960000}"/>
    <cellStyle name="Bemærk! 2 4 3 4 2" xfId="9276" xr:uid="{00000000-0005-0000-0000-00005F960000}"/>
    <cellStyle name="Bemærk! 2 4 3 4 2 2" xfId="17140" xr:uid="{00000000-0005-0000-0000-000060960000}"/>
    <cellStyle name="Bemærk! 2 4 3 4 2 2 2" xfId="33416" xr:uid="{00000000-0005-0000-0000-000061960000}"/>
    <cellStyle name="Bemærk! 2 4 3 4 2 2 3" xfId="48375" xr:uid="{00000000-0005-0000-0000-000062960000}"/>
    <cellStyle name="Bemærk! 2 4 3 4 2 3" xfId="26414" xr:uid="{00000000-0005-0000-0000-000063960000}"/>
    <cellStyle name="Bemærk! 2 4 3 4 2 4" xfId="41378" xr:uid="{00000000-0005-0000-0000-000064960000}"/>
    <cellStyle name="Bemærk! 2 4 4" xfId="7135" xr:uid="{00000000-0005-0000-0000-000065960000}"/>
    <cellStyle name="Bemærk! 2 4 4 2" xfId="7136" xr:uid="{00000000-0005-0000-0000-000066960000}"/>
    <cellStyle name="Bemærk! 2 4 4 2 2" xfId="7137" xr:uid="{00000000-0005-0000-0000-000067960000}"/>
    <cellStyle name="Bemærk! 2 4 4 2 2 2" xfId="10141" xr:uid="{00000000-0005-0000-0000-000068960000}"/>
    <cellStyle name="Bemærk! 2 4 4 2 2 2 2" xfId="17996" xr:uid="{00000000-0005-0000-0000-000069960000}"/>
    <cellStyle name="Bemærk! 2 4 4 2 2 2 2 2" xfId="34272" xr:uid="{00000000-0005-0000-0000-00006A960000}"/>
    <cellStyle name="Bemærk! 2 4 4 2 2 2 2 3" xfId="49231" xr:uid="{00000000-0005-0000-0000-00006B960000}"/>
    <cellStyle name="Bemærk! 2 4 4 2 2 2 3" xfId="27270" xr:uid="{00000000-0005-0000-0000-00006C960000}"/>
    <cellStyle name="Bemærk! 2 4 4 2 2 2 4" xfId="42234" xr:uid="{00000000-0005-0000-0000-00006D960000}"/>
    <cellStyle name="Bemærk! 2 4 4 3" xfId="7138" xr:uid="{00000000-0005-0000-0000-00006E960000}"/>
    <cellStyle name="Bemærk! 2 4 4 3 2" xfId="7139" xr:uid="{00000000-0005-0000-0000-00006F960000}"/>
    <cellStyle name="Bemærk! 2 4 4 3 2 2" xfId="10866" xr:uid="{00000000-0005-0000-0000-000070960000}"/>
    <cellStyle name="Bemærk! 2 4 4 3 2 2 2" xfId="18704" xr:uid="{00000000-0005-0000-0000-000071960000}"/>
    <cellStyle name="Bemærk! 2 4 4 3 2 2 2 2" xfId="34980" xr:uid="{00000000-0005-0000-0000-000072960000}"/>
    <cellStyle name="Bemærk! 2 4 4 3 2 2 2 3" xfId="49939" xr:uid="{00000000-0005-0000-0000-000073960000}"/>
    <cellStyle name="Bemærk! 2 4 4 3 2 2 3" xfId="27978" xr:uid="{00000000-0005-0000-0000-000074960000}"/>
    <cellStyle name="Bemærk! 2 4 4 3 2 2 4" xfId="42942" xr:uid="{00000000-0005-0000-0000-000075960000}"/>
    <cellStyle name="Bemærk! 2 4 4 3 3" xfId="8675" xr:uid="{00000000-0005-0000-0000-000076960000}"/>
    <cellStyle name="Bemærk! 2 4 4 3 3 2" xfId="16542" xr:uid="{00000000-0005-0000-0000-000077960000}"/>
    <cellStyle name="Bemærk! 2 4 4 3 3 2 2" xfId="32818" xr:uid="{00000000-0005-0000-0000-000078960000}"/>
    <cellStyle name="Bemærk! 2 4 4 3 3 2 3" xfId="47777" xr:uid="{00000000-0005-0000-0000-000079960000}"/>
    <cellStyle name="Bemærk! 2 4 4 3 3 3" xfId="25816" xr:uid="{00000000-0005-0000-0000-00007A960000}"/>
    <cellStyle name="Bemærk! 2 4 4 3 3 4" xfId="40780" xr:uid="{00000000-0005-0000-0000-00007B960000}"/>
    <cellStyle name="Bemærk! 2 4 4 4" xfId="7140" xr:uid="{00000000-0005-0000-0000-00007C960000}"/>
    <cellStyle name="Bemærk! 2 4 4 4 2" xfId="9418" xr:uid="{00000000-0005-0000-0000-00007D960000}"/>
    <cellStyle name="Bemærk! 2 4 4 4 2 2" xfId="17281" xr:uid="{00000000-0005-0000-0000-00007E960000}"/>
    <cellStyle name="Bemærk! 2 4 4 4 2 2 2" xfId="33557" xr:uid="{00000000-0005-0000-0000-00007F960000}"/>
    <cellStyle name="Bemærk! 2 4 4 4 2 2 3" xfId="48516" xr:uid="{00000000-0005-0000-0000-000080960000}"/>
    <cellStyle name="Bemærk! 2 4 4 4 2 3" xfId="26555" xr:uid="{00000000-0005-0000-0000-000081960000}"/>
    <cellStyle name="Bemærk! 2 4 4 4 2 4" xfId="41519" xr:uid="{00000000-0005-0000-0000-000082960000}"/>
    <cellStyle name="Bemærk! 2 4 5" xfId="7141" xr:uid="{00000000-0005-0000-0000-000083960000}"/>
    <cellStyle name="Bemærk! 2 4 5 2" xfId="7142" xr:uid="{00000000-0005-0000-0000-000084960000}"/>
    <cellStyle name="Bemærk! 2 4 5 2 2" xfId="7143" xr:uid="{00000000-0005-0000-0000-000085960000}"/>
    <cellStyle name="Bemærk! 2 4 5 2 2 2" xfId="10258" xr:uid="{00000000-0005-0000-0000-000086960000}"/>
    <cellStyle name="Bemærk! 2 4 5 2 2 2 2" xfId="18113" xr:uid="{00000000-0005-0000-0000-000087960000}"/>
    <cellStyle name="Bemærk! 2 4 5 2 2 2 2 2" xfId="34389" xr:uid="{00000000-0005-0000-0000-000088960000}"/>
    <cellStyle name="Bemærk! 2 4 5 2 2 2 2 3" xfId="49348" xr:uid="{00000000-0005-0000-0000-000089960000}"/>
    <cellStyle name="Bemærk! 2 4 5 2 2 2 3" xfId="27387" xr:uid="{00000000-0005-0000-0000-00008A960000}"/>
    <cellStyle name="Bemærk! 2 4 5 2 2 2 4" xfId="42351" xr:uid="{00000000-0005-0000-0000-00008B960000}"/>
    <cellStyle name="Bemærk! 2 4 5 3" xfId="7144" xr:uid="{00000000-0005-0000-0000-00008C960000}"/>
    <cellStyle name="Bemærk! 2 4 5 3 2" xfId="7145" xr:uid="{00000000-0005-0000-0000-00008D960000}"/>
    <cellStyle name="Bemærk! 2 4 5 3 2 2" xfId="10450" xr:uid="{00000000-0005-0000-0000-00008E960000}"/>
    <cellStyle name="Bemærk! 2 4 5 3 2 2 2" xfId="18302" xr:uid="{00000000-0005-0000-0000-00008F960000}"/>
    <cellStyle name="Bemærk! 2 4 5 3 2 2 2 2" xfId="34578" xr:uid="{00000000-0005-0000-0000-000090960000}"/>
    <cellStyle name="Bemærk! 2 4 5 3 2 2 2 3" xfId="49537" xr:uid="{00000000-0005-0000-0000-000091960000}"/>
    <cellStyle name="Bemærk! 2 4 5 3 2 2 3" xfId="27576" xr:uid="{00000000-0005-0000-0000-000092960000}"/>
    <cellStyle name="Bemærk! 2 4 5 3 2 2 4" xfId="42540" xr:uid="{00000000-0005-0000-0000-000093960000}"/>
    <cellStyle name="Bemærk! 2 4 5 3 3" xfId="8774" xr:uid="{00000000-0005-0000-0000-000094960000}"/>
    <cellStyle name="Bemærk! 2 4 5 3 3 2" xfId="16641" xr:uid="{00000000-0005-0000-0000-000095960000}"/>
    <cellStyle name="Bemærk! 2 4 5 3 3 2 2" xfId="32917" xr:uid="{00000000-0005-0000-0000-000096960000}"/>
    <cellStyle name="Bemærk! 2 4 5 3 3 2 3" xfId="47876" xr:uid="{00000000-0005-0000-0000-000097960000}"/>
    <cellStyle name="Bemærk! 2 4 5 3 3 3" xfId="25915" xr:uid="{00000000-0005-0000-0000-000098960000}"/>
    <cellStyle name="Bemærk! 2 4 5 3 3 4" xfId="40879" xr:uid="{00000000-0005-0000-0000-000099960000}"/>
    <cellStyle name="Bemærk! 2 4 5 4" xfId="7146" xr:uid="{00000000-0005-0000-0000-00009A960000}"/>
    <cellStyle name="Bemærk! 2 4 5 4 2" xfId="9535" xr:uid="{00000000-0005-0000-0000-00009B960000}"/>
    <cellStyle name="Bemærk! 2 4 5 4 2 2" xfId="17398" xr:uid="{00000000-0005-0000-0000-00009C960000}"/>
    <cellStyle name="Bemærk! 2 4 5 4 2 2 2" xfId="33674" xr:uid="{00000000-0005-0000-0000-00009D960000}"/>
    <cellStyle name="Bemærk! 2 4 5 4 2 2 3" xfId="48633" xr:uid="{00000000-0005-0000-0000-00009E960000}"/>
    <cellStyle name="Bemærk! 2 4 5 4 2 3" xfId="26672" xr:uid="{00000000-0005-0000-0000-00009F960000}"/>
    <cellStyle name="Bemærk! 2 4 5 4 2 4" xfId="41636" xr:uid="{00000000-0005-0000-0000-0000A0960000}"/>
    <cellStyle name="Bemærk! 2 4 6" xfId="7147" xr:uid="{00000000-0005-0000-0000-0000A1960000}"/>
    <cellStyle name="Bemærk! 2 4 6 2" xfId="7148" xr:uid="{00000000-0005-0000-0000-0000A2960000}"/>
    <cellStyle name="Bemærk! 2 4 6 2 2" xfId="7149" xr:uid="{00000000-0005-0000-0000-0000A3960000}"/>
    <cellStyle name="Bemærk! 2 4 6 2 2 2" xfId="10398" xr:uid="{00000000-0005-0000-0000-0000A4960000}"/>
    <cellStyle name="Bemærk! 2 4 6 2 2 2 2" xfId="18253" xr:uid="{00000000-0005-0000-0000-0000A5960000}"/>
    <cellStyle name="Bemærk! 2 4 6 2 2 2 2 2" xfId="34529" xr:uid="{00000000-0005-0000-0000-0000A6960000}"/>
    <cellStyle name="Bemærk! 2 4 6 2 2 2 2 3" xfId="49488" xr:uid="{00000000-0005-0000-0000-0000A7960000}"/>
    <cellStyle name="Bemærk! 2 4 6 2 2 2 3" xfId="27527" xr:uid="{00000000-0005-0000-0000-0000A8960000}"/>
    <cellStyle name="Bemærk! 2 4 6 2 2 2 4" xfId="42491" xr:uid="{00000000-0005-0000-0000-0000A9960000}"/>
    <cellStyle name="Bemærk! 2 4 6 3" xfId="7150" xr:uid="{00000000-0005-0000-0000-0000AA960000}"/>
    <cellStyle name="Bemærk! 2 4 6 3 2" xfId="7151" xr:uid="{00000000-0005-0000-0000-0000AB960000}"/>
    <cellStyle name="Bemærk! 2 4 6 3 2 2" xfId="11009" xr:uid="{00000000-0005-0000-0000-0000AC960000}"/>
    <cellStyle name="Bemærk! 2 4 6 3 2 2 2" xfId="18840" xr:uid="{00000000-0005-0000-0000-0000AD960000}"/>
    <cellStyle name="Bemærk! 2 4 6 3 2 2 2 2" xfId="35116" xr:uid="{00000000-0005-0000-0000-0000AE960000}"/>
    <cellStyle name="Bemærk! 2 4 6 3 2 2 2 3" xfId="50075" xr:uid="{00000000-0005-0000-0000-0000AF960000}"/>
    <cellStyle name="Bemærk! 2 4 6 3 2 2 3" xfId="28114" xr:uid="{00000000-0005-0000-0000-0000B0960000}"/>
    <cellStyle name="Bemærk! 2 4 6 3 2 2 4" xfId="43078" xr:uid="{00000000-0005-0000-0000-0000B1960000}"/>
    <cellStyle name="Bemærk! 2 4 6 3 3" xfId="8892" xr:uid="{00000000-0005-0000-0000-0000B2960000}"/>
    <cellStyle name="Bemærk! 2 4 6 3 3 2" xfId="16759" xr:uid="{00000000-0005-0000-0000-0000B3960000}"/>
    <cellStyle name="Bemærk! 2 4 6 3 3 2 2" xfId="33035" xr:uid="{00000000-0005-0000-0000-0000B4960000}"/>
    <cellStyle name="Bemærk! 2 4 6 3 3 2 3" xfId="47994" xr:uid="{00000000-0005-0000-0000-0000B5960000}"/>
    <cellStyle name="Bemærk! 2 4 6 3 3 3" xfId="26033" xr:uid="{00000000-0005-0000-0000-0000B6960000}"/>
    <cellStyle name="Bemærk! 2 4 6 3 3 4" xfId="40997" xr:uid="{00000000-0005-0000-0000-0000B7960000}"/>
    <cellStyle name="Bemærk! 2 4 6 4" xfId="7152" xr:uid="{00000000-0005-0000-0000-0000B8960000}"/>
    <cellStyle name="Bemærk! 2 4 6 4 2" xfId="9676" xr:uid="{00000000-0005-0000-0000-0000B9960000}"/>
    <cellStyle name="Bemærk! 2 4 6 4 2 2" xfId="17539" xr:uid="{00000000-0005-0000-0000-0000BA960000}"/>
    <cellStyle name="Bemærk! 2 4 6 4 2 2 2" xfId="33815" xr:uid="{00000000-0005-0000-0000-0000BB960000}"/>
    <cellStyle name="Bemærk! 2 4 6 4 2 2 3" xfId="48774" xr:uid="{00000000-0005-0000-0000-0000BC960000}"/>
    <cellStyle name="Bemærk! 2 4 6 4 2 3" xfId="26813" xr:uid="{00000000-0005-0000-0000-0000BD960000}"/>
    <cellStyle name="Bemærk! 2 4 6 4 2 4" xfId="41777" xr:uid="{00000000-0005-0000-0000-0000BE960000}"/>
    <cellStyle name="Bemærk! 2 4 7" xfId="7153" xr:uid="{00000000-0005-0000-0000-0000BF960000}"/>
    <cellStyle name="Bemærk! 2 4 7 2" xfId="7154" xr:uid="{00000000-0005-0000-0000-0000C0960000}"/>
    <cellStyle name="Bemærk! 2 4 7 2 2" xfId="9785" xr:uid="{00000000-0005-0000-0000-0000C1960000}"/>
    <cellStyle name="Bemærk! 2 4 7 2 2 2" xfId="17639" xr:uid="{00000000-0005-0000-0000-0000C2960000}"/>
    <cellStyle name="Bemærk! 2 4 7 2 2 2 2" xfId="33915" xr:uid="{00000000-0005-0000-0000-0000C3960000}"/>
    <cellStyle name="Bemærk! 2 4 7 2 2 2 3" xfId="48874" xr:uid="{00000000-0005-0000-0000-0000C4960000}"/>
    <cellStyle name="Bemærk! 2 4 7 2 2 3" xfId="26913" xr:uid="{00000000-0005-0000-0000-0000C5960000}"/>
    <cellStyle name="Bemærk! 2 4 7 2 2 4" xfId="41877" xr:uid="{00000000-0005-0000-0000-0000C6960000}"/>
    <cellStyle name="Bemærk! 2 4 8" xfId="7155" xr:uid="{00000000-0005-0000-0000-0000C7960000}"/>
    <cellStyle name="Bemærk! 2 4 8 2" xfId="7156" xr:uid="{00000000-0005-0000-0000-0000C8960000}"/>
    <cellStyle name="Bemærk! 2 4 8 2 2" xfId="10882" xr:uid="{00000000-0005-0000-0000-0000C9960000}"/>
    <cellStyle name="Bemærk! 2 4 8 2 2 2" xfId="18719" xr:uid="{00000000-0005-0000-0000-0000CA960000}"/>
    <cellStyle name="Bemærk! 2 4 8 2 2 2 2" xfId="34995" xr:uid="{00000000-0005-0000-0000-0000CB960000}"/>
    <cellStyle name="Bemærk! 2 4 8 2 2 2 3" xfId="49954" xr:uid="{00000000-0005-0000-0000-0000CC960000}"/>
    <cellStyle name="Bemærk! 2 4 8 2 2 3" xfId="27993" xr:uid="{00000000-0005-0000-0000-0000CD960000}"/>
    <cellStyle name="Bemærk! 2 4 8 2 2 4" xfId="42957" xr:uid="{00000000-0005-0000-0000-0000CE960000}"/>
    <cellStyle name="Bemærk! 2 4 8 3" xfId="8374" xr:uid="{00000000-0005-0000-0000-0000CF960000}"/>
    <cellStyle name="Bemærk! 2 4 8 3 2" xfId="16244" xr:uid="{00000000-0005-0000-0000-0000D0960000}"/>
    <cellStyle name="Bemærk! 2 4 8 3 2 2" xfId="32520" xr:uid="{00000000-0005-0000-0000-0000D1960000}"/>
    <cellStyle name="Bemærk! 2 4 8 3 2 3" xfId="47479" xr:uid="{00000000-0005-0000-0000-0000D2960000}"/>
    <cellStyle name="Bemærk! 2 4 8 3 3" xfId="25518" xr:uid="{00000000-0005-0000-0000-0000D3960000}"/>
    <cellStyle name="Bemærk! 2 4 8 3 4" xfId="40482" xr:uid="{00000000-0005-0000-0000-0000D4960000}"/>
    <cellStyle name="Bemærk! 2 4 9" xfId="7157" xr:uid="{00000000-0005-0000-0000-0000D5960000}"/>
    <cellStyle name="Bemærk! 2 4 9 2" xfId="9013" xr:uid="{00000000-0005-0000-0000-0000D6960000}"/>
    <cellStyle name="Bemærk! 2 4 9 2 2" xfId="16877" xr:uid="{00000000-0005-0000-0000-0000D7960000}"/>
    <cellStyle name="Bemærk! 2 4 9 2 2 2" xfId="33153" xr:uid="{00000000-0005-0000-0000-0000D8960000}"/>
    <cellStyle name="Bemærk! 2 4 9 2 2 3" xfId="48112" xr:uid="{00000000-0005-0000-0000-0000D9960000}"/>
    <cellStyle name="Bemærk! 2 4 9 2 3" xfId="26151" xr:uid="{00000000-0005-0000-0000-0000DA960000}"/>
    <cellStyle name="Bemærk! 2 4 9 2 4" xfId="41115" xr:uid="{00000000-0005-0000-0000-0000DB960000}"/>
    <cellStyle name="Bemærk! 2 5" xfId="7158" xr:uid="{00000000-0005-0000-0000-0000DC960000}"/>
    <cellStyle name="Bemærk! 2 5 2" xfId="7159" xr:uid="{00000000-0005-0000-0000-0000DD960000}"/>
    <cellStyle name="Bemærk! 2 5 2 2" xfId="7160" xr:uid="{00000000-0005-0000-0000-0000DE960000}"/>
    <cellStyle name="Bemærk! 2 5 2 2 2" xfId="9825" xr:uid="{00000000-0005-0000-0000-0000DF960000}"/>
    <cellStyle name="Bemærk! 2 5 2 2 2 2" xfId="17680" xr:uid="{00000000-0005-0000-0000-0000E0960000}"/>
    <cellStyle name="Bemærk! 2 5 2 2 2 2 2" xfId="33956" xr:uid="{00000000-0005-0000-0000-0000E1960000}"/>
    <cellStyle name="Bemærk! 2 5 2 2 2 2 3" xfId="48915" xr:uid="{00000000-0005-0000-0000-0000E2960000}"/>
    <cellStyle name="Bemærk! 2 5 2 2 2 3" xfId="26954" xr:uid="{00000000-0005-0000-0000-0000E3960000}"/>
    <cellStyle name="Bemærk! 2 5 2 2 2 4" xfId="41918" xr:uid="{00000000-0005-0000-0000-0000E4960000}"/>
    <cellStyle name="Bemærk! 2 5 3" xfId="7161" xr:uid="{00000000-0005-0000-0000-0000E5960000}"/>
    <cellStyle name="Bemærk! 2 5 3 2" xfId="7162" xr:uid="{00000000-0005-0000-0000-0000E6960000}"/>
    <cellStyle name="Bemærk! 2 5 3 2 2" xfId="10928" xr:uid="{00000000-0005-0000-0000-0000E7960000}"/>
    <cellStyle name="Bemærk! 2 5 3 2 2 2" xfId="18763" xr:uid="{00000000-0005-0000-0000-0000E8960000}"/>
    <cellStyle name="Bemærk! 2 5 3 2 2 2 2" xfId="35039" xr:uid="{00000000-0005-0000-0000-0000E9960000}"/>
    <cellStyle name="Bemærk! 2 5 3 2 2 2 3" xfId="49998" xr:uid="{00000000-0005-0000-0000-0000EA960000}"/>
    <cellStyle name="Bemærk! 2 5 3 2 2 3" xfId="28037" xr:uid="{00000000-0005-0000-0000-0000EB960000}"/>
    <cellStyle name="Bemærk! 2 5 3 2 2 4" xfId="43001" xr:uid="{00000000-0005-0000-0000-0000EC960000}"/>
    <cellStyle name="Bemærk! 2 5 3 3" xfId="8407" xr:uid="{00000000-0005-0000-0000-0000ED960000}"/>
    <cellStyle name="Bemærk! 2 5 3 3 2" xfId="16277" xr:uid="{00000000-0005-0000-0000-0000EE960000}"/>
    <cellStyle name="Bemærk! 2 5 3 3 2 2" xfId="32553" xr:uid="{00000000-0005-0000-0000-0000EF960000}"/>
    <cellStyle name="Bemærk! 2 5 3 3 2 3" xfId="47512" xr:uid="{00000000-0005-0000-0000-0000F0960000}"/>
    <cellStyle name="Bemærk! 2 5 3 3 3" xfId="25551" xr:uid="{00000000-0005-0000-0000-0000F1960000}"/>
    <cellStyle name="Bemærk! 2 5 3 3 4" xfId="40515" xr:uid="{00000000-0005-0000-0000-0000F2960000}"/>
    <cellStyle name="Bemærk! 2 5 4" xfId="7163" xr:uid="{00000000-0005-0000-0000-0000F3960000}"/>
    <cellStyle name="Bemærk! 2 5 4 2" xfId="9056" xr:uid="{00000000-0005-0000-0000-0000F4960000}"/>
    <cellStyle name="Bemærk! 2 5 4 2 2" xfId="16920" xr:uid="{00000000-0005-0000-0000-0000F5960000}"/>
    <cellStyle name="Bemærk! 2 5 4 2 2 2" xfId="33196" xr:uid="{00000000-0005-0000-0000-0000F6960000}"/>
    <cellStyle name="Bemærk! 2 5 4 2 2 3" xfId="48155" xr:uid="{00000000-0005-0000-0000-0000F7960000}"/>
    <cellStyle name="Bemærk! 2 5 4 2 3" xfId="26194" xr:uid="{00000000-0005-0000-0000-0000F8960000}"/>
    <cellStyle name="Bemærk! 2 5 4 2 4" xfId="41158" xr:uid="{00000000-0005-0000-0000-0000F9960000}"/>
    <cellStyle name="Bemærk! 2 6" xfId="7164" xr:uid="{00000000-0005-0000-0000-0000FA960000}"/>
    <cellStyle name="Bemærk! 2 6 2" xfId="7165" xr:uid="{00000000-0005-0000-0000-0000FB960000}"/>
    <cellStyle name="Bemærk! 2 6 2 2" xfId="7166" xr:uid="{00000000-0005-0000-0000-0000FC960000}"/>
    <cellStyle name="Bemærk! 2 6 2 2 2" xfId="10039" xr:uid="{00000000-0005-0000-0000-0000FD960000}"/>
    <cellStyle name="Bemærk! 2 6 2 2 2 2" xfId="17894" xr:uid="{00000000-0005-0000-0000-0000FE960000}"/>
    <cellStyle name="Bemærk! 2 6 2 2 2 2 2" xfId="34170" xr:uid="{00000000-0005-0000-0000-0000FF960000}"/>
    <cellStyle name="Bemærk! 2 6 2 2 2 2 3" xfId="49129" xr:uid="{00000000-0005-0000-0000-000000970000}"/>
    <cellStyle name="Bemærk! 2 6 2 2 2 3" xfId="27168" xr:uid="{00000000-0005-0000-0000-000001970000}"/>
    <cellStyle name="Bemærk! 2 6 2 2 2 4" xfId="42132" xr:uid="{00000000-0005-0000-0000-000002970000}"/>
    <cellStyle name="Bemærk! 2 6 3" xfId="7167" xr:uid="{00000000-0005-0000-0000-000003970000}"/>
    <cellStyle name="Bemærk! 2 6 3 2" xfId="7168" xr:uid="{00000000-0005-0000-0000-000004970000}"/>
    <cellStyle name="Bemærk! 2 6 3 2 2" xfId="10646" xr:uid="{00000000-0005-0000-0000-000005970000}"/>
    <cellStyle name="Bemærk! 2 6 3 2 2 2" xfId="18493" xr:uid="{00000000-0005-0000-0000-000006970000}"/>
    <cellStyle name="Bemærk! 2 6 3 2 2 2 2" xfId="34769" xr:uid="{00000000-0005-0000-0000-000007970000}"/>
    <cellStyle name="Bemærk! 2 6 3 2 2 2 3" xfId="49728" xr:uid="{00000000-0005-0000-0000-000008970000}"/>
    <cellStyle name="Bemærk! 2 6 3 2 2 3" xfId="27767" xr:uid="{00000000-0005-0000-0000-000009970000}"/>
    <cellStyle name="Bemærk! 2 6 3 2 2 4" xfId="42731" xr:uid="{00000000-0005-0000-0000-00000A970000}"/>
    <cellStyle name="Bemærk! 2 6 3 3" xfId="8589" xr:uid="{00000000-0005-0000-0000-00000B970000}"/>
    <cellStyle name="Bemærk! 2 6 3 3 2" xfId="16456" xr:uid="{00000000-0005-0000-0000-00000C970000}"/>
    <cellStyle name="Bemærk! 2 6 3 3 2 2" xfId="32732" xr:uid="{00000000-0005-0000-0000-00000D970000}"/>
    <cellStyle name="Bemærk! 2 6 3 3 2 3" xfId="47691" xr:uid="{00000000-0005-0000-0000-00000E970000}"/>
    <cellStyle name="Bemærk! 2 6 3 3 3" xfId="25730" xr:uid="{00000000-0005-0000-0000-00000F970000}"/>
    <cellStyle name="Bemærk! 2 6 3 3 4" xfId="40694" xr:uid="{00000000-0005-0000-0000-000010970000}"/>
    <cellStyle name="Bemærk! 2 6 4" xfId="7169" xr:uid="{00000000-0005-0000-0000-000011970000}"/>
    <cellStyle name="Bemærk! 2 6 4 2" xfId="9271" xr:uid="{00000000-0005-0000-0000-000012970000}"/>
    <cellStyle name="Bemærk! 2 6 4 2 2" xfId="17135" xr:uid="{00000000-0005-0000-0000-000013970000}"/>
    <cellStyle name="Bemærk! 2 6 4 2 2 2" xfId="33411" xr:uid="{00000000-0005-0000-0000-000014970000}"/>
    <cellStyle name="Bemærk! 2 6 4 2 2 3" xfId="48370" xr:uid="{00000000-0005-0000-0000-000015970000}"/>
    <cellStyle name="Bemærk! 2 6 4 2 3" xfId="26409" xr:uid="{00000000-0005-0000-0000-000016970000}"/>
    <cellStyle name="Bemærk! 2 6 4 2 4" xfId="41373" xr:uid="{00000000-0005-0000-0000-000017970000}"/>
    <cellStyle name="Bemærk! 2 7" xfId="7170" xr:uid="{00000000-0005-0000-0000-000018970000}"/>
    <cellStyle name="Bemærk! 2 7 2" xfId="7171" xr:uid="{00000000-0005-0000-0000-000019970000}"/>
    <cellStyle name="Bemærk! 2 7 2 2" xfId="7172" xr:uid="{00000000-0005-0000-0000-00001A970000}"/>
    <cellStyle name="Bemærk! 2 7 2 2 2" xfId="10063" xr:uid="{00000000-0005-0000-0000-00001B970000}"/>
    <cellStyle name="Bemærk! 2 7 2 2 2 2" xfId="17918" xr:uid="{00000000-0005-0000-0000-00001C970000}"/>
    <cellStyle name="Bemærk! 2 7 2 2 2 2 2" xfId="34194" xr:uid="{00000000-0005-0000-0000-00001D970000}"/>
    <cellStyle name="Bemærk! 2 7 2 2 2 2 3" xfId="49153" xr:uid="{00000000-0005-0000-0000-00001E970000}"/>
    <cellStyle name="Bemærk! 2 7 2 2 2 3" xfId="27192" xr:uid="{00000000-0005-0000-0000-00001F970000}"/>
    <cellStyle name="Bemærk! 2 7 2 2 2 4" xfId="42156" xr:uid="{00000000-0005-0000-0000-000020970000}"/>
    <cellStyle name="Bemærk! 2 7 3" xfId="7173" xr:uid="{00000000-0005-0000-0000-000021970000}"/>
    <cellStyle name="Bemærk! 2 7 3 2" xfId="7174" xr:uid="{00000000-0005-0000-0000-000022970000}"/>
    <cellStyle name="Bemærk! 2 7 3 2 2" xfId="10951" xr:uid="{00000000-0005-0000-0000-000023970000}"/>
    <cellStyle name="Bemærk! 2 7 3 2 2 2" xfId="18785" xr:uid="{00000000-0005-0000-0000-000024970000}"/>
    <cellStyle name="Bemærk! 2 7 3 2 2 2 2" xfId="35061" xr:uid="{00000000-0005-0000-0000-000025970000}"/>
    <cellStyle name="Bemærk! 2 7 3 2 2 2 3" xfId="50020" xr:uid="{00000000-0005-0000-0000-000026970000}"/>
    <cellStyle name="Bemærk! 2 7 3 2 2 3" xfId="28059" xr:uid="{00000000-0005-0000-0000-000027970000}"/>
    <cellStyle name="Bemærk! 2 7 3 2 2 4" xfId="43023" xr:uid="{00000000-0005-0000-0000-000028970000}"/>
    <cellStyle name="Bemærk! 2 7 3 3" xfId="8609" xr:uid="{00000000-0005-0000-0000-000029970000}"/>
    <cellStyle name="Bemærk! 2 7 3 3 2" xfId="16476" xr:uid="{00000000-0005-0000-0000-00002A970000}"/>
    <cellStyle name="Bemærk! 2 7 3 3 2 2" xfId="32752" xr:uid="{00000000-0005-0000-0000-00002B970000}"/>
    <cellStyle name="Bemærk! 2 7 3 3 2 3" xfId="47711" xr:uid="{00000000-0005-0000-0000-00002C970000}"/>
    <cellStyle name="Bemærk! 2 7 3 3 3" xfId="25750" xr:uid="{00000000-0005-0000-0000-00002D970000}"/>
    <cellStyle name="Bemærk! 2 7 3 3 4" xfId="40714" xr:uid="{00000000-0005-0000-0000-00002E970000}"/>
    <cellStyle name="Bemærk! 2 7 4" xfId="7175" xr:uid="{00000000-0005-0000-0000-00002F970000}"/>
    <cellStyle name="Bemærk! 2 7 4 2" xfId="9340" xr:uid="{00000000-0005-0000-0000-000030970000}"/>
    <cellStyle name="Bemærk! 2 7 4 2 2" xfId="17203" xr:uid="{00000000-0005-0000-0000-000031970000}"/>
    <cellStyle name="Bemærk! 2 7 4 2 2 2" xfId="33479" xr:uid="{00000000-0005-0000-0000-000032970000}"/>
    <cellStyle name="Bemærk! 2 7 4 2 2 3" xfId="48438" xr:uid="{00000000-0005-0000-0000-000033970000}"/>
    <cellStyle name="Bemærk! 2 7 4 2 3" xfId="26477" xr:uid="{00000000-0005-0000-0000-000034970000}"/>
    <cellStyle name="Bemærk! 2 7 4 2 4" xfId="41441" xr:uid="{00000000-0005-0000-0000-000035970000}"/>
    <cellStyle name="Bemærk! 2 8" xfId="7176" xr:uid="{00000000-0005-0000-0000-000036970000}"/>
    <cellStyle name="Bemærk! 2 8 2" xfId="7177" xr:uid="{00000000-0005-0000-0000-000037970000}"/>
    <cellStyle name="Bemærk! 2 8 2 2" xfId="7178" xr:uid="{00000000-0005-0000-0000-000038970000}"/>
    <cellStyle name="Bemærk! 2 8 2 2 2" xfId="10180" xr:uid="{00000000-0005-0000-0000-000039970000}"/>
    <cellStyle name="Bemærk! 2 8 2 2 2 2" xfId="18035" xr:uid="{00000000-0005-0000-0000-00003A970000}"/>
    <cellStyle name="Bemærk! 2 8 2 2 2 2 2" xfId="34311" xr:uid="{00000000-0005-0000-0000-00003B970000}"/>
    <cellStyle name="Bemærk! 2 8 2 2 2 2 3" xfId="49270" xr:uid="{00000000-0005-0000-0000-00003C970000}"/>
    <cellStyle name="Bemærk! 2 8 2 2 2 3" xfId="27309" xr:uid="{00000000-0005-0000-0000-00003D970000}"/>
    <cellStyle name="Bemærk! 2 8 2 2 2 4" xfId="42273" xr:uid="{00000000-0005-0000-0000-00003E970000}"/>
    <cellStyle name="Bemærk! 2 8 3" xfId="7179" xr:uid="{00000000-0005-0000-0000-00003F970000}"/>
    <cellStyle name="Bemærk! 2 8 3 2" xfId="7180" xr:uid="{00000000-0005-0000-0000-000040970000}"/>
    <cellStyle name="Bemærk! 2 8 3 2 2" xfId="10913" xr:uid="{00000000-0005-0000-0000-000041970000}"/>
    <cellStyle name="Bemærk! 2 8 3 2 2 2" xfId="18748" xr:uid="{00000000-0005-0000-0000-000042970000}"/>
    <cellStyle name="Bemærk! 2 8 3 2 2 2 2" xfId="35024" xr:uid="{00000000-0005-0000-0000-000043970000}"/>
    <cellStyle name="Bemærk! 2 8 3 2 2 2 3" xfId="49983" xr:uid="{00000000-0005-0000-0000-000044970000}"/>
    <cellStyle name="Bemærk! 2 8 3 2 2 3" xfId="28022" xr:uid="{00000000-0005-0000-0000-000045970000}"/>
    <cellStyle name="Bemærk! 2 8 3 2 2 4" xfId="42986" xr:uid="{00000000-0005-0000-0000-000046970000}"/>
    <cellStyle name="Bemærk! 2 8 3 3" xfId="8708" xr:uid="{00000000-0005-0000-0000-000047970000}"/>
    <cellStyle name="Bemærk! 2 8 3 3 2" xfId="16575" xr:uid="{00000000-0005-0000-0000-000048970000}"/>
    <cellStyle name="Bemærk! 2 8 3 3 2 2" xfId="32851" xr:uid="{00000000-0005-0000-0000-000049970000}"/>
    <cellStyle name="Bemærk! 2 8 3 3 2 3" xfId="47810" xr:uid="{00000000-0005-0000-0000-00004A970000}"/>
    <cellStyle name="Bemærk! 2 8 3 3 3" xfId="25849" xr:uid="{00000000-0005-0000-0000-00004B970000}"/>
    <cellStyle name="Bemærk! 2 8 3 3 4" xfId="40813" xr:uid="{00000000-0005-0000-0000-00004C970000}"/>
    <cellStyle name="Bemærk! 2 8 4" xfId="7181" xr:uid="{00000000-0005-0000-0000-00004D970000}"/>
    <cellStyle name="Bemærk! 2 8 4 2" xfId="9457" xr:uid="{00000000-0005-0000-0000-00004E970000}"/>
    <cellStyle name="Bemærk! 2 8 4 2 2" xfId="17320" xr:uid="{00000000-0005-0000-0000-00004F970000}"/>
    <cellStyle name="Bemærk! 2 8 4 2 2 2" xfId="33596" xr:uid="{00000000-0005-0000-0000-000050970000}"/>
    <cellStyle name="Bemærk! 2 8 4 2 2 3" xfId="48555" xr:uid="{00000000-0005-0000-0000-000051970000}"/>
    <cellStyle name="Bemærk! 2 8 4 2 3" xfId="26594" xr:uid="{00000000-0005-0000-0000-000052970000}"/>
    <cellStyle name="Bemærk! 2 8 4 2 4" xfId="41558" xr:uid="{00000000-0005-0000-0000-000053970000}"/>
    <cellStyle name="Bemærk! 2 9" xfId="7182" xr:uid="{00000000-0005-0000-0000-000054970000}"/>
    <cellStyle name="Bemærk! 2 9 2" xfId="7183" xr:uid="{00000000-0005-0000-0000-000055970000}"/>
    <cellStyle name="Bemærk! 2 9 2 2" xfId="7184" xr:uid="{00000000-0005-0000-0000-000056970000}"/>
    <cellStyle name="Bemærk! 2 9 2 2 2" xfId="10393" xr:uid="{00000000-0005-0000-0000-000057970000}"/>
    <cellStyle name="Bemærk! 2 9 2 2 2 2" xfId="18248" xr:uid="{00000000-0005-0000-0000-000058970000}"/>
    <cellStyle name="Bemærk! 2 9 2 2 2 2 2" xfId="34524" xr:uid="{00000000-0005-0000-0000-000059970000}"/>
    <cellStyle name="Bemærk! 2 9 2 2 2 2 3" xfId="49483" xr:uid="{00000000-0005-0000-0000-00005A970000}"/>
    <cellStyle name="Bemærk! 2 9 2 2 2 3" xfId="27522" xr:uid="{00000000-0005-0000-0000-00005B970000}"/>
    <cellStyle name="Bemærk! 2 9 2 2 2 4" xfId="42486" xr:uid="{00000000-0005-0000-0000-00005C970000}"/>
    <cellStyle name="Bemærk! 2 9 3" xfId="7185" xr:uid="{00000000-0005-0000-0000-00005D970000}"/>
    <cellStyle name="Bemærk! 2 9 3 2" xfId="7186" xr:uid="{00000000-0005-0000-0000-00005E970000}"/>
    <cellStyle name="Bemærk! 2 9 3 2 2" xfId="11004" xr:uid="{00000000-0005-0000-0000-00005F970000}"/>
    <cellStyle name="Bemærk! 2 9 3 2 2 2" xfId="18835" xr:uid="{00000000-0005-0000-0000-000060970000}"/>
    <cellStyle name="Bemærk! 2 9 3 2 2 2 2" xfId="35111" xr:uid="{00000000-0005-0000-0000-000061970000}"/>
    <cellStyle name="Bemærk! 2 9 3 2 2 2 3" xfId="50070" xr:uid="{00000000-0005-0000-0000-000062970000}"/>
    <cellStyle name="Bemærk! 2 9 3 2 2 3" xfId="28109" xr:uid="{00000000-0005-0000-0000-000063970000}"/>
    <cellStyle name="Bemærk! 2 9 3 2 2 4" xfId="43073" xr:uid="{00000000-0005-0000-0000-000064970000}"/>
    <cellStyle name="Bemærk! 2 9 3 3" xfId="8887" xr:uid="{00000000-0005-0000-0000-000065970000}"/>
    <cellStyle name="Bemærk! 2 9 3 3 2" xfId="16754" xr:uid="{00000000-0005-0000-0000-000066970000}"/>
    <cellStyle name="Bemærk! 2 9 3 3 2 2" xfId="33030" xr:uid="{00000000-0005-0000-0000-000067970000}"/>
    <cellStyle name="Bemærk! 2 9 3 3 2 3" xfId="47989" xr:uid="{00000000-0005-0000-0000-000068970000}"/>
    <cellStyle name="Bemærk! 2 9 3 3 3" xfId="26028" xr:uid="{00000000-0005-0000-0000-000069970000}"/>
    <cellStyle name="Bemærk! 2 9 3 3 4" xfId="40992" xr:uid="{00000000-0005-0000-0000-00006A970000}"/>
    <cellStyle name="Bemærk! 2 9 4" xfId="7187" xr:uid="{00000000-0005-0000-0000-00006B970000}"/>
    <cellStyle name="Bemærk! 2 9 4 2" xfId="9671" xr:uid="{00000000-0005-0000-0000-00006C970000}"/>
    <cellStyle name="Bemærk! 2 9 4 2 2" xfId="17534" xr:uid="{00000000-0005-0000-0000-00006D970000}"/>
    <cellStyle name="Bemærk! 2 9 4 2 2 2" xfId="33810" xr:uid="{00000000-0005-0000-0000-00006E970000}"/>
    <cellStyle name="Bemærk! 2 9 4 2 2 3" xfId="48769" xr:uid="{00000000-0005-0000-0000-00006F970000}"/>
    <cellStyle name="Bemærk! 2 9 4 2 3" xfId="26808" xr:uid="{00000000-0005-0000-0000-000070970000}"/>
    <cellStyle name="Bemærk! 2 9 4 2 4" xfId="41772" xr:uid="{00000000-0005-0000-0000-000071970000}"/>
    <cellStyle name="Bemærk! 3" xfId="7188" xr:uid="{00000000-0005-0000-0000-000072970000}"/>
    <cellStyle name="Bemærk! 3 10" xfId="7189" xr:uid="{00000000-0005-0000-0000-000073970000}"/>
    <cellStyle name="Bemærk! 3 10 2" xfId="7190" xr:uid="{00000000-0005-0000-0000-000074970000}"/>
    <cellStyle name="Bemærk! 3 10 2 2" xfId="10675" xr:uid="{00000000-0005-0000-0000-000075970000}"/>
    <cellStyle name="Bemærk! 3 10 2 2 2" xfId="18521" xr:uid="{00000000-0005-0000-0000-000076970000}"/>
    <cellStyle name="Bemærk! 3 10 2 2 2 2" xfId="34797" xr:uid="{00000000-0005-0000-0000-000077970000}"/>
    <cellStyle name="Bemærk! 3 10 2 2 2 3" xfId="49756" xr:uid="{00000000-0005-0000-0000-000078970000}"/>
    <cellStyle name="Bemærk! 3 10 2 2 3" xfId="27795" xr:uid="{00000000-0005-0000-0000-000079970000}"/>
    <cellStyle name="Bemærk! 3 10 2 2 4" xfId="42759" xr:uid="{00000000-0005-0000-0000-00007A970000}"/>
    <cellStyle name="Bemærk! 3 10 3" xfId="8309" xr:uid="{00000000-0005-0000-0000-00007B970000}"/>
    <cellStyle name="Bemærk! 3 10 3 2" xfId="16179" xr:uid="{00000000-0005-0000-0000-00007C970000}"/>
    <cellStyle name="Bemærk! 3 10 3 2 2" xfId="32455" xr:uid="{00000000-0005-0000-0000-00007D970000}"/>
    <cellStyle name="Bemærk! 3 10 3 2 3" xfId="47414" xr:uid="{00000000-0005-0000-0000-00007E970000}"/>
    <cellStyle name="Bemærk! 3 10 3 3" xfId="25453" xr:uid="{00000000-0005-0000-0000-00007F970000}"/>
    <cellStyle name="Bemærk! 3 10 3 4" xfId="40417" xr:uid="{00000000-0005-0000-0000-000080970000}"/>
    <cellStyle name="Bemærk! 3 11" xfId="7191" xr:uid="{00000000-0005-0000-0000-000081970000}"/>
    <cellStyle name="Bemærk! 3 11 2" xfId="8933" xr:uid="{00000000-0005-0000-0000-000082970000}"/>
    <cellStyle name="Bemærk! 3 11 2 2" xfId="16798" xr:uid="{00000000-0005-0000-0000-000083970000}"/>
    <cellStyle name="Bemærk! 3 11 2 2 2" xfId="33074" xr:uid="{00000000-0005-0000-0000-000084970000}"/>
    <cellStyle name="Bemærk! 3 11 2 2 3" xfId="48033" xr:uid="{00000000-0005-0000-0000-000085970000}"/>
    <cellStyle name="Bemærk! 3 11 2 3" xfId="26072" xr:uid="{00000000-0005-0000-0000-000086970000}"/>
    <cellStyle name="Bemærk! 3 11 2 4" xfId="41036" xr:uid="{00000000-0005-0000-0000-000087970000}"/>
    <cellStyle name="Bemærk! 3 2" xfId="7192" xr:uid="{00000000-0005-0000-0000-000088970000}"/>
    <cellStyle name="Bemærk! 3 2 2" xfId="7193" xr:uid="{00000000-0005-0000-0000-000089970000}"/>
    <cellStyle name="Bemærk! 3 2 2 2" xfId="7194" xr:uid="{00000000-0005-0000-0000-00008A970000}"/>
    <cellStyle name="Bemærk! 3 2 2 2 2" xfId="7195" xr:uid="{00000000-0005-0000-0000-00008B970000}"/>
    <cellStyle name="Bemærk! 3 2 2 2 2 2" xfId="9865" xr:uid="{00000000-0005-0000-0000-00008C970000}"/>
    <cellStyle name="Bemærk! 3 2 2 2 2 2 2" xfId="17720" xr:uid="{00000000-0005-0000-0000-00008D970000}"/>
    <cellStyle name="Bemærk! 3 2 2 2 2 2 2 2" xfId="33996" xr:uid="{00000000-0005-0000-0000-00008E970000}"/>
    <cellStyle name="Bemærk! 3 2 2 2 2 2 2 3" xfId="48955" xr:uid="{00000000-0005-0000-0000-00008F970000}"/>
    <cellStyle name="Bemærk! 3 2 2 2 2 2 3" xfId="26994" xr:uid="{00000000-0005-0000-0000-000090970000}"/>
    <cellStyle name="Bemærk! 3 2 2 2 2 2 4" xfId="41958" xr:uid="{00000000-0005-0000-0000-000091970000}"/>
    <cellStyle name="Bemærk! 3 2 2 3" xfId="7196" xr:uid="{00000000-0005-0000-0000-000092970000}"/>
    <cellStyle name="Bemærk! 3 2 2 3 2" xfId="7197" xr:uid="{00000000-0005-0000-0000-000093970000}"/>
    <cellStyle name="Bemærk! 3 2 2 3 2 2" xfId="10952" xr:uid="{00000000-0005-0000-0000-000094970000}"/>
    <cellStyle name="Bemærk! 3 2 2 3 2 2 2" xfId="18786" xr:uid="{00000000-0005-0000-0000-000095970000}"/>
    <cellStyle name="Bemærk! 3 2 2 3 2 2 2 2" xfId="35062" xr:uid="{00000000-0005-0000-0000-000096970000}"/>
    <cellStyle name="Bemærk! 3 2 2 3 2 2 2 3" xfId="50021" xr:uid="{00000000-0005-0000-0000-000097970000}"/>
    <cellStyle name="Bemærk! 3 2 2 3 2 2 3" xfId="28060" xr:uid="{00000000-0005-0000-0000-000098970000}"/>
    <cellStyle name="Bemærk! 3 2 2 3 2 2 4" xfId="43024" xr:uid="{00000000-0005-0000-0000-000099970000}"/>
    <cellStyle name="Bemærk! 3 2 2 3 3" xfId="8441" xr:uid="{00000000-0005-0000-0000-00009A970000}"/>
    <cellStyle name="Bemærk! 3 2 2 3 3 2" xfId="16311" xr:uid="{00000000-0005-0000-0000-00009B970000}"/>
    <cellStyle name="Bemærk! 3 2 2 3 3 2 2" xfId="32587" xr:uid="{00000000-0005-0000-0000-00009C970000}"/>
    <cellStyle name="Bemærk! 3 2 2 3 3 2 3" xfId="47546" xr:uid="{00000000-0005-0000-0000-00009D970000}"/>
    <cellStyle name="Bemærk! 3 2 2 3 3 3" xfId="25585" xr:uid="{00000000-0005-0000-0000-00009E970000}"/>
    <cellStyle name="Bemærk! 3 2 2 3 3 4" xfId="40549" xr:uid="{00000000-0005-0000-0000-00009F970000}"/>
    <cellStyle name="Bemærk! 3 2 2 4" xfId="7198" xr:uid="{00000000-0005-0000-0000-0000A0970000}"/>
    <cellStyle name="Bemærk! 3 2 2 4 2" xfId="9096" xr:uid="{00000000-0005-0000-0000-0000A1970000}"/>
    <cellStyle name="Bemærk! 3 2 2 4 2 2" xfId="16960" xr:uid="{00000000-0005-0000-0000-0000A2970000}"/>
    <cellStyle name="Bemærk! 3 2 2 4 2 2 2" xfId="33236" xr:uid="{00000000-0005-0000-0000-0000A3970000}"/>
    <cellStyle name="Bemærk! 3 2 2 4 2 2 3" xfId="48195" xr:uid="{00000000-0005-0000-0000-0000A4970000}"/>
    <cellStyle name="Bemærk! 3 2 2 4 2 3" xfId="26234" xr:uid="{00000000-0005-0000-0000-0000A5970000}"/>
    <cellStyle name="Bemærk! 3 2 2 4 2 4" xfId="41198" xr:uid="{00000000-0005-0000-0000-0000A6970000}"/>
    <cellStyle name="Bemærk! 3 2 3" xfId="7199" xr:uid="{00000000-0005-0000-0000-0000A7970000}"/>
    <cellStyle name="Bemærk! 3 2 3 2" xfId="7200" xr:uid="{00000000-0005-0000-0000-0000A8970000}"/>
    <cellStyle name="Bemærk! 3 2 3 2 2" xfId="7201" xr:uid="{00000000-0005-0000-0000-0000A9970000}"/>
    <cellStyle name="Bemærk! 3 2 3 2 2 2" xfId="10046" xr:uid="{00000000-0005-0000-0000-0000AA970000}"/>
    <cellStyle name="Bemærk! 3 2 3 2 2 2 2" xfId="17901" xr:uid="{00000000-0005-0000-0000-0000AB970000}"/>
    <cellStyle name="Bemærk! 3 2 3 2 2 2 2 2" xfId="34177" xr:uid="{00000000-0005-0000-0000-0000AC970000}"/>
    <cellStyle name="Bemærk! 3 2 3 2 2 2 2 3" xfId="49136" xr:uid="{00000000-0005-0000-0000-0000AD970000}"/>
    <cellStyle name="Bemærk! 3 2 3 2 2 2 3" xfId="27175" xr:uid="{00000000-0005-0000-0000-0000AE970000}"/>
    <cellStyle name="Bemærk! 3 2 3 2 2 2 4" xfId="42139" xr:uid="{00000000-0005-0000-0000-0000AF970000}"/>
    <cellStyle name="Bemærk! 3 2 3 3" xfId="7202" xr:uid="{00000000-0005-0000-0000-0000B0970000}"/>
    <cellStyle name="Bemærk! 3 2 3 3 2" xfId="7203" xr:uid="{00000000-0005-0000-0000-0000B1970000}"/>
    <cellStyle name="Bemærk! 3 2 3 3 2 2" xfId="8906" xr:uid="{00000000-0005-0000-0000-0000B2970000}"/>
    <cellStyle name="Bemærk! 3 2 3 3 2 2 2" xfId="16772" xr:uid="{00000000-0005-0000-0000-0000B3970000}"/>
    <cellStyle name="Bemærk! 3 2 3 3 2 2 2 2" xfId="33048" xr:uid="{00000000-0005-0000-0000-0000B4970000}"/>
    <cellStyle name="Bemærk! 3 2 3 3 2 2 2 3" xfId="48007" xr:uid="{00000000-0005-0000-0000-0000B5970000}"/>
    <cellStyle name="Bemærk! 3 2 3 3 2 2 3" xfId="26046" xr:uid="{00000000-0005-0000-0000-0000B6970000}"/>
    <cellStyle name="Bemærk! 3 2 3 3 2 2 4" xfId="41010" xr:uid="{00000000-0005-0000-0000-0000B7970000}"/>
    <cellStyle name="Bemærk! 3 2 3 3 3" xfId="8596" xr:uid="{00000000-0005-0000-0000-0000B8970000}"/>
    <cellStyle name="Bemærk! 3 2 3 3 3 2" xfId="16463" xr:uid="{00000000-0005-0000-0000-0000B9970000}"/>
    <cellStyle name="Bemærk! 3 2 3 3 3 2 2" xfId="32739" xr:uid="{00000000-0005-0000-0000-0000BA970000}"/>
    <cellStyle name="Bemærk! 3 2 3 3 3 2 3" xfId="47698" xr:uid="{00000000-0005-0000-0000-0000BB970000}"/>
    <cellStyle name="Bemærk! 3 2 3 3 3 3" xfId="25737" xr:uid="{00000000-0005-0000-0000-0000BC970000}"/>
    <cellStyle name="Bemærk! 3 2 3 3 3 4" xfId="40701" xr:uid="{00000000-0005-0000-0000-0000BD970000}"/>
    <cellStyle name="Bemærk! 3 2 3 4" xfId="7204" xr:uid="{00000000-0005-0000-0000-0000BE970000}"/>
    <cellStyle name="Bemærk! 3 2 3 4 2" xfId="9278" xr:uid="{00000000-0005-0000-0000-0000BF970000}"/>
    <cellStyle name="Bemærk! 3 2 3 4 2 2" xfId="17142" xr:uid="{00000000-0005-0000-0000-0000C0970000}"/>
    <cellStyle name="Bemærk! 3 2 3 4 2 2 2" xfId="33418" xr:uid="{00000000-0005-0000-0000-0000C1970000}"/>
    <cellStyle name="Bemærk! 3 2 3 4 2 2 3" xfId="48377" xr:uid="{00000000-0005-0000-0000-0000C2970000}"/>
    <cellStyle name="Bemærk! 3 2 3 4 2 3" xfId="26416" xr:uid="{00000000-0005-0000-0000-0000C3970000}"/>
    <cellStyle name="Bemærk! 3 2 3 4 2 4" xfId="41380" xr:uid="{00000000-0005-0000-0000-0000C4970000}"/>
    <cellStyle name="Bemærk! 3 2 4" xfId="7205" xr:uid="{00000000-0005-0000-0000-0000C5970000}"/>
    <cellStyle name="Bemærk! 3 2 4 2" xfId="7206" xr:uid="{00000000-0005-0000-0000-0000C6970000}"/>
    <cellStyle name="Bemærk! 3 2 4 2 2" xfId="7207" xr:uid="{00000000-0005-0000-0000-0000C7970000}"/>
    <cellStyle name="Bemærk! 3 2 4 2 2 2" xfId="10103" xr:uid="{00000000-0005-0000-0000-0000C8970000}"/>
    <cellStyle name="Bemærk! 3 2 4 2 2 2 2" xfId="17958" xr:uid="{00000000-0005-0000-0000-0000C9970000}"/>
    <cellStyle name="Bemærk! 3 2 4 2 2 2 2 2" xfId="34234" xr:uid="{00000000-0005-0000-0000-0000CA970000}"/>
    <cellStyle name="Bemærk! 3 2 4 2 2 2 2 3" xfId="49193" xr:uid="{00000000-0005-0000-0000-0000CB970000}"/>
    <cellStyle name="Bemærk! 3 2 4 2 2 2 3" xfId="27232" xr:uid="{00000000-0005-0000-0000-0000CC970000}"/>
    <cellStyle name="Bemærk! 3 2 4 2 2 2 4" xfId="42196" xr:uid="{00000000-0005-0000-0000-0000CD970000}"/>
    <cellStyle name="Bemærk! 3 2 4 3" xfId="7208" xr:uid="{00000000-0005-0000-0000-0000CE970000}"/>
    <cellStyle name="Bemærk! 3 2 4 3 2" xfId="7209" xr:uid="{00000000-0005-0000-0000-0000CF970000}"/>
    <cellStyle name="Bemærk! 3 2 4 3 2 2" xfId="10435" xr:uid="{00000000-0005-0000-0000-0000D0970000}"/>
    <cellStyle name="Bemærk! 3 2 4 3 2 2 2" xfId="18287" xr:uid="{00000000-0005-0000-0000-0000D1970000}"/>
    <cellStyle name="Bemærk! 3 2 4 3 2 2 2 2" xfId="34563" xr:uid="{00000000-0005-0000-0000-0000D2970000}"/>
    <cellStyle name="Bemærk! 3 2 4 3 2 2 2 3" xfId="49522" xr:uid="{00000000-0005-0000-0000-0000D3970000}"/>
    <cellStyle name="Bemærk! 3 2 4 3 2 2 3" xfId="27561" xr:uid="{00000000-0005-0000-0000-0000D4970000}"/>
    <cellStyle name="Bemærk! 3 2 4 3 2 2 4" xfId="42525" xr:uid="{00000000-0005-0000-0000-0000D5970000}"/>
    <cellStyle name="Bemærk! 3 2 4 3 3" xfId="8643" xr:uid="{00000000-0005-0000-0000-0000D6970000}"/>
    <cellStyle name="Bemærk! 3 2 4 3 3 2" xfId="16510" xr:uid="{00000000-0005-0000-0000-0000D7970000}"/>
    <cellStyle name="Bemærk! 3 2 4 3 3 2 2" xfId="32786" xr:uid="{00000000-0005-0000-0000-0000D8970000}"/>
    <cellStyle name="Bemærk! 3 2 4 3 3 2 3" xfId="47745" xr:uid="{00000000-0005-0000-0000-0000D9970000}"/>
    <cellStyle name="Bemærk! 3 2 4 3 3 3" xfId="25784" xr:uid="{00000000-0005-0000-0000-0000DA970000}"/>
    <cellStyle name="Bemærk! 3 2 4 3 3 4" xfId="40748" xr:uid="{00000000-0005-0000-0000-0000DB970000}"/>
    <cellStyle name="Bemærk! 3 2 4 4" xfId="7210" xr:uid="{00000000-0005-0000-0000-0000DC970000}"/>
    <cellStyle name="Bemærk! 3 2 4 4 2" xfId="9380" xr:uid="{00000000-0005-0000-0000-0000DD970000}"/>
    <cellStyle name="Bemærk! 3 2 4 4 2 2" xfId="17243" xr:uid="{00000000-0005-0000-0000-0000DE970000}"/>
    <cellStyle name="Bemærk! 3 2 4 4 2 2 2" xfId="33519" xr:uid="{00000000-0005-0000-0000-0000DF970000}"/>
    <cellStyle name="Bemærk! 3 2 4 4 2 2 3" xfId="48478" xr:uid="{00000000-0005-0000-0000-0000E0970000}"/>
    <cellStyle name="Bemærk! 3 2 4 4 2 3" xfId="26517" xr:uid="{00000000-0005-0000-0000-0000E1970000}"/>
    <cellStyle name="Bemærk! 3 2 4 4 2 4" xfId="41481" xr:uid="{00000000-0005-0000-0000-0000E2970000}"/>
    <cellStyle name="Bemærk! 3 2 5" xfId="7211" xr:uid="{00000000-0005-0000-0000-0000E3970000}"/>
    <cellStyle name="Bemærk! 3 2 5 2" xfId="7212" xr:uid="{00000000-0005-0000-0000-0000E4970000}"/>
    <cellStyle name="Bemærk! 3 2 5 2 2" xfId="7213" xr:uid="{00000000-0005-0000-0000-0000E5970000}"/>
    <cellStyle name="Bemærk! 3 2 5 2 2 2" xfId="10220" xr:uid="{00000000-0005-0000-0000-0000E6970000}"/>
    <cellStyle name="Bemærk! 3 2 5 2 2 2 2" xfId="18075" xr:uid="{00000000-0005-0000-0000-0000E7970000}"/>
    <cellStyle name="Bemærk! 3 2 5 2 2 2 2 2" xfId="34351" xr:uid="{00000000-0005-0000-0000-0000E8970000}"/>
    <cellStyle name="Bemærk! 3 2 5 2 2 2 2 3" xfId="49310" xr:uid="{00000000-0005-0000-0000-0000E9970000}"/>
    <cellStyle name="Bemærk! 3 2 5 2 2 2 3" xfId="27349" xr:uid="{00000000-0005-0000-0000-0000EA970000}"/>
    <cellStyle name="Bemærk! 3 2 5 2 2 2 4" xfId="42313" xr:uid="{00000000-0005-0000-0000-0000EB970000}"/>
    <cellStyle name="Bemærk! 3 2 5 3" xfId="7214" xr:uid="{00000000-0005-0000-0000-0000EC970000}"/>
    <cellStyle name="Bemærk! 3 2 5 3 2" xfId="7215" xr:uid="{00000000-0005-0000-0000-0000ED970000}"/>
    <cellStyle name="Bemærk! 3 2 5 3 2 2" xfId="10949" xr:uid="{00000000-0005-0000-0000-0000EE970000}"/>
    <cellStyle name="Bemærk! 3 2 5 3 2 2 2" xfId="18783" xr:uid="{00000000-0005-0000-0000-0000EF970000}"/>
    <cellStyle name="Bemærk! 3 2 5 3 2 2 2 2" xfId="35059" xr:uid="{00000000-0005-0000-0000-0000F0970000}"/>
    <cellStyle name="Bemærk! 3 2 5 3 2 2 2 3" xfId="50018" xr:uid="{00000000-0005-0000-0000-0000F1970000}"/>
    <cellStyle name="Bemærk! 3 2 5 3 2 2 3" xfId="28057" xr:uid="{00000000-0005-0000-0000-0000F2970000}"/>
    <cellStyle name="Bemærk! 3 2 5 3 2 2 4" xfId="43021" xr:uid="{00000000-0005-0000-0000-0000F3970000}"/>
    <cellStyle name="Bemærk! 3 2 5 3 3" xfId="8742" xr:uid="{00000000-0005-0000-0000-0000F4970000}"/>
    <cellStyle name="Bemærk! 3 2 5 3 3 2" xfId="16609" xr:uid="{00000000-0005-0000-0000-0000F5970000}"/>
    <cellStyle name="Bemærk! 3 2 5 3 3 2 2" xfId="32885" xr:uid="{00000000-0005-0000-0000-0000F6970000}"/>
    <cellStyle name="Bemærk! 3 2 5 3 3 2 3" xfId="47844" xr:uid="{00000000-0005-0000-0000-0000F7970000}"/>
    <cellStyle name="Bemærk! 3 2 5 3 3 3" xfId="25883" xr:uid="{00000000-0005-0000-0000-0000F8970000}"/>
    <cellStyle name="Bemærk! 3 2 5 3 3 4" xfId="40847" xr:uid="{00000000-0005-0000-0000-0000F9970000}"/>
    <cellStyle name="Bemærk! 3 2 5 4" xfId="7216" xr:uid="{00000000-0005-0000-0000-0000FA970000}"/>
    <cellStyle name="Bemærk! 3 2 5 4 2" xfId="9497" xr:uid="{00000000-0005-0000-0000-0000FB970000}"/>
    <cellStyle name="Bemærk! 3 2 5 4 2 2" xfId="17360" xr:uid="{00000000-0005-0000-0000-0000FC970000}"/>
    <cellStyle name="Bemærk! 3 2 5 4 2 2 2" xfId="33636" xr:uid="{00000000-0005-0000-0000-0000FD970000}"/>
    <cellStyle name="Bemærk! 3 2 5 4 2 2 3" xfId="48595" xr:uid="{00000000-0005-0000-0000-0000FE970000}"/>
    <cellStyle name="Bemærk! 3 2 5 4 2 3" xfId="26634" xr:uid="{00000000-0005-0000-0000-0000FF970000}"/>
    <cellStyle name="Bemærk! 3 2 5 4 2 4" xfId="41598" xr:uid="{00000000-0005-0000-0000-000000980000}"/>
    <cellStyle name="Bemærk! 3 2 6" xfId="7217" xr:uid="{00000000-0005-0000-0000-000001980000}"/>
    <cellStyle name="Bemærk! 3 2 6 2" xfId="7218" xr:uid="{00000000-0005-0000-0000-000002980000}"/>
    <cellStyle name="Bemærk! 3 2 6 2 2" xfId="7219" xr:uid="{00000000-0005-0000-0000-000003980000}"/>
    <cellStyle name="Bemærk! 3 2 6 2 2 2" xfId="10400" xr:uid="{00000000-0005-0000-0000-000004980000}"/>
    <cellStyle name="Bemærk! 3 2 6 2 2 2 2" xfId="18255" xr:uid="{00000000-0005-0000-0000-000005980000}"/>
    <cellStyle name="Bemærk! 3 2 6 2 2 2 2 2" xfId="34531" xr:uid="{00000000-0005-0000-0000-000006980000}"/>
    <cellStyle name="Bemærk! 3 2 6 2 2 2 2 3" xfId="49490" xr:uid="{00000000-0005-0000-0000-000007980000}"/>
    <cellStyle name="Bemærk! 3 2 6 2 2 2 3" xfId="27529" xr:uid="{00000000-0005-0000-0000-000008980000}"/>
    <cellStyle name="Bemærk! 3 2 6 2 2 2 4" xfId="42493" xr:uid="{00000000-0005-0000-0000-000009980000}"/>
    <cellStyle name="Bemærk! 3 2 6 3" xfId="7220" xr:uid="{00000000-0005-0000-0000-00000A980000}"/>
    <cellStyle name="Bemærk! 3 2 6 3 2" xfId="7221" xr:uid="{00000000-0005-0000-0000-00000B980000}"/>
    <cellStyle name="Bemærk! 3 2 6 3 2 2" xfId="11011" xr:uid="{00000000-0005-0000-0000-00000C980000}"/>
    <cellStyle name="Bemærk! 3 2 6 3 2 2 2" xfId="18842" xr:uid="{00000000-0005-0000-0000-00000D980000}"/>
    <cellStyle name="Bemærk! 3 2 6 3 2 2 2 2" xfId="35118" xr:uid="{00000000-0005-0000-0000-00000E980000}"/>
    <cellStyle name="Bemærk! 3 2 6 3 2 2 2 3" xfId="50077" xr:uid="{00000000-0005-0000-0000-00000F980000}"/>
    <cellStyle name="Bemærk! 3 2 6 3 2 2 3" xfId="28116" xr:uid="{00000000-0005-0000-0000-000010980000}"/>
    <cellStyle name="Bemærk! 3 2 6 3 2 2 4" xfId="43080" xr:uid="{00000000-0005-0000-0000-000011980000}"/>
    <cellStyle name="Bemærk! 3 2 6 3 3" xfId="8894" xr:uid="{00000000-0005-0000-0000-000012980000}"/>
    <cellStyle name="Bemærk! 3 2 6 3 3 2" xfId="16761" xr:uid="{00000000-0005-0000-0000-000013980000}"/>
    <cellStyle name="Bemærk! 3 2 6 3 3 2 2" xfId="33037" xr:uid="{00000000-0005-0000-0000-000014980000}"/>
    <cellStyle name="Bemærk! 3 2 6 3 3 2 3" xfId="47996" xr:uid="{00000000-0005-0000-0000-000015980000}"/>
    <cellStyle name="Bemærk! 3 2 6 3 3 3" xfId="26035" xr:uid="{00000000-0005-0000-0000-000016980000}"/>
    <cellStyle name="Bemærk! 3 2 6 3 3 4" xfId="40999" xr:uid="{00000000-0005-0000-0000-000017980000}"/>
    <cellStyle name="Bemærk! 3 2 6 4" xfId="7222" xr:uid="{00000000-0005-0000-0000-000018980000}"/>
    <cellStyle name="Bemærk! 3 2 6 4 2" xfId="9678" xr:uid="{00000000-0005-0000-0000-000019980000}"/>
    <cellStyle name="Bemærk! 3 2 6 4 2 2" xfId="17541" xr:uid="{00000000-0005-0000-0000-00001A980000}"/>
    <cellStyle name="Bemærk! 3 2 6 4 2 2 2" xfId="33817" xr:uid="{00000000-0005-0000-0000-00001B980000}"/>
    <cellStyle name="Bemærk! 3 2 6 4 2 2 3" xfId="48776" xr:uid="{00000000-0005-0000-0000-00001C980000}"/>
    <cellStyle name="Bemærk! 3 2 6 4 2 3" xfId="26815" xr:uid="{00000000-0005-0000-0000-00001D980000}"/>
    <cellStyle name="Bemærk! 3 2 6 4 2 4" xfId="41779" xr:uid="{00000000-0005-0000-0000-00001E980000}"/>
    <cellStyle name="Bemærk! 3 2 7" xfId="7223" xr:uid="{00000000-0005-0000-0000-00001F980000}"/>
    <cellStyle name="Bemærk! 3 2 7 2" xfId="7224" xr:uid="{00000000-0005-0000-0000-000020980000}"/>
    <cellStyle name="Bemærk! 3 2 7 2 2" xfId="9747" xr:uid="{00000000-0005-0000-0000-000021980000}"/>
    <cellStyle name="Bemærk! 3 2 7 2 2 2" xfId="17601" xr:uid="{00000000-0005-0000-0000-000022980000}"/>
    <cellStyle name="Bemærk! 3 2 7 2 2 2 2" xfId="33877" xr:uid="{00000000-0005-0000-0000-000023980000}"/>
    <cellStyle name="Bemærk! 3 2 7 2 2 2 3" xfId="48836" xr:uid="{00000000-0005-0000-0000-000024980000}"/>
    <cellStyle name="Bemærk! 3 2 7 2 2 3" xfId="26875" xr:uid="{00000000-0005-0000-0000-000025980000}"/>
    <cellStyle name="Bemærk! 3 2 7 2 2 4" xfId="41839" xr:uid="{00000000-0005-0000-0000-000026980000}"/>
    <cellStyle name="Bemærk! 3 2 8" xfId="7225" xr:uid="{00000000-0005-0000-0000-000027980000}"/>
    <cellStyle name="Bemærk! 3 2 8 2" xfId="7226" xr:uid="{00000000-0005-0000-0000-000028980000}"/>
    <cellStyle name="Bemærk! 3 2 8 2 2" xfId="9284" xr:uid="{00000000-0005-0000-0000-000029980000}"/>
    <cellStyle name="Bemærk! 3 2 8 2 2 2" xfId="17148" xr:uid="{00000000-0005-0000-0000-00002A980000}"/>
    <cellStyle name="Bemærk! 3 2 8 2 2 2 2" xfId="33424" xr:uid="{00000000-0005-0000-0000-00002B980000}"/>
    <cellStyle name="Bemærk! 3 2 8 2 2 2 3" xfId="48383" xr:uid="{00000000-0005-0000-0000-00002C980000}"/>
    <cellStyle name="Bemærk! 3 2 8 2 2 3" xfId="26422" xr:uid="{00000000-0005-0000-0000-00002D980000}"/>
    <cellStyle name="Bemærk! 3 2 8 2 2 4" xfId="41386" xr:uid="{00000000-0005-0000-0000-00002E980000}"/>
    <cellStyle name="Bemærk! 3 2 8 3" xfId="8342" xr:uid="{00000000-0005-0000-0000-00002F980000}"/>
    <cellStyle name="Bemærk! 3 2 8 3 2" xfId="16212" xr:uid="{00000000-0005-0000-0000-000030980000}"/>
    <cellStyle name="Bemærk! 3 2 8 3 2 2" xfId="32488" xr:uid="{00000000-0005-0000-0000-000031980000}"/>
    <cellStyle name="Bemærk! 3 2 8 3 2 3" xfId="47447" xr:uid="{00000000-0005-0000-0000-000032980000}"/>
    <cellStyle name="Bemærk! 3 2 8 3 3" xfId="25486" xr:uid="{00000000-0005-0000-0000-000033980000}"/>
    <cellStyle name="Bemærk! 3 2 8 3 4" xfId="40450" xr:uid="{00000000-0005-0000-0000-000034980000}"/>
    <cellStyle name="Bemærk! 3 2 9" xfId="7227" xr:uid="{00000000-0005-0000-0000-000035980000}"/>
    <cellStyle name="Bemærk! 3 2 9 2" xfId="8975" xr:uid="{00000000-0005-0000-0000-000036980000}"/>
    <cellStyle name="Bemærk! 3 2 9 2 2" xfId="16839" xr:uid="{00000000-0005-0000-0000-000037980000}"/>
    <cellStyle name="Bemærk! 3 2 9 2 2 2" xfId="33115" xr:uid="{00000000-0005-0000-0000-000038980000}"/>
    <cellStyle name="Bemærk! 3 2 9 2 2 3" xfId="48074" xr:uid="{00000000-0005-0000-0000-000039980000}"/>
    <cellStyle name="Bemærk! 3 2 9 2 3" xfId="26113" xr:uid="{00000000-0005-0000-0000-00003A980000}"/>
    <cellStyle name="Bemærk! 3 2 9 2 4" xfId="41077" xr:uid="{00000000-0005-0000-0000-00003B980000}"/>
    <cellStyle name="Bemærk! 3 3" xfId="7228" xr:uid="{00000000-0005-0000-0000-00003C980000}"/>
    <cellStyle name="Bemærk! 3 3 2" xfId="7229" xr:uid="{00000000-0005-0000-0000-00003D980000}"/>
    <cellStyle name="Bemærk! 3 3 2 2" xfId="7230" xr:uid="{00000000-0005-0000-0000-00003E980000}"/>
    <cellStyle name="Bemærk! 3 3 2 2 2" xfId="7231" xr:uid="{00000000-0005-0000-0000-00003F980000}"/>
    <cellStyle name="Bemærk! 3 3 2 2 2 2" xfId="9904" xr:uid="{00000000-0005-0000-0000-000040980000}"/>
    <cellStyle name="Bemærk! 3 3 2 2 2 2 2" xfId="17759" xr:uid="{00000000-0005-0000-0000-000041980000}"/>
    <cellStyle name="Bemærk! 3 3 2 2 2 2 2 2" xfId="34035" xr:uid="{00000000-0005-0000-0000-000042980000}"/>
    <cellStyle name="Bemærk! 3 3 2 2 2 2 2 3" xfId="48994" xr:uid="{00000000-0005-0000-0000-000043980000}"/>
    <cellStyle name="Bemærk! 3 3 2 2 2 2 3" xfId="27033" xr:uid="{00000000-0005-0000-0000-000044980000}"/>
    <cellStyle name="Bemærk! 3 3 2 2 2 2 4" xfId="41997" xr:uid="{00000000-0005-0000-0000-000045980000}"/>
    <cellStyle name="Bemærk! 3 3 2 3" xfId="7232" xr:uid="{00000000-0005-0000-0000-000046980000}"/>
    <cellStyle name="Bemærk! 3 3 2 3 2" xfId="7233" xr:uid="{00000000-0005-0000-0000-000047980000}"/>
    <cellStyle name="Bemærk! 3 3 2 3 2 2" xfId="10803" xr:uid="{00000000-0005-0000-0000-000048980000}"/>
    <cellStyle name="Bemærk! 3 3 2 3 2 2 2" xfId="18644" xr:uid="{00000000-0005-0000-0000-000049980000}"/>
    <cellStyle name="Bemærk! 3 3 2 3 2 2 2 2" xfId="34920" xr:uid="{00000000-0005-0000-0000-00004A980000}"/>
    <cellStyle name="Bemærk! 3 3 2 3 2 2 2 3" xfId="49879" xr:uid="{00000000-0005-0000-0000-00004B980000}"/>
    <cellStyle name="Bemærk! 3 3 2 3 2 2 3" xfId="27918" xr:uid="{00000000-0005-0000-0000-00004C980000}"/>
    <cellStyle name="Bemærk! 3 3 2 3 2 2 4" xfId="42882" xr:uid="{00000000-0005-0000-0000-00004D980000}"/>
    <cellStyle name="Bemærk! 3 3 2 3 3" xfId="8474" xr:uid="{00000000-0005-0000-0000-00004E980000}"/>
    <cellStyle name="Bemærk! 3 3 2 3 3 2" xfId="16344" xr:uid="{00000000-0005-0000-0000-00004F980000}"/>
    <cellStyle name="Bemærk! 3 3 2 3 3 2 2" xfId="32620" xr:uid="{00000000-0005-0000-0000-000050980000}"/>
    <cellStyle name="Bemærk! 3 3 2 3 3 2 3" xfId="47579" xr:uid="{00000000-0005-0000-0000-000051980000}"/>
    <cellStyle name="Bemærk! 3 3 2 3 3 3" xfId="25618" xr:uid="{00000000-0005-0000-0000-000052980000}"/>
    <cellStyle name="Bemærk! 3 3 2 3 3 4" xfId="40582" xr:uid="{00000000-0005-0000-0000-000053980000}"/>
    <cellStyle name="Bemærk! 3 3 2 4" xfId="7234" xr:uid="{00000000-0005-0000-0000-000054980000}"/>
    <cellStyle name="Bemærk! 3 3 2 4 2" xfId="9135" xr:uid="{00000000-0005-0000-0000-000055980000}"/>
    <cellStyle name="Bemærk! 3 3 2 4 2 2" xfId="16999" xr:uid="{00000000-0005-0000-0000-000056980000}"/>
    <cellStyle name="Bemærk! 3 3 2 4 2 2 2" xfId="33275" xr:uid="{00000000-0005-0000-0000-000057980000}"/>
    <cellStyle name="Bemærk! 3 3 2 4 2 2 3" xfId="48234" xr:uid="{00000000-0005-0000-0000-000058980000}"/>
    <cellStyle name="Bemærk! 3 3 2 4 2 3" xfId="26273" xr:uid="{00000000-0005-0000-0000-000059980000}"/>
    <cellStyle name="Bemærk! 3 3 2 4 2 4" xfId="41237" xr:uid="{00000000-0005-0000-0000-00005A980000}"/>
    <cellStyle name="Bemærk! 3 3 3" xfId="7235" xr:uid="{00000000-0005-0000-0000-00005B980000}"/>
    <cellStyle name="Bemærk! 3 3 3 2" xfId="7236" xr:uid="{00000000-0005-0000-0000-00005C980000}"/>
    <cellStyle name="Bemærk! 3 3 3 2 2" xfId="7237" xr:uid="{00000000-0005-0000-0000-00005D980000}"/>
    <cellStyle name="Bemærk! 3 3 3 2 2 2" xfId="10047" xr:uid="{00000000-0005-0000-0000-00005E980000}"/>
    <cellStyle name="Bemærk! 3 3 3 2 2 2 2" xfId="17902" xr:uid="{00000000-0005-0000-0000-00005F980000}"/>
    <cellStyle name="Bemærk! 3 3 3 2 2 2 2 2" xfId="34178" xr:uid="{00000000-0005-0000-0000-000060980000}"/>
    <cellStyle name="Bemærk! 3 3 3 2 2 2 2 3" xfId="49137" xr:uid="{00000000-0005-0000-0000-000061980000}"/>
    <cellStyle name="Bemærk! 3 3 3 2 2 2 3" xfId="27176" xr:uid="{00000000-0005-0000-0000-000062980000}"/>
    <cellStyle name="Bemærk! 3 3 3 2 2 2 4" xfId="42140" xr:uid="{00000000-0005-0000-0000-000063980000}"/>
    <cellStyle name="Bemærk! 3 3 3 3" xfId="7238" xr:uid="{00000000-0005-0000-0000-000064980000}"/>
    <cellStyle name="Bemærk! 3 3 3 3 2" xfId="7239" xr:uid="{00000000-0005-0000-0000-000065980000}"/>
    <cellStyle name="Bemærk! 3 3 3 3 2 2" xfId="10739" xr:uid="{00000000-0005-0000-0000-000066980000}"/>
    <cellStyle name="Bemærk! 3 3 3 3 2 2 2" xfId="18582" xr:uid="{00000000-0005-0000-0000-000067980000}"/>
    <cellStyle name="Bemærk! 3 3 3 3 2 2 2 2" xfId="34858" xr:uid="{00000000-0005-0000-0000-000068980000}"/>
    <cellStyle name="Bemærk! 3 3 3 3 2 2 2 3" xfId="49817" xr:uid="{00000000-0005-0000-0000-000069980000}"/>
    <cellStyle name="Bemærk! 3 3 3 3 2 2 3" xfId="27856" xr:uid="{00000000-0005-0000-0000-00006A980000}"/>
    <cellStyle name="Bemærk! 3 3 3 3 2 2 4" xfId="42820" xr:uid="{00000000-0005-0000-0000-00006B980000}"/>
    <cellStyle name="Bemærk! 3 3 3 3 3" xfId="8597" xr:uid="{00000000-0005-0000-0000-00006C980000}"/>
    <cellStyle name="Bemærk! 3 3 3 3 3 2" xfId="16464" xr:uid="{00000000-0005-0000-0000-00006D980000}"/>
    <cellStyle name="Bemærk! 3 3 3 3 3 2 2" xfId="32740" xr:uid="{00000000-0005-0000-0000-00006E980000}"/>
    <cellStyle name="Bemærk! 3 3 3 3 3 2 3" xfId="47699" xr:uid="{00000000-0005-0000-0000-00006F980000}"/>
    <cellStyle name="Bemærk! 3 3 3 3 3 3" xfId="25738" xr:uid="{00000000-0005-0000-0000-000070980000}"/>
    <cellStyle name="Bemærk! 3 3 3 3 3 4" xfId="40702" xr:uid="{00000000-0005-0000-0000-000071980000}"/>
    <cellStyle name="Bemærk! 3 3 3 4" xfId="7240" xr:uid="{00000000-0005-0000-0000-000072980000}"/>
    <cellStyle name="Bemærk! 3 3 3 4 2" xfId="9279" xr:uid="{00000000-0005-0000-0000-000073980000}"/>
    <cellStyle name="Bemærk! 3 3 3 4 2 2" xfId="17143" xr:uid="{00000000-0005-0000-0000-000074980000}"/>
    <cellStyle name="Bemærk! 3 3 3 4 2 2 2" xfId="33419" xr:uid="{00000000-0005-0000-0000-000075980000}"/>
    <cellStyle name="Bemærk! 3 3 3 4 2 2 3" xfId="48378" xr:uid="{00000000-0005-0000-0000-000076980000}"/>
    <cellStyle name="Bemærk! 3 3 3 4 2 3" xfId="26417" xr:uid="{00000000-0005-0000-0000-000077980000}"/>
    <cellStyle name="Bemærk! 3 3 3 4 2 4" xfId="41381" xr:uid="{00000000-0005-0000-0000-000078980000}"/>
    <cellStyle name="Bemærk! 3 3 4" xfId="7241" xr:uid="{00000000-0005-0000-0000-000079980000}"/>
    <cellStyle name="Bemærk! 3 3 4 2" xfId="7242" xr:uid="{00000000-0005-0000-0000-00007A980000}"/>
    <cellStyle name="Bemærk! 3 3 4 2 2" xfId="7243" xr:uid="{00000000-0005-0000-0000-00007B980000}"/>
    <cellStyle name="Bemærk! 3 3 4 2 2 2" xfId="10142" xr:uid="{00000000-0005-0000-0000-00007C980000}"/>
    <cellStyle name="Bemærk! 3 3 4 2 2 2 2" xfId="17997" xr:uid="{00000000-0005-0000-0000-00007D980000}"/>
    <cellStyle name="Bemærk! 3 3 4 2 2 2 2 2" xfId="34273" xr:uid="{00000000-0005-0000-0000-00007E980000}"/>
    <cellStyle name="Bemærk! 3 3 4 2 2 2 2 3" xfId="49232" xr:uid="{00000000-0005-0000-0000-00007F980000}"/>
    <cellStyle name="Bemærk! 3 3 4 2 2 2 3" xfId="27271" xr:uid="{00000000-0005-0000-0000-000080980000}"/>
    <cellStyle name="Bemærk! 3 3 4 2 2 2 4" xfId="42235" xr:uid="{00000000-0005-0000-0000-000081980000}"/>
    <cellStyle name="Bemærk! 3 3 4 3" xfId="7244" xr:uid="{00000000-0005-0000-0000-000082980000}"/>
    <cellStyle name="Bemærk! 3 3 4 3 2" xfId="7245" xr:uid="{00000000-0005-0000-0000-000083980000}"/>
    <cellStyle name="Bemærk! 3 3 4 3 2 2" xfId="10588" xr:uid="{00000000-0005-0000-0000-000084980000}"/>
    <cellStyle name="Bemærk! 3 3 4 3 2 2 2" xfId="18437" xr:uid="{00000000-0005-0000-0000-000085980000}"/>
    <cellStyle name="Bemærk! 3 3 4 3 2 2 2 2" xfId="34713" xr:uid="{00000000-0005-0000-0000-000086980000}"/>
    <cellStyle name="Bemærk! 3 3 4 3 2 2 2 3" xfId="49672" xr:uid="{00000000-0005-0000-0000-000087980000}"/>
    <cellStyle name="Bemærk! 3 3 4 3 2 2 3" xfId="27711" xr:uid="{00000000-0005-0000-0000-000088980000}"/>
    <cellStyle name="Bemærk! 3 3 4 3 2 2 4" xfId="42675" xr:uid="{00000000-0005-0000-0000-000089980000}"/>
    <cellStyle name="Bemærk! 3 3 4 3 3" xfId="8676" xr:uid="{00000000-0005-0000-0000-00008A980000}"/>
    <cellStyle name="Bemærk! 3 3 4 3 3 2" xfId="16543" xr:uid="{00000000-0005-0000-0000-00008B980000}"/>
    <cellStyle name="Bemærk! 3 3 4 3 3 2 2" xfId="32819" xr:uid="{00000000-0005-0000-0000-00008C980000}"/>
    <cellStyle name="Bemærk! 3 3 4 3 3 2 3" xfId="47778" xr:uid="{00000000-0005-0000-0000-00008D980000}"/>
    <cellStyle name="Bemærk! 3 3 4 3 3 3" xfId="25817" xr:uid="{00000000-0005-0000-0000-00008E980000}"/>
    <cellStyle name="Bemærk! 3 3 4 3 3 4" xfId="40781" xr:uid="{00000000-0005-0000-0000-00008F980000}"/>
    <cellStyle name="Bemærk! 3 3 4 4" xfId="7246" xr:uid="{00000000-0005-0000-0000-000090980000}"/>
    <cellStyle name="Bemærk! 3 3 4 4 2" xfId="9419" xr:uid="{00000000-0005-0000-0000-000091980000}"/>
    <cellStyle name="Bemærk! 3 3 4 4 2 2" xfId="17282" xr:uid="{00000000-0005-0000-0000-000092980000}"/>
    <cellStyle name="Bemærk! 3 3 4 4 2 2 2" xfId="33558" xr:uid="{00000000-0005-0000-0000-000093980000}"/>
    <cellStyle name="Bemærk! 3 3 4 4 2 2 3" xfId="48517" xr:uid="{00000000-0005-0000-0000-000094980000}"/>
    <cellStyle name="Bemærk! 3 3 4 4 2 3" xfId="26556" xr:uid="{00000000-0005-0000-0000-000095980000}"/>
    <cellStyle name="Bemærk! 3 3 4 4 2 4" xfId="41520" xr:uid="{00000000-0005-0000-0000-000096980000}"/>
    <cellStyle name="Bemærk! 3 3 5" xfId="7247" xr:uid="{00000000-0005-0000-0000-000097980000}"/>
    <cellStyle name="Bemærk! 3 3 5 2" xfId="7248" xr:uid="{00000000-0005-0000-0000-000098980000}"/>
    <cellStyle name="Bemærk! 3 3 5 2 2" xfId="7249" xr:uid="{00000000-0005-0000-0000-000099980000}"/>
    <cellStyle name="Bemærk! 3 3 5 2 2 2" xfId="10259" xr:uid="{00000000-0005-0000-0000-00009A980000}"/>
    <cellStyle name="Bemærk! 3 3 5 2 2 2 2" xfId="18114" xr:uid="{00000000-0005-0000-0000-00009B980000}"/>
    <cellStyle name="Bemærk! 3 3 5 2 2 2 2 2" xfId="34390" xr:uid="{00000000-0005-0000-0000-00009C980000}"/>
    <cellStyle name="Bemærk! 3 3 5 2 2 2 2 3" xfId="49349" xr:uid="{00000000-0005-0000-0000-00009D980000}"/>
    <cellStyle name="Bemærk! 3 3 5 2 2 2 3" xfId="27388" xr:uid="{00000000-0005-0000-0000-00009E980000}"/>
    <cellStyle name="Bemærk! 3 3 5 2 2 2 4" xfId="42352" xr:uid="{00000000-0005-0000-0000-00009F980000}"/>
    <cellStyle name="Bemærk! 3 3 5 3" xfId="7250" xr:uid="{00000000-0005-0000-0000-0000A0980000}"/>
    <cellStyle name="Bemærk! 3 3 5 3 2" xfId="7251" xr:uid="{00000000-0005-0000-0000-0000A1980000}"/>
    <cellStyle name="Bemærk! 3 3 5 3 2 2" xfId="9280" xr:uid="{00000000-0005-0000-0000-0000A2980000}"/>
    <cellStyle name="Bemærk! 3 3 5 3 2 2 2" xfId="17144" xr:uid="{00000000-0005-0000-0000-0000A3980000}"/>
    <cellStyle name="Bemærk! 3 3 5 3 2 2 2 2" xfId="33420" xr:uid="{00000000-0005-0000-0000-0000A4980000}"/>
    <cellStyle name="Bemærk! 3 3 5 3 2 2 2 3" xfId="48379" xr:uid="{00000000-0005-0000-0000-0000A5980000}"/>
    <cellStyle name="Bemærk! 3 3 5 3 2 2 3" xfId="26418" xr:uid="{00000000-0005-0000-0000-0000A6980000}"/>
    <cellStyle name="Bemærk! 3 3 5 3 2 2 4" xfId="41382" xr:uid="{00000000-0005-0000-0000-0000A7980000}"/>
    <cellStyle name="Bemærk! 3 3 5 3 3" xfId="8775" xr:uid="{00000000-0005-0000-0000-0000A8980000}"/>
    <cellStyle name="Bemærk! 3 3 5 3 3 2" xfId="16642" xr:uid="{00000000-0005-0000-0000-0000A9980000}"/>
    <cellStyle name="Bemærk! 3 3 5 3 3 2 2" xfId="32918" xr:uid="{00000000-0005-0000-0000-0000AA980000}"/>
    <cellStyle name="Bemærk! 3 3 5 3 3 2 3" xfId="47877" xr:uid="{00000000-0005-0000-0000-0000AB980000}"/>
    <cellStyle name="Bemærk! 3 3 5 3 3 3" xfId="25916" xr:uid="{00000000-0005-0000-0000-0000AC980000}"/>
    <cellStyle name="Bemærk! 3 3 5 3 3 4" xfId="40880" xr:uid="{00000000-0005-0000-0000-0000AD980000}"/>
    <cellStyle name="Bemærk! 3 3 5 4" xfId="7252" xr:uid="{00000000-0005-0000-0000-0000AE980000}"/>
    <cellStyle name="Bemærk! 3 3 5 4 2" xfId="9536" xr:uid="{00000000-0005-0000-0000-0000AF980000}"/>
    <cellStyle name="Bemærk! 3 3 5 4 2 2" xfId="17399" xr:uid="{00000000-0005-0000-0000-0000B0980000}"/>
    <cellStyle name="Bemærk! 3 3 5 4 2 2 2" xfId="33675" xr:uid="{00000000-0005-0000-0000-0000B1980000}"/>
    <cellStyle name="Bemærk! 3 3 5 4 2 2 3" xfId="48634" xr:uid="{00000000-0005-0000-0000-0000B2980000}"/>
    <cellStyle name="Bemærk! 3 3 5 4 2 3" xfId="26673" xr:uid="{00000000-0005-0000-0000-0000B3980000}"/>
    <cellStyle name="Bemærk! 3 3 5 4 2 4" xfId="41637" xr:uid="{00000000-0005-0000-0000-0000B4980000}"/>
    <cellStyle name="Bemærk! 3 3 6" xfId="7253" xr:uid="{00000000-0005-0000-0000-0000B5980000}"/>
    <cellStyle name="Bemærk! 3 3 6 2" xfId="7254" xr:uid="{00000000-0005-0000-0000-0000B6980000}"/>
    <cellStyle name="Bemærk! 3 3 6 2 2" xfId="7255" xr:uid="{00000000-0005-0000-0000-0000B7980000}"/>
    <cellStyle name="Bemærk! 3 3 6 2 2 2" xfId="10401" xr:uid="{00000000-0005-0000-0000-0000B8980000}"/>
    <cellStyle name="Bemærk! 3 3 6 2 2 2 2" xfId="18256" xr:uid="{00000000-0005-0000-0000-0000B9980000}"/>
    <cellStyle name="Bemærk! 3 3 6 2 2 2 2 2" xfId="34532" xr:uid="{00000000-0005-0000-0000-0000BA980000}"/>
    <cellStyle name="Bemærk! 3 3 6 2 2 2 2 3" xfId="49491" xr:uid="{00000000-0005-0000-0000-0000BB980000}"/>
    <cellStyle name="Bemærk! 3 3 6 2 2 2 3" xfId="27530" xr:uid="{00000000-0005-0000-0000-0000BC980000}"/>
    <cellStyle name="Bemærk! 3 3 6 2 2 2 4" xfId="42494" xr:uid="{00000000-0005-0000-0000-0000BD980000}"/>
    <cellStyle name="Bemærk! 3 3 6 3" xfId="7256" xr:uid="{00000000-0005-0000-0000-0000BE980000}"/>
    <cellStyle name="Bemærk! 3 3 6 3 2" xfId="7257" xr:uid="{00000000-0005-0000-0000-0000BF980000}"/>
    <cellStyle name="Bemærk! 3 3 6 3 2 2" xfId="11012" xr:uid="{00000000-0005-0000-0000-0000C0980000}"/>
    <cellStyle name="Bemærk! 3 3 6 3 2 2 2" xfId="18843" xr:uid="{00000000-0005-0000-0000-0000C1980000}"/>
    <cellStyle name="Bemærk! 3 3 6 3 2 2 2 2" xfId="35119" xr:uid="{00000000-0005-0000-0000-0000C2980000}"/>
    <cellStyle name="Bemærk! 3 3 6 3 2 2 2 3" xfId="50078" xr:uid="{00000000-0005-0000-0000-0000C3980000}"/>
    <cellStyle name="Bemærk! 3 3 6 3 2 2 3" xfId="28117" xr:uid="{00000000-0005-0000-0000-0000C4980000}"/>
    <cellStyle name="Bemærk! 3 3 6 3 2 2 4" xfId="43081" xr:uid="{00000000-0005-0000-0000-0000C5980000}"/>
    <cellStyle name="Bemærk! 3 3 6 3 3" xfId="8895" xr:uid="{00000000-0005-0000-0000-0000C6980000}"/>
    <cellStyle name="Bemærk! 3 3 6 3 3 2" xfId="16762" xr:uid="{00000000-0005-0000-0000-0000C7980000}"/>
    <cellStyle name="Bemærk! 3 3 6 3 3 2 2" xfId="33038" xr:uid="{00000000-0005-0000-0000-0000C8980000}"/>
    <cellStyle name="Bemærk! 3 3 6 3 3 2 3" xfId="47997" xr:uid="{00000000-0005-0000-0000-0000C9980000}"/>
    <cellStyle name="Bemærk! 3 3 6 3 3 3" xfId="26036" xr:uid="{00000000-0005-0000-0000-0000CA980000}"/>
    <cellStyle name="Bemærk! 3 3 6 3 3 4" xfId="41000" xr:uid="{00000000-0005-0000-0000-0000CB980000}"/>
    <cellStyle name="Bemærk! 3 3 6 4" xfId="7258" xr:uid="{00000000-0005-0000-0000-0000CC980000}"/>
    <cellStyle name="Bemærk! 3 3 6 4 2" xfId="9679" xr:uid="{00000000-0005-0000-0000-0000CD980000}"/>
    <cellStyle name="Bemærk! 3 3 6 4 2 2" xfId="17542" xr:uid="{00000000-0005-0000-0000-0000CE980000}"/>
    <cellStyle name="Bemærk! 3 3 6 4 2 2 2" xfId="33818" xr:uid="{00000000-0005-0000-0000-0000CF980000}"/>
    <cellStyle name="Bemærk! 3 3 6 4 2 2 3" xfId="48777" xr:uid="{00000000-0005-0000-0000-0000D0980000}"/>
    <cellStyle name="Bemærk! 3 3 6 4 2 3" xfId="26816" xr:uid="{00000000-0005-0000-0000-0000D1980000}"/>
    <cellStyle name="Bemærk! 3 3 6 4 2 4" xfId="41780" xr:uid="{00000000-0005-0000-0000-0000D2980000}"/>
    <cellStyle name="Bemærk! 3 3 7" xfId="7259" xr:uid="{00000000-0005-0000-0000-0000D3980000}"/>
    <cellStyle name="Bemærk! 3 3 7 2" xfId="7260" xr:uid="{00000000-0005-0000-0000-0000D4980000}"/>
    <cellStyle name="Bemærk! 3 3 7 2 2" xfId="9786" xr:uid="{00000000-0005-0000-0000-0000D5980000}"/>
    <cellStyle name="Bemærk! 3 3 7 2 2 2" xfId="17640" xr:uid="{00000000-0005-0000-0000-0000D6980000}"/>
    <cellStyle name="Bemærk! 3 3 7 2 2 2 2" xfId="33916" xr:uid="{00000000-0005-0000-0000-0000D7980000}"/>
    <cellStyle name="Bemærk! 3 3 7 2 2 2 3" xfId="48875" xr:uid="{00000000-0005-0000-0000-0000D8980000}"/>
    <cellStyle name="Bemærk! 3 3 7 2 2 3" xfId="26914" xr:uid="{00000000-0005-0000-0000-0000D9980000}"/>
    <cellStyle name="Bemærk! 3 3 7 2 2 4" xfId="41878" xr:uid="{00000000-0005-0000-0000-0000DA980000}"/>
    <cellStyle name="Bemærk! 3 3 8" xfId="7261" xr:uid="{00000000-0005-0000-0000-0000DB980000}"/>
    <cellStyle name="Bemærk! 3 3 8 2" xfId="7262" xr:uid="{00000000-0005-0000-0000-0000DC980000}"/>
    <cellStyle name="Bemærk! 3 3 8 2 2" xfId="10606" xr:uid="{00000000-0005-0000-0000-0000DD980000}"/>
    <cellStyle name="Bemærk! 3 3 8 2 2 2" xfId="18454" xr:uid="{00000000-0005-0000-0000-0000DE980000}"/>
    <cellStyle name="Bemærk! 3 3 8 2 2 2 2" xfId="34730" xr:uid="{00000000-0005-0000-0000-0000DF980000}"/>
    <cellStyle name="Bemærk! 3 3 8 2 2 2 3" xfId="49689" xr:uid="{00000000-0005-0000-0000-0000E0980000}"/>
    <cellStyle name="Bemærk! 3 3 8 2 2 3" xfId="27728" xr:uid="{00000000-0005-0000-0000-0000E1980000}"/>
    <cellStyle name="Bemærk! 3 3 8 2 2 4" xfId="42692" xr:uid="{00000000-0005-0000-0000-0000E2980000}"/>
    <cellStyle name="Bemærk! 3 3 8 3" xfId="8375" xr:uid="{00000000-0005-0000-0000-0000E3980000}"/>
    <cellStyle name="Bemærk! 3 3 8 3 2" xfId="16245" xr:uid="{00000000-0005-0000-0000-0000E4980000}"/>
    <cellStyle name="Bemærk! 3 3 8 3 2 2" xfId="32521" xr:uid="{00000000-0005-0000-0000-0000E5980000}"/>
    <cellStyle name="Bemærk! 3 3 8 3 2 3" xfId="47480" xr:uid="{00000000-0005-0000-0000-0000E6980000}"/>
    <cellStyle name="Bemærk! 3 3 8 3 3" xfId="25519" xr:uid="{00000000-0005-0000-0000-0000E7980000}"/>
    <cellStyle name="Bemærk! 3 3 8 3 4" xfId="40483" xr:uid="{00000000-0005-0000-0000-0000E8980000}"/>
    <cellStyle name="Bemærk! 3 3 9" xfId="7263" xr:uid="{00000000-0005-0000-0000-0000E9980000}"/>
    <cellStyle name="Bemærk! 3 3 9 2" xfId="9014" xr:uid="{00000000-0005-0000-0000-0000EA980000}"/>
    <cellStyle name="Bemærk! 3 3 9 2 2" xfId="16878" xr:uid="{00000000-0005-0000-0000-0000EB980000}"/>
    <cellStyle name="Bemærk! 3 3 9 2 2 2" xfId="33154" xr:uid="{00000000-0005-0000-0000-0000EC980000}"/>
    <cellStyle name="Bemærk! 3 3 9 2 2 3" xfId="48113" xr:uid="{00000000-0005-0000-0000-0000ED980000}"/>
    <cellStyle name="Bemærk! 3 3 9 2 3" xfId="26152" xr:uid="{00000000-0005-0000-0000-0000EE980000}"/>
    <cellStyle name="Bemærk! 3 3 9 2 4" xfId="41116" xr:uid="{00000000-0005-0000-0000-0000EF980000}"/>
    <cellStyle name="Bemærk! 3 4" xfId="7264" xr:uid="{00000000-0005-0000-0000-0000F0980000}"/>
    <cellStyle name="Bemærk! 3 4 2" xfId="7265" xr:uid="{00000000-0005-0000-0000-0000F1980000}"/>
    <cellStyle name="Bemærk! 3 4 2 2" xfId="7266" xr:uid="{00000000-0005-0000-0000-0000F2980000}"/>
    <cellStyle name="Bemærk! 3 4 2 2 2" xfId="9826" xr:uid="{00000000-0005-0000-0000-0000F3980000}"/>
    <cellStyle name="Bemærk! 3 4 2 2 2 2" xfId="17681" xr:uid="{00000000-0005-0000-0000-0000F4980000}"/>
    <cellStyle name="Bemærk! 3 4 2 2 2 2 2" xfId="33957" xr:uid="{00000000-0005-0000-0000-0000F5980000}"/>
    <cellStyle name="Bemærk! 3 4 2 2 2 2 3" xfId="48916" xr:uid="{00000000-0005-0000-0000-0000F6980000}"/>
    <cellStyle name="Bemærk! 3 4 2 2 2 3" xfId="26955" xr:uid="{00000000-0005-0000-0000-0000F7980000}"/>
    <cellStyle name="Bemærk! 3 4 2 2 2 4" xfId="41919" xr:uid="{00000000-0005-0000-0000-0000F8980000}"/>
    <cellStyle name="Bemærk! 3 4 3" xfId="7267" xr:uid="{00000000-0005-0000-0000-0000F9980000}"/>
    <cellStyle name="Bemærk! 3 4 3 2" xfId="7268" xr:uid="{00000000-0005-0000-0000-0000FA980000}"/>
    <cellStyle name="Bemærk! 3 4 3 2 2" xfId="10653" xr:uid="{00000000-0005-0000-0000-0000FB980000}"/>
    <cellStyle name="Bemærk! 3 4 3 2 2 2" xfId="18500" xr:uid="{00000000-0005-0000-0000-0000FC980000}"/>
    <cellStyle name="Bemærk! 3 4 3 2 2 2 2" xfId="34776" xr:uid="{00000000-0005-0000-0000-0000FD980000}"/>
    <cellStyle name="Bemærk! 3 4 3 2 2 2 3" xfId="49735" xr:uid="{00000000-0005-0000-0000-0000FE980000}"/>
    <cellStyle name="Bemærk! 3 4 3 2 2 3" xfId="27774" xr:uid="{00000000-0005-0000-0000-0000FF980000}"/>
    <cellStyle name="Bemærk! 3 4 3 2 2 4" xfId="42738" xr:uid="{00000000-0005-0000-0000-000000990000}"/>
    <cellStyle name="Bemærk! 3 4 3 3" xfId="8408" xr:uid="{00000000-0005-0000-0000-000001990000}"/>
    <cellStyle name="Bemærk! 3 4 3 3 2" xfId="16278" xr:uid="{00000000-0005-0000-0000-000002990000}"/>
    <cellStyle name="Bemærk! 3 4 3 3 2 2" xfId="32554" xr:uid="{00000000-0005-0000-0000-000003990000}"/>
    <cellStyle name="Bemærk! 3 4 3 3 2 3" xfId="47513" xr:uid="{00000000-0005-0000-0000-000004990000}"/>
    <cellStyle name="Bemærk! 3 4 3 3 3" xfId="25552" xr:uid="{00000000-0005-0000-0000-000005990000}"/>
    <cellStyle name="Bemærk! 3 4 3 3 4" xfId="40516" xr:uid="{00000000-0005-0000-0000-000006990000}"/>
    <cellStyle name="Bemærk! 3 4 4" xfId="7269" xr:uid="{00000000-0005-0000-0000-000007990000}"/>
    <cellStyle name="Bemærk! 3 4 4 2" xfId="9057" xr:uid="{00000000-0005-0000-0000-000008990000}"/>
    <cellStyle name="Bemærk! 3 4 4 2 2" xfId="16921" xr:uid="{00000000-0005-0000-0000-000009990000}"/>
    <cellStyle name="Bemærk! 3 4 4 2 2 2" xfId="33197" xr:uid="{00000000-0005-0000-0000-00000A990000}"/>
    <cellStyle name="Bemærk! 3 4 4 2 2 3" xfId="48156" xr:uid="{00000000-0005-0000-0000-00000B990000}"/>
    <cellStyle name="Bemærk! 3 4 4 2 3" xfId="26195" xr:uid="{00000000-0005-0000-0000-00000C990000}"/>
    <cellStyle name="Bemærk! 3 4 4 2 4" xfId="41159" xr:uid="{00000000-0005-0000-0000-00000D990000}"/>
    <cellStyle name="Bemærk! 3 5" xfId="7270" xr:uid="{00000000-0005-0000-0000-00000E990000}"/>
    <cellStyle name="Bemærk! 3 5 2" xfId="7271" xr:uid="{00000000-0005-0000-0000-00000F990000}"/>
    <cellStyle name="Bemærk! 3 5 2 2" xfId="7272" xr:uid="{00000000-0005-0000-0000-000010990000}"/>
    <cellStyle name="Bemærk! 3 5 2 2 2" xfId="10045" xr:uid="{00000000-0005-0000-0000-000011990000}"/>
    <cellStyle name="Bemærk! 3 5 2 2 2 2" xfId="17900" xr:uid="{00000000-0005-0000-0000-000012990000}"/>
    <cellStyle name="Bemærk! 3 5 2 2 2 2 2" xfId="34176" xr:uid="{00000000-0005-0000-0000-000013990000}"/>
    <cellStyle name="Bemærk! 3 5 2 2 2 2 3" xfId="49135" xr:uid="{00000000-0005-0000-0000-000014990000}"/>
    <cellStyle name="Bemærk! 3 5 2 2 2 3" xfId="27174" xr:uid="{00000000-0005-0000-0000-000015990000}"/>
    <cellStyle name="Bemærk! 3 5 2 2 2 4" xfId="42138" xr:uid="{00000000-0005-0000-0000-000016990000}"/>
    <cellStyle name="Bemærk! 3 5 3" xfId="7273" xr:uid="{00000000-0005-0000-0000-000017990000}"/>
    <cellStyle name="Bemærk! 3 5 3 2" xfId="7274" xr:uid="{00000000-0005-0000-0000-000018990000}"/>
    <cellStyle name="Bemærk! 3 5 3 2 2" xfId="10439" xr:uid="{00000000-0005-0000-0000-000019990000}"/>
    <cellStyle name="Bemærk! 3 5 3 2 2 2" xfId="18291" xr:uid="{00000000-0005-0000-0000-00001A990000}"/>
    <cellStyle name="Bemærk! 3 5 3 2 2 2 2" xfId="34567" xr:uid="{00000000-0005-0000-0000-00001B990000}"/>
    <cellStyle name="Bemærk! 3 5 3 2 2 2 3" xfId="49526" xr:uid="{00000000-0005-0000-0000-00001C990000}"/>
    <cellStyle name="Bemærk! 3 5 3 2 2 3" xfId="27565" xr:uid="{00000000-0005-0000-0000-00001D990000}"/>
    <cellStyle name="Bemærk! 3 5 3 2 2 4" xfId="42529" xr:uid="{00000000-0005-0000-0000-00001E990000}"/>
    <cellStyle name="Bemærk! 3 5 3 3" xfId="8595" xr:uid="{00000000-0005-0000-0000-00001F990000}"/>
    <cellStyle name="Bemærk! 3 5 3 3 2" xfId="16462" xr:uid="{00000000-0005-0000-0000-000020990000}"/>
    <cellStyle name="Bemærk! 3 5 3 3 2 2" xfId="32738" xr:uid="{00000000-0005-0000-0000-000021990000}"/>
    <cellStyle name="Bemærk! 3 5 3 3 2 3" xfId="47697" xr:uid="{00000000-0005-0000-0000-000022990000}"/>
    <cellStyle name="Bemærk! 3 5 3 3 3" xfId="25736" xr:uid="{00000000-0005-0000-0000-000023990000}"/>
    <cellStyle name="Bemærk! 3 5 3 3 4" xfId="40700" xr:uid="{00000000-0005-0000-0000-000024990000}"/>
    <cellStyle name="Bemærk! 3 5 4" xfId="7275" xr:uid="{00000000-0005-0000-0000-000025990000}"/>
    <cellStyle name="Bemærk! 3 5 4 2" xfId="9277" xr:uid="{00000000-0005-0000-0000-000026990000}"/>
    <cellStyle name="Bemærk! 3 5 4 2 2" xfId="17141" xr:uid="{00000000-0005-0000-0000-000027990000}"/>
    <cellStyle name="Bemærk! 3 5 4 2 2 2" xfId="33417" xr:uid="{00000000-0005-0000-0000-000028990000}"/>
    <cellStyle name="Bemærk! 3 5 4 2 2 3" xfId="48376" xr:uid="{00000000-0005-0000-0000-000029990000}"/>
    <cellStyle name="Bemærk! 3 5 4 2 3" xfId="26415" xr:uid="{00000000-0005-0000-0000-00002A990000}"/>
    <cellStyle name="Bemærk! 3 5 4 2 4" xfId="41379" xr:uid="{00000000-0005-0000-0000-00002B990000}"/>
    <cellStyle name="Bemærk! 3 6" xfId="7276" xr:uid="{00000000-0005-0000-0000-00002C990000}"/>
    <cellStyle name="Bemærk! 3 6 2" xfId="7277" xr:uid="{00000000-0005-0000-0000-00002D990000}"/>
    <cellStyle name="Bemærk! 3 6 2 2" xfId="7278" xr:uid="{00000000-0005-0000-0000-00002E990000}"/>
    <cellStyle name="Bemærk! 3 6 2 2 2" xfId="10064" xr:uid="{00000000-0005-0000-0000-00002F990000}"/>
    <cellStyle name="Bemærk! 3 6 2 2 2 2" xfId="17919" xr:uid="{00000000-0005-0000-0000-000030990000}"/>
    <cellStyle name="Bemærk! 3 6 2 2 2 2 2" xfId="34195" xr:uid="{00000000-0005-0000-0000-000031990000}"/>
    <cellStyle name="Bemærk! 3 6 2 2 2 2 3" xfId="49154" xr:uid="{00000000-0005-0000-0000-000032990000}"/>
    <cellStyle name="Bemærk! 3 6 2 2 2 3" xfId="27193" xr:uid="{00000000-0005-0000-0000-000033990000}"/>
    <cellStyle name="Bemærk! 3 6 2 2 2 4" xfId="42157" xr:uid="{00000000-0005-0000-0000-000034990000}"/>
    <cellStyle name="Bemærk! 3 6 3" xfId="7279" xr:uid="{00000000-0005-0000-0000-000035990000}"/>
    <cellStyle name="Bemærk! 3 6 3 2" xfId="7280" xr:uid="{00000000-0005-0000-0000-000036990000}"/>
    <cellStyle name="Bemærk! 3 6 3 2 2" xfId="10674" xr:uid="{00000000-0005-0000-0000-000037990000}"/>
    <cellStyle name="Bemærk! 3 6 3 2 2 2" xfId="18520" xr:uid="{00000000-0005-0000-0000-000038990000}"/>
    <cellStyle name="Bemærk! 3 6 3 2 2 2 2" xfId="34796" xr:uid="{00000000-0005-0000-0000-000039990000}"/>
    <cellStyle name="Bemærk! 3 6 3 2 2 2 3" xfId="49755" xr:uid="{00000000-0005-0000-0000-00003A990000}"/>
    <cellStyle name="Bemærk! 3 6 3 2 2 3" xfId="27794" xr:uid="{00000000-0005-0000-0000-00003B990000}"/>
    <cellStyle name="Bemærk! 3 6 3 2 2 4" xfId="42758" xr:uid="{00000000-0005-0000-0000-00003C990000}"/>
    <cellStyle name="Bemærk! 3 6 3 3" xfId="8610" xr:uid="{00000000-0005-0000-0000-00003D990000}"/>
    <cellStyle name="Bemærk! 3 6 3 3 2" xfId="16477" xr:uid="{00000000-0005-0000-0000-00003E990000}"/>
    <cellStyle name="Bemærk! 3 6 3 3 2 2" xfId="32753" xr:uid="{00000000-0005-0000-0000-00003F990000}"/>
    <cellStyle name="Bemærk! 3 6 3 3 2 3" xfId="47712" xr:uid="{00000000-0005-0000-0000-000040990000}"/>
    <cellStyle name="Bemærk! 3 6 3 3 3" xfId="25751" xr:uid="{00000000-0005-0000-0000-000041990000}"/>
    <cellStyle name="Bemærk! 3 6 3 3 4" xfId="40715" xr:uid="{00000000-0005-0000-0000-000042990000}"/>
    <cellStyle name="Bemærk! 3 6 4" xfId="7281" xr:uid="{00000000-0005-0000-0000-000043990000}"/>
    <cellStyle name="Bemærk! 3 6 4 2" xfId="9341" xr:uid="{00000000-0005-0000-0000-000044990000}"/>
    <cellStyle name="Bemærk! 3 6 4 2 2" xfId="17204" xr:uid="{00000000-0005-0000-0000-000045990000}"/>
    <cellStyle name="Bemærk! 3 6 4 2 2 2" xfId="33480" xr:uid="{00000000-0005-0000-0000-000046990000}"/>
    <cellStyle name="Bemærk! 3 6 4 2 2 3" xfId="48439" xr:uid="{00000000-0005-0000-0000-000047990000}"/>
    <cellStyle name="Bemærk! 3 6 4 2 3" xfId="26478" xr:uid="{00000000-0005-0000-0000-000048990000}"/>
    <cellStyle name="Bemærk! 3 6 4 2 4" xfId="41442" xr:uid="{00000000-0005-0000-0000-000049990000}"/>
    <cellStyle name="Bemærk! 3 7" xfId="7282" xr:uid="{00000000-0005-0000-0000-00004A990000}"/>
    <cellStyle name="Bemærk! 3 7 2" xfId="7283" xr:uid="{00000000-0005-0000-0000-00004B990000}"/>
    <cellStyle name="Bemærk! 3 7 2 2" xfId="7284" xr:uid="{00000000-0005-0000-0000-00004C990000}"/>
    <cellStyle name="Bemærk! 3 7 2 2 2" xfId="10181" xr:uid="{00000000-0005-0000-0000-00004D990000}"/>
    <cellStyle name="Bemærk! 3 7 2 2 2 2" xfId="18036" xr:uid="{00000000-0005-0000-0000-00004E990000}"/>
    <cellStyle name="Bemærk! 3 7 2 2 2 2 2" xfId="34312" xr:uid="{00000000-0005-0000-0000-00004F990000}"/>
    <cellStyle name="Bemærk! 3 7 2 2 2 2 3" xfId="49271" xr:uid="{00000000-0005-0000-0000-000050990000}"/>
    <cellStyle name="Bemærk! 3 7 2 2 2 3" xfId="27310" xr:uid="{00000000-0005-0000-0000-000051990000}"/>
    <cellStyle name="Bemærk! 3 7 2 2 2 4" xfId="42274" xr:uid="{00000000-0005-0000-0000-000052990000}"/>
    <cellStyle name="Bemærk! 3 7 3" xfId="7285" xr:uid="{00000000-0005-0000-0000-000053990000}"/>
    <cellStyle name="Bemærk! 3 7 3 2" xfId="7286" xr:uid="{00000000-0005-0000-0000-000054990000}"/>
    <cellStyle name="Bemærk! 3 7 3 2 2" xfId="10638" xr:uid="{00000000-0005-0000-0000-000055990000}"/>
    <cellStyle name="Bemærk! 3 7 3 2 2 2" xfId="18485" xr:uid="{00000000-0005-0000-0000-000056990000}"/>
    <cellStyle name="Bemærk! 3 7 3 2 2 2 2" xfId="34761" xr:uid="{00000000-0005-0000-0000-000057990000}"/>
    <cellStyle name="Bemærk! 3 7 3 2 2 2 3" xfId="49720" xr:uid="{00000000-0005-0000-0000-000058990000}"/>
    <cellStyle name="Bemærk! 3 7 3 2 2 3" xfId="27759" xr:uid="{00000000-0005-0000-0000-000059990000}"/>
    <cellStyle name="Bemærk! 3 7 3 2 2 4" xfId="42723" xr:uid="{00000000-0005-0000-0000-00005A990000}"/>
    <cellStyle name="Bemærk! 3 7 3 3" xfId="8709" xr:uid="{00000000-0005-0000-0000-00005B990000}"/>
    <cellStyle name="Bemærk! 3 7 3 3 2" xfId="16576" xr:uid="{00000000-0005-0000-0000-00005C990000}"/>
    <cellStyle name="Bemærk! 3 7 3 3 2 2" xfId="32852" xr:uid="{00000000-0005-0000-0000-00005D990000}"/>
    <cellStyle name="Bemærk! 3 7 3 3 2 3" xfId="47811" xr:uid="{00000000-0005-0000-0000-00005E990000}"/>
    <cellStyle name="Bemærk! 3 7 3 3 3" xfId="25850" xr:uid="{00000000-0005-0000-0000-00005F990000}"/>
    <cellStyle name="Bemærk! 3 7 3 3 4" xfId="40814" xr:uid="{00000000-0005-0000-0000-000060990000}"/>
    <cellStyle name="Bemærk! 3 7 4" xfId="7287" xr:uid="{00000000-0005-0000-0000-000061990000}"/>
    <cellStyle name="Bemærk! 3 7 4 2" xfId="9458" xr:uid="{00000000-0005-0000-0000-000062990000}"/>
    <cellStyle name="Bemærk! 3 7 4 2 2" xfId="17321" xr:uid="{00000000-0005-0000-0000-000063990000}"/>
    <cellStyle name="Bemærk! 3 7 4 2 2 2" xfId="33597" xr:uid="{00000000-0005-0000-0000-000064990000}"/>
    <cellStyle name="Bemærk! 3 7 4 2 2 3" xfId="48556" xr:uid="{00000000-0005-0000-0000-000065990000}"/>
    <cellStyle name="Bemærk! 3 7 4 2 3" xfId="26595" xr:uid="{00000000-0005-0000-0000-000066990000}"/>
    <cellStyle name="Bemærk! 3 7 4 2 4" xfId="41559" xr:uid="{00000000-0005-0000-0000-000067990000}"/>
    <cellStyle name="Bemærk! 3 8" xfId="7288" xr:uid="{00000000-0005-0000-0000-000068990000}"/>
    <cellStyle name="Bemærk! 3 8 2" xfId="7289" xr:uid="{00000000-0005-0000-0000-000069990000}"/>
    <cellStyle name="Bemærk! 3 8 2 2" xfId="7290" xr:uid="{00000000-0005-0000-0000-00006A990000}"/>
    <cellStyle name="Bemærk! 3 8 2 2 2" xfId="10399" xr:uid="{00000000-0005-0000-0000-00006B990000}"/>
    <cellStyle name="Bemærk! 3 8 2 2 2 2" xfId="18254" xr:uid="{00000000-0005-0000-0000-00006C990000}"/>
    <cellStyle name="Bemærk! 3 8 2 2 2 2 2" xfId="34530" xr:uid="{00000000-0005-0000-0000-00006D990000}"/>
    <cellStyle name="Bemærk! 3 8 2 2 2 2 3" xfId="49489" xr:uid="{00000000-0005-0000-0000-00006E990000}"/>
    <cellStyle name="Bemærk! 3 8 2 2 2 3" xfId="27528" xr:uid="{00000000-0005-0000-0000-00006F990000}"/>
    <cellStyle name="Bemærk! 3 8 2 2 2 4" xfId="42492" xr:uid="{00000000-0005-0000-0000-000070990000}"/>
    <cellStyle name="Bemærk! 3 8 3" xfId="7291" xr:uid="{00000000-0005-0000-0000-000071990000}"/>
    <cellStyle name="Bemærk! 3 8 3 2" xfId="7292" xr:uid="{00000000-0005-0000-0000-000072990000}"/>
    <cellStyle name="Bemærk! 3 8 3 2 2" xfId="11010" xr:uid="{00000000-0005-0000-0000-000073990000}"/>
    <cellStyle name="Bemærk! 3 8 3 2 2 2" xfId="18841" xr:uid="{00000000-0005-0000-0000-000074990000}"/>
    <cellStyle name="Bemærk! 3 8 3 2 2 2 2" xfId="35117" xr:uid="{00000000-0005-0000-0000-000075990000}"/>
    <cellStyle name="Bemærk! 3 8 3 2 2 2 3" xfId="50076" xr:uid="{00000000-0005-0000-0000-000076990000}"/>
    <cellStyle name="Bemærk! 3 8 3 2 2 3" xfId="28115" xr:uid="{00000000-0005-0000-0000-000077990000}"/>
    <cellStyle name="Bemærk! 3 8 3 2 2 4" xfId="43079" xr:uid="{00000000-0005-0000-0000-000078990000}"/>
    <cellStyle name="Bemærk! 3 8 3 3" xfId="8893" xr:uid="{00000000-0005-0000-0000-000079990000}"/>
    <cellStyle name="Bemærk! 3 8 3 3 2" xfId="16760" xr:uid="{00000000-0005-0000-0000-00007A990000}"/>
    <cellStyle name="Bemærk! 3 8 3 3 2 2" xfId="33036" xr:uid="{00000000-0005-0000-0000-00007B990000}"/>
    <cellStyle name="Bemærk! 3 8 3 3 2 3" xfId="47995" xr:uid="{00000000-0005-0000-0000-00007C990000}"/>
    <cellStyle name="Bemærk! 3 8 3 3 3" xfId="26034" xr:uid="{00000000-0005-0000-0000-00007D990000}"/>
    <cellStyle name="Bemærk! 3 8 3 3 4" xfId="40998" xr:uid="{00000000-0005-0000-0000-00007E990000}"/>
    <cellStyle name="Bemærk! 3 8 4" xfId="7293" xr:uid="{00000000-0005-0000-0000-00007F990000}"/>
    <cellStyle name="Bemærk! 3 8 4 2" xfId="9677" xr:uid="{00000000-0005-0000-0000-000080990000}"/>
    <cellStyle name="Bemærk! 3 8 4 2 2" xfId="17540" xr:uid="{00000000-0005-0000-0000-000081990000}"/>
    <cellStyle name="Bemærk! 3 8 4 2 2 2" xfId="33816" xr:uid="{00000000-0005-0000-0000-000082990000}"/>
    <cellStyle name="Bemærk! 3 8 4 2 2 3" xfId="48775" xr:uid="{00000000-0005-0000-0000-000083990000}"/>
    <cellStyle name="Bemærk! 3 8 4 2 3" xfId="26814" xr:uid="{00000000-0005-0000-0000-000084990000}"/>
    <cellStyle name="Bemærk! 3 8 4 2 4" xfId="41778" xr:uid="{00000000-0005-0000-0000-000085990000}"/>
    <cellStyle name="Bemærk! 3 9" xfId="7294" xr:uid="{00000000-0005-0000-0000-000086990000}"/>
    <cellStyle name="Bemærk! 3 9 2" xfId="7295" xr:uid="{00000000-0005-0000-0000-000087990000}"/>
    <cellStyle name="Bemærk! 3 9 2 2" xfId="9708" xr:uid="{00000000-0005-0000-0000-000088990000}"/>
    <cellStyle name="Bemærk! 3 9 2 2 2" xfId="17562" xr:uid="{00000000-0005-0000-0000-000089990000}"/>
    <cellStyle name="Bemærk! 3 9 2 2 2 2" xfId="33838" xr:uid="{00000000-0005-0000-0000-00008A990000}"/>
    <cellStyle name="Bemærk! 3 9 2 2 2 3" xfId="48797" xr:uid="{00000000-0005-0000-0000-00008B990000}"/>
    <cellStyle name="Bemærk! 3 9 2 2 3" xfId="26836" xr:uid="{00000000-0005-0000-0000-00008C990000}"/>
    <cellStyle name="Bemærk! 3 9 2 2 4" xfId="41800" xr:uid="{00000000-0005-0000-0000-00008D990000}"/>
    <cellStyle name="Beregning 2" xfId="7297" xr:uid="{00000000-0005-0000-0000-00008E990000}"/>
    <cellStyle name="Beregning 3" xfId="7298" xr:uid="{00000000-0005-0000-0000-00008F990000}"/>
    <cellStyle name="Beregning 4" xfId="7299" xr:uid="{00000000-0005-0000-0000-000090990000}"/>
    <cellStyle name="Beregning 5" xfId="7300" xr:uid="{00000000-0005-0000-0000-000091990000}"/>
    <cellStyle name="Beregning 5 2" xfId="10869" xr:uid="{00000000-0005-0000-0000-000092990000}"/>
    <cellStyle name="Beregning 6" xfId="7592" xr:uid="{00000000-0005-0000-0000-000093990000}"/>
    <cellStyle name="Beregning 7" xfId="7296" xr:uid="{00000000-0005-0000-0000-000094990000}"/>
    <cellStyle name="Bold GHG Numbers (0.00)" xfId="251" xr:uid="{00000000-0005-0000-0000-000095990000}"/>
    <cellStyle name="Bruger data" xfId="18901" xr:uid="{00000000-0005-0000-0000-000096990000}"/>
    <cellStyle name="Calc-All-Same" xfId="252" xr:uid="{00000000-0005-0000-0000-000097990000}"/>
    <cellStyle name="Calc-All-Same 2" xfId="253" xr:uid="{00000000-0005-0000-0000-000098990000}"/>
    <cellStyle name="Calc-All-Same+Hardcoded" xfId="254" xr:uid="{00000000-0005-0000-0000-000099990000}"/>
    <cellStyle name="Calcolo" xfId="255" xr:uid="{00000000-0005-0000-0000-00009A990000}"/>
    <cellStyle name="Calcolo 2" xfId="11892" xr:uid="{00000000-0005-0000-0000-00009B990000}"/>
    <cellStyle name="Calc-Some-Ext" xfId="256" xr:uid="{00000000-0005-0000-0000-00009C990000}"/>
    <cellStyle name="Calc-Some-Ext+Hardcoded" xfId="257" xr:uid="{00000000-0005-0000-0000-00009D990000}"/>
    <cellStyle name="Calc-Some-Int" xfId="258" xr:uid="{00000000-0005-0000-0000-00009E990000}"/>
    <cellStyle name="Calc-Some-Int+Hardcoded" xfId="259" xr:uid="{00000000-0005-0000-0000-00009F990000}"/>
    <cellStyle name="Calculation" xfId="260" builtinId="22" customBuiltin="1"/>
    <cellStyle name="Calculation - 1" xfId="261" xr:uid="{00000000-0005-0000-0000-0000A1990000}"/>
    <cellStyle name="Calculation - 2" xfId="262" xr:uid="{00000000-0005-0000-0000-0000A2990000}"/>
    <cellStyle name="Calculation - 3" xfId="263" xr:uid="{00000000-0005-0000-0000-0000A3990000}"/>
    <cellStyle name="Calculation 2" xfId="264" xr:uid="{00000000-0005-0000-0000-0000A4990000}"/>
    <cellStyle name="Calculation 2 2" xfId="265" xr:uid="{00000000-0005-0000-0000-0000A5990000}"/>
    <cellStyle name="Calculation 2 3" xfId="266" xr:uid="{00000000-0005-0000-0000-0000A6990000}"/>
    <cellStyle name="Calculation 2 4" xfId="20104" xr:uid="{00000000-0005-0000-0000-0000A7990000}"/>
    <cellStyle name="Calculation 3" xfId="267" xr:uid="{00000000-0005-0000-0000-0000A8990000}"/>
    <cellStyle name="Calculation 4" xfId="268" xr:uid="{00000000-0005-0000-0000-0000A9990000}"/>
    <cellStyle name="Calculation 5" xfId="269" xr:uid="{00000000-0005-0000-0000-0000AA990000}"/>
    <cellStyle name="Calculations" xfId="18902" xr:uid="{00000000-0005-0000-0000-0000AB990000}"/>
    <cellStyle name="Cella collegata" xfId="270" xr:uid="{00000000-0005-0000-0000-0000AC990000}"/>
    <cellStyle name="Cella da controllare" xfId="271" xr:uid="{00000000-0005-0000-0000-0000AD990000}"/>
    <cellStyle name="Char" xfId="272" xr:uid="{00000000-0005-0000-0000-0000AE990000}"/>
    <cellStyle name="Char 2" xfId="273" xr:uid="{00000000-0005-0000-0000-0000AF990000}"/>
    <cellStyle name="Char 2 2" xfId="274" xr:uid="{00000000-0005-0000-0000-0000B0990000}"/>
    <cellStyle name="Char 2 2 2" xfId="275" xr:uid="{00000000-0005-0000-0000-0000B1990000}"/>
    <cellStyle name="Char 2 3" xfId="276" xr:uid="{00000000-0005-0000-0000-0000B2990000}"/>
    <cellStyle name="Char 2 4" xfId="277" xr:uid="{00000000-0005-0000-0000-0000B3990000}"/>
    <cellStyle name="Char 3" xfId="278" xr:uid="{00000000-0005-0000-0000-0000B4990000}"/>
    <cellStyle name="Char 3 2" xfId="279" xr:uid="{00000000-0005-0000-0000-0000B5990000}"/>
    <cellStyle name="Char 3 3" xfId="280" xr:uid="{00000000-0005-0000-0000-0000B6990000}"/>
    <cellStyle name="Char 3 4" xfId="281" xr:uid="{00000000-0005-0000-0000-0000B7990000}"/>
    <cellStyle name="Char 4" xfId="282" xr:uid="{00000000-0005-0000-0000-0000B8990000}"/>
    <cellStyle name="Char 4 2" xfId="283" xr:uid="{00000000-0005-0000-0000-0000B9990000}"/>
    <cellStyle name="Char 4 3" xfId="284" xr:uid="{00000000-0005-0000-0000-0000BA990000}"/>
    <cellStyle name="Char 5" xfId="285" xr:uid="{00000000-0005-0000-0000-0000BB990000}"/>
    <cellStyle name="Char 6" xfId="286" xr:uid="{00000000-0005-0000-0000-0000BC990000}"/>
    <cellStyle name="Char 7" xfId="287" xr:uid="{00000000-0005-0000-0000-0000BD990000}"/>
    <cellStyle name="Check Cell" xfId="288" builtinId="23" customBuiltin="1"/>
    <cellStyle name="Check Cell 2" xfId="289" xr:uid="{00000000-0005-0000-0000-0000BF990000}"/>
    <cellStyle name="Check Cell 3" xfId="290" xr:uid="{00000000-0005-0000-0000-0000C0990000}"/>
    <cellStyle name="Check Cell 4" xfId="291" xr:uid="{00000000-0005-0000-0000-0000C1990000}"/>
    <cellStyle name="Check Cell 5" xfId="292" xr:uid="{00000000-0005-0000-0000-0000C2990000}"/>
    <cellStyle name="coin" xfId="293" xr:uid="{00000000-0005-0000-0000-0000C3990000}"/>
    <cellStyle name="Colore 1" xfId="294" xr:uid="{00000000-0005-0000-0000-0000C4990000}"/>
    <cellStyle name="Colore 2" xfId="295" xr:uid="{00000000-0005-0000-0000-0000C5990000}"/>
    <cellStyle name="Colore 3" xfId="296" xr:uid="{00000000-0005-0000-0000-0000C6990000}"/>
    <cellStyle name="Colore 4" xfId="297" xr:uid="{00000000-0005-0000-0000-0000C7990000}"/>
    <cellStyle name="Colore 5" xfId="298" xr:uid="{00000000-0005-0000-0000-0000C8990000}"/>
    <cellStyle name="Colore 6" xfId="299" xr:uid="{00000000-0005-0000-0000-0000C9990000}"/>
    <cellStyle name="Column_Heading_RP" xfId="300" xr:uid="{00000000-0005-0000-0000-0000CA990000}"/>
    <cellStyle name="Comma [0] 2" xfId="301" xr:uid="{00000000-0005-0000-0000-0000CB990000}"/>
    <cellStyle name="Comma [0] 2 2" xfId="302" xr:uid="{00000000-0005-0000-0000-0000CC990000}"/>
    <cellStyle name="Comma [0] 2 2 2" xfId="303" xr:uid="{00000000-0005-0000-0000-0000CD990000}"/>
    <cellStyle name="Comma [0] 2 2 3" xfId="304" xr:uid="{00000000-0005-0000-0000-0000CE990000}"/>
    <cellStyle name="Comma [0] 2 2 4" xfId="305" xr:uid="{00000000-0005-0000-0000-0000CF990000}"/>
    <cellStyle name="Comma [0] 2 2 5" xfId="306" xr:uid="{00000000-0005-0000-0000-0000D0990000}"/>
    <cellStyle name="Comma [0] 2 3" xfId="307" xr:uid="{00000000-0005-0000-0000-0000D1990000}"/>
    <cellStyle name="Comma [0] 3" xfId="308" xr:uid="{00000000-0005-0000-0000-0000D2990000}"/>
    <cellStyle name="Comma [0] 3 2" xfId="309" xr:uid="{00000000-0005-0000-0000-0000D3990000}"/>
    <cellStyle name="Comma [0] 3 2 2" xfId="310" xr:uid="{00000000-0005-0000-0000-0000D4990000}"/>
    <cellStyle name="Comma [0] 3 2 3" xfId="311" xr:uid="{00000000-0005-0000-0000-0000D5990000}"/>
    <cellStyle name="Comma [0] 3 2 4" xfId="312" xr:uid="{00000000-0005-0000-0000-0000D6990000}"/>
    <cellStyle name="Comma [0] 3 2 5" xfId="313" xr:uid="{00000000-0005-0000-0000-0000D7990000}"/>
    <cellStyle name="Comma [0] 3 3" xfId="314" xr:uid="{00000000-0005-0000-0000-0000D8990000}"/>
    <cellStyle name="Comma [0] 4" xfId="315" xr:uid="{00000000-0005-0000-0000-0000D9990000}"/>
    <cellStyle name="Comma [0] 4 2" xfId="316" xr:uid="{00000000-0005-0000-0000-0000DA990000}"/>
    <cellStyle name="Comma [0] 4 2 2" xfId="317" xr:uid="{00000000-0005-0000-0000-0000DB990000}"/>
    <cellStyle name="Comma [0] 4 2 3" xfId="318" xr:uid="{00000000-0005-0000-0000-0000DC990000}"/>
    <cellStyle name="Comma [0] 4 2 4" xfId="319" xr:uid="{00000000-0005-0000-0000-0000DD990000}"/>
    <cellStyle name="Comma [0] 4 2 5" xfId="320" xr:uid="{00000000-0005-0000-0000-0000DE990000}"/>
    <cellStyle name="Comma [0] 4 3" xfId="321" xr:uid="{00000000-0005-0000-0000-0000DF990000}"/>
    <cellStyle name="Comma 10" xfId="322" xr:uid="{00000000-0005-0000-0000-0000E0990000}"/>
    <cellStyle name="Comma 10 2" xfId="323" xr:uid="{00000000-0005-0000-0000-0000E1990000}"/>
    <cellStyle name="Comma 10 3" xfId="324" xr:uid="{00000000-0005-0000-0000-0000E2990000}"/>
    <cellStyle name="Comma 10 4" xfId="325" xr:uid="{00000000-0005-0000-0000-0000E3990000}"/>
    <cellStyle name="Comma 10 5" xfId="326" xr:uid="{00000000-0005-0000-0000-0000E4990000}"/>
    <cellStyle name="Comma 10 6" xfId="327" xr:uid="{00000000-0005-0000-0000-0000E5990000}"/>
    <cellStyle name="Comma 10 7" xfId="51484" xr:uid="{00000000-0005-0000-0000-0000E6990000}"/>
    <cellStyle name="Comma 11" xfId="328" xr:uid="{00000000-0005-0000-0000-0000E7990000}"/>
    <cellStyle name="Comma 11 2" xfId="329" xr:uid="{00000000-0005-0000-0000-0000E8990000}"/>
    <cellStyle name="Comma 11 3" xfId="330" xr:uid="{00000000-0005-0000-0000-0000E9990000}"/>
    <cellStyle name="Comma 11 4" xfId="331" xr:uid="{00000000-0005-0000-0000-0000EA990000}"/>
    <cellStyle name="Comma 11 5" xfId="332" xr:uid="{00000000-0005-0000-0000-0000EB990000}"/>
    <cellStyle name="Comma 11 6" xfId="333" xr:uid="{00000000-0005-0000-0000-0000EC990000}"/>
    <cellStyle name="Comma 11 7" xfId="51890" xr:uid="{00000000-0005-0000-0000-0000ED990000}"/>
    <cellStyle name="Comma 12" xfId="334" xr:uid="{00000000-0005-0000-0000-0000EE990000}"/>
    <cellStyle name="Comma 12 2" xfId="335" xr:uid="{00000000-0005-0000-0000-0000EF990000}"/>
    <cellStyle name="Comma 12 3" xfId="336" xr:uid="{00000000-0005-0000-0000-0000F0990000}"/>
    <cellStyle name="Comma 12 4" xfId="337" xr:uid="{00000000-0005-0000-0000-0000F1990000}"/>
    <cellStyle name="Comma 12 5" xfId="338" xr:uid="{00000000-0005-0000-0000-0000F2990000}"/>
    <cellStyle name="Comma 12 6" xfId="339" xr:uid="{00000000-0005-0000-0000-0000F3990000}"/>
    <cellStyle name="Comma 12 7" xfId="52298" xr:uid="{00000000-0005-0000-0000-0000F4990000}"/>
    <cellStyle name="Comma 13" xfId="340" xr:uid="{00000000-0005-0000-0000-0000F5990000}"/>
    <cellStyle name="Comma 13 2" xfId="341" xr:uid="{00000000-0005-0000-0000-0000F6990000}"/>
    <cellStyle name="Comma 13 3" xfId="342" xr:uid="{00000000-0005-0000-0000-0000F7990000}"/>
    <cellStyle name="Comma 13 4" xfId="343" xr:uid="{00000000-0005-0000-0000-0000F8990000}"/>
    <cellStyle name="Comma 13 5" xfId="344" xr:uid="{00000000-0005-0000-0000-0000F9990000}"/>
    <cellStyle name="Comma 13 6" xfId="345" xr:uid="{00000000-0005-0000-0000-0000FA990000}"/>
    <cellStyle name="Comma 14" xfId="346" xr:uid="{00000000-0005-0000-0000-0000FB990000}"/>
    <cellStyle name="Comma 14 2" xfId="347" xr:uid="{00000000-0005-0000-0000-0000FC990000}"/>
    <cellStyle name="Comma 14 3" xfId="348" xr:uid="{00000000-0005-0000-0000-0000FD990000}"/>
    <cellStyle name="Comma 14 4" xfId="349" xr:uid="{00000000-0005-0000-0000-0000FE990000}"/>
    <cellStyle name="Comma 14 5" xfId="350" xr:uid="{00000000-0005-0000-0000-0000FF990000}"/>
    <cellStyle name="Comma 15" xfId="351" xr:uid="{00000000-0005-0000-0000-0000009A0000}"/>
    <cellStyle name="Comma 16" xfId="352" xr:uid="{00000000-0005-0000-0000-0000019A0000}"/>
    <cellStyle name="Comma 17" xfId="353" xr:uid="{00000000-0005-0000-0000-0000029A0000}"/>
    <cellStyle name="Comma 18" xfId="354" xr:uid="{00000000-0005-0000-0000-0000039A0000}"/>
    <cellStyle name="Comma 19" xfId="355" xr:uid="{00000000-0005-0000-0000-0000049A0000}"/>
    <cellStyle name="Comma 2" xfId="356" xr:uid="{00000000-0005-0000-0000-0000059A0000}"/>
    <cellStyle name="Comma 2 10" xfId="2710" xr:uid="{00000000-0005-0000-0000-0000069A0000}"/>
    <cellStyle name="Comma 2 10 2" xfId="36154" xr:uid="{00000000-0005-0000-0000-0000079A0000}"/>
    <cellStyle name="Comma 2 11" xfId="3079" xr:uid="{00000000-0005-0000-0000-0000089A0000}"/>
    <cellStyle name="Comma 2 11 2" xfId="51091" xr:uid="{00000000-0005-0000-0000-0000099A0000}"/>
    <cellStyle name="Comma 2 12" xfId="51485" xr:uid="{00000000-0005-0000-0000-00000A9A0000}"/>
    <cellStyle name="Comma 2 13" xfId="51891" xr:uid="{00000000-0005-0000-0000-00000B9A0000}"/>
    <cellStyle name="Comma 2 14" xfId="52299" xr:uid="{00000000-0005-0000-0000-00000C9A0000}"/>
    <cellStyle name="Comma 2 15" xfId="3448" xr:uid="{00000000-0005-0000-0000-00000D9A0000}"/>
    <cellStyle name="Comma 2 2" xfId="357" xr:uid="{00000000-0005-0000-0000-00000E9A0000}"/>
    <cellStyle name="Comma 2 2 10" xfId="3449" xr:uid="{00000000-0005-0000-0000-00000F9A0000}"/>
    <cellStyle name="Comma 2 2 2" xfId="358" xr:uid="{00000000-0005-0000-0000-0000109A0000}"/>
    <cellStyle name="Comma 2 2 2 2" xfId="359" xr:uid="{00000000-0005-0000-0000-0000119A0000}"/>
    <cellStyle name="Comma 2 2 2 2 2" xfId="21132" xr:uid="{00000000-0005-0000-0000-0000129A0000}"/>
    <cellStyle name="Comma 2 2 2 2 3" xfId="20171" xr:uid="{00000000-0005-0000-0000-0000139A0000}"/>
    <cellStyle name="Comma 2 2 2 3" xfId="360" xr:uid="{00000000-0005-0000-0000-0000149A0000}"/>
    <cellStyle name="Comma 2 2 2 3 2" xfId="21106" xr:uid="{00000000-0005-0000-0000-0000159A0000}"/>
    <cellStyle name="Comma 2 2 2 4" xfId="361" xr:uid="{00000000-0005-0000-0000-0000169A0000}"/>
    <cellStyle name="Comma 2 2 2 4 2" xfId="18903" xr:uid="{00000000-0005-0000-0000-0000179A0000}"/>
    <cellStyle name="Comma 2 2 2 5" xfId="362" xr:uid="{00000000-0005-0000-0000-0000189A0000}"/>
    <cellStyle name="Comma 2 2 2 6" xfId="363" xr:uid="{00000000-0005-0000-0000-0000199A0000}"/>
    <cellStyle name="Comma 2 2 2 7" xfId="364" xr:uid="{00000000-0005-0000-0000-00001A9A0000}"/>
    <cellStyle name="Comma 2 2 2 8" xfId="11143" xr:uid="{00000000-0005-0000-0000-00001B9A0000}"/>
    <cellStyle name="Comma 2 2 3" xfId="365" xr:uid="{00000000-0005-0000-0000-00001C9A0000}"/>
    <cellStyle name="Comma 2 2 3 2" xfId="366" xr:uid="{00000000-0005-0000-0000-00001D9A0000}"/>
    <cellStyle name="Comma 2 2 3 2 2" xfId="21105" xr:uid="{00000000-0005-0000-0000-00001E9A0000}"/>
    <cellStyle name="Comma 2 2 3 3" xfId="367" xr:uid="{00000000-0005-0000-0000-00001F9A0000}"/>
    <cellStyle name="Comma 2 2 3 3 2" xfId="28180" xr:uid="{00000000-0005-0000-0000-0000209A0000}"/>
    <cellStyle name="Comma 2 2 3 4" xfId="368" xr:uid="{00000000-0005-0000-0000-0000219A0000}"/>
    <cellStyle name="Comma 2 2 3 4 2" xfId="43154" xr:uid="{00000000-0005-0000-0000-0000229A0000}"/>
    <cellStyle name="Comma 2 2 3 5" xfId="369" xr:uid="{00000000-0005-0000-0000-0000239A0000}"/>
    <cellStyle name="Comma 2 2 3 6" xfId="11895" xr:uid="{00000000-0005-0000-0000-0000249A0000}"/>
    <cellStyle name="Comma 2 2 4" xfId="370" xr:uid="{00000000-0005-0000-0000-0000259A0000}"/>
    <cellStyle name="Comma 2 2 4 2" xfId="21183" xr:uid="{00000000-0005-0000-0000-0000269A0000}"/>
    <cellStyle name="Comma 2 2 5" xfId="2711" xr:uid="{00000000-0005-0000-0000-0000279A0000}"/>
    <cellStyle name="Comma 2 2 5 2" xfId="36155" xr:uid="{00000000-0005-0000-0000-0000289A0000}"/>
    <cellStyle name="Comma 2 2 6" xfId="3080" xr:uid="{00000000-0005-0000-0000-0000299A0000}"/>
    <cellStyle name="Comma 2 2 6 2" xfId="51092" xr:uid="{00000000-0005-0000-0000-00002A9A0000}"/>
    <cellStyle name="Comma 2 2 7" xfId="51486" xr:uid="{00000000-0005-0000-0000-00002B9A0000}"/>
    <cellStyle name="Comma 2 2 8" xfId="51892" xr:uid="{00000000-0005-0000-0000-00002C9A0000}"/>
    <cellStyle name="Comma 2 2 9" xfId="52300" xr:uid="{00000000-0005-0000-0000-00002D9A0000}"/>
    <cellStyle name="Comma 2 3" xfId="371" xr:uid="{00000000-0005-0000-0000-00002E9A0000}"/>
    <cellStyle name="Comma 2 3 10" xfId="51487" xr:uid="{00000000-0005-0000-0000-00002F9A0000}"/>
    <cellStyle name="Comma 2 3 11" xfId="51893" xr:uid="{00000000-0005-0000-0000-0000309A0000}"/>
    <cellStyle name="Comma 2 3 12" xfId="52301" xr:uid="{00000000-0005-0000-0000-0000319A0000}"/>
    <cellStyle name="Comma 2 3 13" xfId="3450" xr:uid="{00000000-0005-0000-0000-0000329A0000}"/>
    <cellStyle name="Comma 2 3 2" xfId="372" xr:uid="{00000000-0005-0000-0000-0000339A0000}"/>
    <cellStyle name="Comma 2 3 2 10" xfId="2713" xr:uid="{00000000-0005-0000-0000-0000349A0000}"/>
    <cellStyle name="Comma 2 3 2 11" xfId="3082" xr:uid="{00000000-0005-0000-0000-0000359A0000}"/>
    <cellStyle name="Comma 2 3 2 12" xfId="3451" xr:uid="{00000000-0005-0000-0000-0000369A0000}"/>
    <cellStyle name="Comma 2 3 2 2" xfId="373" xr:uid="{00000000-0005-0000-0000-0000379A0000}"/>
    <cellStyle name="Comma 2 3 2 2 2" xfId="374" xr:uid="{00000000-0005-0000-0000-0000389A0000}"/>
    <cellStyle name="Comma 2 3 2 2 3" xfId="375" xr:uid="{00000000-0005-0000-0000-0000399A0000}"/>
    <cellStyle name="Comma 2 3 2 2 4" xfId="376" xr:uid="{00000000-0005-0000-0000-00003A9A0000}"/>
    <cellStyle name="Comma 2 3 2 2 5" xfId="377" xr:uid="{00000000-0005-0000-0000-00003B9A0000}"/>
    <cellStyle name="Comma 2 3 2 2 6" xfId="11145" xr:uid="{00000000-0005-0000-0000-00003C9A0000}"/>
    <cellStyle name="Comma 2 3 2 3" xfId="378" xr:uid="{00000000-0005-0000-0000-00003D9A0000}"/>
    <cellStyle name="Comma 2 3 2 3 2" xfId="28182" xr:uid="{00000000-0005-0000-0000-00003E9A0000}"/>
    <cellStyle name="Comma 2 3 2 3 3" xfId="43156" xr:uid="{00000000-0005-0000-0000-00003F9A0000}"/>
    <cellStyle name="Comma 2 3 2 3 4" xfId="11897" xr:uid="{00000000-0005-0000-0000-0000409A0000}"/>
    <cellStyle name="Comma 2 3 2 4" xfId="379" xr:uid="{00000000-0005-0000-0000-0000419A0000}"/>
    <cellStyle name="Comma 2 3 2 4 2" xfId="21185" xr:uid="{00000000-0005-0000-0000-0000429A0000}"/>
    <cellStyle name="Comma 2 3 2 5" xfId="380" xr:uid="{00000000-0005-0000-0000-0000439A0000}"/>
    <cellStyle name="Comma 2 3 2 5 2" xfId="36157" xr:uid="{00000000-0005-0000-0000-0000449A0000}"/>
    <cellStyle name="Comma 2 3 2 6" xfId="381" xr:uid="{00000000-0005-0000-0000-0000459A0000}"/>
    <cellStyle name="Comma 2 3 2 6 2" xfId="51094" xr:uid="{00000000-0005-0000-0000-0000469A0000}"/>
    <cellStyle name="Comma 2 3 2 7" xfId="382" xr:uid="{00000000-0005-0000-0000-0000479A0000}"/>
    <cellStyle name="Comma 2 3 2 7 2" xfId="51488" xr:uid="{00000000-0005-0000-0000-0000489A0000}"/>
    <cellStyle name="Comma 2 3 2 8" xfId="383" xr:uid="{00000000-0005-0000-0000-0000499A0000}"/>
    <cellStyle name="Comma 2 3 2 8 2" xfId="51894" xr:uid="{00000000-0005-0000-0000-00004A9A0000}"/>
    <cellStyle name="Comma 2 3 2 9" xfId="384" xr:uid="{00000000-0005-0000-0000-00004B9A0000}"/>
    <cellStyle name="Comma 2 3 2 9 2" xfId="52302" xr:uid="{00000000-0005-0000-0000-00004C9A0000}"/>
    <cellStyle name="Comma 2 3 3" xfId="385" xr:uid="{00000000-0005-0000-0000-00004D9A0000}"/>
    <cellStyle name="Comma 2 3 3 2" xfId="386" xr:uid="{00000000-0005-0000-0000-00004E9A0000}"/>
    <cellStyle name="Comma 2 3 3 2 2" xfId="21134" xr:uid="{00000000-0005-0000-0000-00004F9A0000}"/>
    <cellStyle name="Comma 2 3 3 2 3" xfId="20173" xr:uid="{00000000-0005-0000-0000-0000509A0000}"/>
    <cellStyle name="Comma 2 3 3 3" xfId="387" xr:uid="{00000000-0005-0000-0000-0000519A0000}"/>
    <cellStyle name="Comma 2 3 3 3 2" xfId="21108" xr:uid="{00000000-0005-0000-0000-0000529A0000}"/>
    <cellStyle name="Comma 2 3 3 4" xfId="388" xr:uid="{00000000-0005-0000-0000-0000539A0000}"/>
    <cellStyle name="Comma 2 3 3 4 2" xfId="18905" xr:uid="{00000000-0005-0000-0000-0000549A0000}"/>
    <cellStyle name="Comma 2 3 3 5" xfId="389" xr:uid="{00000000-0005-0000-0000-0000559A0000}"/>
    <cellStyle name="Comma 2 3 3 6" xfId="390" xr:uid="{00000000-0005-0000-0000-0000569A0000}"/>
    <cellStyle name="Comma 2 3 3 7" xfId="11144" xr:uid="{00000000-0005-0000-0000-0000579A0000}"/>
    <cellStyle name="Comma 2 3 4" xfId="391" xr:uid="{00000000-0005-0000-0000-0000589A0000}"/>
    <cellStyle name="Comma 2 3 4 2" xfId="21133" xr:uid="{00000000-0005-0000-0000-0000599A0000}"/>
    <cellStyle name="Comma 2 3 4 3" xfId="20172" xr:uid="{00000000-0005-0000-0000-00005A9A0000}"/>
    <cellStyle name="Comma 2 3 4 4" xfId="28181" xr:uid="{00000000-0005-0000-0000-00005B9A0000}"/>
    <cellStyle name="Comma 2 3 4 5" xfId="43155" xr:uid="{00000000-0005-0000-0000-00005C9A0000}"/>
    <cellStyle name="Comma 2 3 4 6" xfId="11896" xr:uid="{00000000-0005-0000-0000-00005D9A0000}"/>
    <cellStyle name="Comma 2 3 5" xfId="392" xr:uid="{00000000-0005-0000-0000-00005E9A0000}"/>
    <cellStyle name="Comma 2 3 5 2" xfId="21107" xr:uid="{00000000-0005-0000-0000-00005F9A0000}"/>
    <cellStyle name="Comma 2 3 6" xfId="2712" xr:uid="{00000000-0005-0000-0000-0000609A0000}"/>
    <cellStyle name="Comma 2 3 6 2" xfId="18904" xr:uid="{00000000-0005-0000-0000-0000619A0000}"/>
    <cellStyle name="Comma 2 3 7" xfId="3081" xr:uid="{00000000-0005-0000-0000-0000629A0000}"/>
    <cellStyle name="Comma 2 3 7 2" xfId="21184" xr:uid="{00000000-0005-0000-0000-0000639A0000}"/>
    <cellStyle name="Comma 2 3 8" xfId="36156" xr:uid="{00000000-0005-0000-0000-0000649A0000}"/>
    <cellStyle name="Comma 2 3 9" xfId="51093" xr:uid="{00000000-0005-0000-0000-0000659A0000}"/>
    <cellStyle name="Comma 2 4" xfId="393" xr:uid="{00000000-0005-0000-0000-0000669A0000}"/>
    <cellStyle name="Comma 2 4 10" xfId="394" xr:uid="{00000000-0005-0000-0000-0000679A0000}"/>
    <cellStyle name="Comma 2 4 10 2" xfId="51895" xr:uid="{00000000-0005-0000-0000-0000689A0000}"/>
    <cellStyle name="Comma 2 4 11" xfId="395" xr:uid="{00000000-0005-0000-0000-0000699A0000}"/>
    <cellStyle name="Comma 2 4 11 2" xfId="52303" xr:uid="{00000000-0005-0000-0000-00006A9A0000}"/>
    <cellStyle name="Comma 2 4 12" xfId="2714" xr:uid="{00000000-0005-0000-0000-00006B9A0000}"/>
    <cellStyle name="Comma 2 4 13" xfId="3083" xr:uid="{00000000-0005-0000-0000-00006C9A0000}"/>
    <cellStyle name="Comma 2 4 14" xfId="3452" xr:uid="{00000000-0005-0000-0000-00006D9A0000}"/>
    <cellStyle name="Comma 2 4 2" xfId="396" xr:uid="{00000000-0005-0000-0000-00006E9A0000}"/>
    <cellStyle name="Comma 2 4 2 10" xfId="52634" xr:uid="{00000000-0005-0000-0000-00006F9A0000}"/>
    <cellStyle name="Comma 2 4 2 11" xfId="3753" xr:uid="{00000000-0005-0000-0000-0000709A0000}"/>
    <cellStyle name="Comma 2 4 2 2" xfId="397" xr:uid="{00000000-0005-0000-0000-0000719A0000}"/>
    <cellStyle name="Comma 2 4 2 2 2" xfId="18884" xr:uid="{00000000-0005-0000-0000-0000729A0000}"/>
    <cellStyle name="Comma 2 4 2 2 2 2" xfId="35163" xr:uid="{00000000-0005-0000-0000-0000739A0000}"/>
    <cellStyle name="Comma 2 4 2 2 2 3" xfId="50122" xr:uid="{00000000-0005-0000-0000-0000749A0000}"/>
    <cellStyle name="Comma 2 4 2 2 3" xfId="28153" xr:uid="{00000000-0005-0000-0000-0000759A0000}"/>
    <cellStyle name="Comma 2 4 2 2 4" xfId="43123" xr:uid="{00000000-0005-0000-0000-0000769A0000}"/>
    <cellStyle name="Comma 2 4 2 2 5" xfId="11133" xr:uid="{00000000-0005-0000-0000-0000779A0000}"/>
    <cellStyle name="Comma 2 4 2 3" xfId="398" xr:uid="{00000000-0005-0000-0000-0000789A0000}"/>
    <cellStyle name="Comma 2 4 2 3 2" xfId="28510" xr:uid="{00000000-0005-0000-0000-0000799A0000}"/>
    <cellStyle name="Comma 2 4 2 3 3" xfId="43473" xr:uid="{00000000-0005-0000-0000-00007A9A0000}"/>
    <cellStyle name="Comma 2 4 2 3 4" xfId="12232" xr:uid="{00000000-0005-0000-0000-00007B9A0000}"/>
    <cellStyle name="Comma 2 4 2 4" xfId="399" xr:uid="{00000000-0005-0000-0000-00007C9A0000}"/>
    <cellStyle name="Comma 2 4 2 4 2" xfId="21109" xr:uid="{00000000-0005-0000-0000-00007D9A0000}"/>
    <cellStyle name="Comma 2 4 2 5" xfId="400" xr:uid="{00000000-0005-0000-0000-00007E9A0000}"/>
    <cellStyle name="Comma 2 4 2 5 2" xfId="21510" xr:uid="{00000000-0005-0000-0000-00007F9A0000}"/>
    <cellStyle name="Comma 2 4 2 6" xfId="401" xr:uid="{00000000-0005-0000-0000-0000809A0000}"/>
    <cellStyle name="Comma 2 4 2 6 2" xfId="36477" xr:uid="{00000000-0005-0000-0000-0000819A0000}"/>
    <cellStyle name="Comma 2 4 2 7" xfId="402" xr:uid="{00000000-0005-0000-0000-0000829A0000}"/>
    <cellStyle name="Comma 2 4 2 7 2" xfId="51415" xr:uid="{00000000-0005-0000-0000-0000839A0000}"/>
    <cellStyle name="Comma 2 4 2 8" xfId="3015" xr:uid="{00000000-0005-0000-0000-0000849A0000}"/>
    <cellStyle name="Comma 2 4 2 8 2" xfId="51820" xr:uid="{00000000-0005-0000-0000-0000859A0000}"/>
    <cellStyle name="Comma 2 4 2 9" xfId="3384" xr:uid="{00000000-0005-0000-0000-0000869A0000}"/>
    <cellStyle name="Comma 2 4 2 9 2" xfId="52229" xr:uid="{00000000-0005-0000-0000-0000879A0000}"/>
    <cellStyle name="Comma 2 4 3" xfId="403" xr:uid="{00000000-0005-0000-0000-0000889A0000}"/>
    <cellStyle name="Comma 2 4 3 2" xfId="404" xr:uid="{00000000-0005-0000-0000-0000899A0000}"/>
    <cellStyle name="Comma 2 4 3 2 2" xfId="35132" xr:uid="{00000000-0005-0000-0000-00008A9A0000}"/>
    <cellStyle name="Comma 2 4 3 2 3" xfId="50091" xr:uid="{00000000-0005-0000-0000-00008B9A0000}"/>
    <cellStyle name="Comma 2 4 3 2 4" xfId="18857" xr:uid="{00000000-0005-0000-0000-00008C9A0000}"/>
    <cellStyle name="Comma 2 4 3 3" xfId="405" xr:uid="{00000000-0005-0000-0000-00008D9A0000}"/>
    <cellStyle name="Comma 2 4 3 3 2" xfId="28130" xr:uid="{00000000-0005-0000-0000-00008E9A0000}"/>
    <cellStyle name="Comma 2 4 3 4" xfId="406" xr:uid="{00000000-0005-0000-0000-00008F9A0000}"/>
    <cellStyle name="Comma 2 4 3 4 2" xfId="43094" xr:uid="{00000000-0005-0000-0000-0000909A0000}"/>
    <cellStyle name="Comma 2 4 3 5" xfId="407" xr:uid="{00000000-0005-0000-0000-0000919A0000}"/>
    <cellStyle name="Comma 2 4 3 6" xfId="408" xr:uid="{00000000-0005-0000-0000-0000929A0000}"/>
    <cellStyle name="Comma 2 4 3 7" xfId="11116" xr:uid="{00000000-0005-0000-0000-0000939A0000}"/>
    <cellStyle name="Comma 2 4 4" xfId="409" xr:uid="{00000000-0005-0000-0000-0000949A0000}"/>
    <cellStyle name="Comma 2 4 4 2" xfId="410" xr:uid="{00000000-0005-0000-0000-0000959A0000}"/>
    <cellStyle name="Comma 2 4 4 3" xfId="411" xr:uid="{00000000-0005-0000-0000-0000969A0000}"/>
    <cellStyle name="Comma 2 4 4 4" xfId="412" xr:uid="{00000000-0005-0000-0000-0000979A0000}"/>
    <cellStyle name="Comma 2 4 4 5" xfId="413" xr:uid="{00000000-0005-0000-0000-0000989A0000}"/>
    <cellStyle name="Comma 2 4 4 6" xfId="11146" xr:uid="{00000000-0005-0000-0000-0000999A0000}"/>
    <cellStyle name="Comma 2 4 5" xfId="414" xr:uid="{00000000-0005-0000-0000-00009A9A0000}"/>
    <cellStyle name="Comma 2 4 5 2" xfId="28183" xr:uid="{00000000-0005-0000-0000-00009B9A0000}"/>
    <cellStyle name="Comma 2 4 5 3" xfId="43157" xr:uid="{00000000-0005-0000-0000-00009C9A0000}"/>
    <cellStyle name="Comma 2 4 5 4" xfId="11898" xr:uid="{00000000-0005-0000-0000-00009D9A0000}"/>
    <cellStyle name="Comma 2 4 6" xfId="415" xr:uid="{00000000-0005-0000-0000-00009E9A0000}"/>
    <cellStyle name="Comma 2 4 6 2" xfId="21186" xr:uid="{00000000-0005-0000-0000-00009F9A0000}"/>
    <cellStyle name="Comma 2 4 7" xfId="416" xr:uid="{00000000-0005-0000-0000-0000A09A0000}"/>
    <cellStyle name="Comma 2 4 7 2" xfId="36158" xr:uid="{00000000-0005-0000-0000-0000A19A0000}"/>
    <cellStyle name="Comma 2 4 8" xfId="417" xr:uid="{00000000-0005-0000-0000-0000A29A0000}"/>
    <cellStyle name="Comma 2 4 8 2" xfId="51095" xr:uid="{00000000-0005-0000-0000-0000A39A0000}"/>
    <cellStyle name="Comma 2 4 9" xfId="418" xr:uid="{00000000-0005-0000-0000-0000A49A0000}"/>
    <cellStyle name="Comma 2 4 9 2" xfId="51489" xr:uid="{00000000-0005-0000-0000-0000A59A0000}"/>
    <cellStyle name="Comma 2 5" xfId="419" xr:uid="{00000000-0005-0000-0000-0000A69A0000}"/>
    <cellStyle name="Comma 2 5 2" xfId="420" xr:uid="{00000000-0005-0000-0000-0000A79A0000}"/>
    <cellStyle name="Comma 2 5 2 2" xfId="21110" xr:uid="{00000000-0005-0000-0000-0000A89A0000}"/>
    <cellStyle name="Comma 2 5 3" xfId="421" xr:uid="{00000000-0005-0000-0000-0000A99A0000}"/>
    <cellStyle name="Comma 2 5 3 2" xfId="18906" xr:uid="{00000000-0005-0000-0000-0000AA9A0000}"/>
    <cellStyle name="Comma 2 5 4" xfId="11142" xr:uid="{00000000-0005-0000-0000-0000AB9A0000}"/>
    <cellStyle name="Comma 2 6" xfId="422" xr:uid="{00000000-0005-0000-0000-0000AC9A0000}"/>
    <cellStyle name="Comma 2 6 2" xfId="18908" xr:uid="{00000000-0005-0000-0000-0000AD9A0000}"/>
    <cellStyle name="Comma 2 6 2 2" xfId="35179" xr:uid="{00000000-0005-0000-0000-0000AE9A0000}"/>
    <cellStyle name="Comma 2 6 2 3" xfId="50135" xr:uid="{00000000-0005-0000-0000-0000AF9A0000}"/>
    <cellStyle name="Comma 2 6 3" xfId="18907" xr:uid="{00000000-0005-0000-0000-0000B09A0000}"/>
    <cellStyle name="Comma 2 6 3 2" xfId="35178" xr:uid="{00000000-0005-0000-0000-0000B19A0000}"/>
    <cellStyle name="Comma 2 6 3 3" xfId="50134" xr:uid="{00000000-0005-0000-0000-0000B29A0000}"/>
    <cellStyle name="Comma 2 6 4" xfId="28179" xr:uid="{00000000-0005-0000-0000-0000B39A0000}"/>
    <cellStyle name="Comma 2 6 5" xfId="43153" xr:uid="{00000000-0005-0000-0000-0000B49A0000}"/>
    <cellStyle name="Comma 2 6 6" xfId="11894" xr:uid="{00000000-0005-0000-0000-0000B59A0000}"/>
    <cellStyle name="Comma 2 7" xfId="423" xr:uid="{00000000-0005-0000-0000-0000B69A0000}"/>
    <cellStyle name="Comma 2 7 2" xfId="36122" xr:uid="{00000000-0005-0000-0000-0000B79A0000}"/>
    <cellStyle name="Comma 2 7 3" xfId="51078" xr:uid="{00000000-0005-0000-0000-0000B89A0000}"/>
    <cellStyle name="Comma 2 7 4" xfId="21153" xr:uid="{00000000-0005-0000-0000-0000B99A0000}"/>
    <cellStyle name="Comma 2 8" xfId="424" xr:uid="{00000000-0005-0000-0000-0000BA9A0000}"/>
    <cellStyle name="Comma 2 8 2" xfId="21104" xr:uid="{00000000-0005-0000-0000-0000BB9A0000}"/>
    <cellStyle name="Comma 2 9" xfId="425" xr:uid="{00000000-0005-0000-0000-0000BC9A0000}"/>
    <cellStyle name="Comma 2 9 2" xfId="21182" xr:uid="{00000000-0005-0000-0000-0000BD9A0000}"/>
    <cellStyle name="Comma 20" xfId="426" xr:uid="{00000000-0005-0000-0000-0000BE9A0000}"/>
    <cellStyle name="Comma 21" xfId="427" xr:uid="{00000000-0005-0000-0000-0000BF9A0000}"/>
    <cellStyle name="Comma 22" xfId="428" xr:uid="{00000000-0005-0000-0000-0000C09A0000}"/>
    <cellStyle name="Comma 23" xfId="429" xr:uid="{00000000-0005-0000-0000-0000C19A0000}"/>
    <cellStyle name="Comma 24" xfId="430" xr:uid="{00000000-0005-0000-0000-0000C29A0000}"/>
    <cellStyle name="Comma 25" xfId="431" xr:uid="{00000000-0005-0000-0000-0000C39A0000}"/>
    <cellStyle name="Comma 26" xfId="432" xr:uid="{00000000-0005-0000-0000-0000C49A0000}"/>
    <cellStyle name="Comma 27" xfId="433" xr:uid="{00000000-0005-0000-0000-0000C59A0000}"/>
    <cellStyle name="Comma 28" xfId="434" xr:uid="{00000000-0005-0000-0000-0000C69A0000}"/>
    <cellStyle name="Comma 29" xfId="435" xr:uid="{00000000-0005-0000-0000-0000C79A0000}"/>
    <cellStyle name="Comma 3" xfId="436" xr:uid="{00000000-0005-0000-0000-0000C89A0000}"/>
    <cellStyle name="Comma 3 10" xfId="51490" xr:uid="{00000000-0005-0000-0000-0000C99A0000}"/>
    <cellStyle name="Comma 3 11" xfId="51896" xr:uid="{00000000-0005-0000-0000-0000CA9A0000}"/>
    <cellStyle name="Comma 3 12" xfId="52304" xr:uid="{00000000-0005-0000-0000-0000CB9A0000}"/>
    <cellStyle name="Comma 3 13" xfId="3453" xr:uid="{00000000-0005-0000-0000-0000CC9A0000}"/>
    <cellStyle name="Comma 3 2" xfId="437" xr:uid="{00000000-0005-0000-0000-0000CD9A0000}"/>
    <cellStyle name="Comma 3 2 10" xfId="438" xr:uid="{00000000-0005-0000-0000-0000CE9A0000}"/>
    <cellStyle name="Comma 3 2 11" xfId="439" xr:uid="{00000000-0005-0000-0000-0000CF9A0000}"/>
    <cellStyle name="Comma 3 2 2" xfId="440" xr:uid="{00000000-0005-0000-0000-0000D09A0000}"/>
    <cellStyle name="Comma 3 2 2 2" xfId="441" xr:uid="{00000000-0005-0000-0000-0000D19A0000}"/>
    <cellStyle name="Comma 3 2 2 2 2" xfId="442" xr:uid="{00000000-0005-0000-0000-0000D29A0000}"/>
    <cellStyle name="Comma 3 2 2 2 3" xfId="443" xr:uid="{00000000-0005-0000-0000-0000D39A0000}"/>
    <cellStyle name="Comma 3 2 2 2 4" xfId="444" xr:uid="{00000000-0005-0000-0000-0000D49A0000}"/>
    <cellStyle name="Comma 3 2 2 2 5" xfId="445" xr:uid="{00000000-0005-0000-0000-0000D59A0000}"/>
    <cellStyle name="Comma 3 2 2 2 6" xfId="21113" xr:uid="{00000000-0005-0000-0000-0000D69A0000}"/>
    <cellStyle name="Comma 3 2 2 3" xfId="446" xr:uid="{00000000-0005-0000-0000-0000D79A0000}"/>
    <cellStyle name="Comma 3 2 2 4" xfId="447" xr:uid="{00000000-0005-0000-0000-0000D89A0000}"/>
    <cellStyle name="Comma 3 2 2 5" xfId="448" xr:uid="{00000000-0005-0000-0000-0000D99A0000}"/>
    <cellStyle name="Comma 3 2 2 6" xfId="449" xr:uid="{00000000-0005-0000-0000-0000DA9A0000}"/>
    <cellStyle name="Comma 3 2 2 7" xfId="450" xr:uid="{00000000-0005-0000-0000-0000DB9A0000}"/>
    <cellStyle name="Comma 3 2 2 8" xfId="18910" xr:uid="{00000000-0005-0000-0000-0000DC9A0000}"/>
    <cellStyle name="Comma 3 2 3" xfId="451" xr:uid="{00000000-0005-0000-0000-0000DD9A0000}"/>
    <cellStyle name="Comma 3 2 3 2" xfId="452" xr:uid="{00000000-0005-0000-0000-0000DE9A0000}"/>
    <cellStyle name="Comma 3 2 3 3" xfId="453" xr:uid="{00000000-0005-0000-0000-0000DF9A0000}"/>
    <cellStyle name="Comma 3 2 3 4" xfId="454" xr:uid="{00000000-0005-0000-0000-0000E09A0000}"/>
    <cellStyle name="Comma 3 2 3 5" xfId="455" xr:uid="{00000000-0005-0000-0000-0000E19A0000}"/>
    <cellStyle name="Comma 3 2 3 6" xfId="21112" xr:uid="{00000000-0005-0000-0000-0000E29A0000}"/>
    <cellStyle name="Comma 3 2 4" xfId="456" xr:uid="{00000000-0005-0000-0000-0000E39A0000}"/>
    <cellStyle name="Comma 3 2 4 2" xfId="457" xr:uid="{00000000-0005-0000-0000-0000E49A0000}"/>
    <cellStyle name="Comma 3 2 4 3" xfId="458" xr:uid="{00000000-0005-0000-0000-0000E59A0000}"/>
    <cellStyle name="Comma 3 2 4 4" xfId="459" xr:uid="{00000000-0005-0000-0000-0000E69A0000}"/>
    <cellStyle name="Comma 3 2 4 5" xfId="460" xr:uid="{00000000-0005-0000-0000-0000E79A0000}"/>
    <cellStyle name="Comma 3 2 4 6" xfId="18909" xr:uid="{00000000-0005-0000-0000-0000E89A0000}"/>
    <cellStyle name="Comma 3 2 5" xfId="461" xr:uid="{00000000-0005-0000-0000-0000E99A0000}"/>
    <cellStyle name="Comma 3 2 5 2" xfId="462" xr:uid="{00000000-0005-0000-0000-0000EA9A0000}"/>
    <cellStyle name="Comma 3 2 5 3" xfId="463" xr:uid="{00000000-0005-0000-0000-0000EB9A0000}"/>
    <cellStyle name="Comma 3 2 5 4" xfId="464" xr:uid="{00000000-0005-0000-0000-0000EC9A0000}"/>
    <cellStyle name="Comma 3 2 5 5" xfId="465" xr:uid="{00000000-0005-0000-0000-0000ED9A0000}"/>
    <cellStyle name="Comma 3 2 6" xfId="466" xr:uid="{00000000-0005-0000-0000-0000EE9A0000}"/>
    <cellStyle name="Comma 3 2 7" xfId="467" xr:uid="{00000000-0005-0000-0000-0000EF9A0000}"/>
    <cellStyle name="Comma 3 2 8" xfId="468" xr:uid="{00000000-0005-0000-0000-0000F09A0000}"/>
    <cellStyle name="Comma 3 2 9" xfId="469" xr:uid="{00000000-0005-0000-0000-0000F19A0000}"/>
    <cellStyle name="Comma 3 3" xfId="470" xr:uid="{00000000-0005-0000-0000-0000F29A0000}"/>
    <cellStyle name="Comma 3 3 10" xfId="52635" xr:uid="{00000000-0005-0000-0000-0000F39A0000}"/>
    <cellStyle name="Comma 3 3 11" xfId="3754" xr:uid="{00000000-0005-0000-0000-0000F49A0000}"/>
    <cellStyle name="Comma 3 3 2" xfId="471" xr:uid="{00000000-0005-0000-0000-0000F59A0000}"/>
    <cellStyle name="Comma 3 3 2 2" xfId="472" xr:uid="{00000000-0005-0000-0000-0000F69A0000}"/>
    <cellStyle name="Comma 3 3 2 2 2" xfId="36110" xr:uid="{00000000-0005-0000-0000-0000F79A0000}"/>
    <cellStyle name="Comma 3 3 2 2 3" xfId="51066" xr:uid="{00000000-0005-0000-0000-0000F89A0000}"/>
    <cellStyle name="Comma 3 3 2 2 4" xfId="21136" xr:uid="{00000000-0005-0000-0000-0000F99A0000}"/>
    <cellStyle name="Comma 3 3 2 3" xfId="473" xr:uid="{00000000-0005-0000-0000-0000FA9A0000}"/>
    <cellStyle name="Comma 3 3 2 3 2" xfId="35791" xr:uid="{00000000-0005-0000-0000-0000FB9A0000}"/>
    <cellStyle name="Comma 3 3 2 3 3" xfId="50747" xr:uid="{00000000-0005-0000-0000-0000FC9A0000}"/>
    <cellStyle name="Comma 3 3 2 3 4" xfId="20175" xr:uid="{00000000-0005-0000-0000-0000FD9A0000}"/>
    <cellStyle name="Comma 3 3 2 4" xfId="474" xr:uid="{00000000-0005-0000-0000-0000FE9A0000}"/>
    <cellStyle name="Comma 3 3 2 4 2" xfId="28511" xr:uid="{00000000-0005-0000-0000-0000FF9A0000}"/>
    <cellStyle name="Comma 3 3 2 5" xfId="475" xr:uid="{00000000-0005-0000-0000-0000009B0000}"/>
    <cellStyle name="Comma 3 3 2 5 2" xfId="43474" xr:uid="{00000000-0005-0000-0000-0000019B0000}"/>
    <cellStyle name="Comma 3 3 2 6" xfId="12233" xr:uid="{00000000-0005-0000-0000-0000029B0000}"/>
    <cellStyle name="Comma 3 3 3" xfId="476" xr:uid="{00000000-0005-0000-0000-0000039B0000}"/>
    <cellStyle name="Comma 3 3 3 2" xfId="36100" xr:uid="{00000000-0005-0000-0000-0000049B0000}"/>
    <cellStyle name="Comma 3 3 3 3" xfId="51056" xr:uid="{00000000-0005-0000-0000-0000059B0000}"/>
    <cellStyle name="Comma 3 3 3 4" xfId="21114" xr:uid="{00000000-0005-0000-0000-0000069B0000}"/>
    <cellStyle name="Comma 3 3 4" xfId="477" xr:uid="{00000000-0005-0000-0000-0000079B0000}"/>
    <cellStyle name="Comma 3 3 4 2" xfId="35180" xr:uid="{00000000-0005-0000-0000-0000089B0000}"/>
    <cellStyle name="Comma 3 3 4 3" xfId="50136" xr:uid="{00000000-0005-0000-0000-0000099B0000}"/>
    <cellStyle name="Comma 3 3 4 4" xfId="18911" xr:uid="{00000000-0005-0000-0000-00000A9B0000}"/>
    <cellStyle name="Comma 3 3 5" xfId="478" xr:uid="{00000000-0005-0000-0000-00000B9B0000}"/>
    <cellStyle name="Comma 3 3 5 2" xfId="21511" xr:uid="{00000000-0005-0000-0000-00000C9B0000}"/>
    <cellStyle name="Comma 3 3 6" xfId="479" xr:uid="{00000000-0005-0000-0000-00000D9B0000}"/>
    <cellStyle name="Comma 3 3 6 2" xfId="36478" xr:uid="{00000000-0005-0000-0000-00000E9B0000}"/>
    <cellStyle name="Comma 3 3 7" xfId="480" xr:uid="{00000000-0005-0000-0000-00000F9B0000}"/>
    <cellStyle name="Comma 3 3 7 2" xfId="51416" xr:uid="{00000000-0005-0000-0000-0000109B0000}"/>
    <cellStyle name="Comma 3 3 8" xfId="3016" xr:uid="{00000000-0005-0000-0000-0000119B0000}"/>
    <cellStyle name="Comma 3 3 8 2" xfId="51821" xr:uid="{00000000-0005-0000-0000-0000129B0000}"/>
    <cellStyle name="Comma 3 3 9" xfId="3385" xr:uid="{00000000-0005-0000-0000-0000139B0000}"/>
    <cellStyle name="Comma 3 3 9 2" xfId="52230" xr:uid="{00000000-0005-0000-0000-0000149B0000}"/>
    <cellStyle name="Comma 3 4" xfId="481" xr:uid="{00000000-0005-0000-0000-0000159B0000}"/>
    <cellStyle name="Comma 3 4 2" xfId="482" xr:uid="{00000000-0005-0000-0000-0000169B0000}"/>
    <cellStyle name="Comma 3 4 2 2" xfId="483" xr:uid="{00000000-0005-0000-0000-0000179B0000}"/>
    <cellStyle name="Comma 3 4 2 3" xfId="484" xr:uid="{00000000-0005-0000-0000-0000189B0000}"/>
    <cellStyle name="Comma 3 4 2 4" xfId="485" xr:uid="{00000000-0005-0000-0000-0000199B0000}"/>
    <cellStyle name="Comma 3 4 2 5" xfId="486" xr:uid="{00000000-0005-0000-0000-00001A9B0000}"/>
    <cellStyle name="Comma 3 4 2 6" xfId="21135" xr:uid="{00000000-0005-0000-0000-00001B9B0000}"/>
    <cellStyle name="Comma 3 4 3" xfId="487" xr:uid="{00000000-0005-0000-0000-00001C9B0000}"/>
    <cellStyle name="Comma 3 4 3 2" xfId="20174" xr:uid="{00000000-0005-0000-0000-00001D9B0000}"/>
    <cellStyle name="Comma 3 4 4" xfId="488" xr:uid="{00000000-0005-0000-0000-00001E9B0000}"/>
    <cellStyle name="Comma 3 4 4 2" xfId="28184" xr:uid="{00000000-0005-0000-0000-00001F9B0000}"/>
    <cellStyle name="Comma 3 4 5" xfId="489" xr:uid="{00000000-0005-0000-0000-0000209B0000}"/>
    <cellStyle name="Comma 3 4 5 2" xfId="43158" xr:uid="{00000000-0005-0000-0000-0000219B0000}"/>
    <cellStyle name="Comma 3 4 6" xfId="490" xr:uid="{00000000-0005-0000-0000-0000229B0000}"/>
    <cellStyle name="Comma 3 4 7" xfId="491" xr:uid="{00000000-0005-0000-0000-0000239B0000}"/>
    <cellStyle name="Comma 3 4 8" xfId="11899" xr:uid="{00000000-0005-0000-0000-0000249B0000}"/>
    <cellStyle name="Comma 3 5" xfId="492" xr:uid="{00000000-0005-0000-0000-0000259B0000}"/>
    <cellStyle name="Comma 3 5 2" xfId="493" xr:uid="{00000000-0005-0000-0000-0000269B0000}"/>
    <cellStyle name="Comma 3 5 2 2" xfId="36124" xr:uid="{00000000-0005-0000-0000-0000279B0000}"/>
    <cellStyle name="Comma 3 5 3" xfId="494" xr:uid="{00000000-0005-0000-0000-0000289B0000}"/>
    <cellStyle name="Comma 3 5 3 2" xfId="51080" xr:uid="{00000000-0005-0000-0000-0000299B0000}"/>
    <cellStyle name="Comma 3 5 4" xfId="495" xr:uid="{00000000-0005-0000-0000-00002A9B0000}"/>
    <cellStyle name="Comma 3 5 5" xfId="496" xr:uid="{00000000-0005-0000-0000-00002B9B0000}"/>
    <cellStyle name="Comma 3 5 6" xfId="21155" xr:uid="{00000000-0005-0000-0000-00002C9B0000}"/>
    <cellStyle name="Comma 3 6" xfId="497" xr:uid="{00000000-0005-0000-0000-00002D9B0000}"/>
    <cellStyle name="Comma 3 6 2" xfId="498" xr:uid="{00000000-0005-0000-0000-00002E9B0000}"/>
    <cellStyle name="Comma 3 6 3" xfId="499" xr:uid="{00000000-0005-0000-0000-00002F9B0000}"/>
    <cellStyle name="Comma 3 6 4" xfId="500" xr:uid="{00000000-0005-0000-0000-0000309B0000}"/>
    <cellStyle name="Comma 3 6 5" xfId="501" xr:uid="{00000000-0005-0000-0000-0000319B0000}"/>
    <cellStyle name="Comma 3 6 6" xfId="21111" xr:uid="{00000000-0005-0000-0000-0000329B0000}"/>
    <cellStyle name="Comma 3 7" xfId="502" xr:uid="{00000000-0005-0000-0000-0000339B0000}"/>
    <cellStyle name="Comma 3 7 2" xfId="21187" xr:uid="{00000000-0005-0000-0000-0000349B0000}"/>
    <cellStyle name="Comma 3 8" xfId="2715" xr:uid="{00000000-0005-0000-0000-0000359B0000}"/>
    <cellStyle name="Comma 3 8 2" xfId="36159" xr:uid="{00000000-0005-0000-0000-0000369B0000}"/>
    <cellStyle name="Comma 3 9" xfId="3084" xr:uid="{00000000-0005-0000-0000-0000379B0000}"/>
    <cellStyle name="Comma 3 9 2" xfId="51096" xr:uid="{00000000-0005-0000-0000-0000389B0000}"/>
    <cellStyle name="Comma 30" xfId="503" xr:uid="{00000000-0005-0000-0000-0000399B0000}"/>
    <cellStyle name="Comma 31" xfId="504" xr:uid="{00000000-0005-0000-0000-00003A9B0000}"/>
    <cellStyle name="Comma 32" xfId="2709" xr:uid="{00000000-0005-0000-0000-00003B9B0000}"/>
    <cellStyle name="Comma 33" xfId="3078" xr:uid="{00000000-0005-0000-0000-00003C9B0000}"/>
    <cellStyle name="Comma 34" xfId="3447" xr:uid="{00000000-0005-0000-0000-00003D9B0000}"/>
    <cellStyle name="Comma 4" xfId="505" xr:uid="{00000000-0005-0000-0000-00003E9B0000}"/>
    <cellStyle name="Comma 4 10" xfId="506" xr:uid="{00000000-0005-0000-0000-00003F9B0000}"/>
    <cellStyle name="Comma 4 11" xfId="507" xr:uid="{00000000-0005-0000-0000-0000409B0000}"/>
    <cellStyle name="Comma 4 2" xfId="508" xr:uid="{00000000-0005-0000-0000-0000419B0000}"/>
    <cellStyle name="Comma 4 2 10" xfId="509" xr:uid="{00000000-0005-0000-0000-0000429B0000}"/>
    <cellStyle name="Comma 4 2 2" xfId="510" xr:uid="{00000000-0005-0000-0000-0000439B0000}"/>
    <cellStyle name="Comma 4 2 2 2" xfId="511" xr:uid="{00000000-0005-0000-0000-0000449B0000}"/>
    <cellStyle name="Comma 4 2 2 2 2" xfId="21117" xr:uid="{00000000-0005-0000-0000-0000459B0000}"/>
    <cellStyle name="Comma 4 2 2 3" xfId="512" xr:uid="{00000000-0005-0000-0000-0000469B0000}"/>
    <cellStyle name="Comma 4 2 2 4" xfId="513" xr:uid="{00000000-0005-0000-0000-0000479B0000}"/>
    <cellStyle name="Comma 4 2 2 5" xfId="514" xr:uid="{00000000-0005-0000-0000-0000489B0000}"/>
    <cellStyle name="Comma 4 2 2 6" xfId="18914" xr:uid="{00000000-0005-0000-0000-0000499B0000}"/>
    <cellStyle name="Comma 4 2 3" xfId="515" xr:uid="{00000000-0005-0000-0000-00004A9B0000}"/>
    <cellStyle name="Comma 4 2 3 2" xfId="516" xr:uid="{00000000-0005-0000-0000-00004B9B0000}"/>
    <cellStyle name="Comma 4 2 3 3" xfId="517" xr:uid="{00000000-0005-0000-0000-00004C9B0000}"/>
    <cellStyle name="Comma 4 2 3 4" xfId="518" xr:uid="{00000000-0005-0000-0000-00004D9B0000}"/>
    <cellStyle name="Comma 4 2 3 5" xfId="519" xr:uid="{00000000-0005-0000-0000-00004E9B0000}"/>
    <cellStyle name="Comma 4 2 3 6" xfId="21116" xr:uid="{00000000-0005-0000-0000-00004F9B0000}"/>
    <cellStyle name="Comma 4 2 4" xfId="520" xr:uid="{00000000-0005-0000-0000-0000509B0000}"/>
    <cellStyle name="Comma 4 2 4 2" xfId="521" xr:uid="{00000000-0005-0000-0000-0000519B0000}"/>
    <cellStyle name="Comma 4 2 4 3" xfId="522" xr:uid="{00000000-0005-0000-0000-0000529B0000}"/>
    <cellStyle name="Comma 4 2 4 4" xfId="523" xr:uid="{00000000-0005-0000-0000-0000539B0000}"/>
    <cellStyle name="Comma 4 2 4 5" xfId="524" xr:uid="{00000000-0005-0000-0000-0000549B0000}"/>
    <cellStyle name="Comma 4 2 4 6" xfId="18913" xr:uid="{00000000-0005-0000-0000-0000559B0000}"/>
    <cellStyle name="Comma 4 2 5" xfId="525" xr:uid="{00000000-0005-0000-0000-0000569B0000}"/>
    <cellStyle name="Comma 4 2 6" xfId="526" xr:uid="{00000000-0005-0000-0000-0000579B0000}"/>
    <cellStyle name="Comma 4 2 7" xfId="527" xr:uid="{00000000-0005-0000-0000-0000589B0000}"/>
    <cellStyle name="Comma 4 2 8" xfId="528" xr:uid="{00000000-0005-0000-0000-0000599B0000}"/>
    <cellStyle name="Comma 4 2 9" xfId="529" xr:uid="{00000000-0005-0000-0000-00005A9B0000}"/>
    <cellStyle name="Comma 4 3" xfId="530" xr:uid="{00000000-0005-0000-0000-00005B9B0000}"/>
    <cellStyle name="Comma 4 3 2" xfId="531" xr:uid="{00000000-0005-0000-0000-00005C9B0000}"/>
    <cellStyle name="Comma 4 3 2 2" xfId="21138" xr:uid="{00000000-0005-0000-0000-00005D9B0000}"/>
    <cellStyle name="Comma 4 3 2 2 2" xfId="36111" xr:uid="{00000000-0005-0000-0000-00005E9B0000}"/>
    <cellStyle name="Comma 4 3 2 2 3" xfId="51067" xr:uid="{00000000-0005-0000-0000-00005F9B0000}"/>
    <cellStyle name="Comma 4 3 2 3" xfId="35792" xr:uid="{00000000-0005-0000-0000-0000609B0000}"/>
    <cellStyle name="Comma 4 3 2 4" xfId="50748" xr:uid="{00000000-0005-0000-0000-0000619B0000}"/>
    <cellStyle name="Comma 4 3 2 5" xfId="20177" xr:uid="{00000000-0005-0000-0000-0000629B0000}"/>
    <cellStyle name="Comma 4 3 3" xfId="532" xr:uid="{00000000-0005-0000-0000-0000639B0000}"/>
    <cellStyle name="Comma 4 3 3 2" xfId="36101" xr:uid="{00000000-0005-0000-0000-0000649B0000}"/>
    <cellStyle name="Comma 4 3 3 3" xfId="51057" xr:uid="{00000000-0005-0000-0000-0000659B0000}"/>
    <cellStyle name="Comma 4 3 3 4" xfId="21118" xr:uid="{00000000-0005-0000-0000-0000669B0000}"/>
    <cellStyle name="Comma 4 3 4" xfId="533" xr:uid="{00000000-0005-0000-0000-0000679B0000}"/>
    <cellStyle name="Comma 4 3 4 2" xfId="35181" xr:uid="{00000000-0005-0000-0000-0000689B0000}"/>
    <cellStyle name="Comma 4 3 4 3" xfId="50137" xr:uid="{00000000-0005-0000-0000-0000699B0000}"/>
    <cellStyle name="Comma 4 3 4 4" xfId="18915" xr:uid="{00000000-0005-0000-0000-00006A9B0000}"/>
    <cellStyle name="Comma 4 3 5" xfId="534" xr:uid="{00000000-0005-0000-0000-00006B9B0000}"/>
    <cellStyle name="Comma 4 3 6" xfId="535" xr:uid="{00000000-0005-0000-0000-00006C9B0000}"/>
    <cellStyle name="Comma 4 3 7" xfId="11147" xr:uid="{00000000-0005-0000-0000-00006D9B0000}"/>
    <cellStyle name="Comma 4 4" xfId="536" xr:uid="{00000000-0005-0000-0000-00006E9B0000}"/>
    <cellStyle name="Comma 4 4 2" xfId="537" xr:uid="{00000000-0005-0000-0000-00006F9B0000}"/>
    <cellStyle name="Comma 4 4 2 2" xfId="538" xr:uid="{00000000-0005-0000-0000-0000709B0000}"/>
    <cellStyle name="Comma 4 4 2 2 2" xfId="21139" xr:uid="{00000000-0005-0000-0000-0000719B0000}"/>
    <cellStyle name="Comma 4 4 2 3" xfId="539" xr:uid="{00000000-0005-0000-0000-0000729B0000}"/>
    <cellStyle name="Comma 4 4 2 4" xfId="540" xr:uid="{00000000-0005-0000-0000-0000739B0000}"/>
    <cellStyle name="Comma 4 4 2 5" xfId="541" xr:uid="{00000000-0005-0000-0000-0000749B0000}"/>
    <cellStyle name="Comma 4 4 2 6" xfId="20178" xr:uid="{00000000-0005-0000-0000-0000759B0000}"/>
    <cellStyle name="Comma 4 4 3" xfId="542" xr:uid="{00000000-0005-0000-0000-0000769B0000}"/>
    <cellStyle name="Comma 4 4 3 2" xfId="21119" xr:uid="{00000000-0005-0000-0000-0000779B0000}"/>
    <cellStyle name="Comma 4 4 4" xfId="543" xr:uid="{00000000-0005-0000-0000-0000789B0000}"/>
    <cellStyle name="Comma 4 4 4 2" xfId="18916" xr:uid="{00000000-0005-0000-0000-0000799B0000}"/>
    <cellStyle name="Comma 4 4 5" xfId="544" xr:uid="{00000000-0005-0000-0000-00007A9B0000}"/>
    <cellStyle name="Comma 4 4 6" xfId="545" xr:uid="{00000000-0005-0000-0000-00007B9B0000}"/>
    <cellStyle name="Comma 4 4 7" xfId="546" xr:uid="{00000000-0005-0000-0000-00007C9B0000}"/>
    <cellStyle name="Comma 4 4 8" xfId="11900" xr:uid="{00000000-0005-0000-0000-00007D9B0000}"/>
    <cellStyle name="Comma 4 5" xfId="547" xr:uid="{00000000-0005-0000-0000-00007E9B0000}"/>
    <cellStyle name="Comma 4 5 2" xfId="548" xr:uid="{00000000-0005-0000-0000-00007F9B0000}"/>
    <cellStyle name="Comma 4 5 2 2" xfId="21137" xr:uid="{00000000-0005-0000-0000-0000809B0000}"/>
    <cellStyle name="Comma 4 5 3" xfId="549" xr:uid="{00000000-0005-0000-0000-0000819B0000}"/>
    <cellStyle name="Comma 4 5 4" xfId="550" xr:uid="{00000000-0005-0000-0000-0000829B0000}"/>
    <cellStyle name="Comma 4 5 5" xfId="551" xr:uid="{00000000-0005-0000-0000-0000839B0000}"/>
    <cellStyle name="Comma 4 5 6" xfId="20176" xr:uid="{00000000-0005-0000-0000-0000849B0000}"/>
    <cellStyle name="Comma 4 6" xfId="552" xr:uid="{00000000-0005-0000-0000-0000859B0000}"/>
    <cellStyle name="Comma 4 6 2" xfId="553" xr:uid="{00000000-0005-0000-0000-0000869B0000}"/>
    <cellStyle name="Comma 4 6 3" xfId="554" xr:uid="{00000000-0005-0000-0000-0000879B0000}"/>
    <cellStyle name="Comma 4 6 4" xfId="555" xr:uid="{00000000-0005-0000-0000-0000889B0000}"/>
    <cellStyle name="Comma 4 6 5" xfId="556" xr:uid="{00000000-0005-0000-0000-0000899B0000}"/>
    <cellStyle name="Comma 4 6 6" xfId="21115" xr:uid="{00000000-0005-0000-0000-00008A9B0000}"/>
    <cellStyle name="Comma 4 7" xfId="557" xr:uid="{00000000-0005-0000-0000-00008B9B0000}"/>
    <cellStyle name="Comma 4 7 2" xfId="558" xr:uid="{00000000-0005-0000-0000-00008C9B0000}"/>
    <cellStyle name="Comma 4 7 3" xfId="559" xr:uid="{00000000-0005-0000-0000-00008D9B0000}"/>
    <cellStyle name="Comma 4 7 4" xfId="560" xr:uid="{00000000-0005-0000-0000-00008E9B0000}"/>
    <cellStyle name="Comma 4 7 5" xfId="561" xr:uid="{00000000-0005-0000-0000-00008F9B0000}"/>
    <cellStyle name="Comma 4 7 6" xfId="18912" xr:uid="{00000000-0005-0000-0000-0000909B0000}"/>
    <cellStyle name="Comma 4 8" xfId="562" xr:uid="{00000000-0005-0000-0000-0000919B0000}"/>
    <cellStyle name="Comma 4 8 2" xfId="563" xr:uid="{00000000-0005-0000-0000-0000929B0000}"/>
    <cellStyle name="Comma 4 8 3" xfId="564" xr:uid="{00000000-0005-0000-0000-0000939B0000}"/>
    <cellStyle name="Comma 4 8 4" xfId="565" xr:uid="{00000000-0005-0000-0000-0000949B0000}"/>
    <cellStyle name="Comma 4 8 5" xfId="566" xr:uid="{00000000-0005-0000-0000-0000959B0000}"/>
    <cellStyle name="Comma 4 9" xfId="567" xr:uid="{00000000-0005-0000-0000-0000969B0000}"/>
    <cellStyle name="Comma 4 9 2" xfId="568" xr:uid="{00000000-0005-0000-0000-0000979B0000}"/>
    <cellStyle name="Comma 4 9 3" xfId="569" xr:uid="{00000000-0005-0000-0000-0000989B0000}"/>
    <cellStyle name="Comma 4 9 4" xfId="570" xr:uid="{00000000-0005-0000-0000-0000999B0000}"/>
    <cellStyle name="Comma 4 9 5" xfId="571" xr:uid="{00000000-0005-0000-0000-00009A9B0000}"/>
    <cellStyle name="Comma 5" xfId="572" xr:uid="{00000000-0005-0000-0000-00009B9B0000}"/>
    <cellStyle name="Comma 5 2" xfId="573" xr:uid="{00000000-0005-0000-0000-00009C9B0000}"/>
    <cellStyle name="Comma 5 2 2" xfId="574" xr:uid="{00000000-0005-0000-0000-00009D9B0000}"/>
    <cellStyle name="Comma 5 2 2 2" xfId="21140" xr:uid="{00000000-0005-0000-0000-00009E9B0000}"/>
    <cellStyle name="Comma 5 2 3" xfId="575" xr:uid="{00000000-0005-0000-0000-00009F9B0000}"/>
    <cellStyle name="Comma 5 2 3 2" xfId="20179" xr:uid="{00000000-0005-0000-0000-0000A09B0000}"/>
    <cellStyle name="Comma 5 2 4" xfId="576" xr:uid="{00000000-0005-0000-0000-0000A19B0000}"/>
    <cellStyle name="Comma 5 2 4 2" xfId="35126" xr:uid="{00000000-0005-0000-0000-0000A29B0000}"/>
    <cellStyle name="Comma 5 2 5" xfId="577" xr:uid="{00000000-0005-0000-0000-0000A39B0000}"/>
    <cellStyle name="Comma 5 2 5 2" xfId="50085" xr:uid="{00000000-0005-0000-0000-0000A49B0000}"/>
    <cellStyle name="Comma 5 2 6" xfId="578" xr:uid="{00000000-0005-0000-0000-0000A59B0000}"/>
    <cellStyle name="Comma 5 2 7" xfId="18850" xr:uid="{00000000-0005-0000-0000-0000A69B0000}"/>
    <cellStyle name="Comma 5 3" xfId="579" xr:uid="{00000000-0005-0000-0000-0000A79B0000}"/>
    <cellStyle name="Comma 5 3 2" xfId="580" xr:uid="{00000000-0005-0000-0000-0000A89B0000}"/>
    <cellStyle name="Comma 5 3 3" xfId="581" xr:uid="{00000000-0005-0000-0000-0000A99B0000}"/>
    <cellStyle name="Comma 5 3 4" xfId="582" xr:uid="{00000000-0005-0000-0000-0000AA9B0000}"/>
    <cellStyle name="Comma 5 3 5" xfId="583" xr:uid="{00000000-0005-0000-0000-0000AB9B0000}"/>
    <cellStyle name="Comma 5 3 6" xfId="584" xr:uid="{00000000-0005-0000-0000-0000AC9B0000}"/>
    <cellStyle name="Comma 5 3 7" xfId="21120" xr:uid="{00000000-0005-0000-0000-0000AD9B0000}"/>
    <cellStyle name="Comma 5 4" xfId="18917" xr:uid="{00000000-0005-0000-0000-0000AE9B0000}"/>
    <cellStyle name="Comma 5 5" xfId="28124" xr:uid="{00000000-0005-0000-0000-0000AF9B0000}"/>
    <cellStyle name="Comma 5 6" xfId="43088" xr:uid="{00000000-0005-0000-0000-0000B09B0000}"/>
    <cellStyle name="Comma 5 7" xfId="11044" xr:uid="{00000000-0005-0000-0000-0000B19B0000}"/>
    <cellStyle name="Comma 6" xfId="585" xr:uid="{00000000-0005-0000-0000-0000B29B0000}"/>
    <cellStyle name="Comma 6 2" xfId="586" xr:uid="{00000000-0005-0000-0000-0000B39B0000}"/>
    <cellStyle name="Comma 6 2 2" xfId="587" xr:uid="{00000000-0005-0000-0000-0000B49B0000}"/>
    <cellStyle name="Comma 6 2 2 2" xfId="588" xr:uid="{00000000-0005-0000-0000-0000B59B0000}"/>
    <cellStyle name="Comma 6 2 2 3" xfId="589" xr:uid="{00000000-0005-0000-0000-0000B69B0000}"/>
    <cellStyle name="Comma 6 2 2 4" xfId="590" xr:uid="{00000000-0005-0000-0000-0000B79B0000}"/>
    <cellStyle name="Comma 6 2 2 5" xfId="591" xr:uid="{00000000-0005-0000-0000-0000B89B0000}"/>
    <cellStyle name="Comma 6 2 2 6" xfId="21141" xr:uid="{00000000-0005-0000-0000-0000B99B0000}"/>
    <cellStyle name="Comma 6 2 3" xfId="592" xr:uid="{00000000-0005-0000-0000-0000BA9B0000}"/>
    <cellStyle name="Comma 6 2 4" xfId="593" xr:uid="{00000000-0005-0000-0000-0000BB9B0000}"/>
    <cellStyle name="Comma 6 2 5" xfId="594" xr:uid="{00000000-0005-0000-0000-0000BC9B0000}"/>
    <cellStyle name="Comma 6 2 6" xfId="595" xr:uid="{00000000-0005-0000-0000-0000BD9B0000}"/>
    <cellStyle name="Comma 6 2 7" xfId="596" xr:uid="{00000000-0005-0000-0000-0000BE9B0000}"/>
    <cellStyle name="Comma 6 2 8" xfId="20180" xr:uid="{00000000-0005-0000-0000-0000BF9B0000}"/>
    <cellStyle name="Comma 6 3" xfId="597" xr:uid="{00000000-0005-0000-0000-0000C09B0000}"/>
    <cellStyle name="Comma 6 3 2" xfId="598" xr:uid="{00000000-0005-0000-0000-0000C19B0000}"/>
    <cellStyle name="Comma 6 3 3" xfId="599" xr:uid="{00000000-0005-0000-0000-0000C29B0000}"/>
    <cellStyle name="Comma 6 3 4" xfId="600" xr:uid="{00000000-0005-0000-0000-0000C39B0000}"/>
    <cellStyle name="Comma 6 3 5" xfId="601" xr:uid="{00000000-0005-0000-0000-0000C49B0000}"/>
    <cellStyle name="Comma 6 3 6" xfId="21121" xr:uid="{00000000-0005-0000-0000-0000C59B0000}"/>
    <cellStyle name="Comma 6 4" xfId="602" xr:uid="{00000000-0005-0000-0000-0000C69B0000}"/>
    <cellStyle name="Comma 6 5" xfId="11148" xr:uid="{00000000-0005-0000-0000-0000C79B0000}"/>
    <cellStyle name="Comma 7" xfId="603" xr:uid="{00000000-0005-0000-0000-0000C89B0000}"/>
    <cellStyle name="Comma 7 2" xfId="604" xr:uid="{00000000-0005-0000-0000-0000C99B0000}"/>
    <cellStyle name="Comma 7 2 2" xfId="605" xr:uid="{00000000-0005-0000-0000-0000CA9B0000}"/>
    <cellStyle name="Comma 7 2 2 2" xfId="36119" xr:uid="{00000000-0005-0000-0000-0000CB9B0000}"/>
    <cellStyle name="Comma 7 2 2 3" xfId="51075" xr:uid="{00000000-0005-0000-0000-0000CC9B0000}"/>
    <cellStyle name="Comma 7 2 2 4" xfId="21150" xr:uid="{00000000-0005-0000-0000-0000CD9B0000}"/>
    <cellStyle name="Comma 7 2 3" xfId="606" xr:uid="{00000000-0005-0000-0000-0000CE9B0000}"/>
    <cellStyle name="Comma 7 2 3 2" xfId="36099" xr:uid="{00000000-0005-0000-0000-0000CF9B0000}"/>
    <cellStyle name="Comma 7 2 4" xfId="607" xr:uid="{00000000-0005-0000-0000-0000D09B0000}"/>
    <cellStyle name="Comma 7 2 4 2" xfId="51055" xr:uid="{00000000-0005-0000-0000-0000D19B0000}"/>
    <cellStyle name="Comma 7 2 5" xfId="608" xr:uid="{00000000-0005-0000-0000-0000D29B0000}"/>
    <cellStyle name="Comma 7 2 6" xfId="609" xr:uid="{00000000-0005-0000-0000-0000D39B0000}"/>
    <cellStyle name="Comma 7 2 7" xfId="21103" xr:uid="{00000000-0005-0000-0000-0000D49B0000}"/>
    <cellStyle name="Comma 7 3" xfId="610" xr:uid="{00000000-0005-0000-0000-0000D59B0000}"/>
    <cellStyle name="Comma 7 3 2" xfId="36109" xr:uid="{00000000-0005-0000-0000-0000D69B0000}"/>
    <cellStyle name="Comma 7 3 3" xfId="51065" xr:uid="{00000000-0005-0000-0000-0000D79B0000}"/>
    <cellStyle name="Comma 7 3 4" xfId="21131" xr:uid="{00000000-0005-0000-0000-0000D89B0000}"/>
    <cellStyle name="Comma 7 4" xfId="20102" xr:uid="{00000000-0005-0000-0000-0000D99B0000}"/>
    <cellStyle name="Comma 7 4 2" xfId="35730" xr:uid="{00000000-0005-0000-0000-0000DA9B0000}"/>
    <cellStyle name="Comma 7 4 3" xfId="50686" xr:uid="{00000000-0005-0000-0000-0000DB9B0000}"/>
    <cellStyle name="Comma 7 5" xfId="28178" xr:uid="{00000000-0005-0000-0000-0000DC9B0000}"/>
    <cellStyle name="Comma 7 6" xfId="43152" xr:uid="{00000000-0005-0000-0000-0000DD9B0000}"/>
    <cellStyle name="Comma 7 7" xfId="11893" xr:uid="{00000000-0005-0000-0000-0000DE9B0000}"/>
    <cellStyle name="Comma 8" xfId="611" xr:uid="{00000000-0005-0000-0000-0000DF9B0000}"/>
    <cellStyle name="Comma 8 2" xfId="612" xr:uid="{00000000-0005-0000-0000-0000E09B0000}"/>
    <cellStyle name="Comma 8 2 2" xfId="613" xr:uid="{00000000-0005-0000-0000-0000E19B0000}"/>
    <cellStyle name="Comma 8 2 3" xfId="614" xr:uid="{00000000-0005-0000-0000-0000E29B0000}"/>
    <cellStyle name="Comma 8 2 4" xfId="615" xr:uid="{00000000-0005-0000-0000-0000E39B0000}"/>
    <cellStyle name="Comma 8 2 5" xfId="616" xr:uid="{00000000-0005-0000-0000-0000E49B0000}"/>
    <cellStyle name="Comma 8 2 6" xfId="36153" xr:uid="{00000000-0005-0000-0000-0000E59B0000}"/>
    <cellStyle name="Comma 8 3" xfId="617" xr:uid="{00000000-0005-0000-0000-0000E69B0000}"/>
    <cellStyle name="Comma 8 4" xfId="618" xr:uid="{00000000-0005-0000-0000-0000E79B0000}"/>
    <cellStyle name="Comma 8 5" xfId="619" xr:uid="{00000000-0005-0000-0000-0000E89B0000}"/>
    <cellStyle name="Comma 8 6" xfId="620" xr:uid="{00000000-0005-0000-0000-0000E99B0000}"/>
    <cellStyle name="Comma 8 7" xfId="621" xr:uid="{00000000-0005-0000-0000-0000EA9B0000}"/>
    <cellStyle name="Comma 8 8" xfId="21181" xr:uid="{00000000-0005-0000-0000-0000EB9B0000}"/>
    <cellStyle name="Comma 9" xfId="622" xr:uid="{00000000-0005-0000-0000-0000EC9B0000}"/>
    <cellStyle name="Comma 9 2" xfId="623" xr:uid="{00000000-0005-0000-0000-0000ED9B0000}"/>
    <cellStyle name="Comma 9 3" xfId="624" xr:uid="{00000000-0005-0000-0000-0000EE9B0000}"/>
    <cellStyle name="Comma 9 4" xfId="625" xr:uid="{00000000-0005-0000-0000-0000EF9B0000}"/>
    <cellStyle name="Comma 9 5" xfId="626" xr:uid="{00000000-0005-0000-0000-0000F09B0000}"/>
    <cellStyle name="Comma 9 6" xfId="627" xr:uid="{00000000-0005-0000-0000-0000F19B0000}"/>
    <cellStyle name="Comma 9 7" xfId="51090" xr:uid="{00000000-0005-0000-0000-0000F29B0000}"/>
    <cellStyle name="Comma0" xfId="7301" xr:uid="{00000000-0005-0000-0000-0000F39B0000}"/>
    <cellStyle name="Comma0 - Type3" xfId="628" xr:uid="{00000000-0005-0000-0000-0000F49B0000}"/>
    <cellStyle name="Comma0 - Typografi1" xfId="7302" xr:uid="{00000000-0005-0000-0000-0000F59B0000}"/>
    <cellStyle name="Comma0 - Typografi1 2" xfId="7303" xr:uid="{00000000-0005-0000-0000-0000F69B0000}"/>
    <cellStyle name="Comma0 - Typografi1 2 2" xfId="7304" xr:uid="{00000000-0005-0000-0000-0000F79B0000}"/>
    <cellStyle name="Comma0 - Typografi1 2 2 2" xfId="11051" xr:uid="{00000000-0005-0000-0000-0000F89B0000}"/>
    <cellStyle name="Comma0 - Typografi1 2 3" xfId="11050" xr:uid="{00000000-0005-0000-0000-0000F99B0000}"/>
    <cellStyle name="Comma0 - Typografi1 3" xfId="7305" xr:uid="{00000000-0005-0000-0000-0000FA9B0000}"/>
    <cellStyle name="Comma0 - Typografi1 3 2" xfId="11052" xr:uid="{00000000-0005-0000-0000-0000FB9B0000}"/>
    <cellStyle name="Comma0 - Typografi1 4" xfId="7306" xr:uid="{00000000-0005-0000-0000-0000FC9B0000}"/>
    <cellStyle name="Comma0 - Typografi1 4 2" xfId="11053" xr:uid="{00000000-0005-0000-0000-0000FD9B0000}"/>
    <cellStyle name="Comma0 - Typografi1 5" xfId="11049" xr:uid="{00000000-0005-0000-0000-0000FE9B0000}"/>
    <cellStyle name="Comma0 10" xfId="11027" xr:uid="{00000000-0005-0000-0000-0000FF9B0000}"/>
    <cellStyle name="Comma0 11" xfId="11035" xr:uid="{00000000-0005-0000-0000-0000009C0000}"/>
    <cellStyle name="Comma0 12" xfId="11019" xr:uid="{00000000-0005-0000-0000-0000019C0000}"/>
    <cellStyle name="Comma0 13" xfId="8296" xr:uid="{00000000-0005-0000-0000-0000029C0000}"/>
    <cellStyle name="Comma0 14" xfId="11028" xr:uid="{00000000-0005-0000-0000-0000039C0000}"/>
    <cellStyle name="Comma0 15" xfId="11018" xr:uid="{00000000-0005-0000-0000-0000049C0000}"/>
    <cellStyle name="Comma0 16" xfId="11024" xr:uid="{00000000-0005-0000-0000-0000059C0000}"/>
    <cellStyle name="Comma0 2" xfId="9685" xr:uid="{00000000-0005-0000-0000-0000069C0000}"/>
    <cellStyle name="Comma0 3" xfId="11029" xr:uid="{00000000-0005-0000-0000-0000079C0000}"/>
    <cellStyle name="Comma0 4" xfId="11034" xr:uid="{00000000-0005-0000-0000-0000089C0000}"/>
    <cellStyle name="Comma0 5" xfId="11031" xr:uid="{00000000-0005-0000-0000-0000099C0000}"/>
    <cellStyle name="Comma0 6" xfId="11015" xr:uid="{00000000-0005-0000-0000-00000A9C0000}"/>
    <cellStyle name="Comma0 7" xfId="11025" xr:uid="{00000000-0005-0000-0000-00000B9C0000}"/>
    <cellStyle name="Comma0 8" xfId="11023" xr:uid="{00000000-0005-0000-0000-00000C9C0000}"/>
    <cellStyle name="Comma0 9" xfId="11039" xr:uid="{00000000-0005-0000-0000-00000D9C0000}"/>
    <cellStyle name="Comma1 - Typografi1" xfId="7307" xr:uid="{00000000-0005-0000-0000-00000E9C0000}"/>
    <cellStyle name="Currency [0] 2" xfId="629" xr:uid="{00000000-0005-0000-0000-00000F9C0000}"/>
    <cellStyle name="Currency [0] 2 2" xfId="630" xr:uid="{00000000-0005-0000-0000-0000109C0000}"/>
    <cellStyle name="Currency [0] 2 2 2" xfId="631" xr:uid="{00000000-0005-0000-0000-0000119C0000}"/>
    <cellStyle name="Currency [0] 2 2 3" xfId="632" xr:uid="{00000000-0005-0000-0000-0000129C0000}"/>
    <cellStyle name="Currency [0] 2 2 4" xfId="633" xr:uid="{00000000-0005-0000-0000-0000139C0000}"/>
    <cellStyle name="Currency [0] 2 2 5" xfId="634" xr:uid="{00000000-0005-0000-0000-0000149C0000}"/>
    <cellStyle name="Currency [0] 2 3" xfId="635" xr:uid="{00000000-0005-0000-0000-0000159C0000}"/>
    <cellStyle name="Currency [0] 3" xfId="636" xr:uid="{00000000-0005-0000-0000-0000169C0000}"/>
    <cellStyle name="Currency [0] 4" xfId="637" xr:uid="{00000000-0005-0000-0000-0000179C0000}"/>
    <cellStyle name="Currency 10" xfId="638" xr:uid="{00000000-0005-0000-0000-0000189C0000}"/>
    <cellStyle name="Currency 11" xfId="639" xr:uid="{00000000-0005-0000-0000-0000199C0000}"/>
    <cellStyle name="Currency 12" xfId="640" xr:uid="{00000000-0005-0000-0000-00001A9C0000}"/>
    <cellStyle name="Currency 13" xfId="641" xr:uid="{00000000-0005-0000-0000-00001B9C0000}"/>
    <cellStyle name="Currency 14" xfId="642" xr:uid="{00000000-0005-0000-0000-00001C9C0000}"/>
    <cellStyle name="Currency 15" xfId="643" xr:uid="{00000000-0005-0000-0000-00001D9C0000}"/>
    <cellStyle name="Currency 16" xfId="644" xr:uid="{00000000-0005-0000-0000-00001E9C0000}"/>
    <cellStyle name="Currency 17" xfId="645" xr:uid="{00000000-0005-0000-0000-00001F9C0000}"/>
    <cellStyle name="Currency 18" xfId="646" xr:uid="{00000000-0005-0000-0000-0000209C0000}"/>
    <cellStyle name="Currency 19" xfId="647" xr:uid="{00000000-0005-0000-0000-0000219C0000}"/>
    <cellStyle name="Currency 2" xfId="648" xr:uid="{00000000-0005-0000-0000-0000229C0000}"/>
    <cellStyle name="Currency 2 2" xfId="649" xr:uid="{00000000-0005-0000-0000-0000239C0000}"/>
    <cellStyle name="Currency 2 2 2" xfId="650" xr:uid="{00000000-0005-0000-0000-0000249C0000}"/>
    <cellStyle name="Currency 2 2 2 2" xfId="651" xr:uid="{00000000-0005-0000-0000-0000259C0000}"/>
    <cellStyle name="Currency 2 2 2 3" xfId="652" xr:uid="{00000000-0005-0000-0000-0000269C0000}"/>
    <cellStyle name="Currency 2 2 2 4" xfId="653" xr:uid="{00000000-0005-0000-0000-0000279C0000}"/>
    <cellStyle name="Currency 2 2 2 5" xfId="654" xr:uid="{00000000-0005-0000-0000-0000289C0000}"/>
    <cellStyle name="Currency 2 2 3" xfId="655" xr:uid="{00000000-0005-0000-0000-0000299C0000}"/>
    <cellStyle name="Currency 2 2 4" xfId="656" xr:uid="{00000000-0005-0000-0000-00002A9C0000}"/>
    <cellStyle name="Currency 2 2 5" xfId="657" xr:uid="{00000000-0005-0000-0000-00002B9C0000}"/>
    <cellStyle name="Currency 2 2 6" xfId="658" xr:uid="{00000000-0005-0000-0000-00002C9C0000}"/>
    <cellStyle name="Currency 2 2 7" xfId="659" xr:uid="{00000000-0005-0000-0000-00002D9C0000}"/>
    <cellStyle name="Currency 2 3" xfId="660" xr:uid="{00000000-0005-0000-0000-00002E9C0000}"/>
    <cellStyle name="Currency 2 3 2" xfId="661" xr:uid="{00000000-0005-0000-0000-00002F9C0000}"/>
    <cellStyle name="Currency 2 3 3" xfId="662" xr:uid="{00000000-0005-0000-0000-0000309C0000}"/>
    <cellStyle name="Currency 2 3 4" xfId="663" xr:uid="{00000000-0005-0000-0000-0000319C0000}"/>
    <cellStyle name="Currency 2 3 5" xfId="664" xr:uid="{00000000-0005-0000-0000-0000329C0000}"/>
    <cellStyle name="Currency 2 4" xfId="665" xr:uid="{00000000-0005-0000-0000-0000339C0000}"/>
    <cellStyle name="Currency 20" xfId="666" xr:uid="{00000000-0005-0000-0000-0000349C0000}"/>
    <cellStyle name="Currency 21" xfId="667" xr:uid="{00000000-0005-0000-0000-0000359C0000}"/>
    <cellStyle name="Currency 3" xfId="668" xr:uid="{00000000-0005-0000-0000-0000369C0000}"/>
    <cellStyle name="Currency 3 2" xfId="669" xr:uid="{00000000-0005-0000-0000-0000379C0000}"/>
    <cellStyle name="Currency 3 2 2" xfId="670" xr:uid="{00000000-0005-0000-0000-0000389C0000}"/>
    <cellStyle name="Currency 3 2 3" xfId="671" xr:uid="{00000000-0005-0000-0000-0000399C0000}"/>
    <cellStyle name="Currency 3 2 4" xfId="672" xr:uid="{00000000-0005-0000-0000-00003A9C0000}"/>
    <cellStyle name="Currency 3 2 5" xfId="673" xr:uid="{00000000-0005-0000-0000-00003B9C0000}"/>
    <cellStyle name="Currency 3 3" xfId="674" xr:uid="{00000000-0005-0000-0000-00003C9C0000}"/>
    <cellStyle name="Currency 4" xfId="675" xr:uid="{00000000-0005-0000-0000-00003D9C0000}"/>
    <cellStyle name="Currency 5" xfId="676" xr:uid="{00000000-0005-0000-0000-00003E9C0000}"/>
    <cellStyle name="Currency 6" xfId="677" xr:uid="{00000000-0005-0000-0000-00003F9C0000}"/>
    <cellStyle name="Currency 7" xfId="678" xr:uid="{00000000-0005-0000-0000-0000409C0000}"/>
    <cellStyle name="Currency 8" xfId="679" xr:uid="{00000000-0005-0000-0000-0000419C0000}"/>
    <cellStyle name="Currency 9" xfId="680" xr:uid="{00000000-0005-0000-0000-0000429C0000}"/>
    <cellStyle name="Currency0" xfId="7308" xr:uid="{00000000-0005-0000-0000-0000439C0000}"/>
    <cellStyle name="Currency0 2" xfId="9686" xr:uid="{00000000-0005-0000-0000-0000449C0000}"/>
    <cellStyle name="CustomizationCells" xfId="681" xr:uid="{00000000-0005-0000-0000-0000459C0000}"/>
    <cellStyle name="CustomizationCells 2" xfId="11901" xr:uid="{00000000-0005-0000-0000-0000469C0000}"/>
    <cellStyle name="CustomizationCells 2 2" xfId="28185" xr:uid="{00000000-0005-0000-0000-0000479C0000}"/>
    <cellStyle name="CustomizationCells 3" xfId="20063" xr:uid="{00000000-0005-0000-0000-0000489C0000}"/>
    <cellStyle name="Data" xfId="682" xr:uid="{00000000-0005-0000-0000-0000499C0000}"/>
    <cellStyle name="Data 2" xfId="683" xr:uid="{00000000-0005-0000-0000-00004A9C0000}"/>
    <cellStyle name="Data 2 2" xfId="684" xr:uid="{00000000-0005-0000-0000-00004B9C0000}"/>
    <cellStyle name="Data 2 3" xfId="685" xr:uid="{00000000-0005-0000-0000-00004C9C0000}"/>
    <cellStyle name="Data 3" xfId="686" xr:uid="{00000000-0005-0000-0000-00004D9C0000}"/>
    <cellStyle name="Data 4" xfId="687" xr:uid="{00000000-0005-0000-0000-00004E9C0000}"/>
    <cellStyle name="Data 5" xfId="688" xr:uid="{00000000-0005-0000-0000-00004F9C0000}"/>
    <cellStyle name="Date" xfId="7309" xr:uid="{00000000-0005-0000-0000-0000509C0000}"/>
    <cellStyle name="Date - Typografi3" xfId="7310" xr:uid="{00000000-0005-0000-0000-0000519C0000}"/>
    <cellStyle name="Date 10" xfId="11037" xr:uid="{00000000-0005-0000-0000-0000529C0000}"/>
    <cellStyle name="Date 11" xfId="11022" xr:uid="{00000000-0005-0000-0000-0000539C0000}"/>
    <cellStyle name="Date 12" xfId="11020" xr:uid="{00000000-0005-0000-0000-0000549C0000}"/>
    <cellStyle name="Date 13" xfId="11017" xr:uid="{00000000-0005-0000-0000-0000559C0000}"/>
    <cellStyle name="Date 14" xfId="11036" xr:uid="{00000000-0005-0000-0000-0000569C0000}"/>
    <cellStyle name="Date 15" xfId="11026" xr:uid="{00000000-0005-0000-0000-0000579C0000}"/>
    <cellStyle name="Date 16" xfId="11033" xr:uid="{00000000-0005-0000-0000-0000589C0000}"/>
    <cellStyle name="Date 2" xfId="9687" xr:uid="{00000000-0005-0000-0000-0000599C0000}"/>
    <cellStyle name="Date 3" xfId="11030" xr:uid="{00000000-0005-0000-0000-00005A9C0000}"/>
    <cellStyle name="Date 4" xfId="11014" xr:uid="{00000000-0005-0000-0000-00005B9C0000}"/>
    <cellStyle name="Date 5" xfId="11032" xr:uid="{00000000-0005-0000-0000-00005C9C0000}"/>
    <cellStyle name="Date 6" xfId="11016" xr:uid="{00000000-0005-0000-0000-00005D9C0000}"/>
    <cellStyle name="Date 7" xfId="11040" xr:uid="{00000000-0005-0000-0000-00005E9C0000}"/>
    <cellStyle name="Date 8" xfId="11021" xr:uid="{00000000-0005-0000-0000-00005F9C0000}"/>
    <cellStyle name="Date 9" xfId="11038" xr:uid="{00000000-0005-0000-0000-0000609C0000}"/>
    <cellStyle name="Defn" xfId="689" xr:uid="{00000000-0005-0000-0000-0000619C0000}"/>
    <cellStyle name="Defn 2" xfId="690" xr:uid="{00000000-0005-0000-0000-0000629C0000}"/>
    <cellStyle name="Desc" xfId="691" xr:uid="{00000000-0005-0000-0000-0000639C0000}"/>
    <cellStyle name="Desc 2" xfId="692" xr:uid="{00000000-0005-0000-0000-0000649C0000}"/>
    <cellStyle name="Desc 2 2" xfId="693" xr:uid="{00000000-0005-0000-0000-0000659C0000}"/>
    <cellStyle name="Desc 3" xfId="694" xr:uid="{00000000-0005-0000-0000-0000669C0000}"/>
    <cellStyle name="Desc 3 2" xfId="695" xr:uid="{00000000-0005-0000-0000-0000679C0000}"/>
    <cellStyle name="Desc 3 2 2" xfId="696" xr:uid="{00000000-0005-0000-0000-0000689C0000}"/>
    <cellStyle name="Desc 3 3" xfId="697" xr:uid="{00000000-0005-0000-0000-0000699C0000}"/>
    <cellStyle name="Desc 4" xfId="698" xr:uid="{00000000-0005-0000-0000-00006A9C0000}"/>
    <cellStyle name="Desc 5" xfId="699" xr:uid="{00000000-0005-0000-0000-00006B9C0000}"/>
    <cellStyle name="Description" xfId="700" xr:uid="{00000000-0005-0000-0000-00006C9C0000}"/>
    <cellStyle name="Dezimal [0]_Tfz-Anzahl" xfId="701" xr:uid="{00000000-0005-0000-0000-00006D9C0000}"/>
    <cellStyle name="Dezimal_Tfz-Anzahl" xfId="702" xr:uid="{00000000-0005-0000-0000-00006E9C0000}"/>
    <cellStyle name="Direct Link" xfId="703" xr:uid="{00000000-0005-0000-0000-00006F9C0000}"/>
    <cellStyle name="Direct Link 2" xfId="704" xr:uid="{00000000-0005-0000-0000-0000709C0000}"/>
    <cellStyle name="Direct Link 3" xfId="705" xr:uid="{00000000-0005-0000-0000-0000719C0000}"/>
    <cellStyle name="donn_normal" xfId="706" xr:uid="{00000000-0005-0000-0000-0000729C0000}"/>
    <cellStyle name="E4tech" xfId="707" xr:uid="{00000000-0005-0000-0000-0000739C0000}"/>
    <cellStyle name="E4tech 2" xfId="708" xr:uid="{00000000-0005-0000-0000-0000749C0000}"/>
    <cellStyle name="ent_col_ser" xfId="709" xr:uid="{00000000-0005-0000-0000-0000759C0000}"/>
    <cellStyle name="entete_source" xfId="710" xr:uid="{00000000-0005-0000-0000-0000769C0000}"/>
    <cellStyle name="Euro" xfId="711" xr:uid="{00000000-0005-0000-0000-0000779C0000}"/>
    <cellStyle name="Euro 10" xfId="712" xr:uid="{00000000-0005-0000-0000-0000789C0000}"/>
    <cellStyle name="Euro 10 2" xfId="713" xr:uid="{00000000-0005-0000-0000-0000799C0000}"/>
    <cellStyle name="Euro 10 2 2" xfId="714" xr:uid="{00000000-0005-0000-0000-00007A9C0000}"/>
    <cellStyle name="Euro 10 2 2 2" xfId="715" xr:uid="{00000000-0005-0000-0000-00007B9C0000}"/>
    <cellStyle name="Euro 10 2 3" xfId="716" xr:uid="{00000000-0005-0000-0000-00007C9C0000}"/>
    <cellStyle name="Euro 10 2 4" xfId="717" xr:uid="{00000000-0005-0000-0000-00007D9C0000}"/>
    <cellStyle name="Euro 10 3" xfId="718" xr:uid="{00000000-0005-0000-0000-00007E9C0000}"/>
    <cellStyle name="Euro 10 3 2" xfId="719" xr:uid="{00000000-0005-0000-0000-00007F9C0000}"/>
    <cellStyle name="Euro 10 3 3" xfId="720" xr:uid="{00000000-0005-0000-0000-0000809C0000}"/>
    <cellStyle name="Euro 10 3 3 2" xfId="20182" xr:uid="{00000000-0005-0000-0000-0000819C0000}"/>
    <cellStyle name="Euro 10 3 3 3" xfId="18919" xr:uid="{00000000-0005-0000-0000-0000829C0000}"/>
    <cellStyle name="Euro 10 3 4" xfId="20181" xr:uid="{00000000-0005-0000-0000-0000839C0000}"/>
    <cellStyle name="Euro 10 3 5" xfId="18918" xr:uid="{00000000-0005-0000-0000-0000849C0000}"/>
    <cellStyle name="Euro 10 4" xfId="721" xr:uid="{00000000-0005-0000-0000-0000859C0000}"/>
    <cellStyle name="Euro 10 4 2" xfId="18921" xr:uid="{00000000-0005-0000-0000-0000869C0000}"/>
    <cellStyle name="Euro 10 4 2 2" xfId="20184" xr:uid="{00000000-0005-0000-0000-0000879C0000}"/>
    <cellStyle name="Euro 10 4 3" xfId="20183" xr:uid="{00000000-0005-0000-0000-0000889C0000}"/>
    <cellStyle name="Euro 10 4 4" xfId="18920" xr:uid="{00000000-0005-0000-0000-0000899C0000}"/>
    <cellStyle name="Euro 10 4 5" xfId="11149" xr:uid="{00000000-0005-0000-0000-00008A9C0000}"/>
    <cellStyle name="Euro 10 5" xfId="11150" xr:uid="{00000000-0005-0000-0000-00008B9C0000}"/>
    <cellStyle name="Euro 11" xfId="722" xr:uid="{00000000-0005-0000-0000-00008C9C0000}"/>
    <cellStyle name="Euro 11 2" xfId="723" xr:uid="{00000000-0005-0000-0000-00008D9C0000}"/>
    <cellStyle name="Euro 11 2 2" xfId="724" xr:uid="{00000000-0005-0000-0000-00008E9C0000}"/>
    <cellStyle name="Euro 11 2 2 2" xfId="725" xr:uid="{00000000-0005-0000-0000-00008F9C0000}"/>
    <cellStyle name="Euro 11 2 3" xfId="726" xr:uid="{00000000-0005-0000-0000-0000909C0000}"/>
    <cellStyle name="Euro 11 2 4" xfId="727" xr:uid="{00000000-0005-0000-0000-0000919C0000}"/>
    <cellStyle name="Euro 11 3" xfId="728" xr:uid="{00000000-0005-0000-0000-0000929C0000}"/>
    <cellStyle name="Euro 11 3 2" xfId="729" xr:uid="{00000000-0005-0000-0000-0000939C0000}"/>
    <cellStyle name="Euro 11 3 3" xfId="730" xr:uid="{00000000-0005-0000-0000-0000949C0000}"/>
    <cellStyle name="Euro 11 3 3 2" xfId="20186" xr:uid="{00000000-0005-0000-0000-0000959C0000}"/>
    <cellStyle name="Euro 11 3 3 3" xfId="18923" xr:uid="{00000000-0005-0000-0000-0000969C0000}"/>
    <cellStyle name="Euro 11 3 4" xfId="20185" xr:uid="{00000000-0005-0000-0000-0000979C0000}"/>
    <cellStyle name="Euro 11 3 5" xfId="18922" xr:uid="{00000000-0005-0000-0000-0000989C0000}"/>
    <cellStyle name="Euro 11 4" xfId="731" xr:uid="{00000000-0005-0000-0000-0000999C0000}"/>
    <cellStyle name="Euro 11 4 2" xfId="18925" xr:uid="{00000000-0005-0000-0000-00009A9C0000}"/>
    <cellStyle name="Euro 11 4 2 2" xfId="20188" xr:uid="{00000000-0005-0000-0000-00009B9C0000}"/>
    <cellStyle name="Euro 11 4 3" xfId="20187" xr:uid="{00000000-0005-0000-0000-00009C9C0000}"/>
    <cellStyle name="Euro 11 4 4" xfId="18924" xr:uid="{00000000-0005-0000-0000-00009D9C0000}"/>
    <cellStyle name="Euro 11 4 5" xfId="11151" xr:uid="{00000000-0005-0000-0000-00009E9C0000}"/>
    <cellStyle name="Euro 11 5" xfId="11152" xr:uid="{00000000-0005-0000-0000-00009F9C0000}"/>
    <cellStyle name="Euro 12" xfId="732" xr:uid="{00000000-0005-0000-0000-0000A09C0000}"/>
    <cellStyle name="Euro 12 2" xfId="733" xr:uid="{00000000-0005-0000-0000-0000A19C0000}"/>
    <cellStyle name="Euro 12 2 2" xfId="734" xr:uid="{00000000-0005-0000-0000-0000A29C0000}"/>
    <cellStyle name="Euro 12 2 2 2" xfId="735" xr:uid="{00000000-0005-0000-0000-0000A39C0000}"/>
    <cellStyle name="Euro 12 2 3" xfId="736" xr:uid="{00000000-0005-0000-0000-0000A49C0000}"/>
    <cellStyle name="Euro 12 2 4" xfId="737" xr:uid="{00000000-0005-0000-0000-0000A59C0000}"/>
    <cellStyle name="Euro 12 3" xfId="738" xr:uid="{00000000-0005-0000-0000-0000A69C0000}"/>
    <cellStyle name="Euro 12 3 2" xfId="739" xr:uid="{00000000-0005-0000-0000-0000A79C0000}"/>
    <cellStyle name="Euro 12 3 3" xfId="740" xr:uid="{00000000-0005-0000-0000-0000A89C0000}"/>
    <cellStyle name="Euro 12 3 3 2" xfId="20190" xr:uid="{00000000-0005-0000-0000-0000A99C0000}"/>
    <cellStyle name="Euro 12 3 3 3" xfId="18927" xr:uid="{00000000-0005-0000-0000-0000AA9C0000}"/>
    <cellStyle name="Euro 12 3 4" xfId="20189" xr:uid="{00000000-0005-0000-0000-0000AB9C0000}"/>
    <cellStyle name="Euro 12 3 5" xfId="18926" xr:uid="{00000000-0005-0000-0000-0000AC9C0000}"/>
    <cellStyle name="Euro 12 4" xfId="741" xr:uid="{00000000-0005-0000-0000-0000AD9C0000}"/>
    <cellStyle name="Euro 12 4 2" xfId="18929" xr:uid="{00000000-0005-0000-0000-0000AE9C0000}"/>
    <cellStyle name="Euro 12 4 2 2" xfId="20192" xr:uid="{00000000-0005-0000-0000-0000AF9C0000}"/>
    <cellStyle name="Euro 12 4 3" xfId="20191" xr:uid="{00000000-0005-0000-0000-0000B09C0000}"/>
    <cellStyle name="Euro 12 4 4" xfId="18928" xr:uid="{00000000-0005-0000-0000-0000B19C0000}"/>
    <cellStyle name="Euro 12 4 5" xfId="11153" xr:uid="{00000000-0005-0000-0000-0000B29C0000}"/>
    <cellStyle name="Euro 12 5" xfId="11154" xr:uid="{00000000-0005-0000-0000-0000B39C0000}"/>
    <cellStyle name="Euro 13" xfId="742" xr:uid="{00000000-0005-0000-0000-0000B49C0000}"/>
    <cellStyle name="Euro 13 2" xfId="743" xr:uid="{00000000-0005-0000-0000-0000B59C0000}"/>
    <cellStyle name="Euro 13 2 2" xfId="744" xr:uid="{00000000-0005-0000-0000-0000B69C0000}"/>
    <cellStyle name="Euro 13 2 3" xfId="745" xr:uid="{00000000-0005-0000-0000-0000B79C0000}"/>
    <cellStyle name="Euro 13 3" xfId="746" xr:uid="{00000000-0005-0000-0000-0000B89C0000}"/>
    <cellStyle name="Euro 13 3 2" xfId="747" xr:uid="{00000000-0005-0000-0000-0000B99C0000}"/>
    <cellStyle name="Euro 13 3 3" xfId="748" xr:uid="{00000000-0005-0000-0000-0000BA9C0000}"/>
    <cellStyle name="Euro 13 3 3 2" xfId="20194" xr:uid="{00000000-0005-0000-0000-0000BB9C0000}"/>
    <cellStyle name="Euro 13 3 3 3" xfId="18931" xr:uid="{00000000-0005-0000-0000-0000BC9C0000}"/>
    <cellStyle name="Euro 13 3 4" xfId="20193" xr:uid="{00000000-0005-0000-0000-0000BD9C0000}"/>
    <cellStyle name="Euro 13 3 5" xfId="18930" xr:uid="{00000000-0005-0000-0000-0000BE9C0000}"/>
    <cellStyle name="Euro 13 4" xfId="749" xr:uid="{00000000-0005-0000-0000-0000BF9C0000}"/>
    <cellStyle name="Euro 13 4 2" xfId="18933" xr:uid="{00000000-0005-0000-0000-0000C09C0000}"/>
    <cellStyle name="Euro 13 4 2 2" xfId="20196" xr:uid="{00000000-0005-0000-0000-0000C19C0000}"/>
    <cellStyle name="Euro 13 4 3" xfId="20195" xr:uid="{00000000-0005-0000-0000-0000C29C0000}"/>
    <cellStyle name="Euro 13 4 4" xfId="18932" xr:uid="{00000000-0005-0000-0000-0000C39C0000}"/>
    <cellStyle name="Euro 13 4 5" xfId="11155" xr:uid="{00000000-0005-0000-0000-0000C49C0000}"/>
    <cellStyle name="Euro 13 5" xfId="11156" xr:uid="{00000000-0005-0000-0000-0000C59C0000}"/>
    <cellStyle name="Euro 14" xfId="750" xr:uid="{00000000-0005-0000-0000-0000C69C0000}"/>
    <cellStyle name="Euro 14 2" xfId="751" xr:uid="{00000000-0005-0000-0000-0000C79C0000}"/>
    <cellStyle name="Euro 14 2 2" xfId="752" xr:uid="{00000000-0005-0000-0000-0000C89C0000}"/>
    <cellStyle name="Euro 14 2 3" xfId="753" xr:uid="{00000000-0005-0000-0000-0000C99C0000}"/>
    <cellStyle name="Euro 14 3" xfId="754" xr:uid="{00000000-0005-0000-0000-0000CA9C0000}"/>
    <cellStyle name="Euro 14 3 2" xfId="755" xr:uid="{00000000-0005-0000-0000-0000CB9C0000}"/>
    <cellStyle name="Euro 14 3 3" xfId="18936" xr:uid="{00000000-0005-0000-0000-0000CC9C0000}"/>
    <cellStyle name="Euro 14 3 3 2" xfId="20198" xr:uid="{00000000-0005-0000-0000-0000CD9C0000}"/>
    <cellStyle name="Euro 14 3 4" xfId="20197" xr:uid="{00000000-0005-0000-0000-0000CE9C0000}"/>
    <cellStyle name="Euro 14 3 5" xfId="18935" xr:uid="{00000000-0005-0000-0000-0000CF9C0000}"/>
    <cellStyle name="Euro 14 4" xfId="756" xr:uid="{00000000-0005-0000-0000-0000D09C0000}"/>
    <cellStyle name="Euro 14 4 2" xfId="18938" xr:uid="{00000000-0005-0000-0000-0000D19C0000}"/>
    <cellStyle name="Euro 14 4 2 2" xfId="20200" xr:uid="{00000000-0005-0000-0000-0000D29C0000}"/>
    <cellStyle name="Euro 14 4 3" xfId="20199" xr:uid="{00000000-0005-0000-0000-0000D39C0000}"/>
    <cellStyle name="Euro 14 4 4" xfId="18937" xr:uid="{00000000-0005-0000-0000-0000D49C0000}"/>
    <cellStyle name="Euro 14 4 5" xfId="11157" xr:uid="{00000000-0005-0000-0000-0000D59C0000}"/>
    <cellStyle name="Euro 14 5" xfId="11158" xr:uid="{00000000-0005-0000-0000-0000D69C0000}"/>
    <cellStyle name="Euro 15" xfId="757" xr:uid="{00000000-0005-0000-0000-0000D79C0000}"/>
    <cellStyle name="Euro 15 2" xfId="758" xr:uid="{00000000-0005-0000-0000-0000D89C0000}"/>
    <cellStyle name="Euro 15 2 2" xfId="759" xr:uid="{00000000-0005-0000-0000-0000D99C0000}"/>
    <cellStyle name="Euro 15 3" xfId="760" xr:uid="{00000000-0005-0000-0000-0000DA9C0000}"/>
    <cellStyle name="Euro 15 3 2" xfId="761" xr:uid="{00000000-0005-0000-0000-0000DB9C0000}"/>
    <cellStyle name="Euro 15 3 3" xfId="18940" xr:uid="{00000000-0005-0000-0000-0000DC9C0000}"/>
    <cellStyle name="Euro 15 3 3 2" xfId="20202" xr:uid="{00000000-0005-0000-0000-0000DD9C0000}"/>
    <cellStyle name="Euro 15 3 4" xfId="20201" xr:uid="{00000000-0005-0000-0000-0000DE9C0000}"/>
    <cellStyle name="Euro 15 3 5" xfId="18939" xr:uid="{00000000-0005-0000-0000-0000DF9C0000}"/>
    <cellStyle name="Euro 15 4" xfId="762" xr:uid="{00000000-0005-0000-0000-0000E09C0000}"/>
    <cellStyle name="Euro 15 4 2" xfId="18942" xr:uid="{00000000-0005-0000-0000-0000E19C0000}"/>
    <cellStyle name="Euro 15 4 2 2" xfId="20204" xr:uid="{00000000-0005-0000-0000-0000E29C0000}"/>
    <cellStyle name="Euro 15 4 3" xfId="20203" xr:uid="{00000000-0005-0000-0000-0000E39C0000}"/>
    <cellStyle name="Euro 15 4 4" xfId="18941" xr:uid="{00000000-0005-0000-0000-0000E49C0000}"/>
    <cellStyle name="Euro 15 4 5" xfId="11159" xr:uid="{00000000-0005-0000-0000-0000E59C0000}"/>
    <cellStyle name="Euro 15 5" xfId="11160" xr:uid="{00000000-0005-0000-0000-0000E69C0000}"/>
    <cellStyle name="Euro 16" xfId="763" xr:uid="{00000000-0005-0000-0000-0000E79C0000}"/>
    <cellStyle name="Euro 16 2" xfId="764" xr:uid="{00000000-0005-0000-0000-0000E89C0000}"/>
    <cellStyle name="Euro 16 2 2" xfId="765" xr:uid="{00000000-0005-0000-0000-0000E99C0000}"/>
    <cellStyle name="Euro 16 3" xfId="766" xr:uid="{00000000-0005-0000-0000-0000EA9C0000}"/>
    <cellStyle name="Euro 16 3 2" xfId="767" xr:uid="{00000000-0005-0000-0000-0000EB9C0000}"/>
    <cellStyle name="Euro 16 3 3" xfId="18944" xr:uid="{00000000-0005-0000-0000-0000EC9C0000}"/>
    <cellStyle name="Euro 16 3 3 2" xfId="20206" xr:uid="{00000000-0005-0000-0000-0000ED9C0000}"/>
    <cellStyle name="Euro 16 3 4" xfId="20205" xr:uid="{00000000-0005-0000-0000-0000EE9C0000}"/>
    <cellStyle name="Euro 16 3 5" xfId="18943" xr:uid="{00000000-0005-0000-0000-0000EF9C0000}"/>
    <cellStyle name="Euro 16 4" xfId="768" xr:uid="{00000000-0005-0000-0000-0000F09C0000}"/>
    <cellStyle name="Euro 16 4 2" xfId="18946" xr:uid="{00000000-0005-0000-0000-0000F19C0000}"/>
    <cellStyle name="Euro 16 4 2 2" xfId="20208" xr:uid="{00000000-0005-0000-0000-0000F29C0000}"/>
    <cellStyle name="Euro 16 4 3" xfId="20207" xr:uid="{00000000-0005-0000-0000-0000F39C0000}"/>
    <cellStyle name="Euro 16 4 4" xfId="18945" xr:uid="{00000000-0005-0000-0000-0000F49C0000}"/>
    <cellStyle name="Euro 16 4 5" xfId="11161" xr:uid="{00000000-0005-0000-0000-0000F59C0000}"/>
    <cellStyle name="Euro 16 5" xfId="11162" xr:uid="{00000000-0005-0000-0000-0000F69C0000}"/>
    <cellStyle name="Euro 17" xfId="769" xr:uid="{00000000-0005-0000-0000-0000F79C0000}"/>
    <cellStyle name="Euro 17 2" xfId="770" xr:uid="{00000000-0005-0000-0000-0000F89C0000}"/>
    <cellStyle name="Euro 17 2 2" xfId="771" xr:uid="{00000000-0005-0000-0000-0000F99C0000}"/>
    <cellStyle name="Euro 17 3" xfId="772" xr:uid="{00000000-0005-0000-0000-0000FA9C0000}"/>
    <cellStyle name="Euro 17 3 2" xfId="773" xr:uid="{00000000-0005-0000-0000-0000FB9C0000}"/>
    <cellStyle name="Euro 17 3 3" xfId="18948" xr:uid="{00000000-0005-0000-0000-0000FC9C0000}"/>
    <cellStyle name="Euro 17 3 3 2" xfId="20210" xr:uid="{00000000-0005-0000-0000-0000FD9C0000}"/>
    <cellStyle name="Euro 17 3 4" xfId="20209" xr:uid="{00000000-0005-0000-0000-0000FE9C0000}"/>
    <cellStyle name="Euro 17 3 5" xfId="18947" xr:uid="{00000000-0005-0000-0000-0000FF9C0000}"/>
    <cellStyle name="Euro 17 4" xfId="11163" xr:uid="{00000000-0005-0000-0000-0000009D0000}"/>
    <cellStyle name="Euro 17 4 2" xfId="18950" xr:uid="{00000000-0005-0000-0000-0000019D0000}"/>
    <cellStyle name="Euro 17 4 2 2" xfId="20212" xr:uid="{00000000-0005-0000-0000-0000029D0000}"/>
    <cellStyle name="Euro 17 4 3" xfId="20211" xr:uid="{00000000-0005-0000-0000-0000039D0000}"/>
    <cellStyle name="Euro 17 4 4" xfId="18949" xr:uid="{00000000-0005-0000-0000-0000049D0000}"/>
    <cellStyle name="Euro 17 5" xfId="11164" xr:uid="{00000000-0005-0000-0000-0000059D0000}"/>
    <cellStyle name="Euro 18" xfId="774" xr:uid="{00000000-0005-0000-0000-0000069D0000}"/>
    <cellStyle name="Euro 18 2" xfId="775" xr:uid="{00000000-0005-0000-0000-0000079D0000}"/>
    <cellStyle name="Euro 18 2 2" xfId="776" xr:uid="{00000000-0005-0000-0000-0000089D0000}"/>
    <cellStyle name="Euro 18 3" xfId="777" xr:uid="{00000000-0005-0000-0000-0000099D0000}"/>
    <cellStyle name="Euro 18 3 2" xfId="778" xr:uid="{00000000-0005-0000-0000-00000A9D0000}"/>
    <cellStyle name="Euro 18 3 3" xfId="18952" xr:uid="{00000000-0005-0000-0000-00000B9D0000}"/>
    <cellStyle name="Euro 18 3 3 2" xfId="20214" xr:uid="{00000000-0005-0000-0000-00000C9D0000}"/>
    <cellStyle name="Euro 18 3 4" xfId="20213" xr:uid="{00000000-0005-0000-0000-00000D9D0000}"/>
    <cellStyle name="Euro 18 3 5" xfId="18951" xr:uid="{00000000-0005-0000-0000-00000E9D0000}"/>
    <cellStyle name="Euro 18 4" xfId="11165" xr:uid="{00000000-0005-0000-0000-00000F9D0000}"/>
    <cellStyle name="Euro 18 4 2" xfId="18954" xr:uid="{00000000-0005-0000-0000-0000109D0000}"/>
    <cellStyle name="Euro 18 4 2 2" xfId="20216" xr:uid="{00000000-0005-0000-0000-0000119D0000}"/>
    <cellStyle name="Euro 18 4 3" xfId="20215" xr:uid="{00000000-0005-0000-0000-0000129D0000}"/>
    <cellStyle name="Euro 18 4 4" xfId="18953" xr:uid="{00000000-0005-0000-0000-0000139D0000}"/>
    <cellStyle name="Euro 18 5" xfId="11166" xr:uid="{00000000-0005-0000-0000-0000149D0000}"/>
    <cellStyle name="Euro 19" xfId="779" xr:uid="{00000000-0005-0000-0000-0000159D0000}"/>
    <cellStyle name="Euro 19 2" xfId="780" xr:uid="{00000000-0005-0000-0000-0000169D0000}"/>
    <cellStyle name="Euro 19 2 2" xfId="781" xr:uid="{00000000-0005-0000-0000-0000179D0000}"/>
    <cellStyle name="Euro 19 3" xfId="782" xr:uid="{00000000-0005-0000-0000-0000189D0000}"/>
    <cellStyle name="Euro 19 3 2" xfId="783" xr:uid="{00000000-0005-0000-0000-0000199D0000}"/>
    <cellStyle name="Euro 19 3 3" xfId="18956" xr:uid="{00000000-0005-0000-0000-00001A9D0000}"/>
    <cellStyle name="Euro 19 3 3 2" xfId="20218" xr:uid="{00000000-0005-0000-0000-00001B9D0000}"/>
    <cellStyle name="Euro 19 3 4" xfId="20217" xr:uid="{00000000-0005-0000-0000-00001C9D0000}"/>
    <cellStyle name="Euro 19 3 5" xfId="18955" xr:uid="{00000000-0005-0000-0000-00001D9D0000}"/>
    <cellStyle name="Euro 19 4" xfId="11167" xr:uid="{00000000-0005-0000-0000-00001E9D0000}"/>
    <cellStyle name="Euro 19 4 2" xfId="18958" xr:uid="{00000000-0005-0000-0000-00001F9D0000}"/>
    <cellStyle name="Euro 19 4 2 2" xfId="20220" xr:uid="{00000000-0005-0000-0000-0000209D0000}"/>
    <cellStyle name="Euro 19 4 3" xfId="20219" xr:uid="{00000000-0005-0000-0000-0000219D0000}"/>
    <cellStyle name="Euro 19 4 4" xfId="18957" xr:uid="{00000000-0005-0000-0000-0000229D0000}"/>
    <cellStyle name="Euro 19 5" xfId="11168" xr:uid="{00000000-0005-0000-0000-0000239D0000}"/>
    <cellStyle name="Euro 2" xfId="784" xr:uid="{00000000-0005-0000-0000-0000249D0000}"/>
    <cellStyle name="Euro 2 2" xfId="785" xr:uid="{00000000-0005-0000-0000-0000259D0000}"/>
    <cellStyle name="Euro 2 2 2" xfId="786" xr:uid="{00000000-0005-0000-0000-0000269D0000}"/>
    <cellStyle name="Euro 2 2 2 2" xfId="787" xr:uid="{00000000-0005-0000-0000-0000279D0000}"/>
    <cellStyle name="Euro 2 2 2 3" xfId="788" xr:uid="{00000000-0005-0000-0000-0000289D0000}"/>
    <cellStyle name="Euro 2 2 3" xfId="789" xr:uid="{00000000-0005-0000-0000-0000299D0000}"/>
    <cellStyle name="Euro 2 2 4" xfId="790" xr:uid="{00000000-0005-0000-0000-00002A9D0000}"/>
    <cellStyle name="Euro 2 2 5" xfId="791" xr:uid="{00000000-0005-0000-0000-00002B9D0000}"/>
    <cellStyle name="Euro 2 2 6" xfId="792" xr:uid="{00000000-0005-0000-0000-00002C9D0000}"/>
    <cellStyle name="Euro 2 3" xfId="793" xr:uid="{00000000-0005-0000-0000-00002D9D0000}"/>
    <cellStyle name="Euro 2 3 2" xfId="794" xr:uid="{00000000-0005-0000-0000-00002E9D0000}"/>
    <cellStyle name="Euro 2 3 3" xfId="795" xr:uid="{00000000-0005-0000-0000-00002F9D0000}"/>
    <cellStyle name="Euro 2 3 3 2" xfId="20222" xr:uid="{00000000-0005-0000-0000-0000309D0000}"/>
    <cellStyle name="Euro 2 3 3 3" xfId="18960" xr:uid="{00000000-0005-0000-0000-0000319D0000}"/>
    <cellStyle name="Euro 2 3 4" xfId="20221" xr:uid="{00000000-0005-0000-0000-0000329D0000}"/>
    <cellStyle name="Euro 2 3 5" xfId="18959" xr:uid="{00000000-0005-0000-0000-0000339D0000}"/>
    <cellStyle name="Euro 2 4" xfId="796" xr:uid="{00000000-0005-0000-0000-0000349D0000}"/>
    <cellStyle name="Euro 2 4 2" xfId="11169" xr:uid="{00000000-0005-0000-0000-0000359D0000}"/>
    <cellStyle name="Euro 2 4 2 2" xfId="20224" xr:uid="{00000000-0005-0000-0000-0000369D0000}"/>
    <cellStyle name="Euro 2 4 2 3" xfId="18962" xr:uid="{00000000-0005-0000-0000-0000379D0000}"/>
    <cellStyle name="Euro 2 4 3" xfId="18852" xr:uid="{00000000-0005-0000-0000-0000389D0000}"/>
    <cellStyle name="Euro 2 4 3 2" xfId="20223" xr:uid="{00000000-0005-0000-0000-0000399D0000}"/>
    <cellStyle name="Euro 2 4 4" xfId="18961" xr:uid="{00000000-0005-0000-0000-00003A9D0000}"/>
    <cellStyle name="Euro 2 4 5" xfId="11054" xr:uid="{00000000-0005-0000-0000-00003B9D0000}"/>
    <cellStyle name="Euro 2 5" xfId="11170" xr:uid="{00000000-0005-0000-0000-00003C9D0000}"/>
    <cellStyle name="Euro 20" xfId="797" xr:uid="{00000000-0005-0000-0000-00003D9D0000}"/>
    <cellStyle name="Euro 20 2" xfId="798" xr:uid="{00000000-0005-0000-0000-00003E9D0000}"/>
    <cellStyle name="Euro 20 2 2" xfId="799" xr:uid="{00000000-0005-0000-0000-00003F9D0000}"/>
    <cellStyle name="Euro 20 3" xfId="800" xr:uid="{00000000-0005-0000-0000-0000409D0000}"/>
    <cellStyle name="Euro 20 3 2" xfId="801" xr:uid="{00000000-0005-0000-0000-0000419D0000}"/>
    <cellStyle name="Euro 20 3 3" xfId="18964" xr:uid="{00000000-0005-0000-0000-0000429D0000}"/>
    <cellStyle name="Euro 20 3 3 2" xfId="20226" xr:uid="{00000000-0005-0000-0000-0000439D0000}"/>
    <cellStyle name="Euro 20 3 4" xfId="20225" xr:uid="{00000000-0005-0000-0000-0000449D0000}"/>
    <cellStyle name="Euro 20 3 5" xfId="18963" xr:uid="{00000000-0005-0000-0000-0000459D0000}"/>
    <cellStyle name="Euro 20 4" xfId="11171" xr:uid="{00000000-0005-0000-0000-0000469D0000}"/>
    <cellStyle name="Euro 20 4 2" xfId="18966" xr:uid="{00000000-0005-0000-0000-0000479D0000}"/>
    <cellStyle name="Euro 20 4 2 2" xfId="20228" xr:uid="{00000000-0005-0000-0000-0000489D0000}"/>
    <cellStyle name="Euro 20 4 3" xfId="20227" xr:uid="{00000000-0005-0000-0000-0000499D0000}"/>
    <cellStyle name="Euro 20 4 4" xfId="18965" xr:uid="{00000000-0005-0000-0000-00004A9D0000}"/>
    <cellStyle name="Euro 20 5" xfId="11172" xr:uid="{00000000-0005-0000-0000-00004B9D0000}"/>
    <cellStyle name="Euro 21" xfId="802" xr:uid="{00000000-0005-0000-0000-00004C9D0000}"/>
    <cellStyle name="Euro 21 2" xfId="803" xr:uid="{00000000-0005-0000-0000-00004D9D0000}"/>
    <cellStyle name="Euro 21 2 2" xfId="804" xr:uid="{00000000-0005-0000-0000-00004E9D0000}"/>
    <cellStyle name="Euro 21 3" xfId="805" xr:uid="{00000000-0005-0000-0000-00004F9D0000}"/>
    <cellStyle name="Euro 21 3 2" xfId="806" xr:uid="{00000000-0005-0000-0000-0000509D0000}"/>
    <cellStyle name="Euro 21 3 3" xfId="18968" xr:uid="{00000000-0005-0000-0000-0000519D0000}"/>
    <cellStyle name="Euro 21 3 3 2" xfId="20230" xr:uid="{00000000-0005-0000-0000-0000529D0000}"/>
    <cellStyle name="Euro 21 3 4" xfId="20229" xr:uid="{00000000-0005-0000-0000-0000539D0000}"/>
    <cellStyle name="Euro 21 3 5" xfId="18967" xr:uid="{00000000-0005-0000-0000-0000549D0000}"/>
    <cellStyle name="Euro 21 4" xfId="11173" xr:uid="{00000000-0005-0000-0000-0000559D0000}"/>
    <cellStyle name="Euro 21 4 2" xfId="18970" xr:uid="{00000000-0005-0000-0000-0000569D0000}"/>
    <cellStyle name="Euro 21 4 2 2" xfId="20232" xr:uid="{00000000-0005-0000-0000-0000579D0000}"/>
    <cellStyle name="Euro 21 4 3" xfId="20231" xr:uid="{00000000-0005-0000-0000-0000589D0000}"/>
    <cellStyle name="Euro 21 4 4" xfId="18969" xr:uid="{00000000-0005-0000-0000-0000599D0000}"/>
    <cellStyle name="Euro 21 5" xfId="11174" xr:uid="{00000000-0005-0000-0000-00005A9D0000}"/>
    <cellStyle name="Euro 22" xfId="807" xr:uid="{00000000-0005-0000-0000-00005B9D0000}"/>
    <cellStyle name="Euro 22 2" xfId="808" xr:uid="{00000000-0005-0000-0000-00005C9D0000}"/>
    <cellStyle name="Euro 22 2 2" xfId="809" xr:uid="{00000000-0005-0000-0000-00005D9D0000}"/>
    <cellStyle name="Euro 22 3" xfId="810" xr:uid="{00000000-0005-0000-0000-00005E9D0000}"/>
    <cellStyle name="Euro 22 3 2" xfId="811" xr:uid="{00000000-0005-0000-0000-00005F9D0000}"/>
    <cellStyle name="Euro 22 3 3" xfId="18972" xr:uid="{00000000-0005-0000-0000-0000609D0000}"/>
    <cellStyle name="Euro 22 3 3 2" xfId="20234" xr:uid="{00000000-0005-0000-0000-0000619D0000}"/>
    <cellStyle name="Euro 22 3 4" xfId="20233" xr:uid="{00000000-0005-0000-0000-0000629D0000}"/>
    <cellStyle name="Euro 22 3 5" xfId="18971" xr:uid="{00000000-0005-0000-0000-0000639D0000}"/>
    <cellStyle name="Euro 22 4" xfId="11175" xr:uid="{00000000-0005-0000-0000-0000649D0000}"/>
    <cellStyle name="Euro 22 4 2" xfId="18974" xr:uid="{00000000-0005-0000-0000-0000659D0000}"/>
    <cellStyle name="Euro 22 4 2 2" xfId="20236" xr:uid="{00000000-0005-0000-0000-0000669D0000}"/>
    <cellStyle name="Euro 22 4 3" xfId="20235" xr:uid="{00000000-0005-0000-0000-0000679D0000}"/>
    <cellStyle name="Euro 22 4 4" xfId="18973" xr:uid="{00000000-0005-0000-0000-0000689D0000}"/>
    <cellStyle name="Euro 22 5" xfId="11176" xr:uid="{00000000-0005-0000-0000-0000699D0000}"/>
    <cellStyle name="Euro 23" xfId="812" xr:uid="{00000000-0005-0000-0000-00006A9D0000}"/>
    <cellStyle name="Euro 23 2" xfId="813" xr:uid="{00000000-0005-0000-0000-00006B9D0000}"/>
    <cellStyle name="Euro 23 2 2" xfId="814" xr:uid="{00000000-0005-0000-0000-00006C9D0000}"/>
    <cellStyle name="Euro 23 3" xfId="815" xr:uid="{00000000-0005-0000-0000-00006D9D0000}"/>
    <cellStyle name="Euro 23 3 2" xfId="816" xr:uid="{00000000-0005-0000-0000-00006E9D0000}"/>
    <cellStyle name="Euro 23 3 3" xfId="18976" xr:uid="{00000000-0005-0000-0000-00006F9D0000}"/>
    <cellStyle name="Euro 23 3 3 2" xfId="20238" xr:uid="{00000000-0005-0000-0000-0000709D0000}"/>
    <cellStyle name="Euro 23 3 4" xfId="20237" xr:uid="{00000000-0005-0000-0000-0000719D0000}"/>
    <cellStyle name="Euro 23 3 5" xfId="18975" xr:uid="{00000000-0005-0000-0000-0000729D0000}"/>
    <cellStyle name="Euro 23 4" xfId="11177" xr:uid="{00000000-0005-0000-0000-0000739D0000}"/>
    <cellStyle name="Euro 23 4 2" xfId="18978" xr:uid="{00000000-0005-0000-0000-0000749D0000}"/>
    <cellStyle name="Euro 23 4 2 2" xfId="20240" xr:uid="{00000000-0005-0000-0000-0000759D0000}"/>
    <cellStyle name="Euro 23 4 3" xfId="20239" xr:uid="{00000000-0005-0000-0000-0000769D0000}"/>
    <cellStyle name="Euro 23 4 4" xfId="18977" xr:uid="{00000000-0005-0000-0000-0000779D0000}"/>
    <cellStyle name="Euro 23 5" xfId="11178" xr:uid="{00000000-0005-0000-0000-0000789D0000}"/>
    <cellStyle name="Euro 24" xfId="817" xr:uid="{00000000-0005-0000-0000-0000799D0000}"/>
    <cellStyle name="Euro 24 2" xfId="818" xr:uid="{00000000-0005-0000-0000-00007A9D0000}"/>
    <cellStyle name="Euro 24 2 2" xfId="819" xr:uid="{00000000-0005-0000-0000-00007B9D0000}"/>
    <cellStyle name="Euro 24 3" xfId="820" xr:uid="{00000000-0005-0000-0000-00007C9D0000}"/>
    <cellStyle name="Euro 24 3 2" xfId="821" xr:uid="{00000000-0005-0000-0000-00007D9D0000}"/>
    <cellStyle name="Euro 24 3 3" xfId="18980" xr:uid="{00000000-0005-0000-0000-00007E9D0000}"/>
    <cellStyle name="Euro 24 3 3 2" xfId="20242" xr:uid="{00000000-0005-0000-0000-00007F9D0000}"/>
    <cellStyle name="Euro 24 3 4" xfId="20241" xr:uid="{00000000-0005-0000-0000-0000809D0000}"/>
    <cellStyle name="Euro 24 3 5" xfId="18979" xr:uid="{00000000-0005-0000-0000-0000819D0000}"/>
    <cellStyle name="Euro 24 4" xfId="11179" xr:uid="{00000000-0005-0000-0000-0000829D0000}"/>
    <cellStyle name="Euro 24 4 2" xfId="18982" xr:uid="{00000000-0005-0000-0000-0000839D0000}"/>
    <cellStyle name="Euro 24 4 2 2" xfId="20244" xr:uid="{00000000-0005-0000-0000-0000849D0000}"/>
    <cellStyle name="Euro 24 4 3" xfId="20243" xr:uid="{00000000-0005-0000-0000-0000859D0000}"/>
    <cellStyle name="Euro 24 4 4" xfId="18981" xr:uid="{00000000-0005-0000-0000-0000869D0000}"/>
    <cellStyle name="Euro 24 5" xfId="11180" xr:uid="{00000000-0005-0000-0000-0000879D0000}"/>
    <cellStyle name="Euro 25" xfId="822" xr:uid="{00000000-0005-0000-0000-0000889D0000}"/>
    <cellStyle name="Euro 25 2" xfId="823" xr:uid="{00000000-0005-0000-0000-0000899D0000}"/>
    <cellStyle name="Euro 25 2 2" xfId="824" xr:uid="{00000000-0005-0000-0000-00008A9D0000}"/>
    <cellStyle name="Euro 25 3" xfId="825" xr:uid="{00000000-0005-0000-0000-00008B9D0000}"/>
    <cellStyle name="Euro 25 3 2" xfId="826" xr:uid="{00000000-0005-0000-0000-00008C9D0000}"/>
    <cellStyle name="Euro 25 3 3" xfId="18984" xr:uid="{00000000-0005-0000-0000-00008D9D0000}"/>
    <cellStyle name="Euro 25 3 3 2" xfId="20246" xr:uid="{00000000-0005-0000-0000-00008E9D0000}"/>
    <cellStyle name="Euro 25 3 4" xfId="20245" xr:uid="{00000000-0005-0000-0000-00008F9D0000}"/>
    <cellStyle name="Euro 25 3 5" xfId="18983" xr:uid="{00000000-0005-0000-0000-0000909D0000}"/>
    <cellStyle name="Euro 25 4" xfId="11181" xr:uid="{00000000-0005-0000-0000-0000919D0000}"/>
    <cellStyle name="Euro 25 4 2" xfId="18986" xr:uid="{00000000-0005-0000-0000-0000929D0000}"/>
    <cellStyle name="Euro 25 4 2 2" xfId="20248" xr:uid="{00000000-0005-0000-0000-0000939D0000}"/>
    <cellStyle name="Euro 25 4 3" xfId="20247" xr:uid="{00000000-0005-0000-0000-0000949D0000}"/>
    <cellStyle name="Euro 25 4 4" xfId="18985" xr:uid="{00000000-0005-0000-0000-0000959D0000}"/>
    <cellStyle name="Euro 25 5" xfId="11182" xr:uid="{00000000-0005-0000-0000-0000969D0000}"/>
    <cellStyle name="Euro 26" xfId="827" xr:uid="{00000000-0005-0000-0000-0000979D0000}"/>
    <cellStyle name="Euro 26 2" xfId="828" xr:uid="{00000000-0005-0000-0000-0000989D0000}"/>
    <cellStyle name="Euro 26 2 2" xfId="829" xr:uid="{00000000-0005-0000-0000-0000999D0000}"/>
    <cellStyle name="Euro 26 3" xfId="830" xr:uid="{00000000-0005-0000-0000-00009A9D0000}"/>
    <cellStyle name="Euro 26 3 2" xfId="831" xr:uid="{00000000-0005-0000-0000-00009B9D0000}"/>
    <cellStyle name="Euro 26 3 3" xfId="18988" xr:uid="{00000000-0005-0000-0000-00009C9D0000}"/>
    <cellStyle name="Euro 26 3 3 2" xfId="20250" xr:uid="{00000000-0005-0000-0000-00009D9D0000}"/>
    <cellStyle name="Euro 26 3 4" xfId="20249" xr:uid="{00000000-0005-0000-0000-00009E9D0000}"/>
    <cellStyle name="Euro 26 3 5" xfId="18987" xr:uid="{00000000-0005-0000-0000-00009F9D0000}"/>
    <cellStyle name="Euro 26 4" xfId="11183" xr:uid="{00000000-0005-0000-0000-0000A09D0000}"/>
    <cellStyle name="Euro 26 4 2" xfId="18990" xr:uid="{00000000-0005-0000-0000-0000A19D0000}"/>
    <cellStyle name="Euro 26 4 2 2" xfId="20252" xr:uid="{00000000-0005-0000-0000-0000A29D0000}"/>
    <cellStyle name="Euro 26 4 3" xfId="20251" xr:uid="{00000000-0005-0000-0000-0000A39D0000}"/>
    <cellStyle name="Euro 26 4 4" xfId="18989" xr:uid="{00000000-0005-0000-0000-0000A49D0000}"/>
    <cellStyle name="Euro 26 5" xfId="11184" xr:uid="{00000000-0005-0000-0000-0000A59D0000}"/>
    <cellStyle name="Euro 27" xfId="832" xr:uid="{00000000-0005-0000-0000-0000A69D0000}"/>
    <cellStyle name="Euro 27 2" xfId="833" xr:uid="{00000000-0005-0000-0000-0000A79D0000}"/>
    <cellStyle name="Euro 27 2 2" xfId="834" xr:uid="{00000000-0005-0000-0000-0000A89D0000}"/>
    <cellStyle name="Euro 27 3" xfId="835" xr:uid="{00000000-0005-0000-0000-0000A99D0000}"/>
    <cellStyle name="Euro 27 3 2" xfId="836" xr:uid="{00000000-0005-0000-0000-0000AA9D0000}"/>
    <cellStyle name="Euro 27 3 3" xfId="18992" xr:uid="{00000000-0005-0000-0000-0000AB9D0000}"/>
    <cellStyle name="Euro 27 3 3 2" xfId="20254" xr:uid="{00000000-0005-0000-0000-0000AC9D0000}"/>
    <cellStyle name="Euro 27 3 4" xfId="20253" xr:uid="{00000000-0005-0000-0000-0000AD9D0000}"/>
    <cellStyle name="Euro 27 3 5" xfId="18991" xr:uid="{00000000-0005-0000-0000-0000AE9D0000}"/>
    <cellStyle name="Euro 27 4" xfId="11185" xr:uid="{00000000-0005-0000-0000-0000AF9D0000}"/>
    <cellStyle name="Euro 27 4 2" xfId="18994" xr:uid="{00000000-0005-0000-0000-0000B09D0000}"/>
    <cellStyle name="Euro 27 4 2 2" xfId="20256" xr:uid="{00000000-0005-0000-0000-0000B19D0000}"/>
    <cellStyle name="Euro 27 4 3" xfId="20255" xr:uid="{00000000-0005-0000-0000-0000B29D0000}"/>
    <cellStyle name="Euro 27 4 4" xfId="18993" xr:uid="{00000000-0005-0000-0000-0000B39D0000}"/>
    <cellStyle name="Euro 27 5" xfId="11186" xr:uid="{00000000-0005-0000-0000-0000B49D0000}"/>
    <cellStyle name="Euro 28" xfId="837" xr:uid="{00000000-0005-0000-0000-0000B59D0000}"/>
    <cellStyle name="Euro 28 2" xfId="838" xr:uid="{00000000-0005-0000-0000-0000B69D0000}"/>
    <cellStyle name="Euro 28 2 2" xfId="839" xr:uid="{00000000-0005-0000-0000-0000B79D0000}"/>
    <cellStyle name="Euro 28 3" xfId="840" xr:uid="{00000000-0005-0000-0000-0000B89D0000}"/>
    <cellStyle name="Euro 28 3 2" xfId="841" xr:uid="{00000000-0005-0000-0000-0000B99D0000}"/>
    <cellStyle name="Euro 28 3 3" xfId="18996" xr:uid="{00000000-0005-0000-0000-0000BA9D0000}"/>
    <cellStyle name="Euro 28 3 3 2" xfId="20258" xr:uid="{00000000-0005-0000-0000-0000BB9D0000}"/>
    <cellStyle name="Euro 28 3 4" xfId="20257" xr:uid="{00000000-0005-0000-0000-0000BC9D0000}"/>
    <cellStyle name="Euro 28 3 5" xfId="18995" xr:uid="{00000000-0005-0000-0000-0000BD9D0000}"/>
    <cellStyle name="Euro 28 4" xfId="11187" xr:uid="{00000000-0005-0000-0000-0000BE9D0000}"/>
    <cellStyle name="Euro 28 4 2" xfId="18998" xr:uid="{00000000-0005-0000-0000-0000BF9D0000}"/>
    <cellStyle name="Euro 28 4 2 2" xfId="20260" xr:uid="{00000000-0005-0000-0000-0000C09D0000}"/>
    <cellStyle name="Euro 28 4 3" xfId="20259" xr:uid="{00000000-0005-0000-0000-0000C19D0000}"/>
    <cellStyle name="Euro 28 4 4" xfId="18997" xr:uid="{00000000-0005-0000-0000-0000C29D0000}"/>
    <cellStyle name="Euro 28 5" xfId="11188" xr:uid="{00000000-0005-0000-0000-0000C39D0000}"/>
    <cellStyle name="Euro 29" xfId="842" xr:uid="{00000000-0005-0000-0000-0000C49D0000}"/>
    <cellStyle name="Euro 29 2" xfId="843" xr:uid="{00000000-0005-0000-0000-0000C59D0000}"/>
    <cellStyle name="Euro 29 2 2" xfId="844" xr:uid="{00000000-0005-0000-0000-0000C69D0000}"/>
    <cellStyle name="Euro 29 3" xfId="845" xr:uid="{00000000-0005-0000-0000-0000C79D0000}"/>
    <cellStyle name="Euro 29 3 2" xfId="846" xr:uid="{00000000-0005-0000-0000-0000C89D0000}"/>
    <cellStyle name="Euro 29 3 3" xfId="19000" xr:uid="{00000000-0005-0000-0000-0000C99D0000}"/>
    <cellStyle name="Euro 29 3 3 2" xfId="20262" xr:uid="{00000000-0005-0000-0000-0000CA9D0000}"/>
    <cellStyle name="Euro 29 3 4" xfId="20261" xr:uid="{00000000-0005-0000-0000-0000CB9D0000}"/>
    <cellStyle name="Euro 29 3 5" xfId="18999" xr:uid="{00000000-0005-0000-0000-0000CC9D0000}"/>
    <cellStyle name="Euro 29 4" xfId="11189" xr:uid="{00000000-0005-0000-0000-0000CD9D0000}"/>
    <cellStyle name="Euro 29 4 2" xfId="19002" xr:uid="{00000000-0005-0000-0000-0000CE9D0000}"/>
    <cellStyle name="Euro 29 4 2 2" xfId="20264" xr:uid="{00000000-0005-0000-0000-0000CF9D0000}"/>
    <cellStyle name="Euro 29 4 3" xfId="20263" xr:uid="{00000000-0005-0000-0000-0000D09D0000}"/>
    <cellStyle name="Euro 29 4 4" xfId="19001" xr:uid="{00000000-0005-0000-0000-0000D19D0000}"/>
    <cellStyle name="Euro 29 5" xfId="11190" xr:uid="{00000000-0005-0000-0000-0000D29D0000}"/>
    <cellStyle name="Euro 3" xfId="847" xr:uid="{00000000-0005-0000-0000-0000D39D0000}"/>
    <cellStyle name="Euro 3 2" xfId="848" xr:uid="{00000000-0005-0000-0000-0000D49D0000}"/>
    <cellStyle name="Euro 3 2 2" xfId="849" xr:uid="{00000000-0005-0000-0000-0000D59D0000}"/>
    <cellStyle name="Euro 3 2 2 2" xfId="850" xr:uid="{00000000-0005-0000-0000-0000D69D0000}"/>
    <cellStyle name="Euro 3 2 3" xfId="851" xr:uid="{00000000-0005-0000-0000-0000D79D0000}"/>
    <cellStyle name="Euro 3 2 4" xfId="852" xr:uid="{00000000-0005-0000-0000-0000D89D0000}"/>
    <cellStyle name="Euro 3 3" xfId="853" xr:uid="{00000000-0005-0000-0000-0000D99D0000}"/>
    <cellStyle name="Euro 3 3 2" xfId="854" xr:uid="{00000000-0005-0000-0000-0000DA9D0000}"/>
    <cellStyle name="Euro 3 3 3" xfId="855" xr:uid="{00000000-0005-0000-0000-0000DB9D0000}"/>
    <cellStyle name="Euro 3 3 3 2" xfId="20266" xr:uid="{00000000-0005-0000-0000-0000DC9D0000}"/>
    <cellStyle name="Euro 3 3 3 3" xfId="19004" xr:uid="{00000000-0005-0000-0000-0000DD9D0000}"/>
    <cellStyle name="Euro 3 3 4" xfId="20265" xr:uid="{00000000-0005-0000-0000-0000DE9D0000}"/>
    <cellStyle name="Euro 3 3 5" xfId="19003" xr:uid="{00000000-0005-0000-0000-0000DF9D0000}"/>
    <cellStyle name="Euro 3 4" xfId="856" xr:uid="{00000000-0005-0000-0000-0000E09D0000}"/>
    <cellStyle name="Euro 3 4 2" xfId="19006" xr:uid="{00000000-0005-0000-0000-0000E19D0000}"/>
    <cellStyle name="Euro 3 4 2 2" xfId="20268" xr:uid="{00000000-0005-0000-0000-0000E29D0000}"/>
    <cellStyle name="Euro 3 4 3" xfId="20267" xr:uid="{00000000-0005-0000-0000-0000E39D0000}"/>
    <cellStyle name="Euro 3 4 4" xfId="19005" xr:uid="{00000000-0005-0000-0000-0000E49D0000}"/>
    <cellStyle name="Euro 3 4 5" xfId="11191" xr:uid="{00000000-0005-0000-0000-0000E59D0000}"/>
    <cellStyle name="Euro 3 5" xfId="857" xr:uid="{00000000-0005-0000-0000-0000E69D0000}"/>
    <cellStyle name="Euro 3 5 2" xfId="11192" xr:uid="{00000000-0005-0000-0000-0000E79D0000}"/>
    <cellStyle name="Euro 3 6" xfId="858" xr:uid="{00000000-0005-0000-0000-0000E89D0000}"/>
    <cellStyle name="Euro 30" xfId="859" xr:uid="{00000000-0005-0000-0000-0000E99D0000}"/>
    <cellStyle name="Euro 30 2" xfId="860" xr:uid="{00000000-0005-0000-0000-0000EA9D0000}"/>
    <cellStyle name="Euro 30 2 2" xfId="861" xr:uid="{00000000-0005-0000-0000-0000EB9D0000}"/>
    <cellStyle name="Euro 30 3" xfId="862" xr:uid="{00000000-0005-0000-0000-0000EC9D0000}"/>
    <cellStyle name="Euro 30 3 2" xfId="863" xr:uid="{00000000-0005-0000-0000-0000ED9D0000}"/>
    <cellStyle name="Euro 30 3 3" xfId="19008" xr:uid="{00000000-0005-0000-0000-0000EE9D0000}"/>
    <cellStyle name="Euro 30 3 3 2" xfId="20270" xr:uid="{00000000-0005-0000-0000-0000EF9D0000}"/>
    <cellStyle name="Euro 30 3 4" xfId="20269" xr:uid="{00000000-0005-0000-0000-0000F09D0000}"/>
    <cellStyle name="Euro 30 3 5" xfId="19007" xr:uid="{00000000-0005-0000-0000-0000F19D0000}"/>
    <cellStyle name="Euro 30 4" xfId="11193" xr:uid="{00000000-0005-0000-0000-0000F29D0000}"/>
    <cellStyle name="Euro 30 4 2" xfId="19010" xr:uid="{00000000-0005-0000-0000-0000F39D0000}"/>
    <cellStyle name="Euro 30 4 2 2" xfId="20272" xr:uid="{00000000-0005-0000-0000-0000F49D0000}"/>
    <cellStyle name="Euro 30 4 3" xfId="20271" xr:uid="{00000000-0005-0000-0000-0000F59D0000}"/>
    <cellStyle name="Euro 30 4 4" xfId="19009" xr:uid="{00000000-0005-0000-0000-0000F69D0000}"/>
    <cellStyle name="Euro 30 5" xfId="11194" xr:uid="{00000000-0005-0000-0000-0000F79D0000}"/>
    <cellStyle name="Euro 31" xfId="864" xr:uid="{00000000-0005-0000-0000-0000F89D0000}"/>
    <cellStyle name="Euro 31 2" xfId="865" xr:uid="{00000000-0005-0000-0000-0000F99D0000}"/>
    <cellStyle name="Euro 31 2 2" xfId="866" xr:uid="{00000000-0005-0000-0000-0000FA9D0000}"/>
    <cellStyle name="Euro 31 3" xfId="867" xr:uid="{00000000-0005-0000-0000-0000FB9D0000}"/>
    <cellStyle name="Euro 31 3 2" xfId="868" xr:uid="{00000000-0005-0000-0000-0000FC9D0000}"/>
    <cellStyle name="Euro 31 3 3" xfId="19012" xr:uid="{00000000-0005-0000-0000-0000FD9D0000}"/>
    <cellStyle name="Euro 31 3 3 2" xfId="20274" xr:uid="{00000000-0005-0000-0000-0000FE9D0000}"/>
    <cellStyle name="Euro 31 3 4" xfId="20273" xr:uid="{00000000-0005-0000-0000-0000FF9D0000}"/>
    <cellStyle name="Euro 31 3 5" xfId="19011" xr:uid="{00000000-0005-0000-0000-0000009E0000}"/>
    <cellStyle name="Euro 31 4" xfId="11195" xr:uid="{00000000-0005-0000-0000-0000019E0000}"/>
    <cellStyle name="Euro 31 4 2" xfId="19014" xr:uid="{00000000-0005-0000-0000-0000029E0000}"/>
    <cellStyle name="Euro 31 4 2 2" xfId="20276" xr:uid="{00000000-0005-0000-0000-0000039E0000}"/>
    <cellStyle name="Euro 31 4 3" xfId="20275" xr:uid="{00000000-0005-0000-0000-0000049E0000}"/>
    <cellStyle name="Euro 31 4 4" xfId="19013" xr:uid="{00000000-0005-0000-0000-0000059E0000}"/>
    <cellStyle name="Euro 31 5" xfId="11196" xr:uid="{00000000-0005-0000-0000-0000069E0000}"/>
    <cellStyle name="Euro 32" xfId="869" xr:uid="{00000000-0005-0000-0000-0000079E0000}"/>
    <cellStyle name="Euro 32 2" xfId="870" xr:uid="{00000000-0005-0000-0000-0000089E0000}"/>
    <cellStyle name="Euro 32 2 2" xfId="871" xr:uid="{00000000-0005-0000-0000-0000099E0000}"/>
    <cellStyle name="Euro 32 3" xfId="872" xr:uid="{00000000-0005-0000-0000-00000A9E0000}"/>
    <cellStyle name="Euro 32 3 2" xfId="873" xr:uid="{00000000-0005-0000-0000-00000B9E0000}"/>
    <cellStyle name="Euro 32 3 3" xfId="19016" xr:uid="{00000000-0005-0000-0000-00000C9E0000}"/>
    <cellStyle name="Euro 32 3 3 2" xfId="20278" xr:uid="{00000000-0005-0000-0000-00000D9E0000}"/>
    <cellStyle name="Euro 32 3 4" xfId="20277" xr:uid="{00000000-0005-0000-0000-00000E9E0000}"/>
    <cellStyle name="Euro 32 3 5" xfId="19015" xr:uid="{00000000-0005-0000-0000-00000F9E0000}"/>
    <cellStyle name="Euro 32 4" xfId="11197" xr:uid="{00000000-0005-0000-0000-0000109E0000}"/>
    <cellStyle name="Euro 32 4 2" xfId="19018" xr:uid="{00000000-0005-0000-0000-0000119E0000}"/>
    <cellStyle name="Euro 32 4 2 2" xfId="20280" xr:uid="{00000000-0005-0000-0000-0000129E0000}"/>
    <cellStyle name="Euro 32 4 3" xfId="20279" xr:uid="{00000000-0005-0000-0000-0000139E0000}"/>
    <cellStyle name="Euro 32 4 4" xfId="19017" xr:uid="{00000000-0005-0000-0000-0000149E0000}"/>
    <cellStyle name="Euro 32 5" xfId="11198" xr:uid="{00000000-0005-0000-0000-0000159E0000}"/>
    <cellStyle name="Euro 33" xfId="874" xr:uid="{00000000-0005-0000-0000-0000169E0000}"/>
    <cellStyle name="Euro 33 2" xfId="875" xr:uid="{00000000-0005-0000-0000-0000179E0000}"/>
    <cellStyle name="Euro 33 2 2" xfId="876" xr:uid="{00000000-0005-0000-0000-0000189E0000}"/>
    <cellStyle name="Euro 33 3" xfId="877" xr:uid="{00000000-0005-0000-0000-0000199E0000}"/>
    <cellStyle name="Euro 33 3 2" xfId="878" xr:uid="{00000000-0005-0000-0000-00001A9E0000}"/>
    <cellStyle name="Euro 33 3 3" xfId="19020" xr:uid="{00000000-0005-0000-0000-00001B9E0000}"/>
    <cellStyle name="Euro 33 3 3 2" xfId="20282" xr:uid="{00000000-0005-0000-0000-00001C9E0000}"/>
    <cellStyle name="Euro 33 3 4" xfId="20281" xr:uid="{00000000-0005-0000-0000-00001D9E0000}"/>
    <cellStyle name="Euro 33 3 5" xfId="19019" xr:uid="{00000000-0005-0000-0000-00001E9E0000}"/>
    <cellStyle name="Euro 33 4" xfId="11199" xr:uid="{00000000-0005-0000-0000-00001F9E0000}"/>
    <cellStyle name="Euro 33 4 2" xfId="19022" xr:uid="{00000000-0005-0000-0000-0000209E0000}"/>
    <cellStyle name="Euro 33 4 2 2" xfId="20284" xr:uid="{00000000-0005-0000-0000-0000219E0000}"/>
    <cellStyle name="Euro 33 4 3" xfId="20283" xr:uid="{00000000-0005-0000-0000-0000229E0000}"/>
    <cellStyle name="Euro 33 4 4" xfId="19021" xr:uid="{00000000-0005-0000-0000-0000239E0000}"/>
    <cellStyle name="Euro 33 5" xfId="11200" xr:uid="{00000000-0005-0000-0000-0000249E0000}"/>
    <cellStyle name="Euro 34" xfId="879" xr:uid="{00000000-0005-0000-0000-0000259E0000}"/>
    <cellStyle name="Euro 34 2" xfId="880" xr:uid="{00000000-0005-0000-0000-0000269E0000}"/>
    <cellStyle name="Euro 34 2 2" xfId="881" xr:uid="{00000000-0005-0000-0000-0000279E0000}"/>
    <cellStyle name="Euro 34 3" xfId="882" xr:uid="{00000000-0005-0000-0000-0000289E0000}"/>
    <cellStyle name="Euro 34 3 2" xfId="883" xr:uid="{00000000-0005-0000-0000-0000299E0000}"/>
    <cellStyle name="Euro 34 3 3" xfId="19024" xr:uid="{00000000-0005-0000-0000-00002A9E0000}"/>
    <cellStyle name="Euro 34 3 3 2" xfId="20286" xr:uid="{00000000-0005-0000-0000-00002B9E0000}"/>
    <cellStyle name="Euro 34 3 4" xfId="20285" xr:uid="{00000000-0005-0000-0000-00002C9E0000}"/>
    <cellStyle name="Euro 34 3 5" xfId="19023" xr:uid="{00000000-0005-0000-0000-00002D9E0000}"/>
    <cellStyle name="Euro 34 4" xfId="11201" xr:uid="{00000000-0005-0000-0000-00002E9E0000}"/>
    <cellStyle name="Euro 34 4 2" xfId="19026" xr:uid="{00000000-0005-0000-0000-00002F9E0000}"/>
    <cellStyle name="Euro 34 4 2 2" xfId="20288" xr:uid="{00000000-0005-0000-0000-0000309E0000}"/>
    <cellStyle name="Euro 34 4 3" xfId="20287" xr:uid="{00000000-0005-0000-0000-0000319E0000}"/>
    <cellStyle name="Euro 34 4 4" xfId="19025" xr:uid="{00000000-0005-0000-0000-0000329E0000}"/>
    <cellStyle name="Euro 34 5" xfId="11202" xr:uid="{00000000-0005-0000-0000-0000339E0000}"/>
    <cellStyle name="Euro 35" xfId="884" xr:uid="{00000000-0005-0000-0000-0000349E0000}"/>
    <cellStyle name="Euro 35 2" xfId="885" xr:uid="{00000000-0005-0000-0000-0000359E0000}"/>
    <cellStyle name="Euro 35 2 2" xfId="886" xr:uid="{00000000-0005-0000-0000-0000369E0000}"/>
    <cellStyle name="Euro 35 3" xfId="887" xr:uid="{00000000-0005-0000-0000-0000379E0000}"/>
    <cellStyle name="Euro 35 3 2" xfId="888" xr:uid="{00000000-0005-0000-0000-0000389E0000}"/>
    <cellStyle name="Euro 35 3 3" xfId="19028" xr:uid="{00000000-0005-0000-0000-0000399E0000}"/>
    <cellStyle name="Euro 35 3 3 2" xfId="20290" xr:uid="{00000000-0005-0000-0000-00003A9E0000}"/>
    <cellStyle name="Euro 35 3 4" xfId="20289" xr:uid="{00000000-0005-0000-0000-00003B9E0000}"/>
    <cellStyle name="Euro 35 3 5" xfId="19027" xr:uid="{00000000-0005-0000-0000-00003C9E0000}"/>
    <cellStyle name="Euro 35 4" xfId="11203" xr:uid="{00000000-0005-0000-0000-00003D9E0000}"/>
    <cellStyle name="Euro 35 4 2" xfId="19030" xr:uid="{00000000-0005-0000-0000-00003E9E0000}"/>
    <cellStyle name="Euro 35 4 2 2" xfId="20292" xr:uid="{00000000-0005-0000-0000-00003F9E0000}"/>
    <cellStyle name="Euro 35 4 3" xfId="20291" xr:uid="{00000000-0005-0000-0000-0000409E0000}"/>
    <cellStyle name="Euro 35 4 4" xfId="19029" xr:uid="{00000000-0005-0000-0000-0000419E0000}"/>
    <cellStyle name="Euro 35 5" xfId="11204" xr:uid="{00000000-0005-0000-0000-0000429E0000}"/>
    <cellStyle name="Euro 36" xfId="889" xr:uid="{00000000-0005-0000-0000-0000439E0000}"/>
    <cellStyle name="Euro 36 2" xfId="890" xr:uid="{00000000-0005-0000-0000-0000449E0000}"/>
    <cellStyle name="Euro 36 2 2" xfId="891" xr:uid="{00000000-0005-0000-0000-0000459E0000}"/>
    <cellStyle name="Euro 36 3" xfId="892" xr:uid="{00000000-0005-0000-0000-0000469E0000}"/>
    <cellStyle name="Euro 36 3 2" xfId="893" xr:uid="{00000000-0005-0000-0000-0000479E0000}"/>
    <cellStyle name="Euro 36 3 3" xfId="19032" xr:uid="{00000000-0005-0000-0000-0000489E0000}"/>
    <cellStyle name="Euro 36 3 3 2" xfId="20294" xr:uid="{00000000-0005-0000-0000-0000499E0000}"/>
    <cellStyle name="Euro 36 3 4" xfId="20293" xr:uid="{00000000-0005-0000-0000-00004A9E0000}"/>
    <cellStyle name="Euro 36 3 5" xfId="19031" xr:uid="{00000000-0005-0000-0000-00004B9E0000}"/>
    <cellStyle name="Euro 36 4" xfId="11205" xr:uid="{00000000-0005-0000-0000-00004C9E0000}"/>
    <cellStyle name="Euro 36 4 2" xfId="19034" xr:uid="{00000000-0005-0000-0000-00004D9E0000}"/>
    <cellStyle name="Euro 36 4 2 2" xfId="20296" xr:uid="{00000000-0005-0000-0000-00004E9E0000}"/>
    <cellStyle name="Euro 36 4 3" xfId="20295" xr:uid="{00000000-0005-0000-0000-00004F9E0000}"/>
    <cellStyle name="Euro 36 4 4" xfId="19033" xr:uid="{00000000-0005-0000-0000-0000509E0000}"/>
    <cellStyle name="Euro 36 5" xfId="11206" xr:uid="{00000000-0005-0000-0000-0000519E0000}"/>
    <cellStyle name="Euro 37" xfId="894" xr:uid="{00000000-0005-0000-0000-0000529E0000}"/>
    <cellStyle name="Euro 37 2" xfId="895" xr:uid="{00000000-0005-0000-0000-0000539E0000}"/>
    <cellStyle name="Euro 37 2 2" xfId="896" xr:uid="{00000000-0005-0000-0000-0000549E0000}"/>
    <cellStyle name="Euro 37 3" xfId="897" xr:uid="{00000000-0005-0000-0000-0000559E0000}"/>
    <cellStyle name="Euro 37 3 2" xfId="898" xr:uid="{00000000-0005-0000-0000-0000569E0000}"/>
    <cellStyle name="Euro 37 3 3" xfId="19036" xr:uid="{00000000-0005-0000-0000-0000579E0000}"/>
    <cellStyle name="Euro 37 3 3 2" xfId="20298" xr:uid="{00000000-0005-0000-0000-0000589E0000}"/>
    <cellStyle name="Euro 37 3 4" xfId="20297" xr:uid="{00000000-0005-0000-0000-0000599E0000}"/>
    <cellStyle name="Euro 37 3 5" xfId="19035" xr:uid="{00000000-0005-0000-0000-00005A9E0000}"/>
    <cellStyle name="Euro 37 4" xfId="11207" xr:uid="{00000000-0005-0000-0000-00005B9E0000}"/>
    <cellStyle name="Euro 37 4 2" xfId="19038" xr:uid="{00000000-0005-0000-0000-00005C9E0000}"/>
    <cellStyle name="Euro 37 4 2 2" xfId="20300" xr:uid="{00000000-0005-0000-0000-00005D9E0000}"/>
    <cellStyle name="Euro 37 4 3" xfId="20299" xr:uid="{00000000-0005-0000-0000-00005E9E0000}"/>
    <cellStyle name="Euro 37 4 4" xfId="19037" xr:uid="{00000000-0005-0000-0000-00005F9E0000}"/>
    <cellStyle name="Euro 37 5" xfId="11208" xr:uid="{00000000-0005-0000-0000-0000609E0000}"/>
    <cellStyle name="Euro 38" xfId="899" xr:uid="{00000000-0005-0000-0000-0000619E0000}"/>
    <cellStyle name="Euro 38 2" xfId="900" xr:uid="{00000000-0005-0000-0000-0000629E0000}"/>
    <cellStyle name="Euro 38 2 2" xfId="901" xr:uid="{00000000-0005-0000-0000-0000639E0000}"/>
    <cellStyle name="Euro 38 3" xfId="902" xr:uid="{00000000-0005-0000-0000-0000649E0000}"/>
    <cellStyle name="Euro 38 3 2" xfId="903" xr:uid="{00000000-0005-0000-0000-0000659E0000}"/>
    <cellStyle name="Euro 38 3 3" xfId="19040" xr:uid="{00000000-0005-0000-0000-0000669E0000}"/>
    <cellStyle name="Euro 38 3 3 2" xfId="20302" xr:uid="{00000000-0005-0000-0000-0000679E0000}"/>
    <cellStyle name="Euro 38 3 4" xfId="20301" xr:uid="{00000000-0005-0000-0000-0000689E0000}"/>
    <cellStyle name="Euro 38 3 5" xfId="19039" xr:uid="{00000000-0005-0000-0000-0000699E0000}"/>
    <cellStyle name="Euro 38 4" xfId="11209" xr:uid="{00000000-0005-0000-0000-00006A9E0000}"/>
    <cellStyle name="Euro 38 4 2" xfId="19042" xr:uid="{00000000-0005-0000-0000-00006B9E0000}"/>
    <cellStyle name="Euro 38 4 2 2" xfId="20304" xr:uid="{00000000-0005-0000-0000-00006C9E0000}"/>
    <cellStyle name="Euro 38 4 3" xfId="20303" xr:uid="{00000000-0005-0000-0000-00006D9E0000}"/>
    <cellStyle name="Euro 38 4 4" xfId="19041" xr:uid="{00000000-0005-0000-0000-00006E9E0000}"/>
    <cellStyle name="Euro 38 5" xfId="11210" xr:uid="{00000000-0005-0000-0000-00006F9E0000}"/>
    <cellStyle name="Euro 39" xfId="904" xr:uid="{00000000-0005-0000-0000-0000709E0000}"/>
    <cellStyle name="Euro 39 2" xfId="905" xr:uid="{00000000-0005-0000-0000-0000719E0000}"/>
    <cellStyle name="Euro 39 2 2" xfId="906" xr:uid="{00000000-0005-0000-0000-0000729E0000}"/>
    <cellStyle name="Euro 39 3" xfId="907" xr:uid="{00000000-0005-0000-0000-0000739E0000}"/>
    <cellStyle name="Euro 39 3 2" xfId="908" xr:uid="{00000000-0005-0000-0000-0000749E0000}"/>
    <cellStyle name="Euro 39 3 3" xfId="19044" xr:uid="{00000000-0005-0000-0000-0000759E0000}"/>
    <cellStyle name="Euro 39 3 3 2" xfId="20306" xr:uid="{00000000-0005-0000-0000-0000769E0000}"/>
    <cellStyle name="Euro 39 3 4" xfId="20305" xr:uid="{00000000-0005-0000-0000-0000779E0000}"/>
    <cellStyle name="Euro 39 3 5" xfId="19043" xr:uid="{00000000-0005-0000-0000-0000789E0000}"/>
    <cellStyle name="Euro 39 4" xfId="11211" xr:uid="{00000000-0005-0000-0000-0000799E0000}"/>
    <cellStyle name="Euro 39 4 2" xfId="19046" xr:uid="{00000000-0005-0000-0000-00007A9E0000}"/>
    <cellStyle name="Euro 39 4 2 2" xfId="20308" xr:uid="{00000000-0005-0000-0000-00007B9E0000}"/>
    <cellStyle name="Euro 39 4 3" xfId="20307" xr:uid="{00000000-0005-0000-0000-00007C9E0000}"/>
    <cellStyle name="Euro 39 4 4" xfId="19045" xr:uid="{00000000-0005-0000-0000-00007D9E0000}"/>
    <cellStyle name="Euro 39 5" xfId="11212" xr:uid="{00000000-0005-0000-0000-00007E9E0000}"/>
    <cellStyle name="Euro 4" xfId="909" xr:uid="{00000000-0005-0000-0000-00007F9E0000}"/>
    <cellStyle name="Euro 4 2" xfId="910" xr:uid="{00000000-0005-0000-0000-0000809E0000}"/>
    <cellStyle name="Euro 4 2 2" xfId="911" xr:uid="{00000000-0005-0000-0000-0000819E0000}"/>
    <cellStyle name="Euro 4 2 2 2" xfId="912" xr:uid="{00000000-0005-0000-0000-0000829E0000}"/>
    <cellStyle name="Euro 4 2 3" xfId="913" xr:uid="{00000000-0005-0000-0000-0000839E0000}"/>
    <cellStyle name="Euro 4 2 4" xfId="914" xr:uid="{00000000-0005-0000-0000-0000849E0000}"/>
    <cellStyle name="Euro 4 3" xfId="915" xr:uid="{00000000-0005-0000-0000-0000859E0000}"/>
    <cellStyle name="Euro 4 3 2" xfId="916" xr:uid="{00000000-0005-0000-0000-0000869E0000}"/>
    <cellStyle name="Euro 4 3 3" xfId="917" xr:uid="{00000000-0005-0000-0000-0000879E0000}"/>
    <cellStyle name="Euro 4 3 3 2" xfId="20310" xr:uid="{00000000-0005-0000-0000-0000889E0000}"/>
    <cellStyle name="Euro 4 3 3 3" xfId="19048" xr:uid="{00000000-0005-0000-0000-0000899E0000}"/>
    <cellStyle name="Euro 4 3 4" xfId="20309" xr:uid="{00000000-0005-0000-0000-00008A9E0000}"/>
    <cellStyle name="Euro 4 3 5" xfId="19047" xr:uid="{00000000-0005-0000-0000-00008B9E0000}"/>
    <cellStyle name="Euro 4 4" xfId="918" xr:uid="{00000000-0005-0000-0000-00008C9E0000}"/>
    <cellStyle name="Euro 4 4 2" xfId="19050" xr:uid="{00000000-0005-0000-0000-00008D9E0000}"/>
    <cellStyle name="Euro 4 4 2 2" xfId="20312" xr:uid="{00000000-0005-0000-0000-00008E9E0000}"/>
    <cellStyle name="Euro 4 4 3" xfId="20311" xr:uid="{00000000-0005-0000-0000-00008F9E0000}"/>
    <cellStyle name="Euro 4 4 4" xfId="19049" xr:uid="{00000000-0005-0000-0000-0000909E0000}"/>
    <cellStyle name="Euro 4 4 5" xfId="11213" xr:uid="{00000000-0005-0000-0000-0000919E0000}"/>
    <cellStyle name="Euro 4 5" xfId="11214" xr:uid="{00000000-0005-0000-0000-0000929E0000}"/>
    <cellStyle name="Euro 40" xfId="919" xr:uid="{00000000-0005-0000-0000-0000939E0000}"/>
    <cellStyle name="Euro 40 2" xfId="920" xr:uid="{00000000-0005-0000-0000-0000949E0000}"/>
    <cellStyle name="Euro 40 2 2" xfId="921" xr:uid="{00000000-0005-0000-0000-0000959E0000}"/>
    <cellStyle name="Euro 40 3" xfId="922" xr:uid="{00000000-0005-0000-0000-0000969E0000}"/>
    <cellStyle name="Euro 40 3 2" xfId="923" xr:uid="{00000000-0005-0000-0000-0000979E0000}"/>
    <cellStyle name="Euro 40 3 3" xfId="19052" xr:uid="{00000000-0005-0000-0000-0000989E0000}"/>
    <cellStyle name="Euro 40 3 3 2" xfId="20314" xr:uid="{00000000-0005-0000-0000-0000999E0000}"/>
    <cellStyle name="Euro 40 3 4" xfId="20313" xr:uid="{00000000-0005-0000-0000-00009A9E0000}"/>
    <cellStyle name="Euro 40 3 5" xfId="19051" xr:uid="{00000000-0005-0000-0000-00009B9E0000}"/>
    <cellStyle name="Euro 40 4" xfId="11215" xr:uid="{00000000-0005-0000-0000-00009C9E0000}"/>
    <cellStyle name="Euro 40 4 2" xfId="19054" xr:uid="{00000000-0005-0000-0000-00009D9E0000}"/>
    <cellStyle name="Euro 40 4 2 2" xfId="20316" xr:uid="{00000000-0005-0000-0000-00009E9E0000}"/>
    <cellStyle name="Euro 40 4 3" xfId="20315" xr:uid="{00000000-0005-0000-0000-00009F9E0000}"/>
    <cellStyle name="Euro 40 4 4" xfId="19053" xr:uid="{00000000-0005-0000-0000-0000A09E0000}"/>
    <cellStyle name="Euro 40 5" xfId="11216" xr:uid="{00000000-0005-0000-0000-0000A19E0000}"/>
    <cellStyle name="Euro 41" xfId="924" xr:uid="{00000000-0005-0000-0000-0000A29E0000}"/>
    <cellStyle name="Euro 41 2" xfId="925" xr:uid="{00000000-0005-0000-0000-0000A39E0000}"/>
    <cellStyle name="Euro 41 2 2" xfId="926" xr:uid="{00000000-0005-0000-0000-0000A49E0000}"/>
    <cellStyle name="Euro 41 3" xfId="927" xr:uid="{00000000-0005-0000-0000-0000A59E0000}"/>
    <cellStyle name="Euro 41 3 2" xfId="928" xr:uid="{00000000-0005-0000-0000-0000A69E0000}"/>
    <cellStyle name="Euro 41 3 3" xfId="19056" xr:uid="{00000000-0005-0000-0000-0000A79E0000}"/>
    <cellStyle name="Euro 41 3 3 2" xfId="20318" xr:uid="{00000000-0005-0000-0000-0000A89E0000}"/>
    <cellStyle name="Euro 41 3 4" xfId="20317" xr:uid="{00000000-0005-0000-0000-0000A99E0000}"/>
    <cellStyle name="Euro 41 3 5" xfId="19055" xr:uid="{00000000-0005-0000-0000-0000AA9E0000}"/>
    <cellStyle name="Euro 41 4" xfId="11217" xr:uid="{00000000-0005-0000-0000-0000AB9E0000}"/>
    <cellStyle name="Euro 41 4 2" xfId="19058" xr:uid="{00000000-0005-0000-0000-0000AC9E0000}"/>
    <cellStyle name="Euro 41 4 2 2" xfId="20320" xr:uid="{00000000-0005-0000-0000-0000AD9E0000}"/>
    <cellStyle name="Euro 41 4 3" xfId="20319" xr:uid="{00000000-0005-0000-0000-0000AE9E0000}"/>
    <cellStyle name="Euro 41 4 4" xfId="19057" xr:uid="{00000000-0005-0000-0000-0000AF9E0000}"/>
    <cellStyle name="Euro 41 5" xfId="11218" xr:uid="{00000000-0005-0000-0000-0000B09E0000}"/>
    <cellStyle name="Euro 42" xfId="929" xr:uid="{00000000-0005-0000-0000-0000B19E0000}"/>
    <cellStyle name="Euro 42 2" xfId="930" xr:uid="{00000000-0005-0000-0000-0000B29E0000}"/>
    <cellStyle name="Euro 42 2 2" xfId="931" xr:uid="{00000000-0005-0000-0000-0000B39E0000}"/>
    <cellStyle name="Euro 42 3" xfId="932" xr:uid="{00000000-0005-0000-0000-0000B49E0000}"/>
    <cellStyle name="Euro 42 3 2" xfId="933" xr:uid="{00000000-0005-0000-0000-0000B59E0000}"/>
    <cellStyle name="Euro 42 3 3" xfId="19060" xr:uid="{00000000-0005-0000-0000-0000B69E0000}"/>
    <cellStyle name="Euro 42 3 3 2" xfId="20322" xr:uid="{00000000-0005-0000-0000-0000B79E0000}"/>
    <cellStyle name="Euro 42 3 4" xfId="20321" xr:uid="{00000000-0005-0000-0000-0000B89E0000}"/>
    <cellStyle name="Euro 42 3 5" xfId="19059" xr:uid="{00000000-0005-0000-0000-0000B99E0000}"/>
    <cellStyle name="Euro 42 4" xfId="11219" xr:uid="{00000000-0005-0000-0000-0000BA9E0000}"/>
    <cellStyle name="Euro 42 4 2" xfId="19062" xr:uid="{00000000-0005-0000-0000-0000BB9E0000}"/>
    <cellStyle name="Euro 42 4 2 2" xfId="20324" xr:uid="{00000000-0005-0000-0000-0000BC9E0000}"/>
    <cellStyle name="Euro 42 4 3" xfId="20323" xr:uid="{00000000-0005-0000-0000-0000BD9E0000}"/>
    <cellStyle name="Euro 42 4 4" xfId="19061" xr:uid="{00000000-0005-0000-0000-0000BE9E0000}"/>
    <cellStyle name="Euro 42 5" xfId="11220" xr:uid="{00000000-0005-0000-0000-0000BF9E0000}"/>
    <cellStyle name="Euro 43" xfId="934" xr:uid="{00000000-0005-0000-0000-0000C09E0000}"/>
    <cellStyle name="Euro 43 2" xfId="935" xr:uid="{00000000-0005-0000-0000-0000C19E0000}"/>
    <cellStyle name="Euro 43 2 2" xfId="936" xr:uid="{00000000-0005-0000-0000-0000C29E0000}"/>
    <cellStyle name="Euro 43 3" xfId="937" xr:uid="{00000000-0005-0000-0000-0000C39E0000}"/>
    <cellStyle name="Euro 43 3 2" xfId="938" xr:uid="{00000000-0005-0000-0000-0000C49E0000}"/>
    <cellStyle name="Euro 43 3 3" xfId="19064" xr:uid="{00000000-0005-0000-0000-0000C59E0000}"/>
    <cellStyle name="Euro 43 3 3 2" xfId="20326" xr:uid="{00000000-0005-0000-0000-0000C69E0000}"/>
    <cellStyle name="Euro 43 3 4" xfId="20325" xr:uid="{00000000-0005-0000-0000-0000C79E0000}"/>
    <cellStyle name="Euro 43 3 5" xfId="19063" xr:uid="{00000000-0005-0000-0000-0000C89E0000}"/>
    <cellStyle name="Euro 43 4" xfId="11221" xr:uid="{00000000-0005-0000-0000-0000C99E0000}"/>
    <cellStyle name="Euro 43 4 2" xfId="19066" xr:uid="{00000000-0005-0000-0000-0000CA9E0000}"/>
    <cellStyle name="Euro 43 4 2 2" xfId="20328" xr:uid="{00000000-0005-0000-0000-0000CB9E0000}"/>
    <cellStyle name="Euro 43 4 3" xfId="20327" xr:uid="{00000000-0005-0000-0000-0000CC9E0000}"/>
    <cellStyle name="Euro 43 4 4" xfId="19065" xr:uid="{00000000-0005-0000-0000-0000CD9E0000}"/>
    <cellStyle name="Euro 43 5" xfId="11222" xr:uid="{00000000-0005-0000-0000-0000CE9E0000}"/>
    <cellStyle name="Euro 44" xfId="939" xr:uid="{00000000-0005-0000-0000-0000CF9E0000}"/>
    <cellStyle name="Euro 44 2" xfId="940" xr:uid="{00000000-0005-0000-0000-0000D09E0000}"/>
    <cellStyle name="Euro 44 2 2" xfId="941" xr:uid="{00000000-0005-0000-0000-0000D19E0000}"/>
    <cellStyle name="Euro 44 3" xfId="942" xr:uid="{00000000-0005-0000-0000-0000D29E0000}"/>
    <cellStyle name="Euro 44 3 2" xfId="943" xr:uid="{00000000-0005-0000-0000-0000D39E0000}"/>
    <cellStyle name="Euro 44 3 3" xfId="19068" xr:uid="{00000000-0005-0000-0000-0000D49E0000}"/>
    <cellStyle name="Euro 44 3 3 2" xfId="20330" xr:uid="{00000000-0005-0000-0000-0000D59E0000}"/>
    <cellStyle name="Euro 44 3 4" xfId="20329" xr:uid="{00000000-0005-0000-0000-0000D69E0000}"/>
    <cellStyle name="Euro 44 3 5" xfId="19067" xr:uid="{00000000-0005-0000-0000-0000D79E0000}"/>
    <cellStyle name="Euro 44 4" xfId="11223" xr:uid="{00000000-0005-0000-0000-0000D89E0000}"/>
    <cellStyle name="Euro 44 4 2" xfId="19070" xr:uid="{00000000-0005-0000-0000-0000D99E0000}"/>
    <cellStyle name="Euro 44 4 2 2" xfId="20332" xr:uid="{00000000-0005-0000-0000-0000DA9E0000}"/>
    <cellStyle name="Euro 44 4 3" xfId="20331" xr:uid="{00000000-0005-0000-0000-0000DB9E0000}"/>
    <cellStyle name="Euro 44 4 4" xfId="19069" xr:uid="{00000000-0005-0000-0000-0000DC9E0000}"/>
    <cellStyle name="Euro 44 5" xfId="11224" xr:uid="{00000000-0005-0000-0000-0000DD9E0000}"/>
    <cellStyle name="Euro 45" xfId="944" xr:uid="{00000000-0005-0000-0000-0000DE9E0000}"/>
    <cellStyle name="Euro 45 2" xfId="945" xr:uid="{00000000-0005-0000-0000-0000DF9E0000}"/>
    <cellStyle name="Euro 45 2 2" xfId="20334" xr:uid="{00000000-0005-0000-0000-0000E09E0000}"/>
    <cellStyle name="Euro 45 2 3" xfId="19071" xr:uid="{00000000-0005-0000-0000-0000E19E0000}"/>
    <cellStyle name="Euro 45 3" xfId="20333" xr:uid="{00000000-0005-0000-0000-0000E29E0000}"/>
    <cellStyle name="Euro 46" xfId="946" xr:uid="{00000000-0005-0000-0000-0000E39E0000}"/>
    <cellStyle name="Euro 46 2" xfId="947" xr:uid="{00000000-0005-0000-0000-0000E49E0000}"/>
    <cellStyle name="Euro 47" xfId="948" xr:uid="{00000000-0005-0000-0000-0000E59E0000}"/>
    <cellStyle name="Euro 47 2" xfId="949" xr:uid="{00000000-0005-0000-0000-0000E69E0000}"/>
    <cellStyle name="Euro 47 3" xfId="19073" xr:uid="{00000000-0005-0000-0000-0000E79E0000}"/>
    <cellStyle name="Euro 47 3 2" xfId="20336" xr:uid="{00000000-0005-0000-0000-0000E89E0000}"/>
    <cellStyle name="Euro 47 4" xfId="20335" xr:uid="{00000000-0005-0000-0000-0000E99E0000}"/>
    <cellStyle name="Euro 47 5" xfId="19072" xr:uid="{00000000-0005-0000-0000-0000EA9E0000}"/>
    <cellStyle name="Euro 48" xfId="950" xr:uid="{00000000-0005-0000-0000-0000EB9E0000}"/>
    <cellStyle name="Euro 48 2" xfId="951" xr:uid="{00000000-0005-0000-0000-0000EC9E0000}"/>
    <cellStyle name="Euro 49" xfId="952" xr:uid="{00000000-0005-0000-0000-0000ED9E0000}"/>
    <cellStyle name="Euro 49 2" xfId="11225" xr:uid="{00000000-0005-0000-0000-0000EE9E0000}"/>
    <cellStyle name="Euro 49 2 2" xfId="20338" xr:uid="{00000000-0005-0000-0000-0000EF9E0000}"/>
    <cellStyle name="Euro 49 2 3" xfId="19075" xr:uid="{00000000-0005-0000-0000-0000F09E0000}"/>
    <cellStyle name="Euro 49 3" xfId="12218" xr:uid="{00000000-0005-0000-0000-0000F19E0000}"/>
    <cellStyle name="Euro 49 3 2" xfId="20337" xr:uid="{00000000-0005-0000-0000-0000F29E0000}"/>
    <cellStyle name="Euro 49 4" xfId="19074" xr:uid="{00000000-0005-0000-0000-0000F39E0000}"/>
    <cellStyle name="Euro 5" xfId="953" xr:uid="{00000000-0005-0000-0000-0000F49E0000}"/>
    <cellStyle name="Euro 5 2" xfId="954" xr:uid="{00000000-0005-0000-0000-0000F59E0000}"/>
    <cellStyle name="Euro 5 2 2" xfId="955" xr:uid="{00000000-0005-0000-0000-0000F69E0000}"/>
    <cellStyle name="Euro 5 2 2 2" xfId="956" xr:uid="{00000000-0005-0000-0000-0000F79E0000}"/>
    <cellStyle name="Euro 5 2 3" xfId="957" xr:uid="{00000000-0005-0000-0000-0000F89E0000}"/>
    <cellStyle name="Euro 5 2 4" xfId="958" xr:uid="{00000000-0005-0000-0000-0000F99E0000}"/>
    <cellStyle name="Euro 5 2 5" xfId="959" xr:uid="{00000000-0005-0000-0000-0000FA9E0000}"/>
    <cellStyle name="Euro 5 2 6" xfId="960" xr:uid="{00000000-0005-0000-0000-0000FB9E0000}"/>
    <cellStyle name="Euro 5 3" xfId="961" xr:uid="{00000000-0005-0000-0000-0000FC9E0000}"/>
    <cellStyle name="Euro 5 3 2" xfId="962" xr:uid="{00000000-0005-0000-0000-0000FD9E0000}"/>
    <cellStyle name="Euro 5 3 2 2" xfId="963" xr:uid="{00000000-0005-0000-0000-0000FE9E0000}"/>
    <cellStyle name="Euro 5 3 3" xfId="964" xr:uid="{00000000-0005-0000-0000-0000FF9E0000}"/>
    <cellStyle name="Euro 5 3 3 2" xfId="20340" xr:uid="{00000000-0005-0000-0000-0000009F0000}"/>
    <cellStyle name="Euro 5 3 3 3" xfId="19077" xr:uid="{00000000-0005-0000-0000-0000019F0000}"/>
    <cellStyle name="Euro 5 3 4" xfId="20339" xr:uid="{00000000-0005-0000-0000-0000029F0000}"/>
    <cellStyle name="Euro 5 3 5" xfId="19076" xr:uid="{00000000-0005-0000-0000-0000039F0000}"/>
    <cellStyle name="Euro 5 4" xfId="965" xr:uid="{00000000-0005-0000-0000-0000049F0000}"/>
    <cellStyle name="Euro 5 4 2" xfId="19079" xr:uid="{00000000-0005-0000-0000-0000059F0000}"/>
    <cellStyle name="Euro 5 4 2 2" xfId="20342" xr:uid="{00000000-0005-0000-0000-0000069F0000}"/>
    <cellStyle name="Euro 5 4 3" xfId="20341" xr:uid="{00000000-0005-0000-0000-0000079F0000}"/>
    <cellStyle name="Euro 5 4 4" xfId="19078" xr:uid="{00000000-0005-0000-0000-0000089F0000}"/>
    <cellStyle name="Euro 5 4 5" xfId="11226" xr:uid="{00000000-0005-0000-0000-0000099F0000}"/>
    <cellStyle name="Euro 5 5" xfId="966" xr:uid="{00000000-0005-0000-0000-00000A9F0000}"/>
    <cellStyle name="Euro 5 5 2" xfId="11227" xr:uid="{00000000-0005-0000-0000-00000B9F0000}"/>
    <cellStyle name="Euro 5 6" xfId="967" xr:uid="{00000000-0005-0000-0000-00000C9F0000}"/>
    <cellStyle name="Euro 50" xfId="968" xr:uid="{00000000-0005-0000-0000-00000D9F0000}"/>
    <cellStyle name="Euro 50 2" xfId="11121" xr:uid="{00000000-0005-0000-0000-00000E9F0000}"/>
    <cellStyle name="Euro 50 3" xfId="11228" xr:uid="{00000000-0005-0000-0000-00000F9F0000}"/>
    <cellStyle name="Euro 50 4" xfId="12219" xr:uid="{00000000-0005-0000-0000-0000109F0000}"/>
    <cellStyle name="Euro 51" xfId="19080" xr:uid="{00000000-0005-0000-0000-0000119F0000}"/>
    <cellStyle name="Euro 51 2" xfId="20343" xr:uid="{00000000-0005-0000-0000-0000129F0000}"/>
    <cellStyle name="Euro 6" xfId="969" xr:uid="{00000000-0005-0000-0000-0000139F0000}"/>
    <cellStyle name="Euro 6 2" xfId="970" xr:uid="{00000000-0005-0000-0000-0000149F0000}"/>
    <cellStyle name="Euro 6 2 2" xfId="971" xr:uid="{00000000-0005-0000-0000-0000159F0000}"/>
    <cellStyle name="Euro 6 2 2 2" xfId="972" xr:uid="{00000000-0005-0000-0000-0000169F0000}"/>
    <cellStyle name="Euro 6 2 3" xfId="973" xr:uid="{00000000-0005-0000-0000-0000179F0000}"/>
    <cellStyle name="Euro 6 2 4" xfId="974" xr:uid="{00000000-0005-0000-0000-0000189F0000}"/>
    <cellStyle name="Euro 6 3" xfId="975" xr:uid="{00000000-0005-0000-0000-0000199F0000}"/>
    <cellStyle name="Euro 6 3 2" xfId="976" xr:uid="{00000000-0005-0000-0000-00001A9F0000}"/>
    <cellStyle name="Euro 6 3 3" xfId="977" xr:uid="{00000000-0005-0000-0000-00001B9F0000}"/>
    <cellStyle name="Euro 6 3 3 2" xfId="20345" xr:uid="{00000000-0005-0000-0000-00001C9F0000}"/>
    <cellStyle name="Euro 6 3 3 3" xfId="19082" xr:uid="{00000000-0005-0000-0000-00001D9F0000}"/>
    <cellStyle name="Euro 6 3 4" xfId="20344" xr:uid="{00000000-0005-0000-0000-00001E9F0000}"/>
    <cellStyle name="Euro 6 3 5" xfId="19081" xr:uid="{00000000-0005-0000-0000-00001F9F0000}"/>
    <cellStyle name="Euro 6 4" xfId="978" xr:uid="{00000000-0005-0000-0000-0000209F0000}"/>
    <cellStyle name="Euro 6 4 2" xfId="19084" xr:uid="{00000000-0005-0000-0000-0000219F0000}"/>
    <cellStyle name="Euro 6 4 2 2" xfId="20347" xr:uid="{00000000-0005-0000-0000-0000229F0000}"/>
    <cellStyle name="Euro 6 4 3" xfId="20346" xr:uid="{00000000-0005-0000-0000-0000239F0000}"/>
    <cellStyle name="Euro 6 4 4" xfId="19083" xr:uid="{00000000-0005-0000-0000-0000249F0000}"/>
    <cellStyle name="Euro 6 4 5" xfId="11229" xr:uid="{00000000-0005-0000-0000-0000259F0000}"/>
    <cellStyle name="Euro 6 5" xfId="979" xr:uid="{00000000-0005-0000-0000-0000269F0000}"/>
    <cellStyle name="Euro 6 5 2" xfId="11230" xr:uid="{00000000-0005-0000-0000-0000279F0000}"/>
    <cellStyle name="Euro 6 6" xfId="980" xr:uid="{00000000-0005-0000-0000-0000289F0000}"/>
    <cellStyle name="Euro 7" xfId="981" xr:uid="{00000000-0005-0000-0000-0000299F0000}"/>
    <cellStyle name="Euro 7 2" xfId="982" xr:uid="{00000000-0005-0000-0000-00002A9F0000}"/>
    <cellStyle name="Euro 7 2 2" xfId="983" xr:uid="{00000000-0005-0000-0000-00002B9F0000}"/>
    <cellStyle name="Euro 7 2 2 2" xfId="984" xr:uid="{00000000-0005-0000-0000-00002C9F0000}"/>
    <cellStyle name="Euro 7 2 3" xfId="985" xr:uid="{00000000-0005-0000-0000-00002D9F0000}"/>
    <cellStyle name="Euro 7 2 4" xfId="986" xr:uid="{00000000-0005-0000-0000-00002E9F0000}"/>
    <cellStyle name="Euro 7 3" xfId="987" xr:uid="{00000000-0005-0000-0000-00002F9F0000}"/>
    <cellStyle name="Euro 7 3 2" xfId="988" xr:uid="{00000000-0005-0000-0000-0000309F0000}"/>
    <cellStyle name="Euro 7 3 3" xfId="989" xr:uid="{00000000-0005-0000-0000-0000319F0000}"/>
    <cellStyle name="Euro 7 3 3 2" xfId="20349" xr:uid="{00000000-0005-0000-0000-0000329F0000}"/>
    <cellStyle name="Euro 7 3 3 3" xfId="19086" xr:uid="{00000000-0005-0000-0000-0000339F0000}"/>
    <cellStyle name="Euro 7 3 4" xfId="20348" xr:uid="{00000000-0005-0000-0000-0000349F0000}"/>
    <cellStyle name="Euro 7 3 5" xfId="19085" xr:uid="{00000000-0005-0000-0000-0000359F0000}"/>
    <cellStyle name="Euro 7 4" xfId="990" xr:uid="{00000000-0005-0000-0000-0000369F0000}"/>
    <cellStyle name="Euro 7 4 2" xfId="19088" xr:uid="{00000000-0005-0000-0000-0000379F0000}"/>
    <cellStyle name="Euro 7 4 2 2" xfId="20351" xr:uid="{00000000-0005-0000-0000-0000389F0000}"/>
    <cellStyle name="Euro 7 4 3" xfId="20350" xr:uid="{00000000-0005-0000-0000-0000399F0000}"/>
    <cellStyle name="Euro 7 4 4" xfId="19087" xr:uid="{00000000-0005-0000-0000-00003A9F0000}"/>
    <cellStyle name="Euro 7 4 5" xfId="11231" xr:uid="{00000000-0005-0000-0000-00003B9F0000}"/>
    <cellStyle name="Euro 7 5" xfId="11232" xr:uid="{00000000-0005-0000-0000-00003C9F0000}"/>
    <cellStyle name="Euro 8" xfId="991" xr:uid="{00000000-0005-0000-0000-00003D9F0000}"/>
    <cellStyle name="Euro 8 2" xfId="992" xr:uid="{00000000-0005-0000-0000-00003E9F0000}"/>
    <cellStyle name="Euro 8 2 2" xfId="993" xr:uid="{00000000-0005-0000-0000-00003F9F0000}"/>
    <cellStyle name="Euro 8 2 2 2" xfId="994" xr:uid="{00000000-0005-0000-0000-0000409F0000}"/>
    <cellStyle name="Euro 8 2 3" xfId="995" xr:uid="{00000000-0005-0000-0000-0000419F0000}"/>
    <cellStyle name="Euro 8 2 4" xfId="996" xr:uid="{00000000-0005-0000-0000-0000429F0000}"/>
    <cellStyle name="Euro 8 3" xfId="997" xr:uid="{00000000-0005-0000-0000-0000439F0000}"/>
    <cellStyle name="Euro 8 3 2" xfId="998" xr:uid="{00000000-0005-0000-0000-0000449F0000}"/>
    <cellStyle name="Euro 8 3 3" xfId="999" xr:uid="{00000000-0005-0000-0000-0000459F0000}"/>
    <cellStyle name="Euro 8 3 3 2" xfId="20353" xr:uid="{00000000-0005-0000-0000-0000469F0000}"/>
    <cellStyle name="Euro 8 3 3 3" xfId="19090" xr:uid="{00000000-0005-0000-0000-0000479F0000}"/>
    <cellStyle name="Euro 8 3 4" xfId="20352" xr:uid="{00000000-0005-0000-0000-0000489F0000}"/>
    <cellStyle name="Euro 8 3 5" xfId="19089" xr:uid="{00000000-0005-0000-0000-0000499F0000}"/>
    <cellStyle name="Euro 8 4" xfId="1000" xr:uid="{00000000-0005-0000-0000-00004A9F0000}"/>
    <cellStyle name="Euro 8 4 2" xfId="19092" xr:uid="{00000000-0005-0000-0000-00004B9F0000}"/>
    <cellStyle name="Euro 8 4 2 2" xfId="20355" xr:uid="{00000000-0005-0000-0000-00004C9F0000}"/>
    <cellStyle name="Euro 8 4 3" xfId="20354" xr:uid="{00000000-0005-0000-0000-00004D9F0000}"/>
    <cellStyle name="Euro 8 4 4" xfId="19091" xr:uid="{00000000-0005-0000-0000-00004E9F0000}"/>
    <cellStyle name="Euro 8 4 5" xfId="11233" xr:uid="{00000000-0005-0000-0000-00004F9F0000}"/>
    <cellStyle name="Euro 8 5" xfId="11234" xr:uid="{00000000-0005-0000-0000-0000509F0000}"/>
    <cellStyle name="Euro 9" xfId="1001" xr:uid="{00000000-0005-0000-0000-0000519F0000}"/>
    <cellStyle name="Euro 9 2" xfId="1002" xr:uid="{00000000-0005-0000-0000-0000529F0000}"/>
    <cellStyle name="Euro 9 2 2" xfId="1003" xr:uid="{00000000-0005-0000-0000-0000539F0000}"/>
    <cellStyle name="Euro 9 2 2 2" xfId="1004" xr:uid="{00000000-0005-0000-0000-0000549F0000}"/>
    <cellStyle name="Euro 9 2 3" xfId="1005" xr:uid="{00000000-0005-0000-0000-0000559F0000}"/>
    <cellStyle name="Euro 9 2 4" xfId="1006" xr:uid="{00000000-0005-0000-0000-0000569F0000}"/>
    <cellStyle name="Euro 9 3" xfId="1007" xr:uid="{00000000-0005-0000-0000-0000579F0000}"/>
    <cellStyle name="Euro 9 3 2" xfId="1008" xr:uid="{00000000-0005-0000-0000-0000589F0000}"/>
    <cellStyle name="Euro 9 3 3" xfId="1009" xr:uid="{00000000-0005-0000-0000-0000599F0000}"/>
    <cellStyle name="Euro 9 3 3 2" xfId="20357" xr:uid="{00000000-0005-0000-0000-00005A9F0000}"/>
    <cellStyle name="Euro 9 3 3 3" xfId="19094" xr:uid="{00000000-0005-0000-0000-00005B9F0000}"/>
    <cellStyle name="Euro 9 3 4" xfId="20356" xr:uid="{00000000-0005-0000-0000-00005C9F0000}"/>
    <cellStyle name="Euro 9 3 5" xfId="19093" xr:uid="{00000000-0005-0000-0000-00005D9F0000}"/>
    <cellStyle name="Euro 9 4" xfId="1010" xr:uid="{00000000-0005-0000-0000-00005E9F0000}"/>
    <cellStyle name="Euro 9 4 2" xfId="19096" xr:uid="{00000000-0005-0000-0000-00005F9F0000}"/>
    <cellStyle name="Euro 9 4 2 2" xfId="20359" xr:uid="{00000000-0005-0000-0000-0000609F0000}"/>
    <cellStyle name="Euro 9 4 3" xfId="20358" xr:uid="{00000000-0005-0000-0000-0000619F0000}"/>
    <cellStyle name="Euro 9 4 4" xfId="19095" xr:uid="{00000000-0005-0000-0000-0000629F0000}"/>
    <cellStyle name="Euro 9 4 5" xfId="11235" xr:uid="{00000000-0005-0000-0000-0000639F0000}"/>
    <cellStyle name="Euro 9 5" xfId="11236" xr:uid="{00000000-0005-0000-0000-0000649F0000}"/>
    <cellStyle name="Excel Built-in Normal" xfId="1011" xr:uid="{00000000-0005-0000-0000-0000659F0000}"/>
    <cellStyle name="Explanatory Text" xfId="1012" builtinId="53" customBuiltin="1"/>
    <cellStyle name="Explanatory Text 2" xfId="1013" xr:uid="{00000000-0005-0000-0000-0000679F0000}"/>
    <cellStyle name="Explanatory Text 3" xfId="1014" xr:uid="{00000000-0005-0000-0000-0000689F0000}"/>
    <cellStyle name="Explanatory Text 4" xfId="1015" xr:uid="{00000000-0005-0000-0000-0000699F0000}"/>
    <cellStyle name="Explanatory Text 5" xfId="1016" xr:uid="{00000000-0005-0000-0000-00006A9F0000}"/>
    <cellStyle name="Fixed" xfId="7311" xr:uid="{00000000-0005-0000-0000-00006B9F0000}"/>
    <cellStyle name="Fixed 2" xfId="9688" xr:uid="{00000000-0005-0000-0000-00006C9F0000}"/>
    <cellStyle name="Fixed2 - Type2" xfId="1017" xr:uid="{00000000-0005-0000-0000-00006D9F0000}"/>
    <cellStyle name="Float" xfId="1018" xr:uid="{00000000-0005-0000-0000-00006E9F0000}"/>
    <cellStyle name="Float 2" xfId="1019" xr:uid="{00000000-0005-0000-0000-00006F9F0000}"/>
    <cellStyle name="Float 2 2" xfId="1020" xr:uid="{00000000-0005-0000-0000-0000709F0000}"/>
    <cellStyle name="Float 2 2 2" xfId="1021" xr:uid="{00000000-0005-0000-0000-0000719F0000}"/>
    <cellStyle name="Float 2 2 3" xfId="1022" xr:uid="{00000000-0005-0000-0000-0000729F0000}"/>
    <cellStyle name="Float 2 3" xfId="1023" xr:uid="{00000000-0005-0000-0000-0000739F0000}"/>
    <cellStyle name="Float 3" xfId="1024" xr:uid="{00000000-0005-0000-0000-0000749F0000}"/>
    <cellStyle name="Float 3 2" xfId="1025" xr:uid="{00000000-0005-0000-0000-0000759F0000}"/>
    <cellStyle name="Float 3 3" xfId="1026" xr:uid="{00000000-0005-0000-0000-0000769F0000}"/>
    <cellStyle name="Float 4" xfId="1027" xr:uid="{00000000-0005-0000-0000-0000779F0000}"/>
    <cellStyle name="Followed Hyperlink" xfId="1028" builtinId="9" customBuiltin="1"/>
    <cellStyle name="Followed Hyperlink 2" xfId="1029" xr:uid="{00000000-0005-0000-0000-0000799F0000}"/>
    <cellStyle name="Followed Hyperlink 3" xfId="1030" xr:uid="{00000000-0005-0000-0000-00007A9F0000}"/>
    <cellStyle name="Format 1" xfId="1031" xr:uid="{00000000-0005-0000-0000-00007B9F0000}"/>
    <cellStyle name="Free Entry" xfId="1032" xr:uid="{00000000-0005-0000-0000-00007C9F0000}"/>
    <cellStyle name="God 2" xfId="1033" xr:uid="{00000000-0005-0000-0000-00007D9F0000}"/>
    <cellStyle name="God 2 2" xfId="7313" xr:uid="{00000000-0005-0000-0000-00007E9F0000}"/>
    <cellStyle name="God 3" xfId="7314" xr:uid="{00000000-0005-0000-0000-00007F9F0000}"/>
    <cellStyle name="God 4" xfId="7315" xr:uid="{00000000-0005-0000-0000-0000809F0000}"/>
    <cellStyle name="God 5" xfId="7316" xr:uid="{00000000-0005-0000-0000-0000819F0000}"/>
    <cellStyle name="God 5 2" xfId="10958" xr:uid="{00000000-0005-0000-0000-0000829F0000}"/>
    <cellStyle name="God 6" xfId="7587" xr:uid="{00000000-0005-0000-0000-0000839F0000}"/>
    <cellStyle name="God 7" xfId="7312" xr:uid="{00000000-0005-0000-0000-0000849F0000}"/>
    <cellStyle name="Good" xfId="1034" builtinId="26" customBuiltin="1"/>
    <cellStyle name="Good 2" xfId="1035" xr:uid="{00000000-0005-0000-0000-0000869F0000}"/>
    <cellStyle name="Good 3" xfId="1036" xr:uid="{00000000-0005-0000-0000-0000879F0000}"/>
    <cellStyle name="Good 4" xfId="1037" xr:uid="{00000000-0005-0000-0000-0000889F0000}"/>
    <cellStyle name="Good 5" xfId="1038" xr:uid="{00000000-0005-0000-0000-0000899F0000}"/>
    <cellStyle name="Good 6" xfId="1039" xr:uid="{00000000-0005-0000-0000-00008A9F0000}"/>
    <cellStyle name="Hard Coded 0dp" xfId="1040" xr:uid="{00000000-0005-0000-0000-00008B9F0000}"/>
    <cellStyle name="Hard Coded 2dp" xfId="1041" xr:uid="{00000000-0005-0000-0000-00008C9F0000}"/>
    <cellStyle name="Heading" xfId="1042" xr:uid="{00000000-0005-0000-0000-00008D9F0000}"/>
    <cellStyle name="Heading - 1" xfId="1043" xr:uid="{00000000-0005-0000-0000-00008E9F0000}"/>
    <cellStyle name="Heading - 2" xfId="1044" xr:uid="{00000000-0005-0000-0000-00008F9F0000}"/>
    <cellStyle name="Heading 1" xfId="1045" builtinId="16" customBuiltin="1"/>
    <cellStyle name="Heading 1 2" xfId="1046" xr:uid="{00000000-0005-0000-0000-0000919F0000}"/>
    <cellStyle name="Heading 1 2 2" xfId="10406" xr:uid="{00000000-0005-0000-0000-0000929F0000}"/>
    <cellStyle name="Heading 1 2 3" xfId="7318" xr:uid="{00000000-0005-0000-0000-0000939F0000}"/>
    <cellStyle name="Heading 1 3" xfId="1047" xr:uid="{00000000-0005-0000-0000-0000949F0000}"/>
    <cellStyle name="Heading 1 3 2" xfId="9689" xr:uid="{00000000-0005-0000-0000-0000959F0000}"/>
    <cellStyle name="Heading 1 4" xfId="1048" xr:uid="{00000000-0005-0000-0000-0000969F0000}"/>
    <cellStyle name="Heading 1 4 2" xfId="7317" xr:uid="{00000000-0005-0000-0000-0000979F0000}"/>
    <cellStyle name="Heading 1 5" xfId="1049" xr:uid="{00000000-0005-0000-0000-0000989F0000}"/>
    <cellStyle name="Heading 2" xfId="1050" builtinId="17" customBuiltin="1"/>
    <cellStyle name="Heading 2 2" xfId="1051" xr:uid="{00000000-0005-0000-0000-00009A9F0000}"/>
    <cellStyle name="Heading 2 2 2" xfId="10407" xr:uid="{00000000-0005-0000-0000-00009B9F0000}"/>
    <cellStyle name="Heading 2 2 3" xfId="7320" xr:uid="{00000000-0005-0000-0000-00009C9F0000}"/>
    <cellStyle name="Heading 2 3" xfId="1052" xr:uid="{00000000-0005-0000-0000-00009D9F0000}"/>
    <cellStyle name="Heading 2 3 2" xfId="9690" xr:uid="{00000000-0005-0000-0000-00009E9F0000}"/>
    <cellStyle name="Heading 2 4" xfId="1053" xr:uid="{00000000-0005-0000-0000-00009F9F0000}"/>
    <cellStyle name="Heading 2 4 2" xfId="7319" xr:uid="{00000000-0005-0000-0000-0000A09F0000}"/>
    <cellStyle name="Heading 2 5" xfId="1054" xr:uid="{00000000-0005-0000-0000-0000A19F0000}"/>
    <cellStyle name="Heading 3" xfId="1055" builtinId="18" customBuiltin="1"/>
    <cellStyle name="Heading 3 2" xfId="1056" xr:uid="{00000000-0005-0000-0000-0000A39F0000}"/>
    <cellStyle name="Heading 3 3" xfId="1057" xr:uid="{00000000-0005-0000-0000-0000A49F0000}"/>
    <cellStyle name="Heading 3 4" xfId="1058" xr:uid="{00000000-0005-0000-0000-0000A59F0000}"/>
    <cellStyle name="Heading 3 5" xfId="1059" xr:uid="{00000000-0005-0000-0000-0000A69F0000}"/>
    <cellStyle name="Heading 4" xfId="1060" builtinId="19" customBuiltin="1"/>
    <cellStyle name="Heading 4 2" xfId="1061" xr:uid="{00000000-0005-0000-0000-0000A89F0000}"/>
    <cellStyle name="Heading 4 3" xfId="1062" xr:uid="{00000000-0005-0000-0000-0000A99F0000}"/>
    <cellStyle name="Heading 4 4" xfId="1063" xr:uid="{00000000-0005-0000-0000-0000AA9F0000}"/>
    <cellStyle name="Heading 4 5" xfId="1064" xr:uid="{00000000-0005-0000-0000-0000AB9F0000}"/>
    <cellStyle name="Heading 5" xfId="1065" xr:uid="{00000000-0005-0000-0000-0000AC9F0000}"/>
    <cellStyle name="Heading 5 2" xfId="1066" xr:uid="{00000000-0005-0000-0000-0000AD9F0000}"/>
    <cellStyle name="Heading 5 3" xfId="1067" xr:uid="{00000000-0005-0000-0000-0000AE9F0000}"/>
    <cellStyle name="Heading 6" xfId="1068" xr:uid="{00000000-0005-0000-0000-0000AF9F0000}"/>
    <cellStyle name="Heading 7" xfId="1069" xr:uid="{00000000-0005-0000-0000-0000B09F0000}"/>
    <cellStyle name="Heading 8" xfId="1070" xr:uid="{00000000-0005-0000-0000-0000B19F0000}"/>
    <cellStyle name="Headline" xfId="1071" xr:uid="{00000000-0005-0000-0000-0000B29F0000}"/>
    <cellStyle name="Hyperlink" xfId="1072" builtinId="8" customBuiltin="1"/>
    <cellStyle name="Hyperlink 2" xfId="1073" xr:uid="{00000000-0005-0000-0000-0000B49F0000}"/>
    <cellStyle name="Hyperlink 2 2" xfId="1074" xr:uid="{00000000-0005-0000-0000-0000B59F0000}"/>
    <cellStyle name="Hyperlink 2 2 2" xfId="1075" xr:uid="{00000000-0005-0000-0000-0000B69F0000}"/>
    <cellStyle name="Hyperlink 2 3" xfId="1076" xr:uid="{00000000-0005-0000-0000-0000B79F0000}"/>
    <cellStyle name="Hyperlink 2 3 2" xfId="1077" xr:uid="{00000000-0005-0000-0000-0000B89F0000}"/>
    <cellStyle name="Hyperlink 2 4" xfId="1078" xr:uid="{00000000-0005-0000-0000-0000B99F0000}"/>
    <cellStyle name="Hyperlink 2 5" xfId="19097" xr:uid="{00000000-0005-0000-0000-0000BA9F0000}"/>
    <cellStyle name="Hyperlink 3" xfId="1079" xr:uid="{00000000-0005-0000-0000-0000BB9F0000}"/>
    <cellStyle name="Hyperlink 3 2" xfId="1080" xr:uid="{00000000-0005-0000-0000-0000BC9F0000}"/>
    <cellStyle name="Hyperlink 3 2 2" xfId="1081" xr:uid="{00000000-0005-0000-0000-0000BD9F0000}"/>
    <cellStyle name="Hyperlink 3 3" xfId="1082" xr:uid="{00000000-0005-0000-0000-0000BE9F0000}"/>
    <cellStyle name="Hyperlink 3 4" xfId="1083" xr:uid="{00000000-0005-0000-0000-0000BF9F0000}"/>
    <cellStyle name="Hyperlink 4" xfId="1084" xr:uid="{00000000-0005-0000-0000-0000C09F0000}"/>
    <cellStyle name="Hyperlink 5" xfId="1085" xr:uid="{00000000-0005-0000-0000-0000C19F0000}"/>
    <cellStyle name="Hyperlink 6" xfId="1086" xr:uid="{00000000-0005-0000-0000-0000C29F0000}"/>
    <cellStyle name="Input" xfId="1087" builtinId="20" customBuiltin="1"/>
    <cellStyle name="Input 2" xfId="1088" xr:uid="{00000000-0005-0000-0000-0000C49F0000}"/>
    <cellStyle name="Input 2 2" xfId="7322" xr:uid="{00000000-0005-0000-0000-0000C59F0000}"/>
    <cellStyle name="Input 2 3" xfId="11903" xr:uid="{00000000-0005-0000-0000-0000C69F0000}"/>
    <cellStyle name="Input 3" xfId="1089" xr:uid="{00000000-0005-0000-0000-0000C79F0000}"/>
    <cellStyle name="Input 3 2" xfId="1090" xr:uid="{00000000-0005-0000-0000-0000C89F0000}"/>
    <cellStyle name="Input 3 2 2" xfId="7323" xr:uid="{00000000-0005-0000-0000-0000C99F0000}"/>
    <cellStyle name="Input 4" xfId="1091" xr:uid="{00000000-0005-0000-0000-0000CA9F0000}"/>
    <cellStyle name="Input 4 2" xfId="7324" xr:uid="{00000000-0005-0000-0000-0000CB9F0000}"/>
    <cellStyle name="Input 5" xfId="1092" xr:uid="{00000000-0005-0000-0000-0000CC9F0000}"/>
    <cellStyle name="Input 5 2" xfId="10908" xr:uid="{00000000-0005-0000-0000-0000CD9F0000}"/>
    <cellStyle name="Input 5 3" xfId="7325" xr:uid="{00000000-0005-0000-0000-0000CE9F0000}"/>
    <cellStyle name="Input 6" xfId="7590" xr:uid="{00000000-0005-0000-0000-0000CF9F0000}"/>
    <cellStyle name="Input 7" xfId="7321" xr:uid="{00000000-0005-0000-0000-0000D09F0000}"/>
    <cellStyle name="Input 8" xfId="11902" xr:uid="{00000000-0005-0000-0000-0000D19F0000}"/>
    <cellStyle name="Input 9" xfId="21188" xr:uid="{00000000-0005-0000-0000-0000D29F0000}"/>
    <cellStyle name="InputCell" xfId="1093" xr:uid="{00000000-0005-0000-0000-0000D39F0000}"/>
    <cellStyle name="InputCells" xfId="1094" xr:uid="{00000000-0005-0000-0000-0000D49F0000}"/>
    <cellStyle name="InputCells12_BBorder_CRFReport-template" xfId="1095" xr:uid="{00000000-0005-0000-0000-0000D59F0000}"/>
    <cellStyle name="Komma 10" xfId="11046" xr:uid="{00000000-0005-0000-0000-0000D69F0000}"/>
    <cellStyle name="Komma 10 2" xfId="18851" xr:uid="{00000000-0005-0000-0000-0000D79F0000}"/>
    <cellStyle name="Komma 10 2 2" xfId="35127" xr:uid="{00000000-0005-0000-0000-0000D89F0000}"/>
    <cellStyle name="Komma 10 2 3" xfId="50086" xr:uid="{00000000-0005-0000-0000-0000D99F0000}"/>
    <cellStyle name="Komma 10 3" xfId="28125" xr:uid="{00000000-0005-0000-0000-0000DA9F0000}"/>
    <cellStyle name="Komma 10 4" xfId="43089" xr:uid="{00000000-0005-0000-0000-0000DB9F0000}"/>
    <cellStyle name="Komma 2" xfId="1096" xr:uid="{00000000-0005-0000-0000-0000DC9F0000}"/>
    <cellStyle name="Komma 2 2" xfId="1097" xr:uid="{00000000-0005-0000-0000-0000DD9F0000}"/>
    <cellStyle name="Komma 2 2 2" xfId="11057" xr:uid="{00000000-0005-0000-0000-0000DE9F0000}"/>
    <cellStyle name="Komma 2 2 2 2" xfId="18853" xr:uid="{00000000-0005-0000-0000-0000DF9F0000}"/>
    <cellStyle name="Komma 2 2 2 2 2" xfId="35128" xr:uid="{00000000-0005-0000-0000-0000E09F0000}"/>
    <cellStyle name="Komma 2 2 2 2 3" xfId="50087" xr:uid="{00000000-0005-0000-0000-0000E19F0000}"/>
    <cellStyle name="Komma 2 2 2 3" xfId="21123" xr:uid="{00000000-0005-0000-0000-0000E29F0000}"/>
    <cellStyle name="Komma 2 2 2 4" xfId="28126" xr:uid="{00000000-0005-0000-0000-0000E39F0000}"/>
    <cellStyle name="Komma 2 2 2 5" xfId="43090" xr:uid="{00000000-0005-0000-0000-0000E49F0000}"/>
    <cellStyle name="Komma 2 2 3" xfId="7328" xr:uid="{00000000-0005-0000-0000-0000E59F0000}"/>
    <cellStyle name="Komma 2 2 3 2" xfId="15419" xr:uid="{00000000-0005-0000-0000-0000E69F0000}"/>
    <cellStyle name="Komma 2 2 3 2 2" xfId="31698" xr:uid="{00000000-0005-0000-0000-0000E79F0000}"/>
    <cellStyle name="Komma 2 2 3 2 3" xfId="46658" xr:uid="{00000000-0005-0000-0000-0000E89F0000}"/>
    <cellStyle name="Komma 2 2 3 3" xfId="24696" xr:uid="{00000000-0005-0000-0000-0000E99F0000}"/>
    <cellStyle name="Komma 2 2 3 4" xfId="39661" xr:uid="{00000000-0005-0000-0000-0000EA9F0000}"/>
    <cellStyle name="Komma 2 2 4" xfId="19098" xr:uid="{00000000-0005-0000-0000-0000EB9F0000}"/>
    <cellStyle name="Komma 2 3" xfId="7329" xr:uid="{00000000-0005-0000-0000-0000EC9F0000}"/>
    <cellStyle name="Komma 2 3 2" xfId="11058" xr:uid="{00000000-0005-0000-0000-0000ED9F0000}"/>
    <cellStyle name="Komma 2 3 2 2" xfId="18854" xr:uid="{00000000-0005-0000-0000-0000EE9F0000}"/>
    <cellStyle name="Komma 2 3 2 2 2" xfId="35129" xr:uid="{00000000-0005-0000-0000-0000EF9F0000}"/>
    <cellStyle name="Komma 2 3 2 2 3" xfId="50088" xr:uid="{00000000-0005-0000-0000-0000F09F0000}"/>
    <cellStyle name="Komma 2 3 2 3" xfId="28127" xr:uid="{00000000-0005-0000-0000-0000F19F0000}"/>
    <cellStyle name="Komma 2 3 2 4" xfId="43091" xr:uid="{00000000-0005-0000-0000-0000F29F0000}"/>
    <cellStyle name="Komma 2 3 3" xfId="15420" xr:uid="{00000000-0005-0000-0000-0000F39F0000}"/>
    <cellStyle name="Komma 2 3 3 2" xfId="31699" xr:uid="{00000000-0005-0000-0000-0000F49F0000}"/>
    <cellStyle name="Komma 2 3 3 3" xfId="46659" xr:uid="{00000000-0005-0000-0000-0000F59F0000}"/>
    <cellStyle name="Komma 2 3 4" xfId="21154" xr:uid="{00000000-0005-0000-0000-0000F69F0000}"/>
    <cellStyle name="Komma 2 3 4 2" xfId="36123" xr:uid="{00000000-0005-0000-0000-0000F79F0000}"/>
    <cellStyle name="Komma 2 3 4 3" xfId="51079" xr:uid="{00000000-0005-0000-0000-0000F89F0000}"/>
    <cellStyle name="Komma 2 3 5" xfId="24697" xr:uid="{00000000-0005-0000-0000-0000F99F0000}"/>
    <cellStyle name="Komma 2 3 6" xfId="39662" xr:uid="{00000000-0005-0000-0000-0000FA9F0000}"/>
    <cellStyle name="Komma 2 4" xfId="7330" xr:uid="{00000000-0005-0000-0000-0000FB9F0000}"/>
    <cellStyle name="Komma 2 4 2" xfId="21122" xr:uid="{00000000-0005-0000-0000-0000FC9F0000}"/>
    <cellStyle name="Komma 2 5" xfId="7331" xr:uid="{00000000-0005-0000-0000-0000FD9F0000}"/>
    <cellStyle name="Komma 2 5 2" xfId="7332" xr:uid="{00000000-0005-0000-0000-0000FE9F0000}"/>
    <cellStyle name="Komma 2 5 2 2" xfId="7333" xr:uid="{00000000-0005-0000-0000-0000FF9F0000}"/>
    <cellStyle name="Komma 2 5 2 2 2" xfId="10403" xr:uid="{00000000-0005-0000-0000-000000A00000}"/>
    <cellStyle name="Komma 2 5 2 2 2 2" xfId="18258" xr:uid="{00000000-0005-0000-0000-000001A00000}"/>
    <cellStyle name="Komma 2 5 2 2 2 2 2" xfId="34534" xr:uid="{00000000-0005-0000-0000-000002A00000}"/>
    <cellStyle name="Komma 2 5 2 2 2 2 3" xfId="49493" xr:uid="{00000000-0005-0000-0000-000003A00000}"/>
    <cellStyle name="Komma 2 5 2 2 2 3" xfId="27532" xr:uid="{00000000-0005-0000-0000-000004A00000}"/>
    <cellStyle name="Komma 2 5 2 2 2 4" xfId="42496" xr:uid="{00000000-0005-0000-0000-000005A00000}"/>
    <cellStyle name="Komma 2 5 3" xfId="7334" xr:uid="{00000000-0005-0000-0000-000006A00000}"/>
    <cellStyle name="Komma 2 5 3 2" xfId="7335" xr:uid="{00000000-0005-0000-0000-000007A00000}"/>
    <cellStyle name="Komma 2 5 3 2 2" xfId="11013" xr:uid="{00000000-0005-0000-0000-000008A00000}"/>
    <cellStyle name="Komma 2 5 3 2 2 2" xfId="18844" xr:uid="{00000000-0005-0000-0000-000009A00000}"/>
    <cellStyle name="Komma 2 5 3 2 2 2 2" xfId="35120" xr:uid="{00000000-0005-0000-0000-00000AA00000}"/>
    <cellStyle name="Komma 2 5 3 2 2 2 3" xfId="50079" xr:uid="{00000000-0005-0000-0000-00000BA00000}"/>
    <cellStyle name="Komma 2 5 3 2 2 3" xfId="28118" xr:uid="{00000000-0005-0000-0000-00000CA00000}"/>
    <cellStyle name="Komma 2 5 3 2 2 4" xfId="43082" xr:uid="{00000000-0005-0000-0000-00000DA00000}"/>
    <cellStyle name="Komma 2 5 3 3" xfId="8896" xr:uid="{00000000-0005-0000-0000-00000EA00000}"/>
    <cellStyle name="Komma 2 5 3 3 2" xfId="16763" xr:uid="{00000000-0005-0000-0000-00000FA00000}"/>
    <cellStyle name="Komma 2 5 3 3 2 2" xfId="33039" xr:uid="{00000000-0005-0000-0000-000010A00000}"/>
    <cellStyle name="Komma 2 5 3 3 2 3" xfId="47998" xr:uid="{00000000-0005-0000-0000-000011A00000}"/>
    <cellStyle name="Komma 2 5 3 3 3" xfId="26037" xr:uid="{00000000-0005-0000-0000-000012A00000}"/>
    <cellStyle name="Komma 2 5 3 3 4" xfId="41001" xr:uid="{00000000-0005-0000-0000-000013A00000}"/>
    <cellStyle name="Komma 2 5 4" xfId="7336" xr:uid="{00000000-0005-0000-0000-000014A00000}"/>
    <cellStyle name="Komma 2 5 4 2" xfId="9681" xr:uid="{00000000-0005-0000-0000-000015A00000}"/>
    <cellStyle name="Komma 2 5 4 2 2" xfId="17544" xr:uid="{00000000-0005-0000-0000-000016A00000}"/>
    <cellStyle name="Komma 2 5 4 2 2 2" xfId="33820" xr:uid="{00000000-0005-0000-0000-000017A00000}"/>
    <cellStyle name="Komma 2 5 4 2 2 3" xfId="48779" xr:uid="{00000000-0005-0000-0000-000018A00000}"/>
    <cellStyle name="Komma 2 5 4 2 3" xfId="26818" xr:uid="{00000000-0005-0000-0000-000019A00000}"/>
    <cellStyle name="Komma 2 5 4 2 4" xfId="41782" xr:uid="{00000000-0005-0000-0000-00001AA00000}"/>
    <cellStyle name="Komma 2 6" xfId="7337" xr:uid="{00000000-0005-0000-0000-00001BA00000}"/>
    <cellStyle name="Komma 2 7" xfId="11056" xr:uid="{00000000-0005-0000-0000-00001CA00000}"/>
    <cellStyle name="Komma 2 8" xfId="7327" xr:uid="{00000000-0005-0000-0000-00001DA00000}"/>
    <cellStyle name="Komma 3" xfId="1098" xr:uid="{00000000-0005-0000-0000-00001EA00000}"/>
    <cellStyle name="Komma 3 2" xfId="1099" xr:uid="{00000000-0005-0000-0000-00001FA00000}"/>
    <cellStyle name="Komma 3 2 2" xfId="7339" xr:uid="{00000000-0005-0000-0000-000020A00000}"/>
    <cellStyle name="Komma 3 2 3" xfId="19100" xr:uid="{00000000-0005-0000-0000-000021A00000}"/>
    <cellStyle name="Komma 3 2 3 2" xfId="35183" xr:uid="{00000000-0005-0000-0000-000022A00000}"/>
    <cellStyle name="Komma 3 2 3 3" xfId="50139" xr:uid="{00000000-0005-0000-0000-000023A00000}"/>
    <cellStyle name="Komma 3 3" xfId="7340" xr:uid="{00000000-0005-0000-0000-000024A00000}"/>
    <cellStyle name="Komma 3 4" xfId="11059" xr:uid="{00000000-0005-0000-0000-000025A00000}"/>
    <cellStyle name="Komma 3 4 2" xfId="18855" xr:uid="{00000000-0005-0000-0000-000026A00000}"/>
    <cellStyle name="Komma 3 4 2 2" xfId="35130" xr:uid="{00000000-0005-0000-0000-000027A00000}"/>
    <cellStyle name="Komma 3 4 2 3" xfId="50089" xr:uid="{00000000-0005-0000-0000-000028A00000}"/>
    <cellStyle name="Komma 3 4 3" xfId="28128" xr:uid="{00000000-0005-0000-0000-000029A00000}"/>
    <cellStyle name="Komma 3 4 4" xfId="43092" xr:uid="{00000000-0005-0000-0000-00002AA00000}"/>
    <cellStyle name="Komma 3 5" xfId="7338" xr:uid="{00000000-0005-0000-0000-00002BA00000}"/>
    <cellStyle name="Komma 3 5 2" xfId="15421" xr:uid="{00000000-0005-0000-0000-00002CA00000}"/>
    <cellStyle name="Komma 3 5 2 2" xfId="31700" xr:uid="{00000000-0005-0000-0000-00002DA00000}"/>
    <cellStyle name="Komma 3 5 2 3" xfId="46660" xr:uid="{00000000-0005-0000-0000-00002EA00000}"/>
    <cellStyle name="Komma 3 5 3" xfId="24698" xr:uid="{00000000-0005-0000-0000-00002FA00000}"/>
    <cellStyle name="Komma 3 5 4" xfId="39663" xr:uid="{00000000-0005-0000-0000-000030A00000}"/>
    <cellStyle name="Komma 3 6" xfId="11122" xr:uid="{00000000-0005-0000-0000-000031A00000}"/>
    <cellStyle name="Komma 3 7" xfId="19099" xr:uid="{00000000-0005-0000-0000-000032A00000}"/>
    <cellStyle name="Komma 3 7 2" xfId="35182" xr:uid="{00000000-0005-0000-0000-000033A00000}"/>
    <cellStyle name="Komma 3 7 3" xfId="50138" xr:uid="{00000000-0005-0000-0000-000034A00000}"/>
    <cellStyle name="Komma 4" xfId="1100" xr:uid="{00000000-0005-0000-0000-000035A00000}"/>
    <cellStyle name="Komma 4 10" xfId="51413" xr:uid="{00000000-0005-0000-0000-000036A00000}"/>
    <cellStyle name="Komma 4 11" xfId="51818" xr:uid="{00000000-0005-0000-0000-000037A00000}"/>
    <cellStyle name="Komma 4 12" xfId="52227" xr:uid="{00000000-0005-0000-0000-000038A00000}"/>
    <cellStyle name="Komma 4 13" xfId="52632" xr:uid="{00000000-0005-0000-0000-000039A00000}"/>
    <cellStyle name="Komma 4 2" xfId="7342" xr:uid="{00000000-0005-0000-0000-00003AA00000}"/>
    <cellStyle name="Komma 4 2 2" xfId="11061" xr:uid="{00000000-0005-0000-0000-00003BA00000}"/>
    <cellStyle name="Komma 4 2 2 2" xfId="21142" xr:uid="{00000000-0005-0000-0000-00003CA00000}"/>
    <cellStyle name="Komma 4 2 2 2 2" xfId="36112" xr:uid="{00000000-0005-0000-0000-00003DA00000}"/>
    <cellStyle name="Komma 4 2 2 2 3" xfId="51068" xr:uid="{00000000-0005-0000-0000-00003EA00000}"/>
    <cellStyle name="Komma 4 2 3" xfId="20360" xr:uid="{00000000-0005-0000-0000-00003FA00000}"/>
    <cellStyle name="Komma 4 2 3 2" xfId="35793" xr:uid="{00000000-0005-0000-0000-000040A00000}"/>
    <cellStyle name="Komma 4 2 3 3" xfId="50749" xr:uid="{00000000-0005-0000-0000-000041A00000}"/>
    <cellStyle name="Komma 4 3" xfId="11060" xr:uid="{00000000-0005-0000-0000-000042A00000}"/>
    <cellStyle name="Komma 4 3 2" xfId="21124" xr:uid="{00000000-0005-0000-0000-000043A00000}"/>
    <cellStyle name="Komma 4 3 2 2" xfId="36102" xr:uid="{00000000-0005-0000-0000-000044A00000}"/>
    <cellStyle name="Komma 4 3 2 3" xfId="51058" xr:uid="{00000000-0005-0000-0000-000045A00000}"/>
    <cellStyle name="Komma 4 4" xfId="7341" xr:uid="{00000000-0005-0000-0000-000046A00000}"/>
    <cellStyle name="Komma 4 5" xfId="11131" xr:uid="{00000000-0005-0000-0000-000047A00000}"/>
    <cellStyle name="Komma 4 5 2" xfId="18882" xr:uid="{00000000-0005-0000-0000-000048A00000}"/>
    <cellStyle name="Komma 4 5 2 2" xfId="35161" xr:uid="{00000000-0005-0000-0000-000049A00000}"/>
    <cellStyle name="Komma 4 5 2 3" xfId="50120" xr:uid="{00000000-0005-0000-0000-00004AA00000}"/>
    <cellStyle name="Komma 4 5 3" xfId="28151" xr:uid="{00000000-0005-0000-0000-00004BA00000}"/>
    <cellStyle name="Komma 4 5 4" xfId="43121" xr:uid="{00000000-0005-0000-0000-00004CA00000}"/>
    <cellStyle name="Komma 4 6" xfId="12230" xr:uid="{00000000-0005-0000-0000-00004DA00000}"/>
    <cellStyle name="Komma 4 6 2" xfId="28508" xr:uid="{00000000-0005-0000-0000-00004EA00000}"/>
    <cellStyle name="Komma 4 6 3" xfId="43471" xr:uid="{00000000-0005-0000-0000-00004FA00000}"/>
    <cellStyle name="Komma 4 7" xfId="19101" xr:uid="{00000000-0005-0000-0000-000050A00000}"/>
    <cellStyle name="Komma 4 7 2" xfId="35184" xr:uid="{00000000-0005-0000-0000-000051A00000}"/>
    <cellStyle name="Komma 4 7 3" xfId="50140" xr:uid="{00000000-0005-0000-0000-000052A00000}"/>
    <cellStyle name="Komma 4 8" xfId="21508" xr:uid="{00000000-0005-0000-0000-000053A00000}"/>
    <cellStyle name="Komma 4 9" xfId="36475" xr:uid="{00000000-0005-0000-0000-000054A00000}"/>
    <cellStyle name="Komma 5" xfId="1101" xr:uid="{00000000-0005-0000-0000-000055A00000}"/>
    <cellStyle name="Komma 5 2" xfId="11062" xr:uid="{00000000-0005-0000-0000-000056A00000}"/>
    <cellStyle name="Komma 5 2 2" xfId="21143" xr:uid="{00000000-0005-0000-0000-000057A00000}"/>
    <cellStyle name="Komma 5 3" xfId="7343" xr:uid="{00000000-0005-0000-0000-000058A00000}"/>
    <cellStyle name="Komma 6" xfId="7344" xr:uid="{00000000-0005-0000-0000-000059A00000}"/>
    <cellStyle name="Komma 7" xfId="7345" xr:uid="{00000000-0005-0000-0000-00005AA00000}"/>
    <cellStyle name="Komma 7 2" xfId="11063" xr:uid="{00000000-0005-0000-0000-00005BA00000}"/>
    <cellStyle name="Komma 8" xfId="7326" xr:uid="{00000000-0005-0000-0000-00005CA00000}"/>
    <cellStyle name="Komma 8 2" xfId="11055" xr:uid="{00000000-0005-0000-0000-00005DA00000}"/>
    <cellStyle name="Komma 9" xfId="3817" xr:uid="{00000000-0005-0000-0000-00005EA00000}"/>
    <cellStyle name="Komma 9 2" xfId="11113" xr:uid="{00000000-0005-0000-0000-00005FA00000}"/>
    <cellStyle name="Komma 9 2 2" xfId="18856" xr:uid="{00000000-0005-0000-0000-000060A00000}"/>
    <cellStyle name="Komma 9 2 2 2" xfId="35131" xr:uid="{00000000-0005-0000-0000-000061A00000}"/>
    <cellStyle name="Komma 9 2 2 3" xfId="50090" xr:uid="{00000000-0005-0000-0000-000062A00000}"/>
    <cellStyle name="Komma 9 2 3" xfId="28129" xr:uid="{00000000-0005-0000-0000-000063A00000}"/>
    <cellStyle name="Komma 9 2 4" xfId="43093" xr:uid="{00000000-0005-0000-0000-000064A00000}"/>
    <cellStyle name="Komma 9 3" xfId="12305" xr:uid="{00000000-0005-0000-0000-000065A00000}"/>
    <cellStyle name="Komma 9 3 2" xfId="28584" xr:uid="{00000000-0005-0000-0000-000066A00000}"/>
    <cellStyle name="Komma 9 3 3" xfId="43545" xr:uid="{00000000-0005-0000-0000-000067A00000}"/>
    <cellStyle name="Komma 9 4" xfId="21582" xr:uid="{00000000-0005-0000-0000-000068A00000}"/>
    <cellStyle name="Komma 9 5" xfId="36548" xr:uid="{00000000-0005-0000-0000-000069A00000}"/>
    <cellStyle name="Label" xfId="1102" xr:uid="{00000000-0005-0000-0000-00006AA00000}"/>
    <cellStyle name="Label 2" xfId="1103" xr:uid="{00000000-0005-0000-0000-00006BA00000}"/>
    <cellStyle name="Label 3" xfId="1104" xr:uid="{00000000-0005-0000-0000-00006CA00000}"/>
    <cellStyle name="ligne_titre_0" xfId="1105" xr:uid="{00000000-0005-0000-0000-00006DA00000}"/>
    <cellStyle name="Link 2" xfId="1106" xr:uid="{00000000-0005-0000-0000-00006EA00000}"/>
    <cellStyle name="Link 2 2" xfId="7348" xr:uid="{00000000-0005-0000-0000-00006FA00000}"/>
    <cellStyle name="Link 2 3" xfId="7347" xr:uid="{00000000-0005-0000-0000-000070A00000}"/>
    <cellStyle name="Link 2 4" xfId="19102" xr:uid="{00000000-0005-0000-0000-000071A00000}"/>
    <cellStyle name="Link 3" xfId="1107" xr:uid="{00000000-0005-0000-0000-000072A00000}"/>
    <cellStyle name="Link 3 2" xfId="7349" xr:uid="{00000000-0005-0000-0000-000073A00000}"/>
    <cellStyle name="Link 3 3" xfId="19103" xr:uid="{00000000-0005-0000-0000-000074A00000}"/>
    <cellStyle name="Link 4" xfId="7350" xr:uid="{00000000-0005-0000-0000-000075A00000}"/>
    <cellStyle name="Link 5" xfId="7351" xr:uid="{00000000-0005-0000-0000-000076A00000}"/>
    <cellStyle name="Link 6" xfId="7346" xr:uid="{00000000-0005-0000-0000-000077A00000}"/>
    <cellStyle name="Link to other cells in sheet" xfId="1108" xr:uid="{00000000-0005-0000-0000-000078A00000}"/>
    <cellStyle name="Link to other cells in sheet 2" xfId="1109" xr:uid="{00000000-0005-0000-0000-000079A00000}"/>
    <cellStyle name="Link to other cells in sheet 3" xfId="1110" xr:uid="{00000000-0005-0000-0000-00007AA00000}"/>
    <cellStyle name="Link to other cells in sheet 4" xfId="1111" xr:uid="{00000000-0005-0000-0000-00007BA00000}"/>
    <cellStyle name="Linked Cell" xfId="1112" builtinId="24" customBuiltin="1"/>
    <cellStyle name="Linked Cell 2" xfId="1113" xr:uid="{00000000-0005-0000-0000-00007DA00000}"/>
    <cellStyle name="Linked Cell 2 2" xfId="1114" xr:uid="{00000000-0005-0000-0000-00007EA00000}"/>
    <cellStyle name="Linked Cell 3" xfId="1115" xr:uid="{00000000-0005-0000-0000-00007FA00000}"/>
    <cellStyle name="Linked Cell 4" xfId="1116" xr:uid="{00000000-0005-0000-0000-000080A00000}"/>
    <cellStyle name="Linked Cell 5" xfId="1117" xr:uid="{00000000-0005-0000-0000-000081A00000}"/>
    <cellStyle name="Listed Input" xfId="1118" xr:uid="{00000000-0005-0000-0000-000082A00000}"/>
    <cellStyle name="Lookup sheet 0dp" xfId="1119" xr:uid="{00000000-0005-0000-0000-000083A00000}"/>
    <cellStyle name="Lookup sheet 2dp" xfId="1120" xr:uid="{00000000-0005-0000-0000-000084A00000}"/>
    <cellStyle name="Markeringsfarve1 2" xfId="7353" xr:uid="{00000000-0005-0000-0000-000085A00000}"/>
    <cellStyle name="Markeringsfarve1 3" xfId="7354" xr:uid="{00000000-0005-0000-0000-000086A00000}"/>
    <cellStyle name="Markeringsfarve1 4" xfId="7355" xr:uid="{00000000-0005-0000-0000-000087A00000}"/>
    <cellStyle name="Markeringsfarve1 5" xfId="7356" xr:uid="{00000000-0005-0000-0000-000088A00000}"/>
    <cellStyle name="Markeringsfarve1 5 2" xfId="10472" xr:uid="{00000000-0005-0000-0000-000089A00000}"/>
    <cellStyle name="Markeringsfarve1 6" xfId="7595" xr:uid="{00000000-0005-0000-0000-00008AA00000}"/>
    <cellStyle name="Markeringsfarve1 7" xfId="7352" xr:uid="{00000000-0005-0000-0000-00008BA00000}"/>
    <cellStyle name="Markeringsfarve2 2" xfId="7358" xr:uid="{00000000-0005-0000-0000-00008CA00000}"/>
    <cellStyle name="Markeringsfarve2 3" xfId="7359" xr:uid="{00000000-0005-0000-0000-00008DA00000}"/>
    <cellStyle name="Markeringsfarve2 4" xfId="7360" xr:uid="{00000000-0005-0000-0000-00008EA00000}"/>
    <cellStyle name="Markeringsfarve2 5" xfId="7361" xr:uid="{00000000-0005-0000-0000-00008FA00000}"/>
    <cellStyle name="Markeringsfarve2 5 2" xfId="10957" xr:uid="{00000000-0005-0000-0000-000090A00000}"/>
    <cellStyle name="Markeringsfarve2 6" xfId="7599" xr:uid="{00000000-0005-0000-0000-000091A00000}"/>
    <cellStyle name="Markeringsfarve2 7" xfId="7357" xr:uid="{00000000-0005-0000-0000-000092A00000}"/>
    <cellStyle name="Markeringsfarve3 2" xfId="7363" xr:uid="{00000000-0005-0000-0000-000093A00000}"/>
    <cellStyle name="Markeringsfarve3 3" xfId="7364" xr:uid="{00000000-0005-0000-0000-000094A00000}"/>
    <cellStyle name="Markeringsfarve3 4" xfId="7365" xr:uid="{00000000-0005-0000-0000-000095A00000}"/>
    <cellStyle name="Markeringsfarve3 5" xfId="7366" xr:uid="{00000000-0005-0000-0000-000096A00000}"/>
    <cellStyle name="Markeringsfarve3 5 2" xfId="10661" xr:uid="{00000000-0005-0000-0000-000097A00000}"/>
    <cellStyle name="Markeringsfarve3 6" xfId="7603" xr:uid="{00000000-0005-0000-0000-000098A00000}"/>
    <cellStyle name="Markeringsfarve3 7" xfId="7362" xr:uid="{00000000-0005-0000-0000-000099A00000}"/>
    <cellStyle name="Markeringsfarve4 2" xfId="7368" xr:uid="{00000000-0005-0000-0000-00009AA00000}"/>
    <cellStyle name="Markeringsfarve4 3" xfId="7369" xr:uid="{00000000-0005-0000-0000-00009BA00000}"/>
    <cellStyle name="Markeringsfarve4 4" xfId="7370" xr:uid="{00000000-0005-0000-0000-00009CA00000}"/>
    <cellStyle name="Markeringsfarve4 5" xfId="7371" xr:uid="{00000000-0005-0000-0000-00009DA00000}"/>
    <cellStyle name="Markeringsfarve4 5 2" xfId="10474" xr:uid="{00000000-0005-0000-0000-00009EA00000}"/>
    <cellStyle name="Markeringsfarve4 6" xfId="7607" xr:uid="{00000000-0005-0000-0000-00009FA00000}"/>
    <cellStyle name="Markeringsfarve4 7" xfId="7367" xr:uid="{00000000-0005-0000-0000-0000A0A00000}"/>
    <cellStyle name="Markeringsfarve6 2" xfId="7373" xr:uid="{00000000-0005-0000-0000-0000A1A00000}"/>
    <cellStyle name="Markeringsfarve6 3" xfId="7374" xr:uid="{00000000-0005-0000-0000-0000A2A00000}"/>
    <cellStyle name="Markeringsfarve6 4" xfId="7375" xr:uid="{00000000-0005-0000-0000-0000A3A00000}"/>
    <cellStyle name="Markeringsfarve6 5" xfId="7376" xr:uid="{00000000-0005-0000-0000-0000A4A00000}"/>
    <cellStyle name="Markeringsfarve6 5 2" xfId="10677" xr:uid="{00000000-0005-0000-0000-0000A5A00000}"/>
    <cellStyle name="Markeringsfarve6 6" xfId="7614" xr:uid="{00000000-0005-0000-0000-0000A6A00000}"/>
    <cellStyle name="Markeringsfarve6 7" xfId="7372" xr:uid="{00000000-0005-0000-0000-0000A7A00000}"/>
    <cellStyle name="Migliaia [0] 10" xfId="1121" xr:uid="{00000000-0005-0000-0000-0000A8A00000}"/>
    <cellStyle name="Migliaia [0] 10 10" xfId="52305" xr:uid="{00000000-0005-0000-0000-0000A9A00000}"/>
    <cellStyle name="Migliaia [0] 10 11" xfId="3454" xr:uid="{00000000-0005-0000-0000-0000AAA00000}"/>
    <cellStyle name="Migliaia [0] 10 2" xfId="2716" xr:uid="{00000000-0005-0000-0000-0000ABA00000}"/>
    <cellStyle name="Migliaia [0] 10 2 2" xfId="20105" xr:uid="{00000000-0005-0000-0000-0000ACA00000}"/>
    <cellStyle name="Migliaia [0] 10 2 2 2" xfId="35731" xr:uid="{00000000-0005-0000-0000-0000ADA00000}"/>
    <cellStyle name="Migliaia [0] 10 2 2 3" xfId="50687" xr:uid="{00000000-0005-0000-0000-0000AEA00000}"/>
    <cellStyle name="Migliaia [0] 10 2 3" xfId="11237" xr:uid="{00000000-0005-0000-0000-0000AFA00000}"/>
    <cellStyle name="Migliaia [0] 10 3" xfId="3085" xr:uid="{00000000-0005-0000-0000-0000B0A00000}"/>
    <cellStyle name="Migliaia [0] 10 3 2" xfId="28186" xr:uid="{00000000-0005-0000-0000-0000B1A00000}"/>
    <cellStyle name="Migliaia [0] 10 3 3" xfId="43159" xr:uid="{00000000-0005-0000-0000-0000B2A00000}"/>
    <cellStyle name="Migliaia [0] 10 3 4" xfId="11904" xr:uid="{00000000-0005-0000-0000-0000B3A00000}"/>
    <cellStyle name="Migliaia [0] 10 4" xfId="19104" xr:uid="{00000000-0005-0000-0000-0000B4A00000}"/>
    <cellStyle name="Migliaia [0] 10 4 2" xfId="35185" xr:uid="{00000000-0005-0000-0000-0000B5A00000}"/>
    <cellStyle name="Migliaia [0] 10 4 3" xfId="50141" xr:uid="{00000000-0005-0000-0000-0000B6A00000}"/>
    <cellStyle name="Migliaia [0] 10 5" xfId="21189" xr:uid="{00000000-0005-0000-0000-0000B7A00000}"/>
    <cellStyle name="Migliaia [0] 10 6" xfId="36160" xr:uid="{00000000-0005-0000-0000-0000B8A00000}"/>
    <cellStyle name="Migliaia [0] 10 7" xfId="51097" xr:uid="{00000000-0005-0000-0000-0000B9A00000}"/>
    <cellStyle name="Migliaia [0] 10 8" xfId="51491" xr:uid="{00000000-0005-0000-0000-0000BAA00000}"/>
    <cellStyle name="Migliaia [0] 10 9" xfId="51897" xr:uid="{00000000-0005-0000-0000-0000BBA00000}"/>
    <cellStyle name="Migliaia [0] 11" xfId="1122" xr:uid="{00000000-0005-0000-0000-0000BCA00000}"/>
    <cellStyle name="Migliaia [0] 11 10" xfId="52306" xr:uid="{00000000-0005-0000-0000-0000BDA00000}"/>
    <cellStyle name="Migliaia [0] 11 11" xfId="3455" xr:uid="{00000000-0005-0000-0000-0000BEA00000}"/>
    <cellStyle name="Migliaia [0] 11 2" xfId="2717" xr:uid="{00000000-0005-0000-0000-0000BFA00000}"/>
    <cellStyle name="Migliaia [0] 11 2 2" xfId="20106" xr:uid="{00000000-0005-0000-0000-0000C0A00000}"/>
    <cellStyle name="Migliaia [0] 11 2 2 2" xfId="35732" xr:uid="{00000000-0005-0000-0000-0000C1A00000}"/>
    <cellStyle name="Migliaia [0] 11 2 2 3" xfId="50688" xr:uid="{00000000-0005-0000-0000-0000C2A00000}"/>
    <cellStyle name="Migliaia [0] 11 2 3" xfId="11238" xr:uid="{00000000-0005-0000-0000-0000C3A00000}"/>
    <cellStyle name="Migliaia [0] 11 3" xfId="3086" xr:uid="{00000000-0005-0000-0000-0000C4A00000}"/>
    <cellStyle name="Migliaia [0] 11 3 2" xfId="28187" xr:uid="{00000000-0005-0000-0000-0000C5A00000}"/>
    <cellStyle name="Migliaia [0] 11 3 3" xfId="43160" xr:uid="{00000000-0005-0000-0000-0000C6A00000}"/>
    <cellStyle name="Migliaia [0] 11 3 4" xfId="11905" xr:uid="{00000000-0005-0000-0000-0000C7A00000}"/>
    <cellStyle name="Migliaia [0] 11 4" xfId="19105" xr:uid="{00000000-0005-0000-0000-0000C8A00000}"/>
    <cellStyle name="Migliaia [0] 11 4 2" xfId="35186" xr:uid="{00000000-0005-0000-0000-0000C9A00000}"/>
    <cellStyle name="Migliaia [0] 11 4 3" xfId="50142" xr:uid="{00000000-0005-0000-0000-0000CAA00000}"/>
    <cellStyle name="Migliaia [0] 11 5" xfId="21190" xr:uid="{00000000-0005-0000-0000-0000CBA00000}"/>
    <cellStyle name="Migliaia [0] 11 6" xfId="36161" xr:uid="{00000000-0005-0000-0000-0000CCA00000}"/>
    <cellStyle name="Migliaia [0] 11 7" xfId="51098" xr:uid="{00000000-0005-0000-0000-0000CDA00000}"/>
    <cellStyle name="Migliaia [0] 11 8" xfId="51492" xr:uid="{00000000-0005-0000-0000-0000CEA00000}"/>
    <cellStyle name="Migliaia [0] 11 9" xfId="51898" xr:uid="{00000000-0005-0000-0000-0000CFA00000}"/>
    <cellStyle name="Migliaia [0] 12" xfId="1123" xr:uid="{00000000-0005-0000-0000-0000D0A00000}"/>
    <cellStyle name="Migliaia [0] 12 10" xfId="52307" xr:uid="{00000000-0005-0000-0000-0000D1A00000}"/>
    <cellStyle name="Migliaia [0] 12 11" xfId="3456" xr:uid="{00000000-0005-0000-0000-0000D2A00000}"/>
    <cellStyle name="Migliaia [0] 12 2" xfId="2718" xr:uid="{00000000-0005-0000-0000-0000D3A00000}"/>
    <cellStyle name="Migliaia [0] 12 2 2" xfId="20107" xr:uid="{00000000-0005-0000-0000-0000D4A00000}"/>
    <cellStyle name="Migliaia [0] 12 2 2 2" xfId="35733" xr:uid="{00000000-0005-0000-0000-0000D5A00000}"/>
    <cellStyle name="Migliaia [0] 12 2 2 3" xfId="50689" xr:uid="{00000000-0005-0000-0000-0000D6A00000}"/>
    <cellStyle name="Migliaia [0] 12 2 3" xfId="11239" xr:uid="{00000000-0005-0000-0000-0000D7A00000}"/>
    <cellStyle name="Migliaia [0] 12 3" xfId="3087" xr:uid="{00000000-0005-0000-0000-0000D8A00000}"/>
    <cellStyle name="Migliaia [0] 12 3 2" xfId="28188" xr:uid="{00000000-0005-0000-0000-0000D9A00000}"/>
    <cellStyle name="Migliaia [0] 12 3 3" xfId="43161" xr:uid="{00000000-0005-0000-0000-0000DAA00000}"/>
    <cellStyle name="Migliaia [0] 12 3 4" xfId="11906" xr:uid="{00000000-0005-0000-0000-0000DBA00000}"/>
    <cellStyle name="Migliaia [0] 12 4" xfId="19106" xr:uid="{00000000-0005-0000-0000-0000DCA00000}"/>
    <cellStyle name="Migliaia [0] 12 4 2" xfId="35187" xr:uid="{00000000-0005-0000-0000-0000DDA00000}"/>
    <cellStyle name="Migliaia [0] 12 4 3" xfId="50143" xr:uid="{00000000-0005-0000-0000-0000DEA00000}"/>
    <cellStyle name="Migliaia [0] 12 5" xfId="21191" xr:uid="{00000000-0005-0000-0000-0000DFA00000}"/>
    <cellStyle name="Migliaia [0] 12 6" xfId="36162" xr:uid="{00000000-0005-0000-0000-0000E0A00000}"/>
    <cellStyle name="Migliaia [0] 12 7" xfId="51099" xr:uid="{00000000-0005-0000-0000-0000E1A00000}"/>
    <cellStyle name="Migliaia [0] 12 8" xfId="51493" xr:uid="{00000000-0005-0000-0000-0000E2A00000}"/>
    <cellStyle name="Migliaia [0] 12 9" xfId="51899" xr:uid="{00000000-0005-0000-0000-0000E3A00000}"/>
    <cellStyle name="Migliaia [0] 13" xfId="1124" xr:uid="{00000000-0005-0000-0000-0000E4A00000}"/>
    <cellStyle name="Migliaia [0] 13 10" xfId="52308" xr:uid="{00000000-0005-0000-0000-0000E5A00000}"/>
    <cellStyle name="Migliaia [0] 13 11" xfId="3457" xr:uid="{00000000-0005-0000-0000-0000E6A00000}"/>
    <cellStyle name="Migliaia [0] 13 2" xfId="2719" xr:uid="{00000000-0005-0000-0000-0000E7A00000}"/>
    <cellStyle name="Migliaia [0] 13 2 2" xfId="20108" xr:uid="{00000000-0005-0000-0000-0000E8A00000}"/>
    <cellStyle name="Migliaia [0] 13 2 2 2" xfId="35734" xr:uid="{00000000-0005-0000-0000-0000E9A00000}"/>
    <cellStyle name="Migliaia [0] 13 2 2 3" xfId="50690" xr:uid="{00000000-0005-0000-0000-0000EAA00000}"/>
    <cellStyle name="Migliaia [0] 13 2 3" xfId="11240" xr:uid="{00000000-0005-0000-0000-0000EBA00000}"/>
    <cellStyle name="Migliaia [0] 13 3" xfId="3088" xr:uid="{00000000-0005-0000-0000-0000ECA00000}"/>
    <cellStyle name="Migliaia [0] 13 3 2" xfId="28189" xr:uid="{00000000-0005-0000-0000-0000EDA00000}"/>
    <cellStyle name="Migliaia [0] 13 3 3" xfId="43162" xr:uid="{00000000-0005-0000-0000-0000EEA00000}"/>
    <cellStyle name="Migliaia [0] 13 3 4" xfId="11907" xr:uid="{00000000-0005-0000-0000-0000EFA00000}"/>
    <cellStyle name="Migliaia [0] 13 4" xfId="19107" xr:uid="{00000000-0005-0000-0000-0000F0A00000}"/>
    <cellStyle name="Migliaia [0] 13 4 2" xfId="35188" xr:uid="{00000000-0005-0000-0000-0000F1A00000}"/>
    <cellStyle name="Migliaia [0] 13 4 3" xfId="50144" xr:uid="{00000000-0005-0000-0000-0000F2A00000}"/>
    <cellStyle name="Migliaia [0] 13 5" xfId="21192" xr:uid="{00000000-0005-0000-0000-0000F3A00000}"/>
    <cellStyle name="Migliaia [0] 13 6" xfId="36163" xr:uid="{00000000-0005-0000-0000-0000F4A00000}"/>
    <cellStyle name="Migliaia [0] 13 7" xfId="51100" xr:uid="{00000000-0005-0000-0000-0000F5A00000}"/>
    <cellStyle name="Migliaia [0] 13 8" xfId="51494" xr:uid="{00000000-0005-0000-0000-0000F6A00000}"/>
    <cellStyle name="Migliaia [0] 13 9" xfId="51900" xr:uid="{00000000-0005-0000-0000-0000F7A00000}"/>
    <cellStyle name="Migliaia [0] 14" xfId="1125" xr:uid="{00000000-0005-0000-0000-0000F8A00000}"/>
    <cellStyle name="Migliaia [0] 14 10" xfId="52309" xr:uid="{00000000-0005-0000-0000-0000F9A00000}"/>
    <cellStyle name="Migliaia [0] 14 11" xfId="3458" xr:uid="{00000000-0005-0000-0000-0000FAA00000}"/>
    <cellStyle name="Migliaia [0] 14 2" xfId="2720" xr:uid="{00000000-0005-0000-0000-0000FBA00000}"/>
    <cellStyle name="Migliaia [0] 14 2 2" xfId="20109" xr:uid="{00000000-0005-0000-0000-0000FCA00000}"/>
    <cellStyle name="Migliaia [0] 14 2 2 2" xfId="35735" xr:uid="{00000000-0005-0000-0000-0000FDA00000}"/>
    <cellStyle name="Migliaia [0] 14 2 2 3" xfId="50691" xr:uid="{00000000-0005-0000-0000-0000FEA00000}"/>
    <cellStyle name="Migliaia [0] 14 2 3" xfId="11241" xr:uid="{00000000-0005-0000-0000-0000FFA00000}"/>
    <cellStyle name="Migliaia [0] 14 3" xfId="3089" xr:uid="{00000000-0005-0000-0000-000000A10000}"/>
    <cellStyle name="Migliaia [0] 14 3 2" xfId="28190" xr:uid="{00000000-0005-0000-0000-000001A10000}"/>
    <cellStyle name="Migliaia [0] 14 3 3" xfId="43163" xr:uid="{00000000-0005-0000-0000-000002A10000}"/>
    <cellStyle name="Migliaia [0] 14 3 4" xfId="11908" xr:uid="{00000000-0005-0000-0000-000003A10000}"/>
    <cellStyle name="Migliaia [0] 14 4" xfId="19108" xr:uid="{00000000-0005-0000-0000-000004A10000}"/>
    <cellStyle name="Migliaia [0] 14 4 2" xfId="35189" xr:uid="{00000000-0005-0000-0000-000005A10000}"/>
    <cellStyle name="Migliaia [0] 14 4 3" xfId="50145" xr:uid="{00000000-0005-0000-0000-000006A10000}"/>
    <cellStyle name="Migliaia [0] 14 5" xfId="21193" xr:uid="{00000000-0005-0000-0000-000007A10000}"/>
    <cellStyle name="Migliaia [0] 14 6" xfId="36164" xr:uid="{00000000-0005-0000-0000-000008A10000}"/>
    <cellStyle name="Migliaia [0] 14 7" xfId="51101" xr:uid="{00000000-0005-0000-0000-000009A10000}"/>
    <cellStyle name="Migliaia [0] 14 8" xfId="51495" xr:uid="{00000000-0005-0000-0000-00000AA10000}"/>
    <cellStyle name="Migliaia [0] 14 9" xfId="51901" xr:uid="{00000000-0005-0000-0000-00000BA10000}"/>
    <cellStyle name="Migliaia [0] 15" xfId="1126" xr:uid="{00000000-0005-0000-0000-00000CA10000}"/>
    <cellStyle name="Migliaia [0] 15 10" xfId="52310" xr:uid="{00000000-0005-0000-0000-00000DA10000}"/>
    <cellStyle name="Migliaia [0] 15 11" xfId="3459" xr:uid="{00000000-0005-0000-0000-00000EA10000}"/>
    <cellStyle name="Migliaia [0] 15 2" xfId="2721" xr:uid="{00000000-0005-0000-0000-00000FA10000}"/>
    <cellStyle name="Migliaia [0] 15 2 2" xfId="20110" xr:uid="{00000000-0005-0000-0000-000010A10000}"/>
    <cellStyle name="Migliaia [0] 15 2 2 2" xfId="35736" xr:uid="{00000000-0005-0000-0000-000011A10000}"/>
    <cellStyle name="Migliaia [0] 15 2 2 3" xfId="50692" xr:uid="{00000000-0005-0000-0000-000012A10000}"/>
    <cellStyle name="Migliaia [0] 15 2 3" xfId="11242" xr:uid="{00000000-0005-0000-0000-000013A10000}"/>
    <cellStyle name="Migliaia [0] 15 3" xfId="3090" xr:uid="{00000000-0005-0000-0000-000014A10000}"/>
    <cellStyle name="Migliaia [0] 15 3 2" xfId="28191" xr:uid="{00000000-0005-0000-0000-000015A10000}"/>
    <cellStyle name="Migliaia [0] 15 3 3" xfId="43164" xr:uid="{00000000-0005-0000-0000-000016A10000}"/>
    <cellStyle name="Migliaia [0] 15 3 4" xfId="11909" xr:uid="{00000000-0005-0000-0000-000017A10000}"/>
    <cellStyle name="Migliaia [0] 15 4" xfId="19109" xr:uid="{00000000-0005-0000-0000-000018A10000}"/>
    <cellStyle name="Migliaia [0] 15 4 2" xfId="35190" xr:uid="{00000000-0005-0000-0000-000019A10000}"/>
    <cellStyle name="Migliaia [0] 15 4 3" xfId="50146" xr:uid="{00000000-0005-0000-0000-00001AA10000}"/>
    <cellStyle name="Migliaia [0] 15 5" xfId="21194" xr:uid="{00000000-0005-0000-0000-00001BA10000}"/>
    <cellStyle name="Migliaia [0] 15 6" xfId="36165" xr:uid="{00000000-0005-0000-0000-00001CA10000}"/>
    <cellStyle name="Migliaia [0] 15 7" xfId="51102" xr:uid="{00000000-0005-0000-0000-00001DA10000}"/>
    <cellStyle name="Migliaia [0] 15 8" xfId="51496" xr:uid="{00000000-0005-0000-0000-00001EA10000}"/>
    <cellStyle name="Migliaia [0] 15 9" xfId="51902" xr:uid="{00000000-0005-0000-0000-00001FA10000}"/>
    <cellStyle name="Migliaia [0] 16" xfId="1127" xr:uid="{00000000-0005-0000-0000-000020A10000}"/>
    <cellStyle name="Migliaia [0] 16 10" xfId="52311" xr:uid="{00000000-0005-0000-0000-000021A10000}"/>
    <cellStyle name="Migliaia [0] 16 11" xfId="3460" xr:uid="{00000000-0005-0000-0000-000022A10000}"/>
    <cellStyle name="Migliaia [0] 16 2" xfId="2722" xr:uid="{00000000-0005-0000-0000-000023A10000}"/>
    <cellStyle name="Migliaia [0] 16 2 2" xfId="20111" xr:uid="{00000000-0005-0000-0000-000024A10000}"/>
    <cellStyle name="Migliaia [0] 16 2 2 2" xfId="35737" xr:uid="{00000000-0005-0000-0000-000025A10000}"/>
    <cellStyle name="Migliaia [0] 16 2 2 3" xfId="50693" xr:uid="{00000000-0005-0000-0000-000026A10000}"/>
    <cellStyle name="Migliaia [0] 16 2 3" xfId="11243" xr:uid="{00000000-0005-0000-0000-000027A10000}"/>
    <cellStyle name="Migliaia [0] 16 3" xfId="3091" xr:uid="{00000000-0005-0000-0000-000028A10000}"/>
    <cellStyle name="Migliaia [0] 16 3 2" xfId="28192" xr:uid="{00000000-0005-0000-0000-000029A10000}"/>
    <cellStyle name="Migliaia [0] 16 3 3" xfId="43165" xr:uid="{00000000-0005-0000-0000-00002AA10000}"/>
    <cellStyle name="Migliaia [0] 16 3 4" xfId="11910" xr:uid="{00000000-0005-0000-0000-00002BA10000}"/>
    <cellStyle name="Migliaia [0] 16 4" xfId="19110" xr:uid="{00000000-0005-0000-0000-00002CA10000}"/>
    <cellStyle name="Migliaia [0] 16 4 2" xfId="35191" xr:uid="{00000000-0005-0000-0000-00002DA10000}"/>
    <cellStyle name="Migliaia [0] 16 4 3" xfId="50147" xr:uid="{00000000-0005-0000-0000-00002EA10000}"/>
    <cellStyle name="Migliaia [0] 16 5" xfId="21195" xr:uid="{00000000-0005-0000-0000-00002FA10000}"/>
    <cellStyle name="Migliaia [0] 16 6" xfId="36166" xr:uid="{00000000-0005-0000-0000-000030A10000}"/>
    <cellStyle name="Migliaia [0] 16 7" xfId="51103" xr:uid="{00000000-0005-0000-0000-000031A10000}"/>
    <cellStyle name="Migliaia [0] 16 8" xfId="51497" xr:uid="{00000000-0005-0000-0000-000032A10000}"/>
    <cellStyle name="Migliaia [0] 16 9" xfId="51903" xr:uid="{00000000-0005-0000-0000-000033A10000}"/>
    <cellStyle name="Migliaia [0] 17" xfId="1128" xr:uid="{00000000-0005-0000-0000-000034A10000}"/>
    <cellStyle name="Migliaia [0] 17 10" xfId="52312" xr:uid="{00000000-0005-0000-0000-000035A10000}"/>
    <cellStyle name="Migliaia [0] 17 11" xfId="3461" xr:uid="{00000000-0005-0000-0000-000036A10000}"/>
    <cellStyle name="Migliaia [0] 17 2" xfId="2723" xr:uid="{00000000-0005-0000-0000-000037A10000}"/>
    <cellStyle name="Migliaia [0] 17 2 2" xfId="20112" xr:uid="{00000000-0005-0000-0000-000038A10000}"/>
    <cellStyle name="Migliaia [0] 17 2 2 2" xfId="35738" xr:uid="{00000000-0005-0000-0000-000039A10000}"/>
    <cellStyle name="Migliaia [0] 17 2 2 3" xfId="50694" xr:uid="{00000000-0005-0000-0000-00003AA10000}"/>
    <cellStyle name="Migliaia [0] 17 2 3" xfId="11244" xr:uid="{00000000-0005-0000-0000-00003BA10000}"/>
    <cellStyle name="Migliaia [0] 17 3" xfId="3092" xr:uid="{00000000-0005-0000-0000-00003CA10000}"/>
    <cellStyle name="Migliaia [0] 17 3 2" xfId="28193" xr:uid="{00000000-0005-0000-0000-00003DA10000}"/>
    <cellStyle name="Migliaia [0] 17 3 3" xfId="43166" xr:uid="{00000000-0005-0000-0000-00003EA10000}"/>
    <cellStyle name="Migliaia [0] 17 3 4" xfId="11911" xr:uid="{00000000-0005-0000-0000-00003FA10000}"/>
    <cellStyle name="Migliaia [0] 17 4" xfId="19111" xr:uid="{00000000-0005-0000-0000-000040A10000}"/>
    <cellStyle name="Migliaia [0] 17 4 2" xfId="35192" xr:uid="{00000000-0005-0000-0000-000041A10000}"/>
    <cellStyle name="Migliaia [0] 17 4 3" xfId="50148" xr:uid="{00000000-0005-0000-0000-000042A10000}"/>
    <cellStyle name="Migliaia [0] 17 5" xfId="21196" xr:uid="{00000000-0005-0000-0000-000043A10000}"/>
    <cellStyle name="Migliaia [0] 17 6" xfId="36167" xr:uid="{00000000-0005-0000-0000-000044A10000}"/>
    <cellStyle name="Migliaia [0] 17 7" xfId="51104" xr:uid="{00000000-0005-0000-0000-000045A10000}"/>
    <cellStyle name="Migliaia [0] 17 8" xfId="51498" xr:uid="{00000000-0005-0000-0000-000046A10000}"/>
    <cellStyle name="Migliaia [0] 17 9" xfId="51904" xr:uid="{00000000-0005-0000-0000-000047A10000}"/>
    <cellStyle name="Migliaia [0] 18" xfId="1129" xr:uid="{00000000-0005-0000-0000-000048A10000}"/>
    <cellStyle name="Migliaia [0] 18 10" xfId="52313" xr:uid="{00000000-0005-0000-0000-000049A10000}"/>
    <cellStyle name="Migliaia [0] 18 11" xfId="3462" xr:uid="{00000000-0005-0000-0000-00004AA10000}"/>
    <cellStyle name="Migliaia [0] 18 2" xfId="2724" xr:uid="{00000000-0005-0000-0000-00004BA10000}"/>
    <cellStyle name="Migliaia [0] 18 2 2" xfId="20113" xr:uid="{00000000-0005-0000-0000-00004CA10000}"/>
    <cellStyle name="Migliaia [0] 18 2 2 2" xfId="35739" xr:uid="{00000000-0005-0000-0000-00004DA10000}"/>
    <cellStyle name="Migliaia [0] 18 2 2 3" xfId="50695" xr:uid="{00000000-0005-0000-0000-00004EA10000}"/>
    <cellStyle name="Migliaia [0] 18 2 3" xfId="11245" xr:uid="{00000000-0005-0000-0000-00004FA10000}"/>
    <cellStyle name="Migliaia [0] 18 3" xfId="3093" xr:uid="{00000000-0005-0000-0000-000050A10000}"/>
    <cellStyle name="Migliaia [0] 18 3 2" xfId="28194" xr:uid="{00000000-0005-0000-0000-000051A10000}"/>
    <cellStyle name="Migliaia [0] 18 3 3" xfId="43167" xr:uid="{00000000-0005-0000-0000-000052A10000}"/>
    <cellStyle name="Migliaia [0] 18 3 4" xfId="11912" xr:uid="{00000000-0005-0000-0000-000053A10000}"/>
    <cellStyle name="Migliaia [0] 18 4" xfId="19112" xr:uid="{00000000-0005-0000-0000-000054A10000}"/>
    <cellStyle name="Migliaia [0] 18 4 2" xfId="35193" xr:uid="{00000000-0005-0000-0000-000055A10000}"/>
    <cellStyle name="Migliaia [0] 18 4 3" xfId="50149" xr:uid="{00000000-0005-0000-0000-000056A10000}"/>
    <cellStyle name="Migliaia [0] 18 5" xfId="21197" xr:uid="{00000000-0005-0000-0000-000057A10000}"/>
    <cellStyle name="Migliaia [0] 18 6" xfId="36168" xr:uid="{00000000-0005-0000-0000-000058A10000}"/>
    <cellStyle name="Migliaia [0] 18 7" xfId="51105" xr:uid="{00000000-0005-0000-0000-000059A10000}"/>
    <cellStyle name="Migliaia [0] 18 8" xfId="51499" xr:uid="{00000000-0005-0000-0000-00005AA10000}"/>
    <cellStyle name="Migliaia [0] 18 9" xfId="51905" xr:uid="{00000000-0005-0000-0000-00005BA10000}"/>
    <cellStyle name="Migliaia [0] 19" xfId="1130" xr:uid="{00000000-0005-0000-0000-00005CA10000}"/>
    <cellStyle name="Migliaia [0] 19 10" xfId="52314" xr:uid="{00000000-0005-0000-0000-00005DA10000}"/>
    <cellStyle name="Migliaia [0] 19 11" xfId="3463" xr:uid="{00000000-0005-0000-0000-00005EA10000}"/>
    <cellStyle name="Migliaia [0] 19 2" xfId="2725" xr:uid="{00000000-0005-0000-0000-00005FA10000}"/>
    <cellStyle name="Migliaia [0] 19 2 2" xfId="20114" xr:uid="{00000000-0005-0000-0000-000060A10000}"/>
    <cellStyle name="Migliaia [0] 19 2 2 2" xfId="35740" xr:uid="{00000000-0005-0000-0000-000061A10000}"/>
    <cellStyle name="Migliaia [0] 19 2 2 3" xfId="50696" xr:uid="{00000000-0005-0000-0000-000062A10000}"/>
    <cellStyle name="Migliaia [0] 19 2 3" xfId="11246" xr:uid="{00000000-0005-0000-0000-000063A10000}"/>
    <cellStyle name="Migliaia [0] 19 3" xfId="3094" xr:uid="{00000000-0005-0000-0000-000064A10000}"/>
    <cellStyle name="Migliaia [0] 19 3 2" xfId="28195" xr:uid="{00000000-0005-0000-0000-000065A10000}"/>
    <cellStyle name="Migliaia [0] 19 3 3" xfId="43168" xr:uid="{00000000-0005-0000-0000-000066A10000}"/>
    <cellStyle name="Migliaia [0] 19 3 4" xfId="11913" xr:uid="{00000000-0005-0000-0000-000067A10000}"/>
    <cellStyle name="Migliaia [0] 19 4" xfId="19113" xr:uid="{00000000-0005-0000-0000-000068A10000}"/>
    <cellStyle name="Migliaia [0] 19 4 2" xfId="35194" xr:uid="{00000000-0005-0000-0000-000069A10000}"/>
    <cellStyle name="Migliaia [0] 19 4 3" xfId="50150" xr:uid="{00000000-0005-0000-0000-00006AA10000}"/>
    <cellStyle name="Migliaia [0] 19 5" xfId="21198" xr:uid="{00000000-0005-0000-0000-00006BA10000}"/>
    <cellStyle name="Migliaia [0] 19 6" xfId="36169" xr:uid="{00000000-0005-0000-0000-00006CA10000}"/>
    <cellStyle name="Migliaia [0] 19 7" xfId="51106" xr:uid="{00000000-0005-0000-0000-00006DA10000}"/>
    <cellStyle name="Migliaia [0] 19 8" xfId="51500" xr:uid="{00000000-0005-0000-0000-00006EA10000}"/>
    <cellStyle name="Migliaia [0] 19 9" xfId="51906" xr:uid="{00000000-0005-0000-0000-00006FA10000}"/>
    <cellStyle name="Migliaia [0] 2" xfId="1131" xr:uid="{00000000-0005-0000-0000-000070A10000}"/>
    <cellStyle name="Migliaia [0] 2 10" xfId="52315" xr:uid="{00000000-0005-0000-0000-000071A10000}"/>
    <cellStyle name="Migliaia [0] 2 11" xfId="3464" xr:uid="{00000000-0005-0000-0000-000072A10000}"/>
    <cellStyle name="Migliaia [0] 2 2" xfId="2726" xr:uid="{00000000-0005-0000-0000-000073A10000}"/>
    <cellStyle name="Migliaia [0] 2 2 2" xfId="20115" xr:uid="{00000000-0005-0000-0000-000074A10000}"/>
    <cellStyle name="Migliaia [0] 2 2 2 2" xfId="35741" xr:uid="{00000000-0005-0000-0000-000075A10000}"/>
    <cellStyle name="Migliaia [0] 2 2 2 3" xfId="50697" xr:uid="{00000000-0005-0000-0000-000076A10000}"/>
    <cellStyle name="Migliaia [0] 2 2 3" xfId="11247" xr:uid="{00000000-0005-0000-0000-000077A10000}"/>
    <cellStyle name="Migliaia [0] 2 3" xfId="3095" xr:uid="{00000000-0005-0000-0000-000078A10000}"/>
    <cellStyle name="Migliaia [0] 2 3 2" xfId="28196" xr:uid="{00000000-0005-0000-0000-000079A10000}"/>
    <cellStyle name="Migliaia [0] 2 3 3" xfId="43169" xr:uid="{00000000-0005-0000-0000-00007AA10000}"/>
    <cellStyle name="Migliaia [0] 2 3 4" xfId="11914" xr:uid="{00000000-0005-0000-0000-00007BA10000}"/>
    <cellStyle name="Migliaia [0] 2 4" xfId="19114" xr:uid="{00000000-0005-0000-0000-00007CA10000}"/>
    <cellStyle name="Migliaia [0] 2 4 2" xfId="35195" xr:uid="{00000000-0005-0000-0000-00007DA10000}"/>
    <cellStyle name="Migliaia [0] 2 4 3" xfId="50151" xr:uid="{00000000-0005-0000-0000-00007EA10000}"/>
    <cellStyle name="Migliaia [0] 2 5" xfId="21199" xr:uid="{00000000-0005-0000-0000-00007FA10000}"/>
    <cellStyle name="Migliaia [0] 2 6" xfId="36170" xr:uid="{00000000-0005-0000-0000-000080A10000}"/>
    <cellStyle name="Migliaia [0] 2 7" xfId="51107" xr:uid="{00000000-0005-0000-0000-000081A10000}"/>
    <cellStyle name="Migliaia [0] 2 8" xfId="51501" xr:uid="{00000000-0005-0000-0000-000082A10000}"/>
    <cellStyle name="Migliaia [0] 2 9" xfId="51907" xr:uid="{00000000-0005-0000-0000-000083A10000}"/>
    <cellStyle name="Migliaia [0] 20" xfId="1132" xr:uid="{00000000-0005-0000-0000-000084A10000}"/>
    <cellStyle name="Migliaia [0] 20 10" xfId="52316" xr:uid="{00000000-0005-0000-0000-000085A10000}"/>
    <cellStyle name="Migliaia [0] 20 11" xfId="3465" xr:uid="{00000000-0005-0000-0000-000086A10000}"/>
    <cellStyle name="Migliaia [0] 20 2" xfId="2727" xr:uid="{00000000-0005-0000-0000-000087A10000}"/>
    <cellStyle name="Migliaia [0] 20 2 2" xfId="20116" xr:uid="{00000000-0005-0000-0000-000088A10000}"/>
    <cellStyle name="Migliaia [0] 20 2 2 2" xfId="35742" xr:uid="{00000000-0005-0000-0000-000089A10000}"/>
    <cellStyle name="Migliaia [0] 20 2 2 3" xfId="50698" xr:uid="{00000000-0005-0000-0000-00008AA10000}"/>
    <cellStyle name="Migliaia [0] 20 2 3" xfId="11248" xr:uid="{00000000-0005-0000-0000-00008BA10000}"/>
    <cellStyle name="Migliaia [0] 20 3" xfId="3096" xr:uid="{00000000-0005-0000-0000-00008CA10000}"/>
    <cellStyle name="Migliaia [0] 20 3 2" xfId="28197" xr:uid="{00000000-0005-0000-0000-00008DA10000}"/>
    <cellStyle name="Migliaia [0] 20 3 3" xfId="43170" xr:uid="{00000000-0005-0000-0000-00008EA10000}"/>
    <cellStyle name="Migliaia [0] 20 3 4" xfId="11915" xr:uid="{00000000-0005-0000-0000-00008FA10000}"/>
    <cellStyle name="Migliaia [0] 20 4" xfId="19115" xr:uid="{00000000-0005-0000-0000-000090A10000}"/>
    <cellStyle name="Migliaia [0] 20 4 2" xfId="35196" xr:uid="{00000000-0005-0000-0000-000091A10000}"/>
    <cellStyle name="Migliaia [0] 20 4 3" xfId="50152" xr:uid="{00000000-0005-0000-0000-000092A10000}"/>
    <cellStyle name="Migliaia [0] 20 5" xfId="21200" xr:uid="{00000000-0005-0000-0000-000093A10000}"/>
    <cellStyle name="Migliaia [0] 20 6" xfId="36171" xr:uid="{00000000-0005-0000-0000-000094A10000}"/>
    <cellStyle name="Migliaia [0] 20 7" xfId="51108" xr:uid="{00000000-0005-0000-0000-000095A10000}"/>
    <cellStyle name="Migliaia [0] 20 8" xfId="51502" xr:uid="{00000000-0005-0000-0000-000096A10000}"/>
    <cellStyle name="Migliaia [0] 20 9" xfId="51908" xr:uid="{00000000-0005-0000-0000-000097A10000}"/>
    <cellStyle name="Migliaia [0] 21" xfId="1133" xr:uid="{00000000-0005-0000-0000-000098A10000}"/>
    <cellStyle name="Migliaia [0] 21 10" xfId="52317" xr:uid="{00000000-0005-0000-0000-000099A10000}"/>
    <cellStyle name="Migliaia [0] 21 11" xfId="3466" xr:uid="{00000000-0005-0000-0000-00009AA10000}"/>
    <cellStyle name="Migliaia [0] 21 2" xfId="2728" xr:uid="{00000000-0005-0000-0000-00009BA10000}"/>
    <cellStyle name="Migliaia [0] 21 2 2" xfId="20117" xr:uid="{00000000-0005-0000-0000-00009CA10000}"/>
    <cellStyle name="Migliaia [0] 21 2 2 2" xfId="35743" xr:uid="{00000000-0005-0000-0000-00009DA10000}"/>
    <cellStyle name="Migliaia [0] 21 2 2 3" xfId="50699" xr:uid="{00000000-0005-0000-0000-00009EA10000}"/>
    <cellStyle name="Migliaia [0] 21 2 3" xfId="11249" xr:uid="{00000000-0005-0000-0000-00009FA10000}"/>
    <cellStyle name="Migliaia [0] 21 3" xfId="3097" xr:uid="{00000000-0005-0000-0000-0000A0A10000}"/>
    <cellStyle name="Migliaia [0] 21 3 2" xfId="28198" xr:uid="{00000000-0005-0000-0000-0000A1A10000}"/>
    <cellStyle name="Migliaia [0] 21 3 3" xfId="43171" xr:uid="{00000000-0005-0000-0000-0000A2A10000}"/>
    <cellStyle name="Migliaia [0] 21 3 4" xfId="11916" xr:uid="{00000000-0005-0000-0000-0000A3A10000}"/>
    <cellStyle name="Migliaia [0] 21 4" xfId="19116" xr:uid="{00000000-0005-0000-0000-0000A4A10000}"/>
    <cellStyle name="Migliaia [0] 21 4 2" xfId="35197" xr:uid="{00000000-0005-0000-0000-0000A5A10000}"/>
    <cellStyle name="Migliaia [0] 21 4 3" xfId="50153" xr:uid="{00000000-0005-0000-0000-0000A6A10000}"/>
    <cellStyle name="Migliaia [0] 21 5" xfId="21201" xr:uid="{00000000-0005-0000-0000-0000A7A10000}"/>
    <cellStyle name="Migliaia [0] 21 6" xfId="36172" xr:uid="{00000000-0005-0000-0000-0000A8A10000}"/>
    <cellStyle name="Migliaia [0] 21 7" xfId="51109" xr:uid="{00000000-0005-0000-0000-0000A9A10000}"/>
    <cellStyle name="Migliaia [0] 21 8" xfId="51503" xr:uid="{00000000-0005-0000-0000-0000AAA10000}"/>
    <cellStyle name="Migliaia [0] 21 9" xfId="51909" xr:uid="{00000000-0005-0000-0000-0000ABA10000}"/>
    <cellStyle name="Migliaia [0] 22" xfId="1134" xr:uid="{00000000-0005-0000-0000-0000ACA10000}"/>
    <cellStyle name="Migliaia [0] 22 10" xfId="52318" xr:uid="{00000000-0005-0000-0000-0000ADA10000}"/>
    <cellStyle name="Migliaia [0] 22 11" xfId="3467" xr:uid="{00000000-0005-0000-0000-0000AEA10000}"/>
    <cellStyle name="Migliaia [0] 22 2" xfId="2729" xr:uid="{00000000-0005-0000-0000-0000AFA10000}"/>
    <cellStyle name="Migliaia [0] 22 2 2" xfId="20118" xr:uid="{00000000-0005-0000-0000-0000B0A10000}"/>
    <cellStyle name="Migliaia [0] 22 2 2 2" xfId="35744" xr:uid="{00000000-0005-0000-0000-0000B1A10000}"/>
    <cellStyle name="Migliaia [0] 22 2 2 3" xfId="50700" xr:uid="{00000000-0005-0000-0000-0000B2A10000}"/>
    <cellStyle name="Migliaia [0] 22 2 3" xfId="11250" xr:uid="{00000000-0005-0000-0000-0000B3A10000}"/>
    <cellStyle name="Migliaia [0] 22 3" xfId="3098" xr:uid="{00000000-0005-0000-0000-0000B4A10000}"/>
    <cellStyle name="Migliaia [0] 22 3 2" xfId="28199" xr:uid="{00000000-0005-0000-0000-0000B5A10000}"/>
    <cellStyle name="Migliaia [0] 22 3 3" xfId="43172" xr:uid="{00000000-0005-0000-0000-0000B6A10000}"/>
    <cellStyle name="Migliaia [0] 22 3 4" xfId="11917" xr:uid="{00000000-0005-0000-0000-0000B7A10000}"/>
    <cellStyle name="Migliaia [0] 22 4" xfId="19117" xr:uid="{00000000-0005-0000-0000-0000B8A10000}"/>
    <cellStyle name="Migliaia [0] 22 4 2" xfId="35198" xr:uid="{00000000-0005-0000-0000-0000B9A10000}"/>
    <cellStyle name="Migliaia [0] 22 4 3" xfId="50154" xr:uid="{00000000-0005-0000-0000-0000BAA10000}"/>
    <cellStyle name="Migliaia [0] 22 5" xfId="21202" xr:uid="{00000000-0005-0000-0000-0000BBA10000}"/>
    <cellStyle name="Migliaia [0] 22 6" xfId="36173" xr:uid="{00000000-0005-0000-0000-0000BCA10000}"/>
    <cellStyle name="Migliaia [0] 22 7" xfId="51110" xr:uid="{00000000-0005-0000-0000-0000BDA10000}"/>
    <cellStyle name="Migliaia [0] 22 8" xfId="51504" xr:uid="{00000000-0005-0000-0000-0000BEA10000}"/>
    <cellStyle name="Migliaia [0] 22 9" xfId="51910" xr:uid="{00000000-0005-0000-0000-0000BFA10000}"/>
    <cellStyle name="Migliaia [0] 23" xfId="1135" xr:uid="{00000000-0005-0000-0000-0000C0A10000}"/>
    <cellStyle name="Migliaia [0] 23 10" xfId="52319" xr:uid="{00000000-0005-0000-0000-0000C1A10000}"/>
    <cellStyle name="Migliaia [0] 23 11" xfId="3468" xr:uid="{00000000-0005-0000-0000-0000C2A10000}"/>
    <cellStyle name="Migliaia [0] 23 2" xfId="2730" xr:uid="{00000000-0005-0000-0000-0000C3A10000}"/>
    <cellStyle name="Migliaia [0] 23 2 2" xfId="20119" xr:uid="{00000000-0005-0000-0000-0000C4A10000}"/>
    <cellStyle name="Migliaia [0] 23 2 2 2" xfId="35745" xr:uid="{00000000-0005-0000-0000-0000C5A10000}"/>
    <cellStyle name="Migliaia [0] 23 2 2 3" xfId="50701" xr:uid="{00000000-0005-0000-0000-0000C6A10000}"/>
    <cellStyle name="Migliaia [0] 23 2 3" xfId="11251" xr:uid="{00000000-0005-0000-0000-0000C7A10000}"/>
    <cellStyle name="Migliaia [0] 23 3" xfId="3099" xr:uid="{00000000-0005-0000-0000-0000C8A10000}"/>
    <cellStyle name="Migliaia [0] 23 3 2" xfId="28200" xr:uid="{00000000-0005-0000-0000-0000C9A10000}"/>
    <cellStyle name="Migliaia [0] 23 3 3" xfId="43173" xr:uid="{00000000-0005-0000-0000-0000CAA10000}"/>
    <cellStyle name="Migliaia [0] 23 3 4" xfId="11918" xr:uid="{00000000-0005-0000-0000-0000CBA10000}"/>
    <cellStyle name="Migliaia [0] 23 4" xfId="19118" xr:uid="{00000000-0005-0000-0000-0000CCA10000}"/>
    <cellStyle name="Migliaia [0] 23 4 2" xfId="35199" xr:uid="{00000000-0005-0000-0000-0000CDA10000}"/>
    <cellStyle name="Migliaia [0] 23 4 3" xfId="50155" xr:uid="{00000000-0005-0000-0000-0000CEA10000}"/>
    <cellStyle name="Migliaia [0] 23 5" xfId="21203" xr:uid="{00000000-0005-0000-0000-0000CFA10000}"/>
    <cellStyle name="Migliaia [0] 23 6" xfId="36174" xr:uid="{00000000-0005-0000-0000-0000D0A10000}"/>
    <cellStyle name="Migliaia [0] 23 7" xfId="51111" xr:uid="{00000000-0005-0000-0000-0000D1A10000}"/>
    <cellStyle name="Migliaia [0] 23 8" xfId="51505" xr:uid="{00000000-0005-0000-0000-0000D2A10000}"/>
    <cellStyle name="Migliaia [0] 23 9" xfId="51911" xr:uid="{00000000-0005-0000-0000-0000D3A10000}"/>
    <cellStyle name="Migliaia [0] 24" xfId="1136" xr:uid="{00000000-0005-0000-0000-0000D4A10000}"/>
    <cellStyle name="Migliaia [0] 24 10" xfId="52320" xr:uid="{00000000-0005-0000-0000-0000D5A10000}"/>
    <cellStyle name="Migliaia [0] 24 11" xfId="3469" xr:uid="{00000000-0005-0000-0000-0000D6A10000}"/>
    <cellStyle name="Migliaia [0] 24 2" xfId="2731" xr:uid="{00000000-0005-0000-0000-0000D7A10000}"/>
    <cellStyle name="Migliaia [0] 24 2 2" xfId="20120" xr:uid="{00000000-0005-0000-0000-0000D8A10000}"/>
    <cellStyle name="Migliaia [0] 24 2 2 2" xfId="35746" xr:uid="{00000000-0005-0000-0000-0000D9A10000}"/>
    <cellStyle name="Migliaia [0] 24 2 2 3" xfId="50702" xr:uid="{00000000-0005-0000-0000-0000DAA10000}"/>
    <cellStyle name="Migliaia [0] 24 2 3" xfId="11252" xr:uid="{00000000-0005-0000-0000-0000DBA10000}"/>
    <cellStyle name="Migliaia [0] 24 3" xfId="3100" xr:uid="{00000000-0005-0000-0000-0000DCA10000}"/>
    <cellStyle name="Migliaia [0] 24 3 2" xfId="28201" xr:uid="{00000000-0005-0000-0000-0000DDA10000}"/>
    <cellStyle name="Migliaia [0] 24 3 3" xfId="43174" xr:uid="{00000000-0005-0000-0000-0000DEA10000}"/>
    <cellStyle name="Migliaia [0] 24 3 4" xfId="11919" xr:uid="{00000000-0005-0000-0000-0000DFA10000}"/>
    <cellStyle name="Migliaia [0] 24 4" xfId="19119" xr:uid="{00000000-0005-0000-0000-0000E0A10000}"/>
    <cellStyle name="Migliaia [0] 24 4 2" xfId="35200" xr:uid="{00000000-0005-0000-0000-0000E1A10000}"/>
    <cellStyle name="Migliaia [0] 24 4 3" xfId="50156" xr:uid="{00000000-0005-0000-0000-0000E2A10000}"/>
    <cellStyle name="Migliaia [0] 24 5" xfId="21204" xr:uid="{00000000-0005-0000-0000-0000E3A10000}"/>
    <cellStyle name="Migliaia [0] 24 6" xfId="36175" xr:uid="{00000000-0005-0000-0000-0000E4A10000}"/>
    <cellStyle name="Migliaia [0] 24 7" xfId="51112" xr:uid="{00000000-0005-0000-0000-0000E5A10000}"/>
    <cellStyle name="Migliaia [0] 24 8" xfId="51506" xr:uid="{00000000-0005-0000-0000-0000E6A10000}"/>
    <cellStyle name="Migliaia [0] 24 9" xfId="51912" xr:uid="{00000000-0005-0000-0000-0000E7A10000}"/>
    <cellStyle name="Migliaia [0] 25" xfId="1137" xr:uid="{00000000-0005-0000-0000-0000E8A10000}"/>
    <cellStyle name="Migliaia [0] 25 10" xfId="52321" xr:uid="{00000000-0005-0000-0000-0000E9A10000}"/>
    <cellStyle name="Migliaia [0] 25 11" xfId="3470" xr:uid="{00000000-0005-0000-0000-0000EAA10000}"/>
    <cellStyle name="Migliaia [0] 25 2" xfId="2732" xr:uid="{00000000-0005-0000-0000-0000EBA10000}"/>
    <cellStyle name="Migliaia [0] 25 2 2" xfId="20121" xr:uid="{00000000-0005-0000-0000-0000ECA10000}"/>
    <cellStyle name="Migliaia [0] 25 2 2 2" xfId="35747" xr:uid="{00000000-0005-0000-0000-0000EDA10000}"/>
    <cellStyle name="Migliaia [0] 25 2 2 3" xfId="50703" xr:uid="{00000000-0005-0000-0000-0000EEA10000}"/>
    <cellStyle name="Migliaia [0] 25 2 3" xfId="11253" xr:uid="{00000000-0005-0000-0000-0000EFA10000}"/>
    <cellStyle name="Migliaia [0] 25 3" xfId="3101" xr:uid="{00000000-0005-0000-0000-0000F0A10000}"/>
    <cellStyle name="Migliaia [0] 25 3 2" xfId="28202" xr:uid="{00000000-0005-0000-0000-0000F1A10000}"/>
    <cellStyle name="Migliaia [0] 25 3 3" xfId="43175" xr:uid="{00000000-0005-0000-0000-0000F2A10000}"/>
    <cellStyle name="Migliaia [0] 25 3 4" xfId="11920" xr:uid="{00000000-0005-0000-0000-0000F3A10000}"/>
    <cellStyle name="Migliaia [0] 25 4" xfId="19120" xr:uid="{00000000-0005-0000-0000-0000F4A10000}"/>
    <cellStyle name="Migliaia [0] 25 4 2" xfId="35201" xr:uid="{00000000-0005-0000-0000-0000F5A10000}"/>
    <cellStyle name="Migliaia [0] 25 4 3" xfId="50157" xr:uid="{00000000-0005-0000-0000-0000F6A10000}"/>
    <cellStyle name="Migliaia [0] 25 5" xfId="21205" xr:uid="{00000000-0005-0000-0000-0000F7A10000}"/>
    <cellStyle name="Migliaia [0] 25 6" xfId="36176" xr:uid="{00000000-0005-0000-0000-0000F8A10000}"/>
    <cellStyle name="Migliaia [0] 25 7" xfId="51113" xr:uid="{00000000-0005-0000-0000-0000F9A10000}"/>
    <cellStyle name="Migliaia [0] 25 8" xfId="51507" xr:uid="{00000000-0005-0000-0000-0000FAA10000}"/>
    <cellStyle name="Migliaia [0] 25 9" xfId="51913" xr:uid="{00000000-0005-0000-0000-0000FBA10000}"/>
    <cellStyle name="Migliaia [0] 26" xfId="1138" xr:uid="{00000000-0005-0000-0000-0000FCA10000}"/>
    <cellStyle name="Migliaia [0] 26 10" xfId="52322" xr:uid="{00000000-0005-0000-0000-0000FDA10000}"/>
    <cellStyle name="Migliaia [0] 26 11" xfId="3471" xr:uid="{00000000-0005-0000-0000-0000FEA10000}"/>
    <cellStyle name="Migliaia [0] 26 2" xfId="2733" xr:uid="{00000000-0005-0000-0000-0000FFA10000}"/>
    <cellStyle name="Migliaia [0] 26 2 2" xfId="20122" xr:uid="{00000000-0005-0000-0000-000000A20000}"/>
    <cellStyle name="Migliaia [0] 26 2 2 2" xfId="35748" xr:uid="{00000000-0005-0000-0000-000001A20000}"/>
    <cellStyle name="Migliaia [0] 26 2 2 3" xfId="50704" xr:uid="{00000000-0005-0000-0000-000002A20000}"/>
    <cellStyle name="Migliaia [0] 26 2 3" xfId="11254" xr:uid="{00000000-0005-0000-0000-000003A20000}"/>
    <cellStyle name="Migliaia [0] 26 3" xfId="3102" xr:uid="{00000000-0005-0000-0000-000004A20000}"/>
    <cellStyle name="Migliaia [0] 26 3 2" xfId="28203" xr:uid="{00000000-0005-0000-0000-000005A20000}"/>
    <cellStyle name="Migliaia [0] 26 3 3" xfId="43176" xr:uid="{00000000-0005-0000-0000-000006A20000}"/>
    <cellStyle name="Migliaia [0] 26 3 4" xfId="11921" xr:uid="{00000000-0005-0000-0000-000007A20000}"/>
    <cellStyle name="Migliaia [0] 26 4" xfId="19121" xr:uid="{00000000-0005-0000-0000-000008A20000}"/>
    <cellStyle name="Migliaia [0] 26 4 2" xfId="35202" xr:uid="{00000000-0005-0000-0000-000009A20000}"/>
    <cellStyle name="Migliaia [0] 26 4 3" xfId="50158" xr:uid="{00000000-0005-0000-0000-00000AA20000}"/>
    <cellStyle name="Migliaia [0] 26 5" xfId="21206" xr:uid="{00000000-0005-0000-0000-00000BA20000}"/>
    <cellStyle name="Migliaia [0] 26 6" xfId="36177" xr:uid="{00000000-0005-0000-0000-00000CA20000}"/>
    <cellStyle name="Migliaia [0] 26 7" xfId="51114" xr:uid="{00000000-0005-0000-0000-00000DA20000}"/>
    <cellStyle name="Migliaia [0] 26 8" xfId="51508" xr:uid="{00000000-0005-0000-0000-00000EA20000}"/>
    <cellStyle name="Migliaia [0] 26 9" xfId="51914" xr:uid="{00000000-0005-0000-0000-00000FA20000}"/>
    <cellStyle name="Migliaia [0] 27" xfId="1139" xr:uid="{00000000-0005-0000-0000-000010A20000}"/>
    <cellStyle name="Migliaia [0] 27 10" xfId="52323" xr:uid="{00000000-0005-0000-0000-000011A20000}"/>
    <cellStyle name="Migliaia [0] 27 11" xfId="3472" xr:uid="{00000000-0005-0000-0000-000012A20000}"/>
    <cellStyle name="Migliaia [0] 27 2" xfId="2734" xr:uid="{00000000-0005-0000-0000-000013A20000}"/>
    <cellStyle name="Migliaia [0] 27 2 2" xfId="20123" xr:uid="{00000000-0005-0000-0000-000014A20000}"/>
    <cellStyle name="Migliaia [0] 27 2 2 2" xfId="35749" xr:uid="{00000000-0005-0000-0000-000015A20000}"/>
    <cellStyle name="Migliaia [0] 27 2 2 3" xfId="50705" xr:uid="{00000000-0005-0000-0000-000016A20000}"/>
    <cellStyle name="Migliaia [0] 27 2 3" xfId="11255" xr:uid="{00000000-0005-0000-0000-000017A20000}"/>
    <cellStyle name="Migliaia [0] 27 3" xfId="3103" xr:uid="{00000000-0005-0000-0000-000018A20000}"/>
    <cellStyle name="Migliaia [0] 27 3 2" xfId="28204" xr:uid="{00000000-0005-0000-0000-000019A20000}"/>
    <cellStyle name="Migliaia [0] 27 3 3" xfId="43177" xr:uid="{00000000-0005-0000-0000-00001AA20000}"/>
    <cellStyle name="Migliaia [0] 27 3 4" xfId="11922" xr:uid="{00000000-0005-0000-0000-00001BA20000}"/>
    <cellStyle name="Migliaia [0] 27 4" xfId="19122" xr:uid="{00000000-0005-0000-0000-00001CA20000}"/>
    <cellStyle name="Migliaia [0] 27 4 2" xfId="35203" xr:uid="{00000000-0005-0000-0000-00001DA20000}"/>
    <cellStyle name="Migliaia [0] 27 4 3" xfId="50159" xr:uid="{00000000-0005-0000-0000-00001EA20000}"/>
    <cellStyle name="Migliaia [0] 27 5" xfId="21207" xr:uid="{00000000-0005-0000-0000-00001FA20000}"/>
    <cellStyle name="Migliaia [0] 27 6" xfId="36178" xr:uid="{00000000-0005-0000-0000-000020A20000}"/>
    <cellStyle name="Migliaia [0] 27 7" xfId="51115" xr:uid="{00000000-0005-0000-0000-000021A20000}"/>
    <cellStyle name="Migliaia [0] 27 8" xfId="51509" xr:uid="{00000000-0005-0000-0000-000022A20000}"/>
    <cellStyle name="Migliaia [0] 27 9" xfId="51915" xr:uid="{00000000-0005-0000-0000-000023A20000}"/>
    <cellStyle name="Migliaia [0] 28" xfId="1140" xr:uid="{00000000-0005-0000-0000-000024A20000}"/>
    <cellStyle name="Migliaia [0] 28 10" xfId="52324" xr:uid="{00000000-0005-0000-0000-000025A20000}"/>
    <cellStyle name="Migliaia [0] 28 11" xfId="3473" xr:uid="{00000000-0005-0000-0000-000026A20000}"/>
    <cellStyle name="Migliaia [0] 28 2" xfId="2735" xr:uid="{00000000-0005-0000-0000-000027A20000}"/>
    <cellStyle name="Migliaia [0] 28 2 2" xfId="20124" xr:uid="{00000000-0005-0000-0000-000028A20000}"/>
    <cellStyle name="Migliaia [0] 28 2 2 2" xfId="35750" xr:uid="{00000000-0005-0000-0000-000029A20000}"/>
    <cellStyle name="Migliaia [0] 28 2 2 3" xfId="50706" xr:uid="{00000000-0005-0000-0000-00002AA20000}"/>
    <cellStyle name="Migliaia [0] 28 2 3" xfId="11256" xr:uid="{00000000-0005-0000-0000-00002BA20000}"/>
    <cellStyle name="Migliaia [0] 28 3" xfId="3104" xr:uid="{00000000-0005-0000-0000-00002CA20000}"/>
    <cellStyle name="Migliaia [0] 28 3 2" xfId="28205" xr:uid="{00000000-0005-0000-0000-00002DA20000}"/>
    <cellStyle name="Migliaia [0] 28 3 3" xfId="43178" xr:uid="{00000000-0005-0000-0000-00002EA20000}"/>
    <cellStyle name="Migliaia [0] 28 3 4" xfId="11923" xr:uid="{00000000-0005-0000-0000-00002FA20000}"/>
    <cellStyle name="Migliaia [0] 28 4" xfId="19123" xr:uid="{00000000-0005-0000-0000-000030A20000}"/>
    <cellStyle name="Migliaia [0] 28 4 2" xfId="35204" xr:uid="{00000000-0005-0000-0000-000031A20000}"/>
    <cellStyle name="Migliaia [0] 28 4 3" xfId="50160" xr:uid="{00000000-0005-0000-0000-000032A20000}"/>
    <cellStyle name="Migliaia [0] 28 5" xfId="21208" xr:uid="{00000000-0005-0000-0000-000033A20000}"/>
    <cellStyle name="Migliaia [0] 28 6" xfId="36179" xr:uid="{00000000-0005-0000-0000-000034A20000}"/>
    <cellStyle name="Migliaia [0] 28 7" xfId="51116" xr:uid="{00000000-0005-0000-0000-000035A20000}"/>
    <cellStyle name="Migliaia [0] 28 8" xfId="51510" xr:uid="{00000000-0005-0000-0000-000036A20000}"/>
    <cellStyle name="Migliaia [0] 28 9" xfId="51916" xr:uid="{00000000-0005-0000-0000-000037A20000}"/>
    <cellStyle name="Migliaia [0] 29" xfId="1141" xr:uid="{00000000-0005-0000-0000-000038A20000}"/>
    <cellStyle name="Migliaia [0] 29 10" xfId="52325" xr:uid="{00000000-0005-0000-0000-000039A20000}"/>
    <cellStyle name="Migliaia [0] 29 11" xfId="3474" xr:uid="{00000000-0005-0000-0000-00003AA20000}"/>
    <cellStyle name="Migliaia [0] 29 2" xfId="2736" xr:uid="{00000000-0005-0000-0000-00003BA20000}"/>
    <cellStyle name="Migliaia [0] 29 2 2" xfId="20125" xr:uid="{00000000-0005-0000-0000-00003CA20000}"/>
    <cellStyle name="Migliaia [0] 29 2 2 2" xfId="35751" xr:uid="{00000000-0005-0000-0000-00003DA20000}"/>
    <cellStyle name="Migliaia [0] 29 2 2 3" xfId="50707" xr:uid="{00000000-0005-0000-0000-00003EA20000}"/>
    <cellStyle name="Migliaia [0] 29 2 3" xfId="11257" xr:uid="{00000000-0005-0000-0000-00003FA20000}"/>
    <cellStyle name="Migliaia [0] 29 3" xfId="3105" xr:uid="{00000000-0005-0000-0000-000040A20000}"/>
    <cellStyle name="Migliaia [0] 29 3 2" xfId="28206" xr:uid="{00000000-0005-0000-0000-000041A20000}"/>
    <cellStyle name="Migliaia [0] 29 3 3" xfId="43179" xr:uid="{00000000-0005-0000-0000-000042A20000}"/>
    <cellStyle name="Migliaia [0] 29 3 4" xfId="11924" xr:uid="{00000000-0005-0000-0000-000043A20000}"/>
    <cellStyle name="Migliaia [0] 29 4" xfId="19124" xr:uid="{00000000-0005-0000-0000-000044A20000}"/>
    <cellStyle name="Migliaia [0] 29 4 2" xfId="35205" xr:uid="{00000000-0005-0000-0000-000045A20000}"/>
    <cellStyle name="Migliaia [0] 29 4 3" xfId="50161" xr:uid="{00000000-0005-0000-0000-000046A20000}"/>
    <cellStyle name="Migliaia [0] 29 5" xfId="21209" xr:uid="{00000000-0005-0000-0000-000047A20000}"/>
    <cellStyle name="Migliaia [0] 29 6" xfId="36180" xr:uid="{00000000-0005-0000-0000-000048A20000}"/>
    <cellStyle name="Migliaia [0] 29 7" xfId="51117" xr:uid="{00000000-0005-0000-0000-000049A20000}"/>
    <cellStyle name="Migliaia [0] 29 8" xfId="51511" xr:uid="{00000000-0005-0000-0000-00004AA20000}"/>
    <cellStyle name="Migliaia [0] 29 9" xfId="51917" xr:uid="{00000000-0005-0000-0000-00004BA20000}"/>
    <cellStyle name="Migliaia [0] 3" xfId="1142" xr:uid="{00000000-0005-0000-0000-00004CA20000}"/>
    <cellStyle name="Migliaia [0] 3 10" xfId="52326" xr:uid="{00000000-0005-0000-0000-00004DA20000}"/>
    <cellStyle name="Migliaia [0] 3 11" xfId="3475" xr:uid="{00000000-0005-0000-0000-00004EA20000}"/>
    <cellStyle name="Migliaia [0] 3 2" xfId="2737" xr:uid="{00000000-0005-0000-0000-00004FA20000}"/>
    <cellStyle name="Migliaia [0] 3 2 2" xfId="20126" xr:uid="{00000000-0005-0000-0000-000050A20000}"/>
    <cellStyle name="Migliaia [0] 3 2 2 2" xfId="35752" xr:uid="{00000000-0005-0000-0000-000051A20000}"/>
    <cellStyle name="Migliaia [0] 3 2 2 3" xfId="50708" xr:uid="{00000000-0005-0000-0000-000052A20000}"/>
    <cellStyle name="Migliaia [0] 3 2 3" xfId="11258" xr:uid="{00000000-0005-0000-0000-000053A20000}"/>
    <cellStyle name="Migliaia [0] 3 3" xfId="3106" xr:uid="{00000000-0005-0000-0000-000054A20000}"/>
    <cellStyle name="Migliaia [0] 3 3 2" xfId="28207" xr:uid="{00000000-0005-0000-0000-000055A20000}"/>
    <cellStyle name="Migliaia [0] 3 3 3" xfId="43180" xr:uid="{00000000-0005-0000-0000-000056A20000}"/>
    <cellStyle name="Migliaia [0] 3 3 4" xfId="11925" xr:uid="{00000000-0005-0000-0000-000057A20000}"/>
    <cellStyle name="Migliaia [0] 3 4" xfId="19125" xr:uid="{00000000-0005-0000-0000-000058A20000}"/>
    <cellStyle name="Migliaia [0] 3 4 2" xfId="35206" xr:uid="{00000000-0005-0000-0000-000059A20000}"/>
    <cellStyle name="Migliaia [0] 3 4 3" xfId="50162" xr:uid="{00000000-0005-0000-0000-00005AA20000}"/>
    <cellStyle name="Migliaia [0] 3 5" xfId="21210" xr:uid="{00000000-0005-0000-0000-00005BA20000}"/>
    <cellStyle name="Migliaia [0] 3 6" xfId="36181" xr:uid="{00000000-0005-0000-0000-00005CA20000}"/>
    <cellStyle name="Migliaia [0] 3 7" xfId="51118" xr:uid="{00000000-0005-0000-0000-00005DA20000}"/>
    <cellStyle name="Migliaia [0] 3 8" xfId="51512" xr:uid="{00000000-0005-0000-0000-00005EA20000}"/>
    <cellStyle name="Migliaia [0] 3 9" xfId="51918" xr:uid="{00000000-0005-0000-0000-00005FA20000}"/>
    <cellStyle name="Migliaia [0] 30" xfId="1143" xr:uid="{00000000-0005-0000-0000-000060A20000}"/>
    <cellStyle name="Migliaia [0] 30 10" xfId="52327" xr:uid="{00000000-0005-0000-0000-000061A20000}"/>
    <cellStyle name="Migliaia [0] 30 11" xfId="3476" xr:uid="{00000000-0005-0000-0000-000062A20000}"/>
    <cellStyle name="Migliaia [0] 30 2" xfId="2738" xr:uid="{00000000-0005-0000-0000-000063A20000}"/>
    <cellStyle name="Migliaia [0] 30 2 2" xfId="20127" xr:uid="{00000000-0005-0000-0000-000064A20000}"/>
    <cellStyle name="Migliaia [0] 30 2 2 2" xfId="35753" xr:uid="{00000000-0005-0000-0000-000065A20000}"/>
    <cellStyle name="Migliaia [0] 30 2 2 3" xfId="50709" xr:uid="{00000000-0005-0000-0000-000066A20000}"/>
    <cellStyle name="Migliaia [0] 30 2 3" xfId="11259" xr:uid="{00000000-0005-0000-0000-000067A20000}"/>
    <cellStyle name="Migliaia [0] 30 3" xfId="3107" xr:uid="{00000000-0005-0000-0000-000068A20000}"/>
    <cellStyle name="Migliaia [0] 30 3 2" xfId="28208" xr:uid="{00000000-0005-0000-0000-000069A20000}"/>
    <cellStyle name="Migliaia [0] 30 3 3" xfId="43181" xr:uid="{00000000-0005-0000-0000-00006AA20000}"/>
    <cellStyle name="Migliaia [0] 30 3 4" xfId="11926" xr:uid="{00000000-0005-0000-0000-00006BA20000}"/>
    <cellStyle name="Migliaia [0] 30 4" xfId="19126" xr:uid="{00000000-0005-0000-0000-00006CA20000}"/>
    <cellStyle name="Migliaia [0] 30 4 2" xfId="35207" xr:uid="{00000000-0005-0000-0000-00006DA20000}"/>
    <cellStyle name="Migliaia [0] 30 4 3" xfId="50163" xr:uid="{00000000-0005-0000-0000-00006EA20000}"/>
    <cellStyle name="Migliaia [0] 30 5" xfId="21211" xr:uid="{00000000-0005-0000-0000-00006FA20000}"/>
    <cellStyle name="Migliaia [0] 30 6" xfId="36182" xr:uid="{00000000-0005-0000-0000-000070A20000}"/>
    <cellStyle name="Migliaia [0] 30 7" xfId="51119" xr:uid="{00000000-0005-0000-0000-000071A20000}"/>
    <cellStyle name="Migliaia [0] 30 8" xfId="51513" xr:uid="{00000000-0005-0000-0000-000072A20000}"/>
    <cellStyle name="Migliaia [0] 30 9" xfId="51919" xr:uid="{00000000-0005-0000-0000-000073A20000}"/>
    <cellStyle name="Migliaia [0] 31" xfId="1144" xr:uid="{00000000-0005-0000-0000-000074A20000}"/>
    <cellStyle name="Migliaia [0] 31 10" xfId="52328" xr:uid="{00000000-0005-0000-0000-000075A20000}"/>
    <cellStyle name="Migliaia [0] 31 11" xfId="3477" xr:uid="{00000000-0005-0000-0000-000076A20000}"/>
    <cellStyle name="Migliaia [0] 31 2" xfId="2739" xr:uid="{00000000-0005-0000-0000-000077A20000}"/>
    <cellStyle name="Migliaia [0] 31 2 2" xfId="20128" xr:uid="{00000000-0005-0000-0000-000078A20000}"/>
    <cellStyle name="Migliaia [0] 31 2 2 2" xfId="35754" xr:uid="{00000000-0005-0000-0000-000079A20000}"/>
    <cellStyle name="Migliaia [0] 31 2 2 3" xfId="50710" xr:uid="{00000000-0005-0000-0000-00007AA20000}"/>
    <cellStyle name="Migliaia [0] 31 2 3" xfId="11260" xr:uid="{00000000-0005-0000-0000-00007BA20000}"/>
    <cellStyle name="Migliaia [0] 31 3" xfId="3108" xr:uid="{00000000-0005-0000-0000-00007CA20000}"/>
    <cellStyle name="Migliaia [0] 31 3 2" xfId="28209" xr:uid="{00000000-0005-0000-0000-00007DA20000}"/>
    <cellStyle name="Migliaia [0] 31 3 3" xfId="43182" xr:uid="{00000000-0005-0000-0000-00007EA20000}"/>
    <cellStyle name="Migliaia [0] 31 3 4" xfId="11927" xr:uid="{00000000-0005-0000-0000-00007FA20000}"/>
    <cellStyle name="Migliaia [0] 31 4" xfId="19127" xr:uid="{00000000-0005-0000-0000-000080A20000}"/>
    <cellStyle name="Migliaia [0] 31 4 2" xfId="35208" xr:uid="{00000000-0005-0000-0000-000081A20000}"/>
    <cellStyle name="Migliaia [0] 31 4 3" xfId="50164" xr:uid="{00000000-0005-0000-0000-000082A20000}"/>
    <cellStyle name="Migliaia [0] 31 5" xfId="21212" xr:uid="{00000000-0005-0000-0000-000083A20000}"/>
    <cellStyle name="Migliaia [0] 31 6" xfId="36183" xr:uid="{00000000-0005-0000-0000-000084A20000}"/>
    <cellStyle name="Migliaia [0] 31 7" xfId="51120" xr:uid="{00000000-0005-0000-0000-000085A20000}"/>
    <cellStyle name="Migliaia [0] 31 8" xfId="51514" xr:uid="{00000000-0005-0000-0000-000086A20000}"/>
    <cellStyle name="Migliaia [0] 31 9" xfId="51920" xr:uid="{00000000-0005-0000-0000-000087A20000}"/>
    <cellStyle name="Migliaia [0] 32" xfId="1145" xr:uid="{00000000-0005-0000-0000-000088A20000}"/>
    <cellStyle name="Migliaia [0] 32 10" xfId="52329" xr:uid="{00000000-0005-0000-0000-000089A20000}"/>
    <cellStyle name="Migliaia [0] 32 11" xfId="3478" xr:uid="{00000000-0005-0000-0000-00008AA20000}"/>
    <cellStyle name="Migliaia [0] 32 2" xfId="2740" xr:uid="{00000000-0005-0000-0000-00008BA20000}"/>
    <cellStyle name="Migliaia [0] 32 2 2" xfId="20129" xr:uid="{00000000-0005-0000-0000-00008CA20000}"/>
    <cellStyle name="Migliaia [0] 32 2 2 2" xfId="35755" xr:uid="{00000000-0005-0000-0000-00008DA20000}"/>
    <cellStyle name="Migliaia [0] 32 2 2 3" xfId="50711" xr:uid="{00000000-0005-0000-0000-00008EA20000}"/>
    <cellStyle name="Migliaia [0] 32 2 3" xfId="11261" xr:uid="{00000000-0005-0000-0000-00008FA20000}"/>
    <cellStyle name="Migliaia [0] 32 3" xfId="3109" xr:uid="{00000000-0005-0000-0000-000090A20000}"/>
    <cellStyle name="Migliaia [0] 32 3 2" xfId="28210" xr:uid="{00000000-0005-0000-0000-000091A20000}"/>
    <cellStyle name="Migliaia [0] 32 3 3" xfId="43183" xr:uid="{00000000-0005-0000-0000-000092A20000}"/>
    <cellStyle name="Migliaia [0] 32 3 4" xfId="11928" xr:uid="{00000000-0005-0000-0000-000093A20000}"/>
    <cellStyle name="Migliaia [0] 32 4" xfId="19128" xr:uid="{00000000-0005-0000-0000-000094A20000}"/>
    <cellStyle name="Migliaia [0] 32 4 2" xfId="35209" xr:uid="{00000000-0005-0000-0000-000095A20000}"/>
    <cellStyle name="Migliaia [0] 32 4 3" xfId="50165" xr:uid="{00000000-0005-0000-0000-000096A20000}"/>
    <cellStyle name="Migliaia [0] 32 5" xfId="21213" xr:uid="{00000000-0005-0000-0000-000097A20000}"/>
    <cellStyle name="Migliaia [0] 32 6" xfId="36184" xr:uid="{00000000-0005-0000-0000-000098A20000}"/>
    <cellStyle name="Migliaia [0] 32 7" xfId="51121" xr:uid="{00000000-0005-0000-0000-000099A20000}"/>
    <cellStyle name="Migliaia [0] 32 8" xfId="51515" xr:uid="{00000000-0005-0000-0000-00009AA20000}"/>
    <cellStyle name="Migliaia [0] 32 9" xfId="51921" xr:uid="{00000000-0005-0000-0000-00009BA20000}"/>
    <cellStyle name="Migliaia [0] 33" xfId="1146" xr:uid="{00000000-0005-0000-0000-00009CA20000}"/>
    <cellStyle name="Migliaia [0] 33 10" xfId="52330" xr:uid="{00000000-0005-0000-0000-00009DA20000}"/>
    <cellStyle name="Migliaia [0] 33 11" xfId="3479" xr:uid="{00000000-0005-0000-0000-00009EA20000}"/>
    <cellStyle name="Migliaia [0] 33 2" xfId="2741" xr:uid="{00000000-0005-0000-0000-00009FA20000}"/>
    <cellStyle name="Migliaia [0] 33 2 2" xfId="20130" xr:uid="{00000000-0005-0000-0000-0000A0A20000}"/>
    <cellStyle name="Migliaia [0] 33 2 2 2" xfId="35756" xr:uid="{00000000-0005-0000-0000-0000A1A20000}"/>
    <cellStyle name="Migliaia [0] 33 2 2 3" xfId="50712" xr:uid="{00000000-0005-0000-0000-0000A2A20000}"/>
    <cellStyle name="Migliaia [0] 33 2 3" xfId="11262" xr:uid="{00000000-0005-0000-0000-0000A3A20000}"/>
    <cellStyle name="Migliaia [0] 33 3" xfId="3110" xr:uid="{00000000-0005-0000-0000-0000A4A20000}"/>
    <cellStyle name="Migliaia [0] 33 3 2" xfId="28211" xr:uid="{00000000-0005-0000-0000-0000A5A20000}"/>
    <cellStyle name="Migliaia [0] 33 3 3" xfId="43184" xr:uid="{00000000-0005-0000-0000-0000A6A20000}"/>
    <cellStyle name="Migliaia [0] 33 3 4" xfId="11929" xr:uid="{00000000-0005-0000-0000-0000A7A20000}"/>
    <cellStyle name="Migliaia [0] 33 4" xfId="19129" xr:uid="{00000000-0005-0000-0000-0000A8A20000}"/>
    <cellStyle name="Migliaia [0] 33 4 2" xfId="35210" xr:uid="{00000000-0005-0000-0000-0000A9A20000}"/>
    <cellStyle name="Migliaia [0] 33 4 3" xfId="50166" xr:uid="{00000000-0005-0000-0000-0000AAA20000}"/>
    <cellStyle name="Migliaia [0] 33 5" xfId="21214" xr:uid="{00000000-0005-0000-0000-0000ABA20000}"/>
    <cellStyle name="Migliaia [0] 33 6" xfId="36185" xr:uid="{00000000-0005-0000-0000-0000ACA20000}"/>
    <cellStyle name="Migliaia [0] 33 7" xfId="51122" xr:uid="{00000000-0005-0000-0000-0000ADA20000}"/>
    <cellStyle name="Migliaia [0] 33 8" xfId="51516" xr:uid="{00000000-0005-0000-0000-0000AEA20000}"/>
    <cellStyle name="Migliaia [0] 33 9" xfId="51922" xr:uid="{00000000-0005-0000-0000-0000AFA20000}"/>
    <cellStyle name="Migliaia [0] 34" xfId="1147" xr:uid="{00000000-0005-0000-0000-0000B0A20000}"/>
    <cellStyle name="Migliaia [0] 34 10" xfId="52331" xr:uid="{00000000-0005-0000-0000-0000B1A20000}"/>
    <cellStyle name="Migliaia [0] 34 11" xfId="3480" xr:uid="{00000000-0005-0000-0000-0000B2A20000}"/>
    <cellStyle name="Migliaia [0] 34 2" xfId="2742" xr:uid="{00000000-0005-0000-0000-0000B3A20000}"/>
    <cellStyle name="Migliaia [0] 34 2 2" xfId="20131" xr:uid="{00000000-0005-0000-0000-0000B4A20000}"/>
    <cellStyle name="Migliaia [0] 34 2 2 2" xfId="35757" xr:uid="{00000000-0005-0000-0000-0000B5A20000}"/>
    <cellStyle name="Migliaia [0] 34 2 2 3" xfId="50713" xr:uid="{00000000-0005-0000-0000-0000B6A20000}"/>
    <cellStyle name="Migliaia [0] 34 2 3" xfId="11263" xr:uid="{00000000-0005-0000-0000-0000B7A20000}"/>
    <cellStyle name="Migliaia [0] 34 3" xfId="3111" xr:uid="{00000000-0005-0000-0000-0000B8A20000}"/>
    <cellStyle name="Migliaia [0] 34 3 2" xfId="28212" xr:uid="{00000000-0005-0000-0000-0000B9A20000}"/>
    <cellStyle name="Migliaia [0] 34 3 3" xfId="43185" xr:uid="{00000000-0005-0000-0000-0000BAA20000}"/>
    <cellStyle name="Migliaia [0] 34 3 4" xfId="11930" xr:uid="{00000000-0005-0000-0000-0000BBA20000}"/>
    <cellStyle name="Migliaia [0] 34 4" xfId="19130" xr:uid="{00000000-0005-0000-0000-0000BCA20000}"/>
    <cellStyle name="Migliaia [0] 34 4 2" xfId="35211" xr:uid="{00000000-0005-0000-0000-0000BDA20000}"/>
    <cellStyle name="Migliaia [0] 34 4 3" xfId="50167" xr:uid="{00000000-0005-0000-0000-0000BEA20000}"/>
    <cellStyle name="Migliaia [0] 34 5" xfId="21215" xr:uid="{00000000-0005-0000-0000-0000BFA20000}"/>
    <cellStyle name="Migliaia [0] 34 6" xfId="36186" xr:uid="{00000000-0005-0000-0000-0000C0A20000}"/>
    <cellStyle name="Migliaia [0] 34 7" xfId="51123" xr:uid="{00000000-0005-0000-0000-0000C1A20000}"/>
    <cellStyle name="Migliaia [0] 34 8" xfId="51517" xr:uid="{00000000-0005-0000-0000-0000C2A20000}"/>
    <cellStyle name="Migliaia [0] 34 9" xfId="51923" xr:uid="{00000000-0005-0000-0000-0000C3A20000}"/>
    <cellStyle name="Migliaia [0] 35" xfId="1148" xr:uid="{00000000-0005-0000-0000-0000C4A20000}"/>
    <cellStyle name="Migliaia [0] 35 10" xfId="52332" xr:uid="{00000000-0005-0000-0000-0000C5A20000}"/>
    <cellStyle name="Migliaia [0] 35 11" xfId="3481" xr:uid="{00000000-0005-0000-0000-0000C6A20000}"/>
    <cellStyle name="Migliaia [0] 35 2" xfId="2743" xr:uid="{00000000-0005-0000-0000-0000C7A20000}"/>
    <cellStyle name="Migliaia [0] 35 2 2" xfId="20132" xr:uid="{00000000-0005-0000-0000-0000C8A20000}"/>
    <cellStyle name="Migliaia [0] 35 2 2 2" xfId="35758" xr:uid="{00000000-0005-0000-0000-0000C9A20000}"/>
    <cellStyle name="Migliaia [0] 35 2 2 3" xfId="50714" xr:uid="{00000000-0005-0000-0000-0000CAA20000}"/>
    <cellStyle name="Migliaia [0] 35 2 3" xfId="11264" xr:uid="{00000000-0005-0000-0000-0000CBA20000}"/>
    <cellStyle name="Migliaia [0] 35 3" xfId="3112" xr:uid="{00000000-0005-0000-0000-0000CCA20000}"/>
    <cellStyle name="Migliaia [0] 35 3 2" xfId="28213" xr:uid="{00000000-0005-0000-0000-0000CDA20000}"/>
    <cellStyle name="Migliaia [0] 35 3 3" xfId="43186" xr:uid="{00000000-0005-0000-0000-0000CEA20000}"/>
    <cellStyle name="Migliaia [0] 35 3 4" xfId="11931" xr:uid="{00000000-0005-0000-0000-0000CFA20000}"/>
    <cellStyle name="Migliaia [0] 35 4" xfId="19131" xr:uid="{00000000-0005-0000-0000-0000D0A20000}"/>
    <cellStyle name="Migliaia [0] 35 4 2" xfId="35212" xr:uid="{00000000-0005-0000-0000-0000D1A20000}"/>
    <cellStyle name="Migliaia [0] 35 4 3" xfId="50168" xr:uid="{00000000-0005-0000-0000-0000D2A20000}"/>
    <cellStyle name="Migliaia [0] 35 5" xfId="21216" xr:uid="{00000000-0005-0000-0000-0000D3A20000}"/>
    <cellStyle name="Migliaia [0] 35 6" xfId="36187" xr:uid="{00000000-0005-0000-0000-0000D4A20000}"/>
    <cellStyle name="Migliaia [0] 35 7" xfId="51124" xr:uid="{00000000-0005-0000-0000-0000D5A20000}"/>
    <cellStyle name="Migliaia [0] 35 8" xfId="51518" xr:uid="{00000000-0005-0000-0000-0000D6A20000}"/>
    <cellStyle name="Migliaia [0] 35 9" xfId="51924" xr:uid="{00000000-0005-0000-0000-0000D7A20000}"/>
    <cellStyle name="Migliaia [0] 36" xfId="1149" xr:uid="{00000000-0005-0000-0000-0000D8A20000}"/>
    <cellStyle name="Migliaia [0] 36 10" xfId="52333" xr:uid="{00000000-0005-0000-0000-0000D9A20000}"/>
    <cellStyle name="Migliaia [0] 36 11" xfId="3482" xr:uid="{00000000-0005-0000-0000-0000DAA20000}"/>
    <cellStyle name="Migliaia [0] 36 2" xfId="2744" xr:uid="{00000000-0005-0000-0000-0000DBA20000}"/>
    <cellStyle name="Migliaia [0] 36 2 2" xfId="20133" xr:uid="{00000000-0005-0000-0000-0000DCA20000}"/>
    <cellStyle name="Migliaia [0] 36 2 2 2" xfId="35759" xr:uid="{00000000-0005-0000-0000-0000DDA20000}"/>
    <cellStyle name="Migliaia [0] 36 2 2 3" xfId="50715" xr:uid="{00000000-0005-0000-0000-0000DEA20000}"/>
    <cellStyle name="Migliaia [0] 36 2 3" xfId="11265" xr:uid="{00000000-0005-0000-0000-0000DFA20000}"/>
    <cellStyle name="Migliaia [0] 36 3" xfId="3113" xr:uid="{00000000-0005-0000-0000-0000E0A20000}"/>
    <cellStyle name="Migliaia [0] 36 3 2" xfId="28214" xr:uid="{00000000-0005-0000-0000-0000E1A20000}"/>
    <cellStyle name="Migliaia [0] 36 3 3" xfId="43187" xr:uid="{00000000-0005-0000-0000-0000E2A20000}"/>
    <cellStyle name="Migliaia [0] 36 3 4" xfId="11932" xr:uid="{00000000-0005-0000-0000-0000E3A20000}"/>
    <cellStyle name="Migliaia [0] 36 4" xfId="19132" xr:uid="{00000000-0005-0000-0000-0000E4A20000}"/>
    <cellStyle name="Migliaia [0] 36 4 2" xfId="35213" xr:uid="{00000000-0005-0000-0000-0000E5A20000}"/>
    <cellStyle name="Migliaia [0] 36 4 3" xfId="50169" xr:uid="{00000000-0005-0000-0000-0000E6A20000}"/>
    <cellStyle name="Migliaia [0] 36 5" xfId="21217" xr:uid="{00000000-0005-0000-0000-0000E7A20000}"/>
    <cellStyle name="Migliaia [0] 36 6" xfId="36188" xr:uid="{00000000-0005-0000-0000-0000E8A20000}"/>
    <cellStyle name="Migliaia [0] 36 7" xfId="51125" xr:uid="{00000000-0005-0000-0000-0000E9A20000}"/>
    <cellStyle name="Migliaia [0] 36 8" xfId="51519" xr:uid="{00000000-0005-0000-0000-0000EAA20000}"/>
    <cellStyle name="Migliaia [0] 36 9" xfId="51925" xr:uid="{00000000-0005-0000-0000-0000EBA20000}"/>
    <cellStyle name="Migliaia [0] 37" xfId="1150" xr:uid="{00000000-0005-0000-0000-0000ECA20000}"/>
    <cellStyle name="Migliaia [0] 37 10" xfId="52334" xr:uid="{00000000-0005-0000-0000-0000EDA20000}"/>
    <cellStyle name="Migliaia [0] 37 11" xfId="3483" xr:uid="{00000000-0005-0000-0000-0000EEA20000}"/>
    <cellStyle name="Migliaia [0] 37 2" xfId="2745" xr:uid="{00000000-0005-0000-0000-0000EFA20000}"/>
    <cellStyle name="Migliaia [0] 37 2 2" xfId="20134" xr:uid="{00000000-0005-0000-0000-0000F0A20000}"/>
    <cellStyle name="Migliaia [0] 37 2 2 2" xfId="35760" xr:uid="{00000000-0005-0000-0000-0000F1A20000}"/>
    <cellStyle name="Migliaia [0] 37 2 2 3" xfId="50716" xr:uid="{00000000-0005-0000-0000-0000F2A20000}"/>
    <cellStyle name="Migliaia [0] 37 2 3" xfId="11266" xr:uid="{00000000-0005-0000-0000-0000F3A20000}"/>
    <cellStyle name="Migliaia [0] 37 3" xfId="3114" xr:uid="{00000000-0005-0000-0000-0000F4A20000}"/>
    <cellStyle name="Migliaia [0] 37 3 2" xfId="28215" xr:uid="{00000000-0005-0000-0000-0000F5A20000}"/>
    <cellStyle name="Migliaia [0] 37 3 3" xfId="43188" xr:uid="{00000000-0005-0000-0000-0000F6A20000}"/>
    <cellStyle name="Migliaia [0] 37 3 4" xfId="11933" xr:uid="{00000000-0005-0000-0000-0000F7A20000}"/>
    <cellStyle name="Migliaia [0] 37 4" xfId="19133" xr:uid="{00000000-0005-0000-0000-0000F8A20000}"/>
    <cellStyle name="Migliaia [0] 37 4 2" xfId="35214" xr:uid="{00000000-0005-0000-0000-0000F9A20000}"/>
    <cellStyle name="Migliaia [0] 37 4 3" xfId="50170" xr:uid="{00000000-0005-0000-0000-0000FAA20000}"/>
    <cellStyle name="Migliaia [0] 37 5" xfId="21218" xr:uid="{00000000-0005-0000-0000-0000FBA20000}"/>
    <cellStyle name="Migliaia [0] 37 6" xfId="36189" xr:uid="{00000000-0005-0000-0000-0000FCA20000}"/>
    <cellStyle name="Migliaia [0] 37 7" xfId="51126" xr:uid="{00000000-0005-0000-0000-0000FDA20000}"/>
    <cellStyle name="Migliaia [0] 37 8" xfId="51520" xr:uid="{00000000-0005-0000-0000-0000FEA20000}"/>
    <cellStyle name="Migliaia [0] 37 9" xfId="51926" xr:uid="{00000000-0005-0000-0000-0000FFA20000}"/>
    <cellStyle name="Migliaia [0] 38" xfId="1151" xr:uid="{00000000-0005-0000-0000-000000A30000}"/>
    <cellStyle name="Migliaia [0] 38 10" xfId="52335" xr:uid="{00000000-0005-0000-0000-000001A30000}"/>
    <cellStyle name="Migliaia [0] 38 11" xfId="3484" xr:uid="{00000000-0005-0000-0000-000002A30000}"/>
    <cellStyle name="Migliaia [0] 38 2" xfId="2746" xr:uid="{00000000-0005-0000-0000-000003A30000}"/>
    <cellStyle name="Migliaia [0] 38 2 2" xfId="20135" xr:uid="{00000000-0005-0000-0000-000004A30000}"/>
    <cellStyle name="Migliaia [0] 38 2 2 2" xfId="35761" xr:uid="{00000000-0005-0000-0000-000005A30000}"/>
    <cellStyle name="Migliaia [0] 38 2 2 3" xfId="50717" xr:uid="{00000000-0005-0000-0000-000006A30000}"/>
    <cellStyle name="Migliaia [0] 38 2 3" xfId="11267" xr:uid="{00000000-0005-0000-0000-000007A30000}"/>
    <cellStyle name="Migliaia [0] 38 3" xfId="3115" xr:uid="{00000000-0005-0000-0000-000008A30000}"/>
    <cellStyle name="Migliaia [0] 38 3 2" xfId="28216" xr:uid="{00000000-0005-0000-0000-000009A30000}"/>
    <cellStyle name="Migliaia [0] 38 3 3" xfId="43189" xr:uid="{00000000-0005-0000-0000-00000AA30000}"/>
    <cellStyle name="Migliaia [0] 38 3 4" xfId="11934" xr:uid="{00000000-0005-0000-0000-00000BA30000}"/>
    <cellStyle name="Migliaia [0] 38 4" xfId="19134" xr:uid="{00000000-0005-0000-0000-00000CA30000}"/>
    <cellStyle name="Migliaia [0] 38 4 2" xfId="35215" xr:uid="{00000000-0005-0000-0000-00000DA30000}"/>
    <cellStyle name="Migliaia [0] 38 4 3" xfId="50171" xr:uid="{00000000-0005-0000-0000-00000EA30000}"/>
    <cellStyle name="Migliaia [0] 38 5" xfId="21219" xr:uid="{00000000-0005-0000-0000-00000FA30000}"/>
    <cellStyle name="Migliaia [0] 38 6" xfId="36190" xr:uid="{00000000-0005-0000-0000-000010A30000}"/>
    <cellStyle name="Migliaia [0] 38 7" xfId="51127" xr:uid="{00000000-0005-0000-0000-000011A30000}"/>
    <cellStyle name="Migliaia [0] 38 8" xfId="51521" xr:uid="{00000000-0005-0000-0000-000012A30000}"/>
    <cellStyle name="Migliaia [0] 38 9" xfId="51927" xr:uid="{00000000-0005-0000-0000-000013A30000}"/>
    <cellStyle name="Migliaia [0] 39" xfId="1152" xr:uid="{00000000-0005-0000-0000-000014A30000}"/>
    <cellStyle name="Migliaia [0] 39 10" xfId="52336" xr:uid="{00000000-0005-0000-0000-000015A30000}"/>
    <cellStyle name="Migliaia [0] 39 11" xfId="3485" xr:uid="{00000000-0005-0000-0000-000016A30000}"/>
    <cellStyle name="Migliaia [0] 39 2" xfId="2747" xr:uid="{00000000-0005-0000-0000-000017A30000}"/>
    <cellStyle name="Migliaia [0] 39 2 2" xfId="20136" xr:uid="{00000000-0005-0000-0000-000018A30000}"/>
    <cellStyle name="Migliaia [0] 39 2 2 2" xfId="35762" xr:uid="{00000000-0005-0000-0000-000019A30000}"/>
    <cellStyle name="Migliaia [0] 39 2 2 3" xfId="50718" xr:uid="{00000000-0005-0000-0000-00001AA30000}"/>
    <cellStyle name="Migliaia [0] 39 2 3" xfId="11268" xr:uid="{00000000-0005-0000-0000-00001BA30000}"/>
    <cellStyle name="Migliaia [0] 39 3" xfId="3116" xr:uid="{00000000-0005-0000-0000-00001CA30000}"/>
    <cellStyle name="Migliaia [0] 39 3 2" xfId="28217" xr:uid="{00000000-0005-0000-0000-00001DA30000}"/>
    <cellStyle name="Migliaia [0] 39 3 3" xfId="43190" xr:uid="{00000000-0005-0000-0000-00001EA30000}"/>
    <cellStyle name="Migliaia [0] 39 3 4" xfId="11935" xr:uid="{00000000-0005-0000-0000-00001FA30000}"/>
    <cellStyle name="Migliaia [0] 39 4" xfId="19135" xr:uid="{00000000-0005-0000-0000-000020A30000}"/>
    <cellStyle name="Migliaia [0] 39 4 2" xfId="35216" xr:uid="{00000000-0005-0000-0000-000021A30000}"/>
    <cellStyle name="Migliaia [0] 39 4 3" xfId="50172" xr:uid="{00000000-0005-0000-0000-000022A30000}"/>
    <cellStyle name="Migliaia [0] 39 5" xfId="21220" xr:uid="{00000000-0005-0000-0000-000023A30000}"/>
    <cellStyle name="Migliaia [0] 39 6" xfId="36191" xr:uid="{00000000-0005-0000-0000-000024A30000}"/>
    <cellStyle name="Migliaia [0] 39 7" xfId="51128" xr:uid="{00000000-0005-0000-0000-000025A30000}"/>
    <cellStyle name="Migliaia [0] 39 8" xfId="51522" xr:uid="{00000000-0005-0000-0000-000026A30000}"/>
    <cellStyle name="Migliaia [0] 39 9" xfId="51928" xr:uid="{00000000-0005-0000-0000-000027A30000}"/>
    <cellStyle name="Migliaia [0] 4" xfId="1153" xr:uid="{00000000-0005-0000-0000-000028A30000}"/>
    <cellStyle name="Migliaia [0] 4 10" xfId="52337" xr:uid="{00000000-0005-0000-0000-000029A30000}"/>
    <cellStyle name="Migliaia [0] 4 11" xfId="3486" xr:uid="{00000000-0005-0000-0000-00002AA30000}"/>
    <cellStyle name="Migliaia [0] 4 2" xfId="2748" xr:uid="{00000000-0005-0000-0000-00002BA30000}"/>
    <cellStyle name="Migliaia [0] 4 2 2" xfId="20137" xr:uid="{00000000-0005-0000-0000-00002CA30000}"/>
    <cellStyle name="Migliaia [0] 4 2 2 2" xfId="35763" xr:uid="{00000000-0005-0000-0000-00002DA30000}"/>
    <cellStyle name="Migliaia [0] 4 2 2 3" xfId="50719" xr:uid="{00000000-0005-0000-0000-00002EA30000}"/>
    <cellStyle name="Migliaia [0] 4 2 3" xfId="11269" xr:uid="{00000000-0005-0000-0000-00002FA30000}"/>
    <cellStyle name="Migliaia [0] 4 3" xfId="3117" xr:uid="{00000000-0005-0000-0000-000030A30000}"/>
    <cellStyle name="Migliaia [0] 4 3 2" xfId="28218" xr:uid="{00000000-0005-0000-0000-000031A30000}"/>
    <cellStyle name="Migliaia [0] 4 3 3" xfId="43191" xr:uid="{00000000-0005-0000-0000-000032A30000}"/>
    <cellStyle name="Migliaia [0] 4 3 4" xfId="11936" xr:uid="{00000000-0005-0000-0000-000033A30000}"/>
    <cellStyle name="Migliaia [0] 4 4" xfId="19136" xr:uid="{00000000-0005-0000-0000-000034A30000}"/>
    <cellStyle name="Migliaia [0] 4 4 2" xfId="35217" xr:uid="{00000000-0005-0000-0000-000035A30000}"/>
    <cellStyle name="Migliaia [0] 4 4 3" xfId="50173" xr:uid="{00000000-0005-0000-0000-000036A30000}"/>
    <cellStyle name="Migliaia [0] 4 5" xfId="21221" xr:uid="{00000000-0005-0000-0000-000037A30000}"/>
    <cellStyle name="Migliaia [0] 4 6" xfId="36192" xr:uid="{00000000-0005-0000-0000-000038A30000}"/>
    <cellStyle name="Migliaia [0] 4 7" xfId="51129" xr:uid="{00000000-0005-0000-0000-000039A30000}"/>
    <cellStyle name="Migliaia [0] 4 8" xfId="51523" xr:uid="{00000000-0005-0000-0000-00003AA30000}"/>
    <cellStyle name="Migliaia [0] 4 9" xfId="51929" xr:uid="{00000000-0005-0000-0000-00003BA30000}"/>
    <cellStyle name="Migliaia [0] 40" xfId="1154" xr:uid="{00000000-0005-0000-0000-00003CA30000}"/>
    <cellStyle name="Migliaia [0] 40 10" xfId="52338" xr:uid="{00000000-0005-0000-0000-00003DA30000}"/>
    <cellStyle name="Migliaia [0] 40 11" xfId="3487" xr:uid="{00000000-0005-0000-0000-00003EA30000}"/>
    <cellStyle name="Migliaia [0] 40 2" xfId="2749" xr:uid="{00000000-0005-0000-0000-00003FA30000}"/>
    <cellStyle name="Migliaia [0] 40 2 2" xfId="20138" xr:uid="{00000000-0005-0000-0000-000040A30000}"/>
    <cellStyle name="Migliaia [0] 40 2 2 2" xfId="35764" xr:uid="{00000000-0005-0000-0000-000041A30000}"/>
    <cellStyle name="Migliaia [0] 40 2 2 3" xfId="50720" xr:uid="{00000000-0005-0000-0000-000042A30000}"/>
    <cellStyle name="Migliaia [0] 40 2 3" xfId="11270" xr:uid="{00000000-0005-0000-0000-000043A30000}"/>
    <cellStyle name="Migliaia [0] 40 3" xfId="3118" xr:uid="{00000000-0005-0000-0000-000044A30000}"/>
    <cellStyle name="Migliaia [0] 40 3 2" xfId="28219" xr:uid="{00000000-0005-0000-0000-000045A30000}"/>
    <cellStyle name="Migliaia [0] 40 3 3" xfId="43192" xr:uid="{00000000-0005-0000-0000-000046A30000}"/>
    <cellStyle name="Migliaia [0] 40 3 4" xfId="11937" xr:uid="{00000000-0005-0000-0000-000047A30000}"/>
    <cellStyle name="Migliaia [0] 40 4" xfId="19137" xr:uid="{00000000-0005-0000-0000-000048A30000}"/>
    <cellStyle name="Migliaia [0] 40 4 2" xfId="35218" xr:uid="{00000000-0005-0000-0000-000049A30000}"/>
    <cellStyle name="Migliaia [0] 40 4 3" xfId="50174" xr:uid="{00000000-0005-0000-0000-00004AA30000}"/>
    <cellStyle name="Migliaia [0] 40 5" xfId="21222" xr:uid="{00000000-0005-0000-0000-00004BA30000}"/>
    <cellStyle name="Migliaia [0] 40 6" xfId="36193" xr:uid="{00000000-0005-0000-0000-00004CA30000}"/>
    <cellStyle name="Migliaia [0] 40 7" xfId="51130" xr:uid="{00000000-0005-0000-0000-00004DA30000}"/>
    <cellStyle name="Migliaia [0] 40 8" xfId="51524" xr:uid="{00000000-0005-0000-0000-00004EA30000}"/>
    <cellStyle name="Migliaia [0] 40 9" xfId="51930" xr:uid="{00000000-0005-0000-0000-00004FA30000}"/>
    <cellStyle name="Migliaia [0] 41" xfId="1155" xr:uid="{00000000-0005-0000-0000-000050A30000}"/>
    <cellStyle name="Migliaia [0] 41 10" xfId="52339" xr:uid="{00000000-0005-0000-0000-000051A30000}"/>
    <cellStyle name="Migliaia [0] 41 11" xfId="3488" xr:uid="{00000000-0005-0000-0000-000052A30000}"/>
    <cellStyle name="Migliaia [0] 41 2" xfId="2750" xr:uid="{00000000-0005-0000-0000-000053A30000}"/>
    <cellStyle name="Migliaia [0] 41 2 2" xfId="20139" xr:uid="{00000000-0005-0000-0000-000054A30000}"/>
    <cellStyle name="Migliaia [0] 41 2 2 2" xfId="35765" xr:uid="{00000000-0005-0000-0000-000055A30000}"/>
    <cellStyle name="Migliaia [0] 41 2 2 3" xfId="50721" xr:uid="{00000000-0005-0000-0000-000056A30000}"/>
    <cellStyle name="Migliaia [0] 41 2 3" xfId="11271" xr:uid="{00000000-0005-0000-0000-000057A30000}"/>
    <cellStyle name="Migliaia [0] 41 3" xfId="3119" xr:uid="{00000000-0005-0000-0000-000058A30000}"/>
    <cellStyle name="Migliaia [0] 41 3 2" xfId="28220" xr:uid="{00000000-0005-0000-0000-000059A30000}"/>
    <cellStyle name="Migliaia [0] 41 3 3" xfId="43193" xr:uid="{00000000-0005-0000-0000-00005AA30000}"/>
    <cellStyle name="Migliaia [0] 41 3 4" xfId="11938" xr:uid="{00000000-0005-0000-0000-00005BA30000}"/>
    <cellStyle name="Migliaia [0] 41 4" xfId="19138" xr:uid="{00000000-0005-0000-0000-00005CA30000}"/>
    <cellStyle name="Migliaia [0] 41 4 2" xfId="35219" xr:uid="{00000000-0005-0000-0000-00005DA30000}"/>
    <cellStyle name="Migliaia [0] 41 4 3" xfId="50175" xr:uid="{00000000-0005-0000-0000-00005EA30000}"/>
    <cellStyle name="Migliaia [0] 41 5" xfId="21223" xr:uid="{00000000-0005-0000-0000-00005FA30000}"/>
    <cellStyle name="Migliaia [0] 41 6" xfId="36194" xr:uid="{00000000-0005-0000-0000-000060A30000}"/>
    <cellStyle name="Migliaia [0] 41 7" xfId="51131" xr:uid="{00000000-0005-0000-0000-000061A30000}"/>
    <cellStyle name="Migliaia [0] 41 8" xfId="51525" xr:uid="{00000000-0005-0000-0000-000062A30000}"/>
    <cellStyle name="Migliaia [0] 41 9" xfId="51931" xr:uid="{00000000-0005-0000-0000-000063A30000}"/>
    <cellStyle name="Migliaia [0] 42" xfId="1156" xr:uid="{00000000-0005-0000-0000-000064A30000}"/>
    <cellStyle name="Migliaia [0] 42 10" xfId="52340" xr:uid="{00000000-0005-0000-0000-000065A30000}"/>
    <cellStyle name="Migliaia [0] 42 11" xfId="3489" xr:uid="{00000000-0005-0000-0000-000066A30000}"/>
    <cellStyle name="Migliaia [0] 42 2" xfId="2751" xr:uid="{00000000-0005-0000-0000-000067A30000}"/>
    <cellStyle name="Migliaia [0] 42 2 2" xfId="20140" xr:uid="{00000000-0005-0000-0000-000068A30000}"/>
    <cellStyle name="Migliaia [0] 42 2 2 2" xfId="35766" xr:uid="{00000000-0005-0000-0000-000069A30000}"/>
    <cellStyle name="Migliaia [0] 42 2 2 3" xfId="50722" xr:uid="{00000000-0005-0000-0000-00006AA30000}"/>
    <cellStyle name="Migliaia [0] 42 2 3" xfId="11272" xr:uid="{00000000-0005-0000-0000-00006BA30000}"/>
    <cellStyle name="Migliaia [0] 42 3" xfId="3120" xr:uid="{00000000-0005-0000-0000-00006CA30000}"/>
    <cellStyle name="Migliaia [0] 42 3 2" xfId="28221" xr:uid="{00000000-0005-0000-0000-00006DA30000}"/>
    <cellStyle name="Migliaia [0] 42 3 3" xfId="43194" xr:uid="{00000000-0005-0000-0000-00006EA30000}"/>
    <cellStyle name="Migliaia [0] 42 3 4" xfId="11939" xr:uid="{00000000-0005-0000-0000-00006FA30000}"/>
    <cellStyle name="Migliaia [0] 42 4" xfId="19139" xr:uid="{00000000-0005-0000-0000-000070A30000}"/>
    <cellStyle name="Migliaia [0] 42 4 2" xfId="35220" xr:uid="{00000000-0005-0000-0000-000071A30000}"/>
    <cellStyle name="Migliaia [0] 42 4 3" xfId="50176" xr:uid="{00000000-0005-0000-0000-000072A30000}"/>
    <cellStyle name="Migliaia [0] 42 5" xfId="21224" xr:uid="{00000000-0005-0000-0000-000073A30000}"/>
    <cellStyle name="Migliaia [0] 42 6" xfId="36195" xr:uid="{00000000-0005-0000-0000-000074A30000}"/>
    <cellStyle name="Migliaia [0] 42 7" xfId="51132" xr:uid="{00000000-0005-0000-0000-000075A30000}"/>
    <cellStyle name="Migliaia [0] 42 8" xfId="51526" xr:uid="{00000000-0005-0000-0000-000076A30000}"/>
    <cellStyle name="Migliaia [0] 42 9" xfId="51932" xr:uid="{00000000-0005-0000-0000-000077A30000}"/>
    <cellStyle name="Migliaia [0] 43" xfId="1157" xr:uid="{00000000-0005-0000-0000-000078A30000}"/>
    <cellStyle name="Migliaia [0] 43 10" xfId="52341" xr:uid="{00000000-0005-0000-0000-000079A30000}"/>
    <cellStyle name="Migliaia [0] 43 11" xfId="3490" xr:uid="{00000000-0005-0000-0000-00007AA30000}"/>
    <cellStyle name="Migliaia [0] 43 2" xfId="2752" xr:uid="{00000000-0005-0000-0000-00007BA30000}"/>
    <cellStyle name="Migliaia [0] 43 2 2" xfId="20141" xr:uid="{00000000-0005-0000-0000-00007CA30000}"/>
    <cellStyle name="Migliaia [0] 43 2 2 2" xfId="35767" xr:uid="{00000000-0005-0000-0000-00007DA30000}"/>
    <cellStyle name="Migliaia [0] 43 2 2 3" xfId="50723" xr:uid="{00000000-0005-0000-0000-00007EA30000}"/>
    <cellStyle name="Migliaia [0] 43 2 3" xfId="11273" xr:uid="{00000000-0005-0000-0000-00007FA30000}"/>
    <cellStyle name="Migliaia [0] 43 3" xfId="3121" xr:uid="{00000000-0005-0000-0000-000080A30000}"/>
    <cellStyle name="Migliaia [0] 43 3 2" xfId="28222" xr:uid="{00000000-0005-0000-0000-000081A30000}"/>
    <cellStyle name="Migliaia [0] 43 3 3" xfId="43195" xr:uid="{00000000-0005-0000-0000-000082A30000}"/>
    <cellStyle name="Migliaia [0] 43 3 4" xfId="11940" xr:uid="{00000000-0005-0000-0000-000083A30000}"/>
    <cellStyle name="Migliaia [0] 43 4" xfId="19140" xr:uid="{00000000-0005-0000-0000-000084A30000}"/>
    <cellStyle name="Migliaia [0] 43 4 2" xfId="35221" xr:uid="{00000000-0005-0000-0000-000085A30000}"/>
    <cellStyle name="Migliaia [0] 43 4 3" xfId="50177" xr:uid="{00000000-0005-0000-0000-000086A30000}"/>
    <cellStyle name="Migliaia [0] 43 5" xfId="21225" xr:uid="{00000000-0005-0000-0000-000087A30000}"/>
    <cellStyle name="Migliaia [0] 43 6" xfId="36196" xr:uid="{00000000-0005-0000-0000-000088A30000}"/>
    <cellStyle name="Migliaia [0] 43 7" xfId="51133" xr:uid="{00000000-0005-0000-0000-000089A30000}"/>
    <cellStyle name="Migliaia [0] 43 8" xfId="51527" xr:uid="{00000000-0005-0000-0000-00008AA30000}"/>
    <cellStyle name="Migliaia [0] 43 9" xfId="51933" xr:uid="{00000000-0005-0000-0000-00008BA30000}"/>
    <cellStyle name="Migliaia [0] 44" xfId="1158" xr:uid="{00000000-0005-0000-0000-00008CA30000}"/>
    <cellStyle name="Migliaia [0] 44 10" xfId="52342" xr:uid="{00000000-0005-0000-0000-00008DA30000}"/>
    <cellStyle name="Migliaia [0] 44 11" xfId="3491" xr:uid="{00000000-0005-0000-0000-00008EA30000}"/>
    <cellStyle name="Migliaia [0] 44 2" xfId="2753" xr:uid="{00000000-0005-0000-0000-00008FA30000}"/>
    <cellStyle name="Migliaia [0] 44 2 2" xfId="20142" xr:uid="{00000000-0005-0000-0000-000090A30000}"/>
    <cellStyle name="Migliaia [0] 44 2 2 2" xfId="35768" xr:uid="{00000000-0005-0000-0000-000091A30000}"/>
    <cellStyle name="Migliaia [0] 44 2 2 3" xfId="50724" xr:uid="{00000000-0005-0000-0000-000092A30000}"/>
    <cellStyle name="Migliaia [0] 44 2 3" xfId="11274" xr:uid="{00000000-0005-0000-0000-000093A30000}"/>
    <cellStyle name="Migliaia [0] 44 3" xfId="3122" xr:uid="{00000000-0005-0000-0000-000094A30000}"/>
    <cellStyle name="Migliaia [0] 44 3 2" xfId="28223" xr:uid="{00000000-0005-0000-0000-000095A30000}"/>
    <cellStyle name="Migliaia [0] 44 3 3" xfId="43196" xr:uid="{00000000-0005-0000-0000-000096A30000}"/>
    <cellStyle name="Migliaia [0] 44 3 4" xfId="11941" xr:uid="{00000000-0005-0000-0000-000097A30000}"/>
    <cellStyle name="Migliaia [0] 44 4" xfId="19141" xr:uid="{00000000-0005-0000-0000-000098A30000}"/>
    <cellStyle name="Migliaia [0] 44 4 2" xfId="35222" xr:uid="{00000000-0005-0000-0000-000099A30000}"/>
    <cellStyle name="Migliaia [0] 44 4 3" xfId="50178" xr:uid="{00000000-0005-0000-0000-00009AA30000}"/>
    <cellStyle name="Migliaia [0] 44 5" xfId="21226" xr:uid="{00000000-0005-0000-0000-00009BA30000}"/>
    <cellStyle name="Migliaia [0] 44 6" xfId="36197" xr:uid="{00000000-0005-0000-0000-00009CA30000}"/>
    <cellStyle name="Migliaia [0] 44 7" xfId="51134" xr:uid="{00000000-0005-0000-0000-00009DA30000}"/>
    <cellStyle name="Migliaia [0] 44 8" xfId="51528" xr:uid="{00000000-0005-0000-0000-00009EA30000}"/>
    <cellStyle name="Migliaia [0] 44 9" xfId="51934" xr:uid="{00000000-0005-0000-0000-00009FA30000}"/>
    <cellStyle name="Migliaia [0] 45" xfId="1159" xr:uid="{00000000-0005-0000-0000-0000A0A30000}"/>
    <cellStyle name="Migliaia [0] 45 10" xfId="52343" xr:uid="{00000000-0005-0000-0000-0000A1A30000}"/>
    <cellStyle name="Migliaia [0] 45 11" xfId="3492" xr:uid="{00000000-0005-0000-0000-0000A2A30000}"/>
    <cellStyle name="Migliaia [0] 45 2" xfId="2754" xr:uid="{00000000-0005-0000-0000-0000A3A30000}"/>
    <cellStyle name="Migliaia [0] 45 2 2" xfId="20143" xr:uid="{00000000-0005-0000-0000-0000A4A30000}"/>
    <cellStyle name="Migliaia [0] 45 2 2 2" xfId="35769" xr:uid="{00000000-0005-0000-0000-0000A5A30000}"/>
    <cellStyle name="Migliaia [0] 45 2 2 3" xfId="50725" xr:uid="{00000000-0005-0000-0000-0000A6A30000}"/>
    <cellStyle name="Migliaia [0] 45 2 3" xfId="11275" xr:uid="{00000000-0005-0000-0000-0000A7A30000}"/>
    <cellStyle name="Migliaia [0] 45 3" xfId="3123" xr:uid="{00000000-0005-0000-0000-0000A8A30000}"/>
    <cellStyle name="Migliaia [0] 45 3 2" xfId="28224" xr:uid="{00000000-0005-0000-0000-0000A9A30000}"/>
    <cellStyle name="Migliaia [0] 45 3 3" xfId="43197" xr:uid="{00000000-0005-0000-0000-0000AAA30000}"/>
    <cellStyle name="Migliaia [0] 45 3 4" xfId="11942" xr:uid="{00000000-0005-0000-0000-0000ABA30000}"/>
    <cellStyle name="Migliaia [0] 45 4" xfId="19142" xr:uid="{00000000-0005-0000-0000-0000ACA30000}"/>
    <cellStyle name="Migliaia [0] 45 4 2" xfId="35223" xr:uid="{00000000-0005-0000-0000-0000ADA30000}"/>
    <cellStyle name="Migliaia [0] 45 4 3" xfId="50179" xr:uid="{00000000-0005-0000-0000-0000AEA30000}"/>
    <cellStyle name="Migliaia [0] 45 5" xfId="21227" xr:uid="{00000000-0005-0000-0000-0000AFA30000}"/>
    <cellStyle name="Migliaia [0] 45 6" xfId="36198" xr:uid="{00000000-0005-0000-0000-0000B0A30000}"/>
    <cellStyle name="Migliaia [0] 45 7" xfId="51135" xr:uid="{00000000-0005-0000-0000-0000B1A30000}"/>
    <cellStyle name="Migliaia [0] 45 8" xfId="51529" xr:uid="{00000000-0005-0000-0000-0000B2A30000}"/>
    <cellStyle name="Migliaia [0] 45 9" xfId="51935" xr:uid="{00000000-0005-0000-0000-0000B3A30000}"/>
    <cellStyle name="Migliaia [0] 46" xfId="1160" xr:uid="{00000000-0005-0000-0000-0000B4A30000}"/>
    <cellStyle name="Migliaia [0] 46 10" xfId="52344" xr:uid="{00000000-0005-0000-0000-0000B5A30000}"/>
    <cellStyle name="Migliaia [0] 46 11" xfId="3493" xr:uid="{00000000-0005-0000-0000-0000B6A30000}"/>
    <cellStyle name="Migliaia [0] 46 2" xfId="2755" xr:uid="{00000000-0005-0000-0000-0000B7A30000}"/>
    <cellStyle name="Migliaia [0] 46 2 2" xfId="20144" xr:uid="{00000000-0005-0000-0000-0000B8A30000}"/>
    <cellStyle name="Migliaia [0] 46 2 2 2" xfId="35770" xr:uid="{00000000-0005-0000-0000-0000B9A30000}"/>
    <cellStyle name="Migliaia [0] 46 2 2 3" xfId="50726" xr:uid="{00000000-0005-0000-0000-0000BAA30000}"/>
    <cellStyle name="Migliaia [0] 46 2 3" xfId="11276" xr:uid="{00000000-0005-0000-0000-0000BBA30000}"/>
    <cellStyle name="Migliaia [0] 46 3" xfId="3124" xr:uid="{00000000-0005-0000-0000-0000BCA30000}"/>
    <cellStyle name="Migliaia [0] 46 3 2" xfId="28225" xr:uid="{00000000-0005-0000-0000-0000BDA30000}"/>
    <cellStyle name="Migliaia [0] 46 3 3" xfId="43198" xr:uid="{00000000-0005-0000-0000-0000BEA30000}"/>
    <cellStyle name="Migliaia [0] 46 3 4" xfId="11943" xr:uid="{00000000-0005-0000-0000-0000BFA30000}"/>
    <cellStyle name="Migliaia [0] 46 4" xfId="19143" xr:uid="{00000000-0005-0000-0000-0000C0A30000}"/>
    <cellStyle name="Migliaia [0] 46 4 2" xfId="35224" xr:uid="{00000000-0005-0000-0000-0000C1A30000}"/>
    <cellStyle name="Migliaia [0] 46 4 3" xfId="50180" xr:uid="{00000000-0005-0000-0000-0000C2A30000}"/>
    <cellStyle name="Migliaia [0] 46 5" xfId="21228" xr:uid="{00000000-0005-0000-0000-0000C3A30000}"/>
    <cellStyle name="Migliaia [0] 46 6" xfId="36199" xr:uid="{00000000-0005-0000-0000-0000C4A30000}"/>
    <cellStyle name="Migliaia [0] 46 7" xfId="51136" xr:uid="{00000000-0005-0000-0000-0000C5A30000}"/>
    <cellStyle name="Migliaia [0] 46 8" xfId="51530" xr:uid="{00000000-0005-0000-0000-0000C6A30000}"/>
    <cellStyle name="Migliaia [0] 46 9" xfId="51936" xr:uid="{00000000-0005-0000-0000-0000C7A30000}"/>
    <cellStyle name="Migliaia [0] 47" xfId="1161" xr:uid="{00000000-0005-0000-0000-0000C8A30000}"/>
    <cellStyle name="Migliaia [0] 47 10" xfId="52345" xr:uid="{00000000-0005-0000-0000-0000C9A30000}"/>
    <cellStyle name="Migliaia [0] 47 11" xfId="3494" xr:uid="{00000000-0005-0000-0000-0000CAA30000}"/>
    <cellStyle name="Migliaia [0] 47 2" xfId="2756" xr:uid="{00000000-0005-0000-0000-0000CBA30000}"/>
    <cellStyle name="Migliaia [0] 47 2 2" xfId="20145" xr:uid="{00000000-0005-0000-0000-0000CCA30000}"/>
    <cellStyle name="Migliaia [0] 47 2 2 2" xfId="35771" xr:uid="{00000000-0005-0000-0000-0000CDA30000}"/>
    <cellStyle name="Migliaia [0] 47 2 2 3" xfId="50727" xr:uid="{00000000-0005-0000-0000-0000CEA30000}"/>
    <cellStyle name="Migliaia [0] 47 2 3" xfId="11277" xr:uid="{00000000-0005-0000-0000-0000CFA30000}"/>
    <cellStyle name="Migliaia [0] 47 3" xfId="3125" xr:uid="{00000000-0005-0000-0000-0000D0A30000}"/>
    <cellStyle name="Migliaia [0] 47 3 2" xfId="28226" xr:uid="{00000000-0005-0000-0000-0000D1A30000}"/>
    <cellStyle name="Migliaia [0] 47 3 3" xfId="43199" xr:uid="{00000000-0005-0000-0000-0000D2A30000}"/>
    <cellStyle name="Migliaia [0] 47 3 4" xfId="11944" xr:uid="{00000000-0005-0000-0000-0000D3A30000}"/>
    <cellStyle name="Migliaia [0] 47 4" xfId="19144" xr:uid="{00000000-0005-0000-0000-0000D4A30000}"/>
    <cellStyle name="Migliaia [0] 47 4 2" xfId="35225" xr:uid="{00000000-0005-0000-0000-0000D5A30000}"/>
    <cellStyle name="Migliaia [0] 47 4 3" xfId="50181" xr:uid="{00000000-0005-0000-0000-0000D6A30000}"/>
    <cellStyle name="Migliaia [0] 47 5" xfId="21229" xr:uid="{00000000-0005-0000-0000-0000D7A30000}"/>
    <cellStyle name="Migliaia [0] 47 6" xfId="36200" xr:uid="{00000000-0005-0000-0000-0000D8A30000}"/>
    <cellStyle name="Migliaia [0] 47 7" xfId="51137" xr:uid="{00000000-0005-0000-0000-0000D9A30000}"/>
    <cellStyle name="Migliaia [0] 47 8" xfId="51531" xr:uid="{00000000-0005-0000-0000-0000DAA30000}"/>
    <cellStyle name="Migliaia [0] 47 9" xfId="51937" xr:uid="{00000000-0005-0000-0000-0000DBA30000}"/>
    <cellStyle name="Migliaia [0] 48" xfId="1162" xr:uid="{00000000-0005-0000-0000-0000DCA30000}"/>
    <cellStyle name="Migliaia [0] 48 10" xfId="52346" xr:uid="{00000000-0005-0000-0000-0000DDA30000}"/>
    <cellStyle name="Migliaia [0] 48 11" xfId="3495" xr:uid="{00000000-0005-0000-0000-0000DEA30000}"/>
    <cellStyle name="Migliaia [0] 48 2" xfId="2757" xr:uid="{00000000-0005-0000-0000-0000DFA30000}"/>
    <cellStyle name="Migliaia [0] 48 2 2" xfId="20146" xr:uid="{00000000-0005-0000-0000-0000E0A30000}"/>
    <cellStyle name="Migliaia [0] 48 2 2 2" xfId="35772" xr:uid="{00000000-0005-0000-0000-0000E1A30000}"/>
    <cellStyle name="Migliaia [0] 48 2 2 3" xfId="50728" xr:uid="{00000000-0005-0000-0000-0000E2A30000}"/>
    <cellStyle name="Migliaia [0] 48 2 3" xfId="11278" xr:uid="{00000000-0005-0000-0000-0000E3A30000}"/>
    <cellStyle name="Migliaia [0] 48 3" xfId="3126" xr:uid="{00000000-0005-0000-0000-0000E4A30000}"/>
    <cellStyle name="Migliaia [0] 48 3 2" xfId="28227" xr:uid="{00000000-0005-0000-0000-0000E5A30000}"/>
    <cellStyle name="Migliaia [0] 48 3 3" xfId="43200" xr:uid="{00000000-0005-0000-0000-0000E6A30000}"/>
    <cellStyle name="Migliaia [0] 48 3 4" xfId="11945" xr:uid="{00000000-0005-0000-0000-0000E7A30000}"/>
    <cellStyle name="Migliaia [0] 48 4" xfId="19145" xr:uid="{00000000-0005-0000-0000-0000E8A30000}"/>
    <cellStyle name="Migliaia [0] 48 4 2" xfId="35226" xr:uid="{00000000-0005-0000-0000-0000E9A30000}"/>
    <cellStyle name="Migliaia [0] 48 4 3" xfId="50182" xr:uid="{00000000-0005-0000-0000-0000EAA30000}"/>
    <cellStyle name="Migliaia [0] 48 5" xfId="21230" xr:uid="{00000000-0005-0000-0000-0000EBA30000}"/>
    <cellStyle name="Migliaia [0] 48 6" xfId="36201" xr:uid="{00000000-0005-0000-0000-0000ECA30000}"/>
    <cellStyle name="Migliaia [0] 48 7" xfId="51138" xr:uid="{00000000-0005-0000-0000-0000EDA30000}"/>
    <cellStyle name="Migliaia [0] 48 8" xfId="51532" xr:uid="{00000000-0005-0000-0000-0000EEA30000}"/>
    <cellStyle name="Migliaia [0] 48 9" xfId="51938" xr:uid="{00000000-0005-0000-0000-0000EFA30000}"/>
    <cellStyle name="Migliaia [0] 49" xfId="1163" xr:uid="{00000000-0005-0000-0000-0000F0A30000}"/>
    <cellStyle name="Migliaia [0] 49 10" xfId="52347" xr:uid="{00000000-0005-0000-0000-0000F1A30000}"/>
    <cellStyle name="Migliaia [0] 49 11" xfId="3496" xr:uid="{00000000-0005-0000-0000-0000F2A30000}"/>
    <cellStyle name="Migliaia [0] 49 2" xfId="2758" xr:uid="{00000000-0005-0000-0000-0000F3A30000}"/>
    <cellStyle name="Migliaia [0] 49 2 2" xfId="20147" xr:uid="{00000000-0005-0000-0000-0000F4A30000}"/>
    <cellStyle name="Migliaia [0] 49 2 2 2" xfId="35773" xr:uid="{00000000-0005-0000-0000-0000F5A30000}"/>
    <cellStyle name="Migliaia [0] 49 2 2 3" xfId="50729" xr:uid="{00000000-0005-0000-0000-0000F6A30000}"/>
    <cellStyle name="Migliaia [0] 49 2 3" xfId="11279" xr:uid="{00000000-0005-0000-0000-0000F7A30000}"/>
    <cellStyle name="Migliaia [0] 49 3" xfId="3127" xr:uid="{00000000-0005-0000-0000-0000F8A30000}"/>
    <cellStyle name="Migliaia [0] 49 3 2" xfId="28228" xr:uid="{00000000-0005-0000-0000-0000F9A30000}"/>
    <cellStyle name="Migliaia [0] 49 3 3" xfId="43201" xr:uid="{00000000-0005-0000-0000-0000FAA30000}"/>
    <cellStyle name="Migliaia [0] 49 3 4" xfId="11946" xr:uid="{00000000-0005-0000-0000-0000FBA30000}"/>
    <cellStyle name="Migliaia [0] 49 4" xfId="19146" xr:uid="{00000000-0005-0000-0000-0000FCA30000}"/>
    <cellStyle name="Migliaia [0] 49 4 2" xfId="35227" xr:uid="{00000000-0005-0000-0000-0000FDA30000}"/>
    <cellStyle name="Migliaia [0] 49 4 3" xfId="50183" xr:uid="{00000000-0005-0000-0000-0000FEA30000}"/>
    <cellStyle name="Migliaia [0] 49 5" xfId="21231" xr:uid="{00000000-0005-0000-0000-0000FFA30000}"/>
    <cellStyle name="Migliaia [0] 49 6" xfId="36202" xr:uid="{00000000-0005-0000-0000-000000A40000}"/>
    <cellStyle name="Migliaia [0] 49 7" xfId="51139" xr:uid="{00000000-0005-0000-0000-000001A40000}"/>
    <cellStyle name="Migliaia [0] 49 8" xfId="51533" xr:uid="{00000000-0005-0000-0000-000002A40000}"/>
    <cellStyle name="Migliaia [0] 49 9" xfId="51939" xr:uid="{00000000-0005-0000-0000-000003A40000}"/>
    <cellStyle name="Migliaia [0] 5" xfId="1164" xr:uid="{00000000-0005-0000-0000-000004A40000}"/>
    <cellStyle name="Migliaia [0] 5 10" xfId="52348" xr:uid="{00000000-0005-0000-0000-000005A40000}"/>
    <cellStyle name="Migliaia [0] 5 11" xfId="3497" xr:uid="{00000000-0005-0000-0000-000006A40000}"/>
    <cellStyle name="Migliaia [0] 5 2" xfId="2759" xr:uid="{00000000-0005-0000-0000-000007A40000}"/>
    <cellStyle name="Migliaia [0] 5 2 2" xfId="20148" xr:uid="{00000000-0005-0000-0000-000008A40000}"/>
    <cellStyle name="Migliaia [0] 5 2 2 2" xfId="35774" xr:uid="{00000000-0005-0000-0000-000009A40000}"/>
    <cellStyle name="Migliaia [0] 5 2 2 3" xfId="50730" xr:uid="{00000000-0005-0000-0000-00000AA40000}"/>
    <cellStyle name="Migliaia [0] 5 2 3" xfId="11280" xr:uid="{00000000-0005-0000-0000-00000BA40000}"/>
    <cellStyle name="Migliaia [0] 5 3" xfId="3128" xr:uid="{00000000-0005-0000-0000-00000CA40000}"/>
    <cellStyle name="Migliaia [0] 5 3 2" xfId="28229" xr:uid="{00000000-0005-0000-0000-00000DA40000}"/>
    <cellStyle name="Migliaia [0] 5 3 3" xfId="43202" xr:uid="{00000000-0005-0000-0000-00000EA40000}"/>
    <cellStyle name="Migliaia [0] 5 3 4" xfId="11947" xr:uid="{00000000-0005-0000-0000-00000FA40000}"/>
    <cellStyle name="Migliaia [0] 5 4" xfId="19147" xr:uid="{00000000-0005-0000-0000-000010A40000}"/>
    <cellStyle name="Migliaia [0] 5 4 2" xfId="35228" xr:uid="{00000000-0005-0000-0000-000011A40000}"/>
    <cellStyle name="Migliaia [0] 5 4 3" xfId="50184" xr:uid="{00000000-0005-0000-0000-000012A40000}"/>
    <cellStyle name="Migliaia [0] 5 5" xfId="21232" xr:uid="{00000000-0005-0000-0000-000013A40000}"/>
    <cellStyle name="Migliaia [0] 5 6" xfId="36203" xr:uid="{00000000-0005-0000-0000-000014A40000}"/>
    <cellStyle name="Migliaia [0] 5 7" xfId="51140" xr:uid="{00000000-0005-0000-0000-000015A40000}"/>
    <cellStyle name="Migliaia [0] 5 8" xfId="51534" xr:uid="{00000000-0005-0000-0000-000016A40000}"/>
    <cellStyle name="Migliaia [0] 5 9" xfId="51940" xr:uid="{00000000-0005-0000-0000-000017A40000}"/>
    <cellStyle name="Migliaia [0] 50" xfId="1165" xr:uid="{00000000-0005-0000-0000-000018A40000}"/>
    <cellStyle name="Migliaia [0] 50 10" xfId="52349" xr:uid="{00000000-0005-0000-0000-000019A40000}"/>
    <cellStyle name="Migliaia [0] 50 11" xfId="3498" xr:uid="{00000000-0005-0000-0000-00001AA40000}"/>
    <cellStyle name="Migliaia [0] 50 2" xfId="2760" xr:uid="{00000000-0005-0000-0000-00001BA40000}"/>
    <cellStyle name="Migliaia [0] 50 2 2" xfId="20149" xr:uid="{00000000-0005-0000-0000-00001CA40000}"/>
    <cellStyle name="Migliaia [0] 50 2 2 2" xfId="35775" xr:uid="{00000000-0005-0000-0000-00001DA40000}"/>
    <cellStyle name="Migliaia [0] 50 2 2 3" xfId="50731" xr:uid="{00000000-0005-0000-0000-00001EA40000}"/>
    <cellStyle name="Migliaia [0] 50 2 3" xfId="11281" xr:uid="{00000000-0005-0000-0000-00001FA40000}"/>
    <cellStyle name="Migliaia [0] 50 3" xfId="3129" xr:uid="{00000000-0005-0000-0000-000020A40000}"/>
    <cellStyle name="Migliaia [0] 50 3 2" xfId="28230" xr:uid="{00000000-0005-0000-0000-000021A40000}"/>
    <cellStyle name="Migliaia [0] 50 3 3" xfId="43203" xr:uid="{00000000-0005-0000-0000-000022A40000}"/>
    <cellStyle name="Migliaia [0] 50 3 4" xfId="11948" xr:uid="{00000000-0005-0000-0000-000023A40000}"/>
    <cellStyle name="Migliaia [0] 50 4" xfId="19148" xr:uid="{00000000-0005-0000-0000-000024A40000}"/>
    <cellStyle name="Migliaia [0] 50 4 2" xfId="35229" xr:uid="{00000000-0005-0000-0000-000025A40000}"/>
    <cellStyle name="Migliaia [0] 50 4 3" xfId="50185" xr:uid="{00000000-0005-0000-0000-000026A40000}"/>
    <cellStyle name="Migliaia [0] 50 5" xfId="21233" xr:uid="{00000000-0005-0000-0000-000027A40000}"/>
    <cellStyle name="Migliaia [0] 50 6" xfId="36204" xr:uid="{00000000-0005-0000-0000-000028A40000}"/>
    <cellStyle name="Migliaia [0] 50 7" xfId="51141" xr:uid="{00000000-0005-0000-0000-000029A40000}"/>
    <cellStyle name="Migliaia [0] 50 8" xfId="51535" xr:uid="{00000000-0005-0000-0000-00002AA40000}"/>
    <cellStyle name="Migliaia [0] 50 9" xfId="51941" xr:uid="{00000000-0005-0000-0000-00002BA40000}"/>
    <cellStyle name="Migliaia [0] 51" xfId="1166" xr:uid="{00000000-0005-0000-0000-00002CA40000}"/>
    <cellStyle name="Migliaia [0] 51 10" xfId="52350" xr:uid="{00000000-0005-0000-0000-00002DA40000}"/>
    <cellStyle name="Migliaia [0] 51 11" xfId="3499" xr:uid="{00000000-0005-0000-0000-00002EA40000}"/>
    <cellStyle name="Migliaia [0] 51 2" xfId="2761" xr:uid="{00000000-0005-0000-0000-00002FA40000}"/>
    <cellStyle name="Migliaia [0] 51 2 2" xfId="20150" xr:uid="{00000000-0005-0000-0000-000030A40000}"/>
    <cellStyle name="Migliaia [0] 51 2 2 2" xfId="35776" xr:uid="{00000000-0005-0000-0000-000031A40000}"/>
    <cellStyle name="Migliaia [0] 51 2 2 3" xfId="50732" xr:uid="{00000000-0005-0000-0000-000032A40000}"/>
    <cellStyle name="Migliaia [0] 51 2 3" xfId="11282" xr:uid="{00000000-0005-0000-0000-000033A40000}"/>
    <cellStyle name="Migliaia [0] 51 3" xfId="3130" xr:uid="{00000000-0005-0000-0000-000034A40000}"/>
    <cellStyle name="Migliaia [0] 51 3 2" xfId="28231" xr:uid="{00000000-0005-0000-0000-000035A40000}"/>
    <cellStyle name="Migliaia [0] 51 3 3" xfId="43204" xr:uid="{00000000-0005-0000-0000-000036A40000}"/>
    <cellStyle name="Migliaia [0] 51 3 4" xfId="11949" xr:uid="{00000000-0005-0000-0000-000037A40000}"/>
    <cellStyle name="Migliaia [0] 51 4" xfId="19149" xr:uid="{00000000-0005-0000-0000-000038A40000}"/>
    <cellStyle name="Migliaia [0] 51 4 2" xfId="35230" xr:uid="{00000000-0005-0000-0000-000039A40000}"/>
    <cellStyle name="Migliaia [0] 51 4 3" xfId="50186" xr:uid="{00000000-0005-0000-0000-00003AA40000}"/>
    <cellStyle name="Migliaia [0] 51 5" xfId="21234" xr:uid="{00000000-0005-0000-0000-00003BA40000}"/>
    <cellStyle name="Migliaia [0] 51 6" xfId="36205" xr:uid="{00000000-0005-0000-0000-00003CA40000}"/>
    <cellStyle name="Migliaia [0] 51 7" xfId="51142" xr:uid="{00000000-0005-0000-0000-00003DA40000}"/>
    <cellStyle name="Migliaia [0] 51 8" xfId="51536" xr:uid="{00000000-0005-0000-0000-00003EA40000}"/>
    <cellStyle name="Migliaia [0] 51 9" xfId="51942" xr:uid="{00000000-0005-0000-0000-00003FA40000}"/>
    <cellStyle name="Migliaia [0] 52" xfId="1167" xr:uid="{00000000-0005-0000-0000-000040A40000}"/>
    <cellStyle name="Migliaia [0] 52 10" xfId="52351" xr:uid="{00000000-0005-0000-0000-000041A40000}"/>
    <cellStyle name="Migliaia [0] 52 11" xfId="3500" xr:uid="{00000000-0005-0000-0000-000042A40000}"/>
    <cellStyle name="Migliaia [0] 52 2" xfId="2762" xr:uid="{00000000-0005-0000-0000-000043A40000}"/>
    <cellStyle name="Migliaia [0] 52 2 2" xfId="20151" xr:uid="{00000000-0005-0000-0000-000044A40000}"/>
    <cellStyle name="Migliaia [0] 52 2 2 2" xfId="35777" xr:uid="{00000000-0005-0000-0000-000045A40000}"/>
    <cellStyle name="Migliaia [0] 52 2 2 3" xfId="50733" xr:uid="{00000000-0005-0000-0000-000046A40000}"/>
    <cellStyle name="Migliaia [0] 52 2 3" xfId="11283" xr:uid="{00000000-0005-0000-0000-000047A40000}"/>
    <cellStyle name="Migliaia [0] 52 3" xfId="3131" xr:uid="{00000000-0005-0000-0000-000048A40000}"/>
    <cellStyle name="Migliaia [0] 52 3 2" xfId="28232" xr:uid="{00000000-0005-0000-0000-000049A40000}"/>
    <cellStyle name="Migliaia [0] 52 3 3" xfId="43205" xr:uid="{00000000-0005-0000-0000-00004AA40000}"/>
    <cellStyle name="Migliaia [0] 52 3 4" xfId="11950" xr:uid="{00000000-0005-0000-0000-00004BA40000}"/>
    <cellStyle name="Migliaia [0] 52 4" xfId="19150" xr:uid="{00000000-0005-0000-0000-00004CA40000}"/>
    <cellStyle name="Migliaia [0] 52 4 2" xfId="35231" xr:uid="{00000000-0005-0000-0000-00004DA40000}"/>
    <cellStyle name="Migliaia [0] 52 4 3" xfId="50187" xr:uid="{00000000-0005-0000-0000-00004EA40000}"/>
    <cellStyle name="Migliaia [0] 52 5" xfId="21235" xr:uid="{00000000-0005-0000-0000-00004FA40000}"/>
    <cellStyle name="Migliaia [0] 52 6" xfId="36206" xr:uid="{00000000-0005-0000-0000-000050A40000}"/>
    <cellStyle name="Migliaia [0] 52 7" xfId="51143" xr:uid="{00000000-0005-0000-0000-000051A40000}"/>
    <cellStyle name="Migliaia [0] 52 8" xfId="51537" xr:uid="{00000000-0005-0000-0000-000052A40000}"/>
    <cellStyle name="Migliaia [0] 52 9" xfId="51943" xr:uid="{00000000-0005-0000-0000-000053A40000}"/>
    <cellStyle name="Migliaia [0] 53" xfId="1168" xr:uid="{00000000-0005-0000-0000-000054A40000}"/>
    <cellStyle name="Migliaia [0] 53 10" xfId="52352" xr:uid="{00000000-0005-0000-0000-000055A40000}"/>
    <cellStyle name="Migliaia [0] 53 11" xfId="3501" xr:uid="{00000000-0005-0000-0000-000056A40000}"/>
    <cellStyle name="Migliaia [0] 53 2" xfId="2763" xr:uid="{00000000-0005-0000-0000-000057A40000}"/>
    <cellStyle name="Migliaia [0] 53 2 2" xfId="20152" xr:uid="{00000000-0005-0000-0000-000058A40000}"/>
    <cellStyle name="Migliaia [0] 53 2 2 2" xfId="35778" xr:uid="{00000000-0005-0000-0000-000059A40000}"/>
    <cellStyle name="Migliaia [0] 53 2 2 3" xfId="50734" xr:uid="{00000000-0005-0000-0000-00005AA40000}"/>
    <cellStyle name="Migliaia [0] 53 2 3" xfId="11284" xr:uid="{00000000-0005-0000-0000-00005BA40000}"/>
    <cellStyle name="Migliaia [0] 53 3" xfId="3132" xr:uid="{00000000-0005-0000-0000-00005CA40000}"/>
    <cellStyle name="Migliaia [0] 53 3 2" xfId="28233" xr:uid="{00000000-0005-0000-0000-00005DA40000}"/>
    <cellStyle name="Migliaia [0] 53 3 3" xfId="43206" xr:uid="{00000000-0005-0000-0000-00005EA40000}"/>
    <cellStyle name="Migliaia [0] 53 3 4" xfId="11951" xr:uid="{00000000-0005-0000-0000-00005FA40000}"/>
    <cellStyle name="Migliaia [0] 53 4" xfId="19151" xr:uid="{00000000-0005-0000-0000-000060A40000}"/>
    <cellStyle name="Migliaia [0] 53 4 2" xfId="35232" xr:uid="{00000000-0005-0000-0000-000061A40000}"/>
    <cellStyle name="Migliaia [0] 53 4 3" xfId="50188" xr:uid="{00000000-0005-0000-0000-000062A40000}"/>
    <cellStyle name="Migliaia [0] 53 5" xfId="21236" xr:uid="{00000000-0005-0000-0000-000063A40000}"/>
    <cellStyle name="Migliaia [0] 53 6" xfId="36207" xr:uid="{00000000-0005-0000-0000-000064A40000}"/>
    <cellStyle name="Migliaia [0] 53 7" xfId="51144" xr:uid="{00000000-0005-0000-0000-000065A40000}"/>
    <cellStyle name="Migliaia [0] 53 8" xfId="51538" xr:uid="{00000000-0005-0000-0000-000066A40000}"/>
    <cellStyle name="Migliaia [0] 53 9" xfId="51944" xr:uid="{00000000-0005-0000-0000-000067A40000}"/>
    <cellStyle name="Migliaia [0] 54" xfId="1169" xr:uid="{00000000-0005-0000-0000-000068A40000}"/>
    <cellStyle name="Migliaia [0] 54 10" xfId="52353" xr:uid="{00000000-0005-0000-0000-000069A40000}"/>
    <cellStyle name="Migliaia [0] 54 11" xfId="3502" xr:uid="{00000000-0005-0000-0000-00006AA40000}"/>
    <cellStyle name="Migliaia [0] 54 2" xfId="2764" xr:uid="{00000000-0005-0000-0000-00006BA40000}"/>
    <cellStyle name="Migliaia [0] 54 2 2" xfId="20153" xr:uid="{00000000-0005-0000-0000-00006CA40000}"/>
    <cellStyle name="Migliaia [0] 54 2 2 2" xfId="35779" xr:uid="{00000000-0005-0000-0000-00006DA40000}"/>
    <cellStyle name="Migliaia [0] 54 2 2 3" xfId="50735" xr:uid="{00000000-0005-0000-0000-00006EA40000}"/>
    <cellStyle name="Migliaia [0] 54 2 3" xfId="11285" xr:uid="{00000000-0005-0000-0000-00006FA40000}"/>
    <cellStyle name="Migliaia [0] 54 3" xfId="3133" xr:uid="{00000000-0005-0000-0000-000070A40000}"/>
    <cellStyle name="Migliaia [0] 54 3 2" xfId="28234" xr:uid="{00000000-0005-0000-0000-000071A40000}"/>
    <cellStyle name="Migliaia [0] 54 3 3" xfId="43207" xr:uid="{00000000-0005-0000-0000-000072A40000}"/>
    <cellStyle name="Migliaia [0] 54 3 4" xfId="11952" xr:uid="{00000000-0005-0000-0000-000073A40000}"/>
    <cellStyle name="Migliaia [0] 54 4" xfId="19152" xr:uid="{00000000-0005-0000-0000-000074A40000}"/>
    <cellStyle name="Migliaia [0] 54 4 2" xfId="35233" xr:uid="{00000000-0005-0000-0000-000075A40000}"/>
    <cellStyle name="Migliaia [0] 54 4 3" xfId="50189" xr:uid="{00000000-0005-0000-0000-000076A40000}"/>
    <cellStyle name="Migliaia [0] 54 5" xfId="21237" xr:uid="{00000000-0005-0000-0000-000077A40000}"/>
    <cellStyle name="Migliaia [0] 54 6" xfId="36208" xr:uid="{00000000-0005-0000-0000-000078A40000}"/>
    <cellStyle name="Migliaia [0] 54 7" xfId="51145" xr:uid="{00000000-0005-0000-0000-000079A40000}"/>
    <cellStyle name="Migliaia [0] 54 8" xfId="51539" xr:uid="{00000000-0005-0000-0000-00007AA40000}"/>
    <cellStyle name="Migliaia [0] 54 9" xfId="51945" xr:uid="{00000000-0005-0000-0000-00007BA40000}"/>
    <cellStyle name="Migliaia [0] 55" xfId="1170" xr:uid="{00000000-0005-0000-0000-00007CA40000}"/>
    <cellStyle name="Migliaia [0] 55 10" xfId="52354" xr:uid="{00000000-0005-0000-0000-00007DA40000}"/>
    <cellStyle name="Migliaia [0] 55 11" xfId="3503" xr:uid="{00000000-0005-0000-0000-00007EA40000}"/>
    <cellStyle name="Migliaia [0] 55 2" xfId="2765" xr:uid="{00000000-0005-0000-0000-00007FA40000}"/>
    <cellStyle name="Migliaia [0] 55 2 2" xfId="20154" xr:uid="{00000000-0005-0000-0000-000080A40000}"/>
    <cellStyle name="Migliaia [0] 55 2 2 2" xfId="35780" xr:uid="{00000000-0005-0000-0000-000081A40000}"/>
    <cellStyle name="Migliaia [0] 55 2 2 3" xfId="50736" xr:uid="{00000000-0005-0000-0000-000082A40000}"/>
    <cellStyle name="Migliaia [0] 55 2 3" xfId="11286" xr:uid="{00000000-0005-0000-0000-000083A40000}"/>
    <cellStyle name="Migliaia [0] 55 3" xfId="3134" xr:uid="{00000000-0005-0000-0000-000084A40000}"/>
    <cellStyle name="Migliaia [0] 55 3 2" xfId="28235" xr:uid="{00000000-0005-0000-0000-000085A40000}"/>
    <cellStyle name="Migliaia [0] 55 3 3" xfId="43208" xr:uid="{00000000-0005-0000-0000-000086A40000}"/>
    <cellStyle name="Migliaia [0] 55 3 4" xfId="11953" xr:uid="{00000000-0005-0000-0000-000087A40000}"/>
    <cellStyle name="Migliaia [0] 55 4" xfId="19153" xr:uid="{00000000-0005-0000-0000-000088A40000}"/>
    <cellStyle name="Migliaia [0] 55 4 2" xfId="35234" xr:uid="{00000000-0005-0000-0000-000089A40000}"/>
    <cellStyle name="Migliaia [0] 55 4 3" xfId="50190" xr:uid="{00000000-0005-0000-0000-00008AA40000}"/>
    <cellStyle name="Migliaia [0] 55 5" xfId="21238" xr:uid="{00000000-0005-0000-0000-00008BA40000}"/>
    <cellStyle name="Migliaia [0] 55 6" xfId="36209" xr:uid="{00000000-0005-0000-0000-00008CA40000}"/>
    <cellStyle name="Migliaia [0] 55 7" xfId="51146" xr:uid="{00000000-0005-0000-0000-00008DA40000}"/>
    <cellStyle name="Migliaia [0] 55 8" xfId="51540" xr:uid="{00000000-0005-0000-0000-00008EA40000}"/>
    <cellStyle name="Migliaia [0] 55 9" xfId="51946" xr:uid="{00000000-0005-0000-0000-00008FA40000}"/>
    <cellStyle name="Migliaia [0] 56" xfId="1171" xr:uid="{00000000-0005-0000-0000-000090A40000}"/>
    <cellStyle name="Migliaia [0] 56 10" xfId="52355" xr:uid="{00000000-0005-0000-0000-000091A40000}"/>
    <cellStyle name="Migliaia [0] 56 11" xfId="3504" xr:uid="{00000000-0005-0000-0000-000092A40000}"/>
    <cellStyle name="Migliaia [0] 56 2" xfId="2766" xr:uid="{00000000-0005-0000-0000-000093A40000}"/>
    <cellStyle name="Migliaia [0] 56 2 2" xfId="20155" xr:uid="{00000000-0005-0000-0000-000094A40000}"/>
    <cellStyle name="Migliaia [0] 56 2 2 2" xfId="35781" xr:uid="{00000000-0005-0000-0000-000095A40000}"/>
    <cellStyle name="Migliaia [0] 56 2 2 3" xfId="50737" xr:uid="{00000000-0005-0000-0000-000096A40000}"/>
    <cellStyle name="Migliaia [0] 56 2 3" xfId="11287" xr:uid="{00000000-0005-0000-0000-000097A40000}"/>
    <cellStyle name="Migliaia [0] 56 3" xfId="3135" xr:uid="{00000000-0005-0000-0000-000098A40000}"/>
    <cellStyle name="Migliaia [0] 56 3 2" xfId="28236" xr:uid="{00000000-0005-0000-0000-000099A40000}"/>
    <cellStyle name="Migliaia [0] 56 3 3" xfId="43209" xr:uid="{00000000-0005-0000-0000-00009AA40000}"/>
    <cellStyle name="Migliaia [0] 56 3 4" xfId="11954" xr:uid="{00000000-0005-0000-0000-00009BA40000}"/>
    <cellStyle name="Migliaia [0] 56 4" xfId="19154" xr:uid="{00000000-0005-0000-0000-00009CA40000}"/>
    <cellStyle name="Migliaia [0] 56 4 2" xfId="35235" xr:uid="{00000000-0005-0000-0000-00009DA40000}"/>
    <cellStyle name="Migliaia [0] 56 4 3" xfId="50191" xr:uid="{00000000-0005-0000-0000-00009EA40000}"/>
    <cellStyle name="Migliaia [0] 56 5" xfId="21239" xr:uid="{00000000-0005-0000-0000-00009FA40000}"/>
    <cellStyle name="Migliaia [0] 56 6" xfId="36210" xr:uid="{00000000-0005-0000-0000-0000A0A40000}"/>
    <cellStyle name="Migliaia [0] 56 7" xfId="51147" xr:uid="{00000000-0005-0000-0000-0000A1A40000}"/>
    <cellStyle name="Migliaia [0] 56 8" xfId="51541" xr:uid="{00000000-0005-0000-0000-0000A2A40000}"/>
    <cellStyle name="Migliaia [0] 56 9" xfId="51947" xr:uid="{00000000-0005-0000-0000-0000A3A40000}"/>
    <cellStyle name="Migliaia [0] 57" xfId="1172" xr:uid="{00000000-0005-0000-0000-0000A4A40000}"/>
    <cellStyle name="Migliaia [0] 57 10" xfId="52356" xr:uid="{00000000-0005-0000-0000-0000A5A40000}"/>
    <cellStyle name="Migliaia [0] 57 11" xfId="3505" xr:uid="{00000000-0005-0000-0000-0000A6A40000}"/>
    <cellStyle name="Migliaia [0] 57 2" xfId="2767" xr:uid="{00000000-0005-0000-0000-0000A7A40000}"/>
    <cellStyle name="Migliaia [0] 57 2 2" xfId="20156" xr:uid="{00000000-0005-0000-0000-0000A8A40000}"/>
    <cellStyle name="Migliaia [0] 57 2 2 2" xfId="35782" xr:uid="{00000000-0005-0000-0000-0000A9A40000}"/>
    <cellStyle name="Migliaia [0] 57 2 2 3" xfId="50738" xr:uid="{00000000-0005-0000-0000-0000AAA40000}"/>
    <cellStyle name="Migliaia [0] 57 2 3" xfId="11288" xr:uid="{00000000-0005-0000-0000-0000ABA40000}"/>
    <cellStyle name="Migliaia [0] 57 3" xfId="3136" xr:uid="{00000000-0005-0000-0000-0000ACA40000}"/>
    <cellStyle name="Migliaia [0] 57 3 2" xfId="28237" xr:uid="{00000000-0005-0000-0000-0000ADA40000}"/>
    <cellStyle name="Migliaia [0] 57 3 3" xfId="43210" xr:uid="{00000000-0005-0000-0000-0000AEA40000}"/>
    <cellStyle name="Migliaia [0] 57 3 4" xfId="11955" xr:uid="{00000000-0005-0000-0000-0000AFA40000}"/>
    <cellStyle name="Migliaia [0] 57 4" xfId="19155" xr:uid="{00000000-0005-0000-0000-0000B0A40000}"/>
    <cellStyle name="Migliaia [0] 57 4 2" xfId="35236" xr:uid="{00000000-0005-0000-0000-0000B1A40000}"/>
    <cellStyle name="Migliaia [0] 57 4 3" xfId="50192" xr:uid="{00000000-0005-0000-0000-0000B2A40000}"/>
    <cellStyle name="Migliaia [0] 57 5" xfId="21240" xr:uid="{00000000-0005-0000-0000-0000B3A40000}"/>
    <cellStyle name="Migliaia [0] 57 6" xfId="36211" xr:uid="{00000000-0005-0000-0000-0000B4A40000}"/>
    <cellStyle name="Migliaia [0] 57 7" xfId="51148" xr:uid="{00000000-0005-0000-0000-0000B5A40000}"/>
    <cellStyle name="Migliaia [0] 57 8" xfId="51542" xr:uid="{00000000-0005-0000-0000-0000B6A40000}"/>
    <cellStyle name="Migliaia [0] 57 9" xfId="51948" xr:uid="{00000000-0005-0000-0000-0000B7A40000}"/>
    <cellStyle name="Migliaia [0] 58" xfId="1173" xr:uid="{00000000-0005-0000-0000-0000B8A40000}"/>
    <cellStyle name="Migliaia [0] 58 10" xfId="52357" xr:uid="{00000000-0005-0000-0000-0000B9A40000}"/>
    <cellStyle name="Migliaia [0] 58 11" xfId="3506" xr:uid="{00000000-0005-0000-0000-0000BAA40000}"/>
    <cellStyle name="Migliaia [0] 58 2" xfId="2768" xr:uid="{00000000-0005-0000-0000-0000BBA40000}"/>
    <cellStyle name="Migliaia [0] 58 2 2" xfId="20157" xr:uid="{00000000-0005-0000-0000-0000BCA40000}"/>
    <cellStyle name="Migliaia [0] 58 2 2 2" xfId="35783" xr:uid="{00000000-0005-0000-0000-0000BDA40000}"/>
    <cellStyle name="Migliaia [0] 58 2 2 3" xfId="50739" xr:uid="{00000000-0005-0000-0000-0000BEA40000}"/>
    <cellStyle name="Migliaia [0] 58 2 3" xfId="11289" xr:uid="{00000000-0005-0000-0000-0000BFA40000}"/>
    <cellStyle name="Migliaia [0] 58 3" xfId="3137" xr:uid="{00000000-0005-0000-0000-0000C0A40000}"/>
    <cellStyle name="Migliaia [0] 58 3 2" xfId="28238" xr:uid="{00000000-0005-0000-0000-0000C1A40000}"/>
    <cellStyle name="Migliaia [0] 58 3 3" xfId="43211" xr:uid="{00000000-0005-0000-0000-0000C2A40000}"/>
    <cellStyle name="Migliaia [0] 58 3 4" xfId="11956" xr:uid="{00000000-0005-0000-0000-0000C3A40000}"/>
    <cellStyle name="Migliaia [0] 58 4" xfId="19156" xr:uid="{00000000-0005-0000-0000-0000C4A40000}"/>
    <cellStyle name="Migliaia [0] 58 4 2" xfId="35237" xr:uid="{00000000-0005-0000-0000-0000C5A40000}"/>
    <cellStyle name="Migliaia [0] 58 4 3" xfId="50193" xr:uid="{00000000-0005-0000-0000-0000C6A40000}"/>
    <cellStyle name="Migliaia [0] 58 5" xfId="21241" xr:uid="{00000000-0005-0000-0000-0000C7A40000}"/>
    <cellStyle name="Migliaia [0] 58 6" xfId="36212" xr:uid="{00000000-0005-0000-0000-0000C8A40000}"/>
    <cellStyle name="Migliaia [0] 58 7" xfId="51149" xr:uid="{00000000-0005-0000-0000-0000C9A40000}"/>
    <cellStyle name="Migliaia [0] 58 8" xfId="51543" xr:uid="{00000000-0005-0000-0000-0000CAA40000}"/>
    <cellStyle name="Migliaia [0] 58 9" xfId="51949" xr:uid="{00000000-0005-0000-0000-0000CBA40000}"/>
    <cellStyle name="Migliaia [0] 59" xfId="1174" xr:uid="{00000000-0005-0000-0000-0000CCA40000}"/>
    <cellStyle name="Migliaia [0] 59 10" xfId="52358" xr:uid="{00000000-0005-0000-0000-0000CDA40000}"/>
    <cellStyle name="Migliaia [0] 59 11" xfId="3507" xr:uid="{00000000-0005-0000-0000-0000CEA40000}"/>
    <cellStyle name="Migliaia [0] 59 2" xfId="2769" xr:uid="{00000000-0005-0000-0000-0000CFA40000}"/>
    <cellStyle name="Migliaia [0] 59 2 2" xfId="20158" xr:uid="{00000000-0005-0000-0000-0000D0A40000}"/>
    <cellStyle name="Migliaia [0] 59 2 2 2" xfId="35784" xr:uid="{00000000-0005-0000-0000-0000D1A40000}"/>
    <cellStyle name="Migliaia [0] 59 2 2 3" xfId="50740" xr:uid="{00000000-0005-0000-0000-0000D2A40000}"/>
    <cellStyle name="Migliaia [0] 59 2 3" xfId="11290" xr:uid="{00000000-0005-0000-0000-0000D3A40000}"/>
    <cellStyle name="Migliaia [0] 59 3" xfId="3138" xr:uid="{00000000-0005-0000-0000-0000D4A40000}"/>
    <cellStyle name="Migliaia [0] 59 3 2" xfId="28239" xr:uid="{00000000-0005-0000-0000-0000D5A40000}"/>
    <cellStyle name="Migliaia [0] 59 3 3" xfId="43212" xr:uid="{00000000-0005-0000-0000-0000D6A40000}"/>
    <cellStyle name="Migliaia [0] 59 3 4" xfId="11957" xr:uid="{00000000-0005-0000-0000-0000D7A40000}"/>
    <cellStyle name="Migliaia [0] 59 4" xfId="19157" xr:uid="{00000000-0005-0000-0000-0000D8A40000}"/>
    <cellStyle name="Migliaia [0] 59 4 2" xfId="35238" xr:uid="{00000000-0005-0000-0000-0000D9A40000}"/>
    <cellStyle name="Migliaia [0] 59 4 3" xfId="50194" xr:uid="{00000000-0005-0000-0000-0000DAA40000}"/>
    <cellStyle name="Migliaia [0] 59 5" xfId="21242" xr:uid="{00000000-0005-0000-0000-0000DBA40000}"/>
    <cellStyle name="Migliaia [0] 59 6" xfId="36213" xr:uid="{00000000-0005-0000-0000-0000DCA40000}"/>
    <cellStyle name="Migliaia [0] 59 7" xfId="51150" xr:uid="{00000000-0005-0000-0000-0000DDA40000}"/>
    <cellStyle name="Migliaia [0] 59 8" xfId="51544" xr:uid="{00000000-0005-0000-0000-0000DEA40000}"/>
    <cellStyle name="Migliaia [0] 59 9" xfId="51950" xr:uid="{00000000-0005-0000-0000-0000DFA40000}"/>
    <cellStyle name="Migliaia [0] 6" xfId="1175" xr:uid="{00000000-0005-0000-0000-0000E0A40000}"/>
    <cellStyle name="Migliaia [0] 6 10" xfId="52359" xr:uid="{00000000-0005-0000-0000-0000E1A40000}"/>
    <cellStyle name="Migliaia [0] 6 11" xfId="3508" xr:uid="{00000000-0005-0000-0000-0000E2A40000}"/>
    <cellStyle name="Migliaia [0] 6 2" xfId="2770" xr:uid="{00000000-0005-0000-0000-0000E3A40000}"/>
    <cellStyle name="Migliaia [0] 6 2 2" xfId="20159" xr:uid="{00000000-0005-0000-0000-0000E4A40000}"/>
    <cellStyle name="Migliaia [0] 6 2 2 2" xfId="35785" xr:uid="{00000000-0005-0000-0000-0000E5A40000}"/>
    <cellStyle name="Migliaia [0] 6 2 2 3" xfId="50741" xr:uid="{00000000-0005-0000-0000-0000E6A40000}"/>
    <cellStyle name="Migliaia [0] 6 2 3" xfId="11291" xr:uid="{00000000-0005-0000-0000-0000E7A40000}"/>
    <cellStyle name="Migliaia [0] 6 3" xfId="3139" xr:uid="{00000000-0005-0000-0000-0000E8A40000}"/>
    <cellStyle name="Migliaia [0] 6 3 2" xfId="28240" xr:uid="{00000000-0005-0000-0000-0000E9A40000}"/>
    <cellStyle name="Migliaia [0] 6 3 3" xfId="43213" xr:uid="{00000000-0005-0000-0000-0000EAA40000}"/>
    <cellStyle name="Migliaia [0] 6 3 4" xfId="11958" xr:uid="{00000000-0005-0000-0000-0000EBA40000}"/>
    <cellStyle name="Migliaia [0] 6 4" xfId="19158" xr:uid="{00000000-0005-0000-0000-0000ECA40000}"/>
    <cellStyle name="Migliaia [0] 6 4 2" xfId="35239" xr:uid="{00000000-0005-0000-0000-0000EDA40000}"/>
    <cellStyle name="Migliaia [0] 6 4 3" xfId="50195" xr:uid="{00000000-0005-0000-0000-0000EEA40000}"/>
    <cellStyle name="Migliaia [0] 6 5" xfId="21243" xr:uid="{00000000-0005-0000-0000-0000EFA40000}"/>
    <cellStyle name="Migliaia [0] 6 6" xfId="36214" xr:uid="{00000000-0005-0000-0000-0000F0A40000}"/>
    <cellStyle name="Migliaia [0] 6 7" xfId="51151" xr:uid="{00000000-0005-0000-0000-0000F1A40000}"/>
    <cellStyle name="Migliaia [0] 6 8" xfId="51545" xr:uid="{00000000-0005-0000-0000-0000F2A40000}"/>
    <cellStyle name="Migliaia [0] 6 9" xfId="51951" xr:uid="{00000000-0005-0000-0000-0000F3A40000}"/>
    <cellStyle name="Migliaia [0] 7" xfId="1176" xr:uid="{00000000-0005-0000-0000-0000F4A40000}"/>
    <cellStyle name="Migliaia [0] 7 10" xfId="52360" xr:uid="{00000000-0005-0000-0000-0000F5A40000}"/>
    <cellStyle name="Migliaia [0] 7 11" xfId="3509" xr:uid="{00000000-0005-0000-0000-0000F6A40000}"/>
    <cellStyle name="Migliaia [0] 7 2" xfId="2771" xr:uid="{00000000-0005-0000-0000-0000F7A40000}"/>
    <cellStyle name="Migliaia [0] 7 2 2" xfId="20160" xr:uid="{00000000-0005-0000-0000-0000F8A40000}"/>
    <cellStyle name="Migliaia [0] 7 2 2 2" xfId="35786" xr:uid="{00000000-0005-0000-0000-0000F9A40000}"/>
    <cellStyle name="Migliaia [0] 7 2 2 3" xfId="50742" xr:uid="{00000000-0005-0000-0000-0000FAA40000}"/>
    <cellStyle name="Migliaia [0] 7 2 3" xfId="11292" xr:uid="{00000000-0005-0000-0000-0000FBA40000}"/>
    <cellStyle name="Migliaia [0] 7 3" xfId="3140" xr:uid="{00000000-0005-0000-0000-0000FCA40000}"/>
    <cellStyle name="Migliaia [0] 7 3 2" xfId="28241" xr:uid="{00000000-0005-0000-0000-0000FDA40000}"/>
    <cellStyle name="Migliaia [0] 7 3 3" xfId="43214" xr:uid="{00000000-0005-0000-0000-0000FEA40000}"/>
    <cellStyle name="Migliaia [0] 7 3 4" xfId="11959" xr:uid="{00000000-0005-0000-0000-0000FFA40000}"/>
    <cellStyle name="Migliaia [0] 7 4" xfId="19159" xr:uid="{00000000-0005-0000-0000-000000A50000}"/>
    <cellStyle name="Migliaia [0] 7 4 2" xfId="35240" xr:uid="{00000000-0005-0000-0000-000001A50000}"/>
    <cellStyle name="Migliaia [0] 7 4 3" xfId="50196" xr:uid="{00000000-0005-0000-0000-000002A50000}"/>
    <cellStyle name="Migliaia [0] 7 5" xfId="21244" xr:uid="{00000000-0005-0000-0000-000003A50000}"/>
    <cellStyle name="Migliaia [0] 7 6" xfId="36215" xr:uid="{00000000-0005-0000-0000-000004A50000}"/>
    <cellStyle name="Migliaia [0] 7 7" xfId="51152" xr:uid="{00000000-0005-0000-0000-000005A50000}"/>
    <cellStyle name="Migliaia [0] 7 8" xfId="51546" xr:uid="{00000000-0005-0000-0000-000006A50000}"/>
    <cellStyle name="Migliaia [0] 7 9" xfId="51952" xr:uid="{00000000-0005-0000-0000-000007A50000}"/>
    <cellStyle name="Migliaia [0] 8" xfId="1177" xr:uid="{00000000-0005-0000-0000-000008A50000}"/>
    <cellStyle name="Migliaia [0] 8 10" xfId="52361" xr:uid="{00000000-0005-0000-0000-000009A50000}"/>
    <cellStyle name="Migliaia [0] 8 11" xfId="3510" xr:uid="{00000000-0005-0000-0000-00000AA50000}"/>
    <cellStyle name="Migliaia [0] 8 2" xfId="2772" xr:uid="{00000000-0005-0000-0000-00000BA50000}"/>
    <cellStyle name="Migliaia [0] 8 2 2" xfId="20161" xr:uid="{00000000-0005-0000-0000-00000CA50000}"/>
    <cellStyle name="Migliaia [0] 8 2 2 2" xfId="35787" xr:uid="{00000000-0005-0000-0000-00000DA50000}"/>
    <cellStyle name="Migliaia [0] 8 2 2 3" xfId="50743" xr:uid="{00000000-0005-0000-0000-00000EA50000}"/>
    <cellStyle name="Migliaia [0] 8 2 3" xfId="11293" xr:uid="{00000000-0005-0000-0000-00000FA50000}"/>
    <cellStyle name="Migliaia [0] 8 3" xfId="3141" xr:uid="{00000000-0005-0000-0000-000010A50000}"/>
    <cellStyle name="Migliaia [0] 8 3 2" xfId="28242" xr:uid="{00000000-0005-0000-0000-000011A50000}"/>
    <cellStyle name="Migliaia [0] 8 3 3" xfId="43215" xr:uid="{00000000-0005-0000-0000-000012A50000}"/>
    <cellStyle name="Migliaia [0] 8 3 4" xfId="11960" xr:uid="{00000000-0005-0000-0000-000013A50000}"/>
    <cellStyle name="Migliaia [0] 8 4" xfId="19160" xr:uid="{00000000-0005-0000-0000-000014A50000}"/>
    <cellStyle name="Migliaia [0] 8 4 2" xfId="35241" xr:uid="{00000000-0005-0000-0000-000015A50000}"/>
    <cellStyle name="Migliaia [0] 8 4 3" xfId="50197" xr:uid="{00000000-0005-0000-0000-000016A50000}"/>
    <cellStyle name="Migliaia [0] 8 5" xfId="21245" xr:uid="{00000000-0005-0000-0000-000017A50000}"/>
    <cellStyle name="Migliaia [0] 8 6" xfId="36216" xr:uid="{00000000-0005-0000-0000-000018A50000}"/>
    <cellStyle name="Migliaia [0] 8 7" xfId="51153" xr:uid="{00000000-0005-0000-0000-000019A50000}"/>
    <cellStyle name="Migliaia [0] 8 8" xfId="51547" xr:uid="{00000000-0005-0000-0000-00001AA50000}"/>
    <cellStyle name="Migliaia [0] 8 9" xfId="51953" xr:uid="{00000000-0005-0000-0000-00001BA50000}"/>
    <cellStyle name="Migliaia [0] 9" xfId="1178" xr:uid="{00000000-0005-0000-0000-00001CA50000}"/>
    <cellStyle name="Migliaia [0] 9 10" xfId="52362" xr:uid="{00000000-0005-0000-0000-00001DA50000}"/>
    <cellStyle name="Migliaia [0] 9 11" xfId="3511" xr:uid="{00000000-0005-0000-0000-00001EA50000}"/>
    <cellStyle name="Migliaia [0] 9 2" xfId="2773" xr:uid="{00000000-0005-0000-0000-00001FA50000}"/>
    <cellStyle name="Migliaia [0] 9 2 2" xfId="20162" xr:uid="{00000000-0005-0000-0000-000020A50000}"/>
    <cellStyle name="Migliaia [0] 9 2 2 2" xfId="35788" xr:uid="{00000000-0005-0000-0000-000021A50000}"/>
    <cellStyle name="Migliaia [0] 9 2 2 3" xfId="50744" xr:uid="{00000000-0005-0000-0000-000022A50000}"/>
    <cellStyle name="Migliaia [0] 9 2 3" xfId="11294" xr:uid="{00000000-0005-0000-0000-000023A50000}"/>
    <cellStyle name="Migliaia [0] 9 3" xfId="3142" xr:uid="{00000000-0005-0000-0000-000024A50000}"/>
    <cellStyle name="Migliaia [0] 9 3 2" xfId="28243" xr:uid="{00000000-0005-0000-0000-000025A50000}"/>
    <cellStyle name="Migliaia [0] 9 3 3" xfId="43216" xr:uid="{00000000-0005-0000-0000-000026A50000}"/>
    <cellStyle name="Migliaia [0] 9 3 4" xfId="11961" xr:uid="{00000000-0005-0000-0000-000027A50000}"/>
    <cellStyle name="Migliaia [0] 9 4" xfId="19161" xr:uid="{00000000-0005-0000-0000-000028A50000}"/>
    <cellStyle name="Migliaia [0] 9 4 2" xfId="35242" xr:uid="{00000000-0005-0000-0000-000029A50000}"/>
    <cellStyle name="Migliaia [0] 9 4 3" xfId="50198" xr:uid="{00000000-0005-0000-0000-00002AA50000}"/>
    <cellStyle name="Migliaia [0] 9 5" xfId="21246" xr:uid="{00000000-0005-0000-0000-00002BA50000}"/>
    <cellStyle name="Migliaia [0] 9 6" xfId="36217" xr:uid="{00000000-0005-0000-0000-00002CA50000}"/>
    <cellStyle name="Migliaia [0] 9 7" xfId="51154" xr:uid="{00000000-0005-0000-0000-00002DA50000}"/>
    <cellStyle name="Migliaia [0] 9 8" xfId="51548" xr:uid="{00000000-0005-0000-0000-00002EA50000}"/>
    <cellStyle name="Migliaia [0] 9 9" xfId="51954" xr:uid="{00000000-0005-0000-0000-00002FA50000}"/>
    <cellStyle name="Migliaia 10" xfId="1179" xr:uid="{00000000-0005-0000-0000-000030A50000}"/>
    <cellStyle name="Migliaia 10 10" xfId="36218" xr:uid="{00000000-0005-0000-0000-000031A50000}"/>
    <cellStyle name="Migliaia 10 11" xfId="51155" xr:uid="{00000000-0005-0000-0000-000032A50000}"/>
    <cellStyle name="Migliaia 10 12" xfId="51549" xr:uid="{00000000-0005-0000-0000-000033A50000}"/>
    <cellStyle name="Migliaia 10 13" xfId="51955" xr:uid="{00000000-0005-0000-0000-000034A50000}"/>
    <cellStyle name="Migliaia 10 14" xfId="52363" xr:uid="{00000000-0005-0000-0000-000035A50000}"/>
    <cellStyle name="Migliaia 10 15" xfId="3512" xr:uid="{00000000-0005-0000-0000-000036A50000}"/>
    <cellStyle name="Migliaia 10 2" xfId="1180" xr:uid="{00000000-0005-0000-0000-000037A50000}"/>
    <cellStyle name="Migliaia 10 2 10" xfId="51956" xr:uid="{00000000-0005-0000-0000-000038A50000}"/>
    <cellStyle name="Migliaia 10 2 11" xfId="52364" xr:uid="{00000000-0005-0000-0000-000039A50000}"/>
    <cellStyle name="Migliaia 10 2 12" xfId="3513" xr:uid="{00000000-0005-0000-0000-00003AA50000}"/>
    <cellStyle name="Migliaia 10 2 2" xfId="1181" xr:uid="{00000000-0005-0000-0000-00003BA50000}"/>
    <cellStyle name="Migliaia 10 2 2 10" xfId="3755" xr:uid="{00000000-0005-0000-0000-00003CA50000}"/>
    <cellStyle name="Migliaia 10 2 2 2" xfId="3017" xr:uid="{00000000-0005-0000-0000-00003DA50000}"/>
    <cellStyle name="Migliaia 10 2 2 2 2" xfId="28512" xr:uid="{00000000-0005-0000-0000-00003EA50000}"/>
    <cellStyle name="Migliaia 10 2 2 2 3" xfId="43475" xr:uid="{00000000-0005-0000-0000-00003FA50000}"/>
    <cellStyle name="Migliaia 10 2 2 2 4" xfId="12234" xr:uid="{00000000-0005-0000-0000-000040A50000}"/>
    <cellStyle name="Migliaia 10 2 2 3" xfId="3386" xr:uid="{00000000-0005-0000-0000-000041A50000}"/>
    <cellStyle name="Migliaia 10 2 2 3 2" xfId="35794" xr:uid="{00000000-0005-0000-0000-000042A50000}"/>
    <cellStyle name="Migliaia 10 2 2 3 3" xfId="50750" xr:uid="{00000000-0005-0000-0000-000043A50000}"/>
    <cellStyle name="Migliaia 10 2 2 3 4" xfId="20361" xr:uid="{00000000-0005-0000-0000-000044A50000}"/>
    <cellStyle name="Migliaia 10 2 2 4" xfId="21512" xr:uid="{00000000-0005-0000-0000-000045A50000}"/>
    <cellStyle name="Migliaia 10 2 2 5" xfId="36479" xr:uid="{00000000-0005-0000-0000-000046A50000}"/>
    <cellStyle name="Migliaia 10 2 2 6" xfId="51417" xr:uid="{00000000-0005-0000-0000-000047A50000}"/>
    <cellStyle name="Migliaia 10 2 2 7" xfId="51822" xr:uid="{00000000-0005-0000-0000-000048A50000}"/>
    <cellStyle name="Migliaia 10 2 2 8" xfId="52231" xr:uid="{00000000-0005-0000-0000-000049A50000}"/>
    <cellStyle name="Migliaia 10 2 2 9" xfId="52636" xr:uid="{00000000-0005-0000-0000-00004AA50000}"/>
    <cellStyle name="Migliaia 10 2 3" xfId="2775" xr:uid="{00000000-0005-0000-0000-00004BA50000}"/>
    <cellStyle name="Migliaia 10 2 3 2" xfId="11296" xr:uid="{00000000-0005-0000-0000-00004CA50000}"/>
    <cellStyle name="Migliaia 10 2 4" xfId="3144" xr:uid="{00000000-0005-0000-0000-00004DA50000}"/>
    <cellStyle name="Migliaia 10 2 4 2" xfId="28245" xr:uid="{00000000-0005-0000-0000-00004EA50000}"/>
    <cellStyle name="Migliaia 10 2 4 3" xfId="43218" xr:uid="{00000000-0005-0000-0000-00004FA50000}"/>
    <cellStyle name="Migliaia 10 2 4 4" xfId="11963" xr:uid="{00000000-0005-0000-0000-000050A50000}"/>
    <cellStyle name="Migliaia 10 2 5" xfId="19163" xr:uid="{00000000-0005-0000-0000-000051A50000}"/>
    <cellStyle name="Migliaia 10 2 5 2" xfId="35244" xr:uid="{00000000-0005-0000-0000-000052A50000}"/>
    <cellStyle name="Migliaia 10 2 5 3" xfId="50200" xr:uid="{00000000-0005-0000-0000-000053A50000}"/>
    <cellStyle name="Migliaia 10 2 6" xfId="21248" xr:uid="{00000000-0005-0000-0000-000054A50000}"/>
    <cellStyle name="Migliaia 10 2 7" xfId="36219" xr:uid="{00000000-0005-0000-0000-000055A50000}"/>
    <cellStyle name="Migliaia 10 2 8" xfId="51156" xr:uid="{00000000-0005-0000-0000-000056A50000}"/>
    <cellStyle name="Migliaia 10 2 9" xfId="51550" xr:uid="{00000000-0005-0000-0000-000057A50000}"/>
    <cellStyle name="Migliaia 10 3" xfId="1182" xr:uid="{00000000-0005-0000-0000-000058A50000}"/>
    <cellStyle name="Migliaia 10 3 10" xfId="51957" xr:uid="{00000000-0005-0000-0000-000059A50000}"/>
    <cellStyle name="Migliaia 10 3 11" xfId="52365" xr:uid="{00000000-0005-0000-0000-00005AA50000}"/>
    <cellStyle name="Migliaia 10 3 12" xfId="3514" xr:uid="{00000000-0005-0000-0000-00005BA50000}"/>
    <cellStyle name="Migliaia 10 3 2" xfId="1183" xr:uid="{00000000-0005-0000-0000-00005CA50000}"/>
    <cellStyle name="Migliaia 10 3 2 10" xfId="52366" xr:uid="{00000000-0005-0000-0000-00005DA50000}"/>
    <cellStyle name="Migliaia 10 3 2 11" xfId="3515" xr:uid="{00000000-0005-0000-0000-00005EA50000}"/>
    <cellStyle name="Migliaia 10 3 2 2" xfId="2777" xr:uid="{00000000-0005-0000-0000-00005FA50000}"/>
    <cellStyle name="Migliaia 10 3 2 2 2" xfId="11298" xr:uid="{00000000-0005-0000-0000-000060A50000}"/>
    <cellStyle name="Migliaia 10 3 2 3" xfId="3146" xr:uid="{00000000-0005-0000-0000-000061A50000}"/>
    <cellStyle name="Migliaia 10 3 2 3 2" xfId="28247" xr:uid="{00000000-0005-0000-0000-000062A50000}"/>
    <cellStyle name="Migliaia 10 3 2 3 3" xfId="43220" xr:uid="{00000000-0005-0000-0000-000063A50000}"/>
    <cellStyle name="Migliaia 10 3 2 3 4" xfId="11965" xr:uid="{00000000-0005-0000-0000-000064A50000}"/>
    <cellStyle name="Migliaia 10 3 2 4" xfId="19165" xr:uid="{00000000-0005-0000-0000-000065A50000}"/>
    <cellStyle name="Migliaia 10 3 2 4 2" xfId="35246" xr:uid="{00000000-0005-0000-0000-000066A50000}"/>
    <cellStyle name="Migliaia 10 3 2 4 3" xfId="50202" xr:uid="{00000000-0005-0000-0000-000067A50000}"/>
    <cellStyle name="Migliaia 10 3 2 5" xfId="21250" xr:uid="{00000000-0005-0000-0000-000068A50000}"/>
    <cellStyle name="Migliaia 10 3 2 6" xfId="36221" xr:uid="{00000000-0005-0000-0000-000069A50000}"/>
    <cellStyle name="Migliaia 10 3 2 7" xfId="51158" xr:uid="{00000000-0005-0000-0000-00006AA50000}"/>
    <cellStyle name="Migliaia 10 3 2 8" xfId="51552" xr:uid="{00000000-0005-0000-0000-00006BA50000}"/>
    <cellStyle name="Migliaia 10 3 2 9" xfId="51958" xr:uid="{00000000-0005-0000-0000-00006CA50000}"/>
    <cellStyle name="Migliaia 10 3 3" xfId="2776" xr:uid="{00000000-0005-0000-0000-00006DA50000}"/>
    <cellStyle name="Migliaia 10 3 3 2" xfId="20363" xr:uid="{00000000-0005-0000-0000-00006EA50000}"/>
    <cellStyle name="Migliaia 10 3 3 2 2" xfId="35796" xr:uid="{00000000-0005-0000-0000-00006FA50000}"/>
    <cellStyle name="Migliaia 10 3 3 2 3" xfId="50752" xr:uid="{00000000-0005-0000-0000-000070A50000}"/>
    <cellStyle name="Migliaia 10 3 3 3" xfId="19166" xr:uid="{00000000-0005-0000-0000-000071A50000}"/>
    <cellStyle name="Migliaia 10 3 3 3 2" xfId="35247" xr:uid="{00000000-0005-0000-0000-000072A50000}"/>
    <cellStyle name="Migliaia 10 3 3 3 3" xfId="50203" xr:uid="{00000000-0005-0000-0000-000073A50000}"/>
    <cellStyle name="Migliaia 10 3 3 4" xfId="11297" xr:uid="{00000000-0005-0000-0000-000074A50000}"/>
    <cellStyle name="Migliaia 10 3 4" xfId="3145" xr:uid="{00000000-0005-0000-0000-000075A50000}"/>
    <cellStyle name="Migliaia 10 3 4 2" xfId="20362" xr:uid="{00000000-0005-0000-0000-000076A50000}"/>
    <cellStyle name="Migliaia 10 3 4 2 2" xfId="35795" xr:uid="{00000000-0005-0000-0000-000077A50000}"/>
    <cellStyle name="Migliaia 10 3 4 2 3" xfId="50751" xr:uid="{00000000-0005-0000-0000-000078A50000}"/>
    <cellStyle name="Migliaia 10 3 4 3" xfId="28246" xr:uid="{00000000-0005-0000-0000-000079A50000}"/>
    <cellStyle name="Migliaia 10 3 4 4" xfId="43219" xr:uid="{00000000-0005-0000-0000-00007AA50000}"/>
    <cellStyle name="Migliaia 10 3 4 5" xfId="11964" xr:uid="{00000000-0005-0000-0000-00007BA50000}"/>
    <cellStyle name="Migliaia 10 3 5" xfId="19164" xr:uid="{00000000-0005-0000-0000-00007CA50000}"/>
    <cellStyle name="Migliaia 10 3 5 2" xfId="35245" xr:uid="{00000000-0005-0000-0000-00007DA50000}"/>
    <cellStyle name="Migliaia 10 3 5 3" xfId="50201" xr:uid="{00000000-0005-0000-0000-00007EA50000}"/>
    <cellStyle name="Migliaia 10 3 6" xfId="21249" xr:uid="{00000000-0005-0000-0000-00007FA50000}"/>
    <cellStyle name="Migliaia 10 3 7" xfId="36220" xr:uid="{00000000-0005-0000-0000-000080A50000}"/>
    <cellStyle name="Migliaia 10 3 8" xfId="51157" xr:uid="{00000000-0005-0000-0000-000081A50000}"/>
    <cellStyle name="Migliaia 10 3 9" xfId="51551" xr:uid="{00000000-0005-0000-0000-000082A50000}"/>
    <cellStyle name="Migliaia 10 4" xfId="2774" xr:uid="{00000000-0005-0000-0000-000083A50000}"/>
    <cellStyle name="Migliaia 10 4 2" xfId="19168" xr:uid="{00000000-0005-0000-0000-000084A50000}"/>
    <cellStyle name="Migliaia 10 4 2 2" xfId="20365" xr:uid="{00000000-0005-0000-0000-000085A50000}"/>
    <cellStyle name="Migliaia 10 4 2 2 2" xfId="35798" xr:uid="{00000000-0005-0000-0000-000086A50000}"/>
    <cellStyle name="Migliaia 10 4 2 2 3" xfId="50754" xr:uid="{00000000-0005-0000-0000-000087A50000}"/>
    <cellStyle name="Migliaia 10 4 2 3" xfId="35249" xr:uid="{00000000-0005-0000-0000-000088A50000}"/>
    <cellStyle name="Migliaia 10 4 2 4" xfId="50205" xr:uid="{00000000-0005-0000-0000-000089A50000}"/>
    <cellStyle name="Migliaia 10 4 3" xfId="20364" xr:uid="{00000000-0005-0000-0000-00008AA50000}"/>
    <cellStyle name="Migliaia 10 4 3 2" xfId="35797" xr:uid="{00000000-0005-0000-0000-00008BA50000}"/>
    <cellStyle name="Migliaia 10 4 3 3" xfId="50753" xr:uid="{00000000-0005-0000-0000-00008CA50000}"/>
    <cellStyle name="Migliaia 10 4 4" xfId="19167" xr:uid="{00000000-0005-0000-0000-00008DA50000}"/>
    <cellStyle name="Migliaia 10 4 4 2" xfId="35248" xr:uid="{00000000-0005-0000-0000-00008EA50000}"/>
    <cellStyle name="Migliaia 10 4 4 3" xfId="50204" xr:uid="{00000000-0005-0000-0000-00008FA50000}"/>
    <cellStyle name="Migliaia 10 4 5" xfId="11299" xr:uid="{00000000-0005-0000-0000-000090A50000}"/>
    <cellStyle name="Migliaia 10 5" xfId="3143" xr:uid="{00000000-0005-0000-0000-000091A50000}"/>
    <cellStyle name="Migliaia 10 5 2" xfId="19169" xr:uid="{00000000-0005-0000-0000-000092A50000}"/>
    <cellStyle name="Migliaia 10 5 2 2" xfId="35250" xr:uid="{00000000-0005-0000-0000-000093A50000}"/>
    <cellStyle name="Migliaia 10 5 2 3" xfId="50206" xr:uid="{00000000-0005-0000-0000-000094A50000}"/>
    <cellStyle name="Migliaia 10 5 3" xfId="11300" xr:uid="{00000000-0005-0000-0000-000095A50000}"/>
    <cellStyle name="Migliaia 10 6" xfId="11295" xr:uid="{00000000-0005-0000-0000-000096A50000}"/>
    <cellStyle name="Migliaia 10 7" xfId="11962" xr:uid="{00000000-0005-0000-0000-000097A50000}"/>
    <cellStyle name="Migliaia 10 7 2" xfId="28244" xr:uid="{00000000-0005-0000-0000-000098A50000}"/>
    <cellStyle name="Migliaia 10 7 3" xfId="43217" xr:uid="{00000000-0005-0000-0000-000099A50000}"/>
    <cellStyle name="Migliaia 10 8" xfId="19162" xr:uid="{00000000-0005-0000-0000-00009AA50000}"/>
    <cellStyle name="Migliaia 10 8 2" xfId="35243" xr:uid="{00000000-0005-0000-0000-00009BA50000}"/>
    <cellStyle name="Migliaia 10 8 3" xfId="50199" xr:uid="{00000000-0005-0000-0000-00009CA50000}"/>
    <cellStyle name="Migliaia 10 9" xfId="21247" xr:uid="{00000000-0005-0000-0000-00009DA50000}"/>
    <cellStyle name="Migliaia 11" xfId="1184" xr:uid="{00000000-0005-0000-0000-00009EA50000}"/>
    <cellStyle name="Migliaia 11 10" xfId="36222" xr:uid="{00000000-0005-0000-0000-00009FA50000}"/>
    <cellStyle name="Migliaia 11 11" xfId="51159" xr:uid="{00000000-0005-0000-0000-0000A0A50000}"/>
    <cellStyle name="Migliaia 11 12" xfId="51553" xr:uid="{00000000-0005-0000-0000-0000A1A50000}"/>
    <cellStyle name="Migliaia 11 13" xfId="51959" xr:uid="{00000000-0005-0000-0000-0000A2A50000}"/>
    <cellStyle name="Migliaia 11 14" xfId="52367" xr:uid="{00000000-0005-0000-0000-0000A3A50000}"/>
    <cellStyle name="Migliaia 11 15" xfId="3516" xr:uid="{00000000-0005-0000-0000-0000A4A50000}"/>
    <cellStyle name="Migliaia 11 2" xfId="1185" xr:uid="{00000000-0005-0000-0000-0000A5A50000}"/>
    <cellStyle name="Migliaia 11 2 10" xfId="51960" xr:uid="{00000000-0005-0000-0000-0000A6A50000}"/>
    <cellStyle name="Migliaia 11 2 11" xfId="52368" xr:uid="{00000000-0005-0000-0000-0000A7A50000}"/>
    <cellStyle name="Migliaia 11 2 12" xfId="3517" xr:uid="{00000000-0005-0000-0000-0000A8A50000}"/>
    <cellStyle name="Migliaia 11 2 2" xfId="1186" xr:uid="{00000000-0005-0000-0000-0000A9A50000}"/>
    <cellStyle name="Migliaia 11 2 2 10" xfId="3756" xr:uid="{00000000-0005-0000-0000-0000AAA50000}"/>
    <cellStyle name="Migliaia 11 2 2 2" xfId="3018" xr:uid="{00000000-0005-0000-0000-0000ABA50000}"/>
    <cellStyle name="Migliaia 11 2 2 2 2" xfId="28513" xr:uid="{00000000-0005-0000-0000-0000ACA50000}"/>
    <cellStyle name="Migliaia 11 2 2 2 3" xfId="43476" xr:uid="{00000000-0005-0000-0000-0000ADA50000}"/>
    <cellStyle name="Migliaia 11 2 2 2 4" xfId="12235" xr:uid="{00000000-0005-0000-0000-0000AEA50000}"/>
    <cellStyle name="Migliaia 11 2 2 3" xfId="3387" xr:uid="{00000000-0005-0000-0000-0000AFA50000}"/>
    <cellStyle name="Migliaia 11 2 2 3 2" xfId="35799" xr:uid="{00000000-0005-0000-0000-0000B0A50000}"/>
    <cellStyle name="Migliaia 11 2 2 3 3" xfId="50755" xr:uid="{00000000-0005-0000-0000-0000B1A50000}"/>
    <cellStyle name="Migliaia 11 2 2 3 4" xfId="20366" xr:uid="{00000000-0005-0000-0000-0000B2A50000}"/>
    <cellStyle name="Migliaia 11 2 2 4" xfId="21513" xr:uid="{00000000-0005-0000-0000-0000B3A50000}"/>
    <cellStyle name="Migliaia 11 2 2 5" xfId="36480" xr:uid="{00000000-0005-0000-0000-0000B4A50000}"/>
    <cellStyle name="Migliaia 11 2 2 6" xfId="51418" xr:uid="{00000000-0005-0000-0000-0000B5A50000}"/>
    <cellStyle name="Migliaia 11 2 2 7" xfId="51823" xr:uid="{00000000-0005-0000-0000-0000B6A50000}"/>
    <cellStyle name="Migliaia 11 2 2 8" xfId="52232" xr:uid="{00000000-0005-0000-0000-0000B7A50000}"/>
    <cellStyle name="Migliaia 11 2 2 9" xfId="52637" xr:uid="{00000000-0005-0000-0000-0000B8A50000}"/>
    <cellStyle name="Migliaia 11 2 3" xfId="2779" xr:uid="{00000000-0005-0000-0000-0000B9A50000}"/>
    <cellStyle name="Migliaia 11 2 3 2" xfId="11302" xr:uid="{00000000-0005-0000-0000-0000BAA50000}"/>
    <cellStyle name="Migliaia 11 2 4" xfId="3148" xr:uid="{00000000-0005-0000-0000-0000BBA50000}"/>
    <cellStyle name="Migliaia 11 2 4 2" xfId="28249" xr:uid="{00000000-0005-0000-0000-0000BCA50000}"/>
    <cellStyle name="Migliaia 11 2 4 3" xfId="43222" xr:uid="{00000000-0005-0000-0000-0000BDA50000}"/>
    <cellStyle name="Migliaia 11 2 4 4" xfId="11967" xr:uid="{00000000-0005-0000-0000-0000BEA50000}"/>
    <cellStyle name="Migliaia 11 2 5" xfId="19171" xr:uid="{00000000-0005-0000-0000-0000BFA50000}"/>
    <cellStyle name="Migliaia 11 2 5 2" xfId="35252" xr:uid="{00000000-0005-0000-0000-0000C0A50000}"/>
    <cellStyle name="Migliaia 11 2 5 3" xfId="50208" xr:uid="{00000000-0005-0000-0000-0000C1A50000}"/>
    <cellStyle name="Migliaia 11 2 6" xfId="21252" xr:uid="{00000000-0005-0000-0000-0000C2A50000}"/>
    <cellStyle name="Migliaia 11 2 7" xfId="36223" xr:uid="{00000000-0005-0000-0000-0000C3A50000}"/>
    <cellStyle name="Migliaia 11 2 8" xfId="51160" xr:uid="{00000000-0005-0000-0000-0000C4A50000}"/>
    <cellStyle name="Migliaia 11 2 9" xfId="51554" xr:uid="{00000000-0005-0000-0000-0000C5A50000}"/>
    <cellStyle name="Migliaia 11 3" xfId="1187" xr:uid="{00000000-0005-0000-0000-0000C6A50000}"/>
    <cellStyle name="Migliaia 11 3 10" xfId="51961" xr:uid="{00000000-0005-0000-0000-0000C7A50000}"/>
    <cellStyle name="Migliaia 11 3 11" xfId="52369" xr:uid="{00000000-0005-0000-0000-0000C8A50000}"/>
    <cellStyle name="Migliaia 11 3 12" xfId="3518" xr:uid="{00000000-0005-0000-0000-0000C9A50000}"/>
    <cellStyle name="Migliaia 11 3 2" xfId="1188" xr:uid="{00000000-0005-0000-0000-0000CAA50000}"/>
    <cellStyle name="Migliaia 11 3 2 10" xfId="52370" xr:uid="{00000000-0005-0000-0000-0000CBA50000}"/>
    <cellStyle name="Migliaia 11 3 2 11" xfId="3519" xr:uid="{00000000-0005-0000-0000-0000CCA50000}"/>
    <cellStyle name="Migliaia 11 3 2 2" xfId="2781" xr:uid="{00000000-0005-0000-0000-0000CDA50000}"/>
    <cellStyle name="Migliaia 11 3 2 2 2" xfId="11304" xr:uid="{00000000-0005-0000-0000-0000CEA50000}"/>
    <cellStyle name="Migliaia 11 3 2 3" xfId="3150" xr:uid="{00000000-0005-0000-0000-0000CFA50000}"/>
    <cellStyle name="Migliaia 11 3 2 3 2" xfId="28251" xr:uid="{00000000-0005-0000-0000-0000D0A50000}"/>
    <cellStyle name="Migliaia 11 3 2 3 3" xfId="43224" xr:uid="{00000000-0005-0000-0000-0000D1A50000}"/>
    <cellStyle name="Migliaia 11 3 2 3 4" xfId="11969" xr:uid="{00000000-0005-0000-0000-0000D2A50000}"/>
    <cellStyle name="Migliaia 11 3 2 4" xfId="19173" xr:uid="{00000000-0005-0000-0000-0000D3A50000}"/>
    <cellStyle name="Migliaia 11 3 2 4 2" xfId="35254" xr:uid="{00000000-0005-0000-0000-0000D4A50000}"/>
    <cellStyle name="Migliaia 11 3 2 4 3" xfId="50210" xr:uid="{00000000-0005-0000-0000-0000D5A50000}"/>
    <cellStyle name="Migliaia 11 3 2 5" xfId="21254" xr:uid="{00000000-0005-0000-0000-0000D6A50000}"/>
    <cellStyle name="Migliaia 11 3 2 6" xfId="36225" xr:uid="{00000000-0005-0000-0000-0000D7A50000}"/>
    <cellStyle name="Migliaia 11 3 2 7" xfId="51162" xr:uid="{00000000-0005-0000-0000-0000D8A50000}"/>
    <cellStyle name="Migliaia 11 3 2 8" xfId="51556" xr:uid="{00000000-0005-0000-0000-0000D9A50000}"/>
    <cellStyle name="Migliaia 11 3 2 9" xfId="51962" xr:uid="{00000000-0005-0000-0000-0000DAA50000}"/>
    <cellStyle name="Migliaia 11 3 3" xfId="2780" xr:uid="{00000000-0005-0000-0000-0000DBA50000}"/>
    <cellStyle name="Migliaia 11 3 3 2" xfId="20368" xr:uid="{00000000-0005-0000-0000-0000DCA50000}"/>
    <cellStyle name="Migliaia 11 3 3 2 2" xfId="35801" xr:uid="{00000000-0005-0000-0000-0000DDA50000}"/>
    <cellStyle name="Migliaia 11 3 3 2 3" xfId="50757" xr:uid="{00000000-0005-0000-0000-0000DEA50000}"/>
    <cellStyle name="Migliaia 11 3 3 3" xfId="19174" xr:uid="{00000000-0005-0000-0000-0000DFA50000}"/>
    <cellStyle name="Migliaia 11 3 3 3 2" xfId="35255" xr:uid="{00000000-0005-0000-0000-0000E0A50000}"/>
    <cellStyle name="Migliaia 11 3 3 3 3" xfId="50211" xr:uid="{00000000-0005-0000-0000-0000E1A50000}"/>
    <cellStyle name="Migliaia 11 3 3 4" xfId="11303" xr:uid="{00000000-0005-0000-0000-0000E2A50000}"/>
    <cellStyle name="Migliaia 11 3 4" xfId="3149" xr:uid="{00000000-0005-0000-0000-0000E3A50000}"/>
    <cellStyle name="Migliaia 11 3 4 2" xfId="20367" xr:uid="{00000000-0005-0000-0000-0000E4A50000}"/>
    <cellStyle name="Migliaia 11 3 4 2 2" xfId="35800" xr:uid="{00000000-0005-0000-0000-0000E5A50000}"/>
    <cellStyle name="Migliaia 11 3 4 2 3" xfId="50756" xr:uid="{00000000-0005-0000-0000-0000E6A50000}"/>
    <cellStyle name="Migliaia 11 3 4 3" xfId="28250" xr:uid="{00000000-0005-0000-0000-0000E7A50000}"/>
    <cellStyle name="Migliaia 11 3 4 4" xfId="43223" xr:uid="{00000000-0005-0000-0000-0000E8A50000}"/>
    <cellStyle name="Migliaia 11 3 4 5" xfId="11968" xr:uid="{00000000-0005-0000-0000-0000E9A50000}"/>
    <cellStyle name="Migliaia 11 3 5" xfId="19172" xr:uid="{00000000-0005-0000-0000-0000EAA50000}"/>
    <cellStyle name="Migliaia 11 3 5 2" xfId="35253" xr:uid="{00000000-0005-0000-0000-0000EBA50000}"/>
    <cellStyle name="Migliaia 11 3 5 3" xfId="50209" xr:uid="{00000000-0005-0000-0000-0000ECA50000}"/>
    <cellStyle name="Migliaia 11 3 6" xfId="21253" xr:uid="{00000000-0005-0000-0000-0000EDA50000}"/>
    <cellStyle name="Migliaia 11 3 7" xfId="36224" xr:uid="{00000000-0005-0000-0000-0000EEA50000}"/>
    <cellStyle name="Migliaia 11 3 8" xfId="51161" xr:uid="{00000000-0005-0000-0000-0000EFA50000}"/>
    <cellStyle name="Migliaia 11 3 9" xfId="51555" xr:uid="{00000000-0005-0000-0000-0000F0A50000}"/>
    <cellStyle name="Migliaia 11 4" xfId="2778" xr:uid="{00000000-0005-0000-0000-0000F1A50000}"/>
    <cellStyle name="Migliaia 11 4 2" xfId="19176" xr:uid="{00000000-0005-0000-0000-0000F2A50000}"/>
    <cellStyle name="Migliaia 11 4 2 2" xfId="20370" xr:uid="{00000000-0005-0000-0000-0000F3A50000}"/>
    <cellStyle name="Migliaia 11 4 2 2 2" xfId="35803" xr:uid="{00000000-0005-0000-0000-0000F4A50000}"/>
    <cellStyle name="Migliaia 11 4 2 2 3" xfId="50759" xr:uid="{00000000-0005-0000-0000-0000F5A50000}"/>
    <cellStyle name="Migliaia 11 4 2 3" xfId="35257" xr:uid="{00000000-0005-0000-0000-0000F6A50000}"/>
    <cellStyle name="Migliaia 11 4 2 4" xfId="50213" xr:uid="{00000000-0005-0000-0000-0000F7A50000}"/>
    <cellStyle name="Migliaia 11 4 3" xfId="20369" xr:uid="{00000000-0005-0000-0000-0000F8A50000}"/>
    <cellStyle name="Migliaia 11 4 3 2" xfId="35802" xr:uid="{00000000-0005-0000-0000-0000F9A50000}"/>
    <cellStyle name="Migliaia 11 4 3 3" xfId="50758" xr:uid="{00000000-0005-0000-0000-0000FAA50000}"/>
    <cellStyle name="Migliaia 11 4 4" xfId="19175" xr:uid="{00000000-0005-0000-0000-0000FBA50000}"/>
    <cellStyle name="Migliaia 11 4 4 2" xfId="35256" xr:uid="{00000000-0005-0000-0000-0000FCA50000}"/>
    <cellStyle name="Migliaia 11 4 4 3" xfId="50212" xr:uid="{00000000-0005-0000-0000-0000FDA50000}"/>
    <cellStyle name="Migliaia 11 4 5" xfId="11305" xr:uid="{00000000-0005-0000-0000-0000FEA50000}"/>
    <cellStyle name="Migliaia 11 5" xfId="3147" xr:uid="{00000000-0005-0000-0000-0000FFA50000}"/>
    <cellStyle name="Migliaia 11 5 2" xfId="19177" xr:uid="{00000000-0005-0000-0000-000000A60000}"/>
    <cellStyle name="Migliaia 11 5 2 2" xfId="35258" xr:uid="{00000000-0005-0000-0000-000001A60000}"/>
    <cellStyle name="Migliaia 11 5 2 3" xfId="50214" xr:uid="{00000000-0005-0000-0000-000002A60000}"/>
    <cellStyle name="Migliaia 11 5 3" xfId="11306" xr:uid="{00000000-0005-0000-0000-000003A60000}"/>
    <cellStyle name="Migliaia 11 6" xfId="11301" xr:uid="{00000000-0005-0000-0000-000004A60000}"/>
    <cellStyle name="Migliaia 11 7" xfId="11966" xr:uid="{00000000-0005-0000-0000-000005A60000}"/>
    <cellStyle name="Migliaia 11 7 2" xfId="28248" xr:uid="{00000000-0005-0000-0000-000006A60000}"/>
    <cellStyle name="Migliaia 11 7 3" xfId="43221" xr:uid="{00000000-0005-0000-0000-000007A60000}"/>
    <cellStyle name="Migliaia 11 8" xfId="19170" xr:uid="{00000000-0005-0000-0000-000008A60000}"/>
    <cellStyle name="Migliaia 11 8 2" xfId="35251" xr:uid="{00000000-0005-0000-0000-000009A60000}"/>
    <cellStyle name="Migliaia 11 8 3" xfId="50207" xr:uid="{00000000-0005-0000-0000-00000AA60000}"/>
    <cellStyle name="Migliaia 11 9" xfId="21251" xr:uid="{00000000-0005-0000-0000-00000BA60000}"/>
    <cellStyle name="Migliaia 12" xfId="1189" xr:uid="{00000000-0005-0000-0000-00000CA60000}"/>
    <cellStyle name="Migliaia 12 10" xfId="36226" xr:uid="{00000000-0005-0000-0000-00000DA60000}"/>
    <cellStyle name="Migliaia 12 11" xfId="51163" xr:uid="{00000000-0005-0000-0000-00000EA60000}"/>
    <cellStyle name="Migliaia 12 12" xfId="51557" xr:uid="{00000000-0005-0000-0000-00000FA60000}"/>
    <cellStyle name="Migliaia 12 13" xfId="51963" xr:uid="{00000000-0005-0000-0000-000010A60000}"/>
    <cellStyle name="Migliaia 12 14" xfId="52371" xr:uid="{00000000-0005-0000-0000-000011A60000}"/>
    <cellStyle name="Migliaia 12 15" xfId="3520" xr:uid="{00000000-0005-0000-0000-000012A60000}"/>
    <cellStyle name="Migliaia 12 2" xfId="1190" xr:uid="{00000000-0005-0000-0000-000013A60000}"/>
    <cellStyle name="Migliaia 12 2 10" xfId="51964" xr:uid="{00000000-0005-0000-0000-000014A60000}"/>
    <cellStyle name="Migliaia 12 2 11" xfId="52372" xr:uid="{00000000-0005-0000-0000-000015A60000}"/>
    <cellStyle name="Migliaia 12 2 12" xfId="3521" xr:uid="{00000000-0005-0000-0000-000016A60000}"/>
    <cellStyle name="Migliaia 12 2 2" xfId="1191" xr:uid="{00000000-0005-0000-0000-000017A60000}"/>
    <cellStyle name="Migliaia 12 2 2 10" xfId="3757" xr:uid="{00000000-0005-0000-0000-000018A60000}"/>
    <cellStyle name="Migliaia 12 2 2 2" xfId="3019" xr:uid="{00000000-0005-0000-0000-000019A60000}"/>
    <cellStyle name="Migliaia 12 2 2 2 2" xfId="28514" xr:uid="{00000000-0005-0000-0000-00001AA60000}"/>
    <cellStyle name="Migliaia 12 2 2 2 3" xfId="43477" xr:uid="{00000000-0005-0000-0000-00001BA60000}"/>
    <cellStyle name="Migliaia 12 2 2 2 4" xfId="12236" xr:uid="{00000000-0005-0000-0000-00001CA60000}"/>
    <cellStyle name="Migliaia 12 2 2 3" xfId="3388" xr:uid="{00000000-0005-0000-0000-00001DA60000}"/>
    <cellStyle name="Migliaia 12 2 2 3 2" xfId="35804" xr:uid="{00000000-0005-0000-0000-00001EA60000}"/>
    <cellStyle name="Migliaia 12 2 2 3 3" xfId="50760" xr:uid="{00000000-0005-0000-0000-00001FA60000}"/>
    <cellStyle name="Migliaia 12 2 2 3 4" xfId="20371" xr:uid="{00000000-0005-0000-0000-000020A60000}"/>
    <cellStyle name="Migliaia 12 2 2 4" xfId="21514" xr:uid="{00000000-0005-0000-0000-000021A60000}"/>
    <cellStyle name="Migliaia 12 2 2 5" xfId="36481" xr:uid="{00000000-0005-0000-0000-000022A60000}"/>
    <cellStyle name="Migliaia 12 2 2 6" xfId="51419" xr:uid="{00000000-0005-0000-0000-000023A60000}"/>
    <cellStyle name="Migliaia 12 2 2 7" xfId="51824" xr:uid="{00000000-0005-0000-0000-000024A60000}"/>
    <cellStyle name="Migliaia 12 2 2 8" xfId="52233" xr:uid="{00000000-0005-0000-0000-000025A60000}"/>
    <cellStyle name="Migliaia 12 2 2 9" xfId="52638" xr:uid="{00000000-0005-0000-0000-000026A60000}"/>
    <cellStyle name="Migliaia 12 2 3" xfId="2783" xr:uid="{00000000-0005-0000-0000-000027A60000}"/>
    <cellStyle name="Migliaia 12 2 3 2" xfId="11308" xr:uid="{00000000-0005-0000-0000-000028A60000}"/>
    <cellStyle name="Migliaia 12 2 4" xfId="3152" xr:uid="{00000000-0005-0000-0000-000029A60000}"/>
    <cellStyle name="Migliaia 12 2 4 2" xfId="28253" xr:uid="{00000000-0005-0000-0000-00002AA60000}"/>
    <cellStyle name="Migliaia 12 2 4 3" xfId="43226" xr:uid="{00000000-0005-0000-0000-00002BA60000}"/>
    <cellStyle name="Migliaia 12 2 4 4" xfId="11971" xr:uid="{00000000-0005-0000-0000-00002CA60000}"/>
    <cellStyle name="Migliaia 12 2 5" xfId="19179" xr:uid="{00000000-0005-0000-0000-00002DA60000}"/>
    <cellStyle name="Migliaia 12 2 5 2" xfId="35260" xr:uid="{00000000-0005-0000-0000-00002EA60000}"/>
    <cellStyle name="Migliaia 12 2 5 3" xfId="50216" xr:uid="{00000000-0005-0000-0000-00002FA60000}"/>
    <cellStyle name="Migliaia 12 2 6" xfId="21256" xr:uid="{00000000-0005-0000-0000-000030A60000}"/>
    <cellStyle name="Migliaia 12 2 7" xfId="36227" xr:uid="{00000000-0005-0000-0000-000031A60000}"/>
    <cellStyle name="Migliaia 12 2 8" xfId="51164" xr:uid="{00000000-0005-0000-0000-000032A60000}"/>
    <cellStyle name="Migliaia 12 2 9" xfId="51558" xr:uid="{00000000-0005-0000-0000-000033A60000}"/>
    <cellStyle name="Migliaia 12 3" xfId="1192" xr:uid="{00000000-0005-0000-0000-000034A60000}"/>
    <cellStyle name="Migliaia 12 3 10" xfId="51965" xr:uid="{00000000-0005-0000-0000-000035A60000}"/>
    <cellStyle name="Migliaia 12 3 11" xfId="52373" xr:uid="{00000000-0005-0000-0000-000036A60000}"/>
    <cellStyle name="Migliaia 12 3 12" xfId="3522" xr:uid="{00000000-0005-0000-0000-000037A60000}"/>
    <cellStyle name="Migliaia 12 3 2" xfId="1193" xr:uid="{00000000-0005-0000-0000-000038A60000}"/>
    <cellStyle name="Migliaia 12 3 2 10" xfId="52374" xr:uid="{00000000-0005-0000-0000-000039A60000}"/>
    <cellStyle name="Migliaia 12 3 2 11" xfId="3523" xr:uid="{00000000-0005-0000-0000-00003AA60000}"/>
    <cellStyle name="Migliaia 12 3 2 2" xfId="2785" xr:uid="{00000000-0005-0000-0000-00003BA60000}"/>
    <cellStyle name="Migliaia 12 3 2 2 2" xfId="11310" xr:uid="{00000000-0005-0000-0000-00003CA60000}"/>
    <cellStyle name="Migliaia 12 3 2 3" xfId="3154" xr:uid="{00000000-0005-0000-0000-00003DA60000}"/>
    <cellStyle name="Migliaia 12 3 2 3 2" xfId="28255" xr:uid="{00000000-0005-0000-0000-00003EA60000}"/>
    <cellStyle name="Migliaia 12 3 2 3 3" xfId="43228" xr:uid="{00000000-0005-0000-0000-00003FA60000}"/>
    <cellStyle name="Migliaia 12 3 2 3 4" xfId="11973" xr:uid="{00000000-0005-0000-0000-000040A60000}"/>
    <cellStyle name="Migliaia 12 3 2 4" xfId="19181" xr:uid="{00000000-0005-0000-0000-000041A60000}"/>
    <cellStyle name="Migliaia 12 3 2 4 2" xfId="35262" xr:uid="{00000000-0005-0000-0000-000042A60000}"/>
    <cellStyle name="Migliaia 12 3 2 4 3" xfId="50218" xr:uid="{00000000-0005-0000-0000-000043A60000}"/>
    <cellStyle name="Migliaia 12 3 2 5" xfId="21258" xr:uid="{00000000-0005-0000-0000-000044A60000}"/>
    <cellStyle name="Migliaia 12 3 2 6" xfId="36229" xr:uid="{00000000-0005-0000-0000-000045A60000}"/>
    <cellStyle name="Migliaia 12 3 2 7" xfId="51166" xr:uid="{00000000-0005-0000-0000-000046A60000}"/>
    <cellStyle name="Migliaia 12 3 2 8" xfId="51560" xr:uid="{00000000-0005-0000-0000-000047A60000}"/>
    <cellStyle name="Migliaia 12 3 2 9" xfId="51966" xr:uid="{00000000-0005-0000-0000-000048A60000}"/>
    <cellStyle name="Migliaia 12 3 3" xfId="2784" xr:uid="{00000000-0005-0000-0000-000049A60000}"/>
    <cellStyle name="Migliaia 12 3 3 2" xfId="20373" xr:uid="{00000000-0005-0000-0000-00004AA60000}"/>
    <cellStyle name="Migliaia 12 3 3 2 2" xfId="35806" xr:uid="{00000000-0005-0000-0000-00004BA60000}"/>
    <cellStyle name="Migliaia 12 3 3 2 3" xfId="50762" xr:uid="{00000000-0005-0000-0000-00004CA60000}"/>
    <cellStyle name="Migliaia 12 3 3 3" xfId="19182" xr:uid="{00000000-0005-0000-0000-00004DA60000}"/>
    <cellStyle name="Migliaia 12 3 3 3 2" xfId="35263" xr:uid="{00000000-0005-0000-0000-00004EA60000}"/>
    <cellStyle name="Migliaia 12 3 3 3 3" xfId="50219" xr:uid="{00000000-0005-0000-0000-00004FA60000}"/>
    <cellStyle name="Migliaia 12 3 3 4" xfId="11309" xr:uid="{00000000-0005-0000-0000-000050A60000}"/>
    <cellStyle name="Migliaia 12 3 4" xfId="3153" xr:uid="{00000000-0005-0000-0000-000051A60000}"/>
    <cellStyle name="Migliaia 12 3 4 2" xfId="20372" xr:uid="{00000000-0005-0000-0000-000052A60000}"/>
    <cellStyle name="Migliaia 12 3 4 2 2" xfId="35805" xr:uid="{00000000-0005-0000-0000-000053A60000}"/>
    <cellStyle name="Migliaia 12 3 4 2 3" xfId="50761" xr:uid="{00000000-0005-0000-0000-000054A60000}"/>
    <cellStyle name="Migliaia 12 3 4 3" xfId="28254" xr:uid="{00000000-0005-0000-0000-000055A60000}"/>
    <cellStyle name="Migliaia 12 3 4 4" xfId="43227" xr:uid="{00000000-0005-0000-0000-000056A60000}"/>
    <cellStyle name="Migliaia 12 3 4 5" xfId="11972" xr:uid="{00000000-0005-0000-0000-000057A60000}"/>
    <cellStyle name="Migliaia 12 3 5" xfId="19180" xr:uid="{00000000-0005-0000-0000-000058A60000}"/>
    <cellStyle name="Migliaia 12 3 5 2" xfId="35261" xr:uid="{00000000-0005-0000-0000-000059A60000}"/>
    <cellStyle name="Migliaia 12 3 5 3" xfId="50217" xr:uid="{00000000-0005-0000-0000-00005AA60000}"/>
    <cellStyle name="Migliaia 12 3 6" xfId="21257" xr:uid="{00000000-0005-0000-0000-00005BA60000}"/>
    <cellStyle name="Migliaia 12 3 7" xfId="36228" xr:uid="{00000000-0005-0000-0000-00005CA60000}"/>
    <cellStyle name="Migliaia 12 3 8" xfId="51165" xr:uid="{00000000-0005-0000-0000-00005DA60000}"/>
    <cellStyle name="Migliaia 12 3 9" xfId="51559" xr:uid="{00000000-0005-0000-0000-00005EA60000}"/>
    <cellStyle name="Migliaia 12 4" xfId="2782" xr:uid="{00000000-0005-0000-0000-00005FA60000}"/>
    <cellStyle name="Migliaia 12 4 2" xfId="19184" xr:uid="{00000000-0005-0000-0000-000060A60000}"/>
    <cellStyle name="Migliaia 12 4 2 2" xfId="20375" xr:uid="{00000000-0005-0000-0000-000061A60000}"/>
    <cellStyle name="Migliaia 12 4 2 2 2" xfId="35808" xr:uid="{00000000-0005-0000-0000-000062A60000}"/>
    <cellStyle name="Migliaia 12 4 2 2 3" xfId="50764" xr:uid="{00000000-0005-0000-0000-000063A60000}"/>
    <cellStyle name="Migliaia 12 4 2 3" xfId="35265" xr:uid="{00000000-0005-0000-0000-000064A60000}"/>
    <cellStyle name="Migliaia 12 4 2 4" xfId="50221" xr:uid="{00000000-0005-0000-0000-000065A60000}"/>
    <cellStyle name="Migliaia 12 4 3" xfId="20374" xr:uid="{00000000-0005-0000-0000-000066A60000}"/>
    <cellStyle name="Migliaia 12 4 3 2" xfId="35807" xr:uid="{00000000-0005-0000-0000-000067A60000}"/>
    <cellStyle name="Migliaia 12 4 3 3" xfId="50763" xr:uid="{00000000-0005-0000-0000-000068A60000}"/>
    <cellStyle name="Migliaia 12 4 4" xfId="19183" xr:uid="{00000000-0005-0000-0000-000069A60000}"/>
    <cellStyle name="Migliaia 12 4 4 2" xfId="35264" xr:uid="{00000000-0005-0000-0000-00006AA60000}"/>
    <cellStyle name="Migliaia 12 4 4 3" xfId="50220" xr:uid="{00000000-0005-0000-0000-00006BA60000}"/>
    <cellStyle name="Migliaia 12 4 5" xfId="11311" xr:uid="{00000000-0005-0000-0000-00006CA60000}"/>
    <cellStyle name="Migliaia 12 5" xfId="3151" xr:uid="{00000000-0005-0000-0000-00006DA60000}"/>
    <cellStyle name="Migliaia 12 5 2" xfId="19185" xr:uid="{00000000-0005-0000-0000-00006EA60000}"/>
    <cellStyle name="Migliaia 12 5 2 2" xfId="35266" xr:uid="{00000000-0005-0000-0000-00006FA60000}"/>
    <cellStyle name="Migliaia 12 5 2 3" xfId="50222" xr:uid="{00000000-0005-0000-0000-000070A60000}"/>
    <cellStyle name="Migliaia 12 5 3" xfId="11312" xr:uid="{00000000-0005-0000-0000-000071A60000}"/>
    <cellStyle name="Migliaia 12 6" xfId="11307" xr:uid="{00000000-0005-0000-0000-000072A60000}"/>
    <cellStyle name="Migliaia 12 7" xfId="11970" xr:uid="{00000000-0005-0000-0000-000073A60000}"/>
    <cellStyle name="Migliaia 12 7 2" xfId="28252" xr:uid="{00000000-0005-0000-0000-000074A60000}"/>
    <cellStyle name="Migliaia 12 7 3" xfId="43225" xr:uid="{00000000-0005-0000-0000-000075A60000}"/>
    <cellStyle name="Migliaia 12 8" xfId="19178" xr:uid="{00000000-0005-0000-0000-000076A60000}"/>
    <cellStyle name="Migliaia 12 8 2" xfId="35259" xr:uid="{00000000-0005-0000-0000-000077A60000}"/>
    <cellStyle name="Migliaia 12 8 3" xfId="50215" xr:uid="{00000000-0005-0000-0000-000078A60000}"/>
    <cellStyle name="Migliaia 12 9" xfId="21255" xr:uid="{00000000-0005-0000-0000-000079A60000}"/>
    <cellStyle name="Migliaia 13" xfId="1194" xr:uid="{00000000-0005-0000-0000-00007AA60000}"/>
    <cellStyle name="Migliaia 13 10" xfId="36230" xr:uid="{00000000-0005-0000-0000-00007BA60000}"/>
    <cellStyle name="Migliaia 13 11" xfId="51167" xr:uid="{00000000-0005-0000-0000-00007CA60000}"/>
    <cellStyle name="Migliaia 13 12" xfId="51561" xr:uid="{00000000-0005-0000-0000-00007DA60000}"/>
    <cellStyle name="Migliaia 13 13" xfId="51967" xr:uid="{00000000-0005-0000-0000-00007EA60000}"/>
    <cellStyle name="Migliaia 13 14" xfId="52375" xr:uid="{00000000-0005-0000-0000-00007FA60000}"/>
    <cellStyle name="Migliaia 13 15" xfId="3524" xr:uid="{00000000-0005-0000-0000-000080A60000}"/>
    <cellStyle name="Migliaia 13 2" xfId="1195" xr:uid="{00000000-0005-0000-0000-000081A60000}"/>
    <cellStyle name="Migliaia 13 2 10" xfId="51968" xr:uid="{00000000-0005-0000-0000-000082A60000}"/>
    <cellStyle name="Migliaia 13 2 11" xfId="52376" xr:uid="{00000000-0005-0000-0000-000083A60000}"/>
    <cellStyle name="Migliaia 13 2 12" xfId="3525" xr:uid="{00000000-0005-0000-0000-000084A60000}"/>
    <cellStyle name="Migliaia 13 2 2" xfId="1196" xr:uid="{00000000-0005-0000-0000-000085A60000}"/>
    <cellStyle name="Migliaia 13 2 2 10" xfId="3758" xr:uid="{00000000-0005-0000-0000-000086A60000}"/>
    <cellStyle name="Migliaia 13 2 2 2" xfId="3020" xr:uid="{00000000-0005-0000-0000-000087A60000}"/>
    <cellStyle name="Migliaia 13 2 2 2 2" xfId="28515" xr:uid="{00000000-0005-0000-0000-000088A60000}"/>
    <cellStyle name="Migliaia 13 2 2 2 3" xfId="43478" xr:uid="{00000000-0005-0000-0000-000089A60000}"/>
    <cellStyle name="Migliaia 13 2 2 2 4" xfId="12237" xr:uid="{00000000-0005-0000-0000-00008AA60000}"/>
    <cellStyle name="Migliaia 13 2 2 3" xfId="3389" xr:uid="{00000000-0005-0000-0000-00008BA60000}"/>
    <cellStyle name="Migliaia 13 2 2 3 2" xfId="35809" xr:uid="{00000000-0005-0000-0000-00008CA60000}"/>
    <cellStyle name="Migliaia 13 2 2 3 3" xfId="50765" xr:uid="{00000000-0005-0000-0000-00008DA60000}"/>
    <cellStyle name="Migliaia 13 2 2 3 4" xfId="20376" xr:uid="{00000000-0005-0000-0000-00008EA60000}"/>
    <cellStyle name="Migliaia 13 2 2 4" xfId="21515" xr:uid="{00000000-0005-0000-0000-00008FA60000}"/>
    <cellStyle name="Migliaia 13 2 2 5" xfId="36482" xr:uid="{00000000-0005-0000-0000-000090A60000}"/>
    <cellStyle name="Migliaia 13 2 2 6" xfId="51420" xr:uid="{00000000-0005-0000-0000-000091A60000}"/>
    <cellStyle name="Migliaia 13 2 2 7" xfId="51825" xr:uid="{00000000-0005-0000-0000-000092A60000}"/>
    <cellStyle name="Migliaia 13 2 2 8" xfId="52234" xr:uid="{00000000-0005-0000-0000-000093A60000}"/>
    <cellStyle name="Migliaia 13 2 2 9" xfId="52639" xr:uid="{00000000-0005-0000-0000-000094A60000}"/>
    <cellStyle name="Migliaia 13 2 3" xfId="2787" xr:uid="{00000000-0005-0000-0000-000095A60000}"/>
    <cellStyle name="Migliaia 13 2 3 2" xfId="11314" xr:uid="{00000000-0005-0000-0000-000096A60000}"/>
    <cellStyle name="Migliaia 13 2 4" xfId="3156" xr:uid="{00000000-0005-0000-0000-000097A60000}"/>
    <cellStyle name="Migliaia 13 2 4 2" xfId="28257" xr:uid="{00000000-0005-0000-0000-000098A60000}"/>
    <cellStyle name="Migliaia 13 2 4 3" xfId="43230" xr:uid="{00000000-0005-0000-0000-000099A60000}"/>
    <cellStyle name="Migliaia 13 2 4 4" xfId="11975" xr:uid="{00000000-0005-0000-0000-00009AA60000}"/>
    <cellStyle name="Migliaia 13 2 5" xfId="19187" xr:uid="{00000000-0005-0000-0000-00009BA60000}"/>
    <cellStyle name="Migliaia 13 2 5 2" xfId="35268" xr:uid="{00000000-0005-0000-0000-00009CA60000}"/>
    <cellStyle name="Migliaia 13 2 5 3" xfId="50224" xr:uid="{00000000-0005-0000-0000-00009DA60000}"/>
    <cellStyle name="Migliaia 13 2 6" xfId="21260" xr:uid="{00000000-0005-0000-0000-00009EA60000}"/>
    <cellStyle name="Migliaia 13 2 7" xfId="36231" xr:uid="{00000000-0005-0000-0000-00009FA60000}"/>
    <cellStyle name="Migliaia 13 2 8" xfId="51168" xr:uid="{00000000-0005-0000-0000-0000A0A60000}"/>
    <cellStyle name="Migliaia 13 2 9" xfId="51562" xr:uid="{00000000-0005-0000-0000-0000A1A60000}"/>
    <cellStyle name="Migliaia 13 3" xfId="1197" xr:uid="{00000000-0005-0000-0000-0000A2A60000}"/>
    <cellStyle name="Migliaia 13 3 10" xfId="51969" xr:uid="{00000000-0005-0000-0000-0000A3A60000}"/>
    <cellStyle name="Migliaia 13 3 11" xfId="52377" xr:uid="{00000000-0005-0000-0000-0000A4A60000}"/>
    <cellStyle name="Migliaia 13 3 12" xfId="3526" xr:uid="{00000000-0005-0000-0000-0000A5A60000}"/>
    <cellStyle name="Migliaia 13 3 2" xfId="1198" xr:uid="{00000000-0005-0000-0000-0000A6A60000}"/>
    <cellStyle name="Migliaia 13 3 2 10" xfId="52378" xr:uid="{00000000-0005-0000-0000-0000A7A60000}"/>
    <cellStyle name="Migliaia 13 3 2 11" xfId="3527" xr:uid="{00000000-0005-0000-0000-0000A8A60000}"/>
    <cellStyle name="Migliaia 13 3 2 2" xfId="2789" xr:uid="{00000000-0005-0000-0000-0000A9A60000}"/>
    <cellStyle name="Migliaia 13 3 2 2 2" xfId="11316" xr:uid="{00000000-0005-0000-0000-0000AAA60000}"/>
    <cellStyle name="Migliaia 13 3 2 3" xfId="3158" xr:uid="{00000000-0005-0000-0000-0000ABA60000}"/>
    <cellStyle name="Migliaia 13 3 2 3 2" xfId="28259" xr:uid="{00000000-0005-0000-0000-0000ACA60000}"/>
    <cellStyle name="Migliaia 13 3 2 3 3" xfId="43232" xr:uid="{00000000-0005-0000-0000-0000ADA60000}"/>
    <cellStyle name="Migliaia 13 3 2 3 4" xfId="11977" xr:uid="{00000000-0005-0000-0000-0000AEA60000}"/>
    <cellStyle name="Migliaia 13 3 2 4" xfId="19189" xr:uid="{00000000-0005-0000-0000-0000AFA60000}"/>
    <cellStyle name="Migliaia 13 3 2 4 2" xfId="35270" xr:uid="{00000000-0005-0000-0000-0000B0A60000}"/>
    <cellStyle name="Migliaia 13 3 2 4 3" xfId="50226" xr:uid="{00000000-0005-0000-0000-0000B1A60000}"/>
    <cellStyle name="Migliaia 13 3 2 5" xfId="21262" xr:uid="{00000000-0005-0000-0000-0000B2A60000}"/>
    <cellStyle name="Migliaia 13 3 2 6" xfId="36233" xr:uid="{00000000-0005-0000-0000-0000B3A60000}"/>
    <cellStyle name="Migliaia 13 3 2 7" xfId="51170" xr:uid="{00000000-0005-0000-0000-0000B4A60000}"/>
    <cellStyle name="Migliaia 13 3 2 8" xfId="51564" xr:uid="{00000000-0005-0000-0000-0000B5A60000}"/>
    <cellStyle name="Migliaia 13 3 2 9" xfId="51970" xr:uid="{00000000-0005-0000-0000-0000B6A60000}"/>
    <cellStyle name="Migliaia 13 3 3" xfId="2788" xr:uid="{00000000-0005-0000-0000-0000B7A60000}"/>
    <cellStyle name="Migliaia 13 3 3 2" xfId="20378" xr:uid="{00000000-0005-0000-0000-0000B8A60000}"/>
    <cellStyle name="Migliaia 13 3 3 2 2" xfId="35811" xr:uid="{00000000-0005-0000-0000-0000B9A60000}"/>
    <cellStyle name="Migliaia 13 3 3 2 3" xfId="50767" xr:uid="{00000000-0005-0000-0000-0000BAA60000}"/>
    <cellStyle name="Migliaia 13 3 3 3" xfId="19190" xr:uid="{00000000-0005-0000-0000-0000BBA60000}"/>
    <cellStyle name="Migliaia 13 3 3 3 2" xfId="35271" xr:uid="{00000000-0005-0000-0000-0000BCA60000}"/>
    <cellStyle name="Migliaia 13 3 3 3 3" xfId="50227" xr:uid="{00000000-0005-0000-0000-0000BDA60000}"/>
    <cellStyle name="Migliaia 13 3 3 4" xfId="11315" xr:uid="{00000000-0005-0000-0000-0000BEA60000}"/>
    <cellStyle name="Migliaia 13 3 4" xfId="3157" xr:uid="{00000000-0005-0000-0000-0000BFA60000}"/>
    <cellStyle name="Migliaia 13 3 4 2" xfId="20377" xr:uid="{00000000-0005-0000-0000-0000C0A60000}"/>
    <cellStyle name="Migliaia 13 3 4 2 2" xfId="35810" xr:uid="{00000000-0005-0000-0000-0000C1A60000}"/>
    <cellStyle name="Migliaia 13 3 4 2 3" xfId="50766" xr:uid="{00000000-0005-0000-0000-0000C2A60000}"/>
    <cellStyle name="Migliaia 13 3 4 3" xfId="28258" xr:uid="{00000000-0005-0000-0000-0000C3A60000}"/>
    <cellStyle name="Migliaia 13 3 4 4" xfId="43231" xr:uid="{00000000-0005-0000-0000-0000C4A60000}"/>
    <cellStyle name="Migliaia 13 3 4 5" xfId="11976" xr:uid="{00000000-0005-0000-0000-0000C5A60000}"/>
    <cellStyle name="Migliaia 13 3 5" xfId="19188" xr:uid="{00000000-0005-0000-0000-0000C6A60000}"/>
    <cellStyle name="Migliaia 13 3 5 2" xfId="35269" xr:uid="{00000000-0005-0000-0000-0000C7A60000}"/>
    <cellStyle name="Migliaia 13 3 5 3" xfId="50225" xr:uid="{00000000-0005-0000-0000-0000C8A60000}"/>
    <cellStyle name="Migliaia 13 3 6" xfId="21261" xr:uid="{00000000-0005-0000-0000-0000C9A60000}"/>
    <cellStyle name="Migliaia 13 3 7" xfId="36232" xr:uid="{00000000-0005-0000-0000-0000CAA60000}"/>
    <cellStyle name="Migliaia 13 3 8" xfId="51169" xr:uid="{00000000-0005-0000-0000-0000CBA60000}"/>
    <cellStyle name="Migliaia 13 3 9" xfId="51563" xr:uid="{00000000-0005-0000-0000-0000CCA60000}"/>
    <cellStyle name="Migliaia 13 4" xfId="2786" xr:uid="{00000000-0005-0000-0000-0000CDA60000}"/>
    <cellStyle name="Migliaia 13 4 2" xfId="19192" xr:uid="{00000000-0005-0000-0000-0000CEA60000}"/>
    <cellStyle name="Migliaia 13 4 2 2" xfId="20380" xr:uid="{00000000-0005-0000-0000-0000CFA60000}"/>
    <cellStyle name="Migliaia 13 4 2 2 2" xfId="35813" xr:uid="{00000000-0005-0000-0000-0000D0A60000}"/>
    <cellStyle name="Migliaia 13 4 2 2 3" xfId="50769" xr:uid="{00000000-0005-0000-0000-0000D1A60000}"/>
    <cellStyle name="Migliaia 13 4 2 3" xfId="35273" xr:uid="{00000000-0005-0000-0000-0000D2A60000}"/>
    <cellStyle name="Migliaia 13 4 2 4" xfId="50229" xr:uid="{00000000-0005-0000-0000-0000D3A60000}"/>
    <cellStyle name="Migliaia 13 4 3" xfId="20379" xr:uid="{00000000-0005-0000-0000-0000D4A60000}"/>
    <cellStyle name="Migliaia 13 4 3 2" xfId="35812" xr:uid="{00000000-0005-0000-0000-0000D5A60000}"/>
    <cellStyle name="Migliaia 13 4 3 3" xfId="50768" xr:uid="{00000000-0005-0000-0000-0000D6A60000}"/>
    <cellStyle name="Migliaia 13 4 4" xfId="19191" xr:uid="{00000000-0005-0000-0000-0000D7A60000}"/>
    <cellStyle name="Migliaia 13 4 4 2" xfId="35272" xr:uid="{00000000-0005-0000-0000-0000D8A60000}"/>
    <cellStyle name="Migliaia 13 4 4 3" xfId="50228" xr:uid="{00000000-0005-0000-0000-0000D9A60000}"/>
    <cellStyle name="Migliaia 13 4 5" xfId="11317" xr:uid="{00000000-0005-0000-0000-0000DAA60000}"/>
    <cellStyle name="Migliaia 13 5" xfId="3155" xr:uid="{00000000-0005-0000-0000-0000DBA60000}"/>
    <cellStyle name="Migliaia 13 5 2" xfId="19193" xr:uid="{00000000-0005-0000-0000-0000DCA60000}"/>
    <cellStyle name="Migliaia 13 5 2 2" xfId="35274" xr:uid="{00000000-0005-0000-0000-0000DDA60000}"/>
    <cellStyle name="Migliaia 13 5 2 3" xfId="50230" xr:uid="{00000000-0005-0000-0000-0000DEA60000}"/>
    <cellStyle name="Migliaia 13 5 3" xfId="11318" xr:uid="{00000000-0005-0000-0000-0000DFA60000}"/>
    <cellStyle name="Migliaia 13 6" xfId="11313" xr:uid="{00000000-0005-0000-0000-0000E0A60000}"/>
    <cellStyle name="Migliaia 13 7" xfId="11974" xr:uid="{00000000-0005-0000-0000-0000E1A60000}"/>
    <cellStyle name="Migliaia 13 7 2" xfId="28256" xr:uid="{00000000-0005-0000-0000-0000E2A60000}"/>
    <cellStyle name="Migliaia 13 7 3" xfId="43229" xr:uid="{00000000-0005-0000-0000-0000E3A60000}"/>
    <cellStyle name="Migliaia 13 8" xfId="19186" xr:uid="{00000000-0005-0000-0000-0000E4A60000}"/>
    <cellStyle name="Migliaia 13 8 2" xfId="35267" xr:uid="{00000000-0005-0000-0000-0000E5A60000}"/>
    <cellStyle name="Migliaia 13 8 3" xfId="50223" xr:uid="{00000000-0005-0000-0000-0000E6A60000}"/>
    <cellStyle name="Migliaia 13 9" xfId="21259" xr:uid="{00000000-0005-0000-0000-0000E7A60000}"/>
    <cellStyle name="Migliaia 14" xfId="1199" xr:uid="{00000000-0005-0000-0000-0000E8A60000}"/>
    <cellStyle name="Migliaia 14 10" xfId="36234" xr:uid="{00000000-0005-0000-0000-0000E9A60000}"/>
    <cellStyle name="Migliaia 14 11" xfId="51171" xr:uid="{00000000-0005-0000-0000-0000EAA60000}"/>
    <cellStyle name="Migliaia 14 12" xfId="51565" xr:uid="{00000000-0005-0000-0000-0000EBA60000}"/>
    <cellStyle name="Migliaia 14 13" xfId="51971" xr:uid="{00000000-0005-0000-0000-0000ECA60000}"/>
    <cellStyle name="Migliaia 14 14" xfId="52379" xr:uid="{00000000-0005-0000-0000-0000EDA60000}"/>
    <cellStyle name="Migliaia 14 15" xfId="3528" xr:uid="{00000000-0005-0000-0000-0000EEA60000}"/>
    <cellStyle name="Migliaia 14 2" xfId="1200" xr:uid="{00000000-0005-0000-0000-0000EFA60000}"/>
    <cellStyle name="Migliaia 14 2 10" xfId="51972" xr:uid="{00000000-0005-0000-0000-0000F0A60000}"/>
    <cellStyle name="Migliaia 14 2 11" xfId="52380" xr:uid="{00000000-0005-0000-0000-0000F1A60000}"/>
    <cellStyle name="Migliaia 14 2 12" xfId="3529" xr:uid="{00000000-0005-0000-0000-0000F2A60000}"/>
    <cellStyle name="Migliaia 14 2 2" xfId="1201" xr:uid="{00000000-0005-0000-0000-0000F3A60000}"/>
    <cellStyle name="Migliaia 14 2 2 10" xfId="3759" xr:uid="{00000000-0005-0000-0000-0000F4A60000}"/>
    <cellStyle name="Migliaia 14 2 2 2" xfId="3021" xr:uid="{00000000-0005-0000-0000-0000F5A60000}"/>
    <cellStyle name="Migliaia 14 2 2 2 2" xfId="28516" xr:uid="{00000000-0005-0000-0000-0000F6A60000}"/>
    <cellStyle name="Migliaia 14 2 2 2 3" xfId="43479" xr:uid="{00000000-0005-0000-0000-0000F7A60000}"/>
    <cellStyle name="Migliaia 14 2 2 2 4" xfId="12238" xr:uid="{00000000-0005-0000-0000-0000F8A60000}"/>
    <cellStyle name="Migliaia 14 2 2 3" xfId="3390" xr:uid="{00000000-0005-0000-0000-0000F9A60000}"/>
    <cellStyle name="Migliaia 14 2 2 3 2" xfId="35814" xr:uid="{00000000-0005-0000-0000-0000FAA60000}"/>
    <cellStyle name="Migliaia 14 2 2 3 3" xfId="50770" xr:uid="{00000000-0005-0000-0000-0000FBA60000}"/>
    <cellStyle name="Migliaia 14 2 2 3 4" xfId="20381" xr:uid="{00000000-0005-0000-0000-0000FCA60000}"/>
    <cellStyle name="Migliaia 14 2 2 4" xfId="21516" xr:uid="{00000000-0005-0000-0000-0000FDA60000}"/>
    <cellStyle name="Migliaia 14 2 2 5" xfId="36483" xr:uid="{00000000-0005-0000-0000-0000FEA60000}"/>
    <cellStyle name="Migliaia 14 2 2 6" xfId="51421" xr:uid="{00000000-0005-0000-0000-0000FFA60000}"/>
    <cellStyle name="Migliaia 14 2 2 7" xfId="51826" xr:uid="{00000000-0005-0000-0000-000000A70000}"/>
    <cellStyle name="Migliaia 14 2 2 8" xfId="52235" xr:uid="{00000000-0005-0000-0000-000001A70000}"/>
    <cellStyle name="Migliaia 14 2 2 9" xfId="52640" xr:uid="{00000000-0005-0000-0000-000002A70000}"/>
    <cellStyle name="Migliaia 14 2 3" xfId="2791" xr:uid="{00000000-0005-0000-0000-000003A70000}"/>
    <cellStyle name="Migliaia 14 2 3 2" xfId="11320" xr:uid="{00000000-0005-0000-0000-000004A70000}"/>
    <cellStyle name="Migliaia 14 2 4" xfId="3160" xr:uid="{00000000-0005-0000-0000-000005A70000}"/>
    <cellStyle name="Migliaia 14 2 4 2" xfId="28261" xr:uid="{00000000-0005-0000-0000-000006A70000}"/>
    <cellStyle name="Migliaia 14 2 4 3" xfId="43234" xr:uid="{00000000-0005-0000-0000-000007A70000}"/>
    <cellStyle name="Migliaia 14 2 4 4" xfId="11979" xr:uid="{00000000-0005-0000-0000-000008A70000}"/>
    <cellStyle name="Migliaia 14 2 5" xfId="19195" xr:uid="{00000000-0005-0000-0000-000009A70000}"/>
    <cellStyle name="Migliaia 14 2 5 2" xfId="35276" xr:uid="{00000000-0005-0000-0000-00000AA70000}"/>
    <cellStyle name="Migliaia 14 2 5 3" xfId="50232" xr:uid="{00000000-0005-0000-0000-00000BA70000}"/>
    <cellStyle name="Migliaia 14 2 6" xfId="21264" xr:uid="{00000000-0005-0000-0000-00000CA70000}"/>
    <cellStyle name="Migliaia 14 2 7" xfId="36235" xr:uid="{00000000-0005-0000-0000-00000DA70000}"/>
    <cellStyle name="Migliaia 14 2 8" xfId="51172" xr:uid="{00000000-0005-0000-0000-00000EA70000}"/>
    <cellStyle name="Migliaia 14 2 9" xfId="51566" xr:uid="{00000000-0005-0000-0000-00000FA70000}"/>
    <cellStyle name="Migliaia 14 3" xfId="1202" xr:uid="{00000000-0005-0000-0000-000010A70000}"/>
    <cellStyle name="Migliaia 14 3 10" xfId="51973" xr:uid="{00000000-0005-0000-0000-000011A70000}"/>
    <cellStyle name="Migliaia 14 3 11" xfId="52381" xr:uid="{00000000-0005-0000-0000-000012A70000}"/>
    <cellStyle name="Migliaia 14 3 12" xfId="3530" xr:uid="{00000000-0005-0000-0000-000013A70000}"/>
    <cellStyle name="Migliaia 14 3 2" xfId="1203" xr:uid="{00000000-0005-0000-0000-000014A70000}"/>
    <cellStyle name="Migliaia 14 3 2 10" xfId="52382" xr:uid="{00000000-0005-0000-0000-000015A70000}"/>
    <cellStyle name="Migliaia 14 3 2 11" xfId="3531" xr:uid="{00000000-0005-0000-0000-000016A70000}"/>
    <cellStyle name="Migliaia 14 3 2 2" xfId="2793" xr:uid="{00000000-0005-0000-0000-000017A70000}"/>
    <cellStyle name="Migliaia 14 3 2 2 2" xfId="11322" xr:uid="{00000000-0005-0000-0000-000018A70000}"/>
    <cellStyle name="Migliaia 14 3 2 3" xfId="3162" xr:uid="{00000000-0005-0000-0000-000019A70000}"/>
    <cellStyle name="Migliaia 14 3 2 3 2" xfId="28263" xr:uid="{00000000-0005-0000-0000-00001AA70000}"/>
    <cellStyle name="Migliaia 14 3 2 3 3" xfId="43236" xr:uid="{00000000-0005-0000-0000-00001BA70000}"/>
    <cellStyle name="Migliaia 14 3 2 3 4" xfId="11981" xr:uid="{00000000-0005-0000-0000-00001CA70000}"/>
    <cellStyle name="Migliaia 14 3 2 4" xfId="19197" xr:uid="{00000000-0005-0000-0000-00001DA70000}"/>
    <cellStyle name="Migliaia 14 3 2 4 2" xfId="35278" xr:uid="{00000000-0005-0000-0000-00001EA70000}"/>
    <cellStyle name="Migliaia 14 3 2 4 3" xfId="50234" xr:uid="{00000000-0005-0000-0000-00001FA70000}"/>
    <cellStyle name="Migliaia 14 3 2 5" xfId="21266" xr:uid="{00000000-0005-0000-0000-000020A70000}"/>
    <cellStyle name="Migliaia 14 3 2 6" xfId="36237" xr:uid="{00000000-0005-0000-0000-000021A70000}"/>
    <cellStyle name="Migliaia 14 3 2 7" xfId="51174" xr:uid="{00000000-0005-0000-0000-000022A70000}"/>
    <cellStyle name="Migliaia 14 3 2 8" xfId="51568" xr:uid="{00000000-0005-0000-0000-000023A70000}"/>
    <cellStyle name="Migliaia 14 3 2 9" xfId="51974" xr:uid="{00000000-0005-0000-0000-000024A70000}"/>
    <cellStyle name="Migliaia 14 3 3" xfId="2792" xr:uid="{00000000-0005-0000-0000-000025A70000}"/>
    <cellStyle name="Migliaia 14 3 3 2" xfId="20383" xr:uid="{00000000-0005-0000-0000-000026A70000}"/>
    <cellStyle name="Migliaia 14 3 3 2 2" xfId="35816" xr:uid="{00000000-0005-0000-0000-000027A70000}"/>
    <cellStyle name="Migliaia 14 3 3 2 3" xfId="50772" xr:uid="{00000000-0005-0000-0000-000028A70000}"/>
    <cellStyle name="Migliaia 14 3 3 3" xfId="19198" xr:uid="{00000000-0005-0000-0000-000029A70000}"/>
    <cellStyle name="Migliaia 14 3 3 3 2" xfId="35279" xr:uid="{00000000-0005-0000-0000-00002AA70000}"/>
    <cellStyle name="Migliaia 14 3 3 3 3" xfId="50235" xr:uid="{00000000-0005-0000-0000-00002BA70000}"/>
    <cellStyle name="Migliaia 14 3 3 4" xfId="11321" xr:uid="{00000000-0005-0000-0000-00002CA70000}"/>
    <cellStyle name="Migliaia 14 3 4" xfId="3161" xr:uid="{00000000-0005-0000-0000-00002DA70000}"/>
    <cellStyle name="Migliaia 14 3 4 2" xfId="20382" xr:uid="{00000000-0005-0000-0000-00002EA70000}"/>
    <cellStyle name="Migliaia 14 3 4 2 2" xfId="35815" xr:uid="{00000000-0005-0000-0000-00002FA70000}"/>
    <cellStyle name="Migliaia 14 3 4 2 3" xfId="50771" xr:uid="{00000000-0005-0000-0000-000030A70000}"/>
    <cellStyle name="Migliaia 14 3 4 3" xfId="28262" xr:uid="{00000000-0005-0000-0000-000031A70000}"/>
    <cellStyle name="Migliaia 14 3 4 4" xfId="43235" xr:uid="{00000000-0005-0000-0000-000032A70000}"/>
    <cellStyle name="Migliaia 14 3 4 5" xfId="11980" xr:uid="{00000000-0005-0000-0000-000033A70000}"/>
    <cellStyle name="Migliaia 14 3 5" xfId="19196" xr:uid="{00000000-0005-0000-0000-000034A70000}"/>
    <cellStyle name="Migliaia 14 3 5 2" xfId="35277" xr:uid="{00000000-0005-0000-0000-000035A70000}"/>
    <cellStyle name="Migliaia 14 3 5 3" xfId="50233" xr:uid="{00000000-0005-0000-0000-000036A70000}"/>
    <cellStyle name="Migliaia 14 3 6" xfId="21265" xr:uid="{00000000-0005-0000-0000-000037A70000}"/>
    <cellStyle name="Migliaia 14 3 7" xfId="36236" xr:uid="{00000000-0005-0000-0000-000038A70000}"/>
    <cellStyle name="Migliaia 14 3 8" xfId="51173" xr:uid="{00000000-0005-0000-0000-000039A70000}"/>
    <cellStyle name="Migliaia 14 3 9" xfId="51567" xr:uid="{00000000-0005-0000-0000-00003AA70000}"/>
    <cellStyle name="Migliaia 14 4" xfId="2790" xr:uid="{00000000-0005-0000-0000-00003BA70000}"/>
    <cellStyle name="Migliaia 14 4 2" xfId="19200" xr:uid="{00000000-0005-0000-0000-00003CA70000}"/>
    <cellStyle name="Migliaia 14 4 2 2" xfId="20385" xr:uid="{00000000-0005-0000-0000-00003DA70000}"/>
    <cellStyle name="Migliaia 14 4 2 2 2" xfId="35818" xr:uid="{00000000-0005-0000-0000-00003EA70000}"/>
    <cellStyle name="Migliaia 14 4 2 2 3" xfId="50774" xr:uid="{00000000-0005-0000-0000-00003FA70000}"/>
    <cellStyle name="Migliaia 14 4 2 3" xfId="35281" xr:uid="{00000000-0005-0000-0000-000040A70000}"/>
    <cellStyle name="Migliaia 14 4 2 4" xfId="50237" xr:uid="{00000000-0005-0000-0000-000041A70000}"/>
    <cellStyle name="Migliaia 14 4 3" xfId="20384" xr:uid="{00000000-0005-0000-0000-000042A70000}"/>
    <cellStyle name="Migliaia 14 4 3 2" xfId="35817" xr:uid="{00000000-0005-0000-0000-000043A70000}"/>
    <cellStyle name="Migliaia 14 4 3 3" xfId="50773" xr:uid="{00000000-0005-0000-0000-000044A70000}"/>
    <cellStyle name="Migliaia 14 4 4" xfId="19199" xr:uid="{00000000-0005-0000-0000-000045A70000}"/>
    <cellStyle name="Migliaia 14 4 4 2" xfId="35280" xr:uid="{00000000-0005-0000-0000-000046A70000}"/>
    <cellStyle name="Migliaia 14 4 4 3" xfId="50236" xr:uid="{00000000-0005-0000-0000-000047A70000}"/>
    <cellStyle name="Migliaia 14 4 5" xfId="11323" xr:uid="{00000000-0005-0000-0000-000048A70000}"/>
    <cellStyle name="Migliaia 14 5" xfId="3159" xr:uid="{00000000-0005-0000-0000-000049A70000}"/>
    <cellStyle name="Migliaia 14 5 2" xfId="19201" xr:uid="{00000000-0005-0000-0000-00004AA70000}"/>
    <cellStyle name="Migliaia 14 5 2 2" xfId="35282" xr:uid="{00000000-0005-0000-0000-00004BA70000}"/>
    <cellStyle name="Migliaia 14 5 2 3" xfId="50238" xr:uid="{00000000-0005-0000-0000-00004CA70000}"/>
    <cellStyle name="Migliaia 14 5 3" xfId="11324" xr:uid="{00000000-0005-0000-0000-00004DA70000}"/>
    <cellStyle name="Migliaia 14 6" xfId="11319" xr:uid="{00000000-0005-0000-0000-00004EA70000}"/>
    <cellStyle name="Migliaia 14 7" xfId="11978" xr:uid="{00000000-0005-0000-0000-00004FA70000}"/>
    <cellStyle name="Migliaia 14 7 2" xfId="28260" xr:uid="{00000000-0005-0000-0000-000050A70000}"/>
    <cellStyle name="Migliaia 14 7 3" xfId="43233" xr:uid="{00000000-0005-0000-0000-000051A70000}"/>
    <cellStyle name="Migliaia 14 8" xfId="19194" xr:uid="{00000000-0005-0000-0000-000052A70000}"/>
    <cellStyle name="Migliaia 14 8 2" xfId="35275" xr:uid="{00000000-0005-0000-0000-000053A70000}"/>
    <cellStyle name="Migliaia 14 8 3" xfId="50231" xr:uid="{00000000-0005-0000-0000-000054A70000}"/>
    <cellStyle name="Migliaia 14 9" xfId="21263" xr:uid="{00000000-0005-0000-0000-000055A70000}"/>
    <cellStyle name="Migliaia 15" xfId="1204" xr:uid="{00000000-0005-0000-0000-000056A70000}"/>
    <cellStyle name="Migliaia 15 10" xfId="36238" xr:uid="{00000000-0005-0000-0000-000057A70000}"/>
    <cellStyle name="Migliaia 15 11" xfId="51175" xr:uid="{00000000-0005-0000-0000-000058A70000}"/>
    <cellStyle name="Migliaia 15 12" xfId="51569" xr:uid="{00000000-0005-0000-0000-000059A70000}"/>
    <cellStyle name="Migliaia 15 13" xfId="51975" xr:uid="{00000000-0005-0000-0000-00005AA70000}"/>
    <cellStyle name="Migliaia 15 14" xfId="52383" xr:uid="{00000000-0005-0000-0000-00005BA70000}"/>
    <cellStyle name="Migliaia 15 15" xfId="3532" xr:uid="{00000000-0005-0000-0000-00005CA70000}"/>
    <cellStyle name="Migliaia 15 2" xfId="1205" xr:uid="{00000000-0005-0000-0000-00005DA70000}"/>
    <cellStyle name="Migliaia 15 2 10" xfId="51976" xr:uid="{00000000-0005-0000-0000-00005EA70000}"/>
    <cellStyle name="Migliaia 15 2 11" xfId="52384" xr:uid="{00000000-0005-0000-0000-00005FA70000}"/>
    <cellStyle name="Migliaia 15 2 12" xfId="3533" xr:uid="{00000000-0005-0000-0000-000060A70000}"/>
    <cellStyle name="Migliaia 15 2 2" xfId="1206" xr:uid="{00000000-0005-0000-0000-000061A70000}"/>
    <cellStyle name="Migliaia 15 2 2 10" xfId="3760" xr:uid="{00000000-0005-0000-0000-000062A70000}"/>
    <cellStyle name="Migliaia 15 2 2 2" xfId="3022" xr:uid="{00000000-0005-0000-0000-000063A70000}"/>
    <cellStyle name="Migliaia 15 2 2 2 2" xfId="28517" xr:uid="{00000000-0005-0000-0000-000064A70000}"/>
    <cellStyle name="Migliaia 15 2 2 2 3" xfId="43480" xr:uid="{00000000-0005-0000-0000-000065A70000}"/>
    <cellStyle name="Migliaia 15 2 2 2 4" xfId="12239" xr:uid="{00000000-0005-0000-0000-000066A70000}"/>
    <cellStyle name="Migliaia 15 2 2 3" xfId="3391" xr:uid="{00000000-0005-0000-0000-000067A70000}"/>
    <cellStyle name="Migliaia 15 2 2 3 2" xfId="35819" xr:uid="{00000000-0005-0000-0000-000068A70000}"/>
    <cellStyle name="Migliaia 15 2 2 3 3" xfId="50775" xr:uid="{00000000-0005-0000-0000-000069A70000}"/>
    <cellStyle name="Migliaia 15 2 2 3 4" xfId="20386" xr:uid="{00000000-0005-0000-0000-00006AA70000}"/>
    <cellStyle name="Migliaia 15 2 2 4" xfId="21517" xr:uid="{00000000-0005-0000-0000-00006BA70000}"/>
    <cellStyle name="Migliaia 15 2 2 5" xfId="36484" xr:uid="{00000000-0005-0000-0000-00006CA70000}"/>
    <cellStyle name="Migliaia 15 2 2 6" xfId="51422" xr:uid="{00000000-0005-0000-0000-00006DA70000}"/>
    <cellStyle name="Migliaia 15 2 2 7" xfId="51827" xr:uid="{00000000-0005-0000-0000-00006EA70000}"/>
    <cellStyle name="Migliaia 15 2 2 8" xfId="52236" xr:uid="{00000000-0005-0000-0000-00006FA70000}"/>
    <cellStyle name="Migliaia 15 2 2 9" xfId="52641" xr:uid="{00000000-0005-0000-0000-000070A70000}"/>
    <cellStyle name="Migliaia 15 2 3" xfId="2795" xr:uid="{00000000-0005-0000-0000-000071A70000}"/>
    <cellStyle name="Migliaia 15 2 3 2" xfId="11326" xr:uid="{00000000-0005-0000-0000-000072A70000}"/>
    <cellStyle name="Migliaia 15 2 4" xfId="3164" xr:uid="{00000000-0005-0000-0000-000073A70000}"/>
    <cellStyle name="Migliaia 15 2 4 2" xfId="28265" xr:uid="{00000000-0005-0000-0000-000074A70000}"/>
    <cellStyle name="Migliaia 15 2 4 3" xfId="43238" xr:uid="{00000000-0005-0000-0000-000075A70000}"/>
    <cellStyle name="Migliaia 15 2 4 4" xfId="11983" xr:uid="{00000000-0005-0000-0000-000076A70000}"/>
    <cellStyle name="Migliaia 15 2 5" xfId="19203" xr:uid="{00000000-0005-0000-0000-000077A70000}"/>
    <cellStyle name="Migliaia 15 2 5 2" xfId="35284" xr:uid="{00000000-0005-0000-0000-000078A70000}"/>
    <cellStyle name="Migliaia 15 2 5 3" xfId="50240" xr:uid="{00000000-0005-0000-0000-000079A70000}"/>
    <cellStyle name="Migliaia 15 2 6" xfId="21268" xr:uid="{00000000-0005-0000-0000-00007AA70000}"/>
    <cellStyle name="Migliaia 15 2 7" xfId="36239" xr:uid="{00000000-0005-0000-0000-00007BA70000}"/>
    <cellStyle name="Migliaia 15 2 8" xfId="51176" xr:uid="{00000000-0005-0000-0000-00007CA70000}"/>
    <cellStyle name="Migliaia 15 2 9" xfId="51570" xr:uid="{00000000-0005-0000-0000-00007DA70000}"/>
    <cellStyle name="Migliaia 15 3" xfId="1207" xr:uid="{00000000-0005-0000-0000-00007EA70000}"/>
    <cellStyle name="Migliaia 15 3 10" xfId="51977" xr:uid="{00000000-0005-0000-0000-00007FA70000}"/>
    <cellStyle name="Migliaia 15 3 11" xfId="52385" xr:uid="{00000000-0005-0000-0000-000080A70000}"/>
    <cellStyle name="Migliaia 15 3 12" xfId="3534" xr:uid="{00000000-0005-0000-0000-000081A70000}"/>
    <cellStyle name="Migliaia 15 3 2" xfId="1208" xr:uid="{00000000-0005-0000-0000-000082A70000}"/>
    <cellStyle name="Migliaia 15 3 2 10" xfId="52386" xr:uid="{00000000-0005-0000-0000-000083A70000}"/>
    <cellStyle name="Migliaia 15 3 2 11" xfId="3535" xr:uid="{00000000-0005-0000-0000-000084A70000}"/>
    <cellStyle name="Migliaia 15 3 2 2" xfId="2797" xr:uid="{00000000-0005-0000-0000-000085A70000}"/>
    <cellStyle name="Migliaia 15 3 2 2 2" xfId="11328" xr:uid="{00000000-0005-0000-0000-000086A70000}"/>
    <cellStyle name="Migliaia 15 3 2 3" xfId="3166" xr:uid="{00000000-0005-0000-0000-000087A70000}"/>
    <cellStyle name="Migliaia 15 3 2 3 2" xfId="28267" xr:uid="{00000000-0005-0000-0000-000088A70000}"/>
    <cellStyle name="Migliaia 15 3 2 3 3" xfId="43240" xr:uid="{00000000-0005-0000-0000-000089A70000}"/>
    <cellStyle name="Migliaia 15 3 2 3 4" xfId="11985" xr:uid="{00000000-0005-0000-0000-00008AA70000}"/>
    <cellStyle name="Migliaia 15 3 2 4" xfId="19205" xr:uid="{00000000-0005-0000-0000-00008BA70000}"/>
    <cellStyle name="Migliaia 15 3 2 4 2" xfId="35286" xr:uid="{00000000-0005-0000-0000-00008CA70000}"/>
    <cellStyle name="Migliaia 15 3 2 4 3" xfId="50242" xr:uid="{00000000-0005-0000-0000-00008DA70000}"/>
    <cellStyle name="Migliaia 15 3 2 5" xfId="21270" xr:uid="{00000000-0005-0000-0000-00008EA70000}"/>
    <cellStyle name="Migliaia 15 3 2 6" xfId="36241" xr:uid="{00000000-0005-0000-0000-00008FA70000}"/>
    <cellStyle name="Migliaia 15 3 2 7" xfId="51178" xr:uid="{00000000-0005-0000-0000-000090A70000}"/>
    <cellStyle name="Migliaia 15 3 2 8" xfId="51572" xr:uid="{00000000-0005-0000-0000-000091A70000}"/>
    <cellStyle name="Migliaia 15 3 2 9" xfId="51978" xr:uid="{00000000-0005-0000-0000-000092A70000}"/>
    <cellStyle name="Migliaia 15 3 3" xfId="2796" xr:uid="{00000000-0005-0000-0000-000093A70000}"/>
    <cellStyle name="Migliaia 15 3 3 2" xfId="20388" xr:uid="{00000000-0005-0000-0000-000094A70000}"/>
    <cellStyle name="Migliaia 15 3 3 2 2" xfId="35821" xr:uid="{00000000-0005-0000-0000-000095A70000}"/>
    <cellStyle name="Migliaia 15 3 3 2 3" xfId="50777" xr:uid="{00000000-0005-0000-0000-000096A70000}"/>
    <cellStyle name="Migliaia 15 3 3 3" xfId="19206" xr:uid="{00000000-0005-0000-0000-000097A70000}"/>
    <cellStyle name="Migliaia 15 3 3 3 2" xfId="35287" xr:uid="{00000000-0005-0000-0000-000098A70000}"/>
    <cellStyle name="Migliaia 15 3 3 3 3" xfId="50243" xr:uid="{00000000-0005-0000-0000-000099A70000}"/>
    <cellStyle name="Migliaia 15 3 3 4" xfId="11327" xr:uid="{00000000-0005-0000-0000-00009AA70000}"/>
    <cellStyle name="Migliaia 15 3 4" xfId="3165" xr:uid="{00000000-0005-0000-0000-00009BA70000}"/>
    <cellStyle name="Migliaia 15 3 4 2" xfId="20387" xr:uid="{00000000-0005-0000-0000-00009CA70000}"/>
    <cellStyle name="Migliaia 15 3 4 2 2" xfId="35820" xr:uid="{00000000-0005-0000-0000-00009DA70000}"/>
    <cellStyle name="Migliaia 15 3 4 2 3" xfId="50776" xr:uid="{00000000-0005-0000-0000-00009EA70000}"/>
    <cellStyle name="Migliaia 15 3 4 3" xfId="28266" xr:uid="{00000000-0005-0000-0000-00009FA70000}"/>
    <cellStyle name="Migliaia 15 3 4 4" xfId="43239" xr:uid="{00000000-0005-0000-0000-0000A0A70000}"/>
    <cellStyle name="Migliaia 15 3 4 5" xfId="11984" xr:uid="{00000000-0005-0000-0000-0000A1A70000}"/>
    <cellStyle name="Migliaia 15 3 5" xfId="19204" xr:uid="{00000000-0005-0000-0000-0000A2A70000}"/>
    <cellStyle name="Migliaia 15 3 5 2" xfId="35285" xr:uid="{00000000-0005-0000-0000-0000A3A70000}"/>
    <cellStyle name="Migliaia 15 3 5 3" xfId="50241" xr:uid="{00000000-0005-0000-0000-0000A4A70000}"/>
    <cellStyle name="Migliaia 15 3 6" xfId="21269" xr:uid="{00000000-0005-0000-0000-0000A5A70000}"/>
    <cellStyle name="Migliaia 15 3 7" xfId="36240" xr:uid="{00000000-0005-0000-0000-0000A6A70000}"/>
    <cellStyle name="Migliaia 15 3 8" xfId="51177" xr:uid="{00000000-0005-0000-0000-0000A7A70000}"/>
    <cellStyle name="Migliaia 15 3 9" xfId="51571" xr:uid="{00000000-0005-0000-0000-0000A8A70000}"/>
    <cellStyle name="Migliaia 15 4" xfId="2794" xr:uid="{00000000-0005-0000-0000-0000A9A70000}"/>
    <cellStyle name="Migliaia 15 4 2" xfId="19208" xr:uid="{00000000-0005-0000-0000-0000AAA70000}"/>
    <cellStyle name="Migliaia 15 4 2 2" xfId="20390" xr:uid="{00000000-0005-0000-0000-0000ABA70000}"/>
    <cellStyle name="Migliaia 15 4 2 2 2" xfId="35823" xr:uid="{00000000-0005-0000-0000-0000ACA70000}"/>
    <cellStyle name="Migliaia 15 4 2 2 3" xfId="50779" xr:uid="{00000000-0005-0000-0000-0000ADA70000}"/>
    <cellStyle name="Migliaia 15 4 2 3" xfId="35289" xr:uid="{00000000-0005-0000-0000-0000AEA70000}"/>
    <cellStyle name="Migliaia 15 4 2 4" xfId="50245" xr:uid="{00000000-0005-0000-0000-0000AFA70000}"/>
    <cellStyle name="Migliaia 15 4 3" xfId="20389" xr:uid="{00000000-0005-0000-0000-0000B0A70000}"/>
    <cellStyle name="Migliaia 15 4 3 2" xfId="35822" xr:uid="{00000000-0005-0000-0000-0000B1A70000}"/>
    <cellStyle name="Migliaia 15 4 3 3" xfId="50778" xr:uid="{00000000-0005-0000-0000-0000B2A70000}"/>
    <cellStyle name="Migliaia 15 4 4" xfId="19207" xr:uid="{00000000-0005-0000-0000-0000B3A70000}"/>
    <cellStyle name="Migliaia 15 4 4 2" xfId="35288" xr:uid="{00000000-0005-0000-0000-0000B4A70000}"/>
    <cellStyle name="Migliaia 15 4 4 3" xfId="50244" xr:uid="{00000000-0005-0000-0000-0000B5A70000}"/>
    <cellStyle name="Migliaia 15 4 5" xfId="11329" xr:uid="{00000000-0005-0000-0000-0000B6A70000}"/>
    <cellStyle name="Migliaia 15 5" xfId="3163" xr:uid="{00000000-0005-0000-0000-0000B7A70000}"/>
    <cellStyle name="Migliaia 15 5 2" xfId="19209" xr:uid="{00000000-0005-0000-0000-0000B8A70000}"/>
    <cellStyle name="Migliaia 15 5 2 2" xfId="35290" xr:uid="{00000000-0005-0000-0000-0000B9A70000}"/>
    <cellStyle name="Migliaia 15 5 2 3" xfId="50246" xr:uid="{00000000-0005-0000-0000-0000BAA70000}"/>
    <cellStyle name="Migliaia 15 5 3" xfId="11330" xr:uid="{00000000-0005-0000-0000-0000BBA70000}"/>
    <cellStyle name="Migliaia 15 6" xfId="11325" xr:uid="{00000000-0005-0000-0000-0000BCA70000}"/>
    <cellStyle name="Migliaia 15 7" xfId="11982" xr:uid="{00000000-0005-0000-0000-0000BDA70000}"/>
    <cellStyle name="Migliaia 15 7 2" xfId="28264" xr:uid="{00000000-0005-0000-0000-0000BEA70000}"/>
    <cellStyle name="Migliaia 15 7 3" xfId="43237" xr:uid="{00000000-0005-0000-0000-0000BFA70000}"/>
    <cellStyle name="Migliaia 15 8" xfId="19202" xr:uid="{00000000-0005-0000-0000-0000C0A70000}"/>
    <cellStyle name="Migliaia 15 8 2" xfId="35283" xr:uid="{00000000-0005-0000-0000-0000C1A70000}"/>
    <cellStyle name="Migliaia 15 8 3" xfId="50239" xr:uid="{00000000-0005-0000-0000-0000C2A70000}"/>
    <cellStyle name="Migliaia 15 9" xfId="21267" xr:uid="{00000000-0005-0000-0000-0000C3A70000}"/>
    <cellStyle name="Migliaia 16" xfId="1209" xr:uid="{00000000-0005-0000-0000-0000C4A70000}"/>
    <cellStyle name="Migliaia 16 10" xfId="36242" xr:uid="{00000000-0005-0000-0000-0000C5A70000}"/>
    <cellStyle name="Migliaia 16 11" xfId="51179" xr:uid="{00000000-0005-0000-0000-0000C6A70000}"/>
    <cellStyle name="Migliaia 16 12" xfId="51573" xr:uid="{00000000-0005-0000-0000-0000C7A70000}"/>
    <cellStyle name="Migliaia 16 13" xfId="51979" xr:uid="{00000000-0005-0000-0000-0000C8A70000}"/>
    <cellStyle name="Migliaia 16 14" xfId="52387" xr:uid="{00000000-0005-0000-0000-0000C9A70000}"/>
    <cellStyle name="Migliaia 16 15" xfId="3536" xr:uid="{00000000-0005-0000-0000-0000CAA70000}"/>
    <cellStyle name="Migliaia 16 2" xfId="1210" xr:uid="{00000000-0005-0000-0000-0000CBA70000}"/>
    <cellStyle name="Migliaia 16 2 10" xfId="51980" xr:uid="{00000000-0005-0000-0000-0000CCA70000}"/>
    <cellStyle name="Migliaia 16 2 11" xfId="52388" xr:uid="{00000000-0005-0000-0000-0000CDA70000}"/>
    <cellStyle name="Migliaia 16 2 12" xfId="3537" xr:uid="{00000000-0005-0000-0000-0000CEA70000}"/>
    <cellStyle name="Migliaia 16 2 2" xfId="1211" xr:uid="{00000000-0005-0000-0000-0000CFA70000}"/>
    <cellStyle name="Migliaia 16 2 2 10" xfId="3761" xr:uid="{00000000-0005-0000-0000-0000D0A70000}"/>
    <cellStyle name="Migliaia 16 2 2 2" xfId="3023" xr:uid="{00000000-0005-0000-0000-0000D1A70000}"/>
    <cellStyle name="Migliaia 16 2 2 2 2" xfId="28518" xr:uid="{00000000-0005-0000-0000-0000D2A70000}"/>
    <cellStyle name="Migliaia 16 2 2 2 3" xfId="43481" xr:uid="{00000000-0005-0000-0000-0000D3A70000}"/>
    <cellStyle name="Migliaia 16 2 2 2 4" xfId="12240" xr:uid="{00000000-0005-0000-0000-0000D4A70000}"/>
    <cellStyle name="Migliaia 16 2 2 3" xfId="3392" xr:uid="{00000000-0005-0000-0000-0000D5A70000}"/>
    <cellStyle name="Migliaia 16 2 2 3 2" xfId="35824" xr:uid="{00000000-0005-0000-0000-0000D6A70000}"/>
    <cellStyle name="Migliaia 16 2 2 3 3" xfId="50780" xr:uid="{00000000-0005-0000-0000-0000D7A70000}"/>
    <cellStyle name="Migliaia 16 2 2 3 4" xfId="20391" xr:uid="{00000000-0005-0000-0000-0000D8A70000}"/>
    <cellStyle name="Migliaia 16 2 2 4" xfId="21518" xr:uid="{00000000-0005-0000-0000-0000D9A70000}"/>
    <cellStyle name="Migliaia 16 2 2 5" xfId="36485" xr:uid="{00000000-0005-0000-0000-0000DAA70000}"/>
    <cellStyle name="Migliaia 16 2 2 6" xfId="51423" xr:uid="{00000000-0005-0000-0000-0000DBA70000}"/>
    <cellStyle name="Migliaia 16 2 2 7" xfId="51828" xr:uid="{00000000-0005-0000-0000-0000DCA70000}"/>
    <cellStyle name="Migliaia 16 2 2 8" xfId="52237" xr:uid="{00000000-0005-0000-0000-0000DDA70000}"/>
    <cellStyle name="Migliaia 16 2 2 9" xfId="52642" xr:uid="{00000000-0005-0000-0000-0000DEA70000}"/>
    <cellStyle name="Migliaia 16 2 3" xfId="2799" xr:uid="{00000000-0005-0000-0000-0000DFA70000}"/>
    <cellStyle name="Migliaia 16 2 3 2" xfId="11332" xr:uid="{00000000-0005-0000-0000-0000E0A70000}"/>
    <cellStyle name="Migliaia 16 2 4" xfId="3168" xr:uid="{00000000-0005-0000-0000-0000E1A70000}"/>
    <cellStyle name="Migliaia 16 2 4 2" xfId="28269" xr:uid="{00000000-0005-0000-0000-0000E2A70000}"/>
    <cellStyle name="Migliaia 16 2 4 3" xfId="43242" xr:uid="{00000000-0005-0000-0000-0000E3A70000}"/>
    <cellStyle name="Migliaia 16 2 4 4" xfId="11987" xr:uid="{00000000-0005-0000-0000-0000E4A70000}"/>
    <cellStyle name="Migliaia 16 2 5" xfId="19211" xr:uid="{00000000-0005-0000-0000-0000E5A70000}"/>
    <cellStyle name="Migliaia 16 2 5 2" xfId="35292" xr:uid="{00000000-0005-0000-0000-0000E6A70000}"/>
    <cellStyle name="Migliaia 16 2 5 3" xfId="50248" xr:uid="{00000000-0005-0000-0000-0000E7A70000}"/>
    <cellStyle name="Migliaia 16 2 6" xfId="21272" xr:uid="{00000000-0005-0000-0000-0000E8A70000}"/>
    <cellStyle name="Migliaia 16 2 7" xfId="36243" xr:uid="{00000000-0005-0000-0000-0000E9A70000}"/>
    <cellStyle name="Migliaia 16 2 8" xfId="51180" xr:uid="{00000000-0005-0000-0000-0000EAA70000}"/>
    <cellStyle name="Migliaia 16 2 9" xfId="51574" xr:uid="{00000000-0005-0000-0000-0000EBA70000}"/>
    <cellStyle name="Migliaia 16 3" xfId="1212" xr:uid="{00000000-0005-0000-0000-0000ECA70000}"/>
    <cellStyle name="Migliaia 16 3 10" xfId="51981" xr:uid="{00000000-0005-0000-0000-0000EDA70000}"/>
    <cellStyle name="Migliaia 16 3 11" xfId="52389" xr:uid="{00000000-0005-0000-0000-0000EEA70000}"/>
    <cellStyle name="Migliaia 16 3 12" xfId="3538" xr:uid="{00000000-0005-0000-0000-0000EFA70000}"/>
    <cellStyle name="Migliaia 16 3 2" xfId="1213" xr:uid="{00000000-0005-0000-0000-0000F0A70000}"/>
    <cellStyle name="Migliaia 16 3 2 10" xfId="52390" xr:uid="{00000000-0005-0000-0000-0000F1A70000}"/>
    <cellStyle name="Migliaia 16 3 2 11" xfId="3539" xr:uid="{00000000-0005-0000-0000-0000F2A70000}"/>
    <cellStyle name="Migliaia 16 3 2 2" xfId="2801" xr:uid="{00000000-0005-0000-0000-0000F3A70000}"/>
    <cellStyle name="Migliaia 16 3 2 2 2" xfId="11334" xr:uid="{00000000-0005-0000-0000-0000F4A70000}"/>
    <cellStyle name="Migliaia 16 3 2 3" xfId="3170" xr:uid="{00000000-0005-0000-0000-0000F5A70000}"/>
    <cellStyle name="Migliaia 16 3 2 3 2" xfId="28271" xr:uid="{00000000-0005-0000-0000-0000F6A70000}"/>
    <cellStyle name="Migliaia 16 3 2 3 3" xfId="43244" xr:uid="{00000000-0005-0000-0000-0000F7A70000}"/>
    <cellStyle name="Migliaia 16 3 2 3 4" xfId="11989" xr:uid="{00000000-0005-0000-0000-0000F8A70000}"/>
    <cellStyle name="Migliaia 16 3 2 4" xfId="19213" xr:uid="{00000000-0005-0000-0000-0000F9A70000}"/>
    <cellStyle name="Migliaia 16 3 2 4 2" xfId="35294" xr:uid="{00000000-0005-0000-0000-0000FAA70000}"/>
    <cellStyle name="Migliaia 16 3 2 4 3" xfId="50250" xr:uid="{00000000-0005-0000-0000-0000FBA70000}"/>
    <cellStyle name="Migliaia 16 3 2 5" xfId="21274" xr:uid="{00000000-0005-0000-0000-0000FCA70000}"/>
    <cellStyle name="Migliaia 16 3 2 6" xfId="36245" xr:uid="{00000000-0005-0000-0000-0000FDA70000}"/>
    <cellStyle name="Migliaia 16 3 2 7" xfId="51182" xr:uid="{00000000-0005-0000-0000-0000FEA70000}"/>
    <cellStyle name="Migliaia 16 3 2 8" xfId="51576" xr:uid="{00000000-0005-0000-0000-0000FFA70000}"/>
    <cellStyle name="Migliaia 16 3 2 9" xfId="51982" xr:uid="{00000000-0005-0000-0000-000000A80000}"/>
    <cellStyle name="Migliaia 16 3 3" xfId="2800" xr:uid="{00000000-0005-0000-0000-000001A80000}"/>
    <cellStyle name="Migliaia 16 3 3 2" xfId="20393" xr:uid="{00000000-0005-0000-0000-000002A80000}"/>
    <cellStyle name="Migliaia 16 3 3 2 2" xfId="35826" xr:uid="{00000000-0005-0000-0000-000003A80000}"/>
    <cellStyle name="Migliaia 16 3 3 2 3" xfId="50782" xr:uid="{00000000-0005-0000-0000-000004A80000}"/>
    <cellStyle name="Migliaia 16 3 3 3" xfId="19214" xr:uid="{00000000-0005-0000-0000-000005A80000}"/>
    <cellStyle name="Migliaia 16 3 3 3 2" xfId="35295" xr:uid="{00000000-0005-0000-0000-000006A80000}"/>
    <cellStyle name="Migliaia 16 3 3 3 3" xfId="50251" xr:uid="{00000000-0005-0000-0000-000007A80000}"/>
    <cellStyle name="Migliaia 16 3 3 4" xfId="11333" xr:uid="{00000000-0005-0000-0000-000008A80000}"/>
    <cellStyle name="Migliaia 16 3 4" xfId="3169" xr:uid="{00000000-0005-0000-0000-000009A80000}"/>
    <cellStyle name="Migliaia 16 3 4 2" xfId="20392" xr:uid="{00000000-0005-0000-0000-00000AA80000}"/>
    <cellStyle name="Migliaia 16 3 4 2 2" xfId="35825" xr:uid="{00000000-0005-0000-0000-00000BA80000}"/>
    <cellStyle name="Migliaia 16 3 4 2 3" xfId="50781" xr:uid="{00000000-0005-0000-0000-00000CA80000}"/>
    <cellStyle name="Migliaia 16 3 4 3" xfId="28270" xr:uid="{00000000-0005-0000-0000-00000DA80000}"/>
    <cellStyle name="Migliaia 16 3 4 4" xfId="43243" xr:uid="{00000000-0005-0000-0000-00000EA80000}"/>
    <cellStyle name="Migliaia 16 3 4 5" xfId="11988" xr:uid="{00000000-0005-0000-0000-00000FA80000}"/>
    <cellStyle name="Migliaia 16 3 5" xfId="19212" xr:uid="{00000000-0005-0000-0000-000010A80000}"/>
    <cellStyle name="Migliaia 16 3 5 2" xfId="35293" xr:uid="{00000000-0005-0000-0000-000011A80000}"/>
    <cellStyle name="Migliaia 16 3 5 3" xfId="50249" xr:uid="{00000000-0005-0000-0000-000012A80000}"/>
    <cellStyle name="Migliaia 16 3 6" xfId="21273" xr:uid="{00000000-0005-0000-0000-000013A80000}"/>
    <cellStyle name="Migliaia 16 3 7" xfId="36244" xr:uid="{00000000-0005-0000-0000-000014A80000}"/>
    <cellStyle name="Migliaia 16 3 8" xfId="51181" xr:uid="{00000000-0005-0000-0000-000015A80000}"/>
    <cellStyle name="Migliaia 16 3 9" xfId="51575" xr:uid="{00000000-0005-0000-0000-000016A80000}"/>
    <cellStyle name="Migliaia 16 4" xfId="2798" xr:uid="{00000000-0005-0000-0000-000017A80000}"/>
    <cellStyle name="Migliaia 16 4 2" xfId="19216" xr:uid="{00000000-0005-0000-0000-000018A80000}"/>
    <cellStyle name="Migliaia 16 4 2 2" xfId="20395" xr:uid="{00000000-0005-0000-0000-000019A80000}"/>
    <cellStyle name="Migliaia 16 4 2 2 2" xfId="35828" xr:uid="{00000000-0005-0000-0000-00001AA80000}"/>
    <cellStyle name="Migliaia 16 4 2 2 3" xfId="50784" xr:uid="{00000000-0005-0000-0000-00001BA80000}"/>
    <cellStyle name="Migliaia 16 4 2 3" xfId="35297" xr:uid="{00000000-0005-0000-0000-00001CA80000}"/>
    <cellStyle name="Migliaia 16 4 2 4" xfId="50253" xr:uid="{00000000-0005-0000-0000-00001DA80000}"/>
    <cellStyle name="Migliaia 16 4 3" xfId="20394" xr:uid="{00000000-0005-0000-0000-00001EA80000}"/>
    <cellStyle name="Migliaia 16 4 3 2" xfId="35827" xr:uid="{00000000-0005-0000-0000-00001FA80000}"/>
    <cellStyle name="Migliaia 16 4 3 3" xfId="50783" xr:uid="{00000000-0005-0000-0000-000020A80000}"/>
    <cellStyle name="Migliaia 16 4 4" xfId="19215" xr:uid="{00000000-0005-0000-0000-000021A80000}"/>
    <cellStyle name="Migliaia 16 4 4 2" xfId="35296" xr:uid="{00000000-0005-0000-0000-000022A80000}"/>
    <cellStyle name="Migliaia 16 4 4 3" xfId="50252" xr:uid="{00000000-0005-0000-0000-000023A80000}"/>
    <cellStyle name="Migliaia 16 4 5" xfId="11335" xr:uid="{00000000-0005-0000-0000-000024A80000}"/>
    <cellStyle name="Migliaia 16 5" xfId="3167" xr:uid="{00000000-0005-0000-0000-000025A80000}"/>
    <cellStyle name="Migliaia 16 5 2" xfId="19217" xr:uid="{00000000-0005-0000-0000-000026A80000}"/>
    <cellStyle name="Migliaia 16 5 2 2" xfId="35298" xr:uid="{00000000-0005-0000-0000-000027A80000}"/>
    <cellStyle name="Migliaia 16 5 2 3" xfId="50254" xr:uid="{00000000-0005-0000-0000-000028A80000}"/>
    <cellStyle name="Migliaia 16 5 3" xfId="11336" xr:uid="{00000000-0005-0000-0000-000029A80000}"/>
    <cellStyle name="Migliaia 16 6" xfId="11331" xr:uid="{00000000-0005-0000-0000-00002AA80000}"/>
    <cellStyle name="Migliaia 16 7" xfId="11986" xr:uid="{00000000-0005-0000-0000-00002BA80000}"/>
    <cellStyle name="Migliaia 16 7 2" xfId="28268" xr:uid="{00000000-0005-0000-0000-00002CA80000}"/>
    <cellStyle name="Migliaia 16 7 3" xfId="43241" xr:uid="{00000000-0005-0000-0000-00002DA80000}"/>
    <cellStyle name="Migliaia 16 8" xfId="19210" xr:uid="{00000000-0005-0000-0000-00002EA80000}"/>
    <cellStyle name="Migliaia 16 8 2" xfId="35291" xr:uid="{00000000-0005-0000-0000-00002FA80000}"/>
    <cellStyle name="Migliaia 16 8 3" xfId="50247" xr:uid="{00000000-0005-0000-0000-000030A80000}"/>
    <cellStyle name="Migliaia 16 9" xfId="21271" xr:uid="{00000000-0005-0000-0000-000031A80000}"/>
    <cellStyle name="Migliaia 17" xfId="1214" xr:uid="{00000000-0005-0000-0000-000032A80000}"/>
    <cellStyle name="Migliaia 17 10" xfId="36246" xr:uid="{00000000-0005-0000-0000-000033A80000}"/>
    <cellStyle name="Migliaia 17 11" xfId="51183" xr:uid="{00000000-0005-0000-0000-000034A80000}"/>
    <cellStyle name="Migliaia 17 12" xfId="51577" xr:uid="{00000000-0005-0000-0000-000035A80000}"/>
    <cellStyle name="Migliaia 17 13" xfId="51983" xr:uid="{00000000-0005-0000-0000-000036A80000}"/>
    <cellStyle name="Migliaia 17 14" xfId="52391" xr:uid="{00000000-0005-0000-0000-000037A80000}"/>
    <cellStyle name="Migliaia 17 15" xfId="3540" xr:uid="{00000000-0005-0000-0000-000038A80000}"/>
    <cellStyle name="Migliaia 17 2" xfId="1215" xr:uid="{00000000-0005-0000-0000-000039A80000}"/>
    <cellStyle name="Migliaia 17 2 10" xfId="51984" xr:uid="{00000000-0005-0000-0000-00003AA80000}"/>
    <cellStyle name="Migliaia 17 2 11" xfId="52392" xr:uid="{00000000-0005-0000-0000-00003BA80000}"/>
    <cellStyle name="Migliaia 17 2 12" xfId="3541" xr:uid="{00000000-0005-0000-0000-00003CA80000}"/>
    <cellStyle name="Migliaia 17 2 2" xfId="1216" xr:uid="{00000000-0005-0000-0000-00003DA80000}"/>
    <cellStyle name="Migliaia 17 2 2 10" xfId="3762" xr:uid="{00000000-0005-0000-0000-00003EA80000}"/>
    <cellStyle name="Migliaia 17 2 2 2" xfId="3024" xr:uid="{00000000-0005-0000-0000-00003FA80000}"/>
    <cellStyle name="Migliaia 17 2 2 2 2" xfId="28519" xr:uid="{00000000-0005-0000-0000-000040A80000}"/>
    <cellStyle name="Migliaia 17 2 2 2 3" xfId="43482" xr:uid="{00000000-0005-0000-0000-000041A80000}"/>
    <cellStyle name="Migliaia 17 2 2 2 4" xfId="12241" xr:uid="{00000000-0005-0000-0000-000042A80000}"/>
    <cellStyle name="Migliaia 17 2 2 3" xfId="3393" xr:uid="{00000000-0005-0000-0000-000043A80000}"/>
    <cellStyle name="Migliaia 17 2 2 3 2" xfId="35829" xr:uid="{00000000-0005-0000-0000-000044A80000}"/>
    <cellStyle name="Migliaia 17 2 2 3 3" xfId="50785" xr:uid="{00000000-0005-0000-0000-000045A80000}"/>
    <cellStyle name="Migliaia 17 2 2 3 4" xfId="20396" xr:uid="{00000000-0005-0000-0000-000046A80000}"/>
    <cellStyle name="Migliaia 17 2 2 4" xfId="21519" xr:uid="{00000000-0005-0000-0000-000047A80000}"/>
    <cellStyle name="Migliaia 17 2 2 5" xfId="36486" xr:uid="{00000000-0005-0000-0000-000048A80000}"/>
    <cellStyle name="Migliaia 17 2 2 6" xfId="51424" xr:uid="{00000000-0005-0000-0000-000049A80000}"/>
    <cellStyle name="Migliaia 17 2 2 7" xfId="51829" xr:uid="{00000000-0005-0000-0000-00004AA80000}"/>
    <cellStyle name="Migliaia 17 2 2 8" xfId="52238" xr:uid="{00000000-0005-0000-0000-00004BA80000}"/>
    <cellStyle name="Migliaia 17 2 2 9" xfId="52643" xr:uid="{00000000-0005-0000-0000-00004CA80000}"/>
    <cellStyle name="Migliaia 17 2 3" xfId="2803" xr:uid="{00000000-0005-0000-0000-00004DA80000}"/>
    <cellStyle name="Migliaia 17 2 3 2" xfId="11338" xr:uid="{00000000-0005-0000-0000-00004EA80000}"/>
    <cellStyle name="Migliaia 17 2 4" xfId="3172" xr:uid="{00000000-0005-0000-0000-00004FA80000}"/>
    <cellStyle name="Migliaia 17 2 4 2" xfId="28273" xr:uid="{00000000-0005-0000-0000-000050A80000}"/>
    <cellStyle name="Migliaia 17 2 4 3" xfId="43246" xr:uid="{00000000-0005-0000-0000-000051A80000}"/>
    <cellStyle name="Migliaia 17 2 4 4" xfId="11991" xr:uid="{00000000-0005-0000-0000-000052A80000}"/>
    <cellStyle name="Migliaia 17 2 5" xfId="19219" xr:uid="{00000000-0005-0000-0000-000053A80000}"/>
    <cellStyle name="Migliaia 17 2 5 2" xfId="35300" xr:uid="{00000000-0005-0000-0000-000054A80000}"/>
    <cellStyle name="Migliaia 17 2 5 3" xfId="50256" xr:uid="{00000000-0005-0000-0000-000055A80000}"/>
    <cellStyle name="Migliaia 17 2 6" xfId="21276" xr:uid="{00000000-0005-0000-0000-000056A80000}"/>
    <cellStyle name="Migliaia 17 2 7" xfId="36247" xr:uid="{00000000-0005-0000-0000-000057A80000}"/>
    <cellStyle name="Migliaia 17 2 8" xfId="51184" xr:uid="{00000000-0005-0000-0000-000058A80000}"/>
    <cellStyle name="Migliaia 17 2 9" xfId="51578" xr:uid="{00000000-0005-0000-0000-000059A80000}"/>
    <cellStyle name="Migliaia 17 3" xfId="1217" xr:uid="{00000000-0005-0000-0000-00005AA80000}"/>
    <cellStyle name="Migliaia 17 3 10" xfId="51985" xr:uid="{00000000-0005-0000-0000-00005BA80000}"/>
    <cellStyle name="Migliaia 17 3 11" xfId="52393" xr:uid="{00000000-0005-0000-0000-00005CA80000}"/>
    <cellStyle name="Migliaia 17 3 12" xfId="3542" xr:uid="{00000000-0005-0000-0000-00005DA80000}"/>
    <cellStyle name="Migliaia 17 3 2" xfId="1218" xr:uid="{00000000-0005-0000-0000-00005EA80000}"/>
    <cellStyle name="Migliaia 17 3 2 10" xfId="52394" xr:uid="{00000000-0005-0000-0000-00005FA80000}"/>
    <cellStyle name="Migliaia 17 3 2 11" xfId="3543" xr:uid="{00000000-0005-0000-0000-000060A80000}"/>
    <cellStyle name="Migliaia 17 3 2 2" xfId="2805" xr:uid="{00000000-0005-0000-0000-000061A80000}"/>
    <cellStyle name="Migliaia 17 3 2 2 2" xfId="11340" xr:uid="{00000000-0005-0000-0000-000062A80000}"/>
    <cellStyle name="Migliaia 17 3 2 3" xfId="3174" xr:uid="{00000000-0005-0000-0000-000063A80000}"/>
    <cellStyle name="Migliaia 17 3 2 3 2" xfId="28275" xr:uid="{00000000-0005-0000-0000-000064A80000}"/>
    <cellStyle name="Migliaia 17 3 2 3 3" xfId="43248" xr:uid="{00000000-0005-0000-0000-000065A80000}"/>
    <cellStyle name="Migliaia 17 3 2 3 4" xfId="11993" xr:uid="{00000000-0005-0000-0000-000066A80000}"/>
    <cellStyle name="Migliaia 17 3 2 4" xfId="19221" xr:uid="{00000000-0005-0000-0000-000067A80000}"/>
    <cellStyle name="Migliaia 17 3 2 4 2" xfId="35302" xr:uid="{00000000-0005-0000-0000-000068A80000}"/>
    <cellStyle name="Migliaia 17 3 2 4 3" xfId="50258" xr:uid="{00000000-0005-0000-0000-000069A80000}"/>
    <cellStyle name="Migliaia 17 3 2 5" xfId="21278" xr:uid="{00000000-0005-0000-0000-00006AA80000}"/>
    <cellStyle name="Migliaia 17 3 2 6" xfId="36249" xr:uid="{00000000-0005-0000-0000-00006BA80000}"/>
    <cellStyle name="Migliaia 17 3 2 7" xfId="51186" xr:uid="{00000000-0005-0000-0000-00006CA80000}"/>
    <cellStyle name="Migliaia 17 3 2 8" xfId="51580" xr:uid="{00000000-0005-0000-0000-00006DA80000}"/>
    <cellStyle name="Migliaia 17 3 2 9" xfId="51986" xr:uid="{00000000-0005-0000-0000-00006EA80000}"/>
    <cellStyle name="Migliaia 17 3 3" xfId="2804" xr:uid="{00000000-0005-0000-0000-00006FA80000}"/>
    <cellStyle name="Migliaia 17 3 3 2" xfId="20398" xr:uid="{00000000-0005-0000-0000-000070A80000}"/>
    <cellStyle name="Migliaia 17 3 3 2 2" xfId="35831" xr:uid="{00000000-0005-0000-0000-000071A80000}"/>
    <cellStyle name="Migliaia 17 3 3 2 3" xfId="50787" xr:uid="{00000000-0005-0000-0000-000072A80000}"/>
    <cellStyle name="Migliaia 17 3 3 3" xfId="19222" xr:uid="{00000000-0005-0000-0000-000073A80000}"/>
    <cellStyle name="Migliaia 17 3 3 3 2" xfId="35303" xr:uid="{00000000-0005-0000-0000-000074A80000}"/>
    <cellStyle name="Migliaia 17 3 3 3 3" xfId="50259" xr:uid="{00000000-0005-0000-0000-000075A80000}"/>
    <cellStyle name="Migliaia 17 3 3 4" xfId="11339" xr:uid="{00000000-0005-0000-0000-000076A80000}"/>
    <cellStyle name="Migliaia 17 3 4" xfId="3173" xr:uid="{00000000-0005-0000-0000-000077A80000}"/>
    <cellStyle name="Migliaia 17 3 4 2" xfId="20397" xr:uid="{00000000-0005-0000-0000-000078A80000}"/>
    <cellStyle name="Migliaia 17 3 4 2 2" xfId="35830" xr:uid="{00000000-0005-0000-0000-000079A80000}"/>
    <cellStyle name="Migliaia 17 3 4 2 3" xfId="50786" xr:uid="{00000000-0005-0000-0000-00007AA80000}"/>
    <cellStyle name="Migliaia 17 3 4 3" xfId="28274" xr:uid="{00000000-0005-0000-0000-00007BA80000}"/>
    <cellStyle name="Migliaia 17 3 4 4" xfId="43247" xr:uid="{00000000-0005-0000-0000-00007CA80000}"/>
    <cellStyle name="Migliaia 17 3 4 5" xfId="11992" xr:uid="{00000000-0005-0000-0000-00007DA80000}"/>
    <cellStyle name="Migliaia 17 3 5" xfId="19220" xr:uid="{00000000-0005-0000-0000-00007EA80000}"/>
    <cellStyle name="Migliaia 17 3 5 2" xfId="35301" xr:uid="{00000000-0005-0000-0000-00007FA80000}"/>
    <cellStyle name="Migliaia 17 3 5 3" xfId="50257" xr:uid="{00000000-0005-0000-0000-000080A80000}"/>
    <cellStyle name="Migliaia 17 3 6" xfId="21277" xr:uid="{00000000-0005-0000-0000-000081A80000}"/>
    <cellStyle name="Migliaia 17 3 7" xfId="36248" xr:uid="{00000000-0005-0000-0000-000082A80000}"/>
    <cellStyle name="Migliaia 17 3 8" xfId="51185" xr:uid="{00000000-0005-0000-0000-000083A80000}"/>
    <cellStyle name="Migliaia 17 3 9" xfId="51579" xr:uid="{00000000-0005-0000-0000-000084A80000}"/>
    <cellStyle name="Migliaia 17 4" xfId="2802" xr:uid="{00000000-0005-0000-0000-000085A80000}"/>
    <cellStyle name="Migliaia 17 4 2" xfId="19224" xr:uid="{00000000-0005-0000-0000-000086A80000}"/>
    <cellStyle name="Migliaia 17 4 2 2" xfId="20400" xr:uid="{00000000-0005-0000-0000-000087A80000}"/>
    <cellStyle name="Migliaia 17 4 2 2 2" xfId="35833" xr:uid="{00000000-0005-0000-0000-000088A80000}"/>
    <cellStyle name="Migliaia 17 4 2 2 3" xfId="50789" xr:uid="{00000000-0005-0000-0000-000089A80000}"/>
    <cellStyle name="Migliaia 17 4 2 3" xfId="35305" xr:uid="{00000000-0005-0000-0000-00008AA80000}"/>
    <cellStyle name="Migliaia 17 4 2 4" xfId="50261" xr:uid="{00000000-0005-0000-0000-00008BA80000}"/>
    <cellStyle name="Migliaia 17 4 3" xfId="20399" xr:uid="{00000000-0005-0000-0000-00008CA80000}"/>
    <cellStyle name="Migliaia 17 4 3 2" xfId="35832" xr:uid="{00000000-0005-0000-0000-00008DA80000}"/>
    <cellStyle name="Migliaia 17 4 3 3" xfId="50788" xr:uid="{00000000-0005-0000-0000-00008EA80000}"/>
    <cellStyle name="Migliaia 17 4 4" xfId="19223" xr:uid="{00000000-0005-0000-0000-00008FA80000}"/>
    <cellStyle name="Migliaia 17 4 4 2" xfId="35304" xr:uid="{00000000-0005-0000-0000-000090A80000}"/>
    <cellStyle name="Migliaia 17 4 4 3" xfId="50260" xr:uid="{00000000-0005-0000-0000-000091A80000}"/>
    <cellStyle name="Migliaia 17 4 5" xfId="11341" xr:uid="{00000000-0005-0000-0000-000092A80000}"/>
    <cellStyle name="Migliaia 17 5" xfId="3171" xr:uid="{00000000-0005-0000-0000-000093A80000}"/>
    <cellStyle name="Migliaia 17 5 2" xfId="19225" xr:uid="{00000000-0005-0000-0000-000094A80000}"/>
    <cellStyle name="Migliaia 17 5 2 2" xfId="35306" xr:uid="{00000000-0005-0000-0000-000095A80000}"/>
    <cellStyle name="Migliaia 17 5 2 3" xfId="50262" xr:uid="{00000000-0005-0000-0000-000096A80000}"/>
    <cellStyle name="Migliaia 17 5 3" xfId="11342" xr:uid="{00000000-0005-0000-0000-000097A80000}"/>
    <cellStyle name="Migliaia 17 6" xfId="11337" xr:uid="{00000000-0005-0000-0000-000098A80000}"/>
    <cellStyle name="Migliaia 17 7" xfId="11990" xr:uid="{00000000-0005-0000-0000-000099A80000}"/>
    <cellStyle name="Migliaia 17 7 2" xfId="28272" xr:uid="{00000000-0005-0000-0000-00009AA80000}"/>
    <cellStyle name="Migliaia 17 7 3" xfId="43245" xr:uid="{00000000-0005-0000-0000-00009BA80000}"/>
    <cellStyle name="Migliaia 17 8" xfId="19218" xr:uid="{00000000-0005-0000-0000-00009CA80000}"/>
    <cellStyle name="Migliaia 17 8 2" xfId="35299" xr:uid="{00000000-0005-0000-0000-00009DA80000}"/>
    <cellStyle name="Migliaia 17 8 3" xfId="50255" xr:uid="{00000000-0005-0000-0000-00009EA80000}"/>
    <cellStyle name="Migliaia 17 9" xfId="21275" xr:uid="{00000000-0005-0000-0000-00009FA80000}"/>
    <cellStyle name="Migliaia 18" xfId="1219" xr:uid="{00000000-0005-0000-0000-0000A0A80000}"/>
    <cellStyle name="Migliaia 18 10" xfId="36250" xr:uid="{00000000-0005-0000-0000-0000A1A80000}"/>
    <cellStyle name="Migliaia 18 11" xfId="51187" xr:uid="{00000000-0005-0000-0000-0000A2A80000}"/>
    <cellStyle name="Migliaia 18 12" xfId="51581" xr:uid="{00000000-0005-0000-0000-0000A3A80000}"/>
    <cellStyle name="Migliaia 18 13" xfId="51987" xr:uid="{00000000-0005-0000-0000-0000A4A80000}"/>
    <cellStyle name="Migliaia 18 14" xfId="52395" xr:uid="{00000000-0005-0000-0000-0000A5A80000}"/>
    <cellStyle name="Migliaia 18 15" xfId="3544" xr:uid="{00000000-0005-0000-0000-0000A6A80000}"/>
    <cellStyle name="Migliaia 18 2" xfId="1220" xr:uid="{00000000-0005-0000-0000-0000A7A80000}"/>
    <cellStyle name="Migliaia 18 2 10" xfId="51988" xr:uid="{00000000-0005-0000-0000-0000A8A80000}"/>
    <cellStyle name="Migliaia 18 2 11" xfId="52396" xr:uid="{00000000-0005-0000-0000-0000A9A80000}"/>
    <cellStyle name="Migliaia 18 2 12" xfId="3545" xr:uid="{00000000-0005-0000-0000-0000AAA80000}"/>
    <cellStyle name="Migliaia 18 2 2" xfId="1221" xr:uid="{00000000-0005-0000-0000-0000ABA80000}"/>
    <cellStyle name="Migliaia 18 2 2 10" xfId="3763" xr:uid="{00000000-0005-0000-0000-0000ACA80000}"/>
    <cellStyle name="Migliaia 18 2 2 2" xfId="3025" xr:uid="{00000000-0005-0000-0000-0000ADA80000}"/>
    <cellStyle name="Migliaia 18 2 2 2 2" xfId="28520" xr:uid="{00000000-0005-0000-0000-0000AEA80000}"/>
    <cellStyle name="Migliaia 18 2 2 2 3" xfId="43483" xr:uid="{00000000-0005-0000-0000-0000AFA80000}"/>
    <cellStyle name="Migliaia 18 2 2 2 4" xfId="12242" xr:uid="{00000000-0005-0000-0000-0000B0A80000}"/>
    <cellStyle name="Migliaia 18 2 2 3" xfId="3394" xr:uid="{00000000-0005-0000-0000-0000B1A80000}"/>
    <cellStyle name="Migliaia 18 2 2 3 2" xfId="35834" xr:uid="{00000000-0005-0000-0000-0000B2A80000}"/>
    <cellStyle name="Migliaia 18 2 2 3 3" xfId="50790" xr:uid="{00000000-0005-0000-0000-0000B3A80000}"/>
    <cellStyle name="Migliaia 18 2 2 3 4" xfId="20401" xr:uid="{00000000-0005-0000-0000-0000B4A80000}"/>
    <cellStyle name="Migliaia 18 2 2 4" xfId="21520" xr:uid="{00000000-0005-0000-0000-0000B5A80000}"/>
    <cellStyle name="Migliaia 18 2 2 5" xfId="36487" xr:uid="{00000000-0005-0000-0000-0000B6A80000}"/>
    <cellStyle name="Migliaia 18 2 2 6" xfId="51425" xr:uid="{00000000-0005-0000-0000-0000B7A80000}"/>
    <cellStyle name="Migliaia 18 2 2 7" xfId="51830" xr:uid="{00000000-0005-0000-0000-0000B8A80000}"/>
    <cellStyle name="Migliaia 18 2 2 8" xfId="52239" xr:uid="{00000000-0005-0000-0000-0000B9A80000}"/>
    <cellStyle name="Migliaia 18 2 2 9" xfId="52644" xr:uid="{00000000-0005-0000-0000-0000BAA80000}"/>
    <cellStyle name="Migliaia 18 2 3" xfId="2807" xr:uid="{00000000-0005-0000-0000-0000BBA80000}"/>
    <cellStyle name="Migliaia 18 2 3 2" xfId="11344" xr:uid="{00000000-0005-0000-0000-0000BCA80000}"/>
    <cellStyle name="Migliaia 18 2 4" xfId="3176" xr:uid="{00000000-0005-0000-0000-0000BDA80000}"/>
    <cellStyle name="Migliaia 18 2 4 2" xfId="28277" xr:uid="{00000000-0005-0000-0000-0000BEA80000}"/>
    <cellStyle name="Migliaia 18 2 4 3" xfId="43250" xr:uid="{00000000-0005-0000-0000-0000BFA80000}"/>
    <cellStyle name="Migliaia 18 2 4 4" xfId="11995" xr:uid="{00000000-0005-0000-0000-0000C0A80000}"/>
    <cellStyle name="Migliaia 18 2 5" xfId="19227" xr:uid="{00000000-0005-0000-0000-0000C1A80000}"/>
    <cellStyle name="Migliaia 18 2 5 2" xfId="35308" xr:uid="{00000000-0005-0000-0000-0000C2A80000}"/>
    <cellStyle name="Migliaia 18 2 5 3" xfId="50264" xr:uid="{00000000-0005-0000-0000-0000C3A80000}"/>
    <cellStyle name="Migliaia 18 2 6" xfId="21280" xr:uid="{00000000-0005-0000-0000-0000C4A80000}"/>
    <cellStyle name="Migliaia 18 2 7" xfId="36251" xr:uid="{00000000-0005-0000-0000-0000C5A80000}"/>
    <cellStyle name="Migliaia 18 2 8" xfId="51188" xr:uid="{00000000-0005-0000-0000-0000C6A80000}"/>
    <cellStyle name="Migliaia 18 2 9" xfId="51582" xr:uid="{00000000-0005-0000-0000-0000C7A80000}"/>
    <cellStyle name="Migliaia 18 3" xfId="1222" xr:uid="{00000000-0005-0000-0000-0000C8A80000}"/>
    <cellStyle name="Migliaia 18 3 10" xfId="51989" xr:uid="{00000000-0005-0000-0000-0000C9A80000}"/>
    <cellStyle name="Migliaia 18 3 11" xfId="52397" xr:uid="{00000000-0005-0000-0000-0000CAA80000}"/>
    <cellStyle name="Migliaia 18 3 12" xfId="3546" xr:uid="{00000000-0005-0000-0000-0000CBA80000}"/>
    <cellStyle name="Migliaia 18 3 2" xfId="1223" xr:uid="{00000000-0005-0000-0000-0000CCA80000}"/>
    <cellStyle name="Migliaia 18 3 2 10" xfId="52398" xr:uid="{00000000-0005-0000-0000-0000CDA80000}"/>
    <cellStyle name="Migliaia 18 3 2 11" xfId="3547" xr:uid="{00000000-0005-0000-0000-0000CEA80000}"/>
    <cellStyle name="Migliaia 18 3 2 2" xfId="2809" xr:uid="{00000000-0005-0000-0000-0000CFA80000}"/>
    <cellStyle name="Migliaia 18 3 2 2 2" xfId="11346" xr:uid="{00000000-0005-0000-0000-0000D0A80000}"/>
    <cellStyle name="Migliaia 18 3 2 3" xfId="3178" xr:uid="{00000000-0005-0000-0000-0000D1A80000}"/>
    <cellStyle name="Migliaia 18 3 2 3 2" xfId="28279" xr:uid="{00000000-0005-0000-0000-0000D2A80000}"/>
    <cellStyle name="Migliaia 18 3 2 3 3" xfId="43252" xr:uid="{00000000-0005-0000-0000-0000D3A80000}"/>
    <cellStyle name="Migliaia 18 3 2 3 4" xfId="11997" xr:uid="{00000000-0005-0000-0000-0000D4A80000}"/>
    <cellStyle name="Migliaia 18 3 2 4" xfId="19229" xr:uid="{00000000-0005-0000-0000-0000D5A80000}"/>
    <cellStyle name="Migliaia 18 3 2 4 2" xfId="35310" xr:uid="{00000000-0005-0000-0000-0000D6A80000}"/>
    <cellStyle name="Migliaia 18 3 2 4 3" xfId="50266" xr:uid="{00000000-0005-0000-0000-0000D7A80000}"/>
    <cellStyle name="Migliaia 18 3 2 5" xfId="21282" xr:uid="{00000000-0005-0000-0000-0000D8A80000}"/>
    <cellStyle name="Migliaia 18 3 2 6" xfId="36253" xr:uid="{00000000-0005-0000-0000-0000D9A80000}"/>
    <cellStyle name="Migliaia 18 3 2 7" xfId="51190" xr:uid="{00000000-0005-0000-0000-0000DAA80000}"/>
    <cellStyle name="Migliaia 18 3 2 8" xfId="51584" xr:uid="{00000000-0005-0000-0000-0000DBA80000}"/>
    <cellStyle name="Migliaia 18 3 2 9" xfId="51990" xr:uid="{00000000-0005-0000-0000-0000DCA80000}"/>
    <cellStyle name="Migliaia 18 3 3" xfId="2808" xr:uid="{00000000-0005-0000-0000-0000DDA80000}"/>
    <cellStyle name="Migliaia 18 3 3 2" xfId="20403" xr:uid="{00000000-0005-0000-0000-0000DEA80000}"/>
    <cellStyle name="Migliaia 18 3 3 2 2" xfId="35836" xr:uid="{00000000-0005-0000-0000-0000DFA80000}"/>
    <cellStyle name="Migliaia 18 3 3 2 3" xfId="50792" xr:uid="{00000000-0005-0000-0000-0000E0A80000}"/>
    <cellStyle name="Migliaia 18 3 3 3" xfId="19230" xr:uid="{00000000-0005-0000-0000-0000E1A80000}"/>
    <cellStyle name="Migliaia 18 3 3 3 2" xfId="35311" xr:uid="{00000000-0005-0000-0000-0000E2A80000}"/>
    <cellStyle name="Migliaia 18 3 3 3 3" xfId="50267" xr:uid="{00000000-0005-0000-0000-0000E3A80000}"/>
    <cellStyle name="Migliaia 18 3 3 4" xfId="11345" xr:uid="{00000000-0005-0000-0000-0000E4A80000}"/>
    <cellStyle name="Migliaia 18 3 4" xfId="3177" xr:uid="{00000000-0005-0000-0000-0000E5A80000}"/>
    <cellStyle name="Migliaia 18 3 4 2" xfId="20402" xr:uid="{00000000-0005-0000-0000-0000E6A80000}"/>
    <cellStyle name="Migliaia 18 3 4 2 2" xfId="35835" xr:uid="{00000000-0005-0000-0000-0000E7A80000}"/>
    <cellStyle name="Migliaia 18 3 4 2 3" xfId="50791" xr:uid="{00000000-0005-0000-0000-0000E8A80000}"/>
    <cellStyle name="Migliaia 18 3 4 3" xfId="28278" xr:uid="{00000000-0005-0000-0000-0000E9A80000}"/>
    <cellStyle name="Migliaia 18 3 4 4" xfId="43251" xr:uid="{00000000-0005-0000-0000-0000EAA80000}"/>
    <cellStyle name="Migliaia 18 3 4 5" xfId="11996" xr:uid="{00000000-0005-0000-0000-0000EBA80000}"/>
    <cellStyle name="Migliaia 18 3 5" xfId="19228" xr:uid="{00000000-0005-0000-0000-0000ECA80000}"/>
    <cellStyle name="Migliaia 18 3 5 2" xfId="35309" xr:uid="{00000000-0005-0000-0000-0000EDA80000}"/>
    <cellStyle name="Migliaia 18 3 5 3" xfId="50265" xr:uid="{00000000-0005-0000-0000-0000EEA80000}"/>
    <cellStyle name="Migliaia 18 3 6" xfId="21281" xr:uid="{00000000-0005-0000-0000-0000EFA80000}"/>
    <cellStyle name="Migliaia 18 3 7" xfId="36252" xr:uid="{00000000-0005-0000-0000-0000F0A80000}"/>
    <cellStyle name="Migliaia 18 3 8" xfId="51189" xr:uid="{00000000-0005-0000-0000-0000F1A80000}"/>
    <cellStyle name="Migliaia 18 3 9" xfId="51583" xr:uid="{00000000-0005-0000-0000-0000F2A80000}"/>
    <cellStyle name="Migliaia 18 4" xfId="2806" xr:uid="{00000000-0005-0000-0000-0000F3A80000}"/>
    <cellStyle name="Migliaia 18 4 2" xfId="19232" xr:uid="{00000000-0005-0000-0000-0000F4A80000}"/>
    <cellStyle name="Migliaia 18 4 2 2" xfId="20405" xr:uid="{00000000-0005-0000-0000-0000F5A80000}"/>
    <cellStyle name="Migliaia 18 4 2 2 2" xfId="35838" xr:uid="{00000000-0005-0000-0000-0000F6A80000}"/>
    <cellStyle name="Migliaia 18 4 2 2 3" xfId="50794" xr:uid="{00000000-0005-0000-0000-0000F7A80000}"/>
    <cellStyle name="Migliaia 18 4 2 3" xfId="35313" xr:uid="{00000000-0005-0000-0000-0000F8A80000}"/>
    <cellStyle name="Migliaia 18 4 2 4" xfId="50269" xr:uid="{00000000-0005-0000-0000-0000F9A80000}"/>
    <cellStyle name="Migliaia 18 4 3" xfId="20404" xr:uid="{00000000-0005-0000-0000-0000FAA80000}"/>
    <cellStyle name="Migliaia 18 4 3 2" xfId="35837" xr:uid="{00000000-0005-0000-0000-0000FBA80000}"/>
    <cellStyle name="Migliaia 18 4 3 3" xfId="50793" xr:uid="{00000000-0005-0000-0000-0000FCA80000}"/>
    <cellStyle name="Migliaia 18 4 4" xfId="19231" xr:uid="{00000000-0005-0000-0000-0000FDA80000}"/>
    <cellStyle name="Migliaia 18 4 4 2" xfId="35312" xr:uid="{00000000-0005-0000-0000-0000FEA80000}"/>
    <cellStyle name="Migliaia 18 4 4 3" xfId="50268" xr:uid="{00000000-0005-0000-0000-0000FFA80000}"/>
    <cellStyle name="Migliaia 18 4 5" xfId="11347" xr:uid="{00000000-0005-0000-0000-000000A90000}"/>
    <cellStyle name="Migliaia 18 5" xfId="3175" xr:uid="{00000000-0005-0000-0000-000001A90000}"/>
    <cellStyle name="Migliaia 18 5 2" xfId="19233" xr:uid="{00000000-0005-0000-0000-000002A90000}"/>
    <cellStyle name="Migliaia 18 5 2 2" xfId="35314" xr:uid="{00000000-0005-0000-0000-000003A90000}"/>
    <cellStyle name="Migliaia 18 5 2 3" xfId="50270" xr:uid="{00000000-0005-0000-0000-000004A90000}"/>
    <cellStyle name="Migliaia 18 5 3" xfId="11348" xr:uid="{00000000-0005-0000-0000-000005A90000}"/>
    <cellStyle name="Migliaia 18 6" xfId="11343" xr:uid="{00000000-0005-0000-0000-000006A90000}"/>
    <cellStyle name="Migliaia 18 7" xfId="11994" xr:uid="{00000000-0005-0000-0000-000007A90000}"/>
    <cellStyle name="Migliaia 18 7 2" xfId="28276" xr:uid="{00000000-0005-0000-0000-000008A90000}"/>
    <cellStyle name="Migliaia 18 7 3" xfId="43249" xr:uid="{00000000-0005-0000-0000-000009A90000}"/>
    <cellStyle name="Migliaia 18 8" xfId="19226" xr:uid="{00000000-0005-0000-0000-00000AA90000}"/>
    <cellStyle name="Migliaia 18 8 2" xfId="35307" xr:uid="{00000000-0005-0000-0000-00000BA90000}"/>
    <cellStyle name="Migliaia 18 8 3" xfId="50263" xr:uid="{00000000-0005-0000-0000-00000CA90000}"/>
    <cellStyle name="Migliaia 18 9" xfId="21279" xr:uid="{00000000-0005-0000-0000-00000DA90000}"/>
    <cellStyle name="Migliaia 19" xfId="1224" xr:uid="{00000000-0005-0000-0000-00000EA90000}"/>
    <cellStyle name="Migliaia 19 10" xfId="36254" xr:uid="{00000000-0005-0000-0000-00000FA90000}"/>
    <cellStyle name="Migliaia 19 11" xfId="51191" xr:uid="{00000000-0005-0000-0000-000010A90000}"/>
    <cellStyle name="Migliaia 19 12" xfId="51585" xr:uid="{00000000-0005-0000-0000-000011A90000}"/>
    <cellStyle name="Migliaia 19 13" xfId="51991" xr:uid="{00000000-0005-0000-0000-000012A90000}"/>
    <cellStyle name="Migliaia 19 14" xfId="52399" xr:uid="{00000000-0005-0000-0000-000013A90000}"/>
    <cellStyle name="Migliaia 19 15" xfId="3548" xr:uid="{00000000-0005-0000-0000-000014A90000}"/>
    <cellStyle name="Migliaia 19 2" xfId="1225" xr:uid="{00000000-0005-0000-0000-000015A90000}"/>
    <cellStyle name="Migliaia 19 2 10" xfId="51992" xr:uid="{00000000-0005-0000-0000-000016A90000}"/>
    <cellStyle name="Migliaia 19 2 11" xfId="52400" xr:uid="{00000000-0005-0000-0000-000017A90000}"/>
    <cellStyle name="Migliaia 19 2 12" xfId="3549" xr:uid="{00000000-0005-0000-0000-000018A90000}"/>
    <cellStyle name="Migliaia 19 2 2" xfId="1226" xr:uid="{00000000-0005-0000-0000-000019A90000}"/>
    <cellStyle name="Migliaia 19 2 2 10" xfId="3764" xr:uid="{00000000-0005-0000-0000-00001AA90000}"/>
    <cellStyle name="Migliaia 19 2 2 2" xfId="3026" xr:uid="{00000000-0005-0000-0000-00001BA90000}"/>
    <cellStyle name="Migliaia 19 2 2 2 2" xfId="28521" xr:uid="{00000000-0005-0000-0000-00001CA90000}"/>
    <cellStyle name="Migliaia 19 2 2 2 3" xfId="43484" xr:uid="{00000000-0005-0000-0000-00001DA90000}"/>
    <cellStyle name="Migliaia 19 2 2 2 4" xfId="12243" xr:uid="{00000000-0005-0000-0000-00001EA90000}"/>
    <cellStyle name="Migliaia 19 2 2 3" xfId="3395" xr:uid="{00000000-0005-0000-0000-00001FA90000}"/>
    <cellStyle name="Migliaia 19 2 2 3 2" xfId="35839" xr:uid="{00000000-0005-0000-0000-000020A90000}"/>
    <cellStyle name="Migliaia 19 2 2 3 3" xfId="50795" xr:uid="{00000000-0005-0000-0000-000021A90000}"/>
    <cellStyle name="Migliaia 19 2 2 3 4" xfId="20406" xr:uid="{00000000-0005-0000-0000-000022A90000}"/>
    <cellStyle name="Migliaia 19 2 2 4" xfId="21521" xr:uid="{00000000-0005-0000-0000-000023A90000}"/>
    <cellStyle name="Migliaia 19 2 2 5" xfId="36488" xr:uid="{00000000-0005-0000-0000-000024A90000}"/>
    <cellStyle name="Migliaia 19 2 2 6" xfId="51426" xr:uid="{00000000-0005-0000-0000-000025A90000}"/>
    <cellStyle name="Migliaia 19 2 2 7" xfId="51831" xr:uid="{00000000-0005-0000-0000-000026A90000}"/>
    <cellStyle name="Migliaia 19 2 2 8" xfId="52240" xr:uid="{00000000-0005-0000-0000-000027A90000}"/>
    <cellStyle name="Migliaia 19 2 2 9" xfId="52645" xr:uid="{00000000-0005-0000-0000-000028A90000}"/>
    <cellStyle name="Migliaia 19 2 3" xfId="2811" xr:uid="{00000000-0005-0000-0000-000029A90000}"/>
    <cellStyle name="Migliaia 19 2 3 2" xfId="11350" xr:uid="{00000000-0005-0000-0000-00002AA90000}"/>
    <cellStyle name="Migliaia 19 2 4" xfId="3180" xr:uid="{00000000-0005-0000-0000-00002BA90000}"/>
    <cellStyle name="Migliaia 19 2 4 2" xfId="28281" xr:uid="{00000000-0005-0000-0000-00002CA90000}"/>
    <cellStyle name="Migliaia 19 2 4 3" xfId="43254" xr:uid="{00000000-0005-0000-0000-00002DA90000}"/>
    <cellStyle name="Migliaia 19 2 4 4" xfId="11999" xr:uid="{00000000-0005-0000-0000-00002EA90000}"/>
    <cellStyle name="Migliaia 19 2 5" xfId="19235" xr:uid="{00000000-0005-0000-0000-00002FA90000}"/>
    <cellStyle name="Migliaia 19 2 5 2" xfId="35316" xr:uid="{00000000-0005-0000-0000-000030A90000}"/>
    <cellStyle name="Migliaia 19 2 5 3" xfId="50272" xr:uid="{00000000-0005-0000-0000-000031A90000}"/>
    <cellStyle name="Migliaia 19 2 6" xfId="21284" xr:uid="{00000000-0005-0000-0000-000032A90000}"/>
    <cellStyle name="Migliaia 19 2 7" xfId="36255" xr:uid="{00000000-0005-0000-0000-000033A90000}"/>
    <cellStyle name="Migliaia 19 2 8" xfId="51192" xr:uid="{00000000-0005-0000-0000-000034A90000}"/>
    <cellStyle name="Migliaia 19 2 9" xfId="51586" xr:uid="{00000000-0005-0000-0000-000035A90000}"/>
    <cellStyle name="Migliaia 19 3" xfId="1227" xr:uid="{00000000-0005-0000-0000-000036A90000}"/>
    <cellStyle name="Migliaia 19 3 10" xfId="51993" xr:uid="{00000000-0005-0000-0000-000037A90000}"/>
    <cellStyle name="Migliaia 19 3 11" xfId="52401" xr:uid="{00000000-0005-0000-0000-000038A90000}"/>
    <cellStyle name="Migliaia 19 3 12" xfId="3550" xr:uid="{00000000-0005-0000-0000-000039A90000}"/>
    <cellStyle name="Migliaia 19 3 2" xfId="1228" xr:uid="{00000000-0005-0000-0000-00003AA90000}"/>
    <cellStyle name="Migliaia 19 3 2 10" xfId="52402" xr:uid="{00000000-0005-0000-0000-00003BA90000}"/>
    <cellStyle name="Migliaia 19 3 2 11" xfId="3551" xr:uid="{00000000-0005-0000-0000-00003CA90000}"/>
    <cellStyle name="Migliaia 19 3 2 2" xfId="2813" xr:uid="{00000000-0005-0000-0000-00003DA90000}"/>
    <cellStyle name="Migliaia 19 3 2 2 2" xfId="11352" xr:uid="{00000000-0005-0000-0000-00003EA90000}"/>
    <cellStyle name="Migliaia 19 3 2 3" xfId="3182" xr:uid="{00000000-0005-0000-0000-00003FA90000}"/>
    <cellStyle name="Migliaia 19 3 2 3 2" xfId="28283" xr:uid="{00000000-0005-0000-0000-000040A90000}"/>
    <cellStyle name="Migliaia 19 3 2 3 3" xfId="43256" xr:uid="{00000000-0005-0000-0000-000041A90000}"/>
    <cellStyle name="Migliaia 19 3 2 3 4" xfId="12001" xr:uid="{00000000-0005-0000-0000-000042A90000}"/>
    <cellStyle name="Migliaia 19 3 2 4" xfId="19237" xr:uid="{00000000-0005-0000-0000-000043A90000}"/>
    <cellStyle name="Migliaia 19 3 2 4 2" xfId="35318" xr:uid="{00000000-0005-0000-0000-000044A90000}"/>
    <cellStyle name="Migliaia 19 3 2 4 3" xfId="50274" xr:uid="{00000000-0005-0000-0000-000045A90000}"/>
    <cellStyle name="Migliaia 19 3 2 5" xfId="21286" xr:uid="{00000000-0005-0000-0000-000046A90000}"/>
    <cellStyle name="Migliaia 19 3 2 6" xfId="36257" xr:uid="{00000000-0005-0000-0000-000047A90000}"/>
    <cellStyle name="Migliaia 19 3 2 7" xfId="51194" xr:uid="{00000000-0005-0000-0000-000048A90000}"/>
    <cellStyle name="Migliaia 19 3 2 8" xfId="51588" xr:uid="{00000000-0005-0000-0000-000049A90000}"/>
    <cellStyle name="Migliaia 19 3 2 9" xfId="51994" xr:uid="{00000000-0005-0000-0000-00004AA90000}"/>
    <cellStyle name="Migliaia 19 3 3" xfId="2812" xr:uid="{00000000-0005-0000-0000-00004BA90000}"/>
    <cellStyle name="Migliaia 19 3 3 2" xfId="20408" xr:uid="{00000000-0005-0000-0000-00004CA90000}"/>
    <cellStyle name="Migliaia 19 3 3 2 2" xfId="35841" xr:uid="{00000000-0005-0000-0000-00004DA90000}"/>
    <cellStyle name="Migliaia 19 3 3 2 3" xfId="50797" xr:uid="{00000000-0005-0000-0000-00004EA90000}"/>
    <cellStyle name="Migliaia 19 3 3 3" xfId="19238" xr:uid="{00000000-0005-0000-0000-00004FA90000}"/>
    <cellStyle name="Migliaia 19 3 3 3 2" xfId="35319" xr:uid="{00000000-0005-0000-0000-000050A90000}"/>
    <cellStyle name="Migliaia 19 3 3 3 3" xfId="50275" xr:uid="{00000000-0005-0000-0000-000051A90000}"/>
    <cellStyle name="Migliaia 19 3 3 4" xfId="11351" xr:uid="{00000000-0005-0000-0000-000052A90000}"/>
    <cellStyle name="Migliaia 19 3 4" xfId="3181" xr:uid="{00000000-0005-0000-0000-000053A90000}"/>
    <cellStyle name="Migliaia 19 3 4 2" xfId="20407" xr:uid="{00000000-0005-0000-0000-000054A90000}"/>
    <cellStyle name="Migliaia 19 3 4 2 2" xfId="35840" xr:uid="{00000000-0005-0000-0000-000055A90000}"/>
    <cellStyle name="Migliaia 19 3 4 2 3" xfId="50796" xr:uid="{00000000-0005-0000-0000-000056A90000}"/>
    <cellStyle name="Migliaia 19 3 4 3" xfId="28282" xr:uid="{00000000-0005-0000-0000-000057A90000}"/>
    <cellStyle name="Migliaia 19 3 4 4" xfId="43255" xr:uid="{00000000-0005-0000-0000-000058A90000}"/>
    <cellStyle name="Migliaia 19 3 4 5" xfId="12000" xr:uid="{00000000-0005-0000-0000-000059A90000}"/>
    <cellStyle name="Migliaia 19 3 5" xfId="19236" xr:uid="{00000000-0005-0000-0000-00005AA90000}"/>
    <cellStyle name="Migliaia 19 3 5 2" xfId="35317" xr:uid="{00000000-0005-0000-0000-00005BA90000}"/>
    <cellStyle name="Migliaia 19 3 5 3" xfId="50273" xr:uid="{00000000-0005-0000-0000-00005CA90000}"/>
    <cellStyle name="Migliaia 19 3 6" xfId="21285" xr:uid="{00000000-0005-0000-0000-00005DA90000}"/>
    <cellStyle name="Migliaia 19 3 7" xfId="36256" xr:uid="{00000000-0005-0000-0000-00005EA90000}"/>
    <cellStyle name="Migliaia 19 3 8" xfId="51193" xr:uid="{00000000-0005-0000-0000-00005FA90000}"/>
    <cellStyle name="Migliaia 19 3 9" xfId="51587" xr:uid="{00000000-0005-0000-0000-000060A90000}"/>
    <cellStyle name="Migliaia 19 4" xfId="2810" xr:uid="{00000000-0005-0000-0000-000061A90000}"/>
    <cellStyle name="Migliaia 19 4 2" xfId="19240" xr:uid="{00000000-0005-0000-0000-000062A90000}"/>
    <cellStyle name="Migliaia 19 4 2 2" xfId="20410" xr:uid="{00000000-0005-0000-0000-000063A90000}"/>
    <cellStyle name="Migliaia 19 4 2 2 2" xfId="35843" xr:uid="{00000000-0005-0000-0000-000064A90000}"/>
    <cellStyle name="Migliaia 19 4 2 2 3" xfId="50799" xr:uid="{00000000-0005-0000-0000-000065A90000}"/>
    <cellStyle name="Migliaia 19 4 2 3" xfId="35321" xr:uid="{00000000-0005-0000-0000-000066A90000}"/>
    <cellStyle name="Migliaia 19 4 2 4" xfId="50277" xr:uid="{00000000-0005-0000-0000-000067A90000}"/>
    <cellStyle name="Migliaia 19 4 3" xfId="20409" xr:uid="{00000000-0005-0000-0000-000068A90000}"/>
    <cellStyle name="Migliaia 19 4 3 2" xfId="35842" xr:uid="{00000000-0005-0000-0000-000069A90000}"/>
    <cellStyle name="Migliaia 19 4 3 3" xfId="50798" xr:uid="{00000000-0005-0000-0000-00006AA90000}"/>
    <cellStyle name="Migliaia 19 4 4" xfId="19239" xr:uid="{00000000-0005-0000-0000-00006BA90000}"/>
    <cellStyle name="Migliaia 19 4 4 2" xfId="35320" xr:uid="{00000000-0005-0000-0000-00006CA90000}"/>
    <cellStyle name="Migliaia 19 4 4 3" xfId="50276" xr:uid="{00000000-0005-0000-0000-00006DA90000}"/>
    <cellStyle name="Migliaia 19 4 5" xfId="11353" xr:uid="{00000000-0005-0000-0000-00006EA90000}"/>
    <cellStyle name="Migliaia 19 5" xfId="3179" xr:uid="{00000000-0005-0000-0000-00006FA90000}"/>
    <cellStyle name="Migliaia 19 5 2" xfId="19241" xr:uid="{00000000-0005-0000-0000-000070A90000}"/>
    <cellStyle name="Migliaia 19 5 2 2" xfId="35322" xr:uid="{00000000-0005-0000-0000-000071A90000}"/>
    <cellStyle name="Migliaia 19 5 2 3" xfId="50278" xr:uid="{00000000-0005-0000-0000-000072A90000}"/>
    <cellStyle name="Migliaia 19 5 3" xfId="11354" xr:uid="{00000000-0005-0000-0000-000073A90000}"/>
    <cellStyle name="Migliaia 19 6" xfId="11349" xr:uid="{00000000-0005-0000-0000-000074A90000}"/>
    <cellStyle name="Migliaia 19 7" xfId="11998" xr:uid="{00000000-0005-0000-0000-000075A90000}"/>
    <cellStyle name="Migliaia 19 7 2" xfId="28280" xr:uid="{00000000-0005-0000-0000-000076A90000}"/>
    <cellStyle name="Migliaia 19 7 3" xfId="43253" xr:uid="{00000000-0005-0000-0000-000077A90000}"/>
    <cellStyle name="Migliaia 19 8" xfId="19234" xr:uid="{00000000-0005-0000-0000-000078A90000}"/>
    <cellStyle name="Migliaia 19 8 2" xfId="35315" xr:uid="{00000000-0005-0000-0000-000079A90000}"/>
    <cellStyle name="Migliaia 19 8 3" xfId="50271" xr:uid="{00000000-0005-0000-0000-00007AA90000}"/>
    <cellStyle name="Migliaia 19 9" xfId="21283" xr:uid="{00000000-0005-0000-0000-00007BA90000}"/>
    <cellStyle name="Migliaia 2" xfId="1229" xr:uid="{00000000-0005-0000-0000-00007CA90000}"/>
    <cellStyle name="Migliaia 2 10" xfId="21287" xr:uid="{00000000-0005-0000-0000-00007DA90000}"/>
    <cellStyle name="Migliaia 2 11" xfId="36258" xr:uid="{00000000-0005-0000-0000-00007EA90000}"/>
    <cellStyle name="Migliaia 2 12" xfId="51195" xr:uid="{00000000-0005-0000-0000-00007FA90000}"/>
    <cellStyle name="Migliaia 2 13" xfId="51589" xr:uid="{00000000-0005-0000-0000-000080A90000}"/>
    <cellStyle name="Migliaia 2 14" xfId="51995" xr:uid="{00000000-0005-0000-0000-000081A90000}"/>
    <cellStyle name="Migliaia 2 15" xfId="52403" xr:uid="{00000000-0005-0000-0000-000082A90000}"/>
    <cellStyle name="Migliaia 2 16" xfId="3552" xr:uid="{00000000-0005-0000-0000-000083A90000}"/>
    <cellStyle name="Migliaia 2 2" xfId="1230" xr:uid="{00000000-0005-0000-0000-000084A90000}"/>
    <cellStyle name="Migliaia 2 2 10" xfId="51996" xr:uid="{00000000-0005-0000-0000-000085A90000}"/>
    <cellStyle name="Migliaia 2 2 11" xfId="52404" xr:uid="{00000000-0005-0000-0000-000086A90000}"/>
    <cellStyle name="Migliaia 2 2 12" xfId="3553" xr:uid="{00000000-0005-0000-0000-000087A90000}"/>
    <cellStyle name="Migliaia 2 2 2" xfId="1231" xr:uid="{00000000-0005-0000-0000-000088A90000}"/>
    <cellStyle name="Migliaia 2 2 2 10" xfId="3765" xr:uid="{00000000-0005-0000-0000-000089A90000}"/>
    <cellStyle name="Migliaia 2 2 2 2" xfId="3027" xr:uid="{00000000-0005-0000-0000-00008AA90000}"/>
    <cellStyle name="Migliaia 2 2 2 2 2" xfId="28522" xr:uid="{00000000-0005-0000-0000-00008BA90000}"/>
    <cellStyle name="Migliaia 2 2 2 2 3" xfId="43485" xr:uid="{00000000-0005-0000-0000-00008CA90000}"/>
    <cellStyle name="Migliaia 2 2 2 2 4" xfId="12244" xr:uid="{00000000-0005-0000-0000-00008DA90000}"/>
    <cellStyle name="Migliaia 2 2 2 3" xfId="3396" xr:uid="{00000000-0005-0000-0000-00008EA90000}"/>
    <cellStyle name="Migliaia 2 2 2 3 2" xfId="35789" xr:uid="{00000000-0005-0000-0000-00008FA90000}"/>
    <cellStyle name="Migliaia 2 2 2 3 3" xfId="50745" xr:uid="{00000000-0005-0000-0000-000090A90000}"/>
    <cellStyle name="Migliaia 2 2 2 3 4" xfId="20163" xr:uid="{00000000-0005-0000-0000-000091A90000}"/>
    <cellStyle name="Migliaia 2 2 2 4" xfId="21522" xr:uid="{00000000-0005-0000-0000-000092A90000}"/>
    <cellStyle name="Migliaia 2 2 2 5" xfId="36489" xr:uid="{00000000-0005-0000-0000-000093A90000}"/>
    <cellStyle name="Migliaia 2 2 2 6" xfId="51427" xr:uid="{00000000-0005-0000-0000-000094A90000}"/>
    <cellStyle name="Migliaia 2 2 2 7" xfId="51832" xr:uid="{00000000-0005-0000-0000-000095A90000}"/>
    <cellStyle name="Migliaia 2 2 2 8" xfId="52241" xr:uid="{00000000-0005-0000-0000-000096A90000}"/>
    <cellStyle name="Migliaia 2 2 2 9" xfId="52646" xr:uid="{00000000-0005-0000-0000-000097A90000}"/>
    <cellStyle name="Migliaia 2 2 3" xfId="2815" xr:uid="{00000000-0005-0000-0000-000098A90000}"/>
    <cellStyle name="Migliaia 2 2 3 2" xfId="11356" xr:uid="{00000000-0005-0000-0000-000099A90000}"/>
    <cellStyle name="Migliaia 2 2 4" xfId="3184" xr:uid="{00000000-0005-0000-0000-00009AA90000}"/>
    <cellStyle name="Migliaia 2 2 4 2" xfId="28285" xr:uid="{00000000-0005-0000-0000-00009BA90000}"/>
    <cellStyle name="Migliaia 2 2 4 3" xfId="43258" xr:uid="{00000000-0005-0000-0000-00009CA90000}"/>
    <cellStyle name="Migliaia 2 2 4 4" xfId="12003" xr:uid="{00000000-0005-0000-0000-00009DA90000}"/>
    <cellStyle name="Migliaia 2 2 5" xfId="19243" xr:uid="{00000000-0005-0000-0000-00009EA90000}"/>
    <cellStyle name="Migliaia 2 2 5 2" xfId="35324" xr:uid="{00000000-0005-0000-0000-00009FA90000}"/>
    <cellStyle name="Migliaia 2 2 5 3" xfId="50280" xr:uid="{00000000-0005-0000-0000-0000A0A90000}"/>
    <cellStyle name="Migliaia 2 2 6" xfId="21288" xr:uid="{00000000-0005-0000-0000-0000A1A90000}"/>
    <cellStyle name="Migliaia 2 2 7" xfId="36259" xr:uid="{00000000-0005-0000-0000-0000A2A90000}"/>
    <cellStyle name="Migliaia 2 2 8" xfId="51196" xr:uid="{00000000-0005-0000-0000-0000A3A90000}"/>
    <cellStyle name="Migliaia 2 2 9" xfId="51590" xr:uid="{00000000-0005-0000-0000-0000A4A90000}"/>
    <cellStyle name="Migliaia 2 3" xfId="1232" xr:uid="{00000000-0005-0000-0000-0000A5A90000}"/>
    <cellStyle name="Migliaia 2 3 10" xfId="51997" xr:uid="{00000000-0005-0000-0000-0000A6A90000}"/>
    <cellStyle name="Migliaia 2 3 11" xfId="52405" xr:uid="{00000000-0005-0000-0000-0000A7A90000}"/>
    <cellStyle name="Migliaia 2 3 12" xfId="3554" xr:uid="{00000000-0005-0000-0000-0000A8A90000}"/>
    <cellStyle name="Migliaia 2 3 2" xfId="1233" xr:uid="{00000000-0005-0000-0000-0000A9A90000}"/>
    <cellStyle name="Migliaia 2 3 2 10" xfId="3766" xr:uid="{00000000-0005-0000-0000-0000AAA90000}"/>
    <cellStyle name="Migliaia 2 3 2 2" xfId="3028" xr:uid="{00000000-0005-0000-0000-0000ABA90000}"/>
    <cellStyle name="Migliaia 2 3 2 2 2" xfId="28523" xr:uid="{00000000-0005-0000-0000-0000ACA90000}"/>
    <cellStyle name="Migliaia 2 3 2 2 3" xfId="43486" xr:uid="{00000000-0005-0000-0000-0000ADA90000}"/>
    <cellStyle name="Migliaia 2 3 2 2 4" xfId="12245" xr:uid="{00000000-0005-0000-0000-0000AEA90000}"/>
    <cellStyle name="Migliaia 2 3 2 3" xfId="3397" xr:uid="{00000000-0005-0000-0000-0000AFA90000}"/>
    <cellStyle name="Migliaia 2 3 2 3 2" xfId="35790" xr:uid="{00000000-0005-0000-0000-0000B0A90000}"/>
    <cellStyle name="Migliaia 2 3 2 3 3" xfId="50746" xr:uid="{00000000-0005-0000-0000-0000B1A90000}"/>
    <cellStyle name="Migliaia 2 3 2 3 4" xfId="20164" xr:uid="{00000000-0005-0000-0000-0000B2A90000}"/>
    <cellStyle name="Migliaia 2 3 2 4" xfId="21523" xr:uid="{00000000-0005-0000-0000-0000B3A90000}"/>
    <cellStyle name="Migliaia 2 3 2 5" xfId="36490" xr:uid="{00000000-0005-0000-0000-0000B4A90000}"/>
    <cellStyle name="Migliaia 2 3 2 6" xfId="51428" xr:uid="{00000000-0005-0000-0000-0000B5A90000}"/>
    <cellStyle name="Migliaia 2 3 2 7" xfId="51833" xr:uid="{00000000-0005-0000-0000-0000B6A90000}"/>
    <cellStyle name="Migliaia 2 3 2 8" xfId="52242" xr:uid="{00000000-0005-0000-0000-0000B7A90000}"/>
    <cellStyle name="Migliaia 2 3 2 9" xfId="52647" xr:uid="{00000000-0005-0000-0000-0000B8A90000}"/>
    <cellStyle name="Migliaia 2 3 3" xfId="2816" xr:uid="{00000000-0005-0000-0000-0000B9A90000}"/>
    <cellStyle name="Migliaia 2 3 3 2" xfId="11357" xr:uid="{00000000-0005-0000-0000-0000BAA90000}"/>
    <cellStyle name="Migliaia 2 3 4" xfId="3185" xr:uid="{00000000-0005-0000-0000-0000BBA90000}"/>
    <cellStyle name="Migliaia 2 3 4 2" xfId="28286" xr:uid="{00000000-0005-0000-0000-0000BCA90000}"/>
    <cellStyle name="Migliaia 2 3 4 3" xfId="43259" xr:uid="{00000000-0005-0000-0000-0000BDA90000}"/>
    <cellStyle name="Migliaia 2 3 4 4" xfId="12004" xr:uid="{00000000-0005-0000-0000-0000BEA90000}"/>
    <cellStyle name="Migliaia 2 3 5" xfId="19244" xr:uid="{00000000-0005-0000-0000-0000BFA90000}"/>
    <cellStyle name="Migliaia 2 3 5 2" xfId="35325" xr:uid="{00000000-0005-0000-0000-0000C0A90000}"/>
    <cellStyle name="Migliaia 2 3 5 3" xfId="50281" xr:uid="{00000000-0005-0000-0000-0000C1A90000}"/>
    <cellStyle name="Migliaia 2 3 6" xfId="21289" xr:uid="{00000000-0005-0000-0000-0000C2A90000}"/>
    <cellStyle name="Migliaia 2 3 7" xfId="36260" xr:uid="{00000000-0005-0000-0000-0000C3A90000}"/>
    <cellStyle name="Migliaia 2 3 8" xfId="51197" xr:uid="{00000000-0005-0000-0000-0000C4A90000}"/>
    <cellStyle name="Migliaia 2 3 9" xfId="51591" xr:uid="{00000000-0005-0000-0000-0000C5A90000}"/>
    <cellStyle name="Migliaia 2 4" xfId="1234" xr:uid="{00000000-0005-0000-0000-0000C6A90000}"/>
    <cellStyle name="Migliaia 2 4 10" xfId="51998" xr:uid="{00000000-0005-0000-0000-0000C7A90000}"/>
    <cellStyle name="Migliaia 2 4 11" xfId="52406" xr:uid="{00000000-0005-0000-0000-0000C8A90000}"/>
    <cellStyle name="Migliaia 2 4 12" xfId="3555" xr:uid="{00000000-0005-0000-0000-0000C9A90000}"/>
    <cellStyle name="Migliaia 2 4 2" xfId="1235" xr:uid="{00000000-0005-0000-0000-0000CAA90000}"/>
    <cellStyle name="Migliaia 2 4 2 10" xfId="52407" xr:uid="{00000000-0005-0000-0000-0000CBA90000}"/>
    <cellStyle name="Migliaia 2 4 2 11" xfId="3556" xr:uid="{00000000-0005-0000-0000-0000CCA90000}"/>
    <cellStyle name="Migliaia 2 4 2 2" xfId="2818" xr:uid="{00000000-0005-0000-0000-0000CDA90000}"/>
    <cellStyle name="Migliaia 2 4 2 2 2" xfId="11359" xr:uid="{00000000-0005-0000-0000-0000CEA90000}"/>
    <cellStyle name="Migliaia 2 4 2 3" xfId="3187" xr:uid="{00000000-0005-0000-0000-0000CFA90000}"/>
    <cellStyle name="Migliaia 2 4 2 3 2" xfId="28288" xr:uid="{00000000-0005-0000-0000-0000D0A90000}"/>
    <cellStyle name="Migliaia 2 4 2 3 3" xfId="43261" xr:uid="{00000000-0005-0000-0000-0000D1A90000}"/>
    <cellStyle name="Migliaia 2 4 2 3 4" xfId="12006" xr:uid="{00000000-0005-0000-0000-0000D2A90000}"/>
    <cellStyle name="Migliaia 2 4 2 4" xfId="19246" xr:uid="{00000000-0005-0000-0000-0000D3A90000}"/>
    <cellStyle name="Migliaia 2 4 2 4 2" xfId="35327" xr:uid="{00000000-0005-0000-0000-0000D4A90000}"/>
    <cellStyle name="Migliaia 2 4 2 4 3" xfId="50283" xr:uid="{00000000-0005-0000-0000-0000D5A90000}"/>
    <cellStyle name="Migliaia 2 4 2 5" xfId="21291" xr:uid="{00000000-0005-0000-0000-0000D6A90000}"/>
    <cellStyle name="Migliaia 2 4 2 6" xfId="36262" xr:uid="{00000000-0005-0000-0000-0000D7A90000}"/>
    <cellStyle name="Migliaia 2 4 2 7" xfId="51199" xr:uid="{00000000-0005-0000-0000-0000D8A90000}"/>
    <cellStyle name="Migliaia 2 4 2 8" xfId="51593" xr:uid="{00000000-0005-0000-0000-0000D9A90000}"/>
    <cellStyle name="Migliaia 2 4 2 9" xfId="51999" xr:uid="{00000000-0005-0000-0000-0000DAA90000}"/>
    <cellStyle name="Migliaia 2 4 3" xfId="2817" xr:uid="{00000000-0005-0000-0000-0000DBA90000}"/>
    <cellStyle name="Migliaia 2 4 3 2" xfId="20412" xr:uid="{00000000-0005-0000-0000-0000DCA90000}"/>
    <cellStyle name="Migliaia 2 4 3 2 2" xfId="35845" xr:uid="{00000000-0005-0000-0000-0000DDA90000}"/>
    <cellStyle name="Migliaia 2 4 3 2 3" xfId="50801" xr:uid="{00000000-0005-0000-0000-0000DEA90000}"/>
    <cellStyle name="Migliaia 2 4 3 3" xfId="19247" xr:uid="{00000000-0005-0000-0000-0000DFA90000}"/>
    <cellStyle name="Migliaia 2 4 3 3 2" xfId="35328" xr:uid="{00000000-0005-0000-0000-0000E0A90000}"/>
    <cellStyle name="Migliaia 2 4 3 3 3" xfId="50284" xr:uid="{00000000-0005-0000-0000-0000E1A90000}"/>
    <cellStyle name="Migliaia 2 4 3 4" xfId="11358" xr:uid="{00000000-0005-0000-0000-0000E2A90000}"/>
    <cellStyle name="Migliaia 2 4 4" xfId="3186" xr:uid="{00000000-0005-0000-0000-0000E3A90000}"/>
    <cellStyle name="Migliaia 2 4 4 2" xfId="20411" xr:uid="{00000000-0005-0000-0000-0000E4A90000}"/>
    <cellStyle name="Migliaia 2 4 4 2 2" xfId="35844" xr:uid="{00000000-0005-0000-0000-0000E5A90000}"/>
    <cellStyle name="Migliaia 2 4 4 2 3" xfId="50800" xr:uid="{00000000-0005-0000-0000-0000E6A90000}"/>
    <cellStyle name="Migliaia 2 4 4 3" xfId="28287" xr:uid="{00000000-0005-0000-0000-0000E7A90000}"/>
    <cellStyle name="Migliaia 2 4 4 4" xfId="43260" xr:uid="{00000000-0005-0000-0000-0000E8A90000}"/>
    <cellStyle name="Migliaia 2 4 4 5" xfId="12005" xr:uid="{00000000-0005-0000-0000-0000E9A90000}"/>
    <cellStyle name="Migliaia 2 4 5" xfId="19245" xr:uid="{00000000-0005-0000-0000-0000EAA90000}"/>
    <cellStyle name="Migliaia 2 4 5 2" xfId="35326" xr:uid="{00000000-0005-0000-0000-0000EBA90000}"/>
    <cellStyle name="Migliaia 2 4 5 3" xfId="50282" xr:uid="{00000000-0005-0000-0000-0000ECA90000}"/>
    <cellStyle name="Migliaia 2 4 6" xfId="21290" xr:uid="{00000000-0005-0000-0000-0000EDA90000}"/>
    <cellStyle name="Migliaia 2 4 7" xfId="36261" xr:uid="{00000000-0005-0000-0000-0000EEA90000}"/>
    <cellStyle name="Migliaia 2 4 8" xfId="51198" xr:uid="{00000000-0005-0000-0000-0000EFA90000}"/>
    <cellStyle name="Migliaia 2 4 9" xfId="51592" xr:uid="{00000000-0005-0000-0000-0000F0A90000}"/>
    <cellStyle name="Migliaia 2 5" xfId="2814" xr:uid="{00000000-0005-0000-0000-0000F1A90000}"/>
    <cellStyle name="Migliaia 2 5 2" xfId="19249" xr:uid="{00000000-0005-0000-0000-0000F2A90000}"/>
    <cellStyle name="Migliaia 2 5 2 2" xfId="20414" xr:uid="{00000000-0005-0000-0000-0000F3A90000}"/>
    <cellStyle name="Migliaia 2 5 2 2 2" xfId="35847" xr:uid="{00000000-0005-0000-0000-0000F4A90000}"/>
    <cellStyle name="Migliaia 2 5 2 2 3" xfId="50803" xr:uid="{00000000-0005-0000-0000-0000F5A90000}"/>
    <cellStyle name="Migliaia 2 5 2 3" xfId="35330" xr:uid="{00000000-0005-0000-0000-0000F6A90000}"/>
    <cellStyle name="Migliaia 2 5 2 4" xfId="50286" xr:uid="{00000000-0005-0000-0000-0000F7A90000}"/>
    <cellStyle name="Migliaia 2 5 3" xfId="20413" xr:uid="{00000000-0005-0000-0000-0000F8A90000}"/>
    <cellStyle name="Migliaia 2 5 3 2" xfId="35846" xr:uid="{00000000-0005-0000-0000-0000F9A90000}"/>
    <cellStyle name="Migliaia 2 5 3 3" xfId="50802" xr:uid="{00000000-0005-0000-0000-0000FAA90000}"/>
    <cellStyle name="Migliaia 2 5 4" xfId="19248" xr:uid="{00000000-0005-0000-0000-0000FBA90000}"/>
    <cellStyle name="Migliaia 2 5 4 2" xfId="35329" xr:uid="{00000000-0005-0000-0000-0000FCA90000}"/>
    <cellStyle name="Migliaia 2 5 4 3" xfId="50285" xr:uid="{00000000-0005-0000-0000-0000FDA90000}"/>
    <cellStyle name="Migliaia 2 5 5" xfId="11360" xr:uid="{00000000-0005-0000-0000-0000FEA90000}"/>
    <cellStyle name="Migliaia 2 6" xfId="3183" xr:uid="{00000000-0005-0000-0000-0000FFA90000}"/>
    <cellStyle name="Migliaia 2 6 2" xfId="19250" xr:uid="{00000000-0005-0000-0000-000000AA0000}"/>
    <cellStyle name="Migliaia 2 6 2 2" xfId="35331" xr:uid="{00000000-0005-0000-0000-000001AA0000}"/>
    <cellStyle name="Migliaia 2 6 2 3" xfId="50287" xr:uid="{00000000-0005-0000-0000-000002AA0000}"/>
    <cellStyle name="Migliaia 2 6 3" xfId="11361" xr:uid="{00000000-0005-0000-0000-000003AA0000}"/>
    <cellStyle name="Migliaia 2 7" xfId="11355" xr:uid="{00000000-0005-0000-0000-000004AA0000}"/>
    <cellStyle name="Migliaia 2 8" xfId="12002" xr:uid="{00000000-0005-0000-0000-000005AA0000}"/>
    <cellStyle name="Migliaia 2 8 2" xfId="28284" xr:uid="{00000000-0005-0000-0000-000006AA0000}"/>
    <cellStyle name="Migliaia 2 8 3" xfId="43257" xr:uid="{00000000-0005-0000-0000-000007AA0000}"/>
    <cellStyle name="Migliaia 2 9" xfId="19242" xr:uid="{00000000-0005-0000-0000-000008AA0000}"/>
    <cellStyle name="Migliaia 2 9 2" xfId="35323" xr:uid="{00000000-0005-0000-0000-000009AA0000}"/>
    <cellStyle name="Migliaia 2 9 3" xfId="50279" xr:uid="{00000000-0005-0000-0000-00000AAA0000}"/>
    <cellStyle name="Migliaia 2_Domestico_reg&amp;naz" xfId="1236" xr:uid="{00000000-0005-0000-0000-00000BAA0000}"/>
    <cellStyle name="Migliaia 20" xfId="1237" xr:uid="{00000000-0005-0000-0000-00000CAA0000}"/>
    <cellStyle name="Migliaia 20 10" xfId="36263" xr:uid="{00000000-0005-0000-0000-00000DAA0000}"/>
    <cellStyle name="Migliaia 20 11" xfId="51200" xr:uid="{00000000-0005-0000-0000-00000EAA0000}"/>
    <cellStyle name="Migliaia 20 12" xfId="51594" xr:uid="{00000000-0005-0000-0000-00000FAA0000}"/>
    <cellStyle name="Migliaia 20 13" xfId="52000" xr:uid="{00000000-0005-0000-0000-000010AA0000}"/>
    <cellStyle name="Migliaia 20 14" xfId="52408" xr:uid="{00000000-0005-0000-0000-000011AA0000}"/>
    <cellStyle name="Migliaia 20 15" xfId="3557" xr:uid="{00000000-0005-0000-0000-000012AA0000}"/>
    <cellStyle name="Migliaia 20 2" xfId="1238" xr:uid="{00000000-0005-0000-0000-000013AA0000}"/>
    <cellStyle name="Migliaia 20 2 10" xfId="52001" xr:uid="{00000000-0005-0000-0000-000014AA0000}"/>
    <cellStyle name="Migliaia 20 2 11" xfId="52409" xr:uid="{00000000-0005-0000-0000-000015AA0000}"/>
    <cellStyle name="Migliaia 20 2 12" xfId="3558" xr:uid="{00000000-0005-0000-0000-000016AA0000}"/>
    <cellStyle name="Migliaia 20 2 2" xfId="1239" xr:uid="{00000000-0005-0000-0000-000017AA0000}"/>
    <cellStyle name="Migliaia 20 2 2 10" xfId="3767" xr:uid="{00000000-0005-0000-0000-000018AA0000}"/>
    <cellStyle name="Migliaia 20 2 2 2" xfId="3029" xr:uid="{00000000-0005-0000-0000-000019AA0000}"/>
    <cellStyle name="Migliaia 20 2 2 2 2" xfId="28524" xr:uid="{00000000-0005-0000-0000-00001AAA0000}"/>
    <cellStyle name="Migliaia 20 2 2 2 3" xfId="43487" xr:uid="{00000000-0005-0000-0000-00001BAA0000}"/>
    <cellStyle name="Migliaia 20 2 2 2 4" xfId="12246" xr:uid="{00000000-0005-0000-0000-00001CAA0000}"/>
    <cellStyle name="Migliaia 20 2 2 3" xfId="3398" xr:uid="{00000000-0005-0000-0000-00001DAA0000}"/>
    <cellStyle name="Migliaia 20 2 2 3 2" xfId="35848" xr:uid="{00000000-0005-0000-0000-00001EAA0000}"/>
    <cellStyle name="Migliaia 20 2 2 3 3" xfId="50804" xr:uid="{00000000-0005-0000-0000-00001FAA0000}"/>
    <cellStyle name="Migliaia 20 2 2 3 4" xfId="20415" xr:uid="{00000000-0005-0000-0000-000020AA0000}"/>
    <cellStyle name="Migliaia 20 2 2 4" xfId="21524" xr:uid="{00000000-0005-0000-0000-000021AA0000}"/>
    <cellStyle name="Migliaia 20 2 2 5" xfId="36491" xr:uid="{00000000-0005-0000-0000-000022AA0000}"/>
    <cellStyle name="Migliaia 20 2 2 6" xfId="51429" xr:uid="{00000000-0005-0000-0000-000023AA0000}"/>
    <cellStyle name="Migliaia 20 2 2 7" xfId="51834" xr:uid="{00000000-0005-0000-0000-000024AA0000}"/>
    <cellStyle name="Migliaia 20 2 2 8" xfId="52243" xr:uid="{00000000-0005-0000-0000-000025AA0000}"/>
    <cellStyle name="Migliaia 20 2 2 9" xfId="52648" xr:uid="{00000000-0005-0000-0000-000026AA0000}"/>
    <cellStyle name="Migliaia 20 2 3" xfId="2820" xr:uid="{00000000-0005-0000-0000-000027AA0000}"/>
    <cellStyle name="Migliaia 20 2 3 2" xfId="11363" xr:uid="{00000000-0005-0000-0000-000028AA0000}"/>
    <cellStyle name="Migliaia 20 2 4" xfId="3189" xr:uid="{00000000-0005-0000-0000-000029AA0000}"/>
    <cellStyle name="Migliaia 20 2 4 2" xfId="28290" xr:uid="{00000000-0005-0000-0000-00002AAA0000}"/>
    <cellStyle name="Migliaia 20 2 4 3" xfId="43263" xr:uid="{00000000-0005-0000-0000-00002BAA0000}"/>
    <cellStyle name="Migliaia 20 2 4 4" xfId="12008" xr:uid="{00000000-0005-0000-0000-00002CAA0000}"/>
    <cellStyle name="Migliaia 20 2 5" xfId="19252" xr:uid="{00000000-0005-0000-0000-00002DAA0000}"/>
    <cellStyle name="Migliaia 20 2 5 2" xfId="35333" xr:uid="{00000000-0005-0000-0000-00002EAA0000}"/>
    <cellStyle name="Migliaia 20 2 5 3" xfId="50289" xr:uid="{00000000-0005-0000-0000-00002FAA0000}"/>
    <cellStyle name="Migliaia 20 2 6" xfId="21293" xr:uid="{00000000-0005-0000-0000-000030AA0000}"/>
    <cellStyle name="Migliaia 20 2 7" xfId="36264" xr:uid="{00000000-0005-0000-0000-000031AA0000}"/>
    <cellStyle name="Migliaia 20 2 8" xfId="51201" xr:uid="{00000000-0005-0000-0000-000032AA0000}"/>
    <cellStyle name="Migliaia 20 2 9" xfId="51595" xr:uid="{00000000-0005-0000-0000-000033AA0000}"/>
    <cellStyle name="Migliaia 20 3" xfId="1240" xr:uid="{00000000-0005-0000-0000-000034AA0000}"/>
    <cellStyle name="Migliaia 20 3 10" xfId="52002" xr:uid="{00000000-0005-0000-0000-000035AA0000}"/>
    <cellStyle name="Migliaia 20 3 11" xfId="52410" xr:uid="{00000000-0005-0000-0000-000036AA0000}"/>
    <cellStyle name="Migliaia 20 3 12" xfId="3559" xr:uid="{00000000-0005-0000-0000-000037AA0000}"/>
    <cellStyle name="Migliaia 20 3 2" xfId="1241" xr:uid="{00000000-0005-0000-0000-000038AA0000}"/>
    <cellStyle name="Migliaia 20 3 2 10" xfId="52411" xr:uid="{00000000-0005-0000-0000-000039AA0000}"/>
    <cellStyle name="Migliaia 20 3 2 11" xfId="3560" xr:uid="{00000000-0005-0000-0000-00003AAA0000}"/>
    <cellStyle name="Migliaia 20 3 2 2" xfId="2822" xr:uid="{00000000-0005-0000-0000-00003BAA0000}"/>
    <cellStyle name="Migliaia 20 3 2 2 2" xfId="11365" xr:uid="{00000000-0005-0000-0000-00003CAA0000}"/>
    <cellStyle name="Migliaia 20 3 2 3" xfId="3191" xr:uid="{00000000-0005-0000-0000-00003DAA0000}"/>
    <cellStyle name="Migliaia 20 3 2 3 2" xfId="28292" xr:uid="{00000000-0005-0000-0000-00003EAA0000}"/>
    <cellStyle name="Migliaia 20 3 2 3 3" xfId="43265" xr:uid="{00000000-0005-0000-0000-00003FAA0000}"/>
    <cellStyle name="Migliaia 20 3 2 3 4" xfId="12010" xr:uid="{00000000-0005-0000-0000-000040AA0000}"/>
    <cellStyle name="Migliaia 20 3 2 4" xfId="19254" xr:uid="{00000000-0005-0000-0000-000041AA0000}"/>
    <cellStyle name="Migliaia 20 3 2 4 2" xfId="35335" xr:uid="{00000000-0005-0000-0000-000042AA0000}"/>
    <cellStyle name="Migliaia 20 3 2 4 3" xfId="50291" xr:uid="{00000000-0005-0000-0000-000043AA0000}"/>
    <cellStyle name="Migliaia 20 3 2 5" xfId="21295" xr:uid="{00000000-0005-0000-0000-000044AA0000}"/>
    <cellStyle name="Migliaia 20 3 2 6" xfId="36266" xr:uid="{00000000-0005-0000-0000-000045AA0000}"/>
    <cellStyle name="Migliaia 20 3 2 7" xfId="51203" xr:uid="{00000000-0005-0000-0000-000046AA0000}"/>
    <cellStyle name="Migliaia 20 3 2 8" xfId="51597" xr:uid="{00000000-0005-0000-0000-000047AA0000}"/>
    <cellStyle name="Migliaia 20 3 2 9" xfId="52003" xr:uid="{00000000-0005-0000-0000-000048AA0000}"/>
    <cellStyle name="Migliaia 20 3 3" xfId="2821" xr:uid="{00000000-0005-0000-0000-000049AA0000}"/>
    <cellStyle name="Migliaia 20 3 3 2" xfId="20417" xr:uid="{00000000-0005-0000-0000-00004AAA0000}"/>
    <cellStyle name="Migliaia 20 3 3 2 2" xfId="35850" xr:uid="{00000000-0005-0000-0000-00004BAA0000}"/>
    <cellStyle name="Migliaia 20 3 3 2 3" xfId="50806" xr:uid="{00000000-0005-0000-0000-00004CAA0000}"/>
    <cellStyle name="Migliaia 20 3 3 3" xfId="19255" xr:uid="{00000000-0005-0000-0000-00004DAA0000}"/>
    <cellStyle name="Migliaia 20 3 3 3 2" xfId="35336" xr:uid="{00000000-0005-0000-0000-00004EAA0000}"/>
    <cellStyle name="Migliaia 20 3 3 3 3" xfId="50292" xr:uid="{00000000-0005-0000-0000-00004FAA0000}"/>
    <cellStyle name="Migliaia 20 3 3 4" xfId="11364" xr:uid="{00000000-0005-0000-0000-000050AA0000}"/>
    <cellStyle name="Migliaia 20 3 4" xfId="3190" xr:uid="{00000000-0005-0000-0000-000051AA0000}"/>
    <cellStyle name="Migliaia 20 3 4 2" xfId="20416" xr:uid="{00000000-0005-0000-0000-000052AA0000}"/>
    <cellStyle name="Migliaia 20 3 4 2 2" xfId="35849" xr:uid="{00000000-0005-0000-0000-000053AA0000}"/>
    <cellStyle name="Migliaia 20 3 4 2 3" xfId="50805" xr:uid="{00000000-0005-0000-0000-000054AA0000}"/>
    <cellStyle name="Migliaia 20 3 4 3" xfId="28291" xr:uid="{00000000-0005-0000-0000-000055AA0000}"/>
    <cellStyle name="Migliaia 20 3 4 4" xfId="43264" xr:uid="{00000000-0005-0000-0000-000056AA0000}"/>
    <cellStyle name="Migliaia 20 3 4 5" xfId="12009" xr:uid="{00000000-0005-0000-0000-000057AA0000}"/>
    <cellStyle name="Migliaia 20 3 5" xfId="19253" xr:uid="{00000000-0005-0000-0000-000058AA0000}"/>
    <cellStyle name="Migliaia 20 3 5 2" xfId="35334" xr:uid="{00000000-0005-0000-0000-000059AA0000}"/>
    <cellStyle name="Migliaia 20 3 5 3" xfId="50290" xr:uid="{00000000-0005-0000-0000-00005AAA0000}"/>
    <cellStyle name="Migliaia 20 3 6" xfId="21294" xr:uid="{00000000-0005-0000-0000-00005BAA0000}"/>
    <cellStyle name="Migliaia 20 3 7" xfId="36265" xr:uid="{00000000-0005-0000-0000-00005CAA0000}"/>
    <cellStyle name="Migliaia 20 3 8" xfId="51202" xr:uid="{00000000-0005-0000-0000-00005DAA0000}"/>
    <cellStyle name="Migliaia 20 3 9" xfId="51596" xr:uid="{00000000-0005-0000-0000-00005EAA0000}"/>
    <cellStyle name="Migliaia 20 4" xfId="2819" xr:uid="{00000000-0005-0000-0000-00005FAA0000}"/>
    <cellStyle name="Migliaia 20 4 2" xfId="19257" xr:uid="{00000000-0005-0000-0000-000060AA0000}"/>
    <cellStyle name="Migliaia 20 4 2 2" xfId="20419" xr:uid="{00000000-0005-0000-0000-000061AA0000}"/>
    <cellStyle name="Migliaia 20 4 2 2 2" xfId="35852" xr:uid="{00000000-0005-0000-0000-000062AA0000}"/>
    <cellStyle name="Migliaia 20 4 2 2 3" xfId="50808" xr:uid="{00000000-0005-0000-0000-000063AA0000}"/>
    <cellStyle name="Migliaia 20 4 2 3" xfId="35338" xr:uid="{00000000-0005-0000-0000-000064AA0000}"/>
    <cellStyle name="Migliaia 20 4 2 4" xfId="50294" xr:uid="{00000000-0005-0000-0000-000065AA0000}"/>
    <cellStyle name="Migliaia 20 4 3" xfId="20418" xr:uid="{00000000-0005-0000-0000-000066AA0000}"/>
    <cellStyle name="Migliaia 20 4 3 2" xfId="35851" xr:uid="{00000000-0005-0000-0000-000067AA0000}"/>
    <cellStyle name="Migliaia 20 4 3 3" xfId="50807" xr:uid="{00000000-0005-0000-0000-000068AA0000}"/>
    <cellStyle name="Migliaia 20 4 4" xfId="19256" xr:uid="{00000000-0005-0000-0000-000069AA0000}"/>
    <cellStyle name="Migliaia 20 4 4 2" xfId="35337" xr:uid="{00000000-0005-0000-0000-00006AAA0000}"/>
    <cellStyle name="Migliaia 20 4 4 3" xfId="50293" xr:uid="{00000000-0005-0000-0000-00006BAA0000}"/>
    <cellStyle name="Migliaia 20 4 5" xfId="11366" xr:uid="{00000000-0005-0000-0000-00006CAA0000}"/>
    <cellStyle name="Migliaia 20 5" xfId="3188" xr:uid="{00000000-0005-0000-0000-00006DAA0000}"/>
    <cellStyle name="Migliaia 20 5 2" xfId="19258" xr:uid="{00000000-0005-0000-0000-00006EAA0000}"/>
    <cellStyle name="Migliaia 20 5 2 2" xfId="35339" xr:uid="{00000000-0005-0000-0000-00006FAA0000}"/>
    <cellStyle name="Migliaia 20 5 2 3" xfId="50295" xr:uid="{00000000-0005-0000-0000-000070AA0000}"/>
    <cellStyle name="Migliaia 20 5 3" xfId="11367" xr:uid="{00000000-0005-0000-0000-000071AA0000}"/>
    <cellStyle name="Migliaia 20 6" xfId="11362" xr:uid="{00000000-0005-0000-0000-000072AA0000}"/>
    <cellStyle name="Migliaia 20 7" xfId="12007" xr:uid="{00000000-0005-0000-0000-000073AA0000}"/>
    <cellStyle name="Migliaia 20 7 2" xfId="28289" xr:uid="{00000000-0005-0000-0000-000074AA0000}"/>
    <cellStyle name="Migliaia 20 7 3" xfId="43262" xr:uid="{00000000-0005-0000-0000-000075AA0000}"/>
    <cellStyle name="Migliaia 20 8" xfId="19251" xr:uid="{00000000-0005-0000-0000-000076AA0000}"/>
    <cellStyle name="Migliaia 20 8 2" xfId="35332" xr:uid="{00000000-0005-0000-0000-000077AA0000}"/>
    <cellStyle name="Migliaia 20 8 3" xfId="50288" xr:uid="{00000000-0005-0000-0000-000078AA0000}"/>
    <cellStyle name="Migliaia 20 9" xfId="21292" xr:uid="{00000000-0005-0000-0000-000079AA0000}"/>
    <cellStyle name="Migliaia 21" xfId="1242" xr:uid="{00000000-0005-0000-0000-00007AAA0000}"/>
    <cellStyle name="Migliaia 21 10" xfId="36267" xr:uid="{00000000-0005-0000-0000-00007BAA0000}"/>
    <cellStyle name="Migliaia 21 11" xfId="51204" xr:uid="{00000000-0005-0000-0000-00007CAA0000}"/>
    <cellStyle name="Migliaia 21 12" xfId="51598" xr:uid="{00000000-0005-0000-0000-00007DAA0000}"/>
    <cellStyle name="Migliaia 21 13" xfId="52004" xr:uid="{00000000-0005-0000-0000-00007EAA0000}"/>
    <cellStyle name="Migliaia 21 14" xfId="52412" xr:uid="{00000000-0005-0000-0000-00007FAA0000}"/>
    <cellStyle name="Migliaia 21 15" xfId="3561" xr:uid="{00000000-0005-0000-0000-000080AA0000}"/>
    <cellStyle name="Migliaia 21 2" xfId="1243" xr:uid="{00000000-0005-0000-0000-000081AA0000}"/>
    <cellStyle name="Migliaia 21 2 10" xfId="52005" xr:uid="{00000000-0005-0000-0000-000082AA0000}"/>
    <cellStyle name="Migliaia 21 2 11" xfId="52413" xr:uid="{00000000-0005-0000-0000-000083AA0000}"/>
    <cellStyle name="Migliaia 21 2 12" xfId="3562" xr:uid="{00000000-0005-0000-0000-000084AA0000}"/>
    <cellStyle name="Migliaia 21 2 2" xfId="1244" xr:uid="{00000000-0005-0000-0000-000085AA0000}"/>
    <cellStyle name="Migliaia 21 2 2 10" xfId="3768" xr:uid="{00000000-0005-0000-0000-000086AA0000}"/>
    <cellStyle name="Migliaia 21 2 2 2" xfId="3030" xr:uid="{00000000-0005-0000-0000-000087AA0000}"/>
    <cellStyle name="Migliaia 21 2 2 2 2" xfId="28525" xr:uid="{00000000-0005-0000-0000-000088AA0000}"/>
    <cellStyle name="Migliaia 21 2 2 2 3" xfId="43488" xr:uid="{00000000-0005-0000-0000-000089AA0000}"/>
    <cellStyle name="Migliaia 21 2 2 2 4" xfId="12247" xr:uid="{00000000-0005-0000-0000-00008AAA0000}"/>
    <cellStyle name="Migliaia 21 2 2 3" xfId="3399" xr:uid="{00000000-0005-0000-0000-00008BAA0000}"/>
    <cellStyle name="Migliaia 21 2 2 3 2" xfId="35853" xr:uid="{00000000-0005-0000-0000-00008CAA0000}"/>
    <cellStyle name="Migliaia 21 2 2 3 3" xfId="50809" xr:uid="{00000000-0005-0000-0000-00008DAA0000}"/>
    <cellStyle name="Migliaia 21 2 2 3 4" xfId="20420" xr:uid="{00000000-0005-0000-0000-00008EAA0000}"/>
    <cellStyle name="Migliaia 21 2 2 4" xfId="21525" xr:uid="{00000000-0005-0000-0000-00008FAA0000}"/>
    <cellStyle name="Migliaia 21 2 2 5" xfId="36492" xr:uid="{00000000-0005-0000-0000-000090AA0000}"/>
    <cellStyle name="Migliaia 21 2 2 6" xfId="51430" xr:uid="{00000000-0005-0000-0000-000091AA0000}"/>
    <cellStyle name="Migliaia 21 2 2 7" xfId="51835" xr:uid="{00000000-0005-0000-0000-000092AA0000}"/>
    <cellStyle name="Migliaia 21 2 2 8" xfId="52244" xr:uid="{00000000-0005-0000-0000-000093AA0000}"/>
    <cellStyle name="Migliaia 21 2 2 9" xfId="52649" xr:uid="{00000000-0005-0000-0000-000094AA0000}"/>
    <cellStyle name="Migliaia 21 2 3" xfId="2824" xr:uid="{00000000-0005-0000-0000-000095AA0000}"/>
    <cellStyle name="Migliaia 21 2 3 2" xfId="11369" xr:uid="{00000000-0005-0000-0000-000096AA0000}"/>
    <cellStyle name="Migliaia 21 2 4" xfId="3193" xr:uid="{00000000-0005-0000-0000-000097AA0000}"/>
    <cellStyle name="Migliaia 21 2 4 2" xfId="28294" xr:uid="{00000000-0005-0000-0000-000098AA0000}"/>
    <cellStyle name="Migliaia 21 2 4 3" xfId="43267" xr:uid="{00000000-0005-0000-0000-000099AA0000}"/>
    <cellStyle name="Migliaia 21 2 4 4" xfId="12012" xr:uid="{00000000-0005-0000-0000-00009AAA0000}"/>
    <cellStyle name="Migliaia 21 2 5" xfId="19260" xr:uid="{00000000-0005-0000-0000-00009BAA0000}"/>
    <cellStyle name="Migliaia 21 2 5 2" xfId="35341" xr:uid="{00000000-0005-0000-0000-00009CAA0000}"/>
    <cellStyle name="Migliaia 21 2 5 3" xfId="50297" xr:uid="{00000000-0005-0000-0000-00009DAA0000}"/>
    <cellStyle name="Migliaia 21 2 6" xfId="21297" xr:uid="{00000000-0005-0000-0000-00009EAA0000}"/>
    <cellStyle name="Migliaia 21 2 7" xfId="36268" xr:uid="{00000000-0005-0000-0000-00009FAA0000}"/>
    <cellStyle name="Migliaia 21 2 8" xfId="51205" xr:uid="{00000000-0005-0000-0000-0000A0AA0000}"/>
    <cellStyle name="Migliaia 21 2 9" xfId="51599" xr:uid="{00000000-0005-0000-0000-0000A1AA0000}"/>
    <cellStyle name="Migliaia 21 3" xfId="1245" xr:uid="{00000000-0005-0000-0000-0000A2AA0000}"/>
    <cellStyle name="Migliaia 21 3 10" xfId="52006" xr:uid="{00000000-0005-0000-0000-0000A3AA0000}"/>
    <cellStyle name="Migliaia 21 3 11" xfId="52414" xr:uid="{00000000-0005-0000-0000-0000A4AA0000}"/>
    <cellStyle name="Migliaia 21 3 12" xfId="3563" xr:uid="{00000000-0005-0000-0000-0000A5AA0000}"/>
    <cellStyle name="Migliaia 21 3 2" xfId="1246" xr:uid="{00000000-0005-0000-0000-0000A6AA0000}"/>
    <cellStyle name="Migliaia 21 3 2 10" xfId="52415" xr:uid="{00000000-0005-0000-0000-0000A7AA0000}"/>
    <cellStyle name="Migliaia 21 3 2 11" xfId="3564" xr:uid="{00000000-0005-0000-0000-0000A8AA0000}"/>
    <cellStyle name="Migliaia 21 3 2 2" xfId="2826" xr:uid="{00000000-0005-0000-0000-0000A9AA0000}"/>
    <cellStyle name="Migliaia 21 3 2 2 2" xfId="11371" xr:uid="{00000000-0005-0000-0000-0000AAAA0000}"/>
    <cellStyle name="Migliaia 21 3 2 3" xfId="3195" xr:uid="{00000000-0005-0000-0000-0000ABAA0000}"/>
    <cellStyle name="Migliaia 21 3 2 3 2" xfId="28296" xr:uid="{00000000-0005-0000-0000-0000ACAA0000}"/>
    <cellStyle name="Migliaia 21 3 2 3 3" xfId="43269" xr:uid="{00000000-0005-0000-0000-0000ADAA0000}"/>
    <cellStyle name="Migliaia 21 3 2 3 4" xfId="12014" xr:uid="{00000000-0005-0000-0000-0000AEAA0000}"/>
    <cellStyle name="Migliaia 21 3 2 4" xfId="19262" xr:uid="{00000000-0005-0000-0000-0000AFAA0000}"/>
    <cellStyle name="Migliaia 21 3 2 4 2" xfId="35343" xr:uid="{00000000-0005-0000-0000-0000B0AA0000}"/>
    <cellStyle name="Migliaia 21 3 2 4 3" xfId="50299" xr:uid="{00000000-0005-0000-0000-0000B1AA0000}"/>
    <cellStyle name="Migliaia 21 3 2 5" xfId="21299" xr:uid="{00000000-0005-0000-0000-0000B2AA0000}"/>
    <cellStyle name="Migliaia 21 3 2 6" xfId="36270" xr:uid="{00000000-0005-0000-0000-0000B3AA0000}"/>
    <cellStyle name="Migliaia 21 3 2 7" xfId="51207" xr:uid="{00000000-0005-0000-0000-0000B4AA0000}"/>
    <cellStyle name="Migliaia 21 3 2 8" xfId="51601" xr:uid="{00000000-0005-0000-0000-0000B5AA0000}"/>
    <cellStyle name="Migliaia 21 3 2 9" xfId="52007" xr:uid="{00000000-0005-0000-0000-0000B6AA0000}"/>
    <cellStyle name="Migliaia 21 3 3" xfId="2825" xr:uid="{00000000-0005-0000-0000-0000B7AA0000}"/>
    <cellStyle name="Migliaia 21 3 3 2" xfId="20422" xr:uid="{00000000-0005-0000-0000-0000B8AA0000}"/>
    <cellStyle name="Migliaia 21 3 3 2 2" xfId="35855" xr:uid="{00000000-0005-0000-0000-0000B9AA0000}"/>
    <cellStyle name="Migliaia 21 3 3 2 3" xfId="50811" xr:uid="{00000000-0005-0000-0000-0000BAAA0000}"/>
    <cellStyle name="Migliaia 21 3 3 3" xfId="19263" xr:uid="{00000000-0005-0000-0000-0000BBAA0000}"/>
    <cellStyle name="Migliaia 21 3 3 3 2" xfId="35344" xr:uid="{00000000-0005-0000-0000-0000BCAA0000}"/>
    <cellStyle name="Migliaia 21 3 3 3 3" xfId="50300" xr:uid="{00000000-0005-0000-0000-0000BDAA0000}"/>
    <cellStyle name="Migliaia 21 3 3 4" xfId="11370" xr:uid="{00000000-0005-0000-0000-0000BEAA0000}"/>
    <cellStyle name="Migliaia 21 3 4" xfId="3194" xr:uid="{00000000-0005-0000-0000-0000BFAA0000}"/>
    <cellStyle name="Migliaia 21 3 4 2" xfId="20421" xr:uid="{00000000-0005-0000-0000-0000C0AA0000}"/>
    <cellStyle name="Migliaia 21 3 4 2 2" xfId="35854" xr:uid="{00000000-0005-0000-0000-0000C1AA0000}"/>
    <cellStyle name="Migliaia 21 3 4 2 3" xfId="50810" xr:uid="{00000000-0005-0000-0000-0000C2AA0000}"/>
    <cellStyle name="Migliaia 21 3 4 3" xfId="28295" xr:uid="{00000000-0005-0000-0000-0000C3AA0000}"/>
    <cellStyle name="Migliaia 21 3 4 4" xfId="43268" xr:uid="{00000000-0005-0000-0000-0000C4AA0000}"/>
    <cellStyle name="Migliaia 21 3 4 5" xfId="12013" xr:uid="{00000000-0005-0000-0000-0000C5AA0000}"/>
    <cellStyle name="Migliaia 21 3 5" xfId="19261" xr:uid="{00000000-0005-0000-0000-0000C6AA0000}"/>
    <cellStyle name="Migliaia 21 3 5 2" xfId="35342" xr:uid="{00000000-0005-0000-0000-0000C7AA0000}"/>
    <cellStyle name="Migliaia 21 3 5 3" xfId="50298" xr:uid="{00000000-0005-0000-0000-0000C8AA0000}"/>
    <cellStyle name="Migliaia 21 3 6" xfId="21298" xr:uid="{00000000-0005-0000-0000-0000C9AA0000}"/>
    <cellStyle name="Migliaia 21 3 7" xfId="36269" xr:uid="{00000000-0005-0000-0000-0000CAAA0000}"/>
    <cellStyle name="Migliaia 21 3 8" xfId="51206" xr:uid="{00000000-0005-0000-0000-0000CBAA0000}"/>
    <cellStyle name="Migliaia 21 3 9" xfId="51600" xr:uid="{00000000-0005-0000-0000-0000CCAA0000}"/>
    <cellStyle name="Migliaia 21 4" xfId="2823" xr:uid="{00000000-0005-0000-0000-0000CDAA0000}"/>
    <cellStyle name="Migliaia 21 4 2" xfId="19265" xr:uid="{00000000-0005-0000-0000-0000CEAA0000}"/>
    <cellStyle name="Migliaia 21 4 2 2" xfId="20424" xr:uid="{00000000-0005-0000-0000-0000CFAA0000}"/>
    <cellStyle name="Migliaia 21 4 2 2 2" xfId="35857" xr:uid="{00000000-0005-0000-0000-0000D0AA0000}"/>
    <cellStyle name="Migliaia 21 4 2 2 3" xfId="50813" xr:uid="{00000000-0005-0000-0000-0000D1AA0000}"/>
    <cellStyle name="Migliaia 21 4 2 3" xfId="35346" xr:uid="{00000000-0005-0000-0000-0000D2AA0000}"/>
    <cellStyle name="Migliaia 21 4 2 4" xfId="50302" xr:uid="{00000000-0005-0000-0000-0000D3AA0000}"/>
    <cellStyle name="Migliaia 21 4 3" xfId="20423" xr:uid="{00000000-0005-0000-0000-0000D4AA0000}"/>
    <cellStyle name="Migliaia 21 4 3 2" xfId="35856" xr:uid="{00000000-0005-0000-0000-0000D5AA0000}"/>
    <cellStyle name="Migliaia 21 4 3 3" xfId="50812" xr:uid="{00000000-0005-0000-0000-0000D6AA0000}"/>
    <cellStyle name="Migliaia 21 4 4" xfId="19264" xr:uid="{00000000-0005-0000-0000-0000D7AA0000}"/>
    <cellStyle name="Migliaia 21 4 4 2" xfId="35345" xr:uid="{00000000-0005-0000-0000-0000D8AA0000}"/>
    <cellStyle name="Migliaia 21 4 4 3" xfId="50301" xr:uid="{00000000-0005-0000-0000-0000D9AA0000}"/>
    <cellStyle name="Migliaia 21 4 5" xfId="11372" xr:uid="{00000000-0005-0000-0000-0000DAAA0000}"/>
    <cellStyle name="Migliaia 21 5" xfId="3192" xr:uid="{00000000-0005-0000-0000-0000DBAA0000}"/>
    <cellStyle name="Migliaia 21 5 2" xfId="19266" xr:uid="{00000000-0005-0000-0000-0000DCAA0000}"/>
    <cellStyle name="Migliaia 21 5 2 2" xfId="35347" xr:uid="{00000000-0005-0000-0000-0000DDAA0000}"/>
    <cellStyle name="Migliaia 21 5 2 3" xfId="50303" xr:uid="{00000000-0005-0000-0000-0000DEAA0000}"/>
    <cellStyle name="Migliaia 21 5 3" xfId="11373" xr:uid="{00000000-0005-0000-0000-0000DFAA0000}"/>
    <cellStyle name="Migliaia 21 6" xfId="11368" xr:uid="{00000000-0005-0000-0000-0000E0AA0000}"/>
    <cellStyle name="Migliaia 21 7" xfId="12011" xr:uid="{00000000-0005-0000-0000-0000E1AA0000}"/>
    <cellStyle name="Migliaia 21 7 2" xfId="28293" xr:uid="{00000000-0005-0000-0000-0000E2AA0000}"/>
    <cellStyle name="Migliaia 21 7 3" xfId="43266" xr:uid="{00000000-0005-0000-0000-0000E3AA0000}"/>
    <cellStyle name="Migliaia 21 8" xfId="19259" xr:uid="{00000000-0005-0000-0000-0000E4AA0000}"/>
    <cellStyle name="Migliaia 21 8 2" xfId="35340" xr:uid="{00000000-0005-0000-0000-0000E5AA0000}"/>
    <cellStyle name="Migliaia 21 8 3" xfId="50296" xr:uid="{00000000-0005-0000-0000-0000E6AA0000}"/>
    <cellStyle name="Migliaia 21 9" xfId="21296" xr:uid="{00000000-0005-0000-0000-0000E7AA0000}"/>
    <cellStyle name="Migliaia 22" xfId="1247" xr:uid="{00000000-0005-0000-0000-0000E8AA0000}"/>
    <cellStyle name="Migliaia 22 10" xfId="36271" xr:uid="{00000000-0005-0000-0000-0000E9AA0000}"/>
    <cellStyle name="Migliaia 22 11" xfId="51208" xr:uid="{00000000-0005-0000-0000-0000EAAA0000}"/>
    <cellStyle name="Migliaia 22 12" xfId="51602" xr:uid="{00000000-0005-0000-0000-0000EBAA0000}"/>
    <cellStyle name="Migliaia 22 13" xfId="52008" xr:uid="{00000000-0005-0000-0000-0000ECAA0000}"/>
    <cellStyle name="Migliaia 22 14" xfId="52416" xr:uid="{00000000-0005-0000-0000-0000EDAA0000}"/>
    <cellStyle name="Migliaia 22 15" xfId="3565" xr:uid="{00000000-0005-0000-0000-0000EEAA0000}"/>
    <cellStyle name="Migliaia 22 2" xfId="1248" xr:uid="{00000000-0005-0000-0000-0000EFAA0000}"/>
    <cellStyle name="Migliaia 22 2 10" xfId="52009" xr:uid="{00000000-0005-0000-0000-0000F0AA0000}"/>
    <cellStyle name="Migliaia 22 2 11" xfId="52417" xr:uid="{00000000-0005-0000-0000-0000F1AA0000}"/>
    <cellStyle name="Migliaia 22 2 12" xfId="3566" xr:uid="{00000000-0005-0000-0000-0000F2AA0000}"/>
    <cellStyle name="Migliaia 22 2 2" xfId="1249" xr:uid="{00000000-0005-0000-0000-0000F3AA0000}"/>
    <cellStyle name="Migliaia 22 2 2 10" xfId="3769" xr:uid="{00000000-0005-0000-0000-0000F4AA0000}"/>
    <cellStyle name="Migliaia 22 2 2 2" xfId="3031" xr:uid="{00000000-0005-0000-0000-0000F5AA0000}"/>
    <cellStyle name="Migliaia 22 2 2 2 2" xfId="28526" xr:uid="{00000000-0005-0000-0000-0000F6AA0000}"/>
    <cellStyle name="Migliaia 22 2 2 2 3" xfId="43489" xr:uid="{00000000-0005-0000-0000-0000F7AA0000}"/>
    <cellStyle name="Migliaia 22 2 2 2 4" xfId="12248" xr:uid="{00000000-0005-0000-0000-0000F8AA0000}"/>
    <cellStyle name="Migliaia 22 2 2 3" xfId="3400" xr:uid="{00000000-0005-0000-0000-0000F9AA0000}"/>
    <cellStyle name="Migliaia 22 2 2 3 2" xfId="35858" xr:uid="{00000000-0005-0000-0000-0000FAAA0000}"/>
    <cellStyle name="Migliaia 22 2 2 3 3" xfId="50814" xr:uid="{00000000-0005-0000-0000-0000FBAA0000}"/>
    <cellStyle name="Migliaia 22 2 2 3 4" xfId="20425" xr:uid="{00000000-0005-0000-0000-0000FCAA0000}"/>
    <cellStyle name="Migliaia 22 2 2 4" xfId="21526" xr:uid="{00000000-0005-0000-0000-0000FDAA0000}"/>
    <cellStyle name="Migliaia 22 2 2 5" xfId="36493" xr:uid="{00000000-0005-0000-0000-0000FEAA0000}"/>
    <cellStyle name="Migliaia 22 2 2 6" xfId="51431" xr:uid="{00000000-0005-0000-0000-0000FFAA0000}"/>
    <cellStyle name="Migliaia 22 2 2 7" xfId="51836" xr:uid="{00000000-0005-0000-0000-000000AB0000}"/>
    <cellStyle name="Migliaia 22 2 2 8" xfId="52245" xr:uid="{00000000-0005-0000-0000-000001AB0000}"/>
    <cellStyle name="Migliaia 22 2 2 9" xfId="52650" xr:uid="{00000000-0005-0000-0000-000002AB0000}"/>
    <cellStyle name="Migliaia 22 2 3" xfId="2828" xr:uid="{00000000-0005-0000-0000-000003AB0000}"/>
    <cellStyle name="Migliaia 22 2 3 2" xfId="11375" xr:uid="{00000000-0005-0000-0000-000004AB0000}"/>
    <cellStyle name="Migliaia 22 2 4" xfId="3197" xr:uid="{00000000-0005-0000-0000-000005AB0000}"/>
    <cellStyle name="Migliaia 22 2 4 2" xfId="28298" xr:uid="{00000000-0005-0000-0000-000006AB0000}"/>
    <cellStyle name="Migliaia 22 2 4 3" xfId="43271" xr:uid="{00000000-0005-0000-0000-000007AB0000}"/>
    <cellStyle name="Migliaia 22 2 4 4" xfId="12016" xr:uid="{00000000-0005-0000-0000-000008AB0000}"/>
    <cellStyle name="Migliaia 22 2 5" xfId="19268" xr:uid="{00000000-0005-0000-0000-000009AB0000}"/>
    <cellStyle name="Migliaia 22 2 5 2" xfId="35349" xr:uid="{00000000-0005-0000-0000-00000AAB0000}"/>
    <cellStyle name="Migliaia 22 2 5 3" xfId="50305" xr:uid="{00000000-0005-0000-0000-00000BAB0000}"/>
    <cellStyle name="Migliaia 22 2 6" xfId="21301" xr:uid="{00000000-0005-0000-0000-00000CAB0000}"/>
    <cellStyle name="Migliaia 22 2 7" xfId="36272" xr:uid="{00000000-0005-0000-0000-00000DAB0000}"/>
    <cellStyle name="Migliaia 22 2 8" xfId="51209" xr:uid="{00000000-0005-0000-0000-00000EAB0000}"/>
    <cellStyle name="Migliaia 22 2 9" xfId="51603" xr:uid="{00000000-0005-0000-0000-00000FAB0000}"/>
    <cellStyle name="Migliaia 22 3" xfId="1250" xr:uid="{00000000-0005-0000-0000-000010AB0000}"/>
    <cellStyle name="Migliaia 22 3 10" xfId="52010" xr:uid="{00000000-0005-0000-0000-000011AB0000}"/>
    <cellStyle name="Migliaia 22 3 11" xfId="52418" xr:uid="{00000000-0005-0000-0000-000012AB0000}"/>
    <cellStyle name="Migliaia 22 3 12" xfId="3567" xr:uid="{00000000-0005-0000-0000-000013AB0000}"/>
    <cellStyle name="Migliaia 22 3 2" xfId="1251" xr:uid="{00000000-0005-0000-0000-000014AB0000}"/>
    <cellStyle name="Migliaia 22 3 2 10" xfId="52419" xr:uid="{00000000-0005-0000-0000-000015AB0000}"/>
    <cellStyle name="Migliaia 22 3 2 11" xfId="3568" xr:uid="{00000000-0005-0000-0000-000016AB0000}"/>
    <cellStyle name="Migliaia 22 3 2 2" xfId="2830" xr:uid="{00000000-0005-0000-0000-000017AB0000}"/>
    <cellStyle name="Migliaia 22 3 2 2 2" xfId="11377" xr:uid="{00000000-0005-0000-0000-000018AB0000}"/>
    <cellStyle name="Migliaia 22 3 2 3" xfId="3199" xr:uid="{00000000-0005-0000-0000-000019AB0000}"/>
    <cellStyle name="Migliaia 22 3 2 3 2" xfId="28300" xr:uid="{00000000-0005-0000-0000-00001AAB0000}"/>
    <cellStyle name="Migliaia 22 3 2 3 3" xfId="43273" xr:uid="{00000000-0005-0000-0000-00001BAB0000}"/>
    <cellStyle name="Migliaia 22 3 2 3 4" xfId="12018" xr:uid="{00000000-0005-0000-0000-00001CAB0000}"/>
    <cellStyle name="Migliaia 22 3 2 4" xfId="19270" xr:uid="{00000000-0005-0000-0000-00001DAB0000}"/>
    <cellStyle name="Migliaia 22 3 2 4 2" xfId="35351" xr:uid="{00000000-0005-0000-0000-00001EAB0000}"/>
    <cellStyle name="Migliaia 22 3 2 4 3" xfId="50307" xr:uid="{00000000-0005-0000-0000-00001FAB0000}"/>
    <cellStyle name="Migliaia 22 3 2 5" xfId="21303" xr:uid="{00000000-0005-0000-0000-000020AB0000}"/>
    <cellStyle name="Migliaia 22 3 2 6" xfId="36274" xr:uid="{00000000-0005-0000-0000-000021AB0000}"/>
    <cellStyle name="Migliaia 22 3 2 7" xfId="51211" xr:uid="{00000000-0005-0000-0000-000022AB0000}"/>
    <cellStyle name="Migliaia 22 3 2 8" xfId="51605" xr:uid="{00000000-0005-0000-0000-000023AB0000}"/>
    <cellStyle name="Migliaia 22 3 2 9" xfId="52011" xr:uid="{00000000-0005-0000-0000-000024AB0000}"/>
    <cellStyle name="Migliaia 22 3 3" xfId="2829" xr:uid="{00000000-0005-0000-0000-000025AB0000}"/>
    <cellStyle name="Migliaia 22 3 3 2" xfId="20427" xr:uid="{00000000-0005-0000-0000-000026AB0000}"/>
    <cellStyle name="Migliaia 22 3 3 2 2" xfId="35860" xr:uid="{00000000-0005-0000-0000-000027AB0000}"/>
    <cellStyle name="Migliaia 22 3 3 2 3" xfId="50816" xr:uid="{00000000-0005-0000-0000-000028AB0000}"/>
    <cellStyle name="Migliaia 22 3 3 3" xfId="19271" xr:uid="{00000000-0005-0000-0000-000029AB0000}"/>
    <cellStyle name="Migliaia 22 3 3 3 2" xfId="35352" xr:uid="{00000000-0005-0000-0000-00002AAB0000}"/>
    <cellStyle name="Migliaia 22 3 3 3 3" xfId="50308" xr:uid="{00000000-0005-0000-0000-00002BAB0000}"/>
    <cellStyle name="Migliaia 22 3 3 4" xfId="11376" xr:uid="{00000000-0005-0000-0000-00002CAB0000}"/>
    <cellStyle name="Migliaia 22 3 4" xfId="3198" xr:uid="{00000000-0005-0000-0000-00002DAB0000}"/>
    <cellStyle name="Migliaia 22 3 4 2" xfId="20426" xr:uid="{00000000-0005-0000-0000-00002EAB0000}"/>
    <cellStyle name="Migliaia 22 3 4 2 2" xfId="35859" xr:uid="{00000000-0005-0000-0000-00002FAB0000}"/>
    <cellStyle name="Migliaia 22 3 4 2 3" xfId="50815" xr:uid="{00000000-0005-0000-0000-000030AB0000}"/>
    <cellStyle name="Migliaia 22 3 4 3" xfId="28299" xr:uid="{00000000-0005-0000-0000-000031AB0000}"/>
    <cellStyle name="Migliaia 22 3 4 4" xfId="43272" xr:uid="{00000000-0005-0000-0000-000032AB0000}"/>
    <cellStyle name="Migliaia 22 3 4 5" xfId="12017" xr:uid="{00000000-0005-0000-0000-000033AB0000}"/>
    <cellStyle name="Migliaia 22 3 5" xfId="19269" xr:uid="{00000000-0005-0000-0000-000034AB0000}"/>
    <cellStyle name="Migliaia 22 3 5 2" xfId="35350" xr:uid="{00000000-0005-0000-0000-000035AB0000}"/>
    <cellStyle name="Migliaia 22 3 5 3" xfId="50306" xr:uid="{00000000-0005-0000-0000-000036AB0000}"/>
    <cellStyle name="Migliaia 22 3 6" xfId="21302" xr:uid="{00000000-0005-0000-0000-000037AB0000}"/>
    <cellStyle name="Migliaia 22 3 7" xfId="36273" xr:uid="{00000000-0005-0000-0000-000038AB0000}"/>
    <cellStyle name="Migliaia 22 3 8" xfId="51210" xr:uid="{00000000-0005-0000-0000-000039AB0000}"/>
    <cellStyle name="Migliaia 22 3 9" xfId="51604" xr:uid="{00000000-0005-0000-0000-00003AAB0000}"/>
    <cellStyle name="Migliaia 22 4" xfId="2827" xr:uid="{00000000-0005-0000-0000-00003BAB0000}"/>
    <cellStyle name="Migliaia 22 4 2" xfId="19273" xr:uid="{00000000-0005-0000-0000-00003CAB0000}"/>
    <cellStyle name="Migliaia 22 4 2 2" xfId="20429" xr:uid="{00000000-0005-0000-0000-00003DAB0000}"/>
    <cellStyle name="Migliaia 22 4 2 2 2" xfId="35862" xr:uid="{00000000-0005-0000-0000-00003EAB0000}"/>
    <cellStyle name="Migliaia 22 4 2 2 3" xfId="50818" xr:uid="{00000000-0005-0000-0000-00003FAB0000}"/>
    <cellStyle name="Migliaia 22 4 2 3" xfId="35354" xr:uid="{00000000-0005-0000-0000-000040AB0000}"/>
    <cellStyle name="Migliaia 22 4 2 4" xfId="50310" xr:uid="{00000000-0005-0000-0000-000041AB0000}"/>
    <cellStyle name="Migliaia 22 4 3" xfId="20428" xr:uid="{00000000-0005-0000-0000-000042AB0000}"/>
    <cellStyle name="Migliaia 22 4 3 2" xfId="35861" xr:uid="{00000000-0005-0000-0000-000043AB0000}"/>
    <cellStyle name="Migliaia 22 4 3 3" xfId="50817" xr:uid="{00000000-0005-0000-0000-000044AB0000}"/>
    <cellStyle name="Migliaia 22 4 4" xfId="19272" xr:uid="{00000000-0005-0000-0000-000045AB0000}"/>
    <cellStyle name="Migliaia 22 4 4 2" xfId="35353" xr:uid="{00000000-0005-0000-0000-000046AB0000}"/>
    <cellStyle name="Migliaia 22 4 4 3" xfId="50309" xr:uid="{00000000-0005-0000-0000-000047AB0000}"/>
    <cellStyle name="Migliaia 22 4 5" xfId="11378" xr:uid="{00000000-0005-0000-0000-000048AB0000}"/>
    <cellStyle name="Migliaia 22 5" xfId="3196" xr:uid="{00000000-0005-0000-0000-000049AB0000}"/>
    <cellStyle name="Migliaia 22 5 2" xfId="19274" xr:uid="{00000000-0005-0000-0000-00004AAB0000}"/>
    <cellStyle name="Migliaia 22 5 2 2" xfId="35355" xr:uid="{00000000-0005-0000-0000-00004BAB0000}"/>
    <cellStyle name="Migliaia 22 5 2 3" xfId="50311" xr:uid="{00000000-0005-0000-0000-00004CAB0000}"/>
    <cellStyle name="Migliaia 22 5 3" xfId="11379" xr:uid="{00000000-0005-0000-0000-00004DAB0000}"/>
    <cellStyle name="Migliaia 22 6" xfId="11374" xr:uid="{00000000-0005-0000-0000-00004EAB0000}"/>
    <cellStyle name="Migliaia 22 7" xfId="12015" xr:uid="{00000000-0005-0000-0000-00004FAB0000}"/>
    <cellStyle name="Migliaia 22 7 2" xfId="28297" xr:uid="{00000000-0005-0000-0000-000050AB0000}"/>
    <cellStyle name="Migliaia 22 7 3" xfId="43270" xr:uid="{00000000-0005-0000-0000-000051AB0000}"/>
    <cellStyle name="Migliaia 22 8" xfId="19267" xr:uid="{00000000-0005-0000-0000-000052AB0000}"/>
    <cellStyle name="Migliaia 22 8 2" xfId="35348" xr:uid="{00000000-0005-0000-0000-000053AB0000}"/>
    <cellStyle name="Migliaia 22 8 3" xfId="50304" xr:uid="{00000000-0005-0000-0000-000054AB0000}"/>
    <cellStyle name="Migliaia 22 9" xfId="21300" xr:uid="{00000000-0005-0000-0000-000055AB0000}"/>
    <cellStyle name="Migliaia 23" xfId="1252" xr:uid="{00000000-0005-0000-0000-000056AB0000}"/>
    <cellStyle name="Migliaia 23 10" xfId="36275" xr:uid="{00000000-0005-0000-0000-000057AB0000}"/>
    <cellStyle name="Migliaia 23 11" xfId="51212" xr:uid="{00000000-0005-0000-0000-000058AB0000}"/>
    <cellStyle name="Migliaia 23 12" xfId="51606" xr:uid="{00000000-0005-0000-0000-000059AB0000}"/>
    <cellStyle name="Migliaia 23 13" xfId="52012" xr:uid="{00000000-0005-0000-0000-00005AAB0000}"/>
    <cellStyle name="Migliaia 23 14" xfId="52420" xr:uid="{00000000-0005-0000-0000-00005BAB0000}"/>
    <cellStyle name="Migliaia 23 15" xfId="3569" xr:uid="{00000000-0005-0000-0000-00005CAB0000}"/>
    <cellStyle name="Migliaia 23 2" xfId="1253" xr:uid="{00000000-0005-0000-0000-00005DAB0000}"/>
    <cellStyle name="Migliaia 23 2 10" xfId="52013" xr:uid="{00000000-0005-0000-0000-00005EAB0000}"/>
    <cellStyle name="Migliaia 23 2 11" xfId="52421" xr:uid="{00000000-0005-0000-0000-00005FAB0000}"/>
    <cellStyle name="Migliaia 23 2 12" xfId="3570" xr:uid="{00000000-0005-0000-0000-000060AB0000}"/>
    <cellStyle name="Migliaia 23 2 2" xfId="1254" xr:uid="{00000000-0005-0000-0000-000061AB0000}"/>
    <cellStyle name="Migliaia 23 2 2 10" xfId="3770" xr:uid="{00000000-0005-0000-0000-000062AB0000}"/>
    <cellStyle name="Migliaia 23 2 2 2" xfId="3032" xr:uid="{00000000-0005-0000-0000-000063AB0000}"/>
    <cellStyle name="Migliaia 23 2 2 2 2" xfId="28527" xr:uid="{00000000-0005-0000-0000-000064AB0000}"/>
    <cellStyle name="Migliaia 23 2 2 2 3" xfId="43490" xr:uid="{00000000-0005-0000-0000-000065AB0000}"/>
    <cellStyle name="Migliaia 23 2 2 2 4" xfId="12249" xr:uid="{00000000-0005-0000-0000-000066AB0000}"/>
    <cellStyle name="Migliaia 23 2 2 3" xfId="3401" xr:uid="{00000000-0005-0000-0000-000067AB0000}"/>
    <cellStyle name="Migliaia 23 2 2 3 2" xfId="35863" xr:uid="{00000000-0005-0000-0000-000068AB0000}"/>
    <cellStyle name="Migliaia 23 2 2 3 3" xfId="50819" xr:uid="{00000000-0005-0000-0000-000069AB0000}"/>
    <cellStyle name="Migliaia 23 2 2 3 4" xfId="20430" xr:uid="{00000000-0005-0000-0000-00006AAB0000}"/>
    <cellStyle name="Migliaia 23 2 2 4" xfId="21527" xr:uid="{00000000-0005-0000-0000-00006BAB0000}"/>
    <cellStyle name="Migliaia 23 2 2 5" xfId="36494" xr:uid="{00000000-0005-0000-0000-00006CAB0000}"/>
    <cellStyle name="Migliaia 23 2 2 6" xfId="51432" xr:uid="{00000000-0005-0000-0000-00006DAB0000}"/>
    <cellStyle name="Migliaia 23 2 2 7" xfId="51837" xr:uid="{00000000-0005-0000-0000-00006EAB0000}"/>
    <cellStyle name="Migliaia 23 2 2 8" xfId="52246" xr:uid="{00000000-0005-0000-0000-00006FAB0000}"/>
    <cellStyle name="Migliaia 23 2 2 9" xfId="52651" xr:uid="{00000000-0005-0000-0000-000070AB0000}"/>
    <cellStyle name="Migliaia 23 2 3" xfId="2832" xr:uid="{00000000-0005-0000-0000-000071AB0000}"/>
    <cellStyle name="Migliaia 23 2 3 2" xfId="11381" xr:uid="{00000000-0005-0000-0000-000072AB0000}"/>
    <cellStyle name="Migliaia 23 2 4" xfId="3201" xr:uid="{00000000-0005-0000-0000-000073AB0000}"/>
    <cellStyle name="Migliaia 23 2 4 2" xfId="28302" xr:uid="{00000000-0005-0000-0000-000074AB0000}"/>
    <cellStyle name="Migliaia 23 2 4 3" xfId="43275" xr:uid="{00000000-0005-0000-0000-000075AB0000}"/>
    <cellStyle name="Migliaia 23 2 4 4" xfId="12020" xr:uid="{00000000-0005-0000-0000-000076AB0000}"/>
    <cellStyle name="Migliaia 23 2 5" xfId="19276" xr:uid="{00000000-0005-0000-0000-000077AB0000}"/>
    <cellStyle name="Migliaia 23 2 5 2" xfId="35357" xr:uid="{00000000-0005-0000-0000-000078AB0000}"/>
    <cellStyle name="Migliaia 23 2 5 3" xfId="50313" xr:uid="{00000000-0005-0000-0000-000079AB0000}"/>
    <cellStyle name="Migliaia 23 2 6" xfId="21305" xr:uid="{00000000-0005-0000-0000-00007AAB0000}"/>
    <cellStyle name="Migliaia 23 2 7" xfId="36276" xr:uid="{00000000-0005-0000-0000-00007BAB0000}"/>
    <cellStyle name="Migliaia 23 2 8" xfId="51213" xr:uid="{00000000-0005-0000-0000-00007CAB0000}"/>
    <cellStyle name="Migliaia 23 2 9" xfId="51607" xr:uid="{00000000-0005-0000-0000-00007DAB0000}"/>
    <cellStyle name="Migliaia 23 3" xfId="1255" xr:uid="{00000000-0005-0000-0000-00007EAB0000}"/>
    <cellStyle name="Migliaia 23 3 10" xfId="52014" xr:uid="{00000000-0005-0000-0000-00007FAB0000}"/>
    <cellStyle name="Migliaia 23 3 11" xfId="52422" xr:uid="{00000000-0005-0000-0000-000080AB0000}"/>
    <cellStyle name="Migliaia 23 3 12" xfId="3571" xr:uid="{00000000-0005-0000-0000-000081AB0000}"/>
    <cellStyle name="Migliaia 23 3 2" xfId="1256" xr:uid="{00000000-0005-0000-0000-000082AB0000}"/>
    <cellStyle name="Migliaia 23 3 2 10" xfId="52423" xr:uid="{00000000-0005-0000-0000-000083AB0000}"/>
    <cellStyle name="Migliaia 23 3 2 11" xfId="3572" xr:uid="{00000000-0005-0000-0000-000084AB0000}"/>
    <cellStyle name="Migliaia 23 3 2 2" xfId="2834" xr:uid="{00000000-0005-0000-0000-000085AB0000}"/>
    <cellStyle name="Migliaia 23 3 2 2 2" xfId="11383" xr:uid="{00000000-0005-0000-0000-000086AB0000}"/>
    <cellStyle name="Migliaia 23 3 2 3" xfId="3203" xr:uid="{00000000-0005-0000-0000-000087AB0000}"/>
    <cellStyle name="Migliaia 23 3 2 3 2" xfId="28304" xr:uid="{00000000-0005-0000-0000-000088AB0000}"/>
    <cellStyle name="Migliaia 23 3 2 3 3" xfId="43277" xr:uid="{00000000-0005-0000-0000-000089AB0000}"/>
    <cellStyle name="Migliaia 23 3 2 3 4" xfId="12022" xr:uid="{00000000-0005-0000-0000-00008AAB0000}"/>
    <cellStyle name="Migliaia 23 3 2 4" xfId="19278" xr:uid="{00000000-0005-0000-0000-00008BAB0000}"/>
    <cellStyle name="Migliaia 23 3 2 4 2" xfId="35359" xr:uid="{00000000-0005-0000-0000-00008CAB0000}"/>
    <cellStyle name="Migliaia 23 3 2 4 3" xfId="50315" xr:uid="{00000000-0005-0000-0000-00008DAB0000}"/>
    <cellStyle name="Migliaia 23 3 2 5" xfId="21307" xr:uid="{00000000-0005-0000-0000-00008EAB0000}"/>
    <cellStyle name="Migliaia 23 3 2 6" xfId="36278" xr:uid="{00000000-0005-0000-0000-00008FAB0000}"/>
    <cellStyle name="Migliaia 23 3 2 7" xfId="51215" xr:uid="{00000000-0005-0000-0000-000090AB0000}"/>
    <cellStyle name="Migliaia 23 3 2 8" xfId="51609" xr:uid="{00000000-0005-0000-0000-000091AB0000}"/>
    <cellStyle name="Migliaia 23 3 2 9" xfId="52015" xr:uid="{00000000-0005-0000-0000-000092AB0000}"/>
    <cellStyle name="Migliaia 23 3 3" xfId="2833" xr:uid="{00000000-0005-0000-0000-000093AB0000}"/>
    <cellStyle name="Migliaia 23 3 3 2" xfId="20432" xr:uid="{00000000-0005-0000-0000-000094AB0000}"/>
    <cellStyle name="Migliaia 23 3 3 2 2" xfId="35865" xr:uid="{00000000-0005-0000-0000-000095AB0000}"/>
    <cellStyle name="Migliaia 23 3 3 2 3" xfId="50821" xr:uid="{00000000-0005-0000-0000-000096AB0000}"/>
    <cellStyle name="Migliaia 23 3 3 3" xfId="19279" xr:uid="{00000000-0005-0000-0000-000097AB0000}"/>
    <cellStyle name="Migliaia 23 3 3 3 2" xfId="35360" xr:uid="{00000000-0005-0000-0000-000098AB0000}"/>
    <cellStyle name="Migliaia 23 3 3 3 3" xfId="50316" xr:uid="{00000000-0005-0000-0000-000099AB0000}"/>
    <cellStyle name="Migliaia 23 3 3 4" xfId="11382" xr:uid="{00000000-0005-0000-0000-00009AAB0000}"/>
    <cellStyle name="Migliaia 23 3 4" xfId="3202" xr:uid="{00000000-0005-0000-0000-00009BAB0000}"/>
    <cellStyle name="Migliaia 23 3 4 2" xfId="20431" xr:uid="{00000000-0005-0000-0000-00009CAB0000}"/>
    <cellStyle name="Migliaia 23 3 4 2 2" xfId="35864" xr:uid="{00000000-0005-0000-0000-00009DAB0000}"/>
    <cellStyle name="Migliaia 23 3 4 2 3" xfId="50820" xr:uid="{00000000-0005-0000-0000-00009EAB0000}"/>
    <cellStyle name="Migliaia 23 3 4 3" xfId="28303" xr:uid="{00000000-0005-0000-0000-00009FAB0000}"/>
    <cellStyle name="Migliaia 23 3 4 4" xfId="43276" xr:uid="{00000000-0005-0000-0000-0000A0AB0000}"/>
    <cellStyle name="Migliaia 23 3 4 5" xfId="12021" xr:uid="{00000000-0005-0000-0000-0000A1AB0000}"/>
    <cellStyle name="Migliaia 23 3 5" xfId="19277" xr:uid="{00000000-0005-0000-0000-0000A2AB0000}"/>
    <cellStyle name="Migliaia 23 3 5 2" xfId="35358" xr:uid="{00000000-0005-0000-0000-0000A3AB0000}"/>
    <cellStyle name="Migliaia 23 3 5 3" xfId="50314" xr:uid="{00000000-0005-0000-0000-0000A4AB0000}"/>
    <cellStyle name="Migliaia 23 3 6" xfId="21306" xr:uid="{00000000-0005-0000-0000-0000A5AB0000}"/>
    <cellStyle name="Migliaia 23 3 7" xfId="36277" xr:uid="{00000000-0005-0000-0000-0000A6AB0000}"/>
    <cellStyle name="Migliaia 23 3 8" xfId="51214" xr:uid="{00000000-0005-0000-0000-0000A7AB0000}"/>
    <cellStyle name="Migliaia 23 3 9" xfId="51608" xr:uid="{00000000-0005-0000-0000-0000A8AB0000}"/>
    <cellStyle name="Migliaia 23 4" xfId="2831" xr:uid="{00000000-0005-0000-0000-0000A9AB0000}"/>
    <cellStyle name="Migliaia 23 4 2" xfId="19281" xr:uid="{00000000-0005-0000-0000-0000AAAB0000}"/>
    <cellStyle name="Migliaia 23 4 2 2" xfId="20434" xr:uid="{00000000-0005-0000-0000-0000ABAB0000}"/>
    <cellStyle name="Migliaia 23 4 2 2 2" xfId="35867" xr:uid="{00000000-0005-0000-0000-0000ACAB0000}"/>
    <cellStyle name="Migliaia 23 4 2 2 3" xfId="50823" xr:uid="{00000000-0005-0000-0000-0000ADAB0000}"/>
    <cellStyle name="Migliaia 23 4 2 3" xfId="35362" xr:uid="{00000000-0005-0000-0000-0000AEAB0000}"/>
    <cellStyle name="Migliaia 23 4 2 4" xfId="50318" xr:uid="{00000000-0005-0000-0000-0000AFAB0000}"/>
    <cellStyle name="Migliaia 23 4 3" xfId="20433" xr:uid="{00000000-0005-0000-0000-0000B0AB0000}"/>
    <cellStyle name="Migliaia 23 4 3 2" xfId="35866" xr:uid="{00000000-0005-0000-0000-0000B1AB0000}"/>
    <cellStyle name="Migliaia 23 4 3 3" xfId="50822" xr:uid="{00000000-0005-0000-0000-0000B2AB0000}"/>
    <cellStyle name="Migliaia 23 4 4" xfId="19280" xr:uid="{00000000-0005-0000-0000-0000B3AB0000}"/>
    <cellStyle name="Migliaia 23 4 4 2" xfId="35361" xr:uid="{00000000-0005-0000-0000-0000B4AB0000}"/>
    <cellStyle name="Migliaia 23 4 4 3" xfId="50317" xr:uid="{00000000-0005-0000-0000-0000B5AB0000}"/>
    <cellStyle name="Migliaia 23 4 5" xfId="11384" xr:uid="{00000000-0005-0000-0000-0000B6AB0000}"/>
    <cellStyle name="Migliaia 23 5" xfId="3200" xr:uid="{00000000-0005-0000-0000-0000B7AB0000}"/>
    <cellStyle name="Migliaia 23 5 2" xfId="19282" xr:uid="{00000000-0005-0000-0000-0000B8AB0000}"/>
    <cellStyle name="Migliaia 23 5 2 2" xfId="35363" xr:uid="{00000000-0005-0000-0000-0000B9AB0000}"/>
    <cellStyle name="Migliaia 23 5 2 3" xfId="50319" xr:uid="{00000000-0005-0000-0000-0000BAAB0000}"/>
    <cellStyle name="Migliaia 23 5 3" xfId="11385" xr:uid="{00000000-0005-0000-0000-0000BBAB0000}"/>
    <cellStyle name="Migliaia 23 6" xfId="11380" xr:uid="{00000000-0005-0000-0000-0000BCAB0000}"/>
    <cellStyle name="Migliaia 23 7" xfId="12019" xr:uid="{00000000-0005-0000-0000-0000BDAB0000}"/>
    <cellStyle name="Migliaia 23 7 2" xfId="28301" xr:uid="{00000000-0005-0000-0000-0000BEAB0000}"/>
    <cellStyle name="Migliaia 23 7 3" xfId="43274" xr:uid="{00000000-0005-0000-0000-0000BFAB0000}"/>
    <cellStyle name="Migliaia 23 8" xfId="19275" xr:uid="{00000000-0005-0000-0000-0000C0AB0000}"/>
    <cellStyle name="Migliaia 23 8 2" xfId="35356" xr:uid="{00000000-0005-0000-0000-0000C1AB0000}"/>
    <cellStyle name="Migliaia 23 8 3" xfId="50312" xr:uid="{00000000-0005-0000-0000-0000C2AB0000}"/>
    <cellStyle name="Migliaia 23 9" xfId="21304" xr:uid="{00000000-0005-0000-0000-0000C3AB0000}"/>
    <cellStyle name="Migliaia 24" xfId="1257" xr:uid="{00000000-0005-0000-0000-0000C4AB0000}"/>
    <cellStyle name="Migliaia 24 10" xfId="36279" xr:uid="{00000000-0005-0000-0000-0000C5AB0000}"/>
    <cellStyle name="Migliaia 24 11" xfId="51216" xr:uid="{00000000-0005-0000-0000-0000C6AB0000}"/>
    <cellStyle name="Migliaia 24 12" xfId="51610" xr:uid="{00000000-0005-0000-0000-0000C7AB0000}"/>
    <cellStyle name="Migliaia 24 13" xfId="52016" xr:uid="{00000000-0005-0000-0000-0000C8AB0000}"/>
    <cellStyle name="Migliaia 24 14" xfId="52424" xr:uid="{00000000-0005-0000-0000-0000C9AB0000}"/>
    <cellStyle name="Migliaia 24 15" xfId="3573" xr:uid="{00000000-0005-0000-0000-0000CAAB0000}"/>
    <cellStyle name="Migliaia 24 2" xfId="1258" xr:uid="{00000000-0005-0000-0000-0000CBAB0000}"/>
    <cellStyle name="Migliaia 24 2 10" xfId="52017" xr:uid="{00000000-0005-0000-0000-0000CCAB0000}"/>
    <cellStyle name="Migliaia 24 2 11" xfId="52425" xr:uid="{00000000-0005-0000-0000-0000CDAB0000}"/>
    <cellStyle name="Migliaia 24 2 12" xfId="3574" xr:uid="{00000000-0005-0000-0000-0000CEAB0000}"/>
    <cellStyle name="Migliaia 24 2 2" xfId="1259" xr:uid="{00000000-0005-0000-0000-0000CFAB0000}"/>
    <cellStyle name="Migliaia 24 2 2 10" xfId="3771" xr:uid="{00000000-0005-0000-0000-0000D0AB0000}"/>
    <cellStyle name="Migliaia 24 2 2 2" xfId="3033" xr:uid="{00000000-0005-0000-0000-0000D1AB0000}"/>
    <cellStyle name="Migliaia 24 2 2 2 2" xfId="28528" xr:uid="{00000000-0005-0000-0000-0000D2AB0000}"/>
    <cellStyle name="Migliaia 24 2 2 2 3" xfId="43491" xr:uid="{00000000-0005-0000-0000-0000D3AB0000}"/>
    <cellStyle name="Migliaia 24 2 2 2 4" xfId="12250" xr:uid="{00000000-0005-0000-0000-0000D4AB0000}"/>
    <cellStyle name="Migliaia 24 2 2 3" xfId="3402" xr:uid="{00000000-0005-0000-0000-0000D5AB0000}"/>
    <cellStyle name="Migliaia 24 2 2 3 2" xfId="35868" xr:uid="{00000000-0005-0000-0000-0000D6AB0000}"/>
    <cellStyle name="Migliaia 24 2 2 3 3" xfId="50824" xr:uid="{00000000-0005-0000-0000-0000D7AB0000}"/>
    <cellStyle name="Migliaia 24 2 2 3 4" xfId="20435" xr:uid="{00000000-0005-0000-0000-0000D8AB0000}"/>
    <cellStyle name="Migliaia 24 2 2 4" xfId="21528" xr:uid="{00000000-0005-0000-0000-0000D9AB0000}"/>
    <cellStyle name="Migliaia 24 2 2 5" xfId="36495" xr:uid="{00000000-0005-0000-0000-0000DAAB0000}"/>
    <cellStyle name="Migliaia 24 2 2 6" xfId="51433" xr:uid="{00000000-0005-0000-0000-0000DBAB0000}"/>
    <cellStyle name="Migliaia 24 2 2 7" xfId="51838" xr:uid="{00000000-0005-0000-0000-0000DCAB0000}"/>
    <cellStyle name="Migliaia 24 2 2 8" xfId="52247" xr:uid="{00000000-0005-0000-0000-0000DDAB0000}"/>
    <cellStyle name="Migliaia 24 2 2 9" xfId="52652" xr:uid="{00000000-0005-0000-0000-0000DEAB0000}"/>
    <cellStyle name="Migliaia 24 2 3" xfId="2836" xr:uid="{00000000-0005-0000-0000-0000DFAB0000}"/>
    <cellStyle name="Migliaia 24 2 3 2" xfId="11387" xr:uid="{00000000-0005-0000-0000-0000E0AB0000}"/>
    <cellStyle name="Migliaia 24 2 4" xfId="3205" xr:uid="{00000000-0005-0000-0000-0000E1AB0000}"/>
    <cellStyle name="Migliaia 24 2 4 2" xfId="28306" xr:uid="{00000000-0005-0000-0000-0000E2AB0000}"/>
    <cellStyle name="Migliaia 24 2 4 3" xfId="43279" xr:uid="{00000000-0005-0000-0000-0000E3AB0000}"/>
    <cellStyle name="Migliaia 24 2 4 4" xfId="12024" xr:uid="{00000000-0005-0000-0000-0000E4AB0000}"/>
    <cellStyle name="Migliaia 24 2 5" xfId="19284" xr:uid="{00000000-0005-0000-0000-0000E5AB0000}"/>
    <cellStyle name="Migliaia 24 2 5 2" xfId="35365" xr:uid="{00000000-0005-0000-0000-0000E6AB0000}"/>
    <cellStyle name="Migliaia 24 2 5 3" xfId="50321" xr:uid="{00000000-0005-0000-0000-0000E7AB0000}"/>
    <cellStyle name="Migliaia 24 2 6" xfId="21309" xr:uid="{00000000-0005-0000-0000-0000E8AB0000}"/>
    <cellStyle name="Migliaia 24 2 7" xfId="36280" xr:uid="{00000000-0005-0000-0000-0000E9AB0000}"/>
    <cellStyle name="Migliaia 24 2 8" xfId="51217" xr:uid="{00000000-0005-0000-0000-0000EAAB0000}"/>
    <cellStyle name="Migliaia 24 2 9" xfId="51611" xr:uid="{00000000-0005-0000-0000-0000EBAB0000}"/>
    <cellStyle name="Migliaia 24 3" xfId="1260" xr:uid="{00000000-0005-0000-0000-0000ECAB0000}"/>
    <cellStyle name="Migliaia 24 3 10" xfId="52018" xr:uid="{00000000-0005-0000-0000-0000EDAB0000}"/>
    <cellStyle name="Migliaia 24 3 11" xfId="52426" xr:uid="{00000000-0005-0000-0000-0000EEAB0000}"/>
    <cellStyle name="Migliaia 24 3 12" xfId="3575" xr:uid="{00000000-0005-0000-0000-0000EFAB0000}"/>
    <cellStyle name="Migliaia 24 3 2" xfId="1261" xr:uid="{00000000-0005-0000-0000-0000F0AB0000}"/>
    <cellStyle name="Migliaia 24 3 2 10" xfId="52427" xr:uid="{00000000-0005-0000-0000-0000F1AB0000}"/>
    <cellStyle name="Migliaia 24 3 2 11" xfId="3576" xr:uid="{00000000-0005-0000-0000-0000F2AB0000}"/>
    <cellStyle name="Migliaia 24 3 2 2" xfId="2838" xr:uid="{00000000-0005-0000-0000-0000F3AB0000}"/>
    <cellStyle name="Migliaia 24 3 2 2 2" xfId="11389" xr:uid="{00000000-0005-0000-0000-0000F4AB0000}"/>
    <cellStyle name="Migliaia 24 3 2 3" xfId="3207" xr:uid="{00000000-0005-0000-0000-0000F5AB0000}"/>
    <cellStyle name="Migliaia 24 3 2 3 2" xfId="28308" xr:uid="{00000000-0005-0000-0000-0000F6AB0000}"/>
    <cellStyle name="Migliaia 24 3 2 3 3" xfId="43281" xr:uid="{00000000-0005-0000-0000-0000F7AB0000}"/>
    <cellStyle name="Migliaia 24 3 2 3 4" xfId="12026" xr:uid="{00000000-0005-0000-0000-0000F8AB0000}"/>
    <cellStyle name="Migliaia 24 3 2 4" xfId="19286" xr:uid="{00000000-0005-0000-0000-0000F9AB0000}"/>
    <cellStyle name="Migliaia 24 3 2 4 2" xfId="35367" xr:uid="{00000000-0005-0000-0000-0000FAAB0000}"/>
    <cellStyle name="Migliaia 24 3 2 4 3" xfId="50323" xr:uid="{00000000-0005-0000-0000-0000FBAB0000}"/>
    <cellStyle name="Migliaia 24 3 2 5" xfId="21311" xr:uid="{00000000-0005-0000-0000-0000FCAB0000}"/>
    <cellStyle name="Migliaia 24 3 2 6" xfId="36282" xr:uid="{00000000-0005-0000-0000-0000FDAB0000}"/>
    <cellStyle name="Migliaia 24 3 2 7" xfId="51219" xr:uid="{00000000-0005-0000-0000-0000FEAB0000}"/>
    <cellStyle name="Migliaia 24 3 2 8" xfId="51613" xr:uid="{00000000-0005-0000-0000-0000FFAB0000}"/>
    <cellStyle name="Migliaia 24 3 2 9" xfId="52019" xr:uid="{00000000-0005-0000-0000-000000AC0000}"/>
    <cellStyle name="Migliaia 24 3 3" xfId="2837" xr:uid="{00000000-0005-0000-0000-000001AC0000}"/>
    <cellStyle name="Migliaia 24 3 3 2" xfId="20437" xr:uid="{00000000-0005-0000-0000-000002AC0000}"/>
    <cellStyle name="Migliaia 24 3 3 2 2" xfId="35870" xr:uid="{00000000-0005-0000-0000-000003AC0000}"/>
    <cellStyle name="Migliaia 24 3 3 2 3" xfId="50826" xr:uid="{00000000-0005-0000-0000-000004AC0000}"/>
    <cellStyle name="Migliaia 24 3 3 3" xfId="19287" xr:uid="{00000000-0005-0000-0000-000005AC0000}"/>
    <cellStyle name="Migliaia 24 3 3 3 2" xfId="35368" xr:uid="{00000000-0005-0000-0000-000006AC0000}"/>
    <cellStyle name="Migliaia 24 3 3 3 3" xfId="50324" xr:uid="{00000000-0005-0000-0000-000007AC0000}"/>
    <cellStyle name="Migliaia 24 3 3 4" xfId="11388" xr:uid="{00000000-0005-0000-0000-000008AC0000}"/>
    <cellStyle name="Migliaia 24 3 4" xfId="3206" xr:uid="{00000000-0005-0000-0000-000009AC0000}"/>
    <cellStyle name="Migliaia 24 3 4 2" xfId="20436" xr:uid="{00000000-0005-0000-0000-00000AAC0000}"/>
    <cellStyle name="Migliaia 24 3 4 2 2" xfId="35869" xr:uid="{00000000-0005-0000-0000-00000BAC0000}"/>
    <cellStyle name="Migliaia 24 3 4 2 3" xfId="50825" xr:uid="{00000000-0005-0000-0000-00000CAC0000}"/>
    <cellStyle name="Migliaia 24 3 4 3" xfId="28307" xr:uid="{00000000-0005-0000-0000-00000DAC0000}"/>
    <cellStyle name="Migliaia 24 3 4 4" xfId="43280" xr:uid="{00000000-0005-0000-0000-00000EAC0000}"/>
    <cellStyle name="Migliaia 24 3 4 5" xfId="12025" xr:uid="{00000000-0005-0000-0000-00000FAC0000}"/>
    <cellStyle name="Migliaia 24 3 5" xfId="19285" xr:uid="{00000000-0005-0000-0000-000010AC0000}"/>
    <cellStyle name="Migliaia 24 3 5 2" xfId="35366" xr:uid="{00000000-0005-0000-0000-000011AC0000}"/>
    <cellStyle name="Migliaia 24 3 5 3" xfId="50322" xr:uid="{00000000-0005-0000-0000-000012AC0000}"/>
    <cellStyle name="Migliaia 24 3 6" xfId="21310" xr:uid="{00000000-0005-0000-0000-000013AC0000}"/>
    <cellStyle name="Migliaia 24 3 7" xfId="36281" xr:uid="{00000000-0005-0000-0000-000014AC0000}"/>
    <cellStyle name="Migliaia 24 3 8" xfId="51218" xr:uid="{00000000-0005-0000-0000-000015AC0000}"/>
    <cellStyle name="Migliaia 24 3 9" xfId="51612" xr:uid="{00000000-0005-0000-0000-000016AC0000}"/>
    <cellStyle name="Migliaia 24 4" xfId="2835" xr:uid="{00000000-0005-0000-0000-000017AC0000}"/>
    <cellStyle name="Migliaia 24 4 2" xfId="19289" xr:uid="{00000000-0005-0000-0000-000018AC0000}"/>
    <cellStyle name="Migliaia 24 4 2 2" xfId="20439" xr:uid="{00000000-0005-0000-0000-000019AC0000}"/>
    <cellStyle name="Migliaia 24 4 2 2 2" xfId="35872" xr:uid="{00000000-0005-0000-0000-00001AAC0000}"/>
    <cellStyle name="Migliaia 24 4 2 2 3" xfId="50828" xr:uid="{00000000-0005-0000-0000-00001BAC0000}"/>
    <cellStyle name="Migliaia 24 4 2 3" xfId="35370" xr:uid="{00000000-0005-0000-0000-00001CAC0000}"/>
    <cellStyle name="Migliaia 24 4 2 4" xfId="50326" xr:uid="{00000000-0005-0000-0000-00001DAC0000}"/>
    <cellStyle name="Migliaia 24 4 3" xfId="20438" xr:uid="{00000000-0005-0000-0000-00001EAC0000}"/>
    <cellStyle name="Migliaia 24 4 3 2" xfId="35871" xr:uid="{00000000-0005-0000-0000-00001FAC0000}"/>
    <cellStyle name="Migliaia 24 4 3 3" xfId="50827" xr:uid="{00000000-0005-0000-0000-000020AC0000}"/>
    <cellStyle name="Migliaia 24 4 4" xfId="19288" xr:uid="{00000000-0005-0000-0000-000021AC0000}"/>
    <cellStyle name="Migliaia 24 4 4 2" xfId="35369" xr:uid="{00000000-0005-0000-0000-000022AC0000}"/>
    <cellStyle name="Migliaia 24 4 4 3" xfId="50325" xr:uid="{00000000-0005-0000-0000-000023AC0000}"/>
    <cellStyle name="Migliaia 24 4 5" xfId="11390" xr:uid="{00000000-0005-0000-0000-000024AC0000}"/>
    <cellStyle name="Migliaia 24 5" xfId="3204" xr:uid="{00000000-0005-0000-0000-000025AC0000}"/>
    <cellStyle name="Migliaia 24 5 2" xfId="19290" xr:uid="{00000000-0005-0000-0000-000026AC0000}"/>
    <cellStyle name="Migliaia 24 5 2 2" xfId="35371" xr:uid="{00000000-0005-0000-0000-000027AC0000}"/>
    <cellStyle name="Migliaia 24 5 2 3" xfId="50327" xr:uid="{00000000-0005-0000-0000-000028AC0000}"/>
    <cellStyle name="Migliaia 24 5 3" xfId="11391" xr:uid="{00000000-0005-0000-0000-000029AC0000}"/>
    <cellStyle name="Migliaia 24 6" xfId="11386" xr:uid="{00000000-0005-0000-0000-00002AAC0000}"/>
    <cellStyle name="Migliaia 24 7" xfId="12023" xr:uid="{00000000-0005-0000-0000-00002BAC0000}"/>
    <cellStyle name="Migliaia 24 7 2" xfId="28305" xr:uid="{00000000-0005-0000-0000-00002CAC0000}"/>
    <cellStyle name="Migliaia 24 7 3" xfId="43278" xr:uid="{00000000-0005-0000-0000-00002DAC0000}"/>
    <cellStyle name="Migliaia 24 8" xfId="19283" xr:uid="{00000000-0005-0000-0000-00002EAC0000}"/>
    <cellStyle name="Migliaia 24 8 2" xfId="35364" xr:uid="{00000000-0005-0000-0000-00002FAC0000}"/>
    <cellStyle name="Migliaia 24 8 3" xfId="50320" xr:uid="{00000000-0005-0000-0000-000030AC0000}"/>
    <cellStyle name="Migliaia 24 9" xfId="21308" xr:uid="{00000000-0005-0000-0000-000031AC0000}"/>
    <cellStyle name="Migliaia 25" xfId="1262" xr:uid="{00000000-0005-0000-0000-000032AC0000}"/>
    <cellStyle name="Migliaia 25 10" xfId="36283" xr:uid="{00000000-0005-0000-0000-000033AC0000}"/>
    <cellStyle name="Migliaia 25 11" xfId="51220" xr:uid="{00000000-0005-0000-0000-000034AC0000}"/>
    <cellStyle name="Migliaia 25 12" xfId="51614" xr:uid="{00000000-0005-0000-0000-000035AC0000}"/>
    <cellStyle name="Migliaia 25 13" xfId="52020" xr:uid="{00000000-0005-0000-0000-000036AC0000}"/>
    <cellStyle name="Migliaia 25 14" xfId="52428" xr:uid="{00000000-0005-0000-0000-000037AC0000}"/>
    <cellStyle name="Migliaia 25 15" xfId="3577" xr:uid="{00000000-0005-0000-0000-000038AC0000}"/>
    <cellStyle name="Migliaia 25 2" xfId="1263" xr:uid="{00000000-0005-0000-0000-000039AC0000}"/>
    <cellStyle name="Migliaia 25 2 10" xfId="52021" xr:uid="{00000000-0005-0000-0000-00003AAC0000}"/>
    <cellStyle name="Migliaia 25 2 11" xfId="52429" xr:uid="{00000000-0005-0000-0000-00003BAC0000}"/>
    <cellStyle name="Migliaia 25 2 12" xfId="3578" xr:uid="{00000000-0005-0000-0000-00003CAC0000}"/>
    <cellStyle name="Migliaia 25 2 2" xfId="1264" xr:uid="{00000000-0005-0000-0000-00003DAC0000}"/>
    <cellStyle name="Migliaia 25 2 2 10" xfId="3772" xr:uid="{00000000-0005-0000-0000-00003EAC0000}"/>
    <cellStyle name="Migliaia 25 2 2 2" xfId="3034" xr:uid="{00000000-0005-0000-0000-00003FAC0000}"/>
    <cellStyle name="Migliaia 25 2 2 2 2" xfId="28529" xr:uid="{00000000-0005-0000-0000-000040AC0000}"/>
    <cellStyle name="Migliaia 25 2 2 2 3" xfId="43492" xr:uid="{00000000-0005-0000-0000-000041AC0000}"/>
    <cellStyle name="Migliaia 25 2 2 2 4" xfId="12251" xr:uid="{00000000-0005-0000-0000-000042AC0000}"/>
    <cellStyle name="Migliaia 25 2 2 3" xfId="3403" xr:uid="{00000000-0005-0000-0000-000043AC0000}"/>
    <cellStyle name="Migliaia 25 2 2 3 2" xfId="35873" xr:uid="{00000000-0005-0000-0000-000044AC0000}"/>
    <cellStyle name="Migliaia 25 2 2 3 3" xfId="50829" xr:uid="{00000000-0005-0000-0000-000045AC0000}"/>
    <cellStyle name="Migliaia 25 2 2 3 4" xfId="20440" xr:uid="{00000000-0005-0000-0000-000046AC0000}"/>
    <cellStyle name="Migliaia 25 2 2 4" xfId="21529" xr:uid="{00000000-0005-0000-0000-000047AC0000}"/>
    <cellStyle name="Migliaia 25 2 2 5" xfId="36496" xr:uid="{00000000-0005-0000-0000-000048AC0000}"/>
    <cellStyle name="Migliaia 25 2 2 6" xfId="51434" xr:uid="{00000000-0005-0000-0000-000049AC0000}"/>
    <cellStyle name="Migliaia 25 2 2 7" xfId="51839" xr:uid="{00000000-0005-0000-0000-00004AAC0000}"/>
    <cellStyle name="Migliaia 25 2 2 8" xfId="52248" xr:uid="{00000000-0005-0000-0000-00004BAC0000}"/>
    <cellStyle name="Migliaia 25 2 2 9" xfId="52653" xr:uid="{00000000-0005-0000-0000-00004CAC0000}"/>
    <cellStyle name="Migliaia 25 2 3" xfId="2840" xr:uid="{00000000-0005-0000-0000-00004DAC0000}"/>
    <cellStyle name="Migliaia 25 2 3 2" xfId="11393" xr:uid="{00000000-0005-0000-0000-00004EAC0000}"/>
    <cellStyle name="Migliaia 25 2 4" xfId="3209" xr:uid="{00000000-0005-0000-0000-00004FAC0000}"/>
    <cellStyle name="Migliaia 25 2 4 2" xfId="28310" xr:uid="{00000000-0005-0000-0000-000050AC0000}"/>
    <cellStyle name="Migliaia 25 2 4 3" xfId="43283" xr:uid="{00000000-0005-0000-0000-000051AC0000}"/>
    <cellStyle name="Migliaia 25 2 4 4" xfId="12028" xr:uid="{00000000-0005-0000-0000-000052AC0000}"/>
    <cellStyle name="Migliaia 25 2 5" xfId="19292" xr:uid="{00000000-0005-0000-0000-000053AC0000}"/>
    <cellStyle name="Migliaia 25 2 5 2" xfId="35373" xr:uid="{00000000-0005-0000-0000-000054AC0000}"/>
    <cellStyle name="Migliaia 25 2 5 3" xfId="50329" xr:uid="{00000000-0005-0000-0000-000055AC0000}"/>
    <cellStyle name="Migliaia 25 2 6" xfId="21313" xr:uid="{00000000-0005-0000-0000-000056AC0000}"/>
    <cellStyle name="Migliaia 25 2 7" xfId="36284" xr:uid="{00000000-0005-0000-0000-000057AC0000}"/>
    <cellStyle name="Migliaia 25 2 8" xfId="51221" xr:uid="{00000000-0005-0000-0000-000058AC0000}"/>
    <cellStyle name="Migliaia 25 2 9" xfId="51615" xr:uid="{00000000-0005-0000-0000-000059AC0000}"/>
    <cellStyle name="Migliaia 25 3" xfId="1265" xr:uid="{00000000-0005-0000-0000-00005AAC0000}"/>
    <cellStyle name="Migliaia 25 3 10" xfId="52022" xr:uid="{00000000-0005-0000-0000-00005BAC0000}"/>
    <cellStyle name="Migliaia 25 3 11" xfId="52430" xr:uid="{00000000-0005-0000-0000-00005CAC0000}"/>
    <cellStyle name="Migliaia 25 3 12" xfId="3579" xr:uid="{00000000-0005-0000-0000-00005DAC0000}"/>
    <cellStyle name="Migliaia 25 3 2" xfId="1266" xr:uid="{00000000-0005-0000-0000-00005EAC0000}"/>
    <cellStyle name="Migliaia 25 3 2 10" xfId="52431" xr:uid="{00000000-0005-0000-0000-00005FAC0000}"/>
    <cellStyle name="Migliaia 25 3 2 11" xfId="3580" xr:uid="{00000000-0005-0000-0000-000060AC0000}"/>
    <cellStyle name="Migliaia 25 3 2 2" xfId="2842" xr:uid="{00000000-0005-0000-0000-000061AC0000}"/>
    <cellStyle name="Migliaia 25 3 2 2 2" xfId="11395" xr:uid="{00000000-0005-0000-0000-000062AC0000}"/>
    <cellStyle name="Migliaia 25 3 2 3" xfId="3211" xr:uid="{00000000-0005-0000-0000-000063AC0000}"/>
    <cellStyle name="Migliaia 25 3 2 3 2" xfId="28312" xr:uid="{00000000-0005-0000-0000-000064AC0000}"/>
    <cellStyle name="Migliaia 25 3 2 3 3" xfId="43285" xr:uid="{00000000-0005-0000-0000-000065AC0000}"/>
    <cellStyle name="Migliaia 25 3 2 3 4" xfId="12030" xr:uid="{00000000-0005-0000-0000-000066AC0000}"/>
    <cellStyle name="Migliaia 25 3 2 4" xfId="19294" xr:uid="{00000000-0005-0000-0000-000067AC0000}"/>
    <cellStyle name="Migliaia 25 3 2 4 2" xfId="35375" xr:uid="{00000000-0005-0000-0000-000068AC0000}"/>
    <cellStyle name="Migliaia 25 3 2 4 3" xfId="50331" xr:uid="{00000000-0005-0000-0000-000069AC0000}"/>
    <cellStyle name="Migliaia 25 3 2 5" xfId="21315" xr:uid="{00000000-0005-0000-0000-00006AAC0000}"/>
    <cellStyle name="Migliaia 25 3 2 6" xfId="36286" xr:uid="{00000000-0005-0000-0000-00006BAC0000}"/>
    <cellStyle name="Migliaia 25 3 2 7" xfId="51223" xr:uid="{00000000-0005-0000-0000-00006CAC0000}"/>
    <cellStyle name="Migliaia 25 3 2 8" xfId="51617" xr:uid="{00000000-0005-0000-0000-00006DAC0000}"/>
    <cellStyle name="Migliaia 25 3 2 9" xfId="52023" xr:uid="{00000000-0005-0000-0000-00006EAC0000}"/>
    <cellStyle name="Migliaia 25 3 3" xfId="2841" xr:uid="{00000000-0005-0000-0000-00006FAC0000}"/>
    <cellStyle name="Migliaia 25 3 3 2" xfId="20442" xr:uid="{00000000-0005-0000-0000-000070AC0000}"/>
    <cellStyle name="Migliaia 25 3 3 2 2" xfId="35875" xr:uid="{00000000-0005-0000-0000-000071AC0000}"/>
    <cellStyle name="Migliaia 25 3 3 2 3" xfId="50831" xr:uid="{00000000-0005-0000-0000-000072AC0000}"/>
    <cellStyle name="Migliaia 25 3 3 3" xfId="19295" xr:uid="{00000000-0005-0000-0000-000073AC0000}"/>
    <cellStyle name="Migliaia 25 3 3 3 2" xfId="35376" xr:uid="{00000000-0005-0000-0000-000074AC0000}"/>
    <cellStyle name="Migliaia 25 3 3 3 3" xfId="50332" xr:uid="{00000000-0005-0000-0000-000075AC0000}"/>
    <cellStyle name="Migliaia 25 3 3 4" xfId="11394" xr:uid="{00000000-0005-0000-0000-000076AC0000}"/>
    <cellStyle name="Migliaia 25 3 4" xfId="3210" xr:uid="{00000000-0005-0000-0000-000077AC0000}"/>
    <cellStyle name="Migliaia 25 3 4 2" xfId="20441" xr:uid="{00000000-0005-0000-0000-000078AC0000}"/>
    <cellStyle name="Migliaia 25 3 4 2 2" xfId="35874" xr:uid="{00000000-0005-0000-0000-000079AC0000}"/>
    <cellStyle name="Migliaia 25 3 4 2 3" xfId="50830" xr:uid="{00000000-0005-0000-0000-00007AAC0000}"/>
    <cellStyle name="Migliaia 25 3 4 3" xfId="28311" xr:uid="{00000000-0005-0000-0000-00007BAC0000}"/>
    <cellStyle name="Migliaia 25 3 4 4" xfId="43284" xr:uid="{00000000-0005-0000-0000-00007CAC0000}"/>
    <cellStyle name="Migliaia 25 3 4 5" xfId="12029" xr:uid="{00000000-0005-0000-0000-00007DAC0000}"/>
    <cellStyle name="Migliaia 25 3 5" xfId="19293" xr:uid="{00000000-0005-0000-0000-00007EAC0000}"/>
    <cellStyle name="Migliaia 25 3 5 2" xfId="35374" xr:uid="{00000000-0005-0000-0000-00007FAC0000}"/>
    <cellStyle name="Migliaia 25 3 5 3" xfId="50330" xr:uid="{00000000-0005-0000-0000-000080AC0000}"/>
    <cellStyle name="Migliaia 25 3 6" xfId="21314" xr:uid="{00000000-0005-0000-0000-000081AC0000}"/>
    <cellStyle name="Migliaia 25 3 7" xfId="36285" xr:uid="{00000000-0005-0000-0000-000082AC0000}"/>
    <cellStyle name="Migliaia 25 3 8" xfId="51222" xr:uid="{00000000-0005-0000-0000-000083AC0000}"/>
    <cellStyle name="Migliaia 25 3 9" xfId="51616" xr:uid="{00000000-0005-0000-0000-000084AC0000}"/>
    <cellStyle name="Migliaia 25 4" xfId="2839" xr:uid="{00000000-0005-0000-0000-000085AC0000}"/>
    <cellStyle name="Migliaia 25 4 2" xfId="19297" xr:uid="{00000000-0005-0000-0000-000086AC0000}"/>
    <cellStyle name="Migliaia 25 4 2 2" xfId="20444" xr:uid="{00000000-0005-0000-0000-000087AC0000}"/>
    <cellStyle name="Migliaia 25 4 2 2 2" xfId="35877" xr:uid="{00000000-0005-0000-0000-000088AC0000}"/>
    <cellStyle name="Migliaia 25 4 2 2 3" xfId="50833" xr:uid="{00000000-0005-0000-0000-000089AC0000}"/>
    <cellStyle name="Migliaia 25 4 2 3" xfId="35378" xr:uid="{00000000-0005-0000-0000-00008AAC0000}"/>
    <cellStyle name="Migliaia 25 4 2 4" xfId="50334" xr:uid="{00000000-0005-0000-0000-00008BAC0000}"/>
    <cellStyle name="Migliaia 25 4 3" xfId="20443" xr:uid="{00000000-0005-0000-0000-00008CAC0000}"/>
    <cellStyle name="Migliaia 25 4 3 2" xfId="35876" xr:uid="{00000000-0005-0000-0000-00008DAC0000}"/>
    <cellStyle name="Migliaia 25 4 3 3" xfId="50832" xr:uid="{00000000-0005-0000-0000-00008EAC0000}"/>
    <cellStyle name="Migliaia 25 4 4" xfId="19296" xr:uid="{00000000-0005-0000-0000-00008FAC0000}"/>
    <cellStyle name="Migliaia 25 4 4 2" xfId="35377" xr:uid="{00000000-0005-0000-0000-000090AC0000}"/>
    <cellStyle name="Migliaia 25 4 4 3" xfId="50333" xr:uid="{00000000-0005-0000-0000-000091AC0000}"/>
    <cellStyle name="Migliaia 25 4 5" xfId="11396" xr:uid="{00000000-0005-0000-0000-000092AC0000}"/>
    <cellStyle name="Migliaia 25 5" xfId="3208" xr:uid="{00000000-0005-0000-0000-000093AC0000}"/>
    <cellStyle name="Migliaia 25 5 2" xfId="19298" xr:uid="{00000000-0005-0000-0000-000094AC0000}"/>
    <cellStyle name="Migliaia 25 5 2 2" xfId="35379" xr:uid="{00000000-0005-0000-0000-000095AC0000}"/>
    <cellStyle name="Migliaia 25 5 2 3" xfId="50335" xr:uid="{00000000-0005-0000-0000-000096AC0000}"/>
    <cellStyle name="Migliaia 25 5 3" xfId="11397" xr:uid="{00000000-0005-0000-0000-000097AC0000}"/>
    <cellStyle name="Migliaia 25 6" xfId="11392" xr:uid="{00000000-0005-0000-0000-000098AC0000}"/>
    <cellStyle name="Migliaia 25 7" xfId="12027" xr:uid="{00000000-0005-0000-0000-000099AC0000}"/>
    <cellStyle name="Migliaia 25 7 2" xfId="28309" xr:uid="{00000000-0005-0000-0000-00009AAC0000}"/>
    <cellStyle name="Migliaia 25 7 3" xfId="43282" xr:uid="{00000000-0005-0000-0000-00009BAC0000}"/>
    <cellStyle name="Migliaia 25 8" xfId="19291" xr:uid="{00000000-0005-0000-0000-00009CAC0000}"/>
    <cellStyle name="Migliaia 25 8 2" xfId="35372" xr:uid="{00000000-0005-0000-0000-00009DAC0000}"/>
    <cellStyle name="Migliaia 25 8 3" xfId="50328" xr:uid="{00000000-0005-0000-0000-00009EAC0000}"/>
    <cellStyle name="Migliaia 25 9" xfId="21312" xr:uid="{00000000-0005-0000-0000-00009FAC0000}"/>
    <cellStyle name="Migliaia 26" xfId="1267" xr:uid="{00000000-0005-0000-0000-0000A0AC0000}"/>
    <cellStyle name="Migliaia 26 10" xfId="36287" xr:uid="{00000000-0005-0000-0000-0000A1AC0000}"/>
    <cellStyle name="Migliaia 26 11" xfId="51224" xr:uid="{00000000-0005-0000-0000-0000A2AC0000}"/>
    <cellStyle name="Migliaia 26 12" xfId="51618" xr:uid="{00000000-0005-0000-0000-0000A3AC0000}"/>
    <cellStyle name="Migliaia 26 13" xfId="52024" xr:uid="{00000000-0005-0000-0000-0000A4AC0000}"/>
    <cellStyle name="Migliaia 26 14" xfId="52432" xr:uid="{00000000-0005-0000-0000-0000A5AC0000}"/>
    <cellStyle name="Migliaia 26 15" xfId="3581" xr:uid="{00000000-0005-0000-0000-0000A6AC0000}"/>
    <cellStyle name="Migliaia 26 2" xfId="1268" xr:uid="{00000000-0005-0000-0000-0000A7AC0000}"/>
    <cellStyle name="Migliaia 26 2 10" xfId="52025" xr:uid="{00000000-0005-0000-0000-0000A8AC0000}"/>
    <cellStyle name="Migliaia 26 2 11" xfId="52433" xr:uid="{00000000-0005-0000-0000-0000A9AC0000}"/>
    <cellStyle name="Migliaia 26 2 12" xfId="3582" xr:uid="{00000000-0005-0000-0000-0000AAAC0000}"/>
    <cellStyle name="Migliaia 26 2 2" xfId="1269" xr:uid="{00000000-0005-0000-0000-0000ABAC0000}"/>
    <cellStyle name="Migliaia 26 2 2 10" xfId="3773" xr:uid="{00000000-0005-0000-0000-0000ACAC0000}"/>
    <cellStyle name="Migliaia 26 2 2 2" xfId="3035" xr:uid="{00000000-0005-0000-0000-0000ADAC0000}"/>
    <cellStyle name="Migliaia 26 2 2 2 2" xfId="28530" xr:uid="{00000000-0005-0000-0000-0000AEAC0000}"/>
    <cellStyle name="Migliaia 26 2 2 2 3" xfId="43493" xr:uid="{00000000-0005-0000-0000-0000AFAC0000}"/>
    <cellStyle name="Migliaia 26 2 2 2 4" xfId="12252" xr:uid="{00000000-0005-0000-0000-0000B0AC0000}"/>
    <cellStyle name="Migliaia 26 2 2 3" xfId="3404" xr:uid="{00000000-0005-0000-0000-0000B1AC0000}"/>
    <cellStyle name="Migliaia 26 2 2 3 2" xfId="35878" xr:uid="{00000000-0005-0000-0000-0000B2AC0000}"/>
    <cellStyle name="Migliaia 26 2 2 3 3" xfId="50834" xr:uid="{00000000-0005-0000-0000-0000B3AC0000}"/>
    <cellStyle name="Migliaia 26 2 2 3 4" xfId="20445" xr:uid="{00000000-0005-0000-0000-0000B4AC0000}"/>
    <cellStyle name="Migliaia 26 2 2 4" xfId="21530" xr:uid="{00000000-0005-0000-0000-0000B5AC0000}"/>
    <cellStyle name="Migliaia 26 2 2 5" xfId="36497" xr:uid="{00000000-0005-0000-0000-0000B6AC0000}"/>
    <cellStyle name="Migliaia 26 2 2 6" xfId="51435" xr:uid="{00000000-0005-0000-0000-0000B7AC0000}"/>
    <cellStyle name="Migliaia 26 2 2 7" xfId="51840" xr:uid="{00000000-0005-0000-0000-0000B8AC0000}"/>
    <cellStyle name="Migliaia 26 2 2 8" xfId="52249" xr:uid="{00000000-0005-0000-0000-0000B9AC0000}"/>
    <cellStyle name="Migliaia 26 2 2 9" xfId="52654" xr:uid="{00000000-0005-0000-0000-0000BAAC0000}"/>
    <cellStyle name="Migliaia 26 2 3" xfId="2844" xr:uid="{00000000-0005-0000-0000-0000BBAC0000}"/>
    <cellStyle name="Migliaia 26 2 3 2" xfId="11399" xr:uid="{00000000-0005-0000-0000-0000BCAC0000}"/>
    <cellStyle name="Migliaia 26 2 4" xfId="3213" xr:uid="{00000000-0005-0000-0000-0000BDAC0000}"/>
    <cellStyle name="Migliaia 26 2 4 2" xfId="28314" xr:uid="{00000000-0005-0000-0000-0000BEAC0000}"/>
    <cellStyle name="Migliaia 26 2 4 3" xfId="43287" xr:uid="{00000000-0005-0000-0000-0000BFAC0000}"/>
    <cellStyle name="Migliaia 26 2 4 4" xfId="12032" xr:uid="{00000000-0005-0000-0000-0000C0AC0000}"/>
    <cellStyle name="Migliaia 26 2 5" xfId="19300" xr:uid="{00000000-0005-0000-0000-0000C1AC0000}"/>
    <cellStyle name="Migliaia 26 2 5 2" xfId="35381" xr:uid="{00000000-0005-0000-0000-0000C2AC0000}"/>
    <cellStyle name="Migliaia 26 2 5 3" xfId="50337" xr:uid="{00000000-0005-0000-0000-0000C3AC0000}"/>
    <cellStyle name="Migliaia 26 2 6" xfId="21317" xr:uid="{00000000-0005-0000-0000-0000C4AC0000}"/>
    <cellStyle name="Migliaia 26 2 7" xfId="36288" xr:uid="{00000000-0005-0000-0000-0000C5AC0000}"/>
    <cellStyle name="Migliaia 26 2 8" xfId="51225" xr:uid="{00000000-0005-0000-0000-0000C6AC0000}"/>
    <cellStyle name="Migliaia 26 2 9" xfId="51619" xr:uid="{00000000-0005-0000-0000-0000C7AC0000}"/>
    <cellStyle name="Migliaia 26 3" xfId="1270" xr:uid="{00000000-0005-0000-0000-0000C8AC0000}"/>
    <cellStyle name="Migliaia 26 3 10" xfId="52026" xr:uid="{00000000-0005-0000-0000-0000C9AC0000}"/>
    <cellStyle name="Migliaia 26 3 11" xfId="52434" xr:uid="{00000000-0005-0000-0000-0000CAAC0000}"/>
    <cellStyle name="Migliaia 26 3 12" xfId="3583" xr:uid="{00000000-0005-0000-0000-0000CBAC0000}"/>
    <cellStyle name="Migliaia 26 3 2" xfId="1271" xr:uid="{00000000-0005-0000-0000-0000CCAC0000}"/>
    <cellStyle name="Migliaia 26 3 2 10" xfId="52435" xr:uid="{00000000-0005-0000-0000-0000CDAC0000}"/>
    <cellStyle name="Migliaia 26 3 2 11" xfId="3584" xr:uid="{00000000-0005-0000-0000-0000CEAC0000}"/>
    <cellStyle name="Migliaia 26 3 2 2" xfId="2846" xr:uid="{00000000-0005-0000-0000-0000CFAC0000}"/>
    <cellStyle name="Migliaia 26 3 2 2 2" xfId="11401" xr:uid="{00000000-0005-0000-0000-0000D0AC0000}"/>
    <cellStyle name="Migliaia 26 3 2 3" xfId="3215" xr:uid="{00000000-0005-0000-0000-0000D1AC0000}"/>
    <cellStyle name="Migliaia 26 3 2 3 2" xfId="28316" xr:uid="{00000000-0005-0000-0000-0000D2AC0000}"/>
    <cellStyle name="Migliaia 26 3 2 3 3" xfId="43289" xr:uid="{00000000-0005-0000-0000-0000D3AC0000}"/>
    <cellStyle name="Migliaia 26 3 2 3 4" xfId="12034" xr:uid="{00000000-0005-0000-0000-0000D4AC0000}"/>
    <cellStyle name="Migliaia 26 3 2 4" xfId="19302" xr:uid="{00000000-0005-0000-0000-0000D5AC0000}"/>
    <cellStyle name="Migliaia 26 3 2 4 2" xfId="35383" xr:uid="{00000000-0005-0000-0000-0000D6AC0000}"/>
    <cellStyle name="Migliaia 26 3 2 4 3" xfId="50339" xr:uid="{00000000-0005-0000-0000-0000D7AC0000}"/>
    <cellStyle name="Migliaia 26 3 2 5" xfId="21319" xr:uid="{00000000-0005-0000-0000-0000D8AC0000}"/>
    <cellStyle name="Migliaia 26 3 2 6" xfId="36290" xr:uid="{00000000-0005-0000-0000-0000D9AC0000}"/>
    <cellStyle name="Migliaia 26 3 2 7" xfId="51227" xr:uid="{00000000-0005-0000-0000-0000DAAC0000}"/>
    <cellStyle name="Migliaia 26 3 2 8" xfId="51621" xr:uid="{00000000-0005-0000-0000-0000DBAC0000}"/>
    <cellStyle name="Migliaia 26 3 2 9" xfId="52027" xr:uid="{00000000-0005-0000-0000-0000DCAC0000}"/>
    <cellStyle name="Migliaia 26 3 3" xfId="2845" xr:uid="{00000000-0005-0000-0000-0000DDAC0000}"/>
    <cellStyle name="Migliaia 26 3 3 2" xfId="20447" xr:uid="{00000000-0005-0000-0000-0000DEAC0000}"/>
    <cellStyle name="Migliaia 26 3 3 2 2" xfId="35880" xr:uid="{00000000-0005-0000-0000-0000DFAC0000}"/>
    <cellStyle name="Migliaia 26 3 3 2 3" xfId="50836" xr:uid="{00000000-0005-0000-0000-0000E0AC0000}"/>
    <cellStyle name="Migliaia 26 3 3 3" xfId="19303" xr:uid="{00000000-0005-0000-0000-0000E1AC0000}"/>
    <cellStyle name="Migliaia 26 3 3 3 2" xfId="35384" xr:uid="{00000000-0005-0000-0000-0000E2AC0000}"/>
    <cellStyle name="Migliaia 26 3 3 3 3" xfId="50340" xr:uid="{00000000-0005-0000-0000-0000E3AC0000}"/>
    <cellStyle name="Migliaia 26 3 3 4" xfId="11400" xr:uid="{00000000-0005-0000-0000-0000E4AC0000}"/>
    <cellStyle name="Migliaia 26 3 4" xfId="3214" xr:uid="{00000000-0005-0000-0000-0000E5AC0000}"/>
    <cellStyle name="Migliaia 26 3 4 2" xfId="20446" xr:uid="{00000000-0005-0000-0000-0000E6AC0000}"/>
    <cellStyle name="Migliaia 26 3 4 2 2" xfId="35879" xr:uid="{00000000-0005-0000-0000-0000E7AC0000}"/>
    <cellStyle name="Migliaia 26 3 4 2 3" xfId="50835" xr:uid="{00000000-0005-0000-0000-0000E8AC0000}"/>
    <cellStyle name="Migliaia 26 3 4 3" xfId="28315" xr:uid="{00000000-0005-0000-0000-0000E9AC0000}"/>
    <cellStyle name="Migliaia 26 3 4 4" xfId="43288" xr:uid="{00000000-0005-0000-0000-0000EAAC0000}"/>
    <cellStyle name="Migliaia 26 3 4 5" xfId="12033" xr:uid="{00000000-0005-0000-0000-0000EBAC0000}"/>
    <cellStyle name="Migliaia 26 3 5" xfId="19301" xr:uid="{00000000-0005-0000-0000-0000ECAC0000}"/>
    <cellStyle name="Migliaia 26 3 5 2" xfId="35382" xr:uid="{00000000-0005-0000-0000-0000EDAC0000}"/>
    <cellStyle name="Migliaia 26 3 5 3" xfId="50338" xr:uid="{00000000-0005-0000-0000-0000EEAC0000}"/>
    <cellStyle name="Migliaia 26 3 6" xfId="21318" xr:uid="{00000000-0005-0000-0000-0000EFAC0000}"/>
    <cellStyle name="Migliaia 26 3 7" xfId="36289" xr:uid="{00000000-0005-0000-0000-0000F0AC0000}"/>
    <cellStyle name="Migliaia 26 3 8" xfId="51226" xr:uid="{00000000-0005-0000-0000-0000F1AC0000}"/>
    <cellStyle name="Migliaia 26 3 9" xfId="51620" xr:uid="{00000000-0005-0000-0000-0000F2AC0000}"/>
    <cellStyle name="Migliaia 26 4" xfId="2843" xr:uid="{00000000-0005-0000-0000-0000F3AC0000}"/>
    <cellStyle name="Migliaia 26 4 2" xfId="19305" xr:uid="{00000000-0005-0000-0000-0000F4AC0000}"/>
    <cellStyle name="Migliaia 26 4 2 2" xfId="20449" xr:uid="{00000000-0005-0000-0000-0000F5AC0000}"/>
    <cellStyle name="Migliaia 26 4 2 2 2" xfId="35882" xr:uid="{00000000-0005-0000-0000-0000F6AC0000}"/>
    <cellStyle name="Migliaia 26 4 2 2 3" xfId="50838" xr:uid="{00000000-0005-0000-0000-0000F7AC0000}"/>
    <cellStyle name="Migliaia 26 4 2 3" xfId="35386" xr:uid="{00000000-0005-0000-0000-0000F8AC0000}"/>
    <cellStyle name="Migliaia 26 4 2 4" xfId="50342" xr:uid="{00000000-0005-0000-0000-0000F9AC0000}"/>
    <cellStyle name="Migliaia 26 4 3" xfId="20448" xr:uid="{00000000-0005-0000-0000-0000FAAC0000}"/>
    <cellStyle name="Migliaia 26 4 3 2" xfId="35881" xr:uid="{00000000-0005-0000-0000-0000FBAC0000}"/>
    <cellStyle name="Migliaia 26 4 3 3" xfId="50837" xr:uid="{00000000-0005-0000-0000-0000FCAC0000}"/>
    <cellStyle name="Migliaia 26 4 4" xfId="19304" xr:uid="{00000000-0005-0000-0000-0000FDAC0000}"/>
    <cellStyle name="Migliaia 26 4 4 2" xfId="35385" xr:uid="{00000000-0005-0000-0000-0000FEAC0000}"/>
    <cellStyle name="Migliaia 26 4 4 3" xfId="50341" xr:uid="{00000000-0005-0000-0000-0000FFAC0000}"/>
    <cellStyle name="Migliaia 26 4 5" xfId="11402" xr:uid="{00000000-0005-0000-0000-000000AD0000}"/>
    <cellStyle name="Migliaia 26 5" xfId="3212" xr:uid="{00000000-0005-0000-0000-000001AD0000}"/>
    <cellStyle name="Migliaia 26 5 2" xfId="19306" xr:uid="{00000000-0005-0000-0000-000002AD0000}"/>
    <cellStyle name="Migliaia 26 5 2 2" xfId="35387" xr:uid="{00000000-0005-0000-0000-000003AD0000}"/>
    <cellStyle name="Migliaia 26 5 2 3" xfId="50343" xr:uid="{00000000-0005-0000-0000-000004AD0000}"/>
    <cellStyle name="Migliaia 26 5 3" xfId="11403" xr:uid="{00000000-0005-0000-0000-000005AD0000}"/>
    <cellStyle name="Migliaia 26 6" xfId="11398" xr:uid="{00000000-0005-0000-0000-000006AD0000}"/>
    <cellStyle name="Migliaia 26 7" xfId="12031" xr:uid="{00000000-0005-0000-0000-000007AD0000}"/>
    <cellStyle name="Migliaia 26 7 2" xfId="28313" xr:uid="{00000000-0005-0000-0000-000008AD0000}"/>
    <cellStyle name="Migliaia 26 7 3" xfId="43286" xr:uid="{00000000-0005-0000-0000-000009AD0000}"/>
    <cellStyle name="Migliaia 26 8" xfId="19299" xr:uid="{00000000-0005-0000-0000-00000AAD0000}"/>
    <cellStyle name="Migliaia 26 8 2" xfId="35380" xr:uid="{00000000-0005-0000-0000-00000BAD0000}"/>
    <cellStyle name="Migliaia 26 8 3" xfId="50336" xr:uid="{00000000-0005-0000-0000-00000CAD0000}"/>
    <cellStyle name="Migliaia 26 9" xfId="21316" xr:uid="{00000000-0005-0000-0000-00000DAD0000}"/>
    <cellStyle name="Migliaia 27" xfId="1272" xr:uid="{00000000-0005-0000-0000-00000EAD0000}"/>
    <cellStyle name="Migliaia 27 10" xfId="36291" xr:uid="{00000000-0005-0000-0000-00000FAD0000}"/>
    <cellStyle name="Migliaia 27 11" xfId="51228" xr:uid="{00000000-0005-0000-0000-000010AD0000}"/>
    <cellStyle name="Migliaia 27 12" xfId="51622" xr:uid="{00000000-0005-0000-0000-000011AD0000}"/>
    <cellStyle name="Migliaia 27 13" xfId="52028" xr:uid="{00000000-0005-0000-0000-000012AD0000}"/>
    <cellStyle name="Migliaia 27 14" xfId="52436" xr:uid="{00000000-0005-0000-0000-000013AD0000}"/>
    <cellStyle name="Migliaia 27 15" xfId="3585" xr:uid="{00000000-0005-0000-0000-000014AD0000}"/>
    <cellStyle name="Migliaia 27 2" xfId="1273" xr:uid="{00000000-0005-0000-0000-000015AD0000}"/>
    <cellStyle name="Migliaia 27 2 10" xfId="52029" xr:uid="{00000000-0005-0000-0000-000016AD0000}"/>
    <cellStyle name="Migliaia 27 2 11" xfId="52437" xr:uid="{00000000-0005-0000-0000-000017AD0000}"/>
    <cellStyle name="Migliaia 27 2 12" xfId="3586" xr:uid="{00000000-0005-0000-0000-000018AD0000}"/>
    <cellStyle name="Migliaia 27 2 2" xfId="1274" xr:uid="{00000000-0005-0000-0000-000019AD0000}"/>
    <cellStyle name="Migliaia 27 2 2 10" xfId="3774" xr:uid="{00000000-0005-0000-0000-00001AAD0000}"/>
    <cellStyle name="Migliaia 27 2 2 2" xfId="3036" xr:uid="{00000000-0005-0000-0000-00001BAD0000}"/>
    <cellStyle name="Migliaia 27 2 2 2 2" xfId="28531" xr:uid="{00000000-0005-0000-0000-00001CAD0000}"/>
    <cellStyle name="Migliaia 27 2 2 2 3" xfId="43494" xr:uid="{00000000-0005-0000-0000-00001DAD0000}"/>
    <cellStyle name="Migliaia 27 2 2 2 4" xfId="12253" xr:uid="{00000000-0005-0000-0000-00001EAD0000}"/>
    <cellStyle name="Migliaia 27 2 2 3" xfId="3405" xr:uid="{00000000-0005-0000-0000-00001FAD0000}"/>
    <cellStyle name="Migliaia 27 2 2 3 2" xfId="35883" xr:uid="{00000000-0005-0000-0000-000020AD0000}"/>
    <cellStyle name="Migliaia 27 2 2 3 3" xfId="50839" xr:uid="{00000000-0005-0000-0000-000021AD0000}"/>
    <cellStyle name="Migliaia 27 2 2 3 4" xfId="20450" xr:uid="{00000000-0005-0000-0000-000022AD0000}"/>
    <cellStyle name="Migliaia 27 2 2 4" xfId="21531" xr:uid="{00000000-0005-0000-0000-000023AD0000}"/>
    <cellStyle name="Migliaia 27 2 2 5" xfId="36498" xr:uid="{00000000-0005-0000-0000-000024AD0000}"/>
    <cellStyle name="Migliaia 27 2 2 6" xfId="51436" xr:uid="{00000000-0005-0000-0000-000025AD0000}"/>
    <cellStyle name="Migliaia 27 2 2 7" xfId="51841" xr:uid="{00000000-0005-0000-0000-000026AD0000}"/>
    <cellStyle name="Migliaia 27 2 2 8" xfId="52250" xr:uid="{00000000-0005-0000-0000-000027AD0000}"/>
    <cellStyle name="Migliaia 27 2 2 9" xfId="52655" xr:uid="{00000000-0005-0000-0000-000028AD0000}"/>
    <cellStyle name="Migliaia 27 2 3" xfId="2848" xr:uid="{00000000-0005-0000-0000-000029AD0000}"/>
    <cellStyle name="Migliaia 27 2 3 2" xfId="11405" xr:uid="{00000000-0005-0000-0000-00002AAD0000}"/>
    <cellStyle name="Migliaia 27 2 4" xfId="3217" xr:uid="{00000000-0005-0000-0000-00002BAD0000}"/>
    <cellStyle name="Migliaia 27 2 4 2" xfId="28318" xr:uid="{00000000-0005-0000-0000-00002CAD0000}"/>
    <cellStyle name="Migliaia 27 2 4 3" xfId="43291" xr:uid="{00000000-0005-0000-0000-00002DAD0000}"/>
    <cellStyle name="Migliaia 27 2 4 4" xfId="12036" xr:uid="{00000000-0005-0000-0000-00002EAD0000}"/>
    <cellStyle name="Migliaia 27 2 5" xfId="19308" xr:uid="{00000000-0005-0000-0000-00002FAD0000}"/>
    <cellStyle name="Migliaia 27 2 5 2" xfId="35389" xr:uid="{00000000-0005-0000-0000-000030AD0000}"/>
    <cellStyle name="Migliaia 27 2 5 3" xfId="50345" xr:uid="{00000000-0005-0000-0000-000031AD0000}"/>
    <cellStyle name="Migliaia 27 2 6" xfId="21321" xr:uid="{00000000-0005-0000-0000-000032AD0000}"/>
    <cellStyle name="Migliaia 27 2 7" xfId="36292" xr:uid="{00000000-0005-0000-0000-000033AD0000}"/>
    <cellStyle name="Migliaia 27 2 8" xfId="51229" xr:uid="{00000000-0005-0000-0000-000034AD0000}"/>
    <cellStyle name="Migliaia 27 2 9" xfId="51623" xr:uid="{00000000-0005-0000-0000-000035AD0000}"/>
    <cellStyle name="Migliaia 27 3" xfId="1275" xr:uid="{00000000-0005-0000-0000-000036AD0000}"/>
    <cellStyle name="Migliaia 27 3 10" xfId="52030" xr:uid="{00000000-0005-0000-0000-000037AD0000}"/>
    <cellStyle name="Migliaia 27 3 11" xfId="52438" xr:uid="{00000000-0005-0000-0000-000038AD0000}"/>
    <cellStyle name="Migliaia 27 3 12" xfId="3587" xr:uid="{00000000-0005-0000-0000-000039AD0000}"/>
    <cellStyle name="Migliaia 27 3 2" xfId="1276" xr:uid="{00000000-0005-0000-0000-00003AAD0000}"/>
    <cellStyle name="Migliaia 27 3 2 10" xfId="52439" xr:uid="{00000000-0005-0000-0000-00003BAD0000}"/>
    <cellStyle name="Migliaia 27 3 2 11" xfId="3588" xr:uid="{00000000-0005-0000-0000-00003CAD0000}"/>
    <cellStyle name="Migliaia 27 3 2 2" xfId="2850" xr:uid="{00000000-0005-0000-0000-00003DAD0000}"/>
    <cellStyle name="Migliaia 27 3 2 2 2" xfId="11407" xr:uid="{00000000-0005-0000-0000-00003EAD0000}"/>
    <cellStyle name="Migliaia 27 3 2 3" xfId="3219" xr:uid="{00000000-0005-0000-0000-00003FAD0000}"/>
    <cellStyle name="Migliaia 27 3 2 3 2" xfId="28320" xr:uid="{00000000-0005-0000-0000-000040AD0000}"/>
    <cellStyle name="Migliaia 27 3 2 3 3" xfId="43293" xr:uid="{00000000-0005-0000-0000-000041AD0000}"/>
    <cellStyle name="Migliaia 27 3 2 3 4" xfId="12038" xr:uid="{00000000-0005-0000-0000-000042AD0000}"/>
    <cellStyle name="Migliaia 27 3 2 4" xfId="19310" xr:uid="{00000000-0005-0000-0000-000043AD0000}"/>
    <cellStyle name="Migliaia 27 3 2 4 2" xfId="35391" xr:uid="{00000000-0005-0000-0000-000044AD0000}"/>
    <cellStyle name="Migliaia 27 3 2 4 3" xfId="50347" xr:uid="{00000000-0005-0000-0000-000045AD0000}"/>
    <cellStyle name="Migliaia 27 3 2 5" xfId="21323" xr:uid="{00000000-0005-0000-0000-000046AD0000}"/>
    <cellStyle name="Migliaia 27 3 2 6" xfId="36294" xr:uid="{00000000-0005-0000-0000-000047AD0000}"/>
    <cellStyle name="Migliaia 27 3 2 7" xfId="51231" xr:uid="{00000000-0005-0000-0000-000048AD0000}"/>
    <cellStyle name="Migliaia 27 3 2 8" xfId="51625" xr:uid="{00000000-0005-0000-0000-000049AD0000}"/>
    <cellStyle name="Migliaia 27 3 2 9" xfId="52031" xr:uid="{00000000-0005-0000-0000-00004AAD0000}"/>
    <cellStyle name="Migliaia 27 3 3" xfId="2849" xr:uid="{00000000-0005-0000-0000-00004BAD0000}"/>
    <cellStyle name="Migliaia 27 3 3 2" xfId="20452" xr:uid="{00000000-0005-0000-0000-00004CAD0000}"/>
    <cellStyle name="Migliaia 27 3 3 2 2" xfId="35885" xr:uid="{00000000-0005-0000-0000-00004DAD0000}"/>
    <cellStyle name="Migliaia 27 3 3 2 3" xfId="50841" xr:uid="{00000000-0005-0000-0000-00004EAD0000}"/>
    <cellStyle name="Migliaia 27 3 3 3" xfId="19311" xr:uid="{00000000-0005-0000-0000-00004FAD0000}"/>
    <cellStyle name="Migliaia 27 3 3 3 2" xfId="35392" xr:uid="{00000000-0005-0000-0000-000050AD0000}"/>
    <cellStyle name="Migliaia 27 3 3 3 3" xfId="50348" xr:uid="{00000000-0005-0000-0000-000051AD0000}"/>
    <cellStyle name="Migliaia 27 3 3 4" xfId="11406" xr:uid="{00000000-0005-0000-0000-000052AD0000}"/>
    <cellStyle name="Migliaia 27 3 4" xfId="3218" xr:uid="{00000000-0005-0000-0000-000053AD0000}"/>
    <cellStyle name="Migliaia 27 3 4 2" xfId="20451" xr:uid="{00000000-0005-0000-0000-000054AD0000}"/>
    <cellStyle name="Migliaia 27 3 4 2 2" xfId="35884" xr:uid="{00000000-0005-0000-0000-000055AD0000}"/>
    <cellStyle name="Migliaia 27 3 4 2 3" xfId="50840" xr:uid="{00000000-0005-0000-0000-000056AD0000}"/>
    <cellStyle name="Migliaia 27 3 4 3" xfId="28319" xr:uid="{00000000-0005-0000-0000-000057AD0000}"/>
    <cellStyle name="Migliaia 27 3 4 4" xfId="43292" xr:uid="{00000000-0005-0000-0000-000058AD0000}"/>
    <cellStyle name="Migliaia 27 3 4 5" xfId="12037" xr:uid="{00000000-0005-0000-0000-000059AD0000}"/>
    <cellStyle name="Migliaia 27 3 5" xfId="19309" xr:uid="{00000000-0005-0000-0000-00005AAD0000}"/>
    <cellStyle name="Migliaia 27 3 5 2" xfId="35390" xr:uid="{00000000-0005-0000-0000-00005BAD0000}"/>
    <cellStyle name="Migliaia 27 3 5 3" xfId="50346" xr:uid="{00000000-0005-0000-0000-00005CAD0000}"/>
    <cellStyle name="Migliaia 27 3 6" xfId="21322" xr:uid="{00000000-0005-0000-0000-00005DAD0000}"/>
    <cellStyle name="Migliaia 27 3 7" xfId="36293" xr:uid="{00000000-0005-0000-0000-00005EAD0000}"/>
    <cellStyle name="Migliaia 27 3 8" xfId="51230" xr:uid="{00000000-0005-0000-0000-00005FAD0000}"/>
    <cellStyle name="Migliaia 27 3 9" xfId="51624" xr:uid="{00000000-0005-0000-0000-000060AD0000}"/>
    <cellStyle name="Migliaia 27 4" xfId="2847" xr:uid="{00000000-0005-0000-0000-000061AD0000}"/>
    <cellStyle name="Migliaia 27 4 2" xfId="19313" xr:uid="{00000000-0005-0000-0000-000062AD0000}"/>
    <cellStyle name="Migliaia 27 4 2 2" xfId="20454" xr:uid="{00000000-0005-0000-0000-000063AD0000}"/>
    <cellStyle name="Migliaia 27 4 2 2 2" xfId="35887" xr:uid="{00000000-0005-0000-0000-000064AD0000}"/>
    <cellStyle name="Migliaia 27 4 2 2 3" xfId="50843" xr:uid="{00000000-0005-0000-0000-000065AD0000}"/>
    <cellStyle name="Migliaia 27 4 2 3" xfId="35394" xr:uid="{00000000-0005-0000-0000-000066AD0000}"/>
    <cellStyle name="Migliaia 27 4 2 4" xfId="50350" xr:uid="{00000000-0005-0000-0000-000067AD0000}"/>
    <cellStyle name="Migliaia 27 4 3" xfId="20453" xr:uid="{00000000-0005-0000-0000-000068AD0000}"/>
    <cellStyle name="Migliaia 27 4 3 2" xfId="35886" xr:uid="{00000000-0005-0000-0000-000069AD0000}"/>
    <cellStyle name="Migliaia 27 4 3 3" xfId="50842" xr:uid="{00000000-0005-0000-0000-00006AAD0000}"/>
    <cellStyle name="Migliaia 27 4 4" xfId="19312" xr:uid="{00000000-0005-0000-0000-00006BAD0000}"/>
    <cellStyle name="Migliaia 27 4 4 2" xfId="35393" xr:uid="{00000000-0005-0000-0000-00006CAD0000}"/>
    <cellStyle name="Migliaia 27 4 4 3" xfId="50349" xr:uid="{00000000-0005-0000-0000-00006DAD0000}"/>
    <cellStyle name="Migliaia 27 4 5" xfId="11408" xr:uid="{00000000-0005-0000-0000-00006EAD0000}"/>
    <cellStyle name="Migliaia 27 5" xfId="3216" xr:uid="{00000000-0005-0000-0000-00006FAD0000}"/>
    <cellStyle name="Migliaia 27 5 2" xfId="19314" xr:uid="{00000000-0005-0000-0000-000070AD0000}"/>
    <cellStyle name="Migliaia 27 5 2 2" xfId="35395" xr:uid="{00000000-0005-0000-0000-000071AD0000}"/>
    <cellStyle name="Migliaia 27 5 2 3" xfId="50351" xr:uid="{00000000-0005-0000-0000-000072AD0000}"/>
    <cellStyle name="Migliaia 27 5 3" xfId="11409" xr:uid="{00000000-0005-0000-0000-000073AD0000}"/>
    <cellStyle name="Migliaia 27 6" xfId="11404" xr:uid="{00000000-0005-0000-0000-000074AD0000}"/>
    <cellStyle name="Migliaia 27 7" xfId="12035" xr:uid="{00000000-0005-0000-0000-000075AD0000}"/>
    <cellStyle name="Migliaia 27 7 2" xfId="28317" xr:uid="{00000000-0005-0000-0000-000076AD0000}"/>
    <cellStyle name="Migliaia 27 7 3" xfId="43290" xr:uid="{00000000-0005-0000-0000-000077AD0000}"/>
    <cellStyle name="Migliaia 27 8" xfId="19307" xr:uid="{00000000-0005-0000-0000-000078AD0000}"/>
    <cellStyle name="Migliaia 27 8 2" xfId="35388" xr:uid="{00000000-0005-0000-0000-000079AD0000}"/>
    <cellStyle name="Migliaia 27 8 3" xfId="50344" xr:uid="{00000000-0005-0000-0000-00007AAD0000}"/>
    <cellStyle name="Migliaia 27 9" xfId="21320" xr:uid="{00000000-0005-0000-0000-00007BAD0000}"/>
    <cellStyle name="Migliaia 28" xfId="1277" xr:uid="{00000000-0005-0000-0000-00007CAD0000}"/>
    <cellStyle name="Migliaia 28 10" xfId="36295" xr:uid="{00000000-0005-0000-0000-00007DAD0000}"/>
    <cellStyle name="Migliaia 28 11" xfId="51232" xr:uid="{00000000-0005-0000-0000-00007EAD0000}"/>
    <cellStyle name="Migliaia 28 12" xfId="51626" xr:uid="{00000000-0005-0000-0000-00007FAD0000}"/>
    <cellStyle name="Migliaia 28 13" xfId="52032" xr:uid="{00000000-0005-0000-0000-000080AD0000}"/>
    <cellStyle name="Migliaia 28 14" xfId="52440" xr:uid="{00000000-0005-0000-0000-000081AD0000}"/>
    <cellStyle name="Migliaia 28 15" xfId="3589" xr:uid="{00000000-0005-0000-0000-000082AD0000}"/>
    <cellStyle name="Migliaia 28 2" xfId="1278" xr:uid="{00000000-0005-0000-0000-000083AD0000}"/>
    <cellStyle name="Migliaia 28 2 10" xfId="52033" xr:uid="{00000000-0005-0000-0000-000084AD0000}"/>
    <cellStyle name="Migliaia 28 2 11" xfId="52441" xr:uid="{00000000-0005-0000-0000-000085AD0000}"/>
    <cellStyle name="Migliaia 28 2 12" xfId="3590" xr:uid="{00000000-0005-0000-0000-000086AD0000}"/>
    <cellStyle name="Migliaia 28 2 2" xfId="1279" xr:uid="{00000000-0005-0000-0000-000087AD0000}"/>
    <cellStyle name="Migliaia 28 2 2 10" xfId="3775" xr:uid="{00000000-0005-0000-0000-000088AD0000}"/>
    <cellStyle name="Migliaia 28 2 2 2" xfId="3037" xr:uid="{00000000-0005-0000-0000-000089AD0000}"/>
    <cellStyle name="Migliaia 28 2 2 2 2" xfId="28532" xr:uid="{00000000-0005-0000-0000-00008AAD0000}"/>
    <cellStyle name="Migliaia 28 2 2 2 3" xfId="43495" xr:uid="{00000000-0005-0000-0000-00008BAD0000}"/>
    <cellStyle name="Migliaia 28 2 2 2 4" xfId="12254" xr:uid="{00000000-0005-0000-0000-00008CAD0000}"/>
    <cellStyle name="Migliaia 28 2 2 3" xfId="3406" xr:uid="{00000000-0005-0000-0000-00008DAD0000}"/>
    <cellStyle name="Migliaia 28 2 2 3 2" xfId="35888" xr:uid="{00000000-0005-0000-0000-00008EAD0000}"/>
    <cellStyle name="Migliaia 28 2 2 3 3" xfId="50844" xr:uid="{00000000-0005-0000-0000-00008FAD0000}"/>
    <cellStyle name="Migliaia 28 2 2 3 4" xfId="20455" xr:uid="{00000000-0005-0000-0000-000090AD0000}"/>
    <cellStyle name="Migliaia 28 2 2 4" xfId="21532" xr:uid="{00000000-0005-0000-0000-000091AD0000}"/>
    <cellStyle name="Migliaia 28 2 2 5" xfId="36499" xr:uid="{00000000-0005-0000-0000-000092AD0000}"/>
    <cellStyle name="Migliaia 28 2 2 6" xfId="51437" xr:uid="{00000000-0005-0000-0000-000093AD0000}"/>
    <cellStyle name="Migliaia 28 2 2 7" xfId="51842" xr:uid="{00000000-0005-0000-0000-000094AD0000}"/>
    <cellStyle name="Migliaia 28 2 2 8" xfId="52251" xr:uid="{00000000-0005-0000-0000-000095AD0000}"/>
    <cellStyle name="Migliaia 28 2 2 9" xfId="52656" xr:uid="{00000000-0005-0000-0000-000096AD0000}"/>
    <cellStyle name="Migliaia 28 2 3" xfId="2852" xr:uid="{00000000-0005-0000-0000-000097AD0000}"/>
    <cellStyle name="Migliaia 28 2 3 2" xfId="11411" xr:uid="{00000000-0005-0000-0000-000098AD0000}"/>
    <cellStyle name="Migliaia 28 2 4" xfId="3221" xr:uid="{00000000-0005-0000-0000-000099AD0000}"/>
    <cellStyle name="Migliaia 28 2 4 2" xfId="28322" xr:uid="{00000000-0005-0000-0000-00009AAD0000}"/>
    <cellStyle name="Migliaia 28 2 4 3" xfId="43295" xr:uid="{00000000-0005-0000-0000-00009BAD0000}"/>
    <cellStyle name="Migliaia 28 2 4 4" xfId="12040" xr:uid="{00000000-0005-0000-0000-00009CAD0000}"/>
    <cellStyle name="Migliaia 28 2 5" xfId="19316" xr:uid="{00000000-0005-0000-0000-00009DAD0000}"/>
    <cellStyle name="Migliaia 28 2 5 2" xfId="35397" xr:uid="{00000000-0005-0000-0000-00009EAD0000}"/>
    <cellStyle name="Migliaia 28 2 5 3" xfId="50353" xr:uid="{00000000-0005-0000-0000-00009FAD0000}"/>
    <cellStyle name="Migliaia 28 2 6" xfId="21325" xr:uid="{00000000-0005-0000-0000-0000A0AD0000}"/>
    <cellStyle name="Migliaia 28 2 7" xfId="36296" xr:uid="{00000000-0005-0000-0000-0000A1AD0000}"/>
    <cellStyle name="Migliaia 28 2 8" xfId="51233" xr:uid="{00000000-0005-0000-0000-0000A2AD0000}"/>
    <cellStyle name="Migliaia 28 2 9" xfId="51627" xr:uid="{00000000-0005-0000-0000-0000A3AD0000}"/>
    <cellStyle name="Migliaia 28 3" xfId="1280" xr:uid="{00000000-0005-0000-0000-0000A4AD0000}"/>
    <cellStyle name="Migliaia 28 3 10" xfId="52034" xr:uid="{00000000-0005-0000-0000-0000A5AD0000}"/>
    <cellStyle name="Migliaia 28 3 11" xfId="52442" xr:uid="{00000000-0005-0000-0000-0000A6AD0000}"/>
    <cellStyle name="Migliaia 28 3 12" xfId="3591" xr:uid="{00000000-0005-0000-0000-0000A7AD0000}"/>
    <cellStyle name="Migliaia 28 3 2" xfId="1281" xr:uid="{00000000-0005-0000-0000-0000A8AD0000}"/>
    <cellStyle name="Migliaia 28 3 2 10" xfId="52443" xr:uid="{00000000-0005-0000-0000-0000A9AD0000}"/>
    <cellStyle name="Migliaia 28 3 2 11" xfId="3592" xr:uid="{00000000-0005-0000-0000-0000AAAD0000}"/>
    <cellStyle name="Migliaia 28 3 2 2" xfId="2854" xr:uid="{00000000-0005-0000-0000-0000ABAD0000}"/>
    <cellStyle name="Migliaia 28 3 2 2 2" xfId="11413" xr:uid="{00000000-0005-0000-0000-0000ACAD0000}"/>
    <cellStyle name="Migliaia 28 3 2 3" xfId="3223" xr:uid="{00000000-0005-0000-0000-0000ADAD0000}"/>
    <cellStyle name="Migliaia 28 3 2 3 2" xfId="28324" xr:uid="{00000000-0005-0000-0000-0000AEAD0000}"/>
    <cellStyle name="Migliaia 28 3 2 3 3" xfId="43297" xr:uid="{00000000-0005-0000-0000-0000AFAD0000}"/>
    <cellStyle name="Migliaia 28 3 2 3 4" xfId="12042" xr:uid="{00000000-0005-0000-0000-0000B0AD0000}"/>
    <cellStyle name="Migliaia 28 3 2 4" xfId="19318" xr:uid="{00000000-0005-0000-0000-0000B1AD0000}"/>
    <cellStyle name="Migliaia 28 3 2 4 2" xfId="35399" xr:uid="{00000000-0005-0000-0000-0000B2AD0000}"/>
    <cellStyle name="Migliaia 28 3 2 4 3" xfId="50355" xr:uid="{00000000-0005-0000-0000-0000B3AD0000}"/>
    <cellStyle name="Migliaia 28 3 2 5" xfId="21327" xr:uid="{00000000-0005-0000-0000-0000B4AD0000}"/>
    <cellStyle name="Migliaia 28 3 2 6" xfId="36298" xr:uid="{00000000-0005-0000-0000-0000B5AD0000}"/>
    <cellStyle name="Migliaia 28 3 2 7" xfId="51235" xr:uid="{00000000-0005-0000-0000-0000B6AD0000}"/>
    <cellStyle name="Migliaia 28 3 2 8" xfId="51629" xr:uid="{00000000-0005-0000-0000-0000B7AD0000}"/>
    <cellStyle name="Migliaia 28 3 2 9" xfId="52035" xr:uid="{00000000-0005-0000-0000-0000B8AD0000}"/>
    <cellStyle name="Migliaia 28 3 3" xfId="2853" xr:uid="{00000000-0005-0000-0000-0000B9AD0000}"/>
    <cellStyle name="Migliaia 28 3 3 2" xfId="20457" xr:uid="{00000000-0005-0000-0000-0000BAAD0000}"/>
    <cellStyle name="Migliaia 28 3 3 2 2" xfId="35890" xr:uid="{00000000-0005-0000-0000-0000BBAD0000}"/>
    <cellStyle name="Migliaia 28 3 3 2 3" xfId="50846" xr:uid="{00000000-0005-0000-0000-0000BCAD0000}"/>
    <cellStyle name="Migliaia 28 3 3 3" xfId="19319" xr:uid="{00000000-0005-0000-0000-0000BDAD0000}"/>
    <cellStyle name="Migliaia 28 3 3 3 2" xfId="35400" xr:uid="{00000000-0005-0000-0000-0000BEAD0000}"/>
    <cellStyle name="Migliaia 28 3 3 3 3" xfId="50356" xr:uid="{00000000-0005-0000-0000-0000BFAD0000}"/>
    <cellStyle name="Migliaia 28 3 3 4" xfId="11412" xr:uid="{00000000-0005-0000-0000-0000C0AD0000}"/>
    <cellStyle name="Migliaia 28 3 4" xfId="3222" xr:uid="{00000000-0005-0000-0000-0000C1AD0000}"/>
    <cellStyle name="Migliaia 28 3 4 2" xfId="20456" xr:uid="{00000000-0005-0000-0000-0000C2AD0000}"/>
    <cellStyle name="Migliaia 28 3 4 2 2" xfId="35889" xr:uid="{00000000-0005-0000-0000-0000C3AD0000}"/>
    <cellStyle name="Migliaia 28 3 4 2 3" xfId="50845" xr:uid="{00000000-0005-0000-0000-0000C4AD0000}"/>
    <cellStyle name="Migliaia 28 3 4 3" xfId="28323" xr:uid="{00000000-0005-0000-0000-0000C5AD0000}"/>
    <cellStyle name="Migliaia 28 3 4 4" xfId="43296" xr:uid="{00000000-0005-0000-0000-0000C6AD0000}"/>
    <cellStyle name="Migliaia 28 3 4 5" xfId="12041" xr:uid="{00000000-0005-0000-0000-0000C7AD0000}"/>
    <cellStyle name="Migliaia 28 3 5" xfId="19317" xr:uid="{00000000-0005-0000-0000-0000C8AD0000}"/>
    <cellStyle name="Migliaia 28 3 5 2" xfId="35398" xr:uid="{00000000-0005-0000-0000-0000C9AD0000}"/>
    <cellStyle name="Migliaia 28 3 5 3" xfId="50354" xr:uid="{00000000-0005-0000-0000-0000CAAD0000}"/>
    <cellStyle name="Migliaia 28 3 6" xfId="21326" xr:uid="{00000000-0005-0000-0000-0000CBAD0000}"/>
    <cellStyle name="Migliaia 28 3 7" xfId="36297" xr:uid="{00000000-0005-0000-0000-0000CCAD0000}"/>
    <cellStyle name="Migliaia 28 3 8" xfId="51234" xr:uid="{00000000-0005-0000-0000-0000CDAD0000}"/>
    <cellStyle name="Migliaia 28 3 9" xfId="51628" xr:uid="{00000000-0005-0000-0000-0000CEAD0000}"/>
    <cellStyle name="Migliaia 28 4" xfId="2851" xr:uid="{00000000-0005-0000-0000-0000CFAD0000}"/>
    <cellStyle name="Migliaia 28 4 2" xfId="19321" xr:uid="{00000000-0005-0000-0000-0000D0AD0000}"/>
    <cellStyle name="Migliaia 28 4 2 2" xfId="20459" xr:uid="{00000000-0005-0000-0000-0000D1AD0000}"/>
    <cellStyle name="Migliaia 28 4 2 2 2" xfId="35892" xr:uid="{00000000-0005-0000-0000-0000D2AD0000}"/>
    <cellStyle name="Migliaia 28 4 2 2 3" xfId="50848" xr:uid="{00000000-0005-0000-0000-0000D3AD0000}"/>
    <cellStyle name="Migliaia 28 4 2 3" xfId="35402" xr:uid="{00000000-0005-0000-0000-0000D4AD0000}"/>
    <cellStyle name="Migliaia 28 4 2 4" xfId="50358" xr:uid="{00000000-0005-0000-0000-0000D5AD0000}"/>
    <cellStyle name="Migliaia 28 4 3" xfId="20458" xr:uid="{00000000-0005-0000-0000-0000D6AD0000}"/>
    <cellStyle name="Migliaia 28 4 3 2" xfId="35891" xr:uid="{00000000-0005-0000-0000-0000D7AD0000}"/>
    <cellStyle name="Migliaia 28 4 3 3" xfId="50847" xr:uid="{00000000-0005-0000-0000-0000D8AD0000}"/>
    <cellStyle name="Migliaia 28 4 4" xfId="19320" xr:uid="{00000000-0005-0000-0000-0000D9AD0000}"/>
    <cellStyle name="Migliaia 28 4 4 2" xfId="35401" xr:uid="{00000000-0005-0000-0000-0000DAAD0000}"/>
    <cellStyle name="Migliaia 28 4 4 3" xfId="50357" xr:uid="{00000000-0005-0000-0000-0000DBAD0000}"/>
    <cellStyle name="Migliaia 28 4 5" xfId="11414" xr:uid="{00000000-0005-0000-0000-0000DCAD0000}"/>
    <cellStyle name="Migliaia 28 5" xfId="3220" xr:uid="{00000000-0005-0000-0000-0000DDAD0000}"/>
    <cellStyle name="Migliaia 28 5 2" xfId="19322" xr:uid="{00000000-0005-0000-0000-0000DEAD0000}"/>
    <cellStyle name="Migliaia 28 5 2 2" xfId="35403" xr:uid="{00000000-0005-0000-0000-0000DFAD0000}"/>
    <cellStyle name="Migliaia 28 5 2 3" xfId="50359" xr:uid="{00000000-0005-0000-0000-0000E0AD0000}"/>
    <cellStyle name="Migliaia 28 5 3" xfId="11415" xr:uid="{00000000-0005-0000-0000-0000E1AD0000}"/>
    <cellStyle name="Migliaia 28 6" xfId="11410" xr:uid="{00000000-0005-0000-0000-0000E2AD0000}"/>
    <cellStyle name="Migliaia 28 7" xfId="12039" xr:uid="{00000000-0005-0000-0000-0000E3AD0000}"/>
    <cellStyle name="Migliaia 28 7 2" xfId="28321" xr:uid="{00000000-0005-0000-0000-0000E4AD0000}"/>
    <cellStyle name="Migliaia 28 7 3" xfId="43294" xr:uid="{00000000-0005-0000-0000-0000E5AD0000}"/>
    <cellStyle name="Migliaia 28 8" xfId="19315" xr:uid="{00000000-0005-0000-0000-0000E6AD0000}"/>
    <cellStyle name="Migliaia 28 8 2" xfId="35396" xr:uid="{00000000-0005-0000-0000-0000E7AD0000}"/>
    <cellStyle name="Migliaia 28 8 3" xfId="50352" xr:uid="{00000000-0005-0000-0000-0000E8AD0000}"/>
    <cellStyle name="Migliaia 28 9" xfId="21324" xr:uid="{00000000-0005-0000-0000-0000E9AD0000}"/>
    <cellStyle name="Migliaia 29" xfId="1282" xr:uid="{00000000-0005-0000-0000-0000EAAD0000}"/>
    <cellStyle name="Migliaia 29 10" xfId="36299" xr:uid="{00000000-0005-0000-0000-0000EBAD0000}"/>
    <cellStyle name="Migliaia 29 11" xfId="51236" xr:uid="{00000000-0005-0000-0000-0000ECAD0000}"/>
    <cellStyle name="Migliaia 29 12" xfId="51630" xr:uid="{00000000-0005-0000-0000-0000EDAD0000}"/>
    <cellStyle name="Migliaia 29 13" xfId="52036" xr:uid="{00000000-0005-0000-0000-0000EEAD0000}"/>
    <cellStyle name="Migliaia 29 14" xfId="52444" xr:uid="{00000000-0005-0000-0000-0000EFAD0000}"/>
    <cellStyle name="Migliaia 29 15" xfId="3593" xr:uid="{00000000-0005-0000-0000-0000F0AD0000}"/>
    <cellStyle name="Migliaia 29 2" xfId="1283" xr:uid="{00000000-0005-0000-0000-0000F1AD0000}"/>
    <cellStyle name="Migliaia 29 2 10" xfId="52037" xr:uid="{00000000-0005-0000-0000-0000F2AD0000}"/>
    <cellStyle name="Migliaia 29 2 11" xfId="52445" xr:uid="{00000000-0005-0000-0000-0000F3AD0000}"/>
    <cellStyle name="Migliaia 29 2 12" xfId="3594" xr:uid="{00000000-0005-0000-0000-0000F4AD0000}"/>
    <cellStyle name="Migliaia 29 2 2" xfId="1284" xr:uid="{00000000-0005-0000-0000-0000F5AD0000}"/>
    <cellStyle name="Migliaia 29 2 2 10" xfId="3776" xr:uid="{00000000-0005-0000-0000-0000F6AD0000}"/>
    <cellStyle name="Migliaia 29 2 2 2" xfId="3038" xr:uid="{00000000-0005-0000-0000-0000F7AD0000}"/>
    <cellStyle name="Migliaia 29 2 2 2 2" xfId="28533" xr:uid="{00000000-0005-0000-0000-0000F8AD0000}"/>
    <cellStyle name="Migliaia 29 2 2 2 3" xfId="43496" xr:uid="{00000000-0005-0000-0000-0000F9AD0000}"/>
    <cellStyle name="Migliaia 29 2 2 2 4" xfId="12255" xr:uid="{00000000-0005-0000-0000-0000FAAD0000}"/>
    <cellStyle name="Migliaia 29 2 2 3" xfId="3407" xr:uid="{00000000-0005-0000-0000-0000FBAD0000}"/>
    <cellStyle name="Migliaia 29 2 2 3 2" xfId="35893" xr:uid="{00000000-0005-0000-0000-0000FCAD0000}"/>
    <cellStyle name="Migliaia 29 2 2 3 3" xfId="50849" xr:uid="{00000000-0005-0000-0000-0000FDAD0000}"/>
    <cellStyle name="Migliaia 29 2 2 3 4" xfId="20460" xr:uid="{00000000-0005-0000-0000-0000FEAD0000}"/>
    <cellStyle name="Migliaia 29 2 2 4" xfId="21533" xr:uid="{00000000-0005-0000-0000-0000FFAD0000}"/>
    <cellStyle name="Migliaia 29 2 2 5" xfId="36500" xr:uid="{00000000-0005-0000-0000-000000AE0000}"/>
    <cellStyle name="Migliaia 29 2 2 6" xfId="51438" xr:uid="{00000000-0005-0000-0000-000001AE0000}"/>
    <cellStyle name="Migliaia 29 2 2 7" xfId="51843" xr:uid="{00000000-0005-0000-0000-000002AE0000}"/>
    <cellStyle name="Migliaia 29 2 2 8" xfId="52252" xr:uid="{00000000-0005-0000-0000-000003AE0000}"/>
    <cellStyle name="Migliaia 29 2 2 9" xfId="52657" xr:uid="{00000000-0005-0000-0000-000004AE0000}"/>
    <cellStyle name="Migliaia 29 2 3" xfId="2856" xr:uid="{00000000-0005-0000-0000-000005AE0000}"/>
    <cellStyle name="Migliaia 29 2 3 2" xfId="11417" xr:uid="{00000000-0005-0000-0000-000006AE0000}"/>
    <cellStyle name="Migliaia 29 2 4" xfId="3225" xr:uid="{00000000-0005-0000-0000-000007AE0000}"/>
    <cellStyle name="Migliaia 29 2 4 2" xfId="28326" xr:uid="{00000000-0005-0000-0000-000008AE0000}"/>
    <cellStyle name="Migliaia 29 2 4 3" xfId="43299" xr:uid="{00000000-0005-0000-0000-000009AE0000}"/>
    <cellStyle name="Migliaia 29 2 4 4" xfId="12044" xr:uid="{00000000-0005-0000-0000-00000AAE0000}"/>
    <cellStyle name="Migliaia 29 2 5" xfId="19324" xr:uid="{00000000-0005-0000-0000-00000BAE0000}"/>
    <cellStyle name="Migliaia 29 2 5 2" xfId="35405" xr:uid="{00000000-0005-0000-0000-00000CAE0000}"/>
    <cellStyle name="Migliaia 29 2 5 3" xfId="50361" xr:uid="{00000000-0005-0000-0000-00000DAE0000}"/>
    <cellStyle name="Migliaia 29 2 6" xfId="21329" xr:uid="{00000000-0005-0000-0000-00000EAE0000}"/>
    <cellStyle name="Migliaia 29 2 7" xfId="36300" xr:uid="{00000000-0005-0000-0000-00000FAE0000}"/>
    <cellStyle name="Migliaia 29 2 8" xfId="51237" xr:uid="{00000000-0005-0000-0000-000010AE0000}"/>
    <cellStyle name="Migliaia 29 2 9" xfId="51631" xr:uid="{00000000-0005-0000-0000-000011AE0000}"/>
    <cellStyle name="Migliaia 29 3" xfId="1285" xr:uid="{00000000-0005-0000-0000-000012AE0000}"/>
    <cellStyle name="Migliaia 29 3 10" xfId="52038" xr:uid="{00000000-0005-0000-0000-000013AE0000}"/>
    <cellStyle name="Migliaia 29 3 11" xfId="52446" xr:uid="{00000000-0005-0000-0000-000014AE0000}"/>
    <cellStyle name="Migliaia 29 3 12" xfId="3595" xr:uid="{00000000-0005-0000-0000-000015AE0000}"/>
    <cellStyle name="Migliaia 29 3 2" xfId="1286" xr:uid="{00000000-0005-0000-0000-000016AE0000}"/>
    <cellStyle name="Migliaia 29 3 2 10" xfId="52447" xr:uid="{00000000-0005-0000-0000-000017AE0000}"/>
    <cellStyle name="Migliaia 29 3 2 11" xfId="3596" xr:uid="{00000000-0005-0000-0000-000018AE0000}"/>
    <cellStyle name="Migliaia 29 3 2 2" xfId="2858" xr:uid="{00000000-0005-0000-0000-000019AE0000}"/>
    <cellStyle name="Migliaia 29 3 2 2 2" xfId="11419" xr:uid="{00000000-0005-0000-0000-00001AAE0000}"/>
    <cellStyle name="Migliaia 29 3 2 3" xfId="3227" xr:uid="{00000000-0005-0000-0000-00001BAE0000}"/>
    <cellStyle name="Migliaia 29 3 2 3 2" xfId="28328" xr:uid="{00000000-0005-0000-0000-00001CAE0000}"/>
    <cellStyle name="Migliaia 29 3 2 3 3" xfId="43301" xr:uid="{00000000-0005-0000-0000-00001DAE0000}"/>
    <cellStyle name="Migliaia 29 3 2 3 4" xfId="12046" xr:uid="{00000000-0005-0000-0000-00001EAE0000}"/>
    <cellStyle name="Migliaia 29 3 2 4" xfId="19326" xr:uid="{00000000-0005-0000-0000-00001FAE0000}"/>
    <cellStyle name="Migliaia 29 3 2 4 2" xfId="35407" xr:uid="{00000000-0005-0000-0000-000020AE0000}"/>
    <cellStyle name="Migliaia 29 3 2 4 3" xfId="50363" xr:uid="{00000000-0005-0000-0000-000021AE0000}"/>
    <cellStyle name="Migliaia 29 3 2 5" xfId="21331" xr:uid="{00000000-0005-0000-0000-000022AE0000}"/>
    <cellStyle name="Migliaia 29 3 2 6" xfId="36302" xr:uid="{00000000-0005-0000-0000-000023AE0000}"/>
    <cellStyle name="Migliaia 29 3 2 7" xfId="51239" xr:uid="{00000000-0005-0000-0000-000024AE0000}"/>
    <cellStyle name="Migliaia 29 3 2 8" xfId="51633" xr:uid="{00000000-0005-0000-0000-000025AE0000}"/>
    <cellStyle name="Migliaia 29 3 2 9" xfId="52039" xr:uid="{00000000-0005-0000-0000-000026AE0000}"/>
    <cellStyle name="Migliaia 29 3 3" xfId="2857" xr:uid="{00000000-0005-0000-0000-000027AE0000}"/>
    <cellStyle name="Migliaia 29 3 3 2" xfId="20462" xr:uid="{00000000-0005-0000-0000-000028AE0000}"/>
    <cellStyle name="Migliaia 29 3 3 2 2" xfId="35895" xr:uid="{00000000-0005-0000-0000-000029AE0000}"/>
    <cellStyle name="Migliaia 29 3 3 2 3" xfId="50851" xr:uid="{00000000-0005-0000-0000-00002AAE0000}"/>
    <cellStyle name="Migliaia 29 3 3 3" xfId="19327" xr:uid="{00000000-0005-0000-0000-00002BAE0000}"/>
    <cellStyle name="Migliaia 29 3 3 3 2" xfId="35408" xr:uid="{00000000-0005-0000-0000-00002CAE0000}"/>
    <cellStyle name="Migliaia 29 3 3 3 3" xfId="50364" xr:uid="{00000000-0005-0000-0000-00002DAE0000}"/>
    <cellStyle name="Migliaia 29 3 3 4" xfId="11418" xr:uid="{00000000-0005-0000-0000-00002EAE0000}"/>
    <cellStyle name="Migliaia 29 3 4" xfId="3226" xr:uid="{00000000-0005-0000-0000-00002FAE0000}"/>
    <cellStyle name="Migliaia 29 3 4 2" xfId="20461" xr:uid="{00000000-0005-0000-0000-000030AE0000}"/>
    <cellStyle name="Migliaia 29 3 4 2 2" xfId="35894" xr:uid="{00000000-0005-0000-0000-000031AE0000}"/>
    <cellStyle name="Migliaia 29 3 4 2 3" xfId="50850" xr:uid="{00000000-0005-0000-0000-000032AE0000}"/>
    <cellStyle name="Migliaia 29 3 4 3" xfId="28327" xr:uid="{00000000-0005-0000-0000-000033AE0000}"/>
    <cellStyle name="Migliaia 29 3 4 4" xfId="43300" xr:uid="{00000000-0005-0000-0000-000034AE0000}"/>
    <cellStyle name="Migliaia 29 3 4 5" xfId="12045" xr:uid="{00000000-0005-0000-0000-000035AE0000}"/>
    <cellStyle name="Migliaia 29 3 5" xfId="19325" xr:uid="{00000000-0005-0000-0000-000036AE0000}"/>
    <cellStyle name="Migliaia 29 3 5 2" xfId="35406" xr:uid="{00000000-0005-0000-0000-000037AE0000}"/>
    <cellStyle name="Migliaia 29 3 5 3" xfId="50362" xr:uid="{00000000-0005-0000-0000-000038AE0000}"/>
    <cellStyle name="Migliaia 29 3 6" xfId="21330" xr:uid="{00000000-0005-0000-0000-000039AE0000}"/>
    <cellStyle name="Migliaia 29 3 7" xfId="36301" xr:uid="{00000000-0005-0000-0000-00003AAE0000}"/>
    <cellStyle name="Migliaia 29 3 8" xfId="51238" xr:uid="{00000000-0005-0000-0000-00003BAE0000}"/>
    <cellStyle name="Migliaia 29 3 9" xfId="51632" xr:uid="{00000000-0005-0000-0000-00003CAE0000}"/>
    <cellStyle name="Migliaia 29 4" xfId="2855" xr:uid="{00000000-0005-0000-0000-00003DAE0000}"/>
    <cellStyle name="Migliaia 29 4 2" xfId="19329" xr:uid="{00000000-0005-0000-0000-00003EAE0000}"/>
    <cellStyle name="Migliaia 29 4 2 2" xfId="20464" xr:uid="{00000000-0005-0000-0000-00003FAE0000}"/>
    <cellStyle name="Migliaia 29 4 2 2 2" xfId="35897" xr:uid="{00000000-0005-0000-0000-000040AE0000}"/>
    <cellStyle name="Migliaia 29 4 2 2 3" xfId="50853" xr:uid="{00000000-0005-0000-0000-000041AE0000}"/>
    <cellStyle name="Migliaia 29 4 2 3" xfId="35410" xr:uid="{00000000-0005-0000-0000-000042AE0000}"/>
    <cellStyle name="Migliaia 29 4 2 4" xfId="50366" xr:uid="{00000000-0005-0000-0000-000043AE0000}"/>
    <cellStyle name="Migliaia 29 4 3" xfId="20463" xr:uid="{00000000-0005-0000-0000-000044AE0000}"/>
    <cellStyle name="Migliaia 29 4 3 2" xfId="35896" xr:uid="{00000000-0005-0000-0000-000045AE0000}"/>
    <cellStyle name="Migliaia 29 4 3 3" xfId="50852" xr:uid="{00000000-0005-0000-0000-000046AE0000}"/>
    <cellStyle name="Migliaia 29 4 4" xfId="19328" xr:uid="{00000000-0005-0000-0000-000047AE0000}"/>
    <cellStyle name="Migliaia 29 4 4 2" xfId="35409" xr:uid="{00000000-0005-0000-0000-000048AE0000}"/>
    <cellStyle name="Migliaia 29 4 4 3" xfId="50365" xr:uid="{00000000-0005-0000-0000-000049AE0000}"/>
    <cellStyle name="Migliaia 29 4 5" xfId="11420" xr:uid="{00000000-0005-0000-0000-00004AAE0000}"/>
    <cellStyle name="Migliaia 29 5" xfId="3224" xr:uid="{00000000-0005-0000-0000-00004BAE0000}"/>
    <cellStyle name="Migliaia 29 5 2" xfId="19330" xr:uid="{00000000-0005-0000-0000-00004CAE0000}"/>
    <cellStyle name="Migliaia 29 5 2 2" xfId="35411" xr:uid="{00000000-0005-0000-0000-00004DAE0000}"/>
    <cellStyle name="Migliaia 29 5 2 3" xfId="50367" xr:uid="{00000000-0005-0000-0000-00004EAE0000}"/>
    <cellStyle name="Migliaia 29 5 3" xfId="11421" xr:uid="{00000000-0005-0000-0000-00004FAE0000}"/>
    <cellStyle name="Migliaia 29 6" xfId="11416" xr:uid="{00000000-0005-0000-0000-000050AE0000}"/>
    <cellStyle name="Migliaia 29 7" xfId="12043" xr:uid="{00000000-0005-0000-0000-000051AE0000}"/>
    <cellStyle name="Migliaia 29 7 2" xfId="28325" xr:uid="{00000000-0005-0000-0000-000052AE0000}"/>
    <cellStyle name="Migliaia 29 7 3" xfId="43298" xr:uid="{00000000-0005-0000-0000-000053AE0000}"/>
    <cellStyle name="Migliaia 29 8" xfId="19323" xr:uid="{00000000-0005-0000-0000-000054AE0000}"/>
    <cellStyle name="Migliaia 29 8 2" xfId="35404" xr:uid="{00000000-0005-0000-0000-000055AE0000}"/>
    <cellStyle name="Migliaia 29 8 3" xfId="50360" xr:uid="{00000000-0005-0000-0000-000056AE0000}"/>
    <cellStyle name="Migliaia 29 9" xfId="21328" xr:uid="{00000000-0005-0000-0000-000057AE0000}"/>
    <cellStyle name="Migliaia 3" xfId="1287" xr:uid="{00000000-0005-0000-0000-000058AE0000}"/>
    <cellStyle name="Migliaia 3 10" xfId="36303" xr:uid="{00000000-0005-0000-0000-000059AE0000}"/>
    <cellStyle name="Migliaia 3 11" xfId="51240" xr:uid="{00000000-0005-0000-0000-00005AAE0000}"/>
    <cellStyle name="Migliaia 3 12" xfId="51634" xr:uid="{00000000-0005-0000-0000-00005BAE0000}"/>
    <cellStyle name="Migliaia 3 13" xfId="52040" xr:uid="{00000000-0005-0000-0000-00005CAE0000}"/>
    <cellStyle name="Migliaia 3 14" xfId="52448" xr:uid="{00000000-0005-0000-0000-00005DAE0000}"/>
    <cellStyle name="Migliaia 3 15" xfId="3597" xr:uid="{00000000-0005-0000-0000-00005EAE0000}"/>
    <cellStyle name="Migliaia 3 2" xfId="1288" xr:uid="{00000000-0005-0000-0000-00005FAE0000}"/>
    <cellStyle name="Migliaia 3 2 10" xfId="52041" xr:uid="{00000000-0005-0000-0000-000060AE0000}"/>
    <cellStyle name="Migliaia 3 2 11" xfId="52449" xr:uid="{00000000-0005-0000-0000-000061AE0000}"/>
    <cellStyle name="Migliaia 3 2 12" xfId="3598" xr:uid="{00000000-0005-0000-0000-000062AE0000}"/>
    <cellStyle name="Migliaia 3 2 2" xfId="1289" xr:uid="{00000000-0005-0000-0000-000063AE0000}"/>
    <cellStyle name="Migliaia 3 2 2 10" xfId="3777" xr:uid="{00000000-0005-0000-0000-000064AE0000}"/>
    <cellStyle name="Migliaia 3 2 2 2" xfId="3039" xr:uid="{00000000-0005-0000-0000-000065AE0000}"/>
    <cellStyle name="Migliaia 3 2 2 2 2" xfId="28534" xr:uid="{00000000-0005-0000-0000-000066AE0000}"/>
    <cellStyle name="Migliaia 3 2 2 2 3" xfId="43497" xr:uid="{00000000-0005-0000-0000-000067AE0000}"/>
    <cellStyle name="Migliaia 3 2 2 2 4" xfId="12256" xr:uid="{00000000-0005-0000-0000-000068AE0000}"/>
    <cellStyle name="Migliaia 3 2 2 3" xfId="3408" xr:uid="{00000000-0005-0000-0000-000069AE0000}"/>
    <cellStyle name="Migliaia 3 2 2 3 2" xfId="35898" xr:uid="{00000000-0005-0000-0000-00006AAE0000}"/>
    <cellStyle name="Migliaia 3 2 2 3 3" xfId="50854" xr:uid="{00000000-0005-0000-0000-00006BAE0000}"/>
    <cellStyle name="Migliaia 3 2 2 3 4" xfId="20465" xr:uid="{00000000-0005-0000-0000-00006CAE0000}"/>
    <cellStyle name="Migliaia 3 2 2 4" xfId="21534" xr:uid="{00000000-0005-0000-0000-00006DAE0000}"/>
    <cellStyle name="Migliaia 3 2 2 5" xfId="36501" xr:uid="{00000000-0005-0000-0000-00006EAE0000}"/>
    <cellStyle name="Migliaia 3 2 2 6" xfId="51439" xr:uid="{00000000-0005-0000-0000-00006FAE0000}"/>
    <cellStyle name="Migliaia 3 2 2 7" xfId="51844" xr:uid="{00000000-0005-0000-0000-000070AE0000}"/>
    <cellStyle name="Migliaia 3 2 2 8" xfId="52253" xr:uid="{00000000-0005-0000-0000-000071AE0000}"/>
    <cellStyle name="Migliaia 3 2 2 9" xfId="52658" xr:uid="{00000000-0005-0000-0000-000072AE0000}"/>
    <cellStyle name="Migliaia 3 2 3" xfId="2860" xr:uid="{00000000-0005-0000-0000-000073AE0000}"/>
    <cellStyle name="Migliaia 3 2 3 2" xfId="11423" xr:uid="{00000000-0005-0000-0000-000074AE0000}"/>
    <cellStyle name="Migliaia 3 2 4" xfId="3229" xr:uid="{00000000-0005-0000-0000-000075AE0000}"/>
    <cellStyle name="Migliaia 3 2 4 2" xfId="28330" xr:uid="{00000000-0005-0000-0000-000076AE0000}"/>
    <cellStyle name="Migliaia 3 2 4 3" xfId="43303" xr:uid="{00000000-0005-0000-0000-000077AE0000}"/>
    <cellStyle name="Migliaia 3 2 4 4" xfId="12048" xr:uid="{00000000-0005-0000-0000-000078AE0000}"/>
    <cellStyle name="Migliaia 3 2 5" xfId="19332" xr:uid="{00000000-0005-0000-0000-000079AE0000}"/>
    <cellStyle name="Migliaia 3 2 5 2" xfId="35413" xr:uid="{00000000-0005-0000-0000-00007AAE0000}"/>
    <cellStyle name="Migliaia 3 2 5 3" xfId="50369" xr:uid="{00000000-0005-0000-0000-00007BAE0000}"/>
    <cellStyle name="Migliaia 3 2 6" xfId="21333" xr:uid="{00000000-0005-0000-0000-00007CAE0000}"/>
    <cellStyle name="Migliaia 3 2 7" xfId="36304" xr:uid="{00000000-0005-0000-0000-00007DAE0000}"/>
    <cellStyle name="Migliaia 3 2 8" xfId="51241" xr:uid="{00000000-0005-0000-0000-00007EAE0000}"/>
    <cellStyle name="Migliaia 3 2 9" xfId="51635" xr:uid="{00000000-0005-0000-0000-00007FAE0000}"/>
    <cellStyle name="Migliaia 3 3" xfId="1290" xr:uid="{00000000-0005-0000-0000-000080AE0000}"/>
    <cellStyle name="Migliaia 3 3 10" xfId="52042" xr:uid="{00000000-0005-0000-0000-000081AE0000}"/>
    <cellStyle name="Migliaia 3 3 11" xfId="52450" xr:uid="{00000000-0005-0000-0000-000082AE0000}"/>
    <cellStyle name="Migliaia 3 3 12" xfId="3599" xr:uid="{00000000-0005-0000-0000-000083AE0000}"/>
    <cellStyle name="Migliaia 3 3 2" xfId="1291" xr:uid="{00000000-0005-0000-0000-000084AE0000}"/>
    <cellStyle name="Migliaia 3 3 2 10" xfId="52451" xr:uid="{00000000-0005-0000-0000-000085AE0000}"/>
    <cellStyle name="Migliaia 3 3 2 11" xfId="3600" xr:uid="{00000000-0005-0000-0000-000086AE0000}"/>
    <cellStyle name="Migliaia 3 3 2 2" xfId="2862" xr:uid="{00000000-0005-0000-0000-000087AE0000}"/>
    <cellStyle name="Migliaia 3 3 2 2 2" xfId="11425" xr:uid="{00000000-0005-0000-0000-000088AE0000}"/>
    <cellStyle name="Migliaia 3 3 2 3" xfId="3231" xr:uid="{00000000-0005-0000-0000-000089AE0000}"/>
    <cellStyle name="Migliaia 3 3 2 3 2" xfId="28332" xr:uid="{00000000-0005-0000-0000-00008AAE0000}"/>
    <cellStyle name="Migliaia 3 3 2 3 3" xfId="43305" xr:uid="{00000000-0005-0000-0000-00008BAE0000}"/>
    <cellStyle name="Migliaia 3 3 2 3 4" xfId="12050" xr:uid="{00000000-0005-0000-0000-00008CAE0000}"/>
    <cellStyle name="Migliaia 3 3 2 4" xfId="19334" xr:uid="{00000000-0005-0000-0000-00008DAE0000}"/>
    <cellStyle name="Migliaia 3 3 2 4 2" xfId="35415" xr:uid="{00000000-0005-0000-0000-00008EAE0000}"/>
    <cellStyle name="Migliaia 3 3 2 4 3" xfId="50371" xr:uid="{00000000-0005-0000-0000-00008FAE0000}"/>
    <cellStyle name="Migliaia 3 3 2 5" xfId="21335" xr:uid="{00000000-0005-0000-0000-000090AE0000}"/>
    <cellStyle name="Migliaia 3 3 2 6" xfId="36306" xr:uid="{00000000-0005-0000-0000-000091AE0000}"/>
    <cellStyle name="Migliaia 3 3 2 7" xfId="51243" xr:uid="{00000000-0005-0000-0000-000092AE0000}"/>
    <cellStyle name="Migliaia 3 3 2 8" xfId="51637" xr:uid="{00000000-0005-0000-0000-000093AE0000}"/>
    <cellStyle name="Migliaia 3 3 2 9" xfId="52043" xr:uid="{00000000-0005-0000-0000-000094AE0000}"/>
    <cellStyle name="Migliaia 3 3 3" xfId="2861" xr:uid="{00000000-0005-0000-0000-000095AE0000}"/>
    <cellStyle name="Migliaia 3 3 3 2" xfId="20467" xr:uid="{00000000-0005-0000-0000-000096AE0000}"/>
    <cellStyle name="Migliaia 3 3 3 2 2" xfId="35900" xr:uid="{00000000-0005-0000-0000-000097AE0000}"/>
    <cellStyle name="Migliaia 3 3 3 2 3" xfId="50856" xr:uid="{00000000-0005-0000-0000-000098AE0000}"/>
    <cellStyle name="Migliaia 3 3 3 3" xfId="19335" xr:uid="{00000000-0005-0000-0000-000099AE0000}"/>
    <cellStyle name="Migliaia 3 3 3 3 2" xfId="35416" xr:uid="{00000000-0005-0000-0000-00009AAE0000}"/>
    <cellStyle name="Migliaia 3 3 3 3 3" xfId="50372" xr:uid="{00000000-0005-0000-0000-00009BAE0000}"/>
    <cellStyle name="Migliaia 3 3 3 4" xfId="11424" xr:uid="{00000000-0005-0000-0000-00009CAE0000}"/>
    <cellStyle name="Migliaia 3 3 4" xfId="3230" xr:uid="{00000000-0005-0000-0000-00009DAE0000}"/>
    <cellStyle name="Migliaia 3 3 4 2" xfId="20466" xr:uid="{00000000-0005-0000-0000-00009EAE0000}"/>
    <cellStyle name="Migliaia 3 3 4 2 2" xfId="35899" xr:uid="{00000000-0005-0000-0000-00009FAE0000}"/>
    <cellStyle name="Migliaia 3 3 4 2 3" xfId="50855" xr:uid="{00000000-0005-0000-0000-0000A0AE0000}"/>
    <cellStyle name="Migliaia 3 3 4 3" xfId="28331" xr:uid="{00000000-0005-0000-0000-0000A1AE0000}"/>
    <cellStyle name="Migliaia 3 3 4 4" xfId="43304" xr:uid="{00000000-0005-0000-0000-0000A2AE0000}"/>
    <cellStyle name="Migliaia 3 3 4 5" xfId="12049" xr:uid="{00000000-0005-0000-0000-0000A3AE0000}"/>
    <cellStyle name="Migliaia 3 3 5" xfId="19333" xr:uid="{00000000-0005-0000-0000-0000A4AE0000}"/>
    <cellStyle name="Migliaia 3 3 5 2" xfId="35414" xr:uid="{00000000-0005-0000-0000-0000A5AE0000}"/>
    <cellStyle name="Migliaia 3 3 5 3" xfId="50370" xr:uid="{00000000-0005-0000-0000-0000A6AE0000}"/>
    <cellStyle name="Migliaia 3 3 6" xfId="21334" xr:uid="{00000000-0005-0000-0000-0000A7AE0000}"/>
    <cellStyle name="Migliaia 3 3 7" xfId="36305" xr:uid="{00000000-0005-0000-0000-0000A8AE0000}"/>
    <cellStyle name="Migliaia 3 3 8" xfId="51242" xr:uid="{00000000-0005-0000-0000-0000A9AE0000}"/>
    <cellStyle name="Migliaia 3 3 9" xfId="51636" xr:uid="{00000000-0005-0000-0000-0000AAAE0000}"/>
    <cellStyle name="Migliaia 3 4" xfId="2859" xr:uid="{00000000-0005-0000-0000-0000ABAE0000}"/>
    <cellStyle name="Migliaia 3 4 2" xfId="19337" xr:uid="{00000000-0005-0000-0000-0000ACAE0000}"/>
    <cellStyle name="Migliaia 3 4 2 2" xfId="20469" xr:uid="{00000000-0005-0000-0000-0000ADAE0000}"/>
    <cellStyle name="Migliaia 3 4 2 2 2" xfId="35902" xr:uid="{00000000-0005-0000-0000-0000AEAE0000}"/>
    <cellStyle name="Migliaia 3 4 2 2 3" xfId="50858" xr:uid="{00000000-0005-0000-0000-0000AFAE0000}"/>
    <cellStyle name="Migliaia 3 4 2 3" xfId="35418" xr:uid="{00000000-0005-0000-0000-0000B0AE0000}"/>
    <cellStyle name="Migliaia 3 4 2 4" xfId="50374" xr:uid="{00000000-0005-0000-0000-0000B1AE0000}"/>
    <cellStyle name="Migliaia 3 4 3" xfId="20468" xr:uid="{00000000-0005-0000-0000-0000B2AE0000}"/>
    <cellStyle name="Migliaia 3 4 3 2" xfId="35901" xr:uid="{00000000-0005-0000-0000-0000B3AE0000}"/>
    <cellStyle name="Migliaia 3 4 3 3" xfId="50857" xr:uid="{00000000-0005-0000-0000-0000B4AE0000}"/>
    <cellStyle name="Migliaia 3 4 4" xfId="19336" xr:uid="{00000000-0005-0000-0000-0000B5AE0000}"/>
    <cellStyle name="Migliaia 3 4 4 2" xfId="35417" xr:uid="{00000000-0005-0000-0000-0000B6AE0000}"/>
    <cellStyle name="Migliaia 3 4 4 3" xfId="50373" xr:uid="{00000000-0005-0000-0000-0000B7AE0000}"/>
    <cellStyle name="Migliaia 3 4 5" xfId="11426" xr:uid="{00000000-0005-0000-0000-0000B8AE0000}"/>
    <cellStyle name="Migliaia 3 5" xfId="3228" xr:uid="{00000000-0005-0000-0000-0000B9AE0000}"/>
    <cellStyle name="Migliaia 3 5 2" xfId="19338" xr:uid="{00000000-0005-0000-0000-0000BAAE0000}"/>
    <cellStyle name="Migliaia 3 5 2 2" xfId="35419" xr:uid="{00000000-0005-0000-0000-0000BBAE0000}"/>
    <cellStyle name="Migliaia 3 5 2 3" xfId="50375" xr:uid="{00000000-0005-0000-0000-0000BCAE0000}"/>
    <cellStyle name="Migliaia 3 5 3" xfId="11427" xr:uid="{00000000-0005-0000-0000-0000BDAE0000}"/>
    <cellStyle name="Migliaia 3 6" xfId="11422" xr:uid="{00000000-0005-0000-0000-0000BEAE0000}"/>
    <cellStyle name="Migliaia 3 7" xfId="12047" xr:uid="{00000000-0005-0000-0000-0000BFAE0000}"/>
    <cellStyle name="Migliaia 3 7 2" xfId="28329" xr:uid="{00000000-0005-0000-0000-0000C0AE0000}"/>
    <cellStyle name="Migliaia 3 7 3" xfId="43302" xr:uid="{00000000-0005-0000-0000-0000C1AE0000}"/>
    <cellStyle name="Migliaia 3 8" xfId="19331" xr:uid="{00000000-0005-0000-0000-0000C2AE0000}"/>
    <cellStyle name="Migliaia 3 8 2" xfId="35412" xr:uid="{00000000-0005-0000-0000-0000C3AE0000}"/>
    <cellStyle name="Migliaia 3 8 3" xfId="50368" xr:uid="{00000000-0005-0000-0000-0000C4AE0000}"/>
    <cellStyle name="Migliaia 3 9" xfId="21332" xr:uid="{00000000-0005-0000-0000-0000C5AE0000}"/>
    <cellStyle name="Migliaia 30" xfId="1292" xr:uid="{00000000-0005-0000-0000-0000C6AE0000}"/>
    <cellStyle name="Migliaia 30 10" xfId="36307" xr:uid="{00000000-0005-0000-0000-0000C7AE0000}"/>
    <cellStyle name="Migliaia 30 11" xfId="51244" xr:uid="{00000000-0005-0000-0000-0000C8AE0000}"/>
    <cellStyle name="Migliaia 30 12" xfId="51638" xr:uid="{00000000-0005-0000-0000-0000C9AE0000}"/>
    <cellStyle name="Migliaia 30 13" xfId="52044" xr:uid="{00000000-0005-0000-0000-0000CAAE0000}"/>
    <cellStyle name="Migliaia 30 14" xfId="52452" xr:uid="{00000000-0005-0000-0000-0000CBAE0000}"/>
    <cellStyle name="Migliaia 30 15" xfId="3601" xr:uid="{00000000-0005-0000-0000-0000CCAE0000}"/>
    <cellStyle name="Migliaia 30 2" xfId="1293" xr:uid="{00000000-0005-0000-0000-0000CDAE0000}"/>
    <cellStyle name="Migliaia 30 2 10" xfId="52045" xr:uid="{00000000-0005-0000-0000-0000CEAE0000}"/>
    <cellStyle name="Migliaia 30 2 11" xfId="52453" xr:uid="{00000000-0005-0000-0000-0000CFAE0000}"/>
    <cellStyle name="Migliaia 30 2 12" xfId="3602" xr:uid="{00000000-0005-0000-0000-0000D0AE0000}"/>
    <cellStyle name="Migliaia 30 2 2" xfId="1294" xr:uid="{00000000-0005-0000-0000-0000D1AE0000}"/>
    <cellStyle name="Migliaia 30 2 2 10" xfId="3778" xr:uid="{00000000-0005-0000-0000-0000D2AE0000}"/>
    <cellStyle name="Migliaia 30 2 2 2" xfId="3040" xr:uid="{00000000-0005-0000-0000-0000D3AE0000}"/>
    <cellStyle name="Migliaia 30 2 2 2 2" xfId="28535" xr:uid="{00000000-0005-0000-0000-0000D4AE0000}"/>
    <cellStyle name="Migliaia 30 2 2 2 3" xfId="43498" xr:uid="{00000000-0005-0000-0000-0000D5AE0000}"/>
    <cellStyle name="Migliaia 30 2 2 2 4" xfId="12257" xr:uid="{00000000-0005-0000-0000-0000D6AE0000}"/>
    <cellStyle name="Migliaia 30 2 2 3" xfId="3409" xr:uid="{00000000-0005-0000-0000-0000D7AE0000}"/>
    <cellStyle name="Migliaia 30 2 2 3 2" xfId="35903" xr:uid="{00000000-0005-0000-0000-0000D8AE0000}"/>
    <cellStyle name="Migliaia 30 2 2 3 3" xfId="50859" xr:uid="{00000000-0005-0000-0000-0000D9AE0000}"/>
    <cellStyle name="Migliaia 30 2 2 3 4" xfId="20470" xr:uid="{00000000-0005-0000-0000-0000DAAE0000}"/>
    <cellStyle name="Migliaia 30 2 2 4" xfId="21535" xr:uid="{00000000-0005-0000-0000-0000DBAE0000}"/>
    <cellStyle name="Migliaia 30 2 2 5" xfId="36502" xr:uid="{00000000-0005-0000-0000-0000DCAE0000}"/>
    <cellStyle name="Migliaia 30 2 2 6" xfId="51440" xr:uid="{00000000-0005-0000-0000-0000DDAE0000}"/>
    <cellStyle name="Migliaia 30 2 2 7" xfId="51845" xr:uid="{00000000-0005-0000-0000-0000DEAE0000}"/>
    <cellStyle name="Migliaia 30 2 2 8" xfId="52254" xr:uid="{00000000-0005-0000-0000-0000DFAE0000}"/>
    <cellStyle name="Migliaia 30 2 2 9" xfId="52659" xr:uid="{00000000-0005-0000-0000-0000E0AE0000}"/>
    <cellStyle name="Migliaia 30 2 3" xfId="2864" xr:uid="{00000000-0005-0000-0000-0000E1AE0000}"/>
    <cellStyle name="Migliaia 30 2 3 2" xfId="11429" xr:uid="{00000000-0005-0000-0000-0000E2AE0000}"/>
    <cellStyle name="Migliaia 30 2 4" xfId="3233" xr:uid="{00000000-0005-0000-0000-0000E3AE0000}"/>
    <cellStyle name="Migliaia 30 2 4 2" xfId="28334" xr:uid="{00000000-0005-0000-0000-0000E4AE0000}"/>
    <cellStyle name="Migliaia 30 2 4 3" xfId="43307" xr:uid="{00000000-0005-0000-0000-0000E5AE0000}"/>
    <cellStyle name="Migliaia 30 2 4 4" xfId="12052" xr:uid="{00000000-0005-0000-0000-0000E6AE0000}"/>
    <cellStyle name="Migliaia 30 2 5" xfId="19340" xr:uid="{00000000-0005-0000-0000-0000E7AE0000}"/>
    <cellStyle name="Migliaia 30 2 5 2" xfId="35421" xr:uid="{00000000-0005-0000-0000-0000E8AE0000}"/>
    <cellStyle name="Migliaia 30 2 5 3" xfId="50377" xr:uid="{00000000-0005-0000-0000-0000E9AE0000}"/>
    <cellStyle name="Migliaia 30 2 6" xfId="21337" xr:uid="{00000000-0005-0000-0000-0000EAAE0000}"/>
    <cellStyle name="Migliaia 30 2 7" xfId="36308" xr:uid="{00000000-0005-0000-0000-0000EBAE0000}"/>
    <cellStyle name="Migliaia 30 2 8" xfId="51245" xr:uid="{00000000-0005-0000-0000-0000ECAE0000}"/>
    <cellStyle name="Migliaia 30 2 9" xfId="51639" xr:uid="{00000000-0005-0000-0000-0000EDAE0000}"/>
    <cellStyle name="Migliaia 30 3" xfId="1295" xr:uid="{00000000-0005-0000-0000-0000EEAE0000}"/>
    <cellStyle name="Migliaia 30 3 10" xfId="52046" xr:uid="{00000000-0005-0000-0000-0000EFAE0000}"/>
    <cellStyle name="Migliaia 30 3 11" xfId="52454" xr:uid="{00000000-0005-0000-0000-0000F0AE0000}"/>
    <cellStyle name="Migliaia 30 3 12" xfId="3603" xr:uid="{00000000-0005-0000-0000-0000F1AE0000}"/>
    <cellStyle name="Migliaia 30 3 2" xfId="1296" xr:uid="{00000000-0005-0000-0000-0000F2AE0000}"/>
    <cellStyle name="Migliaia 30 3 2 10" xfId="52455" xr:uid="{00000000-0005-0000-0000-0000F3AE0000}"/>
    <cellStyle name="Migliaia 30 3 2 11" xfId="3604" xr:uid="{00000000-0005-0000-0000-0000F4AE0000}"/>
    <cellStyle name="Migliaia 30 3 2 2" xfId="2866" xr:uid="{00000000-0005-0000-0000-0000F5AE0000}"/>
    <cellStyle name="Migliaia 30 3 2 2 2" xfId="11431" xr:uid="{00000000-0005-0000-0000-0000F6AE0000}"/>
    <cellStyle name="Migliaia 30 3 2 3" xfId="3235" xr:uid="{00000000-0005-0000-0000-0000F7AE0000}"/>
    <cellStyle name="Migliaia 30 3 2 3 2" xfId="28336" xr:uid="{00000000-0005-0000-0000-0000F8AE0000}"/>
    <cellStyle name="Migliaia 30 3 2 3 3" xfId="43309" xr:uid="{00000000-0005-0000-0000-0000F9AE0000}"/>
    <cellStyle name="Migliaia 30 3 2 3 4" xfId="12054" xr:uid="{00000000-0005-0000-0000-0000FAAE0000}"/>
    <cellStyle name="Migliaia 30 3 2 4" xfId="19342" xr:uid="{00000000-0005-0000-0000-0000FBAE0000}"/>
    <cellStyle name="Migliaia 30 3 2 4 2" xfId="35423" xr:uid="{00000000-0005-0000-0000-0000FCAE0000}"/>
    <cellStyle name="Migliaia 30 3 2 4 3" xfId="50379" xr:uid="{00000000-0005-0000-0000-0000FDAE0000}"/>
    <cellStyle name="Migliaia 30 3 2 5" xfId="21339" xr:uid="{00000000-0005-0000-0000-0000FEAE0000}"/>
    <cellStyle name="Migliaia 30 3 2 6" xfId="36310" xr:uid="{00000000-0005-0000-0000-0000FFAE0000}"/>
    <cellStyle name="Migliaia 30 3 2 7" xfId="51247" xr:uid="{00000000-0005-0000-0000-000000AF0000}"/>
    <cellStyle name="Migliaia 30 3 2 8" xfId="51641" xr:uid="{00000000-0005-0000-0000-000001AF0000}"/>
    <cellStyle name="Migliaia 30 3 2 9" xfId="52047" xr:uid="{00000000-0005-0000-0000-000002AF0000}"/>
    <cellStyle name="Migliaia 30 3 3" xfId="2865" xr:uid="{00000000-0005-0000-0000-000003AF0000}"/>
    <cellStyle name="Migliaia 30 3 3 2" xfId="20472" xr:uid="{00000000-0005-0000-0000-000004AF0000}"/>
    <cellStyle name="Migliaia 30 3 3 2 2" xfId="35905" xr:uid="{00000000-0005-0000-0000-000005AF0000}"/>
    <cellStyle name="Migliaia 30 3 3 2 3" xfId="50861" xr:uid="{00000000-0005-0000-0000-000006AF0000}"/>
    <cellStyle name="Migliaia 30 3 3 3" xfId="19343" xr:uid="{00000000-0005-0000-0000-000007AF0000}"/>
    <cellStyle name="Migliaia 30 3 3 3 2" xfId="35424" xr:uid="{00000000-0005-0000-0000-000008AF0000}"/>
    <cellStyle name="Migliaia 30 3 3 3 3" xfId="50380" xr:uid="{00000000-0005-0000-0000-000009AF0000}"/>
    <cellStyle name="Migliaia 30 3 3 4" xfId="11430" xr:uid="{00000000-0005-0000-0000-00000AAF0000}"/>
    <cellStyle name="Migliaia 30 3 4" xfId="3234" xr:uid="{00000000-0005-0000-0000-00000BAF0000}"/>
    <cellStyle name="Migliaia 30 3 4 2" xfId="20471" xr:uid="{00000000-0005-0000-0000-00000CAF0000}"/>
    <cellStyle name="Migliaia 30 3 4 2 2" xfId="35904" xr:uid="{00000000-0005-0000-0000-00000DAF0000}"/>
    <cellStyle name="Migliaia 30 3 4 2 3" xfId="50860" xr:uid="{00000000-0005-0000-0000-00000EAF0000}"/>
    <cellStyle name="Migliaia 30 3 4 3" xfId="28335" xr:uid="{00000000-0005-0000-0000-00000FAF0000}"/>
    <cellStyle name="Migliaia 30 3 4 4" xfId="43308" xr:uid="{00000000-0005-0000-0000-000010AF0000}"/>
    <cellStyle name="Migliaia 30 3 4 5" xfId="12053" xr:uid="{00000000-0005-0000-0000-000011AF0000}"/>
    <cellStyle name="Migliaia 30 3 5" xfId="19341" xr:uid="{00000000-0005-0000-0000-000012AF0000}"/>
    <cellStyle name="Migliaia 30 3 5 2" xfId="35422" xr:uid="{00000000-0005-0000-0000-000013AF0000}"/>
    <cellStyle name="Migliaia 30 3 5 3" xfId="50378" xr:uid="{00000000-0005-0000-0000-000014AF0000}"/>
    <cellStyle name="Migliaia 30 3 6" xfId="21338" xr:uid="{00000000-0005-0000-0000-000015AF0000}"/>
    <cellStyle name="Migliaia 30 3 7" xfId="36309" xr:uid="{00000000-0005-0000-0000-000016AF0000}"/>
    <cellStyle name="Migliaia 30 3 8" xfId="51246" xr:uid="{00000000-0005-0000-0000-000017AF0000}"/>
    <cellStyle name="Migliaia 30 3 9" xfId="51640" xr:uid="{00000000-0005-0000-0000-000018AF0000}"/>
    <cellStyle name="Migliaia 30 4" xfId="2863" xr:uid="{00000000-0005-0000-0000-000019AF0000}"/>
    <cellStyle name="Migliaia 30 4 2" xfId="19345" xr:uid="{00000000-0005-0000-0000-00001AAF0000}"/>
    <cellStyle name="Migliaia 30 4 2 2" xfId="20474" xr:uid="{00000000-0005-0000-0000-00001BAF0000}"/>
    <cellStyle name="Migliaia 30 4 2 2 2" xfId="35907" xr:uid="{00000000-0005-0000-0000-00001CAF0000}"/>
    <cellStyle name="Migliaia 30 4 2 2 3" xfId="50863" xr:uid="{00000000-0005-0000-0000-00001DAF0000}"/>
    <cellStyle name="Migliaia 30 4 2 3" xfId="35426" xr:uid="{00000000-0005-0000-0000-00001EAF0000}"/>
    <cellStyle name="Migliaia 30 4 2 4" xfId="50382" xr:uid="{00000000-0005-0000-0000-00001FAF0000}"/>
    <cellStyle name="Migliaia 30 4 3" xfId="20473" xr:uid="{00000000-0005-0000-0000-000020AF0000}"/>
    <cellStyle name="Migliaia 30 4 3 2" xfId="35906" xr:uid="{00000000-0005-0000-0000-000021AF0000}"/>
    <cellStyle name="Migliaia 30 4 3 3" xfId="50862" xr:uid="{00000000-0005-0000-0000-000022AF0000}"/>
    <cellStyle name="Migliaia 30 4 4" xfId="19344" xr:uid="{00000000-0005-0000-0000-000023AF0000}"/>
    <cellStyle name="Migliaia 30 4 4 2" xfId="35425" xr:uid="{00000000-0005-0000-0000-000024AF0000}"/>
    <cellStyle name="Migliaia 30 4 4 3" xfId="50381" xr:uid="{00000000-0005-0000-0000-000025AF0000}"/>
    <cellStyle name="Migliaia 30 4 5" xfId="11432" xr:uid="{00000000-0005-0000-0000-000026AF0000}"/>
    <cellStyle name="Migliaia 30 5" xfId="3232" xr:uid="{00000000-0005-0000-0000-000027AF0000}"/>
    <cellStyle name="Migliaia 30 5 2" xfId="19346" xr:uid="{00000000-0005-0000-0000-000028AF0000}"/>
    <cellStyle name="Migliaia 30 5 2 2" xfId="35427" xr:uid="{00000000-0005-0000-0000-000029AF0000}"/>
    <cellStyle name="Migliaia 30 5 2 3" xfId="50383" xr:uid="{00000000-0005-0000-0000-00002AAF0000}"/>
    <cellStyle name="Migliaia 30 5 3" xfId="11433" xr:uid="{00000000-0005-0000-0000-00002BAF0000}"/>
    <cellStyle name="Migliaia 30 6" xfId="11428" xr:uid="{00000000-0005-0000-0000-00002CAF0000}"/>
    <cellStyle name="Migliaia 30 7" xfId="12051" xr:uid="{00000000-0005-0000-0000-00002DAF0000}"/>
    <cellStyle name="Migliaia 30 7 2" xfId="28333" xr:uid="{00000000-0005-0000-0000-00002EAF0000}"/>
    <cellStyle name="Migliaia 30 7 3" xfId="43306" xr:uid="{00000000-0005-0000-0000-00002FAF0000}"/>
    <cellStyle name="Migliaia 30 8" xfId="19339" xr:uid="{00000000-0005-0000-0000-000030AF0000}"/>
    <cellStyle name="Migliaia 30 8 2" xfId="35420" xr:uid="{00000000-0005-0000-0000-000031AF0000}"/>
    <cellStyle name="Migliaia 30 8 3" xfId="50376" xr:uid="{00000000-0005-0000-0000-000032AF0000}"/>
    <cellStyle name="Migliaia 30 9" xfId="21336" xr:uid="{00000000-0005-0000-0000-000033AF0000}"/>
    <cellStyle name="Migliaia 31" xfId="1297" xr:uid="{00000000-0005-0000-0000-000034AF0000}"/>
    <cellStyle name="Migliaia 31 10" xfId="36311" xr:uid="{00000000-0005-0000-0000-000035AF0000}"/>
    <cellStyle name="Migliaia 31 11" xfId="51248" xr:uid="{00000000-0005-0000-0000-000036AF0000}"/>
    <cellStyle name="Migliaia 31 12" xfId="51642" xr:uid="{00000000-0005-0000-0000-000037AF0000}"/>
    <cellStyle name="Migliaia 31 13" xfId="52048" xr:uid="{00000000-0005-0000-0000-000038AF0000}"/>
    <cellStyle name="Migliaia 31 14" xfId="52456" xr:uid="{00000000-0005-0000-0000-000039AF0000}"/>
    <cellStyle name="Migliaia 31 15" xfId="3605" xr:uid="{00000000-0005-0000-0000-00003AAF0000}"/>
    <cellStyle name="Migliaia 31 2" xfId="1298" xr:uid="{00000000-0005-0000-0000-00003BAF0000}"/>
    <cellStyle name="Migliaia 31 2 10" xfId="52049" xr:uid="{00000000-0005-0000-0000-00003CAF0000}"/>
    <cellStyle name="Migliaia 31 2 11" xfId="52457" xr:uid="{00000000-0005-0000-0000-00003DAF0000}"/>
    <cellStyle name="Migliaia 31 2 12" xfId="3606" xr:uid="{00000000-0005-0000-0000-00003EAF0000}"/>
    <cellStyle name="Migliaia 31 2 2" xfId="1299" xr:uid="{00000000-0005-0000-0000-00003FAF0000}"/>
    <cellStyle name="Migliaia 31 2 2 10" xfId="3779" xr:uid="{00000000-0005-0000-0000-000040AF0000}"/>
    <cellStyle name="Migliaia 31 2 2 2" xfId="3041" xr:uid="{00000000-0005-0000-0000-000041AF0000}"/>
    <cellStyle name="Migliaia 31 2 2 2 2" xfId="28536" xr:uid="{00000000-0005-0000-0000-000042AF0000}"/>
    <cellStyle name="Migliaia 31 2 2 2 3" xfId="43499" xr:uid="{00000000-0005-0000-0000-000043AF0000}"/>
    <cellStyle name="Migliaia 31 2 2 2 4" xfId="12258" xr:uid="{00000000-0005-0000-0000-000044AF0000}"/>
    <cellStyle name="Migliaia 31 2 2 3" xfId="3410" xr:uid="{00000000-0005-0000-0000-000045AF0000}"/>
    <cellStyle name="Migliaia 31 2 2 3 2" xfId="35908" xr:uid="{00000000-0005-0000-0000-000046AF0000}"/>
    <cellStyle name="Migliaia 31 2 2 3 3" xfId="50864" xr:uid="{00000000-0005-0000-0000-000047AF0000}"/>
    <cellStyle name="Migliaia 31 2 2 3 4" xfId="20475" xr:uid="{00000000-0005-0000-0000-000048AF0000}"/>
    <cellStyle name="Migliaia 31 2 2 4" xfId="21536" xr:uid="{00000000-0005-0000-0000-000049AF0000}"/>
    <cellStyle name="Migliaia 31 2 2 5" xfId="36503" xr:uid="{00000000-0005-0000-0000-00004AAF0000}"/>
    <cellStyle name="Migliaia 31 2 2 6" xfId="51441" xr:uid="{00000000-0005-0000-0000-00004BAF0000}"/>
    <cellStyle name="Migliaia 31 2 2 7" xfId="51846" xr:uid="{00000000-0005-0000-0000-00004CAF0000}"/>
    <cellStyle name="Migliaia 31 2 2 8" xfId="52255" xr:uid="{00000000-0005-0000-0000-00004DAF0000}"/>
    <cellStyle name="Migliaia 31 2 2 9" xfId="52660" xr:uid="{00000000-0005-0000-0000-00004EAF0000}"/>
    <cellStyle name="Migliaia 31 2 3" xfId="2868" xr:uid="{00000000-0005-0000-0000-00004FAF0000}"/>
    <cellStyle name="Migliaia 31 2 3 2" xfId="11435" xr:uid="{00000000-0005-0000-0000-000050AF0000}"/>
    <cellStyle name="Migliaia 31 2 4" xfId="3237" xr:uid="{00000000-0005-0000-0000-000051AF0000}"/>
    <cellStyle name="Migliaia 31 2 4 2" xfId="28338" xr:uid="{00000000-0005-0000-0000-000052AF0000}"/>
    <cellStyle name="Migliaia 31 2 4 3" xfId="43311" xr:uid="{00000000-0005-0000-0000-000053AF0000}"/>
    <cellStyle name="Migliaia 31 2 4 4" xfId="12056" xr:uid="{00000000-0005-0000-0000-000054AF0000}"/>
    <cellStyle name="Migliaia 31 2 5" xfId="19348" xr:uid="{00000000-0005-0000-0000-000055AF0000}"/>
    <cellStyle name="Migliaia 31 2 5 2" xfId="35429" xr:uid="{00000000-0005-0000-0000-000056AF0000}"/>
    <cellStyle name="Migliaia 31 2 5 3" xfId="50385" xr:uid="{00000000-0005-0000-0000-000057AF0000}"/>
    <cellStyle name="Migliaia 31 2 6" xfId="21341" xr:uid="{00000000-0005-0000-0000-000058AF0000}"/>
    <cellStyle name="Migliaia 31 2 7" xfId="36312" xr:uid="{00000000-0005-0000-0000-000059AF0000}"/>
    <cellStyle name="Migliaia 31 2 8" xfId="51249" xr:uid="{00000000-0005-0000-0000-00005AAF0000}"/>
    <cellStyle name="Migliaia 31 2 9" xfId="51643" xr:uid="{00000000-0005-0000-0000-00005BAF0000}"/>
    <cellStyle name="Migliaia 31 3" xfId="1300" xr:uid="{00000000-0005-0000-0000-00005CAF0000}"/>
    <cellStyle name="Migliaia 31 3 10" xfId="52050" xr:uid="{00000000-0005-0000-0000-00005DAF0000}"/>
    <cellStyle name="Migliaia 31 3 11" xfId="52458" xr:uid="{00000000-0005-0000-0000-00005EAF0000}"/>
    <cellStyle name="Migliaia 31 3 12" xfId="3607" xr:uid="{00000000-0005-0000-0000-00005FAF0000}"/>
    <cellStyle name="Migliaia 31 3 2" xfId="1301" xr:uid="{00000000-0005-0000-0000-000060AF0000}"/>
    <cellStyle name="Migliaia 31 3 2 10" xfId="52459" xr:uid="{00000000-0005-0000-0000-000061AF0000}"/>
    <cellStyle name="Migliaia 31 3 2 11" xfId="3608" xr:uid="{00000000-0005-0000-0000-000062AF0000}"/>
    <cellStyle name="Migliaia 31 3 2 2" xfId="2870" xr:uid="{00000000-0005-0000-0000-000063AF0000}"/>
    <cellStyle name="Migliaia 31 3 2 2 2" xfId="11437" xr:uid="{00000000-0005-0000-0000-000064AF0000}"/>
    <cellStyle name="Migliaia 31 3 2 3" xfId="3239" xr:uid="{00000000-0005-0000-0000-000065AF0000}"/>
    <cellStyle name="Migliaia 31 3 2 3 2" xfId="28340" xr:uid="{00000000-0005-0000-0000-000066AF0000}"/>
    <cellStyle name="Migliaia 31 3 2 3 3" xfId="43313" xr:uid="{00000000-0005-0000-0000-000067AF0000}"/>
    <cellStyle name="Migliaia 31 3 2 3 4" xfId="12058" xr:uid="{00000000-0005-0000-0000-000068AF0000}"/>
    <cellStyle name="Migliaia 31 3 2 4" xfId="19350" xr:uid="{00000000-0005-0000-0000-000069AF0000}"/>
    <cellStyle name="Migliaia 31 3 2 4 2" xfId="35431" xr:uid="{00000000-0005-0000-0000-00006AAF0000}"/>
    <cellStyle name="Migliaia 31 3 2 4 3" xfId="50387" xr:uid="{00000000-0005-0000-0000-00006BAF0000}"/>
    <cellStyle name="Migliaia 31 3 2 5" xfId="21343" xr:uid="{00000000-0005-0000-0000-00006CAF0000}"/>
    <cellStyle name="Migliaia 31 3 2 6" xfId="36314" xr:uid="{00000000-0005-0000-0000-00006DAF0000}"/>
    <cellStyle name="Migliaia 31 3 2 7" xfId="51251" xr:uid="{00000000-0005-0000-0000-00006EAF0000}"/>
    <cellStyle name="Migliaia 31 3 2 8" xfId="51645" xr:uid="{00000000-0005-0000-0000-00006FAF0000}"/>
    <cellStyle name="Migliaia 31 3 2 9" xfId="52051" xr:uid="{00000000-0005-0000-0000-000070AF0000}"/>
    <cellStyle name="Migliaia 31 3 3" xfId="2869" xr:uid="{00000000-0005-0000-0000-000071AF0000}"/>
    <cellStyle name="Migliaia 31 3 3 2" xfId="20477" xr:uid="{00000000-0005-0000-0000-000072AF0000}"/>
    <cellStyle name="Migliaia 31 3 3 2 2" xfId="35910" xr:uid="{00000000-0005-0000-0000-000073AF0000}"/>
    <cellStyle name="Migliaia 31 3 3 2 3" xfId="50866" xr:uid="{00000000-0005-0000-0000-000074AF0000}"/>
    <cellStyle name="Migliaia 31 3 3 3" xfId="19351" xr:uid="{00000000-0005-0000-0000-000075AF0000}"/>
    <cellStyle name="Migliaia 31 3 3 3 2" xfId="35432" xr:uid="{00000000-0005-0000-0000-000076AF0000}"/>
    <cellStyle name="Migliaia 31 3 3 3 3" xfId="50388" xr:uid="{00000000-0005-0000-0000-000077AF0000}"/>
    <cellStyle name="Migliaia 31 3 3 4" xfId="11436" xr:uid="{00000000-0005-0000-0000-000078AF0000}"/>
    <cellStyle name="Migliaia 31 3 4" xfId="3238" xr:uid="{00000000-0005-0000-0000-000079AF0000}"/>
    <cellStyle name="Migliaia 31 3 4 2" xfId="20476" xr:uid="{00000000-0005-0000-0000-00007AAF0000}"/>
    <cellStyle name="Migliaia 31 3 4 2 2" xfId="35909" xr:uid="{00000000-0005-0000-0000-00007BAF0000}"/>
    <cellStyle name="Migliaia 31 3 4 2 3" xfId="50865" xr:uid="{00000000-0005-0000-0000-00007CAF0000}"/>
    <cellStyle name="Migliaia 31 3 4 3" xfId="28339" xr:uid="{00000000-0005-0000-0000-00007DAF0000}"/>
    <cellStyle name="Migliaia 31 3 4 4" xfId="43312" xr:uid="{00000000-0005-0000-0000-00007EAF0000}"/>
    <cellStyle name="Migliaia 31 3 4 5" xfId="12057" xr:uid="{00000000-0005-0000-0000-00007FAF0000}"/>
    <cellStyle name="Migliaia 31 3 5" xfId="19349" xr:uid="{00000000-0005-0000-0000-000080AF0000}"/>
    <cellStyle name="Migliaia 31 3 5 2" xfId="35430" xr:uid="{00000000-0005-0000-0000-000081AF0000}"/>
    <cellStyle name="Migliaia 31 3 5 3" xfId="50386" xr:uid="{00000000-0005-0000-0000-000082AF0000}"/>
    <cellStyle name="Migliaia 31 3 6" xfId="21342" xr:uid="{00000000-0005-0000-0000-000083AF0000}"/>
    <cellStyle name="Migliaia 31 3 7" xfId="36313" xr:uid="{00000000-0005-0000-0000-000084AF0000}"/>
    <cellStyle name="Migliaia 31 3 8" xfId="51250" xr:uid="{00000000-0005-0000-0000-000085AF0000}"/>
    <cellStyle name="Migliaia 31 3 9" xfId="51644" xr:uid="{00000000-0005-0000-0000-000086AF0000}"/>
    <cellStyle name="Migliaia 31 4" xfId="2867" xr:uid="{00000000-0005-0000-0000-000087AF0000}"/>
    <cellStyle name="Migliaia 31 4 2" xfId="19353" xr:uid="{00000000-0005-0000-0000-000088AF0000}"/>
    <cellStyle name="Migliaia 31 4 2 2" xfId="20479" xr:uid="{00000000-0005-0000-0000-000089AF0000}"/>
    <cellStyle name="Migliaia 31 4 2 2 2" xfId="35912" xr:uid="{00000000-0005-0000-0000-00008AAF0000}"/>
    <cellStyle name="Migliaia 31 4 2 2 3" xfId="50868" xr:uid="{00000000-0005-0000-0000-00008BAF0000}"/>
    <cellStyle name="Migliaia 31 4 2 3" xfId="35434" xr:uid="{00000000-0005-0000-0000-00008CAF0000}"/>
    <cellStyle name="Migliaia 31 4 2 4" xfId="50390" xr:uid="{00000000-0005-0000-0000-00008DAF0000}"/>
    <cellStyle name="Migliaia 31 4 3" xfId="20478" xr:uid="{00000000-0005-0000-0000-00008EAF0000}"/>
    <cellStyle name="Migliaia 31 4 3 2" xfId="35911" xr:uid="{00000000-0005-0000-0000-00008FAF0000}"/>
    <cellStyle name="Migliaia 31 4 3 3" xfId="50867" xr:uid="{00000000-0005-0000-0000-000090AF0000}"/>
    <cellStyle name="Migliaia 31 4 4" xfId="19352" xr:uid="{00000000-0005-0000-0000-000091AF0000}"/>
    <cellStyle name="Migliaia 31 4 4 2" xfId="35433" xr:uid="{00000000-0005-0000-0000-000092AF0000}"/>
    <cellStyle name="Migliaia 31 4 4 3" xfId="50389" xr:uid="{00000000-0005-0000-0000-000093AF0000}"/>
    <cellStyle name="Migliaia 31 4 5" xfId="11438" xr:uid="{00000000-0005-0000-0000-000094AF0000}"/>
    <cellStyle name="Migliaia 31 5" xfId="3236" xr:uid="{00000000-0005-0000-0000-000095AF0000}"/>
    <cellStyle name="Migliaia 31 5 2" xfId="19354" xr:uid="{00000000-0005-0000-0000-000096AF0000}"/>
    <cellStyle name="Migliaia 31 5 2 2" xfId="35435" xr:uid="{00000000-0005-0000-0000-000097AF0000}"/>
    <cellStyle name="Migliaia 31 5 2 3" xfId="50391" xr:uid="{00000000-0005-0000-0000-000098AF0000}"/>
    <cellStyle name="Migliaia 31 5 3" xfId="11439" xr:uid="{00000000-0005-0000-0000-000099AF0000}"/>
    <cellStyle name="Migliaia 31 6" xfId="11434" xr:uid="{00000000-0005-0000-0000-00009AAF0000}"/>
    <cellStyle name="Migliaia 31 7" xfId="12055" xr:uid="{00000000-0005-0000-0000-00009BAF0000}"/>
    <cellStyle name="Migliaia 31 7 2" xfId="28337" xr:uid="{00000000-0005-0000-0000-00009CAF0000}"/>
    <cellStyle name="Migliaia 31 7 3" xfId="43310" xr:uid="{00000000-0005-0000-0000-00009DAF0000}"/>
    <cellStyle name="Migliaia 31 8" xfId="19347" xr:uid="{00000000-0005-0000-0000-00009EAF0000}"/>
    <cellStyle name="Migliaia 31 8 2" xfId="35428" xr:uid="{00000000-0005-0000-0000-00009FAF0000}"/>
    <cellStyle name="Migliaia 31 8 3" xfId="50384" xr:uid="{00000000-0005-0000-0000-0000A0AF0000}"/>
    <cellStyle name="Migliaia 31 9" xfId="21340" xr:uid="{00000000-0005-0000-0000-0000A1AF0000}"/>
    <cellStyle name="Migliaia 32" xfId="1302" xr:uid="{00000000-0005-0000-0000-0000A2AF0000}"/>
    <cellStyle name="Migliaia 32 10" xfId="36315" xr:uid="{00000000-0005-0000-0000-0000A3AF0000}"/>
    <cellStyle name="Migliaia 32 11" xfId="51252" xr:uid="{00000000-0005-0000-0000-0000A4AF0000}"/>
    <cellStyle name="Migliaia 32 12" xfId="51646" xr:uid="{00000000-0005-0000-0000-0000A5AF0000}"/>
    <cellStyle name="Migliaia 32 13" xfId="52052" xr:uid="{00000000-0005-0000-0000-0000A6AF0000}"/>
    <cellStyle name="Migliaia 32 14" xfId="52460" xr:uid="{00000000-0005-0000-0000-0000A7AF0000}"/>
    <cellStyle name="Migliaia 32 15" xfId="3609" xr:uid="{00000000-0005-0000-0000-0000A8AF0000}"/>
    <cellStyle name="Migliaia 32 2" xfId="1303" xr:uid="{00000000-0005-0000-0000-0000A9AF0000}"/>
    <cellStyle name="Migliaia 32 2 10" xfId="52053" xr:uid="{00000000-0005-0000-0000-0000AAAF0000}"/>
    <cellStyle name="Migliaia 32 2 11" xfId="52461" xr:uid="{00000000-0005-0000-0000-0000ABAF0000}"/>
    <cellStyle name="Migliaia 32 2 12" xfId="3610" xr:uid="{00000000-0005-0000-0000-0000ACAF0000}"/>
    <cellStyle name="Migliaia 32 2 2" xfId="1304" xr:uid="{00000000-0005-0000-0000-0000ADAF0000}"/>
    <cellStyle name="Migliaia 32 2 2 10" xfId="3780" xr:uid="{00000000-0005-0000-0000-0000AEAF0000}"/>
    <cellStyle name="Migliaia 32 2 2 2" xfId="3042" xr:uid="{00000000-0005-0000-0000-0000AFAF0000}"/>
    <cellStyle name="Migliaia 32 2 2 2 2" xfId="28537" xr:uid="{00000000-0005-0000-0000-0000B0AF0000}"/>
    <cellStyle name="Migliaia 32 2 2 2 3" xfId="43500" xr:uid="{00000000-0005-0000-0000-0000B1AF0000}"/>
    <cellStyle name="Migliaia 32 2 2 2 4" xfId="12259" xr:uid="{00000000-0005-0000-0000-0000B2AF0000}"/>
    <cellStyle name="Migliaia 32 2 2 3" xfId="3411" xr:uid="{00000000-0005-0000-0000-0000B3AF0000}"/>
    <cellStyle name="Migliaia 32 2 2 3 2" xfId="35913" xr:uid="{00000000-0005-0000-0000-0000B4AF0000}"/>
    <cellStyle name="Migliaia 32 2 2 3 3" xfId="50869" xr:uid="{00000000-0005-0000-0000-0000B5AF0000}"/>
    <cellStyle name="Migliaia 32 2 2 3 4" xfId="20480" xr:uid="{00000000-0005-0000-0000-0000B6AF0000}"/>
    <cellStyle name="Migliaia 32 2 2 4" xfId="21537" xr:uid="{00000000-0005-0000-0000-0000B7AF0000}"/>
    <cellStyle name="Migliaia 32 2 2 5" xfId="36504" xr:uid="{00000000-0005-0000-0000-0000B8AF0000}"/>
    <cellStyle name="Migliaia 32 2 2 6" xfId="51442" xr:uid="{00000000-0005-0000-0000-0000B9AF0000}"/>
    <cellStyle name="Migliaia 32 2 2 7" xfId="51847" xr:uid="{00000000-0005-0000-0000-0000BAAF0000}"/>
    <cellStyle name="Migliaia 32 2 2 8" xfId="52256" xr:uid="{00000000-0005-0000-0000-0000BBAF0000}"/>
    <cellStyle name="Migliaia 32 2 2 9" xfId="52661" xr:uid="{00000000-0005-0000-0000-0000BCAF0000}"/>
    <cellStyle name="Migliaia 32 2 3" xfId="2872" xr:uid="{00000000-0005-0000-0000-0000BDAF0000}"/>
    <cellStyle name="Migliaia 32 2 3 2" xfId="11441" xr:uid="{00000000-0005-0000-0000-0000BEAF0000}"/>
    <cellStyle name="Migliaia 32 2 4" xfId="3241" xr:uid="{00000000-0005-0000-0000-0000BFAF0000}"/>
    <cellStyle name="Migliaia 32 2 4 2" xfId="28342" xr:uid="{00000000-0005-0000-0000-0000C0AF0000}"/>
    <cellStyle name="Migliaia 32 2 4 3" xfId="43315" xr:uid="{00000000-0005-0000-0000-0000C1AF0000}"/>
    <cellStyle name="Migliaia 32 2 4 4" xfId="12060" xr:uid="{00000000-0005-0000-0000-0000C2AF0000}"/>
    <cellStyle name="Migliaia 32 2 5" xfId="19356" xr:uid="{00000000-0005-0000-0000-0000C3AF0000}"/>
    <cellStyle name="Migliaia 32 2 5 2" xfId="35437" xr:uid="{00000000-0005-0000-0000-0000C4AF0000}"/>
    <cellStyle name="Migliaia 32 2 5 3" xfId="50393" xr:uid="{00000000-0005-0000-0000-0000C5AF0000}"/>
    <cellStyle name="Migliaia 32 2 6" xfId="21345" xr:uid="{00000000-0005-0000-0000-0000C6AF0000}"/>
    <cellStyle name="Migliaia 32 2 7" xfId="36316" xr:uid="{00000000-0005-0000-0000-0000C7AF0000}"/>
    <cellStyle name="Migliaia 32 2 8" xfId="51253" xr:uid="{00000000-0005-0000-0000-0000C8AF0000}"/>
    <cellStyle name="Migliaia 32 2 9" xfId="51647" xr:uid="{00000000-0005-0000-0000-0000C9AF0000}"/>
    <cellStyle name="Migliaia 32 3" xfId="1305" xr:uid="{00000000-0005-0000-0000-0000CAAF0000}"/>
    <cellStyle name="Migliaia 32 3 10" xfId="52054" xr:uid="{00000000-0005-0000-0000-0000CBAF0000}"/>
    <cellStyle name="Migliaia 32 3 11" xfId="52462" xr:uid="{00000000-0005-0000-0000-0000CCAF0000}"/>
    <cellStyle name="Migliaia 32 3 12" xfId="3611" xr:uid="{00000000-0005-0000-0000-0000CDAF0000}"/>
    <cellStyle name="Migliaia 32 3 2" xfId="1306" xr:uid="{00000000-0005-0000-0000-0000CEAF0000}"/>
    <cellStyle name="Migliaia 32 3 2 10" xfId="52463" xr:uid="{00000000-0005-0000-0000-0000CFAF0000}"/>
    <cellStyle name="Migliaia 32 3 2 11" xfId="3612" xr:uid="{00000000-0005-0000-0000-0000D0AF0000}"/>
    <cellStyle name="Migliaia 32 3 2 2" xfId="2874" xr:uid="{00000000-0005-0000-0000-0000D1AF0000}"/>
    <cellStyle name="Migliaia 32 3 2 2 2" xfId="11443" xr:uid="{00000000-0005-0000-0000-0000D2AF0000}"/>
    <cellStyle name="Migliaia 32 3 2 3" xfId="3243" xr:uid="{00000000-0005-0000-0000-0000D3AF0000}"/>
    <cellStyle name="Migliaia 32 3 2 3 2" xfId="28344" xr:uid="{00000000-0005-0000-0000-0000D4AF0000}"/>
    <cellStyle name="Migliaia 32 3 2 3 3" xfId="43317" xr:uid="{00000000-0005-0000-0000-0000D5AF0000}"/>
    <cellStyle name="Migliaia 32 3 2 3 4" xfId="12062" xr:uid="{00000000-0005-0000-0000-0000D6AF0000}"/>
    <cellStyle name="Migliaia 32 3 2 4" xfId="19358" xr:uid="{00000000-0005-0000-0000-0000D7AF0000}"/>
    <cellStyle name="Migliaia 32 3 2 4 2" xfId="35439" xr:uid="{00000000-0005-0000-0000-0000D8AF0000}"/>
    <cellStyle name="Migliaia 32 3 2 4 3" xfId="50395" xr:uid="{00000000-0005-0000-0000-0000D9AF0000}"/>
    <cellStyle name="Migliaia 32 3 2 5" xfId="21347" xr:uid="{00000000-0005-0000-0000-0000DAAF0000}"/>
    <cellStyle name="Migliaia 32 3 2 6" xfId="36318" xr:uid="{00000000-0005-0000-0000-0000DBAF0000}"/>
    <cellStyle name="Migliaia 32 3 2 7" xfId="51255" xr:uid="{00000000-0005-0000-0000-0000DCAF0000}"/>
    <cellStyle name="Migliaia 32 3 2 8" xfId="51649" xr:uid="{00000000-0005-0000-0000-0000DDAF0000}"/>
    <cellStyle name="Migliaia 32 3 2 9" xfId="52055" xr:uid="{00000000-0005-0000-0000-0000DEAF0000}"/>
    <cellStyle name="Migliaia 32 3 3" xfId="2873" xr:uid="{00000000-0005-0000-0000-0000DFAF0000}"/>
    <cellStyle name="Migliaia 32 3 3 2" xfId="20482" xr:uid="{00000000-0005-0000-0000-0000E0AF0000}"/>
    <cellStyle name="Migliaia 32 3 3 2 2" xfId="35915" xr:uid="{00000000-0005-0000-0000-0000E1AF0000}"/>
    <cellStyle name="Migliaia 32 3 3 2 3" xfId="50871" xr:uid="{00000000-0005-0000-0000-0000E2AF0000}"/>
    <cellStyle name="Migliaia 32 3 3 3" xfId="19359" xr:uid="{00000000-0005-0000-0000-0000E3AF0000}"/>
    <cellStyle name="Migliaia 32 3 3 3 2" xfId="35440" xr:uid="{00000000-0005-0000-0000-0000E4AF0000}"/>
    <cellStyle name="Migliaia 32 3 3 3 3" xfId="50396" xr:uid="{00000000-0005-0000-0000-0000E5AF0000}"/>
    <cellStyle name="Migliaia 32 3 3 4" xfId="11442" xr:uid="{00000000-0005-0000-0000-0000E6AF0000}"/>
    <cellStyle name="Migliaia 32 3 4" xfId="3242" xr:uid="{00000000-0005-0000-0000-0000E7AF0000}"/>
    <cellStyle name="Migliaia 32 3 4 2" xfId="20481" xr:uid="{00000000-0005-0000-0000-0000E8AF0000}"/>
    <cellStyle name="Migliaia 32 3 4 2 2" xfId="35914" xr:uid="{00000000-0005-0000-0000-0000E9AF0000}"/>
    <cellStyle name="Migliaia 32 3 4 2 3" xfId="50870" xr:uid="{00000000-0005-0000-0000-0000EAAF0000}"/>
    <cellStyle name="Migliaia 32 3 4 3" xfId="28343" xr:uid="{00000000-0005-0000-0000-0000EBAF0000}"/>
    <cellStyle name="Migliaia 32 3 4 4" xfId="43316" xr:uid="{00000000-0005-0000-0000-0000ECAF0000}"/>
    <cellStyle name="Migliaia 32 3 4 5" xfId="12061" xr:uid="{00000000-0005-0000-0000-0000EDAF0000}"/>
    <cellStyle name="Migliaia 32 3 5" xfId="19357" xr:uid="{00000000-0005-0000-0000-0000EEAF0000}"/>
    <cellStyle name="Migliaia 32 3 5 2" xfId="35438" xr:uid="{00000000-0005-0000-0000-0000EFAF0000}"/>
    <cellStyle name="Migliaia 32 3 5 3" xfId="50394" xr:uid="{00000000-0005-0000-0000-0000F0AF0000}"/>
    <cellStyle name="Migliaia 32 3 6" xfId="21346" xr:uid="{00000000-0005-0000-0000-0000F1AF0000}"/>
    <cellStyle name="Migliaia 32 3 7" xfId="36317" xr:uid="{00000000-0005-0000-0000-0000F2AF0000}"/>
    <cellStyle name="Migliaia 32 3 8" xfId="51254" xr:uid="{00000000-0005-0000-0000-0000F3AF0000}"/>
    <cellStyle name="Migliaia 32 3 9" xfId="51648" xr:uid="{00000000-0005-0000-0000-0000F4AF0000}"/>
    <cellStyle name="Migliaia 32 4" xfId="2871" xr:uid="{00000000-0005-0000-0000-0000F5AF0000}"/>
    <cellStyle name="Migliaia 32 4 2" xfId="19361" xr:uid="{00000000-0005-0000-0000-0000F6AF0000}"/>
    <cellStyle name="Migliaia 32 4 2 2" xfId="20484" xr:uid="{00000000-0005-0000-0000-0000F7AF0000}"/>
    <cellStyle name="Migliaia 32 4 2 2 2" xfId="35917" xr:uid="{00000000-0005-0000-0000-0000F8AF0000}"/>
    <cellStyle name="Migliaia 32 4 2 2 3" xfId="50873" xr:uid="{00000000-0005-0000-0000-0000F9AF0000}"/>
    <cellStyle name="Migliaia 32 4 2 3" xfId="35442" xr:uid="{00000000-0005-0000-0000-0000FAAF0000}"/>
    <cellStyle name="Migliaia 32 4 2 4" xfId="50398" xr:uid="{00000000-0005-0000-0000-0000FBAF0000}"/>
    <cellStyle name="Migliaia 32 4 3" xfId="20483" xr:uid="{00000000-0005-0000-0000-0000FCAF0000}"/>
    <cellStyle name="Migliaia 32 4 3 2" xfId="35916" xr:uid="{00000000-0005-0000-0000-0000FDAF0000}"/>
    <cellStyle name="Migliaia 32 4 3 3" xfId="50872" xr:uid="{00000000-0005-0000-0000-0000FEAF0000}"/>
    <cellStyle name="Migliaia 32 4 4" xfId="19360" xr:uid="{00000000-0005-0000-0000-0000FFAF0000}"/>
    <cellStyle name="Migliaia 32 4 4 2" xfId="35441" xr:uid="{00000000-0005-0000-0000-000000B00000}"/>
    <cellStyle name="Migliaia 32 4 4 3" xfId="50397" xr:uid="{00000000-0005-0000-0000-000001B00000}"/>
    <cellStyle name="Migliaia 32 4 5" xfId="11444" xr:uid="{00000000-0005-0000-0000-000002B00000}"/>
    <cellStyle name="Migliaia 32 5" xfId="3240" xr:uid="{00000000-0005-0000-0000-000003B00000}"/>
    <cellStyle name="Migliaia 32 5 2" xfId="19362" xr:uid="{00000000-0005-0000-0000-000004B00000}"/>
    <cellStyle name="Migliaia 32 5 2 2" xfId="35443" xr:uid="{00000000-0005-0000-0000-000005B00000}"/>
    <cellStyle name="Migliaia 32 5 2 3" xfId="50399" xr:uid="{00000000-0005-0000-0000-000006B00000}"/>
    <cellStyle name="Migliaia 32 5 3" xfId="11445" xr:uid="{00000000-0005-0000-0000-000007B00000}"/>
    <cellStyle name="Migliaia 32 6" xfId="11440" xr:uid="{00000000-0005-0000-0000-000008B00000}"/>
    <cellStyle name="Migliaia 32 7" xfId="12059" xr:uid="{00000000-0005-0000-0000-000009B00000}"/>
    <cellStyle name="Migliaia 32 7 2" xfId="28341" xr:uid="{00000000-0005-0000-0000-00000AB00000}"/>
    <cellStyle name="Migliaia 32 7 3" xfId="43314" xr:uid="{00000000-0005-0000-0000-00000BB00000}"/>
    <cellStyle name="Migliaia 32 8" xfId="19355" xr:uid="{00000000-0005-0000-0000-00000CB00000}"/>
    <cellStyle name="Migliaia 32 8 2" xfId="35436" xr:uid="{00000000-0005-0000-0000-00000DB00000}"/>
    <cellStyle name="Migliaia 32 8 3" xfId="50392" xr:uid="{00000000-0005-0000-0000-00000EB00000}"/>
    <cellStyle name="Migliaia 32 9" xfId="21344" xr:uid="{00000000-0005-0000-0000-00000FB00000}"/>
    <cellStyle name="Migliaia 33" xfId="1307" xr:uid="{00000000-0005-0000-0000-000010B00000}"/>
    <cellStyle name="Migliaia 33 10" xfId="36319" xr:uid="{00000000-0005-0000-0000-000011B00000}"/>
    <cellStyle name="Migliaia 33 11" xfId="51256" xr:uid="{00000000-0005-0000-0000-000012B00000}"/>
    <cellStyle name="Migliaia 33 12" xfId="51650" xr:uid="{00000000-0005-0000-0000-000013B00000}"/>
    <cellStyle name="Migliaia 33 13" xfId="52056" xr:uid="{00000000-0005-0000-0000-000014B00000}"/>
    <cellStyle name="Migliaia 33 14" xfId="52464" xr:uid="{00000000-0005-0000-0000-000015B00000}"/>
    <cellStyle name="Migliaia 33 15" xfId="3613" xr:uid="{00000000-0005-0000-0000-000016B00000}"/>
    <cellStyle name="Migliaia 33 2" xfId="1308" xr:uid="{00000000-0005-0000-0000-000017B00000}"/>
    <cellStyle name="Migliaia 33 2 10" xfId="52057" xr:uid="{00000000-0005-0000-0000-000018B00000}"/>
    <cellStyle name="Migliaia 33 2 11" xfId="52465" xr:uid="{00000000-0005-0000-0000-000019B00000}"/>
    <cellStyle name="Migliaia 33 2 12" xfId="3614" xr:uid="{00000000-0005-0000-0000-00001AB00000}"/>
    <cellStyle name="Migliaia 33 2 2" xfId="1309" xr:uid="{00000000-0005-0000-0000-00001BB00000}"/>
    <cellStyle name="Migliaia 33 2 2 10" xfId="3781" xr:uid="{00000000-0005-0000-0000-00001CB00000}"/>
    <cellStyle name="Migliaia 33 2 2 2" xfId="3043" xr:uid="{00000000-0005-0000-0000-00001DB00000}"/>
    <cellStyle name="Migliaia 33 2 2 2 2" xfId="28538" xr:uid="{00000000-0005-0000-0000-00001EB00000}"/>
    <cellStyle name="Migliaia 33 2 2 2 3" xfId="43501" xr:uid="{00000000-0005-0000-0000-00001FB00000}"/>
    <cellStyle name="Migliaia 33 2 2 2 4" xfId="12260" xr:uid="{00000000-0005-0000-0000-000020B00000}"/>
    <cellStyle name="Migliaia 33 2 2 3" xfId="3412" xr:uid="{00000000-0005-0000-0000-000021B00000}"/>
    <cellStyle name="Migliaia 33 2 2 3 2" xfId="35918" xr:uid="{00000000-0005-0000-0000-000022B00000}"/>
    <cellStyle name="Migliaia 33 2 2 3 3" xfId="50874" xr:uid="{00000000-0005-0000-0000-000023B00000}"/>
    <cellStyle name="Migliaia 33 2 2 3 4" xfId="20485" xr:uid="{00000000-0005-0000-0000-000024B00000}"/>
    <cellStyle name="Migliaia 33 2 2 4" xfId="21538" xr:uid="{00000000-0005-0000-0000-000025B00000}"/>
    <cellStyle name="Migliaia 33 2 2 5" xfId="36505" xr:uid="{00000000-0005-0000-0000-000026B00000}"/>
    <cellStyle name="Migliaia 33 2 2 6" xfId="51443" xr:uid="{00000000-0005-0000-0000-000027B00000}"/>
    <cellStyle name="Migliaia 33 2 2 7" xfId="51848" xr:uid="{00000000-0005-0000-0000-000028B00000}"/>
    <cellStyle name="Migliaia 33 2 2 8" xfId="52257" xr:uid="{00000000-0005-0000-0000-000029B00000}"/>
    <cellStyle name="Migliaia 33 2 2 9" xfId="52662" xr:uid="{00000000-0005-0000-0000-00002AB00000}"/>
    <cellStyle name="Migliaia 33 2 3" xfId="2876" xr:uid="{00000000-0005-0000-0000-00002BB00000}"/>
    <cellStyle name="Migliaia 33 2 3 2" xfId="11447" xr:uid="{00000000-0005-0000-0000-00002CB00000}"/>
    <cellStyle name="Migliaia 33 2 4" xfId="3245" xr:uid="{00000000-0005-0000-0000-00002DB00000}"/>
    <cellStyle name="Migliaia 33 2 4 2" xfId="28346" xr:uid="{00000000-0005-0000-0000-00002EB00000}"/>
    <cellStyle name="Migliaia 33 2 4 3" xfId="43319" xr:uid="{00000000-0005-0000-0000-00002FB00000}"/>
    <cellStyle name="Migliaia 33 2 4 4" xfId="12064" xr:uid="{00000000-0005-0000-0000-000030B00000}"/>
    <cellStyle name="Migliaia 33 2 5" xfId="19364" xr:uid="{00000000-0005-0000-0000-000031B00000}"/>
    <cellStyle name="Migliaia 33 2 5 2" xfId="35445" xr:uid="{00000000-0005-0000-0000-000032B00000}"/>
    <cellStyle name="Migliaia 33 2 5 3" xfId="50401" xr:uid="{00000000-0005-0000-0000-000033B00000}"/>
    <cellStyle name="Migliaia 33 2 6" xfId="21349" xr:uid="{00000000-0005-0000-0000-000034B00000}"/>
    <cellStyle name="Migliaia 33 2 7" xfId="36320" xr:uid="{00000000-0005-0000-0000-000035B00000}"/>
    <cellStyle name="Migliaia 33 2 8" xfId="51257" xr:uid="{00000000-0005-0000-0000-000036B00000}"/>
    <cellStyle name="Migliaia 33 2 9" xfId="51651" xr:uid="{00000000-0005-0000-0000-000037B00000}"/>
    <cellStyle name="Migliaia 33 3" xfId="1310" xr:uid="{00000000-0005-0000-0000-000038B00000}"/>
    <cellStyle name="Migliaia 33 3 10" xfId="52058" xr:uid="{00000000-0005-0000-0000-000039B00000}"/>
    <cellStyle name="Migliaia 33 3 11" xfId="52466" xr:uid="{00000000-0005-0000-0000-00003AB00000}"/>
    <cellStyle name="Migliaia 33 3 12" xfId="3615" xr:uid="{00000000-0005-0000-0000-00003BB00000}"/>
    <cellStyle name="Migliaia 33 3 2" xfId="1311" xr:uid="{00000000-0005-0000-0000-00003CB00000}"/>
    <cellStyle name="Migliaia 33 3 2 10" xfId="52467" xr:uid="{00000000-0005-0000-0000-00003DB00000}"/>
    <cellStyle name="Migliaia 33 3 2 11" xfId="3616" xr:uid="{00000000-0005-0000-0000-00003EB00000}"/>
    <cellStyle name="Migliaia 33 3 2 2" xfId="2878" xr:uid="{00000000-0005-0000-0000-00003FB00000}"/>
    <cellStyle name="Migliaia 33 3 2 2 2" xfId="11449" xr:uid="{00000000-0005-0000-0000-000040B00000}"/>
    <cellStyle name="Migliaia 33 3 2 3" xfId="3247" xr:uid="{00000000-0005-0000-0000-000041B00000}"/>
    <cellStyle name="Migliaia 33 3 2 3 2" xfId="28348" xr:uid="{00000000-0005-0000-0000-000042B00000}"/>
    <cellStyle name="Migliaia 33 3 2 3 3" xfId="43321" xr:uid="{00000000-0005-0000-0000-000043B00000}"/>
    <cellStyle name="Migliaia 33 3 2 3 4" xfId="12066" xr:uid="{00000000-0005-0000-0000-000044B00000}"/>
    <cellStyle name="Migliaia 33 3 2 4" xfId="19366" xr:uid="{00000000-0005-0000-0000-000045B00000}"/>
    <cellStyle name="Migliaia 33 3 2 4 2" xfId="35447" xr:uid="{00000000-0005-0000-0000-000046B00000}"/>
    <cellStyle name="Migliaia 33 3 2 4 3" xfId="50403" xr:uid="{00000000-0005-0000-0000-000047B00000}"/>
    <cellStyle name="Migliaia 33 3 2 5" xfId="21351" xr:uid="{00000000-0005-0000-0000-000048B00000}"/>
    <cellStyle name="Migliaia 33 3 2 6" xfId="36322" xr:uid="{00000000-0005-0000-0000-000049B00000}"/>
    <cellStyle name="Migliaia 33 3 2 7" xfId="51259" xr:uid="{00000000-0005-0000-0000-00004AB00000}"/>
    <cellStyle name="Migliaia 33 3 2 8" xfId="51653" xr:uid="{00000000-0005-0000-0000-00004BB00000}"/>
    <cellStyle name="Migliaia 33 3 2 9" xfId="52059" xr:uid="{00000000-0005-0000-0000-00004CB00000}"/>
    <cellStyle name="Migliaia 33 3 3" xfId="2877" xr:uid="{00000000-0005-0000-0000-00004DB00000}"/>
    <cellStyle name="Migliaia 33 3 3 2" xfId="20487" xr:uid="{00000000-0005-0000-0000-00004EB00000}"/>
    <cellStyle name="Migliaia 33 3 3 2 2" xfId="35920" xr:uid="{00000000-0005-0000-0000-00004FB00000}"/>
    <cellStyle name="Migliaia 33 3 3 2 3" xfId="50876" xr:uid="{00000000-0005-0000-0000-000050B00000}"/>
    <cellStyle name="Migliaia 33 3 3 3" xfId="19367" xr:uid="{00000000-0005-0000-0000-000051B00000}"/>
    <cellStyle name="Migliaia 33 3 3 3 2" xfId="35448" xr:uid="{00000000-0005-0000-0000-000052B00000}"/>
    <cellStyle name="Migliaia 33 3 3 3 3" xfId="50404" xr:uid="{00000000-0005-0000-0000-000053B00000}"/>
    <cellStyle name="Migliaia 33 3 3 4" xfId="11448" xr:uid="{00000000-0005-0000-0000-000054B00000}"/>
    <cellStyle name="Migliaia 33 3 4" xfId="3246" xr:uid="{00000000-0005-0000-0000-000055B00000}"/>
    <cellStyle name="Migliaia 33 3 4 2" xfId="20486" xr:uid="{00000000-0005-0000-0000-000056B00000}"/>
    <cellStyle name="Migliaia 33 3 4 2 2" xfId="35919" xr:uid="{00000000-0005-0000-0000-000057B00000}"/>
    <cellStyle name="Migliaia 33 3 4 2 3" xfId="50875" xr:uid="{00000000-0005-0000-0000-000058B00000}"/>
    <cellStyle name="Migliaia 33 3 4 3" xfId="28347" xr:uid="{00000000-0005-0000-0000-000059B00000}"/>
    <cellStyle name="Migliaia 33 3 4 4" xfId="43320" xr:uid="{00000000-0005-0000-0000-00005AB00000}"/>
    <cellStyle name="Migliaia 33 3 4 5" xfId="12065" xr:uid="{00000000-0005-0000-0000-00005BB00000}"/>
    <cellStyle name="Migliaia 33 3 5" xfId="19365" xr:uid="{00000000-0005-0000-0000-00005CB00000}"/>
    <cellStyle name="Migliaia 33 3 5 2" xfId="35446" xr:uid="{00000000-0005-0000-0000-00005DB00000}"/>
    <cellStyle name="Migliaia 33 3 5 3" xfId="50402" xr:uid="{00000000-0005-0000-0000-00005EB00000}"/>
    <cellStyle name="Migliaia 33 3 6" xfId="21350" xr:uid="{00000000-0005-0000-0000-00005FB00000}"/>
    <cellStyle name="Migliaia 33 3 7" xfId="36321" xr:uid="{00000000-0005-0000-0000-000060B00000}"/>
    <cellStyle name="Migliaia 33 3 8" xfId="51258" xr:uid="{00000000-0005-0000-0000-000061B00000}"/>
    <cellStyle name="Migliaia 33 3 9" xfId="51652" xr:uid="{00000000-0005-0000-0000-000062B00000}"/>
    <cellStyle name="Migliaia 33 4" xfId="2875" xr:uid="{00000000-0005-0000-0000-000063B00000}"/>
    <cellStyle name="Migliaia 33 4 2" xfId="19369" xr:uid="{00000000-0005-0000-0000-000064B00000}"/>
    <cellStyle name="Migliaia 33 4 2 2" xfId="20489" xr:uid="{00000000-0005-0000-0000-000065B00000}"/>
    <cellStyle name="Migliaia 33 4 2 2 2" xfId="35922" xr:uid="{00000000-0005-0000-0000-000066B00000}"/>
    <cellStyle name="Migliaia 33 4 2 2 3" xfId="50878" xr:uid="{00000000-0005-0000-0000-000067B00000}"/>
    <cellStyle name="Migliaia 33 4 2 3" xfId="35450" xr:uid="{00000000-0005-0000-0000-000068B00000}"/>
    <cellStyle name="Migliaia 33 4 2 4" xfId="50406" xr:uid="{00000000-0005-0000-0000-000069B00000}"/>
    <cellStyle name="Migliaia 33 4 3" xfId="20488" xr:uid="{00000000-0005-0000-0000-00006AB00000}"/>
    <cellStyle name="Migliaia 33 4 3 2" xfId="35921" xr:uid="{00000000-0005-0000-0000-00006BB00000}"/>
    <cellStyle name="Migliaia 33 4 3 3" xfId="50877" xr:uid="{00000000-0005-0000-0000-00006CB00000}"/>
    <cellStyle name="Migliaia 33 4 4" xfId="19368" xr:uid="{00000000-0005-0000-0000-00006DB00000}"/>
    <cellStyle name="Migliaia 33 4 4 2" xfId="35449" xr:uid="{00000000-0005-0000-0000-00006EB00000}"/>
    <cellStyle name="Migliaia 33 4 4 3" xfId="50405" xr:uid="{00000000-0005-0000-0000-00006FB00000}"/>
    <cellStyle name="Migliaia 33 4 5" xfId="11450" xr:uid="{00000000-0005-0000-0000-000070B00000}"/>
    <cellStyle name="Migliaia 33 5" xfId="3244" xr:uid="{00000000-0005-0000-0000-000071B00000}"/>
    <cellStyle name="Migliaia 33 5 2" xfId="19370" xr:uid="{00000000-0005-0000-0000-000072B00000}"/>
    <cellStyle name="Migliaia 33 5 2 2" xfId="35451" xr:uid="{00000000-0005-0000-0000-000073B00000}"/>
    <cellStyle name="Migliaia 33 5 2 3" xfId="50407" xr:uid="{00000000-0005-0000-0000-000074B00000}"/>
    <cellStyle name="Migliaia 33 5 3" xfId="11451" xr:uid="{00000000-0005-0000-0000-000075B00000}"/>
    <cellStyle name="Migliaia 33 6" xfId="11446" xr:uid="{00000000-0005-0000-0000-000076B00000}"/>
    <cellStyle name="Migliaia 33 7" xfId="12063" xr:uid="{00000000-0005-0000-0000-000077B00000}"/>
    <cellStyle name="Migliaia 33 7 2" xfId="28345" xr:uid="{00000000-0005-0000-0000-000078B00000}"/>
    <cellStyle name="Migliaia 33 7 3" xfId="43318" xr:uid="{00000000-0005-0000-0000-000079B00000}"/>
    <cellStyle name="Migliaia 33 8" xfId="19363" xr:uid="{00000000-0005-0000-0000-00007AB00000}"/>
    <cellStyle name="Migliaia 33 8 2" xfId="35444" xr:uid="{00000000-0005-0000-0000-00007BB00000}"/>
    <cellStyle name="Migliaia 33 8 3" xfId="50400" xr:uid="{00000000-0005-0000-0000-00007CB00000}"/>
    <cellStyle name="Migliaia 33 9" xfId="21348" xr:uid="{00000000-0005-0000-0000-00007DB00000}"/>
    <cellStyle name="Migliaia 34" xfId="1312" xr:uid="{00000000-0005-0000-0000-00007EB00000}"/>
    <cellStyle name="Migliaia 34 10" xfId="36323" xr:uid="{00000000-0005-0000-0000-00007FB00000}"/>
    <cellStyle name="Migliaia 34 11" xfId="51260" xr:uid="{00000000-0005-0000-0000-000080B00000}"/>
    <cellStyle name="Migliaia 34 12" xfId="51654" xr:uid="{00000000-0005-0000-0000-000081B00000}"/>
    <cellStyle name="Migliaia 34 13" xfId="52060" xr:uid="{00000000-0005-0000-0000-000082B00000}"/>
    <cellStyle name="Migliaia 34 14" xfId="52468" xr:uid="{00000000-0005-0000-0000-000083B00000}"/>
    <cellStyle name="Migliaia 34 15" xfId="3617" xr:uid="{00000000-0005-0000-0000-000084B00000}"/>
    <cellStyle name="Migliaia 34 2" xfId="1313" xr:uid="{00000000-0005-0000-0000-000085B00000}"/>
    <cellStyle name="Migliaia 34 2 10" xfId="52061" xr:uid="{00000000-0005-0000-0000-000086B00000}"/>
    <cellStyle name="Migliaia 34 2 11" xfId="52469" xr:uid="{00000000-0005-0000-0000-000087B00000}"/>
    <cellStyle name="Migliaia 34 2 12" xfId="3618" xr:uid="{00000000-0005-0000-0000-000088B00000}"/>
    <cellStyle name="Migliaia 34 2 2" xfId="1314" xr:uid="{00000000-0005-0000-0000-000089B00000}"/>
    <cellStyle name="Migliaia 34 2 2 10" xfId="3782" xr:uid="{00000000-0005-0000-0000-00008AB00000}"/>
    <cellStyle name="Migliaia 34 2 2 2" xfId="3044" xr:uid="{00000000-0005-0000-0000-00008BB00000}"/>
    <cellStyle name="Migliaia 34 2 2 2 2" xfId="28539" xr:uid="{00000000-0005-0000-0000-00008CB00000}"/>
    <cellStyle name="Migliaia 34 2 2 2 3" xfId="43502" xr:uid="{00000000-0005-0000-0000-00008DB00000}"/>
    <cellStyle name="Migliaia 34 2 2 2 4" xfId="12261" xr:uid="{00000000-0005-0000-0000-00008EB00000}"/>
    <cellStyle name="Migliaia 34 2 2 3" xfId="3413" xr:uid="{00000000-0005-0000-0000-00008FB00000}"/>
    <cellStyle name="Migliaia 34 2 2 3 2" xfId="35923" xr:uid="{00000000-0005-0000-0000-000090B00000}"/>
    <cellStyle name="Migliaia 34 2 2 3 3" xfId="50879" xr:uid="{00000000-0005-0000-0000-000091B00000}"/>
    <cellStyle name="Migliaia 34 2 2 3 4" xfId="20490" xr:uid="{00000000-0005-0000-0000-000092B00000}"/>
    <cellStyle name="Migliaia 34 2 2 4" xfId="21539" xr:uid="{00000000-0005-0000-0000-000093B00000}"/>
    <cellStyle name="Migliaia 34 2 2 5" xfId="36506" xr:uid="{00000000-0005-0000-0000-000094B00000}"/>
    <cellStyle name="Migliaia 34 2 2 6" xfId="51444" xr:uid="{00000000-0005-0000-0000-000095B00000}"/>
    <cellStyle name="Migliaia 34 2 2 7" xfId="51849" xr:uid="{00000000-0005-0000-0000-000096B00000}"/>
    <cellStyle name="Migliaia 34 2 2 8" xfId="52258" xr:uid="{00000000-0005-0000-0000-000097B00000}"/>
    <cellStyle name="Migliaia 34 2 2 9" xfId="52663" xr:uid="{00000000-0005-0000-0000-000098B00000}"/>
    <cellStyle name="Migliaia 34 2 3" xfId="2880" xr:uid="{00000000-0005-0000-0000-000099B00000}"/>
    <cellStyle name="Migliaia 34 2 3 2" xfId="11453" xr:uid="{00000000-0005-0000-0000-00009AB00000}"/>
    <cellStyle name="Migliaia 34 2 4" xfId="3249" xr:uid="{00000000-0005-0000-0000-00009BB00000}"/>
    <cellStyle name="Migliaia 34 2 4 2" xfId="28350" xr:uid="{00000000-0005-0000-0000-00009CB00000}"/>
    <cellStyle name="Migliaia 34 2 4 3" xfId="43323" xr:uid="{00000000-0005-0000-0000-00009DB00000}"/>
    <cellStyle name="Migliaia 34 2 4 4" xfId="12068" xr:uid="{00000000-0005-0000-0000-00009EB00000}"/>
    <cellStyle name="Migliaia 34 2 5" xfId="19372" xr:uid="{00000000-0005-0000-0000-00009FB00000}"/>
    <cellStyle name="Migliaia 34 2 5 2" xfId="35453" xr:uid="{00000000-0005-0000-0000-0000A0B00000}"/>
    <cellStyle name="Migliaia 34 2 5 3" xfId="50409" xr:uid="{00000000-0005-0000-0000-0000A1B00000}"/>
    <cellStyle name="Migliaia 34 2 6" xfId="21353" xr:uid="{00000000-0005-0000-0000-0000A2B00000}"/>
    <cellStyle name="Migliaia 34 2 7" xfId="36324" xr:uid="{00000000-0005-0000-0000-0000A3B00000}"/>
    <cellStyle name="Migliaia 34 2 8" xfId="51261" xr:uid="{00000000-0005-0000-0000-0000A4B00000}"/>
    <cellStyle name="Migliaia 34 2 9" xfId="51655" xr:uid="{00000000-0005-0000-0000-0000A5B00000}"/>
    <cellStyle name="Migliaia 34 3" xfId="1315" xr:uid="{00000000-0005-0000-0000-0000A6B00000}"/>
    <cellStyle name="Migliaia 34 3 10" xfId="52062" xr:uid="{00000000-0005-0000-0000-0000A7B00000}"/>
    <cellStyle name="Migliaia 34 3 11" xfId="52470" xr:uid="{00000000-0005-0000-0000-0000A8B00000}"/>
    <cellStyle name="Migliaia 34 3 12" xfId="3619" xr:uid="{00000000-0005-0000-0000-0000A9B00000}"/>
    <cellStyle name="Migliaia 34 3 2" xfId="1316" xr:uid="{00000000-0005-0000-0000-0000AAB00000}"/>
    <cellStyle name="Migliaia 34 3 2 10" xfId="52471" xr:uid="{00000000-0005-0000-0000-0000ABB00000}"/>
    <cellStyle name="Migliaia 34 3 2 11" xfId="3620" xr:uid="{00000000-0005-0000-0000-0000ACB00000}"/>
    <cellStyle name="Migliaia 34 3 2 2" xfId="2882" xr:uid="{00000000-0005-0000-0000-0000ADB00000}"/>
    <cellStyle name="Migliaia 34 3 2 2 2" xfId="11455" xr:uid="{00000000-0005-0000-0000-0000AEB00000}"/>
    <cellStyle name="Migliaia 34 3 2 3" xfId="3251" xr:uid="{00000000-0005-0000-0000-0000AFB00000}"/>
    <cellStyle name="Migliaia 34 3 2 3 2" xfId="28352" xr:uid="{00000000-0005-0000-0000-0000B0B00000}"/>
    <cellStyle name="Migliaia 34 3 2 3 3" xfId="43325" xr:uid="{00000000-0005-0000-0000-0000B1B00000}"/>
    <cellStyle name="Migliaia 34 3 2 3 4" xfId="12070" xr:uid="{00000000-0005-0000-0000-0000B2B00000}"/>
    <cellStyle name="Migliaia 34 3 2 4" xfId="19374" xr:uid="{00000000-0005-0000-0000-0000B3B00000}"/>
    <cellStyle name="Migliaia 34 3 2 4 2" xfId="35455" xr:uid="{00000000-0005-0000-0000-0000B4B00000}"/>
    <cellStyle name="Migliaia 34 3 2 4 3" xfId="50411" xr:uid="{00000000-0005-0000-0000-0000B5B00000}"/>
    <cellStyle name="Migliaia 34 3 2 5" xfId="21355" xr:uid="{00000000-0005-0000-0000-0000B6B00000}"/>
    <cellStyle name="Migliaia 34 3 2 6" xfId="36326" xr:uid="{00000000-0005-0000-0000-0000B7B00000}"/>
    <cellStyle name="Migliaia 34 3 2 7" xfId="51263" xr:uid="{00000000-0005-0000-0000-0000B8B00000}"/>
    <cellStyle name="Migliaia 34 3 2 8" xfId="51657" xr:uid="{00000000-0005-0000-0000-0000B9B00000}"/>
    <cellStyle name="Migliaia 34 3 2 9" xfId="52063" xr:uid="{00000000-0005-0000-0000-0000BAB00000}"/>
    <cellStyle name="Migliaia 34 3 3" xfId="2881" xr:uid="{00000000-0005-0000-0000-0000BBB00000}"/>
    <cellStyle name="Migliaia 34 3 3 2" xfId="20492" xr:uid="{00000000-0005-0000-0000-0000BCB00000}"/>
    <cellStyle name="Migliaia 34 3 3 2 2" xfId="35925" xr:uid="{00000000-0005-0000-0000-0000BDB00000}"/>
    <cellStyle name="Migliaia 34 3 3 2 3" xfId="50881" xr:uid="{00000000-0005-0000-0000-0000BEB00000}"/>
    <cellStyle name="Migliaia 34 3 3 3" xfId="19375" xr:uid="{00000000-0005-0000-0000-0000BFB00000}"/>
    <cellStyle name="Migliaia 34 3 3 3 2" xfId="35456" xr:uid="{00000000-0005-0000-0000-0000C0B00000}"/>
    <cellStyle name="Migliaia 34 3 3 3 3" xfId="50412" xr:uid="{00000000-0005-0000-0000-0000C1B00000}"/>
    <cellStyle name="Migliaia 34 3 3 4" xfId="11454" xr:uid="{00000000-0005-0000-0000-0000C2B00000}"/>
    <cellStyle name="Migliaia 34 3 4" xfId="3250" xr:uid="{00000000-0005-0000-0000-0000C3B00000}"/>
    <cellStyle name="Migliaia 34 3 4 2" xfId="20491" xr:uid="{00000000-0005-0000-0000-0000C4B00000}"/>
    <cellStyle name="Migliaia 34 3 4 2 2" xfId="35924" xr:uid="{00000000-0005-0000-0000-0000C5B00000}"/>
    <cellStyle name="Migliaia 34 3 4 2 3" xfId="50880" xr:uid="{00000000-0005-0000-0000-0000C6B00000}"/>
    <cellStyle name="Migliaia 34 3 4 3" xfId="28351" xr:uid="{00000000-0005-0000-0000-0000C7B00000}"/>
    <cellStyle name="Migliaia 34 3 4 4" xfId="43324" xr:uid="{00000000-0005-0000-0000-0000C8B00000}"/>
    <cellStyle name="Migliaia 34 3 4 5" xfId="12069" xr:uid="{00000000-0005-0000-0000-0000C9B00000}"/>
    <cellStyle name="Migliaia 34 3 5" xfId="19373" xr:uid="{00000000-0005-0000-0000-0000CAB00000}"/>
    <cellStyle name="Migliaia 34 3 5 2" xfId="35454" xr:uid="{00000000-0005-0000-0000-0000CBB00000}"/>
    <cellStyle name="Migliaia 34 3 5 3" xfId="50410" xr:uid="{00000000-0005-0000-0000-0000CCB00000}"/>
    <cellStyle name="Migliaia 34 3 6" xfId="21354" xr:uid="{00000000-0005-0000-0000-0000CDB00000}"/>
    <cellStyle name="Migliaia 34 3 7" xfId="36325" xr:uid="{00000000-0005-0000-0000-0000CEB00000}"/>
    <cellStyle name="Migliaia 34 3 8" xfId="51262" xr:uid="{00000000-0005-0000-0000-0000CFB00000}"/>
    <cellStyle name="Migliaia 34 3 9" xfId="51656" xr:uid="{00000000-0005-0000-0000-0000D0B00000}"/>
    <cellStyle name="Migliaia 34 4" xfId="2879" xr:uid="{00000000-0005-0000-0000-0000D1B00000}"/>
    <cellStyle name="Migliaia 34 4 2" xfId="19377" xr:uid="{00000000-0005-0000-0000-0000D2B00000}"/>
    <cellStyle name="Migliaia 34 4 2 2" xfId="20494" xr:uid="{00000000-0005-0000-0000-0000D3B00000}"/>
    <cellStyle name="Migliaia 34 4 2 2 2" xfId="35927" xr:uid="{00000000-0005-0000-0000-0000D4B00000}"/>
    <cellStyle name="Migliaia 34 4 2 2 3" xfId="50883" xr:uid="{00000000-0005-0000-0000-0000D5B00000}"/>
    <cellStyle name="Migliaia 34 4 2 3" xfId="35458" xr:uid="{00000000-0005-0000-0000-0000D6B00000}"/>
    <cellStyle name="Migliaia 34 4 2 4" xfId="50414" xr:uid="{00000000-0005-0000-0000-0000D7B00000}"/>
    <cellStyle name="Migliaia 34 4 3" xfId="20493" xr:uid="{00000000-0005-0000-0000-0000D8B00000}"/>
    <cellStyle name="Migliaia 34 4 3 2" xfId="35926" xr:uid="{00000000-0005-0000-0000-0000D9B00000}"/>
    <cellStyle name="Migliaia 34 4 3 3" xfId="50882" xr:uid="{00000000-0005-0000-0000-0000DAB00000}"/>
    <cellStyle name="Migliaia 34 4 4" xfId="19376" xr:uid="{00000000-0005-0000-0000-0000DBB00000}"/>
    <cellStyle name="Migliaia 34 4 4 2" xfId="35457" xr:uid="{00000000-0005-0000-0000-0000DCB00000}"/>
    <cellStyle name="Migliaia 34 4 4 3" xfId="50413" xr:uid="{00000000-0005-0000-0000-0000DDB00000}"/>
    <cellStyle name="Migliaia 34 4 5" xfId="11456" xr:uid="{00000000-0005-0000-0000-0000DEB00000}"/>
    <cellStyle name="Migliaia 34 5" xfId="3248" xr:uid="{00000000-0005-0000-0000-0000DFB00000}"/>
    <cellStyle name="Migliaia 34 5 2" xfId="19378" xr:uid="{00000000-0005-0000-0000-0000E0B00000}"/>
    <cellStyle name="Migliaia 34 5 2 2" xfId="35459" xr:uid="{00000000-0005-0000-0000-0000E1B00000}"/>
    <cellStyle name="Migliaia 34 5 2 3" xfId="50415" xr:uid="{00000000-0005-0000-0000-0000E2B00000}"/>
    <cellStyle name="Migliaia 34 5 3" xfId="11457" xr:uid="{00000000-0005-0000-0000-0000E3B00000}"/>
    <cellStyle name="Migliaia 34 6" xfId="11452" xr:uid="{00000000-0005-0000-0000-0000E4B00000}"/>
    <cellStyle name="Migliaia 34 7" xfId="12067" xr:uid="{00000000-0005-0000-0000-0000E5B00000}"/>
    <cellStyle name="Migliaia 34 7 2" xfId="28349" xr:uid="{00000000-0005-0000-0000-0000E6B00000}"/>
    <cellStyle name="Migliaia 34 7 3" xfId="43322" xr:uid="{00000000-0005-0000-0000-0000E7B00000}"/>
    <cellStyle name="Migliaia 34 8" xfId="19371" xr:uid="{00000000-0005-0000-0000-0000E8B00000}"/>
    <cellStyle name="Migliaia 34 8 2" xfId="35452" xr:uid="{00000000-0005-0000-0000-0000E9B00000}"/>
    <cellStyle name="Migliaia 34 8 3" xfId="50408" xr:uid="{00000000-0005-0000-0000-0000EAB00000}"/>
    <cellStyle name="Migliaia 34 9" xfId="21352" xr:uid="{00000000-0005-0000-0000-0000EBB00000}"/>
    <cellStyle name="Migliaia 35" xfId="1317" xr:uid="{00000000-0005-0000-0000-0000ECB00000}"/>
    <cellStyle name="Migliaia 35 10" xfId="36327" xr:uid="{00000000-0005-0000-0000-0000EDB00000}"/>
    <cellStyle name="Migliaia 35 11" xfId="51264" xr:uid="{00000000-0005-0000-0000-0000EEB00000}"/>
    <cellStyle name="Migliaia 35 12" xfId="51658" xr:uid="{00000000-0005-0000-0000-0000EFB00000}"/>
    <cellStyle name="Migliaia 35 13" xfId="52064" xr:uid="{00000000-0005-0000-0000-0000F0B00000}"/>
    <cellStyle name="Migliaia 35 14" xfId="52472" xr:uid="{00000000-0005-0000-0000-0000F1B00000}"/>
    <cellStyle name="Migliaia 35 15" xfId="3621" xr:uid="{00000000-0005-0000-0000-0000F2B00000}"/>
    <cellStyle name="Migliaia 35 2" xfId="1318" xr:uid="{00000000-0005-0000-0000-0000F3B00000}"/>
    <cellStyle name="Migliaia 35 2 10" xfId="52065" xr:uid="{00000000-0005-0000-0000-0000F4B00000}"/>
    <cellStyle name="Migliaia 35 2 11" xfId="52473" xr:uid="{00000000-0005-0000-0000-0000F5B00000}"/>
    <cellStyle name="Migliaia 35 2 12" xfId="3622" xr:uid="{00000000-0005-0000-0000-0000F6B00000}"/>
    <cellStyle name="Migliaia 35 2 2" xfId="1319" xr:uid="{00000000-0005-0000-0000-0000F7B00000}"/>
    <cellStyle name="Migliaia 35 2 2 10" xfId="3783" xr:uid="{00000000-0005-0000-0000-0000F8B00000}"/>
    <cellStyle name="Migliaia 35 2 2 2" xfId="3045" xr:uid="{00000000-0005-0000-0000-0000F9B00000}"/>
    <cellStyle name="Migliaia 35 2 2 2 2" xfId="28540" xr:uid="{00000000-0005-0000-0000-0000FAB00000}"/>
    <cellStyle name="Migliaia 35 2 2 2 3" xfId="43503" xr:uid="{00000000-0005-0000-0000-0000FBB00000}"/>
    <cellStyle name="Migliaia 35 2 2 2 4" xfId="12262" xr:uid="{00000000-0005-0000-0000-0000FCB00000}"/>
    <cellStyle name="Migliaia 35 2 2 3" xfId="3414" xr:uid="{00000000-0005-0000-0000-0000FDB00000}"/>
    <cellStyle name="Migliaia 35 2 2 3 2" xfId="35928" xr:uid="{00000000-0005-0000-0000-0000FEB00000}"/>
    <cellStyle name="Migliaia 35 2 2 3 3" xfId="50884" xr:uid="{00000000-0005-0000-0000-0000FFB00000}"/>
    <cellStyle name="Migliaia 35 2 2 3 4" xfId="20495" xr:uid="{00000000-0005-0000-0000-000000B10000}"/>
    <cellStyle name="Migliaia 35 2 2 4" xfId="21540" xr:uid="{00000000-0005-0000-0000-000001B10000}"/>
    <cellStyle name="Migliaia 35 2 2 5" xfId="36507" xr:uid="{00000000-0005-0000-0000-000002B10000}"/>
    <cellStyle name="Migliaia 35 2 2 6" xfId="51445" xr:uid="{00000000-0005-0000-0000-000003B10000}"/>
    <cellStyle name="Migliaia 35 2 2 7" xfId="51850" xr:uid="{00000000-0005-0000-0000-000004B10000}"/>
    <cellStyle name="Migliaia 35 2 2 8" xfId="52259" xr:uid="{00000000-0005-0000-0000-000005B10000}"/>
    <cellStyle name="Migliaia 35 2 2 9" xfId="52664" xr:uid="{00000000-0005-0000-0000-000006B10000}"/>
    <cellStyle name="Migliaia 35 2 3" xfId="2884" xr:uid="{00000000-0005-0000-0000-000007B10000}"/>
    <cellStyle name="Migliaia 35 2 3 2" xfId="11459" xr:uid="{00000000-0005-0000-0000-000008B10000}"/>
    <cellStyle name="Migliaia 35 2 4" xfId="3253" xr:uid="{00000000-0005-0000-0000-000009B10000}"/>
    <cellStyle name="Migliaia 35 2 4 2" xfId="28354" xr:uid="{00000000-0005-0000-0000-00000AB10000}"/>
    <cellStyle name="Migliaia 35 2 4 3" xfId="43327" xr:uid="{00000000-0005-0000-0000-00000BB10000}"/>
    <cellStyle name="Migliaia 35 2 4 4" xfId="12072" xr:uid="{00000000-0005-0000-0000-00000CB10000}"/>
    <cellStyle name="Migliaia 35 2 5" xfId="19380" xr:uid="{00000000-0005-0000-0000-00000DB10000}"/>
    <cellStyle name="Migliaia 35 2 5 2" xfId="35461" xr:uid="{00000000-0005-0000-0000-00000EB10000}"/>
    <cellStyle name="Migliaia 35 2 5 3" xfId="50417" xr:uid="{00000000-0005-0000-0000-00000FB10000}"/>
    <cellStyle name="Migliaia 35 2 6" xfId="21357" xr:uid="{00000000-0005-0000-0000-000010B10000}"/>
    <cellStyle name="Migliaia 35 2 7" xfId="36328" xr:uid="{00000000-0005-0000-0000-000011B10000}"/>
    <cellStyle name="Migliaia 35 2 8" xfId="51265" xr:uid="{00000000-0005-0000-0000-000012B10000}"/>
    <cellStyle name="Migliaia 35 2 9" xfId="51659" xr:uid="{00000000-0005-0000-0000-000013B10000}"/>
    <cellStyle name="Migliaia 35 3" xfId="1320" xr:uid="{00000000-0005-0000-0000-000014B10000}"/>
    <cellStyle name="Migliaia 35 3 10" xfId="52066" xr:uid="{00000000-0005-0000-0000-000015B10000}"/>
    <cellStyle name="Migliaia 35 3 11" xfId="52474" xr:uid="{00000000-0005-0000-0000-000016B10000}"/>
    <cellStyle name="Migliaia 35 3 12" xfId="3623" xr:uid="{00000000-0005-0000-0000-000017B10000}"/>
    <cellStyle name="Migliaia 35 3 2" xfId="1321" xr:uid="{00000000-0005-0000-0000-000018B10000}"/>
    <cellStyle name="Migliaia 35 3 2 10" xfId="52475" xr:uid="{00000000-0005-0000-0000-000019B10000}"/>
    <cellStyle name="Migliaia 35 3 2 11" xfId="3624" xr:uid="{00000000-0005-0000-0000-00001AB10000}"/>
    <cellStyle name="Migliaia 35 3 2 2" xfId="2886" xr:uid="{00000000-0005-0000-0000-00001BB10000}"/>
    <cellStyle name="Migliaia 35 3 2 2 2" xfId="11461" xr:uid="{00000000-0005-0000-0000-00001CB10000}"/>
    <cellStyle name="Migliaia 35 3 2 3" xfId="3255" xr:uid="{00000000-0005-0000-0000-00001DB10000}"/>
    <cellStyle name="Migliaia 35 3 2 3 2" xfId="28356" xr:uid="{00000000-0005-0000-0000-00001EB10000}"/>
    <cellStyle name="Migliaia 35 3 2 3 3" xfId="43329" xr:uid="{00000000-0005-0000-0000-00001FB10000}"/>
    <cellStyle name="Migliaia 35 3 2 3 4" xfId="12074" xr:uid="{00000000-0005-0000-0000-000020B10000}"/>
    <cellStyle name="Migliaia 35 3 2 4" xfId="19382" xr:uid="{00000000-0005-0000-0000-000021B10000}"/>
    <cellStyle name="Migliaia 35 3 2 4 2" xfId="35463" xr:uid="{00000000-0005-0000-0000-000022B10000}"/>
    <cellStyle name="Migliaia 35 3 2 4 3" xfId="50419" xr:uid="{00000000-0005-0000-0000-000023B10000}"/>
    <cellStyle name="Migliaia 35 3 2 5" xfId="21359" xr:uid="{00000000-0005-0000-0000-000024B10000}"/>
    <cellStyle name="Migliaia 35 3 2 6" xfId="36330" xr:uid="{00000000-0005-0000-0000-000025B10000}"/>
    <cellStyle name="Migliaia 35 3 2 7" xfId="51267" xr:uid="{00000000-0005-0000-0000-000026B10000}"/>
    <cellStyle name="Migliaia 35 3 2 8" xfId="51661" xr:uid="{00000000-0005-0000-0000-000027B10000}"/>
    <cellStyle name="Migliaia 35 3 2 9" xfId="52067" xr:uid="{00000000-0005-0000-0000-000028B10000}"/>
    <cellStyle name="Migliaia 35 3 3" xfId="2885" xr:uid="{00000000-0005-0000-0000-000029B10000}"/>
    <cellStyle name="Migliaia 35 3 3 2" xfId="20497" xr:uid="{00000000-0005-0000-0000-00002AB10000}"/>
    <cellStyle name="Migliaia 35 3 3 2 2" xfId="35930" xr:uid="{00000000-0005-0000-0000-00002BB10000}"/>
    <cellStyle name="Migliaia 35 3 3 2 3" xfId="50886" xr:uid="{00000000-0005-0000-0000-00002CB10000}"/>
    <cellStyle name="Migliaia 35 3 3 3" xfId="19383" xr:uid="{00000000-0005-0000-0000-00002DB10000}"/>
    <cellStyle name="Migliaia 35 3 3 3 2" xfId="35464" xr:uid="{00000000-0005-0000-0000-00002EB10000}"/>
    <cellStyle name="Migliaia 35 3 3 3 3" xfId="50420" xr:uid="{00000000-0005-0000-0000-00002FB10000}"/>
    <cellStyle name="Migliaia 35 3 3 4" xfId="11460" xr:uid="{00000000-0005-0000-0000-000030B10000}"/>
    <cellStyle name="Migliaia 35 3 4" xfId="3254" xr:uid="{00000000-0005-0000-0000-000031B10000}"/>
    <cellStyle name="Migliaia 35 3 4 2" xfId="20496" xr:uid="{00000000-0005-0000-0000-000032B10000}"/>
    <cellStyle name="Migliaia 35 3 4 2 2" xfId="35929" xr:uid="{00000000-0005-0000-0000-000033B10000}"/>
    <cellStyle name="Migliaia 35 3 4 2 3" xfId="50885" xr:uid="{00000000-0005-0000-0000-000034B10000}"/>
    <cellStyle name="Migliaia 35 3 4 3" xfId="28355" xr:uid="{00000000-0005-0000-0000-000035B10000}"/>
    <cellStyle name="Migliaia 35 3 4 4" xfId="43328" xr:uid="{00000000-0005-0000-0000-000036B10000}"/>
    <cellStyle name="Migliaia 35 3 4 5" xfId="12073" xr:uid="{00000000-0005-0000-0000-000037B10000}"/>
    <cellStyle name="Migliaia 35 3 5" xfId="19381" xr:uid="{00000000-0005-0000-0000-000038B10000}"/>
    <cellStyle name="Migliaia 35 3 5 2" xfId="35462" xr:uid="{00000000-0005-0000-0000-000039B10000}"/>
    <cellStyle name="Migliaia 35 3 5 3" xfId="50418" xr:uid="{00000000-0005-0000-0000-00003AB10000}"/>
    <cellStyle name="Migliaia 35 3 6" xfId="21358" xr:uid="{00000000-0005-0000-0000-00003BB10000}"/>
    <cellStyle name="Migliaia 35 3 7" xfId="36329" xr:uid="{00000000-0005-0000-0000-00003CB10000}"/>
    <cellStyle name="Migliaia 35 3 8" xfId="51266" xr:uid="{00000000-0005-0000-0000-00003DB10000}"/>
    <cellStyle name="Migliaia 35 3 9" xfId="51660" xr:uid="{00000000-0005-0000-0000-00003EB10000}"/>
    <cellStyle name="Migliaia 35 4" xfId="2883" xr:uid="{00000000-0005-0000-0000-00003FB10000}"/>
    <cellStyle name="Migliaia 35 4 2" xfId="19385" xr:uid="{00000000-0005-0000-0000-000040B10000}"/>
    <cellStyle name="Migliaia 35 4 2 2" xfId="20499" xr:uid="{00000000-0005-0000-0000-000041B10000}"/>
    <cellStyle name="Migliaia 35 4 2 2 2" xfId="35932" xr:uid="{00000000-0005-0000-0000-000042B10000}"/>
    <cellStyle name="Migliaia 35 4 2 2 3" xfId="50888" xr:uid="{00000000-0005-0000-0000-000043B10000}"/>
    <cellStyle name="Migliaia 35 4 2 3" xfId="35466" xr:uid="{00000000-0005-0000-0000-000044B10000}"/>
    <cellStyle name="Migliaia 35 4 2 4" xfId="50422" xr:uid="{00000000-0005-0000-0000-000045B10000}"/>
    <cellStyle name="Migliaia 35 4 3" xfId="20498" xr:uid="{00000000-0005-0000-0000-000046B10000}"/>
    <cellStyle name="Migliaia 35 4 3 2" xfId="35931" xr:uid="{00000000-0005-0000-0000-000047B10000}"/>
    <cellStyle name="Migliaia 35 4 3 3" xfId="50887" xr:uid="{00000000-0005-0000-0000-000048B10000}"/>
    <cellStyle name="Migliaia 35 4 4" xfId="19384" xr:uid="{00000000-0005-0000-0000-000049B10000}"/>
    <cellStyle name="Migliaia 35 4 4 2" xfId="35465" xr:uid="{00000000-0005-0000-0000-00004AB10000}"/>
    <cellStyle name="Migliaia 35 4 4 3" xfId="50421" xr:uid="{00000000-0005-0000-0000-00004BB10000}"/>
    <cellStyle name="Migliaia 35 4 5" xfId="11462" xr:uid="{00000000-0005-0000-0000-00004CB10000}"/>
    <cellStyle name="Migliaia 35 5" xfId="3252" xr:uid="{00000000-0005-0000-0000-00004DB10000}"/>
    <cellStyle name="Migliaia 35 5 2" xfId="19386" xr:uid="{00000000-0005-0000-0000-00004EB10000}"/>
    <cellStyle name="Migliaia 35 5 2 2" xfId="35467" xr:uid="{00000000-0005-0000-0000-00004FB10000}"/>
    <cellStyle name="Migliaia 35 5 2 3" xfId="50423" xr:uid="{00000000-0005-0000-0000-000050B10000}"/>
    <cellStyle name="Migliaia 35 5 3" xfId="11463" xr:uid="{00000000-0005-0000-0000-000051B10000}"/>
    <cellStyle name="Migliaia 35 6" xfId="11458" xr:uid="{00000000-0005-0000-0000-000052B10000}"/>
    <cellStyle name="Migliaia 35 7" xfId="12071" xr:uid="{00000000-0005-0000-0000-000053B10000}"/>
    <cellStyle name="Migliaia 35 7 2" xfId="28353" xr:uid="{00000000-0005-0000-0000-000054B10000}"/>
    <cellStyle name="Migliaia 35 7 3" xfId="43326" xr:uid="{00000000-0005-0000-0000-000055B10000}"/>
    <cellStyle name="Migliaia 35 8" xfId="19379" xr:uid="{00000000-0005-0000-0000-000056B10000}"/>
    <cellStyle name="Migliaia 35 8 2" xfId="35460" xr:uid="{00000000-0005-0000-0000-000057B10000}"/>
    <cellStyle name="Migliaia 35 8 3" xfId="50416" xr:uid="{00000000-0005-0000-0000-000058B10000}"/>
    <cellStyle name="Migliaia 35 9" xfId="21356" xr:uid="{00000000-0005-0000-0000-000059B10000}"/>
    <cellStyle name="Migliaia 36" xfId="1322" xr:uid="{00000000-0005-0000-0000-00005AB10000}"/>
    <cellStyle name="Migliaia 36 10" xfId="36331" xr:uid="{00000000-0005-0000-0000-00005BB10000}"/>
    <cellStyle name="Migliaia 36 11" xfId="51268" xr:uid="{00000000-0005-0000-0000-00005CB10000}"/>
    <cellStyle name="Migliaia 36 12" xfId="51662" xr:uid="{00000000-0005-0000-0000-00005DB10000}"/>
    <cellStyle name="Migliaia 36 13" xfId="52068" xr:uid="{00000000-0005-0000-0000-00005EB10000}"/>
    <cellStyle name="Migliaia 36 14" xfId="52476" xr:uid="{00000000-0005-0000-0000-00005FB10000}"/>
    <cellStyle name="Migliaia 36 15" xfId="3625" xr:uid="{00000000-0005-0000-0000-000060B10000}"/>
    <cellStyle name="Migliaia 36 2" xfId="1323" xr:uid="{00000000-0005-0000-0000-000061B10000}"/>
    <cellStyle name="Migliaia 36 2 10" xfId="52069" xr:uid="{00000000-0005-0000-0000-000062B10000}"/>
    <cellStyle name="Migliaia 36 2 11" xfId="52477" xr:uid="{00000000-0005-0000-0000-000063B10000}"/>
    <cellStyle name="Migliaia 36 2 12" xfId="3626" xr:uid="{00000000-0005-0000-0000-000064B10000}"/>
    <cellStyle name="Migliaia 36 2 2" xfId="1324" xr:uid="{00000000-0005-0000-0000-000065B10000}"/>
    <cellStyle name="Migliaia 36 2 2 10" xfId="3784" xr:uid="{00000000-0005-0000-0000-000066B10000}"/>
    <cellStyle name="Migliaia 36 2 2 2" xfId="3046" xr:uid="{00000000-0005-0000-0000-000067B10000}"/>
    <cellStyle name="Migliaia 36 2 2 2 2" xfId="28541" xr:uid="{00000000-0005-0000-0000-000068B10000}"/>
    <cellStyle name="Migliaia 36 2 2 2 3" xfId="43504" xr:uid="{00000000-0005-0000-0000-000069B10000}"/>
    <cellStyle name="Migliaia 36 2 2 2 4" xfId="12263" xr:uid="{00000000-0005-0000-0000-00006AB10000}"/>
    <cellStyle name="Migliaia 36 2 2 3" xfId="3415" xr:uid="{00000000-0005-0000-0000-00006BB10000}"/>
    <cellStyle name="Migliaia 36 2 2 3 2" xfId="35933" xr:uid="{00000000-0005-0000-0000-00006CB10000}"/>
    <cellStyle name="Migliaia 36 2 2 3 3" xfId="50889" xr:uid="{00000000-0005-0000-0000-00006DB10000}"/>
    <cellStyle name="Migliaia 36 2 2 3 4" xfId="20500" xr:uid="{00000000-0005-0000-0000-00006EB10000}"/>
    <cellStyle name="Migliaia 36 2 2 4" xfId="21541" xr:uid="{00000000-0005-0000-0000-00006FB10000}"/>
    <cellStyle name="Migliaia 36 2 2 5" xfId="36508" xr:uid="{00000000-0005-0000-0000-000070B10000}"/>
    <cellStyle name="Migliaia 36 2 2 6" xfId="51446" xr:uid="{00000000-0005-0000-0000-000071B10000}"/>
    <cellStyle name="Migliaia 36 2 2 7" xfId="51851" xr:uid="{00000000-0005-0000-0000-000072B10000}"/>
    <cellStyle name="Migliaia 36 2 2 8" xfId="52260" xr:uid="{00000000-0005-0000-0000-000073B10000}"/>
    <cellStyle name="Migliaia 36 2 2 9" xfId="52665" xr:uid="{00000000-0005-0000-0000-000074B10000}"/>
    <cellStyle name="Migliaia 36 2 3" xfId="2888" xr:uid="{00000000-0005-0000-0000-000075B10000}"/>
    <cellStyle name="Migliaia 36 2 3 2" xfId="11465" xr:uid="{00000000-0005-0000-0000-000076B10000}"/>
    <cellStyle name="Migliaia 36 2 4" xfId="3257" xr:uid="{00000000-0005-0000-0000-000077B10000}"/>
    <cellStyle name="Migliaia 36 2 4 2" xfId="28358" xr:uid="{00000000-0005-0000-0000-000078B10000}"/>
    <cellStyle name="Migliaia 36 2 4 3" xfId="43331" xr:uid="{00000000-0005-0000-0000-000079B10000}"/>
    <cellStyle name="Migliaia 36 2 4 4" xfId="12076" xr:uid="{00000000-0005-0000-0000-00007AB10000}"/>
    <cellStyle name="Migliaia 36 2 5" xfId="19388" xr:uid="{00000000-0005-0000-0000-00007BB10000}"/>
    <cellStyle name="Migliaia 36 2 5 2" xfId="35469" xr:uid="{00000000-0005-0000-0000-00007CB10000}"/>
    <cellStyle name="Migliaia 36 2 5 3" xfId="50425" xr:uid="{00000000-0005-0000-0000-00007DB10000}"/>
    <cellStyle name="Migliaia 36 2 6" xfId="21361" xr:uid="{00000000-0005-0000-0000-00007EB10000}"/>
    <cellStyle name="Migliaia 36 2 7" xfId="36332" xr:uid="{00000000-0005-0000-0000-00007FB10000}"/>
    <cellStyle name="Migliaia 36 2 8" xfId="51269" xr:uid="{00000000-0005-0000-0000-000080B10000}"/>
    <cellStyle name="Migliaia 36 2 9" xfId="51663" xr:uid="{00000000-0005-0000-0000-000081B10000}"/>
    <cellStyle name="Migliaia 36 3" xfId="1325" xr:uid="{00000000-0005-0000-0000-000082B10000}"/>
    <cellStyle name="Migliaia 36 3 10" xfId="52070" xr:uid="{00000000-0005-0000-0000-000083B10000}"/>
    <cellStyle name="Migliaia 36 3 11" xfId="52478" xr:uid="{00000000-0005-0000-0000-000084B10000}"/>
    <cellStyle name="Migliaia 36 3 12" xfId="3627" xr:uid="{00000000-0005-0000-0000-000085B10000}"/>
    <cellStyle name="Migliaia 36 3 2" xfId="1326" xr:uid="{00000000-0005-0000-0000-000086B10000}"/>
    <cellStyle name="Migliaia 36 3 2 10" xfId="52479" xr:uid="{00000000-0005-0000-0000-000087B10000}"/>
    <cellStyle name="Migliaia 36 3 2 11" xfId="3628" xr:uid="{00000000-0005-0000-0000-000088B10000}"/>
    <cellStyle name="Migliaia 36 3 2 2" xfId="2890" xr:uid="{00000000-0005-0000-0000-000089B10000}"/>
    <cellStyle name="Migliaia 36 3 2 2 2" xfId="11467" xr:uid="{00000000-0005-0000-0000-00008AB10000}"/>
    <cellStyle name="Migliaia 36 3 2 3" xfId="3259" xr:uid="{00000000-0005-0000-0000-00008BB10000}"/>
    <cellStyle name="Migliaia 36 3 2 3 2" xfId="28360" xr:uid="{00000000-0005-0000-0000-00008CB10000}"/>
    <cellStyle name="Migliaia 36 3 2 3 3" xfId="43333" xr:uid="{00000000-0005-0000-0000-00008DB10000}"/>
    <cellStyle name="Migliaia 36 3 2 3 4" xfId="12078" xr:uid="{00000000-0005-0000-0000-00008EB10000}"/>
    <cellStyle name="Migliaia 36 3 2 4" xfId="19390" xr:uid="{00000000-0005-0000-0000-00008FB10000}"/>
    <cellStyle name="Migliaia 36 3 2 4 2" xfId="35471" xr:uid="{00000000-0005-0000-0000-000090B10000}"/>
    <cellStyle name="Migliaia 36 3 2 4 3" xfId="50427" xr:uid="{00000000-0005-0000-0000-000091B10000}"/>
    <cellStyle name="Migliaia 36 3 2 5" xfId="21363" xr:uid="{00000000-0005-0000-0000-000092B10000}"/>
    <cellStyle name="Migliaia 36 3 2 6" xfId="36334" xr:uid="{00000000-0005-0000-0000-000093B10000}"/>
    <cellStyle name="Migliaia 36 3 2 7" xfId="51271" xr:uid="{00000000-0005-0000-0000-000094B10000}"/>
    <cellStyle name="Migliaia 36 3 2 8" xfId="51665" xr:uid="{00000000-0005-0000-0000-000095B10000}"/>
    <cellStyle name="Migliaia 36 3 2 9" xfId="52071" xr:uid="{00000000-0005-0000-0000-000096B10000}"/>
    <cellStyle name="Migliaia 36 3 3" xfId="2889" xr:uid="{00000000-0005-0000-0000-000097B10000}"/>
    <cellStyle name="Migliaia 36 3 3 2" xfId="20502" xr:uid="{00000000-0005-0000-0000-000098B10000}"/>
    <cellStyle name="Migliaia 36 3 3 2 2" xfId="35935" xr:uid="{00000000-0005-0000-0000-000099B10000}"/>
    <cellStyle name="Migliaia 36 3 3 2 3" xfId="50891" xr:uid="{00000000-0005-0000-0000-00009AB10000}"/>
    <cellStyle name="Migliaia 36 3 3 3" xfId="19391" xr:uid="{00000000-0005-0000-0000-00009BB10000}"/>
    <cellStyle name="Migliaia 36 3 3 3 2" xfId="35472" xr:uid="{00000000-0005-0000-0000-00009CB10000}"/>
    <cellStyle name="Migliaia 36 3 3 3 3" xfId="50428" xr:uid="{00000000-0005-0000-0000-00009DB10000}"/>
    <cellStyle name="Migliaia 36 3 3 4" xfId="11466" xr:uid="{00000000-0005-0000-0000-00009EB10000}"/>
    <cellStyle name="Migliaia 36 3 4" xfId="3258" xr:uid="{00000000-0005-0000-0000-00009FB10000}"/>
    <cellStyle name="Migliaia 36 3 4 2" xfId="20501" xr:uid="{00000000-0005-0000-0000-0000A0B10000}"/>
    <cellStyle name="Migliaia 36 3 4 2 2" xfId="35934" xr:uid="{00000000-0005-0000-0000-0000A1B10000}"/>
    <cellStyle name="Migliaia 36 3 4 2 3" xfId="50890" xr:uid="{00000000-0005-0000-0000-0000A2B10000}"/>
    <cellStyle name="Migliaia 36 3 4 3" xfId="28359" xr:uid="{00000000-0005-0000-0000-0000A3B10000}"/>
    <cellStyle name="Migliaia 36 3 4 4" xfId="43332" xr:uid="{00000000-0005-0000-0000-0000A4B10000}"/>
    <cellStyle name="Migliaia 36 3 4 5" xfId="12077" xr:uid="{00000000-0005-0000-0000-0000A5B10000}"/>
    <cellStyle name="Migliaia 36 3 5" xfId="19389" xr:uid="{00000000-0005-0000-0000-0000A6B10000}"/>
    <cellStyle name="Migliaia 36 3 5 2" xfId="35470" xr:uid="{00000000-0005-0000-0000-0000A7B10000}"/>
    <cellStyle name="Migliaia 36 3 5 3" xfId="50426" xr:uid="{00000000-0005-0000-0000-0000A8B10000}"/>
    <cellStyle name="Migliaia 36 3 6" xfId="21362" xr:uid="{00000000-0005-0000-0000-0000A9B10000}"/>
    <cellStyle name="Migliaia 36 3 7" xfId="36333" xr:uid="{00000000-0005-0000-0000-0000AAB10000}"/>
    <cellStyle name="Migliaia 36 3 8" xfId="51270" xr:uid="{00000000-0005-0000-0000-0000ABB10000}"/>
    <cellStyle name="Migliaia 36 3 9" xfId="51664" xr:uid="{00000000-0005-0000-0000-0000ACB10000}"/>
    <cellStyle name="Migliaia 36 4" xfId="2887" xr:uid="{00000000-0005-0000-0000-0000ADB10000}"/>
    <cellStyle name="Migliaia 36 4 2" xfId="19393" xr:uid="{00000000-0005-0000-0000-0000AEB10000}"/>
    <cellStyle name="Migliaia 36 4 2 2" xfId="20504" xr:uid="{00000000-0005-0000-0000-0000AFB10000}"/>
    <cellStyle name="Migliaia 36 4 2 2 2" xfId="35937" xr:uid="{00000000-0005-0000-0000-0000B0B10000}"/>
    <cellStyle name="Migliaia 36 4 2 2 3" xfId="50893" xr:uid="{00000000-0005-0000-0000-0000B1B10000}"/>
    <cellStyle name="Migliaia 36 4 2 3" xfId="35474" xr:uid="{00000000-0005-0000-0000-0000B2B10000}"/>
    <cellStyle name="Migliaia 36 4 2 4" xfId="50430" xr:uid="{00000000-0005-0000-0000-0000B3B10000}"/>
    <cellStyle name="Migliaia 36 4 3" xfId="20503" xr:uid="{00000000-0005-0000-0000-0000B4B10000}"/>
    <cellStyle name="Migliaia 36 4 3 2" xfId="35936" xr:uid="{00000000-0005-0000-0000-0000B5B10000}"/>
    <cellStyle name="Migliaia 36 4 3 3" xfId="50892" xr:uid="{00000000-0005-0000-0000-0000B6B10000}"/>
    <cellStyle name="Migliaia 36 4 4" xfId="19392" xr:uid="{00000000-0005-0000-0000-0000B7B10000}"/>
    <cellStyle name="Migliaia 36 4 4 2" xfId="35473" xr:uid="{00000000-0005-0000-0000-0000B8B10000}"/>
    <cellStyle name="Migliaia 36 4 4 3" xfId="50429" xr:uid="{00000000-0005-0000-0000-0000B9B10000}"/>
    <cellStyle name="Migliaia 36 4 5" xfId="11468" xr:uid="{00000000-0005-0000-0000-0000BAB10000}"/>
    <cellStyle name="Migliaia 36 5" xfId="3256" xr:uid="{00000000-0005-0000-0000-0000BBB10000}"/>
    <cellStyle name="Migliaia 36 5 2" xfId="19394" xr:uid="{00000000-0005-0000-0000-0000BCB10000}"/>
    <cellStyle name="Migliaia 36 5 2 2" xfId="35475" xr:uid="{00000000-0005-0000-0000-0000BDB10000}"/>
    <cellStyle name="Migliaia 36 5 2 3" xfId="50431" xr:uid="{00000000-0005-0000-0000-0000BEB10000}"/>
    <cellStyle name="Migliaia 36 5 3" xfId="11469" xr:uid="{00000000-0005-0000-0000-0000BFB10000}"/>
    <cellStyle name="Migliaia 36 6" xfId="11464" xr:uid="{00000000-0005-0000-0000-0000C0B10000}"/>
    <cellStyle name="Migliaia 36 7" xfId="12075" xr:uid="{00000000-0005-0000-0000-0000C1B10000}"/>
    <cellStyle name="Migliaia 36 7 2" xfId="28357" xr:uid="{00000000-0005-0000-0000-0000C2B10000}"/>
    <cellStyle name="Migliaia 36 7 3" xfId="43330" xr:uid="{00000000-0005-0000-0000-0000C3B10000}"/>
    <cellStyle name="Migliaia 36 8" xfId="19387" xr:uid="{00000000-0005-0000-0000-0000C4B10000}"/>
    <cellStyle name="Migliaia 36 8 2" xfId="35468" xr:uid="{00000000-0005-0000-0000-0000C5B10000}"/>
    <cellStyle name="Migliaia 36 8 3" xfId="50424" xr:uid="{00000000-0005-0000-0000-0000C6B10000}"/>
    <cellStyle name="Migliaia 36 9" xfId="21360" xr:uid="{00000000-0005-0000-0000-0000C7B10000}"/>
    <cellStyle name="Migliaia 37" xfId="1327" xr:uid="{00000000-0005-0000-0000-0000C8B10000}"/>
    <cellStyle name="Migliaia 37 10" xfId="36335" xr:uid="{00000000-0005-0000-0000-0000C9B10000}"/>
    <cellStyle name="Migliaia 37 11" xfId="51272" xr:uid="{00000000-0005-0000-0000-0000CAB10000}"/>
    <cellStyle name="Migliaia 37 12" xfId="51666" xr:uid="{00000000-0005-0000-0000-0000CBB10000}"/>
    <cellStyle name="Migliaia 37 13" xfId="52072" xr:uid="{00000000-0005-0000-0000-0000CCB10000}"/>
    <cellStyle name="Migliaia 37 14" xfId="52480" xr:uid="{00000000-0005-0000-0000-0000CDB10000}"/>
    <cellStyle name="Migliaia 37 15" xfId="3629" xr:uid="{00000000-0005-0000-0000-0000CEB10000}"/>
    <cellStyle name="Migliaia 37 2" xfId="1328" xr:uid="{00000000-0005-0000-0000-0000CFB10000}"/>
    <cellStyle name="Migliaia 37 2 10" xfId="52073" xr:uid="{00000000-0005-0000-0000-0000D0B10000}"/>
    <cellStyle name="Migliaia 37 2 11" xfId="52481" xr:uid="{00000000-0005-0000-0000-0000D1B10000}"/>
    <cellStyle name="Migliaia 37 2 12" xfId="3630" xr:uid="{00000000-0005-0000-0000-0000D2B10000}"/>
    <cellStyle name="Migliaia 37 2 2" xfId="1329" xr:uid="{00000000-0005-0000-0000-0000D3B10000}"/>
    <cellStyle name="Migliaia 37 2 2 10" xfId="3785" xr:uid="{00000000-0005-0000-0000-0000D4B10000}"/>
    <cellStyle name="Migliaia 37 2 2 2" xfId="3047" xr:uid="{00000000-0005-0000-0000-0000D5B10000}"/>
    <cellStyle name="Migliaia 37 2 2 2 2" xfId="28542" xr:uid="{00000000-0005-0000-0000-0000D6B10000}"/>
    <cellStyle name="Migliaia 37 2 2 2 3" xfId="43505" xr:uid="{00000000-0005-0000-0000-0000D7B10000}"/>
    <cellStyle name="Migliaia 37 2 2 2 4" xfId="12264" xr:uid="{00000000-0005-0000-0000-0000D8B10000}"/>
    <cellStyle name="Migliaia 37 2 2 3" xfId="3416" xr:uid="{00000000-0005-0000-0000-0000D9B10000}"/>
    <cellStyle name="Migliaia 37 2 2 3 2" xfId="35938" xr:uid="{00000000-0005-0000-0000-0000DAB10000}"/>
    <cellStyle name="Migliaia 37 2 2 3 3" xfId="50894" xr:uid="{00000000-0005-0000-0000-0000DBB10000}"/>
    <cellStyle name="Migliaia 37 2 2 3 4" xfId="20505" xr:uid="{00000000-0005-0000-0000-0000DCB10000}"/>
    <cellStyle name="Migliaia 37 2 2 4" xfId="21542" xr:uid="{00000000-0005-0000-0000-0000DDB10000}"/>
    <cellStyle name="Migliaia 37 2 2 5" xfId="36509" xr:uid="{00000000-0005-0000-0000-0000DEB10000}"/>
    <cellStyle name="Migliaia 37 2 2 6" xfId="51447" xr:uid="{00000000-0005-0000-0000-0000DFB10000}"/>
    <cellStyle name="Migliaia 37 2 2 7" xfId="51852" xr:uid="{00000000-0005-0000-0000-0000E0B10000}"/>
    <cellStyle name="Migliaia 37 2 2 8" xfId="52261" xr:uid="{00000000-0005-0000-0000-0000E1B10000}"/>
    <cellStyle name="Migliaia 37 2 2 9" xfId="52666" xr:uid="{00000000-0005-0000-0000-0000E2B10000}"/>
    <cellStyle name="Migliaia 37 2 3" xfId="2892" xr:uid="{00000000-0005-0000-0000-0000E3B10000}"/>
    <cellStyle name="Migliaia 37 2 3 2" xfId="11471" xr:uid="{00000000-0005-0000-0000-0000E4B10000}"/>
    <cellStyle name="Migliaia 37 2 4" xfId="3261" xr:uid="{00000000-0005-0000-0000-0000E5B10000}"/>
    <cellStyle name="Migliaia 37 2 4 2" xfId="28362" xr:uid="{00000000-0005-0000-0000-0000E6B10000}"/>
    <cellStyle name="Migliaia 37 2 4 3" xfId="43335" xr:uid="{00000000-0005-0000-0000-0000E7B10000}"/>
    <cellStyle name="Migliaia 37 2 4 4" xfId="12080" xr:uid="{00000000-0005-0000-0000-0000E8B10000}"/>
    <cellStyle name="Migliaia 37 2 5" xfId="19396" xr:uid="{00000000-0005-0000-0000-0000E9B10000}"/>
    <cellStyle name="Migliaia 37 2 5 2" xfId="35477" xr:uid="{00000000-0005-0000-0000-0000EAB10000}"/>
    <cellStyle name="Migliaia 37 2 5 3" xfId="50433" xr:uid="{00000000-0005-0000-0000-0000EBB10000}"/>
    <cellStyle name="Migliaia 37 2 6" xfId="21365" xr:uid="{00000000-0005-0000-0000-0000ECB10000}"/>
    <cellStyle name="Migliaia 37 2 7" xfId="36336" xr:uid="{00000000-0005-0000-0000-0000EDB10000}"/>
    <cellStyle name="Migliaia 37 2 8" xfId="51273" xr:uid="{00000000-0005-0000-0000-0000EEB10000}"/>
    <cellStyle name="Migliaia 37 2 9" xfId="51667" xr:uid="{00000000-0005-0000-0000-0000EFB10000}"/>
    <cellStyle name="Migliaia 37 3" xfId="1330" xr:uid="{00000000-0005-0000-0000-0000F0B10000}"/>
    <cellStyle name="Migliaia 37 3 10" xfId="52074" xr:uid="{00000000-0005-0000-0000-0000F1B10000}"/>
    <cellStyle name="Migliaia 37 3 11" xfId="52482" xr:uid="{00000000-0005-0000-0000-0000F2B10000}"/>
    <cellStyle name="Migliaia 37 3 12" xfId="3631" xr:uid="{00000000-0005-0000-0000-0000F3B10000}"/>
    <cellStyle name="Migliaia 37 3 2" xfId="1331" xr:uid="{00000000-0005-0000-0000-0000F4B10000}"/>
    <cellStyle name="Migliaia 37 3 2 10" xfId="52483" xr:uid="{00000000-0005-0000-0000-0000F5B10000}"/>
    <cellStyle name="Migliaia 37 3 2 11" xfId="3632" xr:uid="{00000000-0005-0000-0000-0000F6B10000}"/>
    <cellStyle name="Migliaia 37 3 2 2" xfId="2894" xr:uid="{00000000-0005-0000-0000-0000F7B10000}"/>
    <cellStyle name="Migliaia 37 3 2 2 2" xfId="11473" xr:uid="{00000000-0005-0000-0000-0000F8B10000}"/>
    <cellStyle name="Migliaia 37 3 2 3" xfId="3263" xr:uid="{00000000-0005-0000-0000-0000F9B10000}"/>
    <cellStyle name="Migliaia 37 3 2 3 2" xfId="28364" xr:uid="{00000000-0005-0000-0000-0000FAB10000}"/>
    <cellStyle name="Migliaia 37 3 2 3 3" xfId="43337" xr:uid="{00000000-0005-0000-0000-0000FBB10000}"/>
    <cellStyle name="Migliaia 37 3 2 3 4" xfId="12082" xr:uid="{00000000-0005-0000-0000-0000FCB10000}"/>
    <cellStyle name="Migliaia 37 3 2 4" xfId="19398" xr:uid="{00000000-0005-0000-0000-0000FDB10000}"/>
    <cellStyle name="Migliaia 37 3 2 4 2" xfId="35479" xr:uid="{00000000-0005-0000-0000-0000FEB10000}"/>
    <cellStyle name="Migliaia 37 3 2 4 3" xfId="50435" xr:uid="{00000000-0005-0000-0000-0000FFB10000}"/>
    <cellStyle name="Migliaia 37 3 2 5" xfId="21367" xr:uid="{00000000-0005-0000-0000-000000B20000}"/>
    <cellStyle name="Migliaia 37 3 2 6" xfId="36338" xr:uid="{00000000-0005-0000-0000-000001B20000}"/>
    <cellStyle name="Migliaia 37 3 2 7" xfId="51275" xr:uid="{00000000-0005-0000-0000-000002B20000}"/>
    <cellStyle name="Migliaia 37 3 2 8" xfId="51669" xr:uid="{00000000-0005-0000-0000-000003B20000}"/>
    <cellStyle name="Migliaia 37 3 2 9" xfId="52075" xr:uid="{00000000-0005-0000-0000-000004B20000}"/>
    <cellStyle name="Migliaia 37 3 3" xfId="2893" xr:uid="{00000000-0005-0000-0000-000005B20000}"/>
    <cellStyle name="Migliaia 37 3 3 2" xfId="20507" xr:uid="{00000000-0005-0000-0000-000006B20000}"/>
    <cellStyle name="Migliaia 37 3 3 2 2" xfId="35940" xr:uid="{00000000-0005-0000-0000-000007B20000}"/>
    <cellStyle name="Migliaia 37 3 3 2 3" xfId="50896" xr:uid="{00000000-0005-0000-0000-000008B20000}"/>
    <cellStyle name="Migliaia 37 3 3 3" xfId="19399" xr:uid="{00000000-0005-0000-0000-000009B20000}"/>
    <cellStyle name="Migliaia 37 3 3 3 2" xfId="35480" xr:uid="{00000000-0005-0000-0000-00000AB20000}"/>
    <cellStyle name="Migliaia 37 3 3 3 3" xfId="50436" xr:uid="{00000000-0005-0000-0000-00000BB20000}"/>
    <cellStyle name="Migliaia 37 3 3 4" xfId="11472" xr:uid="{00000000-0005-0000-0000-00000CB20000}"/>
    <cellStyle name="Migliaia 37 3 4" xfId="3262" xr:uid="{00000000-0005-0000-0000-00000DB20000}"/>
    <cellStyle name="Migliaia 37 3 4 2" xfId="20506" xr:uid="{00000000-0005-0000-0000-00000EB20000}"/>
    <cellStyle name="Migliaia 37 3 4 2 2" xfId="35939" xr:uid="{00000000-0005-0000-0000-00000FB20000}"/>
    <cellStyle name="Migliaia 37 3 4 2 3" xfId="50895" xr:uid="{00000000-0005-0000-0000-000010B20000}"/>
    <cellStyle name="Migliaia 37 3 4 3" xfId="28363" xr:uid="{00000000-0005-0000-0000-000011B20000}"/>
    <cellStyle name="Migliaia 37 3 4 4" xfId="43336" xr:uid="{00000000-0005-0000-0000-000012B20000}"/>
    <cellStyle name="Migliaia 37 3 4 5" xfId="12081" xr:uid="{00000000-0005-0000-0000-000013B20000}"/>
    <cellStyle name="Migliaia 37 3 5" xfId="19397" xr:uid="{00000000-0005-0000-0000-000014B20000}"/>
    <cellStyle name="Migliaia 37 3 5 2" xfId="35478" xr:uid="{00000000-0005-0000-0000-000015B20000}"/>
    <cellStyle name="Migliaia 37 3 5 3" xfId="50434" xr:uid="{00000000-0005-0000-0000-000016B20000}"/>
    <cellStyle name="Migliaia 37 3 6" xfId="21366" xr:uid="{00000000-0005-0000-0000-000017B20000}"/>
    <cellStyle name="Migliaia 37 3 7" xfId="36337" xr:uid="{00000000-0005-0000-0000-000018B20000}"/>
    <cellStyle name="Migliaia 37 3 8" xfId="51274" xr:uid="{00000000-0005-0000-0000-000019B20000}"/>
    <cellStyle name="Migliaia 37 3 9" xfId="51668" xr:uid="{00000000-0005-0000-0000-00001AB20000}"/>
    <cellStyle name="Migliaia 37 4" xfId="2891" xr:uid="{00000000-0005-0000-0000-00001BB20000}"/>
    <cellStyle name="Migliaia 37 4 2" xfId="19401" xr:uid="{00000000-0005-0000-0000-00001CB20000}"/>
    <cellStyle name="Migliaia 37 4 2 2" xfId="20509" xr:uid="{00000000-0005-0000-0000-00001DB20000}"/>
    <cellStyle name="Migliaia 37 4 2 2 2" xfId="35942" xr:uid="{00000000-0005-0000-0000-00001EB20000}"/>
    <cellStyle name="Migliaia 37 4 2 2 3" xfId="50898" xr:uid="{00000000-0005-0000-0000-00001FB20000}"/>
    <cellStyle name="Migliaia 37 4 2 3" xfId="35482" xr:uid="{00000000-0005-0000-0000-000020B20000}"/>
    <cellStyle name="Migliaia 37 4 2 4" xfId="50438" xr:uid="{00000000-0005-0000-0000-000021B20000}"/>
    <cellStyle name="Migliaia 37 4 3" xfId="20508" xr:uid="{00000000-0005-0000-0000-000022B20000}"/>
    <cellStyle name="Migliaia 37 4 3 2" xfId="35941" xr:uid="{00000000-0005-0000-0000-000023B20000}"/>
    <cellStyle name="Migliaia 37 4 3 3" xfId="50897" xr:uid="{00000000-0005-0000-0000-000024B20000}"/>
    <cellStyle name="Migliaia 37 4 4" xfId="19400" xr:uid="{00000000-0005-0000-0000-000025B20000}"/>
    <cellStyle name="Migliaia 37 4 4 2" xfId="35481" xr:uid="{00000000-0005-0000-0000-000026B20000}"/>
    <cellStyle name="Migliaia 37 4 4 3" xfId="50437" xr:uid="{00000000-0005-0000-0000-000027B20000}"/>
    <cellStyle name="Migliaia 37 4 5" xfId="11474" xr:uid="{00000000-0005-0000-0000-000028B20000}"/>
    <cellStyle name="Migliaia 37 5" xfId="3260" xr:uid="{00000000-0005-0000-0000-000029B20000}"/>
    <cellStyle name="Migliaia 37 5 2" xfId="19402" xr:uid="{00000000-0005-0000-0000-00002AB20000}"/>
    <cellStyle name="Migliaia 37 5 2 2" xfId="35483" xr:uid="{00000000-0005-0000-0000-00002BB20000}"/>
    <cellStyle name="Migliaia 37 5 2 3" xfId="50439" xr:uid="{00000000-0005-0000-0000-00002CB20000}"/>
    <cellStyle name="Migliaia 37 5 3" xfId="11475" xr:uid="{00000000-0005-0000-0000-00002DB20000}"/>
    <cellStyle name="Migliaia 37 6" xfId="11470" xr:uid="{00000000-0005-0000-0000-00002EB20000}"/>
    <cellStyle name="Migliaia 37 7" xfId="12079" xr:uid="{00000000-0005-0000-0000-00002FB20000}"/>
    <cellStyle name="Migliaia 37 7 2" xfId="28361" xr:uid="{00000000-0005-0000-0000-000030B20000}"/>
    <cellStyle name="Migliaia 37 7 3" xfId="43334" xr:uid="{00000000-0005-0000-0000-000031B20000}"/>
    <cellStyle name="Migliaia 37 8" xfId="19395" xr:uid="{00000000-0005-0000-0000-000032B20000}"/>
    <cellStyle name="Migliaia 37 8 2" xfId="35476" xr:uid="{00000000-0005-0000-0000-000033B20000}"/>
    <cellStyle name="Migliaia 37 8 3" xfId="50432" xr:uid="{00000000-0005-0000-0000-000034B20000}"/>
    <cellStyle name="Migliaia 37 9" xfId="21364" xr:uid="{00000000-0005-0000-0000-000035B20000}"/>
    <cellStyle name="Migliaia 38" xfId="1332" xr:uid="{00000000-0005-0000-0000-000036B20000}"/>
    <cellStyle name="Migliaia 38 10" xfId="36339" xr:uid="{00000000-0005-0000-0000-000037B20000}"/>
    <cellStyle name="Migliaia 38 11" xfId="51276" xr:uid="{00000000-0005-0000-0000-000038B20000}"/>
    <cellStyle name="Migliaia 38 12" xfId="51670" xr:uid="{00000000-0005-0000-0000-000039B20000}"/>
    <cellStyle name="Migliaia 38 13" xfId="52076" xr:uid="{00000000-0005-0000-0000-00003AB20000}"/>
    <cellStyle name="Migliaia 38 14" xfId="52484" xr:uid="{00000000-0005-0000-0000-00003BB20000}"/>
    <cellStyle name="Migliaia 38 15" xfId="3633" xr:uid="{00000000-0005-0000-0000-00003CB20000}"/>
    <cellStyle name="Migliaia 38 2" xfId="1333" xr:uid="{00000000-0005-0000-0000-00003DB20000}"/>
    <cellStyle name="Migliaia 38 2 10" xfId="52077" xr:uid="{00000000-0005-0000-0000-00003EB20000}"/>
    <cellStyle name="Migliaia 38 2 11" xfId="52485" xr:uid="{00000000-0005-0000-0000-00003FB20000}"/>
    <cellStyle name="Migliaia 38 2 12" xfId="3634" xr:uid="{00000000-0005-0000-0000-000040B20000}"/>
    <cellStyle name="Migliaia 38 2 2" xfId="1334" xr:uid="{00000000-0005-0000-0000-000041B20000}"/>
    <cellStyle name="Migliaia 38 2 2 10" xfId="3786" xr:uid="{00000000-0005-0000-0000-000042B20000}"/>
    <cellStyle name="Migliaia 38 2 2 2" xfId="3048" xr:uid="{00000000-0005-0000-0000-000043B20000}"/>
    <cellStyle name="Migliaia 38 2 2 2 2" xfId="28543" xr:uid="{00000000-0005-0000-0000-000044B20000}"/>
    <cellStyle name="Migliaia 38 2 2 2 3" xfId="43506" xr:uid="{00000000-0005-0000-0000-000045B20000}"/>
    <cellStyle name="Migliaia 38 2 2 2 4" xfId="12265" xr:uid="{00000000-0005-0000-0000-000046B20000}"/>
    <cellStyle name="Migliaia 38 2 2 3" xfId="3417" xr:uid="{00000000-0005-0000-0000-000047B20000}"/>
    <cellStyle name="Migliaia 38 2 2 3 2" xfId="35943" xr:uid="{00000000-0005-0000-0000-000048B20000}"/>
    <cellStyle name="Migliaia 38 2 2 3 3" xfId="50899" xr:uid="{00000000-0005-0000-0000-000049B20000}"/>
    <cellStyle name="Migliaia 38 2 2 3 4" xfId="20510" xr:uid="{00000000-0005-0000-0000-00004AB20000}"/>
    <cellStyle name="Migliaia 38 2 2 4" xfId="21543" xr:uid="{00000000-0005-0000-0000-00004BB20000}"/>
    <cellStyle name="Migliaia 38 2 2 5" xfId="36510" xr:uid="{00000000-0005-0000-0000-00004CB20000}"/>
    <cellStyle name="Migliaia 38 2 2 6" xfId="51448" xr:uid="{00000000-0005-0000-0000-00004DB20000}"/>
    <cellStyle name="Migliaia 38 2 2 7" xfId="51853" xr:uid="{00000000-0005-0000-0000-00004EB20000}"/>
    <cellStyle name="Migliaia 38 2 2 8" xfId="52262" xr:uid="{00000000-0005-0000-0000-00004FB20000}"/>
    <cellStyle name="Migliaia 38 2 2 9" xfId="52667" xr:uid="{00000000-0005-0000-0000-000050B20000}"/>
    <cellStyle name="Migliaia 38 2 3" xfId="2896" xr:uid="{00000000-0005-0000-0000-000051B20000}"/>
    <cellStyle name="Migliaia 38 2 3 2" xfId="11477" xr:uid="{00000000-0005-0000-0000-000052B20000}"/>
    <cellStyle name="Migliaia 38 2 4" xfId="3265" xr:uid="{00000000-0005-0000-0000-000053B20000}"/>
    <cellStyle name="Migliaia 38 2 4 2" xfId="28366" xr:uid="{00000000-0005-0000-0000-000054B20000}"/>
    <cellStyle name="Migliaia 38 2 4 3" xfId="43339" xr:uid="{00000000-0005-0000-0000-000055B20000}"/>
    <cellStyle name="Migliaia 38 2 4 4" xfId="12084" xr:uid="{00000000-0005-0000-0000-000056B20000}"/>
    <cellStyle name="Migliaia 38 2 5" xfId="19404" xr:uid="{00000000-0005-0000-0000-000057B20000}"/>
    <cellStyle name="Migliaia 38 2 5 2" xfId="35485" xr:uid="{00000000-0005-0000-0000-000058B20000}"/>
    <cellStyle name="Migliaia 38 2 5 3" xfId="50441" xr:uid="{00000000-0005-0000-0000-000059B20000}"/>
    <cellStyle name="Migliaia 38 2 6" xfId="21369" xr:uid="{00000000-0005-0000-0000-00005AB20000}"/>
    <cellStyle name="Migliaia 38 2 7" xfId="36340" xr:uid="{00000000-0005-0000-0000-00005BB20000}"/>
    <cellStyle name="Migliaia 38 2 8" xfId="51277" xr:uid="{00000000-0005-0000-0000-00005CB20000}"/>
    <cellStyle name="Migliaia 38 2 9" xfId="51671" xr:uid="{00000000-0005-0000-0000-00005DB20000}"/>
    <cellStyle name="Migliaia 38 3" xfId="1335" xr:uid="{00000000-0005-0000-0000-00005EB20000}"/>
    <cellStyle name="Migliaia 38 3 10" xfId="52078" xr:uid="{00000000-0005-0000-0000-00005FB20000}"/>
    <cellStyle name="Migliaia 38 3 11" xfId="52486" xr:uid="{00000000-0005-0000-0000-000060B20000}"/>
    <cellStyle name="Migliaia 38 3 12" xfId="3635" xr:uid="{00000000-0005-0000-0000-000061B20000}"/>
    <cellStyle name="Migliaia 38 3 2" xfId="1336" xr:uid="{00000000-0005-0000-0000-000062B20000}"/>
    <cellStyle name="Migliaia 38 3 2 10" xfId="52487" xr:uid="{00000000-0005-0000-0000-000063B20000}"/>
    <cellStyle name="Migliaia 38 3 2 11" xfId="3636" xr:uid="{00000000-0005-0000-0000-000064B20000}"/>
    <cellStyle name="Migliaia 38 3 2 2" xfId="2898" xr:uid="{00000000-0005-0000-0000-000065B20000}"/>
    <cellStyle name="Migliaia 38 3 2 2 2" xfId="11479" xr:uid="{00000000-0005-0000-0000-000066B20000}"/>
    <cellStyle name="Migliaia 38 3 2 3" xfId="3267" xr:uid="{00000000-0005-0000-0000-000067B20000}"/>
    <cellStyle name="Migliaia 38 3 2 3 2" xfId="28368" xr:uid="{00000000-0005-0000-0000-000068B20000}"/>
    <cellStyle name="Migliaia 38 3 2 3 3" xfId="43341" xr:uid="{00000000-0005-0000-0000-000069B20000}"/>
    <cellStyle name="Migliaia 38 3 2 3 4" xfId="12086" xr:uid="{00000000-0005-0000-0000-00006AB20000}"/>
    <cellStyle name="Migliaia 38 3 2 4" xfId="19406" xr:uid="{00000000-0005-0000-0000-00006BB20000}"/>
    <cellStyle name="Migliaia 38 3 2 4 2" xfId="35487" xr:uid="{00000000-0005-0000-0000-00006CB20000}"/>
    <cellStyle name="Migliaia 38 3 2 4 3" xfId="50443" xr:uid="{00000000-0005-0000-0000-00006DB20000}"/>
    <cellStyle name="Migliaia 38 3 2 5" xfId="21371" xr:uid="{00000000-0005-0000-0000-00006EB20000}"/>
    <cellStyle name="Migliaia 38 3 2 6" xfId="36342" xr:uid="{00000000-0005-0000-0000-00006FB20000}"/>
    <cellStyle name="Migliaia 38 3 2 7" xfId="51279" xr:uid="{00000000-0005-0000-0000-000070B20000}"/>
    <cellStyle name="Migliaia 38 3 2 8" xfId="51673" xr:uid="{00000000-0005-0000-0000-000071B20000}"/>
    <cellStyle name="Migliaia 38 3 2 9" xfId="52079" xr:uid="{00000000-0005-0000-0000-000072B20000}"/>
    <cellStyle name="Migliaia 38 3 3" xfId="2897" xr:uid="{00000000-0005-0000-0000-000073B20000}"/>
    <cellStyle name="Migliaia 38 3 3 2" xfId="20512" xr:uid="{00000000-0005-0000-0000-000074B20000}"/>
    <cellStyle name="Migliaia 38 3 3 2 2" xfId="35945" xr:uid="{00000000-0005-0000-0000-000075B20000}"/>
    <cellStyle name="Migliaia 38 3 3 2 3" xfId="50901" xr:uid="{00000000-0005-0000-0000-000076B20000}"/>
    <cellStyle name="Migliaia 38 3 3 3" xfId="19407" xr:uid="{00000000-0005-0000-0000-000077B20000}"/>
    <cellStyle name="Migliaia 38 3 3 3 2" xfId="35488" xr:uid="{00000000-0005-0000-0000-000078B20000}"/>
    <cellStyle name="Migliaia 38 3 3 3 3" xfId="50444" xr:uid="{00000000-0005-0000-0000-000079B20000}"/>
    <cellStyle name="Migliaia 38 3 3 4" xfId="11478" xr:uid="{00000000-0005-0000-0000-00007AB20000}"/>
    <cellStyle name="Migliaia 38 3 4" xfId="3266" xr:uid="{00000000-0005-0000-0000-00007BB20000}"/>
    <cellStyle name="Migliaia 38 3 4 2" xfId="20511" xr:uid="{00000000-0005-0000-0000-00007CB20000}"/>
    <cellStyle name="Migliaia 38 3 4 2 2" xfId="35944" xr:uid="{00000000-0005-0000-0000-00007DB20000}"/>
    <cellStyle name="Migliaia 38 3 4 2 3" xfId="50900" xr:uid="{00000000-0005-0000-0000-00007EB20000}"/>
    <cellStyle name="Migliaia 38 3 4 3" xfId="28367" xr:uid="{00000000-0005-0000-0000-00007FB20000}"/>
    <cellStyle name="Migliaia 38 3 4 4" xfId="43340" xr:uid="{00000000-0005-0000-0000-000080B20000}"/>
    <cellStyle name="Migliaia 38 3 4 5" xfId="12085" xr:uid="{00000000-0005-0000-0000-000081B20000}"/>
    <cellStyle name="Migliaia 38 3 5" xfId="19405" xr:uid="{00000000-0005-0000-0000-000082B20000}"/>
    <cellStyle name="Migliaia 38 3 5 2" xfId="35486" xr:uid="{00000000-0005-0000-0000-000083B20000}"/>
    <cellStyle name="Migliaia 38 3 5 3" xfId="50442" xr:uid="{00000000-0005-0000-0000-000084B20000}"/>
    <cellStyle name="Migliaia 38 3 6" xfId="21370" xr:uid="{00000000-0005-0000-0000-000085B20000}"/>
    <cellStyle name="Migliaia 38 3 7" xfId="36341" xr:uid="{00000000-0005-0000-0000-000086B20000}"/>
    <cellStyle name="Migliaia 38 3 8" xfId="51278" xr:uid="{00000000-0005-0000-0000-000087B20000}"/>
    <cellStyle name="Migliaia 38 3 9" xfId="51672" xr:uid="{00000000-0005-0000-0000-000088B20000}"/>
    <cellStyle name="Migliaia 38 4" xfId="2895" xr:uid="{00000000-0005-0000-0000-000089B20000}"/>
    <cellStyle name="Migliaia 38 4 2" xfId="19409" xr:uid="{00000000-0005-0000-0000-00008AB20000}"/>
    <cellStyle name="Migliaia 38 4 2 2" xfId="20514" xr:uid="{00000000-0005-0000-0000-00008BB20000}"/>
    <cellStyle name="Migliaia 38 4 2 2 2" xfId="35947" xr:uid="{00000000-0005-0000-0000-00008CB20000}"/>
    <cellStyle name="Migliaia 38 4 2 2 3" xfId="50903" xr:uid="{00000000-0005-0000-0000-00008DB20000}"/>
    <cellStyle name="Migliaia 38 4 2 3" xfId="35490" xr:uid="{00000000-0005-0000-0000-00008EB20000}"/>
    <cellStyle name="Migliaia 38 4 2 4" xfId="50446" xr:uid="{00000000-0005-0000-0000-00008FB20000}"/>
    <cellStyle name="Migliaia 38 4 3" xfId="20513" xr:uid="{00000000-0005-0000-0000-000090B20000}"/>
    <cellStyle name="Migliaia 38 4 3 2" xfId="35946" xr:uid="{00000000-0005-0000-0000-000091B20000}"/>
    <cellStyle name="Migliaia 38 4 3 3" xfId="50902" xr:uid="{00000000-0005-0000-0000-000092B20000}"/>
    <cellStyle name="Migliaia 38 4 4" xfId="19408" xr:uid="{00000000-0005-0000-0000-000093B20000}"/>
    <cellStyle name="Migliaia 38 4 4 2" xfId="35489" xr:uid="{00000000-0005-0000-0000-000094B20000}"/>
    <cellStyle name="Migliaia 38 4 4 3" xfId="50445" xr:uid="{00000000-0005-0000-0000-000095B20000}"/>
    <cellStyle name="Migliaia 38 4 5" xfId="11480" xr:uid="{00000000-0005-0000-0000-000096B20000}"/>
    <cellStyle name="Migliaia 38 5" xfId="3264" xr:uid="{00000000-0005-0000-0000-000097B20000}"/>
    <cellStyle name="Migliaia 38 5 2" xfId="19410" xr:uid="{00000000-0005-0000-0000-000098B20000}"/>
    <cellStyle name="Migliaia 38 5 2 2" xfId="35491" xr:uid="{00000000-0005-0000-0000-000099B20000}"/>
    <cellStyle name="Migliaia 38 5 2 3" xfId="50447" xr:uid="{00000000-0005-0000-0000-00009AB20000}"/>
    <cellStyle name="Migliaia 38 5 3" xfId="11481" xr:uid="{00000000-0005-0000-0000-00009BB20000}"/>
    <cellStyle name="Migliaia 38 6" xfId="11476" xr:uid="{00000000-0005-0000-0000-00009CB20000}"/>
    <cellStyle name="Migliaia 38 7" xfId="12083" xr:uid="{00000000-0005-0000-0000-00009DB20000}"/>
    <cellStyle name="Migliaia 38 7 2" xfId="28365" xr:uid="{00000000-0005-0000-0000-00009EB20000}"/>
    <cellStyle name="Migliaia 38 7 3" xfId="43338" xr:uid="{00000000-0005-0000-0000-00009FB20000}"/>
    <cellStyle name="Migliaia 38 8" xfId="19403" xr:uid="{00000000-0005-0000-0000-0000A0B20000}"/>
    <cellStyle name="Migliaia 38 8 2" xfId="35484" xr:uid="{00000000-0005-0000-0000-0000A1B20000}"/>
    <cellStyle name="Migliaia 38 8 3" xfId="50440" xr:uid="{00000000-0005-0000-0000-0000A2B20000}"/>
    <cellStyle name="Migliaia 38 9" xfId="21368" xr:uid="{00000000-0005-0000-0000-0000A3B20000}"/>
    <cellStyle name="Migliaia 39" xfId="1337" xr:uid="{00000000-0005-0000-0000-0000A4B20000}"/>
    <cellStyle name="Migliaia 39 10" xfId="36343" xr:uid="{00000000-0005-0000-0000-0000A5B20000}"/>
    <cellStyle name="Migliaia 39 11" xfId="51280" xr:uid="{00000000-0005-0000-0000-0000A6B20000}"/>
    <cellStyle name="Migliaia 39 12" xfId="51674" xr:uid="{00000000-0005-0000-0000-0000A7B20000}"/>
    <cellStyle name="Migliaia 39 13" xfId="52080" xr:uid="{00000000-0005-0000-0000-0000A8B20000}"/>
    <cellStyle name="Migliaia 39 14" xfId="52488" xr:uid="{00000000-0005-0000-0000-0000A9B20000}"/>
    <cellStyle name="Migliaia 39 15" xfId="3637" xr:uid="{00000000-0005-0000-0000-0000AAB20000}"/>
    <cellStyle name="Migliaia 39 2" xfId="1338" xr:uid="{00000000-0005-0000-0000-0000ABB20000}"/>
    <cellStyle name="Migliaia 39 2 10" xfId="52081" xr:uid="{00000000-0005-0000-0000-0000ACB20000}"/>
    <cellStyle name="Migliaia 39 2 11" xfId="52489" xr:uid="{00000000-0005-0000-0000-0000ADB20000}"/>
    <cellStyle name="Migliaia 39 2 12" xfId="3638" xr:uid="{00000000-0005-0000-0000-0000AEB20000}"/>
    <cellStyle name="Migliaia 39 2 2" xfId="1339" xr:uid="{00000000-0005-0000-0000-0000AFB20000}"/>
    <cellStyle name="Migliaia 39 2 2 10" xfId="3787" xr:uid="{00000000-0005-0000-0000-0000B0B20000}"/>
    <cellStyle name="Migliaia 39 2 2 2" xfId="3049" xr:uid="{00000000-0005-0000-0000-0000B1B20000}"/>
    <cellStyle name="Migliaia 39 2 2 2 2" xfId="28544" xr:uid="{00000000-0005-0000-0000-0000B2B20000}"/>
    <cellStyle name="Migliaia 39 2 2 2 3" xfId="43507" xr:uid="{00000000-0005-0000-0000-0000B3B20000}"/>
    <cellStyle name="Migliaia 39 2 2 2 4" xfId="12266" xr:uid="{00000000-0005-0000-0000-0000B4B20000}"/>
    <cellStyle name="Migliaia 39 2 2 3" xfId="3418" xr:uid="{00000000-0005-0000-0000-0000B5B20000}"/>
    <cellStyle name="Migliaia 39 2 2 3 2" xfId="35948" xr:uid="{00000000-0005-0000-0000-0000B6B20000}"/>
    <cellStyle name="Migliaia 39 2 2 3 3" xfId="50904" xr:uid="{00000000-0005-0000-0000-0000B7B20000}"/>
    <cellStyle name="Migliaia 39 2 2 3 4" xfId="20515" xr:uid="{00000000-0005-0000-0000-0000B8B20000}"/>
    <cellStyle name="Migliaia 39 2 2 4" xfId="21544" xr:uid="{00000000-0005-0000-0000-0000B9B20000}"/>
    <cellStyle name="Migliaia 39 2 2 5" xfId="36511" xr:uid="{00000000-0005-0000-0000-0000BAB20000}"/>
    <cellStyle name="Migliaia 39 2 2 6" xfId="51449" xr:uid="{00000000-0005-0000-0000-0000BBB20000}"/>
    <cellStyle name="Migliaia 39 2 2 7" xfId="51854" xr:uid="{00000000-0005-0000-0000-0000BCB20000}"/>
    <cellStyle name="Migliaia 39 2 2 8" xfId="52263" xr:uid="{00000000-0005-0000-0000-0000BDB20000}"/>
    <cellStyle name="Migliaia 39 2 2 9" xfId="52668" xr:uid="{00000000-0005-0000-0000-0000BEB20000}"/>
    <cellStyle name="Migliaia 39 2 3" xfId="2900" xr:uid="{00000000-0005-0000-0000-0000BFB20000}"/>
    <cellStyle name="Migliaia 39 2 3 2" xfId="11483" xr:uid="{00000000-0005-0000-0000-0000C0B20000}"/>
    <cellStyle name="Migliaia 39 2 4" xfId="3269" xr:uid="{00000000-0005-0000-0000-0000C1B20000}"/>
    <cellStyle name="Migliaia 39 2 4 2" xfId="28370" xr:uid="{00000000-0005-0000-0000-0000C2B20000}"/>
    <cellStyle name="Migliaia 39 2 4 3" xfId="43343" xr:uid="{00000000-0005-0000-0000-0000C3B20000}"/>
    <cellStyle name="Migliaia 39 2 4 4" xfId="12088" xr:uid="{00000000-0005-0000-0000-0000C4B20000}"/>
    <cellStyle name="Migliaia 39 2 5" xfId="19412" xr:uid="{00000000-0005-0000-0000-0000C5B20000}"/>
    <cellStyle name="Migliaia 39 2 5 2" xfId="35493" xr:uid="{00000000-0005-0000-0000-0000C6B20000}"/>
    <cellStyle name="Migliaia 39 2 5 3" xfId="50449" xr:uid="{00000000-0005-0000-0000-0000C7B20000}"/>
    <cellStyle name="Migliaia 39 2 6" xfId="21373" xr:uid="{00000000-0005-0000-0000-0000C8B20000}"/>
    <cellStyle name="Migliaia 39 2 7" xfId="36344" xr:uid="{00000000-0005-0000-0000-0000C9B20000}"/>
    <cellStyle name="Migliaia 39 2 8" xfId="51281" xr:uid="{00000000-0005-0000-0000-0000CAB20000}"/>
    <cellStyle name="Migliaia 39 2 9" xfId="51675" xr:uid="{00000000-0005-0000-0000-0000CBB20000}"/>
    <cellStyle name="Migliaia 39 3" xfId="1340" xr:uid="{00000000-0005-0000-0000-0000CCB20000}"/>
    <cellStyle name="Migliaia 39 3 10" xfId="52082" xr:uid="{00000000-0005-0000-0000-0000CDB20000}"/>
    <cellStyle name="Migliaia 39 3 11" xfId="52490" xr:uid="{00000000-0005-0000-0000-0000CEB20000}"/>
    <cellStyle name="Migliaia 39 3 12" xfId="3639" xr:uid="{00000000-0005-0000-0000-0000CFB20000}"/>
    <cellStyle name="Migliaia 39 3 2" xfId="1341" xr:uid="{00000000-0005-0000-0000-0000D0B20000}"/>
    <cellStyle name="Migliaia 39 3 2 10" xfId="52491" xr:uid="{00000000-0005-0000-0000-0000D1B20000}"/>
    <cellStyle name="Migliaia 39 3 2 11" xfId="3640" xr:uid="{00000000-0005-0000-0000-0000D2B20000}"/>
    <cellStyle name="Migliaia 39 3 2 2" xfId="2902" xr:uid="{00000000-0005-0000-0000-0000D3B20000}"/>
    <cellStyle name="Migliaia 39 3 2 2 2" xfId="11485" xr:uid="{00000000-0005-0000-0000-0000D4B20000}"/>
    <cellStyle name="Migliaia 39 3 2 3" xfId="3271" xr:uid="{00000000-0005-0000-0000-0000D5B20000}"/>
    <cellStyle name="Migliaia 39 3 2 3 2" xfId="28372" xr:uid="{00000000-0005-0000-0000-0000D6B20000}"/>
    <cellStyle name="Migliaia 39 3 2 3 3" xfId="43345" xr:uid="{00000000-0005-0000-0000-0000D7B20000}"/>
    <cellStyle name="Migliaia 39 3 2 3 4" xfId="12090" xr:uid="{00000000-0005-0000-0000-0000D8B20000}"/>
    <cellStyle name="Migliaia 39 3 2 4" xfId="19414" xr:uid="{00000000-0005-0000-0000-0000D9B20000}"/>
    <cellStyle name="Migliaia 39 3 2 4 2" xfId="35495" xr:uid="{00000000-0005-0000-0000-0000DAB20000}"/>
    <cellStyle name="Migliaia 39 3 2 4 3" xfId="50451" xr:uid="{00000000-0005-0000-0000-0000DBB20000}"/>
    <cellStyle name="Migliaia 39 3 2 5" xfId="21375" xr:uid="{00000000-0005-0000-0000-0000DCB20000}"/>
    <cellStyle name="Migliaia 39 3 2 6" xfId="36346" xr:uid="{00000000-0005-0000-0000-0000DDB20000}"/>
    <cellStyle name="Migliaia 39 3 2 7" xfId="51283" xr:uid="{00000000-0005-0000-0000-0000DEB20000}"/>
    <cellStyle name="Migliaia 39 3 2 8" xfId="51677" xr:uid="{00000000-0005-0000-0000-0000DFB20000}"/>
    <cellStyle name="Migliaia 39 3 2 9" xfId="52083" xr:uid="{00000000-0005-0000-0000-0000E0B20000}"/>
    <cellStyle name="Migliaia 39 3 3" xfId="2901" xr:uid="{00000000-0005-0000-0000-0000E1B20000}"/>
    <cellStyle name="Migliaia 39 3 3 2" xfId="20517" xr:uid="{00000000-0005-0000-0000-0000E2B20000}"/>
    <cellStyle name="Migliaia 39 3 3 2 2" xfId="35950" xr:uid="{00000000-0005-0000-0000-0000E3B20000}"/>
    <cellStyle name="Migliaia 39 3 3 2 3" xfId="50906" xr:uid="{00000000-0005-0000-0000-0000E4B20000}"/>
    <cellStyle name="Migliaia 39 3 3 3" xfId="19415" xr:uid="{00000000-0005-0000-0000-0000E5B20000}"/>
    <cellStyle name="Migliaia 39 3 3 3 2" xfId="35496" xr:uid="{00000000-0005-0000-0000-0000E6B20000}"/>
    <cellStyle name="Migliaia 39 3 3 3 3" xfId="50452" xr:uid="{00000000-0005-0000-0000-0000E7B20000}"/>
    <cellStyle name="Migliaia 39 3 3 4" xfId="11484" xr:uid="{00000000-0005-0000-0000-0000E8B20000}"/>
    <cellStyle name="Migliaia 39 3 4" xfId="3270" xr:uid="{00000000-0005-0000-0000-0000E9B20000}"/>
    <cellStyle name="Migliaia 39 3 4 2" xfId="20516" xr:uid="{00000000-0005-0000-0000-0000EAB20000}"/>
    <cellStyle name="Migliaia 39 3 4 2 2" xfId="35949" xr:uid="{00000000-0005-0000-0000-0000EBB20000}"/>
    <cellStyle name="Migliaia 39 3 4 2 3" xfId="50905" xr:uid="{00000000-0005-0000-0000-0000ECB20000}"/>
    <cellStyle name="Migliaia 39 3 4 3" xfId="28371" xr:uid="{00000000-0005-0000-0000-0000EDB20000}"/>
    <cellStyle name="Migliaia 39 3 4 4" xfId="43344" xr:uid="{00000000-0005-0000-0000-0000EEB20000}"/>
    <cellStyle name="Migliaia 39 3 4 5" xfId="12089" xr:uid="{00000000-0005-0000-0000-0000EFB20000}"/>
    <cellStyle name="Migliaia 39 3 5" xfId="19413" xr:uid="{00000000-0005-0000-0000-0000F0B20000}"/>
    <cellStyle name="Migliaia 39 3 5 2" xfId="35494" xr:uid="{00000000-0005-0000-0000-0000F1B20000}"/>
    <cellStyle name="Migliaia 39 3 5 3" xfId="50450" xr:uid="{00000000-0005-0000-0000-0000F2B20000}"/>
    <cellStyle name="Migliaia 39 3 6" xfId="21374" xr:uid="{00000000-0005-0000-0000-0000F3B20000}"/>
    <cellStyle name="Migliaia 39 3 7" xfId="36345" xr:uid="{00000000-0005-0000-0000-0000F4B20000}"/>
    <cellStyle name="Migliaia 39 3 8" xfId="51282" xr:uid="{00000000-0005-0000-0000-0000F5B20000}"/>
    <cellStyle name="Migliaia 39 3 9" xfId="51676" xr:uid="{00000000-0005-0000-0000-0000F6B20000}"/>
    <cellStyle name="Migliaia 39 4" xfId="2899" xr:uid="{00000000-0005-0000-0000-0000F7B20000}"/>
    <cellStyle name="Migliaia 39 4 2" xfId="19417" xr:uid="{00000000-0005-0000-0000-0000F8B20000}"/>
    <cellStyle name="Migliaia 39 4 2 2" xfId="20519" xr:uid="{00000000-0005-0000-0000-0000F9B20000}"/>
    <cellStyle name="Migliaia 39 4 2 2 2" xfId="35952" xr:uid="{00000000-0005-0000-0000-0000FAB20000}"/>
    <cellStyle name="Migliaia 39 4 2 2 3" xfId="50908" xr:uid="{00000000-0005-0000-0000-0000FBB20000}"/>
    <cellStyle name="Migliaia 39 4 2 3" xfId="35498" xr:uid="{00000000-0005-0000-0000-0000FCB20000}"/>
    <cellStyle name="Migliaia 39 4 2 4" xfId="50454" xr:uid="{00000000-0005-0000-0000-0000FDB20000}"/>
    <cellStyle name="Migliaia 39 4 3" xfId="20518" xr:uid="{00000000-0005-0000-0000-0000FEB20000}"/>
    <cellStyle name="Migliaia 39 4 3 2" xfId="35951" xr:uid="{00000000-0005-0000-0000-0000FFB20000}"/>
    <cellStyle name="Migliaia 39 4 3 3" xfId="50907" xr:uid="{00000000-0005-0000-0000-000000B30000}"/>
    <cellStyle name="Migliaia 39 4 4" xfId="19416" xr:uid="{00000000-0005-0000-0000-000001B30000}"/>
    <cellStyle name="Migliaia 39 4 4 2" xfId="35497" xr:uid="{00000000-0005-0000-0000-000002B30000}"/>
    <cellStyle name="Migliaia 39 4 4 3" xfId="50453" xr:uid="{00000000-0005-0000-0000-000003B30000}"/>
    <cellStyle name="Migliaia 39 4 5" xfId="11486" xr:uid="{00000000-0005-0000-0000-000004B30000}"/>
    <cellStyle name="Migliaia 39 5" xfId="3268" xr:uid="{00000000-0005-0000-0000-000005B30000}"/>
    <cellStyle name="Migliaia 39 5 2" xfId="19418" xr:uid="{00000000-0005-0000-0000-000006B30000}"/>
    <cellStyle name="Migliaia 39 5 2 2" xfId="35499" xr:uid="{00000000-0005-0000-0000-000007B30000}"/>
    <cellStyle name="Migliaia 39 5 2 3" xfId="50455" xr:uid="{00000000-0005-0000-0000-000008B30000}"/>
    <cellStyle name="Migliaia 39 5 3" xfId="11487" xr:uid="{00000000-0005-0000-0000-000009B30000}"/>
    <cellStyle name="Migliaia 39 6" xfId="11482" xr:uid="{00000000-0005-0000-0000-00000AB30000}"/>
    <cellStyle name="Migliaia 39 7" xfId="12087" xr:uid="{00000000-0005-0000-0000-00000BB30000}"/>
    <cellStyle name="Migliaia 39 7 2" xfId="28369" xr:uid="{00000000-0005-0000-0000-00000CB30000}"/>
    <cellStyle name="Migliaia 39 7 3" xfId="43342" xr:uid="{00000000-0005-0000-0000-00000DB30000}"/>
    <cellStyle name="Migliaia 39 8" xfId="19411" xr:uid="{00000000-0005-0000-0000-00000EB30000}"/>
    <cellStyle name="Migliaia 39 8 2" xfId="35492" xr:uid="{00000000-0005-0000-0000-00000FB30000}"/>
    <cellStyle name="Migliaia 39 8 3" xfId="50448" xr:uid="{00000000-0005-0000-0000-000010B30000}"/>
    <cellStyle name="Migliaia 39 9" xfId="21372" xr:uid="{00000000-0005-0000-0000-000011B30000}"/>
    <cellStyle name="Migliaia 4" xfId="1342" xr:uid="{00000000-0005-0000-0000-000012B30000}"/>
    <cellStyle name="Migliaia 4 10" xfId="36347" xr:uid="{00000000-0005-0000-0000-000013B30000}"/>
    <cellStyle name="Migliaia 4 11" xfId="51284" xr:uid="{00000000-0005-0000-0000-000014B30000}"/>
    <cellStyle name="Migliaia 4 12" xfId="51678" xr:uid="{00000000-0005-0000-0000-000015B30000}"/>
    <cellStyle name="Migliaia 4 13" xfId="52084" xr:uid="{00000000-0005-0000-0000-000016B30000}"/>
    <cellStyle name="Migliaia 4 14" xfId="52492" xr:uid="{00000000-0005-0000-0000-000017B30000}"/>
    <cellStyle name="Migliaia 4 15" xfId="3641" xr:uid="{00000000-0005-0000-0000-000018B30000}"/>
    <cellStyle name="Migliaia 4 2" xfId="1343" xr:uid="{00000000-0005-0000-0000-000019B30000}"/>
    <cellStyle name="Migliaia 4 2 10" xfId="52085" xr:uid="{00000000-0005-0000-0000-00001AB30000}"/>
    <cellStyle name="Migliaia 4 2 11" xfId="52493" xr:uid="{00000000-0005-0000-0000-00001BB30000}"/>
    <cellStyle name="Migliaia 4 2 12" xfId="3642" xr:uid="{00000000-0005-0000-0000-00001CB30000}"/>
    <cellStyle name="Migliaia 4 2 2" xfId="1344" xr:uid="{00000000-0005-0000-0000-00001DB30000}"/>
    <cellStyle name="Migliaia 4 2 2 10" xfId="3788" xr:uid="{00000000-0005-0000-0000-00001EB30000}"/>
    <cellStyle name="Migliaia 4 2 2 2" xfId="3050" xr:uid="{00000000-0005-0000-0000-00001FB30000}"/>
    <cellStyle name="Migliaia 4 2 2 2 2" xfId="28545" xr:uid="{00000000-0005-0000-0000-000020B30000}"/>
    <cellStyle name="Migliaia 4 2 2 2 3" xfId="43508" xr:uid="{00000000-0005-0000-0000-000021B30000}"/>
    <cellStyle name="Migliaia 4 2 2 2 4" xfId="12267" xr:uid="{00000000-0005-0000-0000-000022B30000}"/>
    <cellStyle name="Migliaia 4 2 2 3" xfId="3419" xr:uid="{00000000-0005-0000-0000-000023B30000}"/>
    <cellStyle name="Migliaia 4 2 2 3 2" xfId="35953" xr:uid="{00000000-0005-0000-0000-000024B30000}"/>
    <cellStyle name="Migliaia 4 2 2 3 3" xfId="50909" xr:uid="{00000000-0005-0000-0000-000025B30000}"/>
    <cellStyle name="Migliaia 4 2 2 3 4" xfId="20520" xr:uid="{00000000-0005-0000-0000-000026B30000}"/>
    <cellStyle name="Migliaia 4 2 2 4" xfId="21545" xr:uid="{00000000-0005-0000-0000-000027B30000}"/>
    <cellStyle name="Migliaia 4 2 2 5" xfId="36512" xr:uid="{00000000-0005-0000-0000-000028B30000}"/>
    <cellStyle name="Migliaia 4 2 2 6" xfId="51450" xr:uid="{00000000-0005-0000-0000-000029B30000}"/>
    <cellStyle name="Migliaia 4 2 2 7" xfId="51855" xr:uid="{00000000-0005-0000-0000-00002AB30000}"/>
    <cellStyle name="Migliaia 4 2 2 8" xfId="52264" xr:uid="{00000000-0005-0000-0000-00002BB30000}"/>
    <cellStyle name="Migliaia 4 2 2 9" xfId="52669" xr:uid="{00000000-0005-0000-0000-00002CB30000}"/>
    <cellStyle name="Migliaia 4 2 3" xfId="2904" xr:uid="{00000000-0005-0000-0000-00002DB30000}"/>
    <cellStyle name="Migliaia 4 2 3 2" xfId="11489" xr:uid="{00000000-0005-0000-0000-00002EB30000}"/>
    <cellStyle name="Migliaia 4 2 4" xfId="3273" xr:uid="{00000000-0005-0000-0000-00002FB30000}"/>
    <cellStyle name="Migliaia 4 2 4 2" xfId="28374" xr:uid="{00000000-0005-0000-0000-000030B30000}"/>
    <cellStyle name="Migliaia 4 2 4 3" xfId="43347" xr:uid="{00000000-0005-0000-0000-000031B30000}"/>
    <cellStyle name="Migliaia 4 2 4 4" xfId="12092" xr:uid="{00000000-0005-0000-0000-000032B30000}"/>
    <cellStyle name="Migliaia 4 2 5" xfId="19420" xr:uid="{00000000-0005-0000-0000-000033B30000}"/>
    <cellStyle name="Migliaia 4 2 5 2" xfId="35501" xr:uid="{00000000-0005-0000-0000-000034B30000}"/>
    <cellStyle name="Migliaia 4 2 5 3" xfId="50457" xr:uid="{00000000-0005-0000-0000-000035B30000}"/>
    <cellStyle name="Migliaia 4 2 6" xfId="21377" xr:uid="{00000000-0005-0000-0000-000036B30000}"/>
    <cellStyle name="Migliaia 4 2 7" xfId="36348" xr:uid="{00000000-0005-0000-0000-000037B30000}"/>
    <cellStyle name="Migliaia 4 2 8" xfId="51285" xr:uid="{00000000-0005-0000-0000-000038B30000}"/>
    <cellStyle name="Migliaia 4 2 9" xfId="51679" xr:uid="{00000000-0005-0000-0000-000039B30000}"/>
    <cellStyle name="Migliaia 4 3" xfId="1345" xr:uid="{00000000-0005-0000-0000-00003AB30000}"/>
    <cellStyle name="Migliaia 4 3 10" xfId="52086" xr:uid="{00000000-0005-0000-0000-00003BB30000}"/>
    <cellStyle name="Migliaia 4 3 11" xfId="52494" xr:uid="{00000000-0005-0000-0000-00003CB30000}"/>
    <cellStyle name="Migliaia 4 3 12" xfId="3643" xr:uid="{00000000-0005-0000-0000-00003DB30000}"/>
    <cellStyle name="Migliaia 4 3 2" xfId="1346" xr:uid="{00000000-0005-0000-0000-00003EB30000}"/>
    <cellStyle name="Migliaia 4 3 2 10" xfId="52495" xr:uid="{00000000-0005-0000-0000-00003FB30000}"/>
    <cellStyle name="Migliaia 4 3 2 11" xfId="3644" xr:uid="{00000000-0005-0000-0000-000040B30000}"/>
    <cellStyle name="Migliaia 4 3 2 2" xfId="2906" xr:uid="{00000000-0005-0000-0000-000041B30000}"/>
    <cellStyle name="Migliaia 4 3 2 2 2" xfId="11491" xr:uid="{00000000-0005-0000-0000-000042B30000}"/>
    <cellStyle name="Migliaia 4 3 2 3" xfId="3275" xr:uid="{00000000-0005-0000-0000-000043B30000}"/>
    <cellStyle name="Migliaia 4 3 2 3 2" xfId="28376" xr:uid="{00000000-0005-0000-0000-000044B30000}"/>
    <cellStyle name="Migliaia 4 3 2 3 3" xfId="43349" xr:uid="{00000000-0005-0000-0000-000045B30000}"/>
    <cellStyle name="Migliaia 4 3 2 3 4" xfId="12094" xr:uid="{00000000-0005-0000-0000-000046B30000}"/>
    <cellStyle name="Migliaia 4 3 2 4" xfId="19422" xr:uid="{00000000-0005-0000-0000-000047B30000}"/>
    <cellStyle name="Migliaia 4 3 2 4 2" xfId="35503" xr:uid="{00000000-0005-0000-0000-000048B30000}"/>
    <cellStyle name="Migliaia 4 3 2 4 3" xfId="50459" xr:uid="{00000000-0005-0000-0000-000049B30000}"/>
    <cellStyle name="Migliaia 4 3 2 5" xfId="21379" xr:uid="{00000000-0005-0000-0000-00004AB30000}"/>
    <cellStyle name="Migliaia 4 3 2 6" xfId="36350" xr:uid="{00000000-0005-0000-0000-00004BB30000}"/>
    <cellStyle name="Migliaia 4 3 2 7" xfId="51287" xr:uid="{00000000-0005-0000-0000-00004CB30000}"/>
    <cellStyle name="Migliaia 4 3 2 8" xfId="51681" xr:uid="{00000000-0005-0000-0000-00004DB30000}"/>
    <cellStyle name="Migliaia 4 3 2 9" xfId="52087" xr:uid="{00000000-0005-0000-0000-00004EB30000}"/>
    <cellStyle name="Migliaia 4 3 3" xfId="2905" xr:uid="{00000000-0005-0000-0000-00004FB30000}"/>
    <cellStyle name="Migliaia 4 3 3 2" xfId="20522" xr:uid="{00000000-0005-0000-0000-000050B30000}"/>
    <cellStyle name="Migliaia 4 3 3 2 2" xfId="35955" xr:uid="{00000000-0005-0000-0000-000051B30000}"/>
    <cellStyle name="Migliaia 4 3 3 2 3" xfId="50911" xr:uid="{00000000-0005-0000-0000-000052B30000}"/>
    <cellStyle name="Migliaia 4 3 3 3" xfId="19423" xr:uid="{00000000-0005-0000-0000-000053B30000}"/>
    <cellStyle name="Migliaia 4 3 3 3 2" xfId="35504" xr:uid="{00000000-0005-0000-0000-000054B30000}"/>
    <cellStyle name="Migliaia 4 3 3 3 3" xfId="50460" xr:uid="{00000000-0005-0000-0000-000055B30000}"/>
    <cellStyle name="Migliaia 4 3 3 4" xfId="11490" xr:uid="{00000000-0005-0000-0000-000056B30000}"/>
    <cellStyle name="Migliaia 4 3 4" xfId="3274" xr:uid="{00000000-0005-0000-0000-000057B30000}"/>
    <cellStyle name="Migliaia 4 3 4 2" xfId="20521" xr:uid="{00000000-0005-0000-0000-000058B30000}"/>
    <cellStyle name="Migliaia 4 3 4 2 2" xfId="35954" xr:uid="{00000000-0005-0000-0000-000059B30000}"/>
    <cellStyle name="Migliaia 4 3 4 2 3" xfId="50910" xr:uid="{00000000-0005-0000-0000-00005AB30000}"/>
    <cellStyle name="Migliaia 4 3 4 3" xfId="28375" xr:uid="{00000000-0005-0000-0000-00005BB30000}"/>
    <cellStyle name="Migliaia 4 3 4 4" xfId="43348" xr:uid="{00000000-0005-0000-0000-00005CB30000}"/>
    <cellStyle name="Migliaia 4 3 4 5" xfId="12093" xr:uid="{00000000-0005-0000-0000-00005DB30000}"/>
    <cellStyle name="Migliaia 4 3 5" xfId="19421" xr:uid="{00000000-0005-0000-0000-00005EB30000}"/>
    <cellStyle name="Migliaia 4 3 5 2" xfId="35502" xr:uid="{00000000-0005-0000-0000-00005FB30000}"/>
    <cellStyle name="Migliaia 4 3 5 3" xfId="50458" xr:uid="{00000000-0005-0000-0000-000060B30000}"/>
    <cellStyle name="Migliaia 4 3 6" xfId="21378" xr:uid="{00000000-0005-0000-0000-000061B30000}"/>
    <cellStyle name="Migliaia 4 3 7" xfId="36349" xr:uid="{00000000-0005-0000-0000-000062B30000}"/>
    <cellStyle name="Migliaia 4 3 8" xfId="51286" xr:uid="{00000000-0005-0000-0000-000063B30000}"/>
    <cellStyle name="Migliaia 4 3 9" xfId="51680" xr:uid="{00000000-0005-0000-0000-000064B30000}"/>
    <cellStyle name="Migliaia 4 4" xfId="2903" xr:uid="{00000000-0005-0000-0000-000065B30000}"/>
    <cellStyle name="Migliaia 4 4 2" xfId="19425" xr:uid="{00000000-0005-0000-0000-000066B30000}"/>
    <cellStyle name="Migliaia 4 4 2 2" xfId="20524" xr:uid="{00000000-0005-0000-0000-000067B30000}"/>
    <cellStyle name="Migliaia 4 4 2 2 2" xfId="35957" xr:uid="{00000000-0005-0000-0000-000068B30000}"/>
    <cellStyle name="Migliaia 4 4 2 2 3" xfId="50913" xr:uid="{00000000-0005-0000-0000-000069B30000}"/>
    <cellStyle name="Migliaia 4 4 2 3" xfId="35506" xr:uid="{00000000-0005-0000-0000-00006AB30000}"/>
    <cellStyle name="Migliaia 4 4 2 4" xfId="50462" xr:uid="{00000000-0005-0000-0000-00006BB30000}"/>
    <cellStyle name="Migliaia 4 4 3" xfId="20523" xr:uid="{00000000-0005-0000-0000-00006CB30000}"/>
    <cellStyle name="Migliaia 4 4 3 2" xfId="35956" xr:uid="{00000000-0005-0000-0000-00006DB30000}"/>
    <cellStyle name="Migliaia 4 4 3 3" xfId="50912" xr:uid="{00000000-0005-0000-0000-00006EB30000}"/>
    <cellStyle name="Migliaia 4 4 4" xfId="19424" xr:uid="{00000000-0005-0000-0000-00006FB30000}"/>
    <cellStyle name="Migliaia 4 4 4 2" xfId="35505" xr:uid="{00000000-0005-0000-0000-000070B30000}"/>
    <cellStyle name="Migliaia 4 4 4 3" xfId="50461" xr:uid="{00000000-0005-0000-0000-000071B30000}"/>
    <cellStyle name="Migliaia 4 4 5" xfId="11492" xr:uid="{00000000-0005-0000-0000-000072B30000}"/>
    <cellStyle name="Migliaia 4 5" xfId="3272" xr:uid="{00000000-0005-0000-0000-000073B30000}"/>
    <cellStyle name="Migliaia 4 5 2" xfId="19426" xr:uid="{00000000-0005-0000-0000-000074B30000}"/>
    <cellStyle name="Migliaia 4 5 2 2" xfId="35507" xr:uid="{00000000-0005-0000-0000-000075B30000}"/>
    <cellStyle name="Migliaia 4 5 2 3" xfId="50463" xr:uid="{00000000-0005-0000-0000-000076B30000}"/>
    <cellStyle name="Migliaia 4 5 3" xfId="11493" xr:uid="{00000000-0005-0000-0000-000077B30000}"/>
    <cellStyle name="Migliaia 4 6" xfId="11488" xr:uid="{00000000-0005-0000-0000-000078B30000}"/>
    <cellStyle name="Migliaia 4 7" xfId="12091" xr:uid="{00000000-0005-0000-0000-000079B30000}"/>
    <cellStyle name="Migliaia 4 7 2" xfId="28373" xr:uid="{00000000-0005-0000-0000-00007AB30000}"/>
    <cellStyle name="Migliaia 4 7 3" xfId="43346" xr:uid="{00000000-0005-0000-0000-00007BB30000}"/>
    <cellStyle name="Migliaia 4 8" xfId="19419" xr:uid="{00000000-0005-0000-0000-00007CB30000}"/>
    <cellStyle name="Migliaia 4 8 2" xfId="35500" xr:uid="{00000000-0005-0000-0000-00007DB30000}"/>
    <cellStyle name="Migliaia 4 8 3" xfId="50456" xr:uid="{00000000-0005-0000-0000-00007EB30000}"/>
    <cellStyle name="Migliaia 4 9" xfId="21376" xr:uid="{00000000-0005-0000-0000-00007FB30000}"/>
    <cellStyle name="Migliaia 40" xfId="1347" xr:uid="{00000000-0005-0000-0000-000080B30000}"/>
    <cellStyle name="Migliaia 40 10" xfId="36351" xr:uid="{00000000-0005-0000-0000-000081B30000}"/>
    <cellStyle name="Migliaia 40 11" xfId="51288" xr:uid="{00000000-0005-0000-0000-000082B30000}"/>
    <cellStyle name="Migliaia 40 12" xfId="51682" xr:uid="{00000000-0005-0000-0000-000083B30000}"/>
    <cellStyle name="Migliaia 40 13" xfId="52088" xr:uid="{00000000-0005-0000-0000-000084B30000}"/>
    <cellStyle name="Migliaia 40 14" xfId="52496" xr:uid="{00000000-0005-0000-0000-000085B30000}"/>
    <cellStyle name="Migliaia 40 15" xfId="3645" xr:uid="{00000000-0005-0000-0000-000086B30000}"/>
    <cellStyle name="Migliaia 40 2" xfId="1348" xr:uid="{00000000-0005-0000-0000-000087B30000}"/>
    <cellStyle name="Migliaia 40 2 10" xfId="52089" xr:uid="{00000000-0005-0000-0000-000088B30000}"/>
    <cellStyle name="Migliaia 40 2 11" xfId="52497" xr:uid="{00000000-0005-0000-0000-000089B30000}"/>
    <cellStyle name="Migliaia 40 2 12" xfId="3646" xr:uid="{00000000-0005-0000-0000-00008AB30000}"/>
    <cellStyle name="Migliaia 40 2 2" xfId="1349" xr:uid="{00000000-0005-0000-0000-00008BB30000}"/>
    <cellStyle name="Migliaia 40 2 2 10" xfId="3789" xr:uid="{00000000-0005-0000-0000-00008CB30000}"/>
    <cellStyle name="Migliaia 40 2 2 2" xfId="3051" xr:uid="{00000000-0005-0000-0000-00008DB30000}"/>
    <cellStyle name="Migliaia 40 2 2 2 2" xfId="28546" xr:uid="{00000000-0005-0000-0000-00008EB30000}"/>
    <cellStyle name="Migliaia 40 2 2 2 3" xfId="43509" xr:uid="{00000000-0005-0000-0000-00008FB30000}"/>
    <cellStyle name="Migliaia 40 2 2 2 4" xfId="12268" xr:uid="{00000000-0005-0000-0000-000090B30000}"/>
    <cellStyle name="Migliaia 40 2 2 3" xfId="3420" xr:uid="{00000000-0005-0000-0000-000091B30000}"/>
    <cellStyle name="Migliaia 40 2 2 3 2" xfId="35958" xr:uid="{00000000-0005-0000-0000-000092B30000}"/>
    <cellStyle name="Migliaia 40 2 2 3 3" xfId="50914" xr:uid="{00000000-0005-0000-0000-000093B30000}"/>
    <cellStyle name="Migliaia 40 2 2 3 4" xfId="20525" xr:uid="{00000000-0005-0000-0000-000094B30000}"/>
    <cellStyle name="Migliaia 40 2 2 4" xfId="21546" xr:uid="{00000000-0005-0000-0000-000095B30000}"/>
    <cellStyle name="Migliaia 40 2 2 5" xfId="36513" xr:uid="{00000000-0005-0000-0000-000096B30000}"/>
    <cellStyle name="Migliaia 40 2 2 6" xfId="51451" xr:uid="{00000000-0005-0000-0000-000097B30000}"/>
    <cellStyle name="Migliaia 40 2 2 7" xfId="51856" xr:uid="{00000000-0005-0000-0000-000098B30000}"/>
    <cellStyle name="Migliaia 40 2 2 8" xfId="52265" xr:uid="{00000000-0005-0000-0000-000099B30000}"/>
    <cellStyle name="Migliaia 40 2 2 9" xfId="52670" xr:uid="{00000000-0005-0000-0000-00009AB30000}"/>
    <cellStyle name="Migliaia 40 2 3" xfId="2908" xr:uid="{00000000-0005-0000-0000-00009BB30000}"/>
    <cellStyle name="Migliaia 40 2 3 2" xfId="11495" xr:uid="{00000000-0005-0000-0000-00009CB30000}"/>
    <cellStyle name="Migliaia 40 2 4" xfId="3277" xr:uid="{00000000-0005-0000-0000-00009DB30000}"/>
    <cellStyle name="Migliaia 40 2 4 2" xfId="28378" xr:uid="{00000000-0005-0000-0000-00009EB30000}"/>
    <cellStyle name="Migliaia 40 2 4 3" xfId="43351" xr:uid="{00000000-0005-0000-0000-00009FB30000}"/>
    <cellStyle name="Migliaia 40 2 4 4" xfId="12096" xr:uid="{00000000-0005-0000-0000-0000A0B30000}"/>
    <cellStyle name="Migliaia 40 2 5" xfId="19428" xr:uid="{00000000-0005-0000-0000-0000A1B30000}"/>
    <cellStyle name="Migliaia 40 2 5 2" xfId="35509" xr:uid="{00000000-0005-0000-0000-0000A2B30000}"/>
    <cellStyle name="Migliaia 40 2 5 3" xfId="50465" xr:uid="{00000000-0005-0000-0000-0000A3B30000}"/>
    <cellStyle name="Migliaia 40 2 6" xfId="21381" xr:uid="{00000000-0005-0000-0000-0000A4B30000}"/>
    <cellStyle name="Migliaia 40 2 7" xfId="36352" xr:uid="{00000000-0005-0000-0000-0000A5B30000}"/>
    <cellStyle name="Migliaia 40 2 8" xfId="51289" xr:uid="{00000000-0005-0000-0000-0000A6B30000}"/>
    <cellStyle name="Migliaia 40 2 9" xfId="51683" xr:uid="{00000000-0005-0000-0000-0000A7B30000}"/>
    <cellStyle name="Migliaia 40 3" xfId="1350" xr:uid="{00000000-0005-0000-0000-0000A8B30000}"/>
    <cellStyle name="Migliaia 40 3 10" xfId="52090" xr:uid="{00000000-0005-0000-0000-0000A9B30000}"/>
    <cellStyle name="Migliaia 40 3 11" xfId="52498" xr:uid="{00000000-0005-0000-0000-0000AAB30000}"/>
    <cellStyle name="Migliaia 40 3 12" xfId="3647" xr:uid="{00000000-0005-0000-0000-0000ABB30000}"/>
    <cellStyle name="Migliaia 40 3 2" xfId="1351" xr:uid="{00000000-0005-0000-0000-0000ACB30000}"/>
    <cellStyle name="Migliaia 40 3 2 10" xfId="52499" xr:uid="{00000000-0005-0000-0000-0000ADB30000}"/>
    <cellStyle name="Migliaia 40 3 2 11" xfId="3648" xr:uid="{00000000-0005-0000-0000-0000AEB30000}"/>
    <cellStyle name="Migliaia 40 3 2 2" xfId="2910" xr:uid="{00000000-0005-0000-0000-0000AFB30000}"/>
    <cellStyle name="Migliaia 40 3 2 2 2" xfId="11497" xr:uid="{00000000-0005-0000-0000-0000B0B30000}"/>
    <cellStyle name="Migliaia 40 3 2 3" xfId="3279" xr:uid="{00000000-0005-0000-0000-0000B1B30000}"/>
    <cellStyle name="Migliaia 40 3 2 3 2" xfId="28380" xr:uid="{00000000-0005-0000-0000-0000B2B30000}"/>
    <cellStyle name="Migliaia 40 3 2 3 3" xfId="43353" xr:uid="{00000000-0005-0000-0000-0000B3B30000}"/>
    <cellStyle name="Migliaia 40 3 2 3 4" xfId="12098" xr:uid="{00000000-0005-0000-0000-0000B4B30000}"/>
    <cellStyle name="Migliaia 40 3 2 4" xfId="19430" xr:uid="{00000000-0005-0000-0000-0000B5B30000}"/>
    <cellStyle name="Migliaia 40 3 2 4 2" xfId="35511" xr:uid="{00000000-0005-0000-0000-0000B6B30000}"/>
    <cellStyle name="Migliaia 40 3 2 4 3" xfId="50467" xr:uid="{00000000-0005-0000-0000-0000B7B30000}"/>
    <cellStyle name="Migliaia 40 3 2 5" xfId="21383" xr:uid="{00000000-0005-0000-0000-0000B8B30000}"/>
    <cellStyle name="Migliaia 40 3 2 6" xfId="36354" xr:uid="{00000000-0005-0000-0000-0000B9B30000}"/>
    <cellStyle name="Migliaia 40 3 2 7" xfId="51291" xr:uid="{00000000-0005-0000-0000-0000BAB30000}"/>
    <cellStyle name="Migliaia 40 3 2 8" xfId="51685" xr:uid="{00000000-0005-0000-0000-0000BBB30000}"/>
    <cellStyle name="Migliaia 40 3 2 9" xfId="52091" xr:uid="{00000000-0005-0000-0000-0000BCB30000}"/>
    <cellStyle name="Migliaia 40 3 3" xfId="2909" xr:uid="{00000000-0005-0000-0000-0000BDB30000}"/>
    <cellStyle name="Migliaia 40 3 3 2" xfId="20527" xr:uid="{00000000-0005-0000-0000-0000BEB30000}"/>
    <cellStyle name="Migliaia 40 3 3 2 2" xfId="35960" xr:uid="{00000000-0005-0000-0000-0000BFB30000}"/>
    <cellStyle name="Migliaia 40 3 3 2 3" xfId="50916" xr:uid="{00000000-0005-0000-0000-0000C0B30000}"/>
    <cellStyle name="Migliaia 40 3 3 3" xfId="19431" xr:uid="{00000000-0005-0000-0000-0000C1B30000}"/>
    <cellStyle name="Migliaia 40 3 3 3 2" xfId="35512" xr:uid="{00000000-0005-0000-0000-0000C2B30000}"/>
    <cellStyle name="Migliaia 40 3 3 3 3" xfId="50468" xr:uid="{00000000-0005-0000-0000-0000C3B30000}"/>
    <cellStyle name="Migliaia 40 3 3 4" xfId="11496" xr:uid="{00000000-0005-0000-0000-0000C4B30000}"/>
    <cellStyle name="Migliaia 40 3 4" xfId="3278" xr:uid="{00000000-0005-0000-0000-0000C5B30000}"/>
    <cellStyle name="Migliaia 40 3 4 2" xfId="20526" xr:uid="{00000000-0005-0000-0000-0000C6B30000}"/>
    <cellStyle name="Migliaia 40 3 4 2 2" xfId="35959" xr:uid="{00000000-0005-0000-0000-0000C7B30000}"/>
    <cellStyle name="Migliaia 40 3 4 2 3" xfId="50915" xr:uid="{00000000-0005-0000-0000-0000C8B30000}"/>
    <cellStyle name="Migliaia 40 3 4 3" xfId="28379" xr:uid="{00000000-0005-0000-0000-0000C9B30000}"/>
    <cellStyle name="Migliaia 40 3 4 4" xfId="43352" xr:uid="{00000000-0005-0000-0000-0000CAB30000}"/>
    <cellStyle name="Migliaia 40 3 4 5" xfId="12097" xr:uid="{00000000-0005-0000-0000-0000CBB30000}"/>
    <cellStyle name="Migliaia 40 3 5" xfId="19429" xr:uid="{00000000-0005-0000-0000-0000CCB30000}"/>
    <cellStyle name="Migliaia 40 3 5 2" xfId="35510" xr:uid="{00000000-0005-0000-0000-0000CDB30000}"/>
    <cellStyle name="Migliaia 40 3 5 3" xfId="50466" xr:uid="{00000000-0005-0000-0000-0000CEB30000}"/>
    <cellStyle name="Migliaia 40 3 6" xfId="21382" xr:uid="{00000000-0005-0000-0000-0000CFB30000}"/>
    <cellStyle name="Migliaia 40 3 7" xfId="36353" xr:uid="{00000000-0005-0000-0000-0000D0B30000}"/>
    <cellStyle name="Migliaia 40 3 8" xfId="51290" xr:uid="{00000000-0005-0000-0000-0000D1B30000}"/>
    <cellStyle name="Migliaia 40 3 9" xfId="51684" xr:uid="{00000000-0005-0000-0000-0000D2B30000}"/>
    <cellStyle name="Migliaia 40 4" xfId="2907" xr:uid="{00000000-0005-0000-0000-0000D3B30000}"/>
    <cellStyle name="Migliaia 40 4 2" xfId="19433" xr:uid="{00000000-0005-0000-0000-0000D4B30000}"/>
    <cellStyle name="Migliaia 40 4 2 2" xfId="20529" xr:uid="{00000000-0005-0000-0000-0000D5B30000}"/>
    <cellStyle name="Migliaia 40 4 2 2 2" xfId="35962" xr:uid="{00000000-0005-0000-0000-0000D6B30000}"/>
    <cellStyle name="Migliaia 40 4 2 2 3" xfId="50918" xr:uid="{00000000-0005-0000-0000-0000D7B30000}"/>
    <cellStyle name="Migliaia 40 4 2 3" xfId="35514" xr:uid="{00000000-0005-0000-0000-0000D8B30000}"/>
    <cellStyle name="Migliaia 40 4 2 4" xfId="50470" xr:uid="{00000000-0005-0000-0000-0000D9B30000}"/>
    <cellStyle name="Migliaia 40 4 3" xfId="20528" xr:uid="{00000000-0005-0000-0000-0000DAB30000}"/>
    <cellStyle name="Migliaia 40 4 3 2" xfId="35961" xr:uid="{00000000-0005-0000-0000-0000DBB30000}"/>
    <cellStyle name="Migliaia 40 4 3 3" xfId="50917" xr:uid="{00000000-0005-0000-0000-0000DCB30000}"/>
    <cellStyle name="Migliaia 40 4 4" xfId="19432" xr:uid="{00000000-0005-0000-0000-0000DDB30000}"/>
    <cellStyle name="Migliaia 40 4 4 2" xfId="35513" xr:uid="{00000000-0005-0000-0000-0000DEB30000}"/>
    <cellStyle name="Migliaia 40 4 4 3" xfId="50469" xr:uid="{00000000-0005-0000-0000-0000DFB30000}"/>
    <cellStyle name="Migliaia 40 4 5" xfId="11498" xr:uid="{00000000-0005-0000-0000-0000E0B30000}"/>
    <cellStyle name="Migliaia 40 5" xfId="3276" xr:uid="{00000000-0005-0000-0000-0000E1B30000}"/>
    <cellStyle name="Migliaia 40 5 2" xfId="19434" xr:uid="{00000000-0005-0000-0000-0000E2B30000}"/>
    <cellStyle name="Migliaia 40 5 2 2" xfId="35515" xr:uid="{00000000-0005-0000-0000-0000E3B30000}"/>
    <cellStyle name="Migliaia 40 5 2 3" xfId="50471" xr:uid="{00000000-0005-0000-0000-0000E4B30000}"/>
    <cellStyle name="Migliaia 40 5 3" xfId="11499" xr:uid="{00000000-0005-0000-0000-0000E5B30000}"/>
    <cellStyle name="Migliaia 40 6" xfId="11494" xr:uid="{00000000-0005-0000-0000-0000E6B30000}"/>
    <cellStyle name="Migliaia 40 7" xfId="12095" xr:uid="{00000000-0005-0000-0000-0000E7B30000}"/>
    <cellStyle name="Migliaia 40 7 2" xfId="28377" xr:uid="{00000000-0005-0000-0000-0000E8B30000}"/>
    <cellStyle name="Migliaia 40 7 3" xfId="43350" xr:uid="{00000000-0005-0000-0000-0000E9B30000}"/>
    <cellStyle name="Migliaia 40 8" xfId="19427" xr:uid="{00000000-0005-0000-0000-0000EAB30000}"/>
    <cellStyle name="Migliaia 40 8 2" xfId="35508" xr:uid="{00000000-0005-0000-0000-0000EBB30000}"/>
    <cellStyle name="Migliaia 40 8 3" xfId="50464" xr:uid="{00000000-0005-0000-0000-0000ECB30000}"/>
    <cellStyle name="Migliaia 40 9" xfId="21380" xr:uid="{00000000-0005-0000-0000-0000EDB30000}"/>
    <cellStyle name="Migliaia 41" xfId="1352" xr:uid="{00000000-0005-0000-0000-0000EEB30000}"/>
    <cellStyle name="Migliaia 41 10" xfId="36355" xr:uid="{00000000-0005-0000-0000-0000EFB30000}"/>
    <cellStyle name="Migliaia 41 11" xfId="51292" xr:uid="{00000000-0005-0000-0000-0000F0B30000}"/>
    <cellStyle name="Migliaia 41 12" xfId="51686" xr:uid="{00000000-0005-0000-0000-0000F1B30000}"/>
    <cellStyle name="Migliaia 41 13" xfId="52092" xr:uid="{00000000-0005-0000-0000-0000F2B30000}"/>
    <cellStyle name="Migliaia 41 14" xfId="52500" xr:uid="{00000000-0005-0000-0000-0000F3B30000}"/>
    <cellStyle name="Migliaia 41 15" xfId="3649" xr:uid="{00000000-0005-0000-0000-0000F4B30000}"/>
    <cellStyle name="Migliaia 41 2" xfId="1353" xr:uid="{00000000-0005-0000-0000-0000F5B30000}"/>
    <cellStyle name="Migliaia 41 2 10" xfId="52093" xr:uid="{00000000-0005-0000-0000-0000F6B30000}"/>
    <cellStyle name="Migliaia 41 2 11" xfId="52501" xr:uid="{00000000-0005-0000-0000-0000F7B30000}"/>
    <cellStyle name="Migliaia 41 2 12" xfId="3650" xr:uid="{00000000-0005-0000-0000-0000F8B30000}"/>
    <cellStyle name="Migliaia 41 2 2" xfId="1354" xr:uid="{00000000-0005-0000-0000-0000F9B30000}"/>
    <cellStyle name="Migliaia 41 2 2 10" xfId="3790" xr:uid="{00000000-0005-0000-0000-0000FAB30000}"/>
    <cellStyle name="Migliaia 41 2 2 2" xfId="3052" xr:uid="{00000000-0005-0000-0000-0000FBB30000}"/>
    <cellStyle name="Migliaia 41 2 2 2 2" xfId="28547" xr:uid="{00000000-0005-0000-0000-0000FCB30000}"/>
    <cellStyle name="Migliaia 41 2 2 2 3" xfId="43510" xr:uid="{00000000-0005-0000-0000-0000FDB30000}"/>
    <cellStyle name="Migliaia 41 2 2 2 4" xfId="12269" xr:uid="{00000000-0005-0000-0000-0000FEB30000}"/>
    <cellStyle name="Migliaia 41 2 2 3" xfId="3421" xr:uid="{00000000-0005-0000-0000-0000FFB30000}"/>
    <cellStyle name="Migliaia 41 2 2 3 2" xfId="35963" xr:uid="{00000000-0005-0000-0000-000000B40000}"/>
    <cellStyle name="Migliaia 41 2 2 3 3" xfId="50919" xr:uid="{00000000-0005-0000-0000-000001B40000}"/>
    <cellStyle name="Migliaia 41 2 2 3 4" xfId="20530" xr:uid="{00000000-0005-0000-0000-000002B40000}"/>
    <cellStyle name="Migliaia 41 2 2 4" xfId="21547" xr:uid="{00000000-0005-0000-0000-000003B40000}"/>
    <cellStyle name="Migliaia 41 2 2 5" xfId="36514" xr:uid="{00000000-0005-0000-0000-000004B40000}"/>
    <cellStyle name="Migliaia 41 2 2 6" xfId="51452" xr:uid="{00000000-0005-0000-0000-000005B40000}"/>
    <cellStyle name="Migliaia 41 2 2 7" xfId="51857" xr:uid="{00000000-0005-0000-0000-000006B40000}"/>
    <cellStyle name="Migliaia 41 2 2 8" xfId="52266" xr:uid="{00000000-0005-0000-0000-000007B40000}"/>
    <cellStyle name="Migliaia 41 2 2 9" xfId="52671" xr:uid="{00000000-0005-0000-0000-000008B40000}"/>
    <cellStyle name="Migliaia 41 2 3" xfId="2912" xr:uid="{00000000-0005-0000-0000-000009B40000}"/>
    <cellStyle name="Migliaia 41 2 3 2" xfId="11501" xr:uid="{00000000-0005-0000-0000-00000AB40000}"/>
    <cellStyle name="Migliaia 41 2 4" xfId="3281" xr:uid="{00000000-0005-0000-0000-00000BB40000}"/>
    <cellStyle name="Migliaia 41 2 4 2" xfId="28382" xr:uid="{00000000-0005-0000-0000-00000CB40000}"/>
    <cellStyle name="Migliaia 41 2 4 3" xfId="43355" xr:uid="{00000000-0005-0000-0000-00000DB40000}"/>
    <cellStyle name="Migliaia 41 2 4 4" xfId="12100" xr:uid="{00000000-0005-0000-0000-00000EB40000}"/>
    <cellStyle name="Migliaia 41 2 5" xfId="19436" xr:uid="{00000000-0005-0000-0000-00000FB40000}"/>
    <cellStyle name="Migliaia 41 2 5 2" xfId="35517" xr:uid="{00000000-0005-0000-0000-000010B40000}"/>
    <cellStyle name="Migliaia 41 2 5 3" xfId="50473" xr:uid="{00000000-0005-0000-0000-000011B40000}"/>
    <cellStyle name="Migliaia 41 2 6" xfId="21385" xr:uid="{00000000-0005-0000-0000-000012B40000}"/>
    <cellStyle name="Migliaia 41 2 7" xfId="36356" xr:uid="{00000000-0005-0000-0000-000013B40000}"/>
    <cellStyle name="Migliaia 41 2 8" xfId="51293" xr:uid="{00000000-0005-0000-0000-000014B40000}"/>
    <cellStyle name="Migliaia 41 2 9" xfId="51687" xr:uid="{00000000-0005-0000-0000-000015B40000}"/>
    <cellStyle name="Migliaia 41 3" xfId="1355" xr:uid="{00000000-0005-0000-0000-000016B40000}"/>
    <cellStyle name="Migliaia 41 3 10" xfId="52094" xr:uid="{00000000-0005-0000-0000-000017B40000}"/>
    <cellStyle name="Migliaia 41 3 11" xfId="52502" xr:uid="{00000000-0005-0000-0000-000018B40000}"/>
    <cellStyle name="Migliaia 41 3 12" xfId="3651" xr:uid="{00000000-0005-0000-0000-000019B40000}"/>
    <cellStyle name="Migliaia 41 3 2" xfId="1356" xr:uid="{00000000-0005-0000-0000-00001AB40000}"/>
    <cellStyle name="Migliaia 41 3 2 10" xfId="52503" xr:uid="{00000000-0005-0000-0000-00001BB40000}"/>
    <cellStyle name="Migliaia 41 3 2 11" xfId="3652" xr:uid="{00000000-0005-0000-0000-00001CB40000}"/>
    <cellStyle name="Migliaia 41 3 2 2" xfId="2914" xr:uid="{00000000-0005-0000-0000-00001DB40000}"/>
    <cellStyle name="Migliaia 41 3 2 2 2" xfId="11503" xr:uid="{00000000-0005-0000-0000-00001EB40000}"/>
    <cellStyle name="Migliaia 41 3 2 3" xfId="3283" xr:uid="{00000000-0005-0000-0000-00001FB40000}"/>
    <cellStyle name="Migliaia 41 3 2 3 2" xfId="28384" xr:uid="{00000000-0005-0000-0000-000020B40000}"/>
    <cellStyle name="Migliaia 41 3 2 3 3" xfId="43357" xr:uid="{00000000-0005-0000-0000-000021B40000}"/>
    <cellStyle name="Migliaia 41 3 2 3 4" xfId="12102" xr:uid="{00000000-0005-0000-0000-000022B40000}"/>
    <cellStyle name="Migliaia 41 3 2 4" xfId="19438" xr:uid="{00000000-0005-0000-0000-000023B40000}"/>
    <cellStyle name="Migliaia 41 3 2 4 2" xfId="35519" xr:uid="{00000000-0005-0000-0000-000024B40000}"/>
    <cellStyle name="Migliaia 41 3 2 4 3" xfId="50475" xr:uid="{00000000-0005-0000-0000-000025B40000}"/>
    <cellStyle name="Migliaia 41 3 2 5" xfId="21387" xr:uid="{00000000-0005-0000-0000-000026B40000}"/>
    <cellStyle name="Migliaia 41 3 2 6" xfId="36358" xr:uid="{00000000-0005-0000-0000-000027B40000}"/>
    <cellStyle name="Migliaia 41 3 2 7" xfId="51295" xr:uid="{00000000-0005-0000-0000-000028B40000}"/>
    <cellStyle name="Migliaia 41 3 2 8" xfId="51689" xr:uid="{00000000-0005-0000-0000-000029B40000}"/>
    <cellStyle name="Migliaia 41 3 2 9" xfId="52095" xr:uid="{00000000-0005-0000-0000-00002AB40000}"/>
    <cellStyle name="Migliaia 41 3 3" xfId="2913" xr:uid="{00000000-0005-0000-0000-00002BB40000}"/>
    <cellStyle name="Migliaia 41 3 3 2" xfId="20532" xr:uid="{00000000-0005-0000-0000-00002CB40000}"/>
    <cellStyle name="Migliaia 41 3 3 2 2" xfId="35965" xr:uid="{00000000-0005-0000-0000-00002DB40000}"/>
    <cellStyle name="Migliaia 41 3 3 2 3" xfId="50921" xr:uid="{00000000-0005-0000-0000-00002EB40000}"/>
    <cellStyle name="Migliaia 41 3 3 3" xfId="19439" xr:uid="{00000000-0005-0000-0000-00002FB40000}"/>
    <cellStyle name="Migliaia 41 3 3 3 2" xfId="35520" xr:uid="{00000000-0005-0000-0000-000030B40000}"/>
    <cellStyle name="Migliaia 41 3 3 3 3" xfId="50476" xr:uid="{00000000-0005-0000-0000-000031B40000}"/>
    <cellStyle name="Migliaia 41 3 3 4" xfId="11502" xr:uid="{00000000-0005-0000-0000-000032B40000}"/>
    <cellStyle name="Migliaia 41 3 4" xfId="3282" xr:uid="{00000000-0005-0000-0000-000033B40000}"/>
    <cellStyle name="Migliaia 41 3 4 2" xfId="20531" xr:uid="{00000000-0005-0000-0000-000034B40000}"/>
    <cellStyle name="Migliaia 41 3 4 2 2" xfId="35964" xr:uid="{00000000-0005-0000-0000-000035B40000}"/>
    <cellStyle name="Migliaia 41 3 4 2 3" xfId="50920" xr:uid="{00000000-0005-0000-0000-000036B40000}"/>
    <cellStyle name="Migliaia 41 3 4 3" xfId="28383" xr:uid="{00000000-0005-0000-0000-000037B40000}"/>
    <cellStyle name="Migliaia 41 3 4 4" xfId="43356" xr:uid="{00000000-0005-0000-0000-000038B40000}"/>
    <cellStyle name="Migliaia 41 3 4 5" xfId="12101" xr:uid="{00000000-0005-0000-0000-000039B40000}"/>
    <cellStyle name="Migliaia 41 3 5" xfId="19437" xr:uid="{00000000-0005-0000-0000-00003AB40000}"/>
    <cellStyle name="Migliaia 41 3 5 2" xfId="35518" xr:uid="{00000000-0005-0000-0000-00003BB40000}"/>
    <cellStyle name="Migliaia 41 3 5 3" xfId="50474" xr:uid="{00000000-0005-0000-0000-00003CB40000}"/>
    <cellStyle name="Migliaia 41 3 6" xfId="21386" xr:uid="{00000000-0005-0000-0000-00003DB40000}"/>
    <cellStyle name="Migliaia 41 3 7" xfId="36357" xr:uid="{00000000-0005-0000-0000-00003EB40000}"/>
    <cellStyle name="Migliaia 41 3 8" xfId="51294" xr:uid="{00000000-0005-0000-0000-00003FB40000}"/>
    <cellStyle name="Migliaia 41 3 9" xfId="51688" xr:uid="{00000000-0005-0000-0000-000040B40000}"/>
    <cellStyle name="Migliaia 41 4" xfId="2911" xr:uid="{00000000-0005-0000-0000-000041B40000}"/>
    <cellStyle name="Migliaia 41 4 2" xfId="19441" xr:uid="{00000000-0005-0000-0000-000042B40000}"/>
    <cellStyle name="Migliaia 41 4 2 2" xfId="20534" xr:uid="{00000000-0005-0000-0000-000043B40000}"/>
    <cellStyle name="Migliaia 41 4 2 2 2" xfId="35967" xr:uid="{00000000-0005-0000-0000-000044B40000}"/>
    <cellStyle name="Migliaia 41 4 2 2 3" xfId="50923" xr:uid="{00000000-0005-0000-0000-000045B40000}"/>
    <cellStyle name="Migliaia 41 4 2 3" xfId="35522" xr:uid="{00000000-0005-0000-0000-000046B40000}"/>
    <cellStyle name="Migliaia 41 4 2 4" xfId="50478" xr:uid="{00000000-0005-0000-0000-000047B40000}"/>
    <cellStyle name="Migliaia 41 4 3" xfId="20533" xr:uid="{00000000-0005-0000-0000-000048B40000}"/>
    <cellStyle name="Migliaia 41 4 3 2" xfId="35966" xr:uid="{00000000-0005-0000-0000-000049B40000}"/>
    <cellStyle name="Migliaia 41 4 3 3" xfId="50922" xr:uid="{00000000-0005-0000-0000-00004AB40000}"/>
    <cellStyle name="Migliaia 41 4 4" xfId="19440" xr:uid="{00000000-0005-0000-0000-00004BB40000}"/>
    <cellStyle name="Migliaia 41 4 4 2" xfId="35521" xr:uid="{00000000-0005-0000-0000-00004CB40000}"/>
    <cellStyle name="Migliaia 41 4 4 3" xfId="50477" xr:uid="{00000000-0005-0000-0000-00004DB40000}"/>
    <cellStyle name="Migliaia 41 4 5" xfId="11504" xr:uid="{00000000-0005-0000-0000-00004EB40000}"/>
    <cellStyle name="Migliaia 41 5" xfId="3280" xr:uid="{00000000-0005-0000-0000-00004FB40000}"/>
    <cellStyle name="Migliaia 41 5 2" xfId="19442" xr:uid="{00000000-0005-0000-0000-000050B40000}"/>
    <cellStyle name="Migliaia 41 5 2 2" xfId="35523" xr:uid="{00000000-0005-0000-0000-000051B40000}"/>
    <cellStyle name="Migliaia 41 5 2 3" xfId="50479" xr:uid="{00000000-0005-0000-0000-000052B40000}"/>
    <cellStyle name="Migliaia 41 5 3" xfId="11505" xr:uid="{00000000-0005-0000-0000-000053B40000}"/>
    <cellStyle name="Migliaia 41 6" xfId="11500" xr:uid="{00000000-0005-0000-0000-000054B40000}"/>
    <cellStyle name="Migliaia 41 7" xfId="12099" xr:uid="{00000000-0005-0000-0000-000055B40000}"/>
    <cellStyle name="Migliaia 41 7 2" xfId="28381" xr:uid="{00000000-0005-0000-0000-000056B40000}"/>
    <cellStyle name="Migliaia 41 7 3" xfId="43354" xr:uid="{00000000-0005-0000-0000-000057B40000}"/>
    <cellStyle name="Migliaia 41 8" xfId="19435" xr:uid="{00000000-0005-0000-0000-000058B40000}"/>
    <cellStyle name="Migliaia 41 8 2" xfId="35516" xr:uid="{00000000-0005-0000-0000-000059B40000}"/>
    <cellStyle name="Migliaia 41 8 3" xfId="50472" xr:uid="{00000000-0005-0000-0000-00005AB40000}"/>
    <cellStyle name="Migliaia 41 9" xfId="21384" xr:uid="{00000000-0005-0000-0000-00005BB40000}"/>
    <cellStyle name="Migliaia 42" xfId="1357" xr:uid="{00000000-0005-0000-0000-00005CB40000}"/>
    <cellStyle name="Migliaia 42 10" xfId="36359" xr:uid="{00000000-0005-0000-0000-00005DB40000}"/>
    <cellStyle name="Migliaia 42 11" xfId="51296" xr:uid="{00000000-0005-0000-0000-00005EB40000}"/>
    <cellStyle name="Migliaia 42 12" xfId="51690" xr:uid="{00000000-0005-0000-0000-00005FB40000}"/>
    <cellStyle name="Migliaia 42 13" xfId="52096" xr:uid="{00000000-0005-0000-0000-000060B40000}"/>
    <cellStyle name="Migliaia 42 14" xfId="52504" xr:uid="{00000000-0005-0000-0000-000061B40000}"/>
    <cellStyle name="Migliaia 42 15" xfId="3653" xr:uid="{00000000-0005-0000-0000-000062B40000}"/>
    <cellStyle name="Migliaia 42 2" xfId="1358" xr:uid="{00000000-0005-0000-0000-000063B40000}"/>
    <cellStyle name="Migliaia 42 2 10" xfId="52097" xr:uid="{00000000-0005-0000-0000-000064B40000}"/>
    <cellStyle name="Migliaia 42 2 11" xfId="52505" xr:uid="{00000000-0005-0000-0000-000065B40000}"/>
    <cellStyle name="Migliaia 42 2 12" xfId="3654" xr:uid="{00000000-0005-0000-0000-000066B40000}"/>
    <cellStyle name="Migliaia 42 2 2" xfId="1359" xr:uid="{00000000-0005-0000-0000-000067B40000}"/>
    <cellStyle name="Migliaia 42 2 2 10" xfId="3791" xr:uid="{00000000-0005-0000-0000-000068B40000}"/>
    <cellStyle name="Migliaia 42 2 2 2" xfId="3053" xr:uid="{00000000-0005-0000-0000-000069B40000}"/>
    <cellStyle name="Migliaia 42 2 2 2 2" xfId="28548" xr:uid="{00000000-0005-0000-0000-00006AB40000}"/>
    <cellStyle name="Migliaia 42 2 2 2 3" xfId="43511" xr:uid="{00000000-0005-0000-0000-00006BB40000}"/>
    <cellStyle name="Migliaia 42 2 2 2 4" xfId="12270" xr:uid="{00000000-0005-0000-0000-00006CB40000}"/>
    <cellStyle name="Migliaia 42 2 2 3" xfId="3422" xr:uid="{00000000-0005-0000-0000-00006DB40000}"/>
    <cellStyle name="Migliaia 42 2 2 3 2" xfId="35968" xr:uid="{00000000-0005-0000-0000-00006EB40000}"/>
    <cellStyle name="Migliaia 42 2 2 3 3" xfId="50924" xr:uid="{00000000-0005-0000-0000-00006FB40000}"/>
    <cellStyle name="Migliaia 42 2 2 3 4" xfId="20535" xr:uid="{00000000-0005-0000-0000-000070B40000}"/>
    <cellStyle name="Migliaia 42 2 2 4" xfId="21548" xr:uid="{00000000-0005-0000-0000-000071B40000}"/>
    <cellStyle name="Migliaia 42 2 2 5" xfId="36515" xr:uid="{00000000-0005-0000-0000-000072B40000}"/>
    <cellStyle name="Migliaia 42 2 2 6" xfId="51453" xr:uid="{00000000-0005-0000-0000-000073B40000}"/>
    <cellStyle name="Migliaia 42 2 2 7" xfId="51858" xr:uid="{00000000-0005-0000-0000-000074B40000}"/>
    <cellStyle name="Migliaia 42 2 2 8" xfId="52267" xr:uid="{00000000-0005-0000-0000-000075B40000}"/>
    <cellStyle name="Migliaia 42 2 2 9" xfId="52672" xr:uid="{00000000-0005-0000-0000-000076B40000}"/>
    <cellStyle name="Migliaia 42 2 3" xfId="2916" xr:uid="{00000000-0005-0000-0000-000077B40000}"/>
    <cellStyle name="Migliaia 42 2 3 2" xfId="11507" xr:uid="{00000000-0005-0000-0000-000078B40000}"/>
    <cellStyle name="Migliaia 42 2 4" xfId="3285" xr:uid="{00000000-0005-0000-0000-000079B40000}"/>
    <cellStyle name="Migliaia 42 2 4 2" xfId="28386" xr:uid="{00000000-0005-0000-0000-00007AB40000}"/>
    <cellStyle name="Migliaia 42 2 4 3" xfId="43359" xr:uid="{00000000-0005-0000-0000-00007BB40000}"/>
    <cellStyle name="Migliaia 42 2 4 4" xfId="12104" xr:uid="{00000000-0005-0000-0000-00007CB40000}"/>
    <cellStyle name="Migliaia 42 2 5" xfId="19444" xr:uid="{00000000-0005-0000-0000-00007DB40000}"/>
    <cellStyle name="Migliaia 42 2 5 2" xfId="35525" xr:uid="{00000000-0005-0000-0000-00007EB40000}"/>
    <cellStyle name="Migliaia 42 2 5 3" xfId="50481" xr:uid="{00000000-0005-0000-0000-00007FB40000}"/>
    <cellStyle name="Migliaia 42 2 6" xfId="21389" xr:uid="{00000000-0005-0000-0000-000080B40000}"/>
    <cellStyle name="Migliaia 42 2 7" xfId="36360" xr:uid="{00000000-0005-0000-0000-000081B40000}"/>
    <cellStyle name="Migliaia 42 2 8" xfId="51297" xr:uid="{00000000-0005-0000-0000-000082B40000}"/>
    <cellStyle name="Migliaia 42 2 9" xfId="51691" xr:uid="{00000000-0005-0000-0000-000083B40000}"/>
    <cellStyle name="Migliaia 42 3" xfId="1360" xr:uid="{00000000-0005-0000-0000-000084B40000}"/>
    <cellStyle name="Migliaia 42 3 10" xfId="52098" xr:uid="{00000000-0005-0000-0000-000085B40000}"/>
    <cellStyle name="Migliaia 42 3 11" xfId="52506" xr:uid="{00000000-0005-0000-0000-000086B40000}"/>
    <cellStyle name="Migliaia 42 3 12" xfId="3655" xr:uid="{00000000-0005-0000-0000-000087B40000}"/>
    <cellStyle name="Migliaia 42 3 2" xfId="1361" xr:uid="{00000000-0005-0000-0000-000088B40000}"/>
    <cellStyle name="Migliaia 42 3 2 10" xfId="52507" xr:uid="{00000000-0005-0000-0000-000089B40000}"/>
    <cellStyle name="Migliaia 42 3 2 11" xfId="3656" xr:uid="{00000000-0005-0000-0000-00008AB40000}"/>
    <cellStyle name="Migliaia 42 3 2 2" xfId="2918" xr:uid="{00000000-0005-0000-0000-00008BB40000}"/>
    <cellStyle name="Migliaia 42 3 2 2 2" xfId="11509" xr:uid="{00000000-0005-0000-0000-00008CB40000}"/>
    <cellStyle name="Migliaia 42 3 2 3" xfId="3287" xr:uid="{00000000-0005-0000-0000-00008DB40000}"/>
    <cellStyle name="Migliaia 42 3 2 3 2" xfId="28388" xr:uid="{00000000-0005-0000-0000-00008EB40000}"/>
    <cellStyle name="Migliaia 42 3 2 3 3" xfId="43361" xr:uid="{00000000-0005-0000-0000-00008FB40000}"/>
    <cellStyle name="Migliaia 42 3 2 3 4" xfId="12106" xr:uid="{00000000-0005-0000-0000-000090B40000}"/>
    <cellStyle name="Migliaia 42 3 2 4" xfId="19446" xr:uid="{00000000-0005-0000-0000-000091B40000}"/>
    <cellStyle name="Migliaia 42 3 2 4 2" xfId="35527" xr:uid="{00000000-0005-0000-0000-000092B40000}"/>
    <cellStyle name="Migliaia 42 3 2 4 3" xfId="50483" xr:uid="{00000000-0005-0000-0000-000093B40000}"/>
    <cellStyle name="Migliaia 42 3 2 5" xfId="21391" xr:uid="{00000000-0005-0000-0000-000094B40000}"/>
    <cellStyle name="Migliaia 42 3 2 6" xfId="36362" xr:uid="{00000000-0005-0000-0000-000095B40000}"/>
    <cellStyle name="Migliaia 42 3 2 7" xfId="51299" xr:uid="{00000000-0005-0000-0000-000096B40000}"/>
    <cellStyle name="Migliaia 42 3 2 8" xfId="51693" xr:uid="{00000000-0005-0000-0000-000097B40000}"/>
    <cellStyle name="Migliaia 42 3 2 9" xfId="52099" xr:uid="{00000000-0005-0000-0000-000098B40000}"/>
    <cellStyle name="Migliaia 42 3 3" xfId="2917" xr:uid="{00000000-0005-0000-0000-000099B40000}"/>
    <cellStyle name="Migliaia 42 3 3 2" xfId="20537" xr:uid="{00000000-0005-0000-0000-00009AB40000}"/>
    <cellStyle name="Migliaia 42 3 3 2 2" xfId="35970" xr:uid="{00000000-0005-0000-0000-00009BB40000}"/>
    <cellStyle name="Migliaia 42 3 3 2 3" xfId="50926" xr:uid="{00000000-0005-0000-0000-00009CB40000}"/>
    <cellStyle name="Migliaia 42 3 3 3" xfId="19447" xr:uid="{00000000-0005-0000-0000-00009DB40000}"/>
    <cellStyle name="Migliaia 42 3 3 3 2" xfId="35528" xr:uid="{00000000-0005-0000-0000-00009EB40000}"/>
    <cellStyle name="Migliaia 42 3 3 3 3" xfId="50484" xr:uid="{00000000-0005-0000-0000-00009FB40000}"/>
    <cellStyle name="Migliaia 42 3 3 4" xfId="11508" xr:uid="{00000000-0005-0000-0000-0000A0B40000}"/>
    <cellStyle name="Migliaia 42 3 4" xfId="3286" xr:uid="{00000000-0005-0000-0000-0000A1B40000}"/>
    <cellStyle name="Migliaia 42 3 4 2" xfId="20536" xr:uid="{00000000-0005-0000-0000-0000A2B40000}"/>
    <cellStyle name="Migliaia 42 3 4 2 2" xfId="35969" xr:uid="{00000000-0005-0000-0000-0000A3B40000}"/>
    <cellStyle name="Migliaia 42 3 4 2 3" xfId="50925" xr:uid="{00000000-0005-0000-0000-0000A4B40000}"/>
    <cellStyle name="Migliaia 42 3 4 3" xfId="28387" xr:uid="{00000000-0005-0000-0000-0000A5B40000}"/>
    <cellStyle name="Migliaia 42 3 4 4" xfId="43360" xr:uid="{00000000-0005-0000-0000-0000A6B40000}"/>
    <cellStyle name="Migliaia 42 3 4 5" xfId="12105" xr:uid="{00000000-0005-0000-0000-0000A7B40000}"/>
    <cellStyle name="Migliaia 42 3 5" xfId="19445" xr:uid="{00000000-0005-0000-0000-0000A8B40000}"/>
    <cellStyle name="Migliaia 42 3 5 2" xfId="35526" xr:uid="{00000000-0005-0000-0000-0000A9B40000}"/>
    <cellStyle name="Migliaia 42 3 5 3" xfId="50482" xr:uid="{00000000-0005-0000-0000-0000AAB40000}"/>
    <cellStyle name="Migliaia 42 3 6" xfId="21390" xr:uid="{00000000-0005-0000-0000-0000ABB40000}"/>
    <cellStyle name="Migliaia 42 3 7" xfId="36361" xr:uid="{00000000-0005-0000-0000-0000ACB40000}"/>
    <cellStyle name="Migliaia 42 3 8" xfId="51298" xr:uid="{00000000-0005-0000-0000-0000ADB40000}"/>
    <cellStyle name="Migliaia 42 3 9" xfId="51692" xr:uid="{00000000-0005-0000-0000-0000AEB40000}"/>
    <cellStyle name="Migliaia 42 4" xfId="2915" xr:uid="{00000000-0005-0000-0000-0000AFB40000}"/>
    <cellStyle name="Migliaia 42 4 2" xfId="19449" xr:uid="{00000000-0005-0000-0000-0000B0B40000}"/>
    <cellStyle name="Migliaia 42 4 2 2" xfId="20539" xr:uid="{00000000-0005-0000-0000-0000B1B40000}"/>
    <cellStyle name="Migliaia 42 4 2 2 2" xfId="35972" xr:uid="{00000000-0005-0000-0000-0000B2B40000}"/>
    <cellStyle name="Migliaia 42 4 2 2 3" xfId="50928" xr:uid="{00000000-0005-0000-0000-0000B3B40000}"/>
    <cellStyle name="Migliaia 42 4 2 3" xfId="35530" xr:uid="{00000000-0005-0000-0000-0000B4B40000}"/>
    <cellStyle name="Migliaia 42 4 2 4" xfId="50486" xr:uid="{00000000-0005-0000-0000-0000B5B40000}"/>
    <cellStyle name="Migliaia 42 4 3" xfId="20538" xr:uid="{00000000-0005-0000-0000-0000B6B40000}"/>
    <cellStyle name="Migliaia 42 4 3 2" xfId="35971" xr:uid="{00000000-0005-0000-0000-0000B7B40000}"/>
    <cellStyle name="Migliaia 42 4 3 3" xfId="50927" xr:uid="{00000000-0005-0000-0000-0000B8B40000}"/>
    <cellStyle name="Migliaia 42 4 4" xfId="19448" xr:uid="{00000000-0005-0000-0000-0000B9B40000}"/>
    <cellStyle name="Migliaia 42 4 4 2" xfId="35529" xr:uid="{00000000-0005-0000-0000-0000BAB40000}"/>
    <cellStyle name="Migliaia 42 4 4 3" xfId="50485" xr:uid="{00000000-0005-0000-0000-0000BBB40000}"/>
    <cellStyle name="Migliaia 42 4 5" xfId="11510" xr:uid="{00000000-0005-0000-0000-0000BCB40000}"/>
    <cellStyle name="Migliaia 42 5" xfId="3284" xr:uid="{00000000-0005-0000-0000-0000BDB40000}"/>
    <cellStyle name="Migliaia 42 5 2" xfId="19450" xr:uid="{00000000-0005-0000-0000-0000BEB40000}"/>
    <cellStyle name="Migliaia 42 5 2 2" xfId="35531" xr:uid="{00000000-0005-0000-0000-0000BFB40000}"/>
    <cellStyle name="Migliaia 42 5 2 3" xfId="50487" xr:uid="{00000000-0005-0000-0000-0000C0B40000}"/>
    <cellStyle name="Migliaia 42 5 3" xfId="11511" xr:uid="{00000000-0005-0000-0000-0000C1B40000}"/>
    <cellStyle name="Migliaia 42 6" xfId="11506" xr:uid="{00000000-0005-0000-0000-0000C2B40000}"/>
    <cellStyle name="Migliaia 42 7" xfId="12103" xr:uid="{00000000-0005-0000-0000-0000C3B40000}"/>
    <cellStyle name="Migliaia 42 7 2" xfId="28385" xr:uid="{00000000-0005-0000-0000-0000C4B40000}"/>
    <cellStyle name="Migliaia 42 7 3" xfId="43358" xr:uid="{00000000-0005-0000-0000-0000C5B40000}"/>
    <cellStyle name="Migliaia 42 8" xfId="19443" xr:uid="{00000000-0005-0000-0000-0000C6B40000}"/>
    <cellStyle name="Migliaia 42 8 2" xfId="35524" xr:uid="{00000000-0005-0000-0000-0000C7B40000}"/>
    <cellStyle name="Migliaia 42 8 3" xfId="50480" xr:uid="{00000000-0005-0000-0000-0000C8B40000}"/>
    <cellStyle name="Migliaia 42 9" xfId="21388" xr:uid="{00000000-0005-0000-0000-0000C9B40000}"/>
    <cellStyle name="Migliaia 43" xfId="1362" xr:uid="{00000000-0005-0000-0000-0000CAB40000}"/>
    <cellStyle name="Migliaia 43 10" xfId="36363" xr:uid="{00000000-0005-0000-0000-0000CBB40000}"/>
    <cellStyle name="Migliaia 43 11" xfId="51300" xr:uid="{00000000-0005-0000-0000-0000CCB40000}"/>
    <cellStyle name="Migliaia 43 12" xfId="51694" xr:uid="{00000000-0005-0000-0000-0000CDB40000}"/>
    <cellStyle name="Migliaia 43 13" xfId="52100" xr:uid="{00000000-0005-0000-0000-0000CEB40000}"/>
    <cellStyle name="Migliaia 43 14" xfId="52508" xr:uid="{00000000-0005-0000-0000-0000CFB40000}"/>
    <cellStyle name="Migliaia 43 15" xfId="3657" xr:uid="{00000000-0005-0000-0000-0000D0B40000}"/>
    <cellStyle name="Migliaia 43 2" xfId="1363" xr:uid="{00000000-0005-0000-0000-0000D1B40000}"/>
    <cellStyle name="Migliaia 43 2 10" xfId="52101" xr:uid="{00000000-0005-0000-0000-0000D2B40000}"/>
    <cellStyle name="Migliaia 43 2 11" xfId="52509" xr:uid="{00000000-0005-0000-0000-0000D3B40000}"/>
    <cellStyle name="Migliaia 43 2 12" xfId="3658" xr:uid="{00000000-0005-0000-0000-0000D4B40000}"/>
    <cellStyle name="Migliaia 43 2 2" xfId="1364" xr:uid="{00000000-0005-0000-0000-0000D5B40000}"/>
    <cellStyle name="Migliaia 43 2 2 10" xfId="3792" xr:uid="{00000000-0005-0000-0000-0000D6B40000}"/>
    <cellStyle name="Migliaia 43 2 2 2" xfId="3054" xr:uid="{00000000-0005-0000-0000-0000D7B40000}"/>
    <cellStyle name="Migliaia 43 2 2 2 2" xfId="28549" xr:uid="{00000000-0005-0000-0000-0000D8B40000}"/>
    <cellStyle name="Migliaia 43 2 2 2 3" xfId="43512" xr:uid="{00000000-0005-0000-0000-0000D9B40000}"/>
    <cellStyle name="Migliaia 43 2 2 2 4" xfId="12271" xr:uid="{00000000-0005-0000-0000-0000DAB40000}"/>
    <cellStyle name="Migliaia 43 2 2 3" xfId="3423" xr:uid="{00000000-0005-0000-0000-0000DBB40000}"/>
    <cellStyle name="Migliaia 43 2 2 3 2" xfId="35973" xr:uid="{00000000-0005-0000-0000-0000DCB40000}"/>
    <cellStyle name="Migliaia 43 2 2 3 3" xfId="50929" xr:uid="{00000000-0005-0000-0000-0000DDB40000}"/>
    <cellStyle name="Migliaia 43 2 2 3 4" xfId="20540" xr:uid="{00000000-0005-0000-0000-0000DEB40000}"/>
    <cellStyle name="Migliaia 43 2 2 4" xfId="21549" xr:uid="{00000000-0005-0000-0000-0000DFB40000}"/>
    <cellStyle name="Migliaia 43 2 2 5" xfId="36516" xr:uid="{00000000-0005-0000-0000-0000E0B40000}"/>
    <cellStyle name="Migliaia 43 2 2 6" xfId="51454" xr:uid="{00000000-0005-0000-0000-0000E1B40000}"/>
    <cellStyle name="Migliaia 43 2 2 7" xfId="51859" xr:uid="{00000000-0005-0000-0000-0000E2B40000}"/>
    <cellStyle name="Migliaia 43 2 2 8" xfId="52268" xr:uid="{00000000-0005-0000-0000-0000E3B40000}"/>
    <cellStyle name="Migliaia 43 2 2 9" xfId="52673" xr:uid="{00000000-0005-0000-0000-0000E4B40000}"/>
    <cellStyle name="Migliaia 43 2 3" xfId="2920" xr:uid="{00000000-0005-0000-0000-0000E5B40000}"/>
    <cellStyle name="Migliaia 43 2 3 2" xfId="11513" xr:uid="{00000000-0005-0000-0000-0000E6B40000}"/>
    <cellStyle name="Migliaia 43 2 4" xfId="3289" xr:uid="{00000000-0005-0000-0000-0000E7B40000}"/>
    <cellStyle name="Migliaia 43 2 4 2" xfId="28390" xr:uid="{00000000-0005-0000-0000-0000E8B40000}"/>
    <cellStyle name="Migliaia 43 2 4 3" xfId="43363" xr:uid="{00000000-0005-0000-0000-0000E9B40000}"/>
    <cellStyle name="Migliaia 43 2 4 4" xfId="12108" xr:uid="{00000000-0005-0000-0000-0000EAB40000}"/>
    <cellStyle name="Migliaia 43 2 5" xfId="19452" xr:uid="{00000000-0005-0000-0000-0000EBB40000}"/>
    <cellStyle name="Migliaia 43 2 5 2" xfId="35533" xr:uid="{00000000-0005-0000-0000-0000ECB40000}"/>
    <cellStyle name="Migliaia 43 2 5 3" xfId="50489" xr:uid="{00000000-0005-0000-0000-0000EDB40000}"/>
    <cellStyle name="Migliaia 43 2 6" xfId="21393" xr:uid="{00000000-0005-0000-0000-0000EEB40000}"/>
    <cellStyle name="Migliaia 43 2 7" xfId="36364" xr:uid="{00000000-0005-0000-0000-0000EFB40000}"/>
    <cellStyle name="Migliaia 43 2 8" xfId="51301" xr:uid="{00000000-0005-0000-0000-0000F0B40000}"/>
    <cellStyle name="Migliaia 43 2 9" xfId="51695" xr:uid="{00000000-0005-0000-0000-0000F1B40000}"/>
    <cellStyle name="Migliaia 43 3" xfId="1365" xr:uid="{00000000-0005-0000-0000-0000F2B40000}"/>
    <cellStyle name="Migliaia 43 3 10" xfId="52102" xr:uid="{00000000-0005-0000-0000-0000F3B40000}"/>
    <cellStyle name="Migliaia 43 3 11" xfId="52510" xr:uid="{00000000-0005-0000-0000-0000F4B40000}"/>
    <cellStyle name="Migliaia 43 3 12" xfId="3659" xr:uid="{00000000-0005-0000-0000-0000F5B40000}"/>
    <cellStyle name="Migliaia 43 3 2" xfId="1366" xr:uid="{00000000-0005-0000-0000-0000F6B40000}"/>
    <cellStyle name="Migliaia 43 3 2 10" xfId="52511" xr:uid="{00000000-0005-0000-0000-0000F7B40000}"/>
    <cellStyle name="Migliaia 43 3 2 11" xfId="3660" xr:uid="{00000000-0005-0000-0000-0000F8B40000}"/>
    <cellStyle name="Migliaia 43 3 2 2" xfId="2922" xr:uid="{00000000-0005-0000-0000-0000F9B40000}"/>
    <cellStyle name="Migliaia 43 3 2 2 2" xfId="11515" xr:uid="{00000000-0005-0000-0000-0000FAB40000}"/>
    <cellStyle name="Migliaia 43 3 2 3" xfId="3291" xr:uid="{00000000-0005-0000-0000-0000FBB40000}"/>
    <cellStyle name="Migliaia 43 3 2 3 2" xfId="28392" xr:uid="{00000000-0005-0000-0000-0000FCB40000}"/>
    <cellStyle name="Migliaia 43 3 2 3 3" xfId="43365" xr:uid="{00000000-0005-0000-0000-0000FDB40000}"/>
    <cellStyle name="Migliaia 43 3 2 3 4" xfId="12110" xr:uid="{00000000-0005-0000-0000-0000FEB40000}"/>
    <cellStyle name="Migliaia 43 3 2 4" xfId="19454" xr:uid="{00000000-0005-0000-0000-0000FFB40000}"/>
    <cellStyle name="Migliaia 43 3 2 4 2" xfId="35535" xr:uid="{00000000-0005-0000-0000-000000B50000}"/>
    <cellStyle name="Migliaia 43 3 2 4 3" xfId="50491" xr:uid="{00000000-0005-0000-0000-000001B50000}"/>
    <cellStyle name="Migliaia 43 3 2 5" xfId="21395" xr:uid="{00000000-0005-0000-0000-000002B50000}"/>
    <cellStyle name="Migliaia 43 3 2 6" xfId="36366" xr:uid="{00000000-0005-0000-0000-000003B50000}"/>
    <cellStyle name="Migliaia 43 3 2 7" xfId="51303" xr:uid="{00000000-0005-0000-0000-000004B50000}"/>
    <cellStyle name="Migliaia 43 3 2 8" xfId="51697" xr:uid="{00000000-0005-0000-0000-000005B50000}"/>
    <cellStyle name="Migliaia 43 3 2 9" xfId="52103" xr:uid="{00000000-0005-0000-0000-000006B50000}"/>
    <cellStyle name="Migliaia 43 3 3" xfId="2921" xr:uid="{00000000-0005-0000-0000-000007B50000}"/>
    <cellStyle name="Migliaia 43 3 3 2" xfId="20542" xr:uid="{00000000-0005-0000-0000-000008B50000}"/>
    <cellStyle name="Migliaia 43 3 3 2 2" xfId="35975" xr:uid="{00000000-0005-0000-0000-000009B50000}"/>
    <cellStyle name="Migliaia 43 3 3 2 3" xfId="50931" xr:uid="{00000000-0005-0000-0000-00000AB50000}"/>
    <cellStyle name="Migliaia 43 3 3 3" xfId="19455" xr:uid="{00000000-0005-0000-0000-00000BB50000}"/>
    <cellStyle name="Migliaia 43 3 3 3 2" xfId="35536" xr:uid="{00000000-0005-0000-0000-00000CB50000}"/>
    <cellStyle name="Migliaia 43 3 3 3 3" xfId="50492" xr:uid="{00000000-0005-0000-0000-00000DB50000}"/>
    <cellStyle name="Migliaia 43 3 3 4" xfId="11514" xr:uid="{00000000-0005-0000-0000-00000EB50000}"/>
    <cellStyle name="Migliaia 43 3 4" xfId="3290" xr:uid="{00000000-0005-0000-0000-00000FB50000}"/>
    <cellStyle name="Migliaia 43 3 4 2" xfId="20541" xr:uid="{00000000-0005-0000-0000-000010B50000}"/>
    <cellStyle name="Migliaia 43 3 4 2 2" xfId="35974" xr:uid="{00000000-0005-0000-0000-000011B50000}"/>
    <cellStyle name="Migliaia 43 3 4 2 3" xfId="50930" xr:uid="{00000000-0005-0000-0000-000012B50000}"/>
    <cellStyle name="Migliaia 43 3 4 3" xfId="28391" xr:uid="{00000000-0005-0000-0000-000013B50000}"/>
    <cellStyle name="Migliaia 43 3 4 4" xfId="43364" xr:uid="{00000000-0005-0000-0000-000014B50000}"/>
    <cellStyle name="Migliaia 43 3 4 5" xfId="12109" xr:uid="{00000000-0005-0000-0000-000015B50000}"/>
    <cellStyle name="Migliaia 43 3 5" xfId="19453" xr:uid="{00000000-0005-0000-0000-000016B50000}"/>
    <cellStyle name="Migliaia 43 3 5 2" xfId="35534" xr:uid="{00000000-0005-0000-0000-000017B50000}"/>
    <cellStyle name="Migliaia 43 3 5 3" xfId="50490" xr:uid="{00000000-0005-0000-0000-000018B50000}"/>
    <cellStyle name="Migliaia 43 3 6" xfId="21394" xr:uid="{00000000-0005-0000-0000-000019B50000}"/>
    <cellStyle name="Migliaia 43 3 7" xfId="36365" xr:uid="{00000000-0005-0000-0000-00001AB50000}"/>
    <cellStyle name="Migliaia 43 3 8" xfId="51302" xr:uid="{00000000-0005-0000-0000-00001BB50000}"/>
    <cellStyle name="Migliaia 43 3 9" xfId="51696" xr:uid="{00000000-0005-0000-0000-00001CB50000}"/>
    <cellStyle name="Migliaia 43 4" xfId="2919" xr:uid="{00000000-0005-0000-0000-00001DB50000}"/>
    <cellStyle name="Migliaia 43 4 2" xfId="19457" xr:uid="{00000000-0005-0000-0000-00001EB50000}"/>
    <cellStyle name="Migliaia 43 4 2 2" xfId="20544" xr:uid="{00000000-0005-0000-0000-00001FB50000}"/>
    <cellStyle name="Migliaia 43 4 2 2 2" xfId="35977" xr:uid="{00000000-0005-0000-0000-000020B50000}"/>
    <cellStyle name="Migliaia 43 4 2 2 3" xfId="50933" xr:uid="{00000000-0005-0000-0000-000021B50000}"/>
    <cellStyle name="Migliaia 43 4 2 3" xfId="35538" xr:uid="{00000000-0005-0000-0000-000022B50000}"/>
    <cellStyle name="Migliaia 43 4 2 4" xfId="50494" xr:uid="{00000000-0005-0000-0000-000023B50000}"/>
    <cellStyle name="Migliaia 43 4 3" xfId="20543" xr:uid="{00000000-0005-0000-0000-000024B50000}"/>
    <cellStyle name="Migliaia 43 4 3 2" xfId="35976" xr:uid="{00000000-0005-0000-0000-000025B50000}"/>
    <cellStyle name="Migliaia 43 4 3 3" xfId="50932" xr:uid="{00000000-0005-0000-0000-000026B50000}"/>
    <cellStyle name="Migliaia 43 4 4" xfId="19456" xr:uid="{00000000-0005-0000-0000-000027B50000}"/>
    <cellStyle name="Migliaia 43 4 4 2" xfId="35537" xr:uid="{00000000-0005-0000-0000-000028B50000}"/>
    <cellStyle name="Migliaia 43 4 4 3" xfId="50493" xr:uid="{00000000-0005-0000-0000-000029B50000}"/>
    <cellStyle name="Migliaia 43 4 5" xfId="11516" xr:uid="{00000000-0005-0000-0000-00002AB50000}"/>
    <cellStyle name="Migliaia 43 5" xfId="3288" xr:uid="{00000000-0005-0000-0000-00002BB50000}"/>
    <cellStyle name="Migliaia 43 5 2" xfId="19458" xr:uid="{00000000-0005-0000-0000-00002CB50000}"/>
    <cellStyle name="Migliaia 43 5 2 2" xfId="35539" xr:uid="{00000000-0005-0000-0000-00002DB50000}"/>
    <cellStyle name="Migliaia 43 5 2 3" xfId="50495" xr:uid="{00000000-0005-0000-0000-00002EB50000}"/>
    <cellStyle name="Migliaia 43 5 3" xfId="11517" xr:uid="{00000000-0005-0000-0000-00002FB50000}"/>
    <cellStyle name="Migliaia 43 6" xfId="11512" xr:uid="{00000000-0005-0000-0000-000030B50000}"/>
    <cellStyle name="Migliaia 43 7" xfId="12107" xr:uid="{00000000-0005-0000-0000-000031B50000}"/>
    <cellStyle name="Migliaia 43 7 2" xfId="28389" xr:uid="{00000000-0005-0000-0000-000032B50000}"/>
    <cellStyle name="Migliaia 43 7 3" xfId="43362" xr:uid="{00000000-0005-0000-0000-000033B50000}"/>
    <cellStyle name="Migliaia 43 8" xfId="19451" xr:uid="{00000000-0005-0000-0000-000034B50000}"/>
    <cellStyle name="Migliaia 43 8 2" xfId="35532" xr:uid="{00000000-0005-0000-0000-000035B50000}"/>
    <cellStyle name="Migliaia 43 8 3" xfId="50488" xr:uid="{00000000-0005-0000-0000-000036B50000}"/>
    <cellStyle name="Migliaia 43 9" xfId="21392" xr:uid="{00000000-0005-0000-0000-000037B50000}"/>
    <cellStyle name="Migliaia 44" xfId="1367" xr:uid="{00000000-0005-0000-0000-000038B50000}"/>
    <cellStyle name="Migliaia 44 10" xfId="36367" xr:uid="{00000000-0005-0000-0000-000039B50000}"/>
    <cellStyle name="Migliaia 44 11" xfId="51304" xr:uid="{00000000-0005-0000-0000-00003AB50000}"/>
    <cellStyle name="Migliaia 44 12" xfId="51698" xr:uid="{00000000-0005-0000-0000-00003BB50000}"/>
    <cellStyle name="Migliaia 44 13" xfId="52104" xr:uid="{00000000-0005-0000-0000-00003CB50000}"/>
    <cellStyle name="Migliaia 44 14" xfId="52512" xr:uid="{00000000-0005-0000-0000-00003DB50000}"/>
    <cellStyle name="Migliaia 44 15" xfId="3661" xr:uid="{00000000-0005-0000-0000-00003EB50000}"/>
    <cellStyle name="Migliaia 44 2" xfId="1368" xr:uid="{00000000-0005-0000-0000-00003FB50000}"/>
    <cellStyle name="Migliaia 44 2 10" xfId="52105" xr:uid="{00000000-0005-0000-0000-000040B50000}"/>
    <cellStyle name="Migliaia 44 2 11" xfId="52513" xr:uid="{00000000-0005-0000-0000-000041B50000}"/>
    <cellStyle name="Migliaia 44 2 12" xfId="3662" xr:uid="{00000000-0005-0000-0000-000042B50000}"/>
    <cellStyle name="Migliaia 44 2 2" xfId="1369" xr:uid="{00000000-0005-0000-0000-000043B50000}"/>
    <cellStyle name="Migliaia 44 2 2 10" xfId="3793" xr:uid="{00000000-0005-0000-0000-000044B50000}"/>
    <cellStyle name="Migliaia 44 2 2 2" xfId="3055" xr:uid="{00000000-0005-0000-0000-000045B50000}"/>
    <cellStyle name="Migliaia 44 2 2 2 2" xfId="28550" xr:uid="{00000000-0005-0000-0000-000046B50000}"/>
    <cellStyle name="Migliaia 44 2 2 2 3" xfId="43513" xr:uid="{00000000-0005-0000-0000-000047B50000}"/>
    <cellStyle name="Migliaia 44 2 2 2 4" xfId="12272" xr:uid="{00000000-0005-0000-0000-000048B50000}"/>
    <cellStyle name="Migliaia 44 2 2 3" xfId="3424" xr:uid="{00000000-0005-0000-0000-000049B50000}"/>
    <cellStyle name="Migliaia 44 2 2 3 2" xfId="35978" xr:uid="{00000000-0005-0000-0000-00004AB50000}"/>
    <cellStyle name="Migliaia 44 2 2 3 3" xfId="50934" xr:uid="{00000000-0005-0000-0000-00004BB50000}"/>
    <cellStyle name="Migliaia 44 2 2 3 4" xfId="20545" xr:uid="{00000000-0005-0000-0000-00004CB50000}"/>
    <cellStyle name="Migliaia 44 2 2 4" xfId="21550" xr:uid="{00000000-0005-0000-0000-00004DB50000}"/>
    <cellStyle name="Migliaia 44 2 2 5" xfId="36517" xr:uid="{00000000-0005-0000-0000-00004EB50000}"/>
    <cellStyle name="Migliaia 44 2 2 6" xfId="51455" xr:uid="{00000000-0005-0000-0000-00004FB50000}"/>
    <cellStyle name="Migliaia 44 2 2 7" xfId="51860" xr:uid="{00000000-0005-0000-0000-000050B50000}"/>
    <cellStyle name="Migliaia 44 2 2 8" xfId="52269" xr:uid="{00000000-0005-0000-0000-000051B50000}"/>
    <cellStyle name="Migliaia 44 2 2 9" xfId="52674" xr:uid="{00000000-0005-0000-0000-000052B50000}"/>
    <cellStyle name="Migliaia 44 2 3" xfId="2924" xr:uid="{00000000-0005-0000-0000-000053B50000}"/>
    <cellStyle name="Migliaia 44 2 3 2" xfId="11519" xr:uid="{00000000-0005-0000-0000-000054B50000}"/>
    <cellStyle name="Migliaia 44 2 4" xfId="3293" xr:uid="{00000000-0005-0000-0000-000055B50000}"/>
    <cellStyle name="Migliaia 44 2 4 2" xfId="28394" xr:uid="{00000000-0005-0000-0000-000056B50000}"/>
    <cellStyle name="Migliaia 44 2 4 3" xfId="43367" xr:uid="{00000000-0005-0000-0000-000057B50000}"/>
    <cellStyle name="Migliaia 44 2 4 4" xfId="12112" xr:uid="{00000000-0005-0000-0000-000058B50000}"/>
    <cellStyle name="Migliaia 44 2 5" xfId="19460" xr:uid="{00000000-0005-0000-0000-000059B50000}"/>
    <cellStyle name="Migliaia 44 2 5 2" xfId="35541" xr:uid="{00000000-0005-0000-0000-00005AB50000}"/>
    <cellStyle name="Migliaia 44 2 5 3" xfId="50497" xr:uid="{00000000-0005-0000-0000-00005BB50000}"/>
    <cellStyle name="Migliaia 44 2 6" xfId="21397" xr:uid="{00000000-0005-0000-0000-00005CB50000}"/>
    <cellStyle name="Migliaia 44 2 7" xfId="36368" xr:uid="{00000000-0005-0000-0000-00005DB50000}"/>
    <cellStyle name="Migliaia 44 2 8" xfId="51305" xr:uid="{00000000-0005-0000-0000-00005EB50000}"/>
    <cellStyle name="Migliaia 44 2 9" xfId="51699" xr:uid="{00000000-0005-0000-0000-00005FB50000}"/>
    <cellStyle name="Migliaia 44 3" xfId="1370" xr:uid="{00000000-0005-0000-0000-000060B50000}"/>
    <cellStyle name="Migliaia 44 3 10" xfId="52106" xr:uid="{00000000-0005-0000-0000-000061B50000}"/>
    <cellStyle name="Migliaia 44 3 11" xfId="52514" xr:uid="{00000000-0005-0000-0000-000062B50000}"/>
    <cellStyle name="Migliaia 44 3 12" xfId="3663" xr:uid="{00000000-0005-0000-0000-000063B50000}"/>
    <cellStyle name="Migliaia 44 3 2" xfId="1371" xr:uid="{00000000-0005-0000-0000-000064B50000}"/>
    <cellStyle name="Migliaia 44 3 2 10" xfId="52515" xr:uid="{00000000-0005-0000-0000-000065B50000}"/>
    <cellStyle name="Migliaia 44 3 2 11" xfId="3664" xr:uid="{00000000-0005-0000-0000-000066B50000}"/>
    <cellStyle name="Migliaia 44 3 2 2" xfId="2926" xr:uid="{00000000-0005-0000-0000-000067B50000}"/>
    <cellStyle name="Migliaia 44 3 2 2 2" xfId="11521" xr:uid="{00000000-0005-0000-0000-000068B50000}"/>
    <cellStyle name="Migliaia 44 3 2 3" xfId="3295" xr:uid="{00000000-0005-0000-0000-000069B50000}"/>
    <cellStyle name="Migliaia 44 3 2 3 2" xfId="28396" xr:uid="{00000000-0005-0000-0000-00006AB50000}"/>
    <cellStyle name="Migliaia 44 3 2 3 3" xfId="43369" xr:uid="{00000000-0005-0000-0000-00006BB50000}"/>
    <cellStyle name="Migliaia 44 3 2 3 4" xfId="12114" xr:uid="{00000000-0005-0000-0000-00006CB50000}"/>
    <cellStyle name="Migliaia 44 3 2 4" xfId="19462" xr:uid="{00000000-0005-0000-0000-00006DB50000}"/>
    <cellStyle name="Migliaia 44 3 2 4 2" xfId="35543" xr:uid="{00000000-0005-0000-0000-00006EB50000}"/>
    <cellStyle name="Migliaia 44 3 2 4 3" xfId="50499" xr:uid="{00000000-0005-0000-0000-00006FB50000}"/>
    <cellStyle name="Migliaia 44 3 2 5" xfId="21399" xr:uid="{00000000-0005-0000-0000-000070B50000}"/>
    <cellStyle name="Migliaia 44 3 2 6" xfId="36370" xr:uid="{00000000-0005-0000-0000-000071B50000}"/>
    <cellStyle name="Migliaia 44 3 2 7" xfId="51307" xr:uid="{00000000-0005-0000-0000-000072B50000}"/>
    <cellStyle name="Migliaia 44 3 2 8" xfId="51701" xr:uid="{00000000-0005-0000-0000-000073B50000}"/>
    <cellStyle name="Migliaia 44 3 2 9" xfId="52107" xr:uid="{00000000-0005-0000-0000-000074B50000}"/>
    <cellStyle name="Migliaia 44 3 3" xfId="2925" xr:uid="{00000000-0005-0000-0000-000075B50000}"/>
    <cellStyle name="Migliaia 44 3 3 2" xfId="20547" xr:uid="{00000000-0005-0000-0000-000076B50000}"/>
    <cellStyle name="Migliaia 44 3 3 2 2" xfId="35980" xr:uid="{00000000-0005-0000-0000-000077B50000}"/>
    <cellStyle name="Migliaia 44 3 3 2 3" xfId="50936" xr:uid="{00000000-0005-0000-0000-000078B50000}"/>
    <cellStyle name="Migliaia 44 3 3 3" xfId="19463" xr:uid="{00000000-0005-0000-0000-000079B50000}"/>
    <cellStyle name="Migliaia 44 3 3 3 2" xfId="35544" xr:uid="{00000000-0005-0000-0000-00007AB50000}"/>
    <cellStyle name="Migliaia 44 3 3 3 3" xfId="50500" xr:uid="{00000000-0005-0000-0000-00007BB50000}"/>
    <cellStyle name="Migliaia 44 3 3 4" xfId="11520" xr:uid="{00000000-0005-0000-0000-00007CB50000}"/>
    <cellStyle name="Migliaia 44 3 4" xfId="3294" xr:uid="{00000000-0005-0000-0000-00007DB50000}"/>
    <cellStyle name="Migliaia 44 3 4 2" xfId="20546" xr:uid="{00000000-0005-0000-0000-00007EB50000}"/>
    <cellStyle name="Migliaia 44 3 4 2 2" xfId="35979" xr:uid="{00000000-0005-0000-0000-00007FB50000}"/>
    <cellStyle name="Migliaia 44 3 4 2 3" xfId="50935" xr:uid="{00000000-0005-0000-0000-000080B50000}"/>
    <cellStyle name="Migliaia 44 3 4 3" xfId="28395" xr:uid="{00000000-0005-0000-0000-000081B50000}"/>
    <cellStyle name="Migliaia 44 3 4 4" xfId="43368" xr:uid="{00000000-0005-0000-0000-000082B50000}"/>
    <cellStyle name="Migliaia 44 3 4 5" xfId="12113" xr:uid="{00000000-0005-0000-0000-000083B50000}"/>
    <cellStyle name="Migliaia 44 3 5" xfId="19461" xr:uid="{00000000-0005-0000-0000-000084B50000}"/>
    <cellStyle name="Migliaia 44 3 5 2" xfId="35542" xr:uid="{00000000-0005-0000-0000-000085B50000}"/>
    <cellStyle name="Migliaia 44 3 5 3" xfId="50498" xr:uid="{00000000-0005-0000-0000-000086B50000}"/>
    <cellStyle name="Migliaia 44 3 6" xfId="21398" xr:uid="{00000000-0005-0000-0000-000087B50000}"/>
    <cellStyle name="Migliaia 44 3 7" xfId="36369" xr:uid="{00000000-0005-0000-0000-000088B50000}"/>
    <cellStyle name="Migliaia 44 3 8" xfId="51306" xr:uid="{00000000-0005-0000-0000-000089B50000}"/>
    <cellStyle name="Migliaia 44 3 9" xfId="51700" xr:uid="{00000000-0005-0000-0000-00008AB50000}"/>
    <cellStyle name="Migliaia 44 4" xfId="2923" xr:uid="{00000000-0005-0000-0000-00008BB50000}"/>
    <cellStyle name="Migliaia 44 4 2" xfId="19465" xr:uid="{00000000-0005-0000-0000-00008CB50000}"/>
    <cellStyle name="Migliaia 44 4 2 2" xfId="20549" xr:uid="{00000000-0005-0000-0000-00008DB50000}"/>
    <cellStyle name="Migliaia 44 4 2 2 2" xfId="35982" xr:uid="{00000000-0005-0000-0000-00008EB50000}"/>
    <cellStyle name="Migliaia 44 4 2 2 3" xfId="50938" xr:uid="{00000000-0005-0000-0000-00008FB50000}"/>
    <cellStyle name="Migliaia 44 4 2 3" xfId="35546" xr:uid="{00000000-0005-0000-0000-000090B50000}"/>
    <cellStyle name="Migliaia 44 4 2 4" xfId="50502" xr:uid="{00000000-0005-0000-0000-000091B50000}"/>
    <cellStyle name="Migliaia 44 4 3" xfId="20548" xr:uid="{00000000-0005-0000-0000-000092B50000}"/>
    <cellStyle name="Migliaia 44 4 3 2" xfId="35981" xr:uid="{00000000-0005-0000-0000-000093B50000}"/>
    <cellStyle name="Migliaia 44 4 3 3" xfId="50937" xr:uid="{00000000-0005-0000-0000-000094B50000}"/>
    <cellStyle name="Migliaia 44 4 4" xfId="19464" xr:uid="{00000000-0005-0000-0000-000095B50000}"/>
    <cellStyle name="Migliaia 44 4 4 2" xfId="35545" xr:uid="{00000000-0005-0000-0000-000096B50000}"/>
    <cellStyle name="Migliaia 44 4 4 3" xfId="50501" xr:uid="{00000000-0005-0000-0000-000097B50000}"/>
    <cellStyle name="Migliaia 44 4 5" xfId="11522" xr:uid="{00000000-0005-0000-0000-000098B50000}"/>
    <cellStyle name="Migliaia 44 5" xfId="3292" xr:uid="{00000000-0005-0000-0000-000099B50000}"/>
    <cellStyle name="Migliaia 44 5 2" xfId="19466" xr:uid="{00000000-0005-0000-0000-00009AB50000}"/>
    <cellStyle name="Migliaia 44 5 2 2" xfId="35547" xr:uid="{00000000-0005-0000-0000-00009BB50000}"/>
    <cellStyle name="Migliaia 44 5 2 3" xfId="50503" xr:uid="{00000000-0005-0000-0000-00009CB50000}"/>
    <cellStyle name="Migliaia 44 5 3" xfId="11523" xr:uid="{00000000-0005-0000-0000-00009DB50000}"/>
    <cellStyle name="Migliaia 44 6" xfId="11518" xr:uid="{00000000-0005-0000-0000-00009EB50000}"/>
    <cellStyle name="Migliaia 44 7" xfId="12111" xr:uid="{00000000-0005-0000-0000-00009FB50000}"/>
    <cellStyle name="Migliaia 44 7 2" xfId="28393" xr:uid="{00000000-0005-0000-0000-0000A0B50000}"/>
    <cellStyle name="Migliaia 44 7 3" xfId="43366" xr:uid="{00000000-0005-0000-0000-0000A1B50000}"/>
    <cellStyle name="Migliaia 44 8" xfId="19459" xr:uid="{00000000-0005-0000-0000-0000A2B50000}"/>
    <cellStyle name="Migliaia 44 8 2" xfId="35540" xr:uid="{00000000-0005-0000-0000-0000A3B50000}"/>
    <cellStyle name="Migliaia 44 8 3" xfId="50496" xr:uid="{00000000-0005-0000-0000-0000A4B50000}"/>
    <cellStyle name="Migliaia 44 9" xfId="21396" xr:uid="{00000000-0005-0000-0000-0000A5B50000}"/>
    <cellStyle name="Migliaia 45" xfId="1372" xr:uid="{00000000-0005-0000-0000-0000A6B50000}"/>
    <cellStyle name="Migliaia 45 10" xfId="36371" xr:uid="{00000000-0005-0000-0000-0000A7B50000}"/>
    <cellStyle name="Migliaia 45 11" xfId="51308" xr:uid="{00000000-0005-0000-0000-0000A8B50000}"/>
    <cellStyle name="Migliaia 45 12" xfId="51702" xr:uid="{00000000-0005-0000-0000-0000A9B50000}"/>
    <cellStyle name="Migliaia 45 13" xfId="52108" xr:uid="{00000000-0005-0000-0000-0000AAB50000}"/>
    <cellStyle name="Migliaia 45 14" xfId="52516" xr:uid="{00000000-0005-0000-0000-0000ABB50000}"/>
    <cellStyle name="Migliaia 45 15" xfId="3665" xr:uid="{00000000-0005-0000-0000-0000ACB50000}"/>
    <cellStyle name="Migliaia 45 2" xfId="1373" xr:uid="{00000000-0005-0000-0000-0000ADB50000}"/>
    <cellStyle name="Migliaia 45 2 10" xfId="52109" xr:uid="{00000000-0005-0000-0000-0000AEB50000}"/>
    <cellStyle name="Migliaia 45 2 11" xfId="52517" xr:uid="{00000000-0005-0000-0000-0000AFB50000}"/>
    <cellStyle name="Migliaia 45 2 12" xfId="3666" xr:uid="{00000000-0005-0000-0000-0000B0B50000}"/>
    <cellStyle name="Migliaia 45 2 2" xfId="1374" xr:uid="{00000000-0005-0000-0000-0000B1B50000}"/>
    <cellStyle name="Migliaia 45 2 2 10" xfId="3794" xr:uid="{00000000-0005-0000-0000-0000B2B50000}"/>
    <cellStyle name="Migliaia 45 2 2 2" xfId="3056" xr:uid="{00000000-0005-0000-0000-0000B3B50000}"/>
    <cellStyle name="Migliaia 45 2 2 2 2" xfId="28551" xr:uid="{00000000-0005-0000-0000-0000B4B50000}"/>
    <cellStyle name="Migliaia 45 2 2 2 3" xfId="43514" xr:uid="{00000000-0005-0000-0000-0000B5B50000}"/>
    <cellStyle name="Migliaia 45 2 2 2 4" xfId="12273" xr:uid="{00000000-0005-0000-0000-0000B6B50000}"/>
    <cellStyle name="Migliaia 45 2 2 3" xfId="3425" xr:uid="{00000000-0005-0000-0000-0000B7B50000}"/>
    <cellStyle name="Migliaia 45 2 2 3 2" xfId="35983" xr:uid="{00000000-0005-0000-0000-0000B8B50000}"/>
    <cellStyle name="Migliaia 45 2 2 3 3" xfId="50939" xr:uid="{00000000-0005-0000-0000-0000B9B50000}"/>
    <cellStyle name="Migliaia 45 2 2 3 4" xfId="20550" xr:uid="{00000000-0005-0000-0000-0000BAB50000}"/>
    <cellStyle name="Migliaia 45 2 2 4" xfId="21551" xr:uid="{00000000-0005-0000-0000-0000BBB50000}"/>
    <cellStyle name="Migliaia 45 2 2 5" xfId="36518" xr:uid="{00000000-0005-0000-0000-0000BCB50000}"/>
    <cellStyle name="Migliaia 45 2 2 6" xfId="51456" xr:uid="{00000000-0005-0000-0000-0000BDB50000}"/>
    <cellStyle name="Migliaia 45 2 2 7" xfId="51861" xr:uid="{00000000-0005-0000-0000-0000BEB50000}"/>
    <cellStyle name="Migliaia 45 2 2 8" xfId="52270" xr:uid="{00000000-0005-0000-0000-0000BFB50000}"/>
    <cellStyle name="Migliaia 45 2 2 9" xfId="52675" xr:uid="{00000000-0005-0000-0000-0000C0B50000}"/>
    <cellStyle name="Migliaia 45 2 3" xfId="2928" xr:uid="{00000000-0005-0000-0000-0000C1B50000}"/>
    <cellStyle name="Migliaia 45 2 3 2" xfId="11525" xr:uid="{00000000-0005-0000-0000-0000C2B50000}"/>
    <cellStyle name="Migliaia 45 2 4" xfId="3297" xr:uid="{00000000-0005-0000-0000-0000C3B50000}"/>
    <cellStyle name="Migliaia 45 2 4 2" xfId="28398" xr:uid="{00000000-0005-0000-0000-0000C4B50000}"/>
    <cellStyle name="Migliaia 45 2 4 3" xfId="43371" xr:uid="{00000000-0005-0000-0000-0000C5B50000}"/>
    <cellStyle name="Migliaia 45 2 4 4" xfId="12116" xr:uid="{00000000-0005-0000-0000-0000C6B50000}"/>
    <cellStyle name="Migliaia 45 2 5" xfId="19468" xr:uid="{00000000-0005-0000-0000-0000C7B50000}"/>
    <cellStyle name="Migliaia 45 2 5 2" xfId="35549" xr:uid="{00000000-0005-0000-0000-0000C8B50000}"/>
    <cellStyle name="Migliaia 45 2 5 3" xfId="50505" xr:uid="{00000000-0005-0000-0000-0000C9B50000}"/>
    <cellStyle name="Migliaia 45 2 6" xfId="21401" xr:uid="{00000000-0005-0000-0000-0000CAB50000}"/>
    <cellStyle name="Migliaia 45 2 7" xfId="36372" xr:uid="{00000000-0005-0000-0000-0000CBB50000}"/>
    <cellStyle name="Migliaia 45 2 8" xfId="51309" xr:uid="{00000000-0005-0000-0000-0000CCB50000}"/>
    <cellStyle name="Migliaia 45 2 9" xfId="51703" xr:uid="{00000000-0005-0000-0000-0000CDB50000}"/>
    <cellStyle name="Migliaia 45 3" xfId="1375" xr:uid="{00000000-0005-0000-0000-0000CEB50000}"/>
    <cellStyle name="Migliaia 45 3 10" xfId="52110" xr:uid="{00000000-0005-0000-0000-0000CFB50000}"/>
    <cellStyle name="Migliaia 45 3 11" xfId="52518" xr:uid="{00000000-0005-0000-0000-0000D0B50000}"/>
    <cellStyle name="Migliaia 45 3 12" xfId="3667" xr:uid="{00000000-0005-0000-0000-0000D1B50000}"/>
    <cellStyle name="Migliaia 45 3 2" xfId="1376" xr:uid="{00000000-0005-0000-0000-0000D2B50000}"/>
    <cellStyle name="Migliaia 45 3 2 10" xfId="52519" xr:uid="{00000000-0005-0000-0000-0000D3B50000}"/>
    <cellStyle name="Migliaia 45 3 2 11" xfId="3668" xr:uid="{00000000-0005-0000-0000-0000D4B50000}"/>
    <cellStyle name="Migliaia 45 3 2 2" xfId="2930" xr:uid="{00000000-0005-0000-0000-0000D5B50000}"/>
    <cellStyle name="Migliaia 45 3 2 2 2" xfId="11527" xr:uid="{00000000-0005-0000-0000-0000D6B50000}"/>
    <cellStyle name="Migliaia 45 3 2 3" xfId="3299" xr:uid="{00000000-0005-0000-0000-0000D7B50000}"/>
    <cellStyle name="Migliaia 45 3 2 3 2" xfId="28400" xr:uid="{00000000-0005-0000-0000-0000D8B50000}"/>
    <cellStyle name="Migliaia 45 3 2 3 3" xfId="43373" xr:uid="{00000000-0005-0000-0000-0000D9B50000}"/>
    <cellStyle name="Migliaia 45 3 2 3 4" xfId="12118" xr:uid="{00000000-0005-0000-0000-0000DAB50000}"/>
    <cellStyle name="Migliaia 45 3 2 4" xfId="19470" xr:uid="{00000000-0005-0000-0000-0000DBB50000}"/>
    <cellStyle name="Migliaia 45 3 2 4 2" xfId="35551" xr:uid="{00000000-0005-0000-0000-0000DCB50000}"/>
    <cellStyle name="Migliaia 45 3 2 4 3" xfId="50507" xr:uid="{00000000-0005-0000-0000-0000DDB50000}"/>
    <cellStyle name="Migliaia 45 3 2 5" xfId="21403" xr:uid="{00000000-0005-0000-0000-0000DEB50000}"/>
    <cellStyle name="Migliaia 45 3 2 6" xfId="36374" xr:uid="{00000000-0005-0000-0000-0000DFB50000}"/>
    <cellStyle name="Migliaia 45 3 2 7" xfId="51311" xr:uid="{00000000-0005-0000-0000-0000E0B50000}"/>
    <cellStyle name="Migliaia 45 3 2 8" xfId="51705" xr:uid="{00000000-0005-0000-0000-0000E1B50000}"/>
    <cellStyle name="Migliaia 45 3 2 9" xfId="52111" xr:uid="{00000000-0005-0000-0000-0000E2B50000}"/>
    <cellStyle name="Migliaia 45 3 3" xfId="2929" xr:uid="{00000000-0005-0000-0000-0000E3B50000}"/>
    <cellStyle name="Migliaia 45 3 3 2" xfId="20552" xr:uid="{00000000-0005-0000-0000-0000E4B50000}"/>
    <cellStyle name="Migliaia 45 3 3 2 2" xfId="35985" xr:uid="{00000000-0005-0000-0000-0000E5B50000}"/>
    <cellStyle name="Migliaia 45 3 3 2 3" xfId="50941" xr:uid="{00000000-0005-0000-0000-0000E6B50000}"/>
    <cellStyle name="Migliaia 45 3 3 3" xfId="19471" xr:uid="{00000000-0005-0000-0000-0000E7B50000}"/>
    <cellStyle name="Migliaia 45 3 3 3 2" xfId="35552" xr:uid="{00000000-0005-0000-0000-0000E8B50000}"/>
    <cellStyle name="Migliaia 45 3 3 3 3" xfId="50508" xr:uid="{00000000-0005-0000-0000-0000E9B50000}"/>
    <cellStyle name="Migliaia 45 3 3 4" xfId="11526" xr:uid="{00000000-0005-0000-0000-0000EAB50000}"/>
    <cellStyle name="Migliaia 45 3 4" xfId="3298" xr:uid="{00000000-0005-0000-0000-0000EBB50000}"/>
    <cellStyle name="Migliaia 45 3 4 2" xfId="20551" xr:uid="{00000000-0005-0000-0000-0000ECB50000}"/>
    <cellStyle name="Migliaia 45 3 4 2 2" xfId="35984" xr:uid="{00000000-0005-0000-0000-0000EDB50000}"/>
    <cellStyle name="Migliaia 45 3 4 2 3" xfId="50940" xr:uid="{00000000-0005-0000-0000-0000EEB50000}"/>
    <cellStyle name="Migliaia 45 3 4 3" xfId="28399" xr:uid="{00000000-0005-0000-0000-0000EFB50000}"/>
    <cellStyle name="Migliaia 45 3 4 4" xfId="43372" xr:uid="{00000000-0005-0000-0000-0000F0B50000}"/>
    <cellStyle name="Migliaia 45 3 4 5" xfId="12117" xr:uid="{00000000-0005-0000-0000-0000F1B50000}"/>
    <cellStyle name="Migliaia 45 3 5" xfId="19469" xr:uid="{00000000-0005-0000-0000-0000F2B50000}"/>
    <cellStyle name="Migliaia 45 3 5 2" xfId="35550" xr:uid="{00000000-0005-0000-0000-0000F3B50000}"/>
    <cellStyle name="Migliaia 45 3 5 3" xfId="50506" xr:uid="{00000000-0005-0000-0000-0000F4B50000}"/>
    <cellStyle name="Migliaia 45 3 6" xfId="21402" xr:uid="{00000000-0005-0000-0000-0000F5B50000}"/>
    <cellStyle name="Migliaia 45 3 7" xfId="36373" xr:uid="{00000000-0005-0000-0000-0000F6B50000}"/>
    <cellStyle name="Migliaia 45 3 8" xfId="51310" xr:uid="{00000000-0005-0000-0000-0000F7B50000}"/>
    <cellStyle name="Migliaia 45 3 9" xfId="51704" xr:uid="{00000000-0005-0000-0000-0000F8B50000}"/>
    <cellStyle name="Migliaia 45 4" xfId="2927" xr:uid="{00000000-0005-0000-0000-0000F9B50000}"/>
    <cellStyle name="Migliaia 45 4 2" xfId="19473" xr:uid="{00000000-0005-0000-0000-0000FAB50000}"/>
    <cellStyle name="Migliaia 45 4 2 2" xfId="20554" xr:uid="{00000000-0005-0000-0000-0000FBB50000}"/>
    <cellStyle name="Migliaia 45 4 2 2 2" xfId="35987" xr:uid="{00000000-0005-0000-0000-0000FCB50000}"/>
    <cellStyle name="Migliaia 45 4 2 2 3" xfId="50943" xr:uid="{00000000-0005-0000-0000-0000FDB50000}"/>
    <cellStyle name="Migliaia 45 4 2 3" xfId="35554" xr:uid="{00000000-0005-0000-0000-0000FEB50000}"/>
    <cellStyle name="Migliaia 45 4 2 4" xfId="50510" xr:uid="{00000000-0005-0000-0000-0000FFB50000}"/>
    <cellStyle name="Migliaia 45 4 3" xfId="20553" xr:uid="{00000000-0005-0000-0000-000000B60000}"/>
    <cellStyle name="Migliaia 45 4 3 2" xfId="35986" xr:uid="{00000000-0005-0000-0000-000001B60000}"/>
    <cellStyle name="Migliaia 45 4 3 3" xfId="50942" xr:uid="{00000000-0005-0000-0000-000002B60000}"/>
    <cellStyle name="Migliaia 45 4 4" xfId="19472" xr:uid="{00000000-0005-0000-0000-000003B60000}"/>
    <cellStyle name="Migliaia 45 4 4 2" xfId="35553" xr:uid="{00000000-0005-0000-0000-000004B60000}"/>
    <cellStyle name="Migliaia 45 4 4 3" xfId="50509" xr:uid="{00000000-0005-0000-0000-000005B60000}"/>
    <cellStyle name="Migliaia 45 4 5" xfId="11528" xr:uid="{00000000-0005-0000-0000-000006B60000}"/>
    <cellStyle name="Migliaia 45 5" xfId="3296" xr:uid="{00000000-0005-0000-0000-000007B60000}"/>
    <cellStyle name="Migliaia 45 5 2" xfId="19474" xr:uid="{00000000-0005-0000-0000-000008B60000}"/>
    <cellStyle name="Migliaia 45 5 2 2" xfId="35555" xr:uid="{00000000-0005-0000-0000-000009B60000}"/>
    <cellStyle name="Migliaia 45 5 2 3" xfId="50511" xr:uid="{00000000-0005-0000-0000-00000AB60000}"/>
    <cellStyle name="Migliaia 45 5 3" xfId="11529" xr:uid="{00000000-0005-0000-0000-00000BB60000}"/>
    <cellStyle name="Migliaia 45 6" xfId="11524" xr:uid="{00000000-0005-0000-0000-00000CB60000}"/>
    <cellStyle name="Migliaia 45 7" xfId="12115" xr:uid="{00000000-0005-0000-0000-00000DB60000}"/>
    <cellStyle name="Migliaia 45 7 2" xfId="28397" xr:uid="{00000000-0005-0000-0000-00000EB60000}"/>
    <cellStyle name="Migliaia 45 7 3" xfId="43370" xr:uid="{00000000-0005-0000-0000-00000FB60000}"/>
    <cellStyle name="Migliaia 45 8" xfId="19467" xr:uid="{00000000-0005-0000-0000-000010B60000}"/>
    <cellStyle name="Migliaia 45 8 2" xfId="35548" xr:uid="{00000000-0005-0000-0000-000011B60000}"/>
    <cellStyle name="Migliaia 45 8 3" xfId="50504" xr:uid="{00000000-0005-0000-0000-000012B60000}"/>
    <cellStyle name="Migliaia 45 9" xfId="21400" xr:uid="{00000000-0005-0000-0000-000013B60000}"/>
    <cellStyle name="Migliaia 46" xfId="1377" xr:uid="{00000000-0005-0000-0000-000014B60000}"/>
    <cellStyle name="Migliaia 46 10" xfId="36375" xr:uid="{00000000-0005-0000-0000-000015B60000}"/>
    <cellStyle name="Migliaia 46 11" xfId="51312" xr:uid="{00000000-0005-0000-0000-000016B60000}"/>
    <cellStyle name="Migliaia 46 12" xfId="51706" xr:uid="{00000000-0005-0000-0000-000017B60000}"/>
    <cellStyle name="Migliaia 46 13" xfId="52112" xr:uid="{00000000-0005-0000-0000-000018B60000}"/>
    <cellStyle name="Migliaia 46 14" xfId="52520" xr:uid="{00000000-0005-0000-0000-000019B60000}"/>
    <cellStyle name="Migliaia 46 15" xfId="3669" xr:uid="{00000000-0005-0000-0000-00001AB60000}"/>
    <cellStyle name="Migliaia 46 2" xfId="1378" xr:uid="{00000000-0005-0000-0000-00001BB60000}"/>
    <cellStyle name="Migliaia 46 2 10" xfId="52113" xr:uid="{00000000-0005-0000-0000-00001CB60000}"/>
    <cellStyle name="Migliaia 46 2 11" xfId="52521" xr:uid="{00000000-0005-0000-0000-00001DB60000}"/>
    <cellStyle name="Migliaia 46 2 12" xfId="3670" xr:uid="{00000000-0005-0000-0000-00001EB60000}"/>
    <cellStyle name="Migliaia 46 2 2" xfId="1379" xr:uid="{00000000-0005-0000-0000-00001FB60000}"/>
    <cellStyle name="Migliaia 46 2 2 10" xfId="3795" xr:uid="{00000000-0005-0000-0000-000020B60000}"/>
    <cellStyle name="Migliaia 46 2 2 2" xfId="3057" xr:uid="{00000000-0005-0000-0000-000021B60000}"/>
    <cellStyle name="Migliaia 46 2 2 2 2" xfId="28552" xr:uid="{00000000-0005-0000-0000-000022B60000}"/>
    <cellStyle name="Migliaia 46 2 2 2 3" xfId="43515" xr:uid="{00000000-0005-0000-0000-000023B60000}"/>
    <cellStyle name="Migliaia 46 2 2 2 4" xfId="12274" xr:uid="{00000000-0005-0000-0000-000024B60000}"/>
    <cellStyle name="Migliaia 46 2 2 3" xfId="3426" xr:uid="{00000000-0005-0000-0000-000025B60000}"/>
    <cellStyle name="Migliaia 46 2 2 3 2" xfId="35988" xr:uid="{00000000-0005-0000-0000-000026B60000}"/>
    <cellStyle name="Migliaia 46 2 2 3 3" xfId="50944" xr:uid="{00000000-0005-0000-0000-000027B60000}"/>
    <cellStyle name="Migliaia 46 2 2 3 4" xfId="20555" xr:uid="{00000000-0005-0000-0000-000028B60000}"/>
    <cellStyle name="Migliaia 46 2 2 4" xfId="21552" xr:uid="{00000000-0005-0000-0000-000029B60000}"/>
    <cellStyle name="Migliaia 46 2 2 5" xfId="36519" xr:uid="{00000000-0005-0000-0000-00002AB60000}"/>
    <cellStyle name="Migliaia 46 2 2 6" xfId="51457" xr:uid="{00000000-0005-0000-0000-00002BB60000}"/>
    <cellStyle name="Migliaia 46 2 2 7" xfId="51862" xr:uid="{00000000-0005-0000-0000-00002CB60000}"/>
    <cellStyle name="Migliaia 46 2 2 8" xfId="52271" xr:uid="{00000000-0005-0000-0000-00002DB60000}"/>
    <cellStyle name="Migliaia 46 2 2 9" xfId="52676" xr:uid="{00000000-0005-0000-0000-00002EB60000}"/>
    <cellStyle name="Migliaia 46 2 3" xfId="2932" xr:uid="{00000000-0005-0000-0000-00002FB60000}"/>
    <cellStyle name="Migliaia 46 2 3 2" xfId="11531" xr:uid="{00000000-0005-0000-0000-000030B60000}"/>
    <cellStyle name="Migliaia 46 2 4" xfId="3301" xr:uid="{00000000-0005-0000-0000-000031B60000}"/>
    <cellStyle name="Migliaia 46 2 4 2" xfId="28402" xr:uid="{00000000-0005-0000-0000-000032B60000}"/>
    <cellStyle name="Migliaia 46 2 4 3" xfId="43375" xr:uid="{00000000-0005-0000-0000-000033B60000}"/>
    <cellStyle name="Migliaia 46 2 4 4" xfId="12120" xr:uid="{00000000-0005-0000-0000-000034B60000}"/>
    <cellStyle name="Migliaia 46 2 5" xfId="19476" xr:uid="{00000000-0005-0000-0000-000035B60000}"/>
    <cellStyle name="Migliaia 46 2 5 2" xfId="35557" xr:uid="{00000000-0005-0000-0000-000036B60000}"/>
    <cellStyle name="Migliaia 46 2 5 3" xfId="50513" xr:uid="{00000000-0005-0000-0000-000037B60000}"/>
    <cellStyle name="Migliaia 46 2 6" xfId="21405" xr:uid="{00000000-0005-0000-0000-000038B60000}"/>
    <cellStyle name="Migliaia 46 2 7" xfId="36376" xr:uid="{00000000-0005-0000-0000-000039B60000}"/>
    <cellStyle name="Migliaia 46 2 8" xfId="51313" xr:uid="{00000000-0005-0000-0000-00003AB60000}"/>
    <cellStyle name="Migliaia 46 2 9" xfId="51707" xr:uid="{00000000-0005-0000-0000-00003BB60000}"/>
    <cellStyle name="Migliaia 46 3" xfId="1380" xr:uid="{00000000-0005-0000-0000-00003CB60000}"/>
    <cellStyle name="Migliaia 46 3 10" xfId="52114" xr:uid="{00000000-0005-0000-0000-00003DB60000}"/>
    <cellStyle name="Migliaia 46 3 11" xfId="52522" xr:uid="{00000000-0005-0000-0000-00003EB60000}"/>
    <cellStyle name="Migliaia 46 3 12" xfId="3671" xr:uid="{00000000-0005-0000-0000-00003FB60000}"/>
    <cellStyle name="Migliaia 46 3 2" xfId="1381" xr:uid="{00000000-0005-0000-0000-000040B60000}"/>
    <cellStyle name="Migliaia 46 3 2 10" xfId="52523" xr:uid="{00000000-0005-0000-0000-000041B60000}"/>
    <cellStyle name="Migliaia 46 3 2 11" xfId="3672" xr:uid="{00000000-0005-0000-0000-000042B60000}"/>
    <cellStyle name="Migliaia 46 3 2 2" xfId="2934" xr:uid="{00000000-0005-0000-0000-000043B60000}"/>
    <cellStyle name="Migliaia 46 3 2 2 2" xfId="11533" xr:uid="{00000000-0005-0000-0000-000044B60000}"/>
    <cellStyle name="Migliaia 46 3 2 3" xfId="3303" xr:uid="{00000000-0005-0000-0000-000045B60000}"/>
    <cellStyle name="Migliaia 46 3 2 3 2" xfId="28404" xr:uid="{00000000-0005-0000-0000-000046B60000}"/>
    <cellStyle name="Migliaia 46 3 2 3 3" xfId="43377" xr:uid="{00000000-0005-0000-0000-000047B60000}"/>
    <cellStyle name="Migliaia 46 3 2 3 4" xfId="12122" xr:uid="{00000000-0005-0000-0000-000048B60000}"/>
    <cellStyle name="Migliaia 46 3 2 4" xfId="19478" xr:uid="{00000000-0005-0000-0000-000049B60000}"/>
    <cellStyle name="Migliaia 46 3 2 4 2" xfId="35559" xr:uid="{00000000-0005-0000-0000-00004AB60000}"/>
    <cellStyle name="Migliaia 46 3 2 4 3" xfId="50515" xr:uid="{00000000-0005-0000-0000-00004BB60000}"/>
    <cellStyle name="Migliaia 46 3 2 5" xfId="21407" xr:uid="{00000000-0005-0000-0000-00004CB60000}"/>
    <cellStyle name="Migliaia 46 3 2 6" xfId="36378" xr:uid="{00000000-0005-0000-0000-00004DB60000}"/>
    <cellStyle name="Migliaia 46 3 2 7" xfId="51315" xr:uid="{00000000-0005-0000-0000-00004EB60000}"/>
    <cellStyle name="Migliaia 46 3 2 8" xfId="51709" xr:uid="{00000000-0005-0000-0000-00004FB60000}"/>
    <cellStyle name="Migliaia 46 3 2 9" xfId="52115" xr:uid="{00000000-0005-0000-0000-000050B60000}"/>
    <cellStyle name="Migliaia 46 3 3" xfId="2933" xr:uid="{00000000-0005-0000-0000-000051B60000}"/>
    <cellStyle name="Migliaia 46 3 3 2" xfId="20557" xr:uid="{00000000-0005-0000-0000-000052B60000}"/>
    <cellStyle name="Migliaia 46 3 3 2 2" xfId="35990" xr:uid="{00000000-0005-0000-0000-000053B60000}"/>
    <cellStyle name="Migliaia 46 3 3 2 3" xfId="50946" xr:uid="{00000000-0005-0000-0000-000054B60000}"/>
    <cellStyle name="Migliaia 46 3 3 3" xfId="19479" xr:uid="{00000000-0005-0000-0000-000055B60000}"/>
    <cellStyle name="Migliaia 46 3 3 3 2" xfId="35560" xr:uid="{00000000-0005-0000-0000-000056B60000}"/>
    <cellStyle name="Migliaia 46 3 3 3 3" xfId="50516" xr:uid="{00000000-0005-0000-0000-000057B60000}"/>
    <cellStyle name="Migliaia 46 3 3 4" xfId="11532" xr:uid="{00000000-0005-0000-0000-000058B60000}"/>
    <cellStyle name="Migliaia 46 3 4" xfId="3302" xr:uid="{00000000-0005-0000-0000-000059B60000}"/>
    <cellStyle name="Migliaia 46 3 4 2" xfId="20556" xr:uid="{00000000-0005-0000-0000-00005AB60000}"/>
    <cellStyle name="Migliaia 46 3 4 2 2" xfId="35989" xr:uid="{00000000-0005-0000-0000-00005BB60000}"/>
    <cellStyle name="Migliaia 46 3 4 2 3" xfId="50945" xr:uid="{00000000-0005-0000-0000-00005CB60000}"/>
    <cellStyle name="Migliaia 46 3 4 3" xfId="28403" xr:uid="{00000000-0005-0000-0000-00005DB60000}"/>
    <cellStyle name="Migliaia 46 3 4 4" xfId="43376" xr:uid="{00000000-0005-0000-0000-00005EB60000}"/>
    <cellStyle name="Migliaia 46 3 4 5" xfId="12121" xr:uid="{00000000-0005-0000-0000-00005FB60000}"/>
    <cellStyle name="Migliaia 46 3 5" xfId="19477" xr:uid="{00000000-0005-0000-0000-000060B60000}"/>
    <cellStyle name="Migliaia 46 3 5 2" xfId="35558" xr:uid="{00000000-0005-0000-0000-000061B60000}"/>
    <cellStyle name="Migliaia 46 3 5 3" xfId="50514" xr:uid="{00000000-0005-0000-0000-000062B60000}"/>
    <cellStyle name="Migliaia 46 3 6" xfId="21406" xr:uid="{00000000-0005-0000-0000-000063B60000}"/>
    <cellStyle name="Migliaia 46 3 7" xfId="36377" xr:uid="{00000000-0005-0000-0000-000064B60000}"/>
    <cellStyle name="Migliaia 46 3 8" xfId="51314" xr:uid="{00000000-0005-0000-0000-000065B60000}"/>
    <cellStyle name="Migliaia 46 3 9" xfId="51708" xr:uid="{00000000-0005-0000-0000-000066B60000}"/>
    <cellStyle name="Migliaia 46 4" xfId="2931" xr:uid="{00000000-0005-0000-0000-000067B60000}"/>
    <cellStyle name="Migliaia 46 4 2" xfId="19481" xr:uid="{00000000-0005-0000-0000-000068B60000}"/>
    <cellStyle name="Migliaia 46 4 2 2" xfId="20559" xr:uid="{00000000-0005-0000-0000-000069B60000}"/>
    <cellStyle name="Migliaia 46 4 2 2 2" xfId="35992" xr:uid="{00000000-0005-0000-0000-00006AB60000}"/>
    <cellStyle name="Migliaia 46 4 2 2 3" xfId="50948" xr:uid="{00000000-0005-0000-0000-00006BB60000}"/>
    <cellStyle name="Migliaia 46 4 2 3" xfId="35562" xr:uid="{00000000-0005-0000-0000-00006CB60000}"/>
    <cellStyle name="Migliaia 46 4 2 4" xfId="50518" xr:uid="{00000000-0005-0000-0000-00006DB60000}"/>
    <cellStyle name="Migliaia 46 4 3" xfId="20558" xr:uid="{00000000-0005-0000-0000-00006EB60000}"/>
    <cellStyle name="Migliaia 46 4 3 2" xfId="35991" xr:uid="{00000000-0005-0000-0000-00006FB60000}"/>
    <cellStyle name="Migliaia 46 4 3 3" xfId="50947" xr:uid="{00000000-0005-0000-0000-000070B60000}"/>
    <cellStyle name="Migliaia 46 4 4" xfId="19480" xr:uid="{00000000-0005-0000-0000-000071B60000}"/>
    <cellStyle name="Migliaia 46 4 4 2" xfId="35561" xr:uid="{00000000-0005-0000-0000-000072B60000}"/>
    <cellStyle name="Migliaia 46 4 4 3" xfId="50517" xr:uid="{00000000-0005-0000-0000-000073B60000}"/>
    <cellStyle name="Migliaia 46 4 5" xfId="11534" xr:uid="{00000000-0005-0000-0000-000074B60000}"/>
    <cellStyle name="Migliaia 46 5" xfId="3300" xr:uid="{00000000-0005-0000-0000-000075B60000}"/>
    <cellStyle name="Migliaia 46 5 2" xfId="19482" xr:uid="{00000000-0005-0000-0000-000076B60000}"/>
    <cellStyle name="Migliaia 46 5 2 2" xfId="35563" xr:uid="{00000000-0005-0000-0000-000077B60000}"/>
    <cellStyle name="Migliaia 46 5 2 3" xfId="50519" xr:uid="{00000000-0005-0000-0000-000078B60000}"/>
    <cellStyle name="Migliaia 46 5 3" xfId="11535" xr:uid="{00000000-0005-0000-0000-000079B60000}"/>
    <cellStyle name="Migliaia 46 6" xfId="11530" xr:uid="{00000000-0005-0000-0000-00007AB60000}"/>
    <cellStyle name="Migliaia 46 7" xfId="12119" xr:uid="{00000000-0005-0000-0000-00007BB60000}"/>
    <cellStyle name="Migliaia 46 7 2" xfId="28401" xr:uid="{00000000-0005-0000-0000-00007CB60000}"/>
    <cellStyle name="Migliaia 46 7 3" xfId="43374" xr:uid="{00000000-0005-0000-0000-00007DB60000}"/>
    <cellStyle name="Migliaia 46 8" xfId="19475" xr:uid="{00000000-0005-0000-0000-00007EB60000}"/>
    <cellStyle name="Migliaia 46 8 2" xfId="35556" xr:uid="{00000000-0005-0000-0000-00007FB60000}"/>
    <cellStyle name="Migliaia 46 8 3" xfId="50512" xr:uid="{00000000-0005-0000-0000-000080B60000}"/>
    <cellStyle name="Migliaia 46 9" xfId="21404" xr:uid="{00000000-0005-0000-0000-000081B60000}"/>
    <cellStyle name="Migliaia 47" xfId="1382" xr:uid="{00000000-0005-0000-0000-000082B60000}"/>
    <cellStyle name="Migliaia 47 10" xfId="36379" xr:uid="{00000000-0005-0000-0000-000083B60000}"/>
    <cellStyle name="Migliaia 47 11" xfId="51316" xr:uid="{00000000-0005-0000-0000-000084B60000}"/>
    <cellStyle name="Migliaia 47 12" xfId="51710" xr:uid="{00000000-0005-0000-0000-000085B60000}"/>
    <cellStyle name="Migliaia 47 13" xfId="52116" xr:uid="{00000000-0005-0000-0000-000086B60000}"/>
    <cellStyle name="Migliaia 47 14" xfId="52524" xr:uid="{00000000-0005-0000-0000-000087B60000}"/>
    <cellStyle name="Migliaia 47 15" xfId="3673" xr:uid="{00000000-0005-0000-0000-000088B60000}"/>
    <cellStyle name="Migliaia 47 2" xfId="1383" xr:uid="{00000000-0005-0000-0000-000089B60000}"/>
    <cellStyle name="Migliaia 47 2 10" xfId="52117" xr:uid="{00000000-0005-0000-0000-00008AB60000}"/>
    <cellStyle name="Migliaia 47 2 11" xfId="52525" xr:uid="{00000000-0005-0000-0000-00008BB60000}"/>
    <cellStyle name="Migliaia 47 2 12" xfId="3674" xr:uid="{00000000-0005-0000-0000-00008CB60000}"/>
    <cellStyle name="Migliaia 47 2 2" xfId="1384" xr:uid="{00000000-0005-0000-0000-00008DB60000}"/>
    <cellStyle name="Migliaia 47 2 2 10" xfId="3796" xr:uid="{00000000-0005-0000-0000-00008EB60000}"/>
    <cellStyle name="Migliaia 47 2 2 2" xfId="3058" xr:uid="{00000000-0005-0000-0000-00008FB60000}"/>
    <cellStyle name="Migliaia 47 2 2 2 2" xfId="28553" xr:uid="{00000000-0005-0000-0000-000090B60000}"/>
    <cellStyle name="Migliaia 47 2 2 2 3" xfId="43516" xr:uid="{00000000-0005-0000-0000-000091B60000}"/>
    <cellStyle name="Migliaia 47 2 2 2 4" xfId="12275" xr:uid="{00000000-0005-0000-0000-000092B60000}"/>
    <cellStyle name="Migliaia 47 2 2 3" xfId="3427" xr:uid="{00000000-0005-0000-0000-000093B60000}"/>
    <cellStyle name="Migliaia 47 2 2 3 2" xfId="35993" xr:uid="{00000000-0005-0000-0000-000094B60000}"/>
    <cellStyle name="Migliaia 47 2 2 3 3" xfId="50949" xr:uid="{00000000-0005-0000-0000-000095B60000}"/>
    <cellStyle name="Migliaia 47 2 2 3 4" xfId="20560" xr:uid="{00000000-0005-0000-0000-000096B60000}"/>
    <cellStyle name="Migliaia 47 2 2 4" xfId="21553" xr:uid="{00000000-0005-0000-0000-000097B60000}"/>
    <cellStyle name="Migliaia 47 2 2 5" xfId="36520" xr:uid="{00000000-0005-0000-0000-000098B60000}"/>
    <cellStyle name="Migliaia 47 2 2 6" xfId="51458" xr:uid="{00000000-0005-0000-0000-000099B60000}"/>
    <cellStyle name="Migliaia 47 2 2 7" xfId="51863" xr:uid="{00000000-0005-0000-0000-00009AB60000}"/>
    <cellStyle name="Migliaia 47 2 2 8" xfId="52272" xr:uid="{00000000-0005-0000-0000-00009BB60000}"/>
    <cellStyle name="Migliaia 47 2 2 9" xfId="52677" xr:uid="{00000000-0005-0000-0000-00009CB60000}"/>
    <cellStyle name="Migliaia 47 2 3" xfId="2936" xr:uid="{00000000-0005-0000-0000-00009DB60000}"/>
    <cellStyle name="Migliaia 47 2 3 2" xfId="11537" xr:uid="{00000000-0005-0000-0000-00009EB60000}"/>
    <cellStyle name="Migliaia 47 2 4" xfId="3305" xr:uid="{00000000-0005-0000-0000-00009FB60000}"/>
    <cellStyle name="Migliaia 47 2 4 2" xfId="28406" xr:uid="{00000000-0005-0000-0000-0000A0B60000}"/>
    <cellStyle name="Migliaia 47 2 4 3" xfId="43379" xr:uid="{00000000-0005-0000-0000-0000A1B60000}"/>
    <cellStyle name="Migliaia 47 2 4 4" xfId="12124" xr:uid="{00000000-0005-0000-0000-0000A2B60000}"/>
    <cellStyle name="Migliaia 47 2 5" xfId="19484" xr:uid="{00000000-0005-0000-0000-0000A3B60000}"/>
    <cellStyle name="Migliaia 47 2 5 2" xfId="35565" xr:uid="{00000000-0005-0000-0000-0000A4B60000}"/>
    <cellStyle name="Migliaia 47 2 5 3" xfId="50521" xr:uid="{00000000-0005-0000-0000-0000A5B60000}"/>
    <cellStyle name="Migliaia 47 2 6" xfId="21409" xr:uid="{00000000-0005-0000-0000-0000A6B60000}"/>
    <cellStyle name="Migliaia 47 2 7" xfId="36380" xr:uid="{00000000-0005-0000-0000-0000A7B60000}"/>
    <cellStyle name="Migliaia 47 2 8" xfId="51317" xr:uid="{00000000-0005-0000-0000-0000A8B60000}"/>
    <cellStyle name="Migliaia 47 2 9" xfId="51711" xr:uid="{00000000-0005-0000-0000-0000A9B60000}"/>
    <cellStyle name="Migliaia 47 3" xfId="1385" xr:uid="{00000000-0005-0000-0000-0000AAB60000}"/>
    <cellStyle name="Migliaia 47 3 10" xfId="52118" xr:uid="{00000000-0005-0000-0000-0000ABB60000}"/>
    <cellStyle name="Migliaia 47 3 11" xfId="52526" xr:uid="{00000000-0005-0000-0000-0000ACB60000}"/>
    <cellStyle name="Migliaia 47 3 12" xfId="3675" xr:uid="{00000000-0005-0000-0000-0000ADB60000}"/>
    <cellStyle name="Migliaia 47 3 2" xfId="1386" xr:uid="{00000000-0005-0000-0000-0000AEB60000}"/>
    <cellStyle name="Migliaia 47 3 2 10" xfId="52527" xr:uid="{00000000-0005-0000-0000-0000AFB60000}"/>
    <cellStyle name="Migliaia 47 3 2 11" xfId="3676" xr:uid="{00000000-0005-0000-0000-0000B0B60000}"/>
    <cellStyle name="Migliaia 47 3 2 2" xfId="2938" xr:uid="{00000000-0005-0000-0000-0000B1B60000}"/>
    <cellStyle name="Migliaia 47 3 2 2 2" xfId="11539" xr:uid="{00000000-0005-0000-0000-0000B2B60000}"/>
    <cellStyle name="Migliaia 47 3 2 3" xfId="3307" xr:uid="{00000000-0005-0000-0000-0000B3B60000}"/>
    <cellStyle name="Migliaia 47 3 2 3 2" xfId="28408" xr:uid="{00000000-0005-0000-0000-0000B4B60000}"/>
    <cellStyle name="Migliaia 47 3 2 3 3" xfId="43381" xr:uid="{00000000-0005-0000-0000-0000B5B60000}"/>
    <cellStyle name="Migliaia 47 3 2 3 4" xfId="12126" xr:uid="{00000000-0005-0000-0000-0000B6B60000}"/>
    <cellStyle name="Migliaia 47 3 2 4" xfId="19486" xr:uid="{00000000-0005-0000-0000-0000B7B60000}"/>
    <cellStyle name="Migliaia 47 3 2 4 2" xfId="35567" xr:uid="{00000000-0005-0000-0000-0000B8B60000}"/>
    <cellStyle name="Migliaia 47 3 2 4 3" xfId="50523" xr:uid="{00000000-0005-0000-0000-0000B9B60000}"/>
    <cellStyle name="Migliaia 47 3 2 5" xfId="21411" xr:uid="{00000000-0005-0000-0000-0000BAB60000}"/>
    <cellStyle name="Migliaia 47 3 2 6" xfId="36382" xr:uid="{00000000-0005-0000-0000-0000BBB60000}"/>
    <cellStyle name="Migliaia 47 3 2 7" xfId="51319" xr:uid="{00000000-0005-0000-0000-0000BCB60000}"/>
    <cellStyle name="Migliaia 47 3 2 8" xfId="51713" xr:uid="{00000000-0005-0000-0000-0000BDB60000}"/>
    <cellStyle name="Migliaia 47 3 2 9" xfId="52119" xr:uid="{00000000-0005-0000-0000-0000BEB60000}"/>
    <cellStyle name="Migliaia 47 3 3" xfId="2937" xr:uid="{00000000-0005-0000-0000-0000BFB60000}"/>
    <cellStyle name="Migliaia 47 3 3 2" xfId="20562" xr:uid="{00000000-0005-0000-0000-0000C0B60000}"/>
    <cellStyle name="Migliaia 47 3 3 2 2" xfId="35995" xr:uid="{00000000-0005-0000-0000-0000C1B60000}"/>
    <cellStyle name="Migliaia 47 3 3 2 3" xfId="50951" xr:uid="{00000000-0005-0000-0000-0000C2B60000}"/>
    <cellStyle name="Migliaia 47 3 3 3" xfId="19487" xr:uid="{00000000-0005-0000-0000-0000C3B60000}"/>
    <cellStyle name="Migliaia 47 3 3 3 2" xfId="35568" xr:uid="{00000000-0005-0000-0000-0000C4B60000}"/>
    <cellStyle name="Migliaia 47 3 3 3 3" xfId="50524" xr:uid="{00000000-0005-0000-0000-0000C5B60000}"/>
    <cellStyle name="Migliaia 47 3 3 4" xfId="11538" xr:uid="{00000000-0005-0000-0000-0000C6B60000}"/>
    <cellStyle name="Migliaia 47 3 4" xfId="3306" xr:uid="{00000000-0005-0000-0000-0000C7B60000}"/>
    <cellStyle name="Migliaia 47 3 4 2" xfId="20561" xr:uid="{00000000-0005-0000-0000-0000C8B60000}"/>
    <cellStyle name="Migliaia 47 3 4 2 2" xfId="35994" xr:uid="{00000000-0005-0000-0000-0000C9B60000}"/>
    <cellStyle name="Migliaia 47 3 4 2 3" xfId="50950" xr:uid="{00000000-0005-0000-0000-0000CAB60000}"/>
    <cellStyle name="Migliaia 47 3 4 3" xfId="28407" xr:uid="{00000000-0005-0000-0000-0000CBB60000}"/>
    <cellStyle name="Migliaia 47 3 4 4" xfId="43380" xr:uid="{00000000-0005-0000-0000-0000CCB60000}"/>
    <cellStyle name="Migliaia 47 3 4 5" xfId="12125" xr:uid="{00000000-0005-0000-0000-0000CDB60000}"/>
    <cellStyle name="Migliaia 47 3 5" xfId="19485" xr:uid="{00000000-0005-0000-0000-0000CEB60000}"/>
    <cellStyle name="Migliaia 47 3 5 2" xfId="35566" xr:uid="{00000000-0005-0000-0000-0000CFB60000}"/>
    <cellStyle name="Migliaia 47 3 5 3" xfId="50522" xr:uid="{00000000-0005-0000-0000-0000D0B60000}"/>
    <cellStyle name="Migliaia 47 3 6" xfId="21410" xr:uid="{00000000-0005-0000-0000-0000D1B60000}"/>
    <cellStyle name="Migliaia 47 3 7" xfId="36381" xr:uid="{00000000-0005-0000-0000-0000D2B60000}"/>
    <cellStyle name="Migliaia 47 3 8" xfId="51318" xr:uid="{00000000-0005-0000-0000-0000D3B60000}"/>
    <cellStyle name="Migliaia 47 3 9" xfId="51712" xr:uid="{00000000-0005-0000-0000-0000D4B60000}"/>
    <cellStyle name="Migliaia 47 4" xfId="2935" xr:uid="{00000000-0005-0000-0000-0000D5B60000}"/>
    <cellStyle name="Migliaia 47 4 2" xfId="19489" xr:uid="{00000000-0005-0000-0000-0000D6B60000}"/>
    <cellStyle name="Migliaia 47 4 2 2" xfId="20564" xr:uid="{00000000-0005-0000-0000-0000D7B60000}"/>
    <cellStyle name="Migliaia 47 4 2 2 2" xfId="35997" xr:uid="{00000000-0005-0000-0000-0000D8B60000}"/>
    <cellStyle name="Migliaia 47 4 2 2 3" xfId="50953" xr:uid="{00000000-0005-0000-0000-0000D9B60000}"/>
    <cellStyle name="Migliaia 47 4 2 3" xfId="35570" xr:uid="{00000000-0005-0000-0000-0000DAB60000}"/>
    <cellStyle name="Migliaia 47 4 2 4" xfId="50526" xr:uid="{00000000-0005-0000-0000-0000DBB60000}"/>
    <cellStyle name="Migliaia 47 4 3" xfId="20563" xr:uid="{00000000-0005-0000-0000-0000DCB60000}"/>
    <cellStyle name="Migliaia 47 4 3 2" xfId="35996" xr:uid="{00000000-0005-0000-0000-0000DDB60000}"/>
    <cellStyle name="Migliaia 47 4 3 3" xfId="50952" xr:uid="{00000000-0005-0000-0000-0000DEB60000}"/>
    <cellStyle name="Migliaia 47 4 4" xfId="19488" xr:uid="{00000000-0005-0000-0000-0000DFB60000}"/>
    <cellStyle name="Migliaia 47 4 4 2" xfId="35569" xr:uid="{00000000-0005-0000-0000-0000E0B60000}"/>
    <cellStyle name="Migliaia 47 4 4 3" xfId="50525" xr:uid="{00000000-0005-0000-0000-0000E1B60000}"/>
    <cellStyle name="Migliaia 47 4 5" xfId="11540" xr:uid="{00000000-0005-0000-0000-0000E2B60000}"/>
    <cellStyle name="Migliaia 47 5" xfId="3304" xr:uid="{00000000-0005-0000-0000-0000E3B60000}"/>
    <cellStyle name="Migliaia 47 5 2" xfId="19490" xr:uid="{00000000-0005-0000-0000-0000E4B60000}"/>
    <cellStyle name="Migliaia 47 5 2 2" xfId="35571" xr:uid="{00000000-0005-0000-0000-0000E5B60000}"/>
    <cellStyle name="Migliaia 47 5 2 3" xfId="50527" xr:uid="{00000000-0005-0000-0000-0000E6B60000}"/>
    <cellStyle name="Migliaia 47 5 3" xfId="11541" xr:uid="{00000000-0005-0000-0000-0000E7B60000}"/>
    <cellStyle name="Migliaia 47 6" xfId="11536" xr:uid="{00000000-0005-0000-0000-0000E8B60000}"/>
    <cellStyle name="Migliaia 47 7" xfId="12123" xr:uid="{00000000-0005-0000-0000-0000E9B60000}"/>
    <cellStyle name="Migliaia 47 7 2" xfId="28405" xr:uid="{00000000-0005-0000-0000-0000EAB60000}"/>
    <cellStyle name="Migliaia 47 7 3" xfId="43378" xr:uid="{00000000-0005-0000-0000-0000EBB60000}"/>
    <cellStyle name="Migliaia 47 8" xfId="19483" xr:uid="{00000000-0005-0000-0000-0000ECB60000}"/>
    <cellStyle name="Migliaia 47 8 2" xfId="35564" xr:uid="{00000000-0005-0000-0000-0000EDB60000}"/>
    <cellStyle name="Migliaia 47 8 3" xfId="50520" xr:uid="{00000000-0005-0000-0000-0000EEB60000}"/>
    <cellStyle name="Migliaia 47 9" xfId="21408" xr:uid="{00000000-0005-0000-0000-0000EFB60000}"/>
    <cellStyle name="Migliaia 48" xfId="1387" xr:uid="{00000000-0005-0000-0000-0000F0B60000}"/>
    <cellStyle name="Migliaia 48 10" xfId="36383" xr:uid="{00000000-0005-0000-0000-0000F1B60000}"/>
    <cellStyle name="Migliaia 48 11" xfId="51320" xr:uid="{00000000-0005-0000-0000-0000F2B60000}"/>
    <cellStyle name="Migliaia 48 12" xfId="51714" xr:uid="{00000000-0005-0000-0000-0000F3B60000}"/>
    <cellStyle name="Migliaia 48 13" xfId="52120" xr:uid="{00000000-0005-0000-0000-0000F4B60000}"/>
    <cellStyle name="Migliaia 48 14" xfId="52528" xr:uid="{00000000-0005-0000-0000-0000F5B60000}"/>
    <cellStyle name="Migliaia 48 15" xfId="3677" xr:uid="{00000000-0005-0000-0000-0000F6B60000}"/>
    <cellStyle name="Migliaia 48 2" xfId="1388" xr:uid="{00000000-0005-0000-0000-0000F7B60000}"/>
    <cellStyle name="Migliaia 48 2 10" xfId="52121" xr:uid="{00000000-0005-0000-0000-0000F8B60000}"/>
    <cellStyle name="Migliaia 48 2 11" xfId="52529" xr:uid="{00000000-0005-0000-0000-0000F9B60000}"/>
    <cellStyle name="Migliaia 48 2 12" xfId="3678" xr:uid="{00000000-0005-0000-0000-0000FAB60000}"/>
    <cellStyle name="Migliaia 48 2 2" xfId="1389" xr:uid="{00000000-0005-0000-0000-0000FBB60000}"/>
    <cellStyle name="Migliaia 48 2 2 10" xfId="3797" xr:uid="{00000000-0005-0000-0000-0000FCB60000}"/>
    <cellStyle name="Migliaia 48 2 2 2" xfId="3059" xr:uid="{00000000-0005-0000-0000-0000FDB60000}"/>
    <cellStyle name="Migliaia 48 2 2 2 2" xfId="28554" xr:uid="{00000000-0005-0000-0000-0000FEB60000}"/>
    <cellStyle name="Migliaia 48 2 2 2 3" xfId="43517" xr:uid="{00000000-0005-0000-0000-0000FFB60000}"/>
    <cellStyle name="Migliaia 48 2 2 2 4" xfId="12276" xr:uid="{00000000-0005-0000-0000-000000B70000}"/>
    <cellStyle name="Migliaia 48 2 2 3" xfId="3428" xr:uid="{00000000-0005-0000-0000-000001B70000}"/>
    <cellStyle name="Migliaia 48 2 2 3 2" xfId="35998" xr:uid="{00000000-0005-0000-0000-000002B70000}"/>
    <cellStyle name="Migliaia 48 2 2 3 3" xfId="50954" xr:uid="{00000000-0005-0000-0000-000003B70000}"/>
    <cellStyle name="Migliaia 48 2 2 3 4" xfId="20565" xr:uid="{00000000-0005-0000-0000-000004B70000}"/>
    <cellStyle name="Migliaia 48 2 2 4" xfId="21554" xr:uid="{00000000-0005-0000-0000-000005B70000}"/>
    <cellStyle name="Migliaia 48 2 2 5" xfId="36521" xr:uid="{00000000-0005-0000-0000-000006B70000}"/>
    <cellStyle name="Migliaia 48 2 2 6" xfId="51459" xr:uid="{00000000-0005-0000-0000-000007B70000}"/>
    <cellStyle name="Migliaia 48 2 2 7" xfId="51864" xr:uid="{00000000-0005-0000-0000-000008B70000}"/>
    <cellStyle name="Migliaia 48 2 2 8" xfId="52273" xr:uid="{00000000-0005-0000-0000-000009B70000}"/>
    <cellStyle name="Migliaia 48 2 2 9" xfId="52678" xr:uid="{00000000-0005-0000-0000-00000AB70000}"/>
    <cellStyle name="Migliaia 48 2 3" xfId="2940" xr:uid="{00000000-0005-0000-0000-00000BB70000}"/>
    <cellStyle name="Migliaia 48 2 3 2" xfId="11543" xr:uid="{00000000-0005-0000-0000-00000CB70000}"/>
    <cellStyle name="Migliaia 48 2 4" xfId="3309" xr:uid="{00000000-0005-0000-0000-00000DB70000}"/>
    <cellStyle name="Migliaia 48 2 4 2" xfId="28410" xr:uid="{00000000-0005-0000-0000-00000EB70000}"/>
    <cellStyle name="Migliaia 48 2 4 3" xfId="43383" xr:uid="{00000000-0005-0000-0000-00000FB70000}"/>
    <cellStyle name="Migliaia 48 2 4 4" xfId="12128" xr:uid="{00000000-0005-0000-0000-000010B70000}"/>
    <cellStyle name="Migliaia 48 2 5" xfId="19492" xr:uid="{00000000-0005-0000-0000-000011B70000}"/>
    <cellStyle name="Migliaia 48 2 5 2" xfId="35573" xr:uid="{00000000-0005-0000-0000-000012B70000}"/>
    <cellStyle name="Migliaia 48 2 5 3" xfId="50529" xr:uid="{00000000-0005-0000-0000-000013B70000}"/>
    <cellStyle name="Migliaia 48 2 6" xfId="21413" xr:uid="{00000000-0005-0000-0000-000014B70000}"/>
    <cellStyle name="Migliaia 48 2 7" xfId="36384" xr:uid="{00000000-0005-0000-0000-000015B70000}"/>
    <cellStyle name="Migliaia 48 2 8" xfId="51321" xr:uid="{00000000-0005-0000-0000-000016B70000}"/>
    <cellStyle name="Migliaia 48 2 9" xfId="51715" xr:uid="{00000000-0005-0000-0000-000017B70000}"/>
    <cellStyle name="Migliaia 48 3" xfId="1390" xr:uid="{00000000-0005-0000-0000-000018B70000}"/>
    <cellStyle name="Migliaia 48 3 10" xfId="52122" xr:uid="{00000000-0005-0000-0000-000019B70000}"/>
    <cellStyle name="Migliaia 48 3 11" xfId="52530" xr:uid="{00000000-0005-0000-0000-00001AB70000}"/>
    <cellStyle name="Migliaia 48 3 12" xfId="3679" xr:uid="{00000000-0005-0000-0000-00001BB70000}"/>
    <cellStyle name="Migliaia 48 3 2" xfId="1391" xr:uid="{00000000-0005-0000-0000-00001CB70000}"/>
    <cellStyle name="Migliaia 48 3 2 10" xfId="52531" xr:uid="{00000000-0005-0000-0000-00001DB70000}"/>
    <cellStyle name="Migliaia 48 3 2 11" xfId="3680" xr:uid="{00000000-0005-0000-0000-00001EB70000}"/>
    <cellStyle name="Migliaia 48 3 2 2" xfId="2942" xr:uid="{00000000-0005-0000-0000-00001FB70000}"/>
    <cellStyle name="Migliaia 48 3 2 2 2" xfId="11545" xr:uid="{00000000-0005-0000-0000-000020B70000}"/>
    <cellStyle name="Migliaia 48 3 2 3" xfId="3311" xr:uid="{00000000-0005-0000-0000-000021B70000}"/>
    <cellStyle name="Migliaia 48 3 2 3 2" xfId="28412" xr:uid="{00000000-0005-0000-0000-000022B70000}"/>
    <cellStyle name="Migliaia 48 3 2 3 3" xfId="43385" xr:uid="{00000000-0005-0000-0000-000023B70000}"/>
    <cellStyle name="Migliaia 48 3 2 3 4" xfId="12130" xr:uid="{00000000-0005-0000-0000-000024B70000}"/>
    <cellStyle name="Migliaia 48 3 2 4" xfId="19494" xr:uid="{00000000-0005-0000-0000-000025B70000}"/>
    <cellStyle name="Migliaia 48 3 2 4 2" xfId="35575" xr:uid="{00000000-0005-0000-0000-000026B70000}"/>
    <cellStyle name="Migliaia 48 3 2 4 3" xfId="50531" xr:uid="{00000000-0005-0000-0000-000027B70000}"/>
    <cellStyle name="Migliaia 48 3 2 5" xfId="21415" xr:uid="{00000000-0005-0000-0000-000028B70000}"/>
    <cellStyle name="Migliaia 48 3 2 6" xfId="36386" xr:uid="{00000000-0005-0000-0000-000029B70000}"/>
    <cellStyle name="Migliaia 48 3 2 7" xfId="51323" xr:uid="{00000000-0005-0000-0000-00002AB70000}"/>
    <cellStyle name="Migliaia 48 3 2 8" xfId="51717" xr:uid="{00000000-0005-0000-0000-00002BB70000}"/>
    <cellStyle name="Migliaia 48 3 2 9" xfId="52123" xr:uid="{00000000-0005-0000-0000-00002CB70000}"/>
    <cellStyle name="Migliaia 48 3 3" xfId="2941" xr:uid="{00000000-0005-0000-0000-00002DB70000}"/>
    <cellStyle name="Migliaia 48 3 3 2" xfId="20567" xr:uid="{00000000-0005-0000-0000-00002EB70000}"/>
    <cellStyle name="Migliaia 48 3 3 2 2" xfId="36000" xr:uid="{00000000-0005-0000-0000-00002FB70000}"/>
    <cellStyle name="Migliaia 48 3 3 2 3" xfId="50956" xr:uid="{00000000-0005-0000-0000-000030B70000}"/>
    <cellStyle name="Migliaia 48 3 3 3" xfId="19495" xr:uid="{00000000-0005-0000-0000-000031B70000}"/>
    <cellStyle name="Migliaia 48 3 3 3 2" xfId="35576" xr:uid="{00000000-0005-0000-0000-000032B70000}"/>
    <cellStyle name="Migliaia 48 3 3 3 3" xfId="50532" xr:uid="{00000000-0005-0000-0000-000033B70000}"/>
    <cellStyle name="Migliaia 48 3 3 4" xfId="11544" xr:uid="{00000000-0005-0000-0000-000034B70000}"/>
    <cellStyle name="Migliaia 48 3 4" xfId="3310" xr:uid="{00000000-0005-0000-0000-000035B70000}"/>
    <cellStyle name="Migliaia 48 3 4 2" xfId="20566" xr:uid="{00000000-0005-0000-0000-000036B70000}"/>
    <cellStyle name="Migliaia 48 3 4 2 2" xfId="35999" xr:uid="{00000000-0005-0000-0000-000037B70000}"/>
    <cellStyle name="Migliaia 48 3 4 2 3" xfId="50955" xr:uid="{00000000-0005-0000-0000-000038B70000}"/>
    <cellStyle name="Migliaia 48 3 4 3" xfId="28411" xr:uid="{00000000-0005-0000-0000-000039B70000}"/>
    <cellStyle name="Migliaia 48 3 4 4" xfId="43384" xr:uid="{00000000-0005-0000-0000-00003AB70000}"/>
    <cellStyle name="Migliaia 48 3 4 5" xfId="12129" xr:uid="{00000000-0005-0000-0000-00003BB70000}"/>
    <cellStyle name="Migliaia 48 3 5" xfId="19493" xr:uid="{00000000-0005-0000-0000-00003CB70000}"/>
    <cellStyle name="Migliaia 48 3 5 2" xfId="35574" xr:uid="{00000000-0005-0000-0000-00003DB70000}"/>
    <cellStyle name="Migliaia 48 3 5 3" xfId="50530" xr:uid="{00000000-0005-0000-0000-00003EB70000}"/>
    <cellStyle name="Migliaia 48 3 6" xfId="21414" xr:uid="{00000000-0005-0000-0000-00003FB70000}"/>
    <cellStyle name="Migliaia 48 3 7" xfId="36385" xr:uid="{00000000-0005-0000-0000-000040B70000}"/>
    <cellStyle name="Migliaia 48 3 8" xfId="51322" xr:uid="{00000000-0005-0000-0000-000041B70000}"/>
    <cellStyle name="Migliaia 48 3 9" xfId="51716" xr:uid="{00000000-0005-0000-0000-000042B70000}"/>
    <cellStyle name="Migliaia 48 4" xfId="2939" xr:uid="{00000000-0005-0000-0000-000043B70000}"/>
    <cellStyle name="Migliaia 48 4 2" xfId="19497" xr:uid="{00000000-0005-0000-0000-000044B70000}"/>
    <cellStyle name="Migliaia 48 4 2 2" xfId="20569" xr:uid="{00000000-0005-0000-0000-000045B70000}"/>
    <cellStyle name="Migliaia 48 4 2 2 2" xfId="36002" xr:uid="{00000000-0005-0000-0000-000046B70000}"/>
    <cellStyle name="Migliaia 48 4 2 2 3" xfId="50958" xr:uid="{00000000-0005-0000-0000-000047B70000}"/>
    <cellStyle name="Migliaia 48 4 2 3" xfId="35578" xr:uid="{00000000-0005-0000-0000-000048B70000}"/>
    <cellStyle name="Migliaia 48 4 2 4" xfId="50534" xr:uid="{00000000-0005-0000-0000-000049B70000}"/>
    <cellStyle name="Migliaia 48 4 3" xfId="20568" xr:uid="{00000000-0005-0000-0000-00004AB70000}"/>
    <cellStyle name="Migliaia 48 4 3 2" xfId="36001" xr:uid="{00000000-0005-0000-0000-00004BB70000}"/>
    <cellStyle name="Migliaia 48 4 3 3" xfId="50957" xr:uid="{00000000-0005-0000-0000-00004CB70000}"/>
    <cellStyle name="Migliaia 48 4 4" xfId="19496" xr:uid="{00000000-0005-0000-0000-00004DB70000}"/>
    <cellStyle name="Migliaia 48 4 4 2" xfId="35577" xr:uid="{00000000-0005-0000-0000-00004EB70000}"/>
    <cellStyle name="Migliaia 48 4 4 3" xfId="50533" xr:uid="{00000000-0005-0000-0000-00004FB70000}"/>
    <cellStyle name="Migliaia 48 4 5" xfId="11546" xr:uid="{00000000-0005-0000-0000-000050B70000}"/>
    <cellStyle name="Migliaia 48 5" xfId="3308" xr:uid="{00000000-0005-0000-0000-000051B70000}"/>
    <cellStyle name="Migliaia 48 5 2" xfId="19498" xr:uid="{00000000-0005-0000-0000-000052B70000}"/>
    <cellStyle name="Migliaia 48 5 2 2" xfId="35579" xr:uid="{00000000-0005-0000-0000-000053B70000}"/>
    <cellStyle name="Migliaia 48 5 2 3" xfId="50535" xr:uid="{00000000-0005-0000-0000-000054B70000}"/>
    <cellStyle name="Migliaia 48 5 3" xfId="11547" xr:uid="{00000000-0005-0000-0000-000055B70000}"/>
    <cellStyle name="Migliaia 48 6" xfId="11542" xr:uid="{00000000-0005-0000-0000-000056B70000}"/>
    <cellStyle name="Migliaia 48 7" xfId="12127" xr:uid="{00000000-0005-0000-0000-000057B70000}"/>
    <cellStyle name="Migliaia 48 7 2" xfId="28409" xr:uid="{00000000-0005-0000-0000-000058B70000}"/>
    <cellStyle name="Migliaia 48 7 3" xfId="43382" xr:uid="{00000000-0005-0000-0000-000059B70000}"/>
    <cellStyle name="Migliaia 48 8" xfId="19491" xr:uid="{00000000-0005-0000-0000-00005AB70000}"/>
    <cellStyle name="Migliaia 48 8 2" xfId="35572" xr:uid="{00000000-0005-0000-0000-00005BB70000}"/>
    <cellStyle name="Migliaia 48 8 3" xfId="50528" xr:uid="{00000000-0005-0000-0000-00005CB70000}"/>
    <cellStyle name="Migliaia 48 9" xfId="21412" xr:uid="{00000000-0005-0000-0000-00005DB70000}"/>
    <cellStyle name="Migliaia 49" xfId="1392" xr:uid="{00000000-0005-0000-0000-00005EB70000}"/>
    <cellStyle name="Migliaia 49 10" xfId="36387" xr:uid="{00000000-0005-0000-0000-00005FB70000}"/>
    <cellStyle name="Migliaia 49 11" xfId="51324" xr:uid="{00000000-0005-0000-0000-000060B70000}"/>
    <cellStyle name="Migliaia 49 12" xfId="51718" xr:uid="{00000000-0005-0000-0000-000061B70000}"/>
    <cellStyle name="Migliaia 49 13" xfId="52124" xr:uid="{00000000-0005-0000-0000-000062B70000}"/>
    <cellStyle name="Migliaia 49 14" xfId="52532" xr:uid="{00000000-0005-0000-0000-000063B70000}"/>
    <cellStyle name="Migliaia 49 15" xfId="3681" xr:uid="{00000000-0005-0000-0000-000064B70000}"/>
    <cellStyle name="Migliaia 49 2" xfId="1393" xr:uid="{00000000-0005-0000-0000-000065B70000}"/>
    <cellStyle name="Migliaia 49 2 10" xfId="52125" xr:uid="{00000000-0005-0000-0000-000066B70000}"/>
    <cellStyle name="Migliaia 49 2 11" xfId="52533" xr:uid="{00000000-0005-0000-0000-000067B70000}"/>
    <cellStyle name="Migliaia 49 2 12" xfId="3682" xr:uid="{00000000-0005-0000-0000-000068B70000}"/>
    <cellStyle name="Migliaia 49 2 2" xfId="1394" xr:uid="{00000000-0005-0000-0000-000069B70000}"/>
    <cellStyle name="Migliaia 49 2 2 10" xfId="3798" xr:uid="{00000000-0005-0000-0000-00006AB70000}"/>
    <cellStyle name="Migliaia 49 2 2 2" xfId="3060" xr:uid="{00000000-0005-0000-0000-00006BB70000}"/>
    <cellStyle name="Migliaia 49 2 2 2 2" xfId="28555" xr:uid="{00000000-0005-0000-0000-00006CB70000}"/>
    <cellStyle name="Migliaia 49 2 2 2 3" xfId="43518" xr:uid="{00000000-0005-0000-0000-00006DB70000}"/>
    <cellStyle name="Migliaia 49 2 2 2 4" xfId="12277" xr:uid="{00000000-0005-0000-0000-00006EB70000}"/>
    <cellStyle name="Migliaia 49 2 2 3" xfId="3429" xr:uid="{00000000-0005-0000-0000-00006FB70000}"/>
    <cellStyle name="Migliaia 49 2 2 3 2" xfId="36003" xr:uid="{00000000-0005-0000-0000-000070B70000}"/>
    <cellStyle name="Migliaia 49 2 2 3 3" xfId="50959" xr:uid="{00000000-0005-0000-0000-000071B70000}"/>
    <cellStyle name="Migliaia 49 2 2 3 4" xfId="20570" xr:uid="{00000000-0005-0000-0000-000072B70000}"/>
    <cellStyle name="Migliaia 49 2 2 4" xfId="21555" xr:uid="{00000000-0005-0000-0000-000073B70000}"/>
    <cellStyle name="Migliaia 49 2 2 5" xfId="36522" xr:uid="{00000000-0005-0000-0000-000074B70000}"/>
    <cellStyle name="Migliaia 49 2 2 6" xfId="51460" xr:uid="{00000000-0005-0000-0000-000075B70000}"/>
    <cellStyle name="Migliaia 49 2 2 7" xfId="51865" xr:uid="{00000000-0005-0000-0000-000076B70000}"/>
    <cellStyle name="Migliaia 49 2 2 8" xfId="52274" xr:uid="{00000000-0005-0000-0000-000077B70000}"/>
    <cellStyle name="Migliaia 49 2 2 9" xfId="52679" xr:uid="{00000000-0005-0000-0000-000078B70000}"/>
    <cellStyle name="Migliaia 49 2 3" xfId="2944" xr:uid="{00000000-0005-0000-0000-000079B70000}"/>
    <cellStyle name="Migliaia 49 2 3 2" xfId="11549" xr:uid="{00000000-0005-0000-0000-00007AB70000}"/>
    <cellStyle name="Migliaia 49 2 4" xfId="3313" xr:uid="{00000000-0005-0000-0000-00007BB70000}"/>
    <cellStyle name="Migliaia 49 2 4 2" xfId="28414" xr:uid="{00000000-0005-0000-0000-00007CB70000}"/>
    <cellStyle name="Migliaia 49 2 4 3" xfId="43387" xr:uid="{00000000-0005-0000-0000-00007DB70000}"/>
    <cellStyle name="Migliaia 49 2 4 4" xfId="12132" xr:uid="{00000000-0005-0000-0000-00007EB70000}"/>
    <cellStyle name="Migliaia 49 2 5" xfId="19500" xr:uid="{00000000-0005-0000-0000-00007FB70000}"/>
    <cellStyle name="Migliaia 49 2 5 2" xfId="35581" xr:uid="{00000000-0005-0000-0000-000080B70000}"/>
    <cellStyle name="Migliaia 49 2 5 3" xfId="50537" xr:uid="{00000000-0005-0000-0000-000081B70000}"/>
    <cellStyle name="Migliaia 49 2 6" xfId="21417" xr:uid="{00000000-0005-0000-0000-000082B70000}"/>
    <cellStyle name="Migliaia 49 2 7" xfId="36388" xr:uid="{00000000-0005-0000-0000-000083B70000}"/>
    <cellStyle name="Migliaia 49 2 8" xfId="51325" xr:uid="{00000000-0005-0000-0000-000084B70000}"/>
    <cellStyle name="Migliaia 49 2 9" xfId="51719" xr:uid="{00000000-0005-0000-0000-000085B70000}"/>
    <cellStyle name="Migliaia 49 3" xfId="1395" xr:uid="{00000000-0005-0000-0000-000086B70000}"/>
    <cellStyle name="Migliaia 49 3 10" xfId="52126" xr:uid="{00000000-0005-0000-0000-000087B70000}"/>
    <cellStyle name="Migliaia 49 3 11" xfId="52534" xr:uid="{00000000-0005-0000-0000-000088B70000}"/>
    <cellStyle name="Migliaia 49 3 12" xfId="3683" xr:uid="{00000000-0005-0000-0000-000089B70000}"/>
    <cellStyle name="Migliaia 49 3 2" xfId="1396" xr:uid="{00000000-0005-0000-0000-00008AB70000}"/>
    <cellStyle name="Migliaia 49 3 2 10" xfId="52535" xr:uid="{00000000-0005-0000-0000-00008BB70000}"/>
    <cellStyle name="Migliaia 49 3 2 11" xfId="3684" xr:uid="{00000000-0005-0000-0000-00008CB70000}"/>
    <cellStyle name="Migliaia 49 3 2 2" xfId="2946" xr:uid="{00000000-0005-0000-0000-00008DB70000}"/>
    <cellStyle name="Migliaia 49 3 2 2 2" xfId="11551" xr:uid="{00000000-0005-0000-0000-00008EB70000}"/>
    <cellStyle name="Migliaia 49 3 2 3" xfId="3315" xr:uid="{00000000-0005-0000-0000-00008FB70000}"/>
    <cellStyle name="Migliaia 49 3 2 3 2" xfId="28416" xr:uid="{00000000-0005-0000-0000-000090B70000}"/>
    <cellStyle name="Migliaia 49 3 2 3 3" xfId="43389" xr:uid="{00000000-0005-0000-0000-000091B70000}"/>
    <cellStyle name="Migliaia 49 3 2 3 4" xfId="12134" xr:uid="{00000000-0005-0000-0000-000092B70000}"/>
    <cellStyle name="Migliaia 49 3 2 4" xfId="19502" xr:uid="{00000000-0005-0000-0000-000093B70000}"/>
    <cellStyle name="Migliaia 49 3 2 4 2" xfId="35583" xr:uid="{00000000-0005-0000-0000-000094B70000}"/>
    <cellStyle name="Migliaia 49 3 2 4 3" xfId="50539" xr:uid="{00000000-0005-0000-0000-000095B70000}"/>
    <cellStyle name="Migliaia 49 3 2 5" xfId="21419" xr:uid="{00000000-0005-0000-0000-000096B70000}"/>
    <cellStyle name="Migliaia 49 3 2 6" xfId="36390" xr:uid="{00000000-0005-0000-0000-000097B70000}"/>
    <cellStyle name="Migliaia 49 3 2 7" xfId="51327" xr:uid="{00000000-0005-0000-0000-000098B70000}"/>
    <cellStyle name="Migliaia 49 3 2 8" xfId="51721" xr:uid="{00000000-0005-0000-0000-000099B70000}"/>
    <cellStyle name="Migliaia 49 3 2 9" xfId="52127" xr:uid="{00000000-0005-0000-0000-00009AB70000}"/>
    <cellStyle name="Migliaia 49 3 3" xfId="2945" xr:uid="{00000000-0005-0000-0000-00009BB70000}"/>
    <cellStyle name="Migliaia 49 3 3 2" xfId="20572" xr:uid="{00000000-0005-0000-0000-00009CB70000}"/>
    <cellStyle name="Migliaia 49 3 3 2 2" xfId="36005" xr:uid="{00000000-0005-0000-0000-00009DB70000}"/>
    <cellStyle name="Migliaia 49 3 3 2 3" xfId="50961" xr:uid="{00000000-0005-0000-0000-00009EB70000}"/>
    <cellStyle name="Migliaia 49 3 3 3" xfId="19503" xr:uid="{00000000-0005-0000-0000-00009FB70000}"/>
    <cellStyle name="Migliaia 49 3 3 3 2" xfId="35584" xr:uid="{00000000-0005-0000-0000-0000A0B70000}"/>
    <cellStyle name="Migliaia 49 3 3 3 3" xfId="50540" xr:uid="{00000000-0005-0000-0000-0000A1B70000}"/>
    <cellStyle name="Migliaia 49 3 3 4" xfId="11550" xr:uid="{00000000-0005-0000-0000-0000A2B70000}"/>
    <cellStyle name="Migliaia 49 3 4" xfId="3314" xr:uid="{00000000-0005-0000-0000-0000A3B70000}"/>
    <cellStyle name="Migliaia 49 3 4 2" xfId="20571" xr:uid="{00000000-0005-0000-0000-0000A4B70000}"/>
    <cellStyle name="Migliaia 49 3 4 2 2" xfId="36004" xr:uid="{00000000-0005-0000-0000-0000A5B70000}"/>
    <cellStyle name="Migliaia 49 3 4 2 3" xfId="50960" xr:uid="{00000000-0005-0000-0000-0000A6B70000}"/>
    <cellStyle name="Migliaia 49 3 4 3" xfId="28415" xr:uid="{00000000-0005-0000-0000-0000A7B70000}"/>
    <cellStyle name="Migliaia 49 3 4 4" xfId="43388" xr:uid="{00000000-0005-0000-0000-0000A8B70000}"/>
    <cellStyle name="Migliaia 49 3 4 5" xfId="12133" xr:uid="{00000000-0005-0000-0000-0000A9B70000}"/>
    <cellStyle name="Migliaia 49 3 5" xfId="19501" xr:uid="{00000000-0005-0000-0000-0000AAB70000}"/>
    <cellStyle name="Migliaia 49 3 5 2" xfId="35582" xr:uid="{00000000-0005-0000-0000-0000ABB70000}"/>
    <cellStyle name="Migliaia 49 3 5 3" xfId="50538" xr:uid="{00000000-0005-0000-0000-0000ACB70000}"/>
    <cellStyle name="Migliaia 49 3 6" xfId="21418" xr:uid="{00000000-0005-0000-0000-0000ADB70000}"/>
    <cellStyle name="Migliaia 49 3 7" xfId="36389" xr:uid="{00000000-0005-0000-0000-0000AEB70000}"/>
    <cellStyle name="Migliaia 49 3 8" xfId="51326" xr:uid="{00000000-0005-0000-0000-0000AFB70000}"/>
    <cellStyle name="Migliaia 49 3 9" xfId="51720" xr:uid="{00000000-0005-0000-0000-0000B0B70000}"/>
    <cellStyle name="Migliaia 49 4" xfId="2943" xr:uid="{00000000-0005-0000-0000-0000B1B70000}"/>
    <cellStyle name="Migliaia 49 4 2" xfId="19505" xr:uid="{00000000-0005-0000-0000-0000B2B70000}"/>
    <cellStyle name="Migliaia 49 4 2 2" xfId="20574" xr:uid="{00000000-0005-0000-0000-0000B3B70000}"/>
    <cellStyle name="Migliaia 49 4 2 2 2" xfId="36007" xr:uid="{00000000-0005-0000-0000-0000B4B70000}"/>
    <cellStyle name="Migliaia 49 4 2 2 3" xfId="50963" xr:uid="{00000000-0005-0000-0000-0000B5B70000}"/>
    <cellStyle name="Migliaia 49 4 2 3" xfId="35586" xr:uid="{00000000-0005-0000-0000-0000B6B70000}"/>
    <cellStyle name="Migliaia 49 4 2 4" xfId="50542" xr:uid="{00000000-0005-0000-0000-0000B7B70000}"/>
    <cellStyle name="Migliaia 49 4 3" xfId="20573" xr:uid="{00000000-0005-0000-0000-0000B8B70000}"/>
    <cellStyle name="Migliaia 49 4 3 2" xfId="36006" xr:uid="{00000000-0005-0000-0000-0000B9B70000}"/>
    <cellStyle name="Migliaia 49 4 3 3" xfId="50962" xr:uid="{00000000-0005-0000-0000-0000BAB70000}"/>
    <cellStyle name="Migliaia 49 4 4" xfId="19504" xr:uid="{00000000-0005-0000-0000-0000BBB70000}"/>
    <cellStyle name="Migliaia 49 4 4 2" xfId="35585" xr:uid="{00000000-0005-0000-0000-0000BCB70000}"/>
    <cellStyle name="Migliaia 49 4 4 3" xfId="50541" xr:uid="{00000000-0005-0000-0000-0000BDB70000}"/>
    <cellStyle name="Migliaia 49 4 5" xfId="11552" xr:uid="{00000000-0005-0000-0000-0000BEB70000}"/>
    <cellStyle name="Migliaia 49 5" xfId="3312" xr:uid="{00000000-0005-0000-0000-0000BFB70000}"/>
    <cellStyle name="Migliaia 49 5 2" xfId="19506" xr:uid="{00000000-0005-0000-0000-0000C0B70000}"/>
    <cellStyle name="Migliaia 49 5 2 2" xfId="35587" xr:uid="{00000000-0005-0000-0000-0000C1B70000}"/>
    <cellStyle name="Migliaia 49 5 2 3" xfId="50543" xr:uid="{00000000-0005-0000-0000-0000C2B70000}"/>
    <cellStyle name="Migliaia 49 5 3" xfId="11553" xr:uid="{00000000-0005-0000-0000-0000C3B70000}"/>
    <cellStyle name="Migliaia 49 6" xfId="11548" xr:uid="{00000000-0005-0000-0000-0000C4B70000}"/>
    <cellStyle name="Migliaia 49 7" xfId="12131" xr:uid="{00000000-0005-0000-0000-0000C5B70000}"/>
    <cellStyle name="Migliaia 49 7 2" xfId="28413" xr:uid="{00000000-0005-0000-0000-0000C6B70000}"/>
    <cellStyle name="Migliaia 49 7 3" xfId="43386" xr:uid="{00000000-0005-0000-0000-0000C7B70000}"/>
    <cellStyle name="Migliaia 49 8" xfId="19499" xr:uid="{00000000-0005-0000-0000-0000C8B70000}"/>
    <cellStyle name="Migliaia 49 8 2" xfId="35580" xr:uid="{00000000-0005-0000-0000-0000C9B70000}"/>
    <cellStyle name="Migliaia 49 8 3" xfId="50536" xr:uid="{00000000-0005-0000-0000-0000CAB70000}"/>
    <cellStyle name="Migliaia 49 9" xfId="21416" xr:uid="{00000000-0005-0000-0000-0000CBB70000}"/>
    <cellStyle name="Migliaia 5" xfId="1397" xr:uid="{00000000-0005-0000-0000-0000CCB70000}"/>
    <cellStyle name="Migliaia 5 10" xfId="36391" xr:uid="{00000000-0005-0000-0000-0000CDB70000}"/>
    <cellStyle name="Migliaia 5 11" xfId="51328" xr:uid="{00000000-0005-0000-0000-0000CEB70000}"/>
    <cellStyle name="Migliaia 5 12" xfId="51722" xr:uid="{00000000-0005-0000-0000-0000CFB70000}"/>
    <cellStyle name="Migliaia 5 13" xfId="52128" xr:uid="{00000000-0005-0000-0000-0000D0B70000}"/>
    <cellStyle name="Migliaia 5 14" xfId="52536" xr:uid="{00000000-0005-0000-0000-0000D1B70000}"/>
    <cellStyle name="Migliaia 5 15" xfId="3685" xr:uid="{00000000-0005-0000-0000-0000D2B70000}"/>
    <cellStyle name="Migliaia 5 2" xfId="1398" xr:uid="{00000000-0005-0000-0000-0000D3B70000}"/>
    <cellStyle name="Migliaia 5 2 10" xfId="52129" xr:uid="{00000000-0005-0000-0000-0000D4B70000}"/>
    <cellStyle name="Migliaia 5 2 11" xfId="52537" xr:uid="{00000000-0005-0000-0000-0000D5B70000}"/>
    <cellStyle name="Migliaia 5 2 12" xfId="3686" xr:uid="{00000000-0005-0000-0000-0000D6B70000}"/>
    <cellStyle name="Migliaia 5 2 2" xfId="1399" xr:uid="{00000000-0005-0000-0000-0000D7B70000}"/>
    <cellStyle name="Migliaia 5 2 2 10" xfId="3799" xr:uid="{00000000-0005-0000-0000-0000D8B70000}"/>
    <cellStyle name="Migliaia 5 2 2 2" xfId="3061" xr:uid="{00000000-0005-0000-0000-0000D9B70000}"/>
    <cellStyle name="Migliaia 5 2 2 2 2" xfId="28556" xr:uid="{00000000-0005-0000-0000-0000DAB70000}"/>
    <cellStyle name="Migliaia 5 2 2 2 3" xfId="43519" xr:uid="{00000000-0005-0000-0000-0000DBB70000}"/>
    <cellStyle name="Migliaia 5 2 2 2 4" xfId="12278" xr:uid="{00000000-0005-0000-0000-0000DCB70000}"/>
    <cellStyle name="Migliaia 5 2 2 3" xfId="3430" xr:uid="{00000000-0005-0000-0000-0000DDB70000}"/>
    <cellStyle name="Migliaia 5 2 2 3 2" xfId="36008" xr:uid="{00000000-0005-0000-0000-0000DEB70000}"/>
    <cellStyle name="Migliaia 5 2 2 3 3" xfId="50964" xr:uid="{00000000-0005-0000-0000-0000DFB70000}"/>
    <cellStyle name="Migliaia 5 2 2 3 4" xfId="20575" xr:uid="{00000000-0005-0000-0000-0000E0B70000}"/>
    <cellStyle name="Migliaia 5 2 2 4" xfId="21556" xr:uid="{00000000-0005-0000-0000-0000E1B70000}"/>
    <cellStyle name="Migliaia 5 2 2 5" xfId="36523" xr:uid="{00000000-0005-0000-0000-0000E2B70000}"/>
    <cellStyle name="Migliaia 5 2 2 6" xfId="51461" xr:uid="{00000000-0005-0000-0000-0000E3B70000}"/>
    <cellStyle name="Migliaia 5 2 2 7" xfId="51866" xr:uid="{00000000-0005-0000-0000-0000E4B70000}"/>
    <cellStyle name="Migliaia 5 2 2 8" xfId="52275" xr:uid="{00000000-0005-0000-0000-0000E5B70000}"/>
    <cellStyle name="Migliaia 5 2 2 9" xfId="52680" xr:uid="{00000000-0005-0000-0000-0000E6B70000}"/>
    <cellStyle name="Migliaia 5 2 3" xfId="2948" xr:uid="{00000000-0005-0000-0000-0000E7B70000}"/>
    <cellStyle name="Migliaia 5 2 3 2" xfId="11555" xr:uid="{00000000-0005-0000-0000-0000E8B70000}"/>
    <cellStyle name="Migliaia 5 2 4" xfId="3317" xr:uid="{00000000-0005-0000-0000-0000E9B70000}"/>
    <cellStyle name="Migliaia 5 2 4 2" xfId="28418" xr:uid="{00000000-0005-0000-0000-0000EAB70000}"/>
    <cellStyle name="Migliaia 5 2 4 3" xfId="43391" xr:uid="{00000000-0005-0000-0000-0000EBB70000}"/>
    <cellStyle name="Migliaia 5 2 4 4" xfId="12136" xr:uid="{00000000-0005-0000-0000-0000ECB70000}"/>
    <cellStyle name="Migliaia 5 2 5" xfId="19508" xr:uid="{00000000-0005-0000-0000-0000EDB70000}"/>
    <cellStyle name="Migliaia 5 2 5 2" xfId="35589" xr:uid="{00000000-0005-0000-0000-0000EEB70000}"/>
    <cellStyle name="Migliaia 5 2 5 3" xfId="50545" xr:uid="{00000000-0005-0000-0000-0000EFB70000}"/>
    <cellStyle name="Migliaia 5 2 6" xfId="21421" xr:uid="{00000000-0005-0000-0000-0000F0B70000}"/>
    <cellStyle name="Migliaia 5 2 7" xfId="36392" xr:uid="{00000000-0005-0000-0000-0000F1B70000}"/>
    <cellStyle name="Migliaia 5 2 8" xfId="51329" xr:uid="{00000000-0005-0000-0000-0000F2B70000}"/>
    <cellStyle name="Migliaia 5 2 9" xfId="51723" xr:uid="{00000000-0005-0000-0000-0000F3B70000}"/>
    <cellStyle name="Migliaia 5 3" xfId="1400" xr:uid="{00000000-0005-0000-0000-0000F4B70000}"/>
    <cellStyle name="Migliaia 5 3 10" xfId="52130" xr:uid="{00000000-0005-0000-0000-0000F5B70000}"/>
    <cellStyle name="Migliaia 5 3 11" xfId="52538" xr:uid="{00000000-0005-0000-0000-0000F6B70000}"/>
    <cellStyle name="Migliaia 5 3 12" xfId="3687" xr:uid="{00000000-0005-0000-0000-0000F7B70000}"/>
    <cellStyle name="Migliaia 5 3 2" xfId="1401" xr:uid="{00000000-0005-0000-0000-0000F8B70000}"/>
    <cellStyle name="Migliaia 5 3 2 10" xfId="52539" xr:uid="{00000000-0005-0000-0000-0000F9B70000}"/>
    <cellStyle name="Migliaia 5 3 2 11" xfId="3688" xr:uid="{00000000-0005-0000-0000-0000FAB70000}"/>
    <cellStyle name="Migliaia 5 3 2 2" xfId="2950" xr:uid="{00000000-0005-0000-0000-0000FBB70000}"/>
    <cellStyle name="Migliaia 5 3 2 2 2" xfId="11557" xr:uid="{00000000-0005-0000-0000-0000FCB70000}"/>
    <cellStyle name="Migliaia 5 3 2 3" xfId="3319" xr:uid="{00000000-0005-0000-0000-0000FDB70000}"/>
    <cellStyle name="Migliaia 5 3 2 3 2" xfId="28420" xr:uid="{00000000-0005-0000-0000-0000FEB70000}"/>
    <cellStyle name="Migliaia 5 3 2 3 3" xfId="43393" xr:uid="{00000000-0005-0000-0000-0000FFB70000}"/>
    <cellStyle name="Migliaia 5 3 2 3 4" xfId="12138" xr:uid="{00000000-0005-0000-0000-000000B80000}"/>
    <cellStyle name="Migliaia 5 3 2 4" xfId="19510" xr:uid="{00000000-0005-0000-0000-000001B80000}"/>
    <cellStyle name="Migliaia 5 3 2 4 2" xfId="35591" xr:uid="{00000000-0005-0000-0000-000002B80000}"/>
    <cellStyle name="Migliaia 5 3 2 4 3" xfId="50547" xr:uid="{00000000-0005-0000-0000-000003B80000}"/>
    <cellStyle name="Migliaia 5 3 2 5" xfId="21423" xr:uid="{00000000-0005-0000-0000-000004B80000}"/>
    <cellStyle name="Migliaia 5 3 2 6" xfId="36394" xr:uid="{00000000-0005-0000-0000-000005B80000}"/>
    <cellStyle name="Migliaia 5 3 2 7" xfId="51331" xr:uid="{00000000-0005-0000-0000-000006B80000}"/>
    <cellStyle name="Migliaia 5 3 2 8" xfId="51725" xr:uid="{00000000-0005-0000-0000-000007B80000}"/>
    <cellStyle name="Migliaia 5 3 2 9" xfId="52131" xr:uid="{00000000-0005-0000-0000-000008B80000}"/>
    <cellStyle name="Migliaia 5 3 3" xfId="2949" xr:uid="{00000000-0005-0000-0000-000009B80000}"/>
    <cellStyle name="Migliaia 5 3 3 2" xfId="20577" xr:uid="{00000000-0005-0000-0000-00000AB80000}"/>
    <cellStyle name="Migliaia 5 3 3 2 2" xfId="36010" xr:uid="{00000000-0005-0000-0000-00000BB80000}"/>
    <cellStyle name="Migliaia 5 3 3 2 3" xfId="50966" xr:uid="{00000000-0005-0000-0000-00000CB80000}"/>
    <cellStyle name="Migliaia 5 3 3 3" xfId="19511" xr:uid="{00000000-0005-0000-0000-00000DB80000}"/>
    <cellStyle name="Migliaia 5 3 3 3 2" xfId="35592" xr:uid="{00000000-0005-0000-0000-00000EB80000}"/>
    <cellStyle name="Migliaia 5 3 3 3 3" xfId="50548" xr:uid="{00000000-0005-0000-0000-00000FB80000}"/>
    <cellStyle name="Migliaia 5 3 3 4" xfId="11556" xr:uid="{00000000-0005-0000-0000-000010B80000}"/>
    <cellStyle name="Migliaia 5 3 4" xfId="3318" xr:uid="{00000000-0005-0000-0000-000011B80000}"/>
    <cellStyle name="Migliaia 5 3 4 2" xfId="20576" xr:uid="{00000000-0005-0000-0000-000012B80000}"/>
    <cellStyle name="Migliaia 5 3 4 2 2" xfId="36009" xr:uid="{00000000-0005-0000-0000-000013B80000}"/>
    <cellStyle name="Migliaia 5 3 4 2 3" xfId="50965" xr:uid="{00000000-0005-0000-0000-000014B80000}"/>
    <cellStyle name="Migliaia 5 3 4 3" xfId="28419" xr:uid="{00000000-0005-0000-0000-000015B80000}"/>
    <cellStyle name="Migliaia 5 3 4 4" xfId="43392" xr:uid="{00000000-0005-0000-0000-000016B80000}"/>
    <cellStyle name="Migliaia 5 3 4 5" xfId="12137" xr:uid="{00000000-0005-0000-0000-000017B80000}"/>
    <cellStyle name="Migliaia 5 3 5" xfId="19509" xr:uid="{00000000-0005-0000-0000-000018B80000}"/>
    <cellStyle name="Migliaia 5 3 5 2" xfId="35590" xr:uid="{00000000-0005-0000-0000-000019B80000}"/>
    <cellStyle name="Migliaia 5 3 5 3" xfId="50546" xr:uid="{00000000-0005-0000-0000-00001AB80000}"/>
    <cellStyle name="Migliaia 5 3 6" xfId="21422" xr:uid="{00000000-0005-0000-0000-00001BB80000}"/>
    <cellStyle name="Migliaia 5 3 7" xfId="36393" xr:uid="{00000000-0005-0000-0000-00001CB80000}"/>
    <cellStyle name="Migliaia 5 3 8" xfId="51330" xr:uid="{00000000-0005-0000-0000-00001DB80000}"/>
    <cellStyle name="Migliaia 5 3 9" xfId="51724" xr:uid="{00000000-0005-0000-0000-00001EB80000}"/>
    <cellStyle name="Migliaia 5 4" xfId="2947" xr:uid="{00000000-0005-0000-0000-00001FB80000}"/>
    <cellStyle name="Migliaia 5 4 2" xfId="19513" xr:uid="{00000000-0005-0000-0000-000020B80000}"/>
    <cellStyle name="Migliaia 5 4 2 2" xfId="20579" xr:uid="{00000000-0005-0000-0000-000021B80000}"/>
    <cellStyle name="Migliaia 5 4 2 2 2" xfId="36012" xr:uid="{00000000-0005-0000-0000-000022B80000}"/>
    <cellStyle name="Migliaia 5 4 2 2 3" xfId="50968" xr:uid="{00000000-0005-0000-0000-000023B80000}"/>
    <cellStyle name="Migliaia 5 4 2 3" xfId="35594" xr:uid="{00000000-0005-0000-0000-000024B80000}"/>
    <cellStyle name="Migliaia 5 4 2 4" xfId="50550" xr:uid="{00000000-0005-0000-0000-000025B80000}"/>
    <cellStyle name="Migliaia 5 4 3" xfId="20578" xr:uid="{00000000-0005-0000-0000-000026B80000}"/>
    <cellStyle name="Migliaia 5 4 3 2" xfId="36011" xr:uid="{00000000-0005-0000-0000-000027B80000}"/>
    <cellStyle name="Migliaia 5 4 3 3" xfId="50967" xr:uid="{00000000-0005-0000-0000-000028B80000}"/>
    <cellStyle name="Migliaia 5 4 4" xfId="19512" xr:uid="{00000000-0005-0000-0000-000029B80000}"/>
    <cellStyle name="Migliaia 5 4 4 2" xfId="35593" xr:uid="{00000000-0005-0000-0000-00002AB80000}"/>
    <cellStyle name="Migliaia 5 4 4 3" xfId="50549" xr:uid="{00000000-0005-0000-0000-00002BB80000}"/>
    <cellStyle name="Migliaia 5 4 5" xfId="11558" xr:uid="{00000000-0005-0000-0000-00002CB80000}"/>
    <cellStyle name="Migliaia 5 5" xfId="3316" xr:uid="{00000000-0005-0000-0000-00002DB80000}"/>
    <cellStyle name="Migliaia 5 5 2" xfId="19514" xr:uid="{00000000-0005-0000-0000-00002EB80000}"/>
    <cellStyle name="Migliaia 5 5 2 2" xfId="35595" xr:uid="{00000000-0005-0000-0000-00002FB80000}"/>
    <cellStyle name="Migliaia 5 5 2 3" xfId="50551" xr:uid="{00000000-0005-0000-0000-000030B80000}"/>
    <cellStyle name="Migliaia 5 5 3" xfId="11559" xr:uid="{00000000-0005-0000-0000-000031B80000}"/>
    <cellStyle name="Migliaia 5 6" xfId="11554" xr:uid="{00000000-0005-0000-0000-000032B80000}"/>
    <cellStyle name="Migliaia 5 7" xfId="12135" xr:uid="{00000000-0005-0000-0000-000033B80000}"/>
    <cellStyle name="Migliaia 5 7 2" xfId="28417" xr:uid="{00000000-0005-0000-0000-000034B80000}"/>
    <cellStyle name="Migliaia 5 7 3" xfId="43390" xr:uid="{00000000-0005-0000-0000-000035B80000}"/>
    <cellStyle name="Migliaia 5 8" xfId="19507" xr:uid="{00000000-0005-0000-0000-000036B80000}"/>
    <cellStyle name="Migliaia 5 8 2" xfId="35588" xr:uid="{00000000-0005-0000-0000-000037B80000}"/>
    <cellStyle name="Migliaia 5 8 3" xfId="50544" xr:uid="{00000000-0005-0000-0000-000038B80000}"/>
    <cellStyle name="Migliaia 5 9" xfId="21420" xr:uid="{00000000-0005-0000-0000-000039B80000}"/>
    <cellStyle name="Migliaia 50" xfId="1402" xr:uid="{00000000-0005-0000-0000-00003AB80000}"/>
    <cellStyle name="Migliaia 50 10" xfId="36395" xr:uid="{00000000-0005-0000-0000-00003BB80000}"/>
    <cellStyle name="Migliaia 50 11" xfId="51332" xr:uid="{00000000-0005-0000-0000-00003CB80000}"/>
    <cellStyle name="Migliaia 50 12" xfId="51726" xr:uid="{00000000-0005-0000-0000-00003DB80000}"/>
    <cellStyle name="Migliaia 50 13" xfId="52132" xr:uid="{00000000-0005-0000-0000-00003EB80000}"/>
    <cellStyle name="Migliaia 50 14" xfId="52540" xr:uid="{00000000-0005-0000-0000-00003FB80000}"/>
    <cellStyle name="Migliaia 50 15" xfId="3689" xr:uid="{00000000-0005-0000-0000-000040B80000}"/>
    <cellStyle name="Migliaia 50 2" xfId="1403" xr:uid="{00000000-0005-0000-0000-000041B80000}"/>
    <cellStyle name="Migliaia 50 2 10" xfId="52133" xr:uid="{00000000-0005-0000-0000-000042B80000}"/>
    <cellStyle name="Migliaia 50 2 11" xfId="52541" xr:uid="{00000000-0005-0000-0000-000043B80000}"/>
    <cellStyle name="Migliaia 50 2 12" xfId="3690" xr:uid="{00000000-0005-0000-0000-000044B80000}"/>
    <cellStyle name="Migliaia 50 2 2" xfId="1404" xr:uid="{00000000-0005-0000-0000-000045B80000}"/>
    <cellStyle name="Migliaia 50 2 2 10" xfId="3800" xr:uid="{00000000-0005-0000-0000-000046B80000}"/>
    <cellStyle name="Migliaia 50 2 2 2" xfId="3062" xr:uid="{00000000-0005-0000-0000-000047B80000}"/>
    <cellStyle name="Migliaia 50 2 2 2 2" xfId="28557" xr:uid="{00000000-0005-0000-0000-000048B80000}"/>
    <cellStyle name="Migliaia 50 2 2 2 3" xfId="43520" xr:uid="{00000000-0005-0000-0000-000049B80000}"/>
    <cellStyle name="Migliaia 50 2 2 2 4" xfId="12279" xr:uid="{00000000-0005-0000-0000-00004AB80000}"/>
    <cellStyle name="Migliaia 50 2 2 3" xfId="3431" xr:uid="{00000000-0005-0000-0000-00004BB80000}"/>
    <cellStyle name="Migliaia 50 2 2 3 2" xfId="36013" xr:uid="{00000000-0005-0000-0000-00004CB80000}"/>
    <cellStyle name="Migliaia 50 2 2 3 3" xfId="50969" xr:uid="{00000000-0005-0000-0000-00004DB80000}"/>
    <cellStyle name="Migliaia 50 2 2 3 4" xfId="20580" xr:uid="{00000000-0005-0000-0000-00004EB80000}"/>
    <cellStyle name="Migliaia 50 2 2 4" xfId="21557" xr:uid="{00000000-0005-0000-0000-00004FB80000}"/>
    <cellStyle name="Migliaia 50 2 2 5" xfId="36524" xr:uid="{00000000-0005-0000-0000-000050B80000}"/>
    <cellStyle name="Migliaia 50 2 2 6" xfId="51462" xr:uid="{00000000-0005-0000-0000-000051B80000}"/>
    <cellStyle name="Migliaia 50 2 2 7" xfId="51867" xr:uid="{00000000-0005-0000-0000-000052B80000}"/>
    <cellStyle name="Migliaia 50 2 2 8" xfId="52276" xr:uid="{00000000-0005-0000-0000-000053B80000}"/>
    <cellStyle name="Migliaia 50 2 2 9" xfId="52681" xr:uid="{00000000-0005-0000-0000-000054B80000}"/>
    <cellStyle name="Migliaia 50 2 3" xfId="2952" xr:uid="{00000000-0005-0000-0000-000055B80000}"/>
    <cellStyle name="Migliaia 50 2 3 2" xfId="11561" xr:uid="{00000000-0005-0000-0000-000056B80000}"/>
    <cellStyle name="Migliaia 50 2 4" xfId="3321" xr:uid="{00000000-0005-0000-0000-000057B80000}"/>
    <cellStyle name="Migliaia 50 2 4 2" xfId="28422" xr:uid="{00000000-0005-0000-0000-000058B80000}"/>
    <cellStyle name="Migliaia 50 2 4 3" xfId="43395" xr:uid="{00000000-0005-0000-0000-000059B80000}"/>
    <cellStyle name="Migliaia 50 2 4 4" xfId="12140" xr:uid="{00000000-0005-0000-0000-00005AB80000}"/>
    <cellStyle name="Migliaia 50 2 5" xfId="19516" xr:uid="{00000000-0005-0000-0000-00005BB80000}"/>
    <cellStyle name="Migliaia 50 2 5 2" xfId="35597" xr:uid="{00000000-0005-0000-0000-00005CB80000}"/>
    <cellStyle name="Migliaia 50 2 5 3" xfId="50553" xr:uid="{00000000-0005-0000-0000-00005DB80000}"/>
    <cellStyle name="Migliaia 50 2 6" xfId="21425" xr:uid="{00000000-0005-0000-0000-00005EB80000}"/>
    <cellStyle name="Migliaia 50 2 7" xfId="36396" xr:uid="{00000000-0005-0000-0000-00005FB80000}"/>
    <cellStyle name="Migliaia 50 2 8" xfId="51333" xr:uid="{00000000-0005-0000-0000-000060B80000}"/>
    <cellStyle name="Migliaia 50 2 9" xfId="51727" xr:uid="{00000000-0005-0000-0000-000061B80000}"/>
    <cellStyle name="Migliaia 50 3" xfId="1405" xr:uid="{00000000-0005-0000-0000-000062B80000}"/>
    <cellStyle name="Migliaia 50 3 10" xfId="52134" xr:uid="{00000000-0005-0000-0000-000063B80000}"/>
    <cellStyle name="Migliaia 50 3 11" xfId="52542" xr:uid="{00000000-0005-0000-0000-000064B80000}"/>
    <cellStyle name="Migliaia 50 3 12" xfId="3691" xr:uid="{00000000-0005-0000-0000-000065B80000}"/>
    <cellStyle name="Migliaia 50 3 2" xfId="1406" xr:uid="{00000000-0005-0000-0000-000066B80000}"/>
    <cellStyle name="Migliaia 50 3 2 10" xfId="52543" xr:uid="{00000000-0005-0000-0000-000067B80000}"/>
    <cellStyle name="Migliaia 50 3 2 11" xfId="3692" xr:uid="{00000000-0005-0000-0000-000068B80000}"/>
    <cellStyle name="Migliaia 50 3 2 2" xfId="2954" xr:uid="{00000000-0005-0000-0000-000069B80000}"/>
    <cellStyle name="Migliaia 50 3 2 2 2" xfId="11563" xr:uid="{00000000-0005-0000-0000-00006AB80000}"/>
    <cellStyle name="Migliaia 50 3 2 3" xfId="3323" xr:uid="{00000000-0005-0000-0000-00006BB80000}"/>
    <cellStyle name="Migliaia 50 3 2 3 2" xfId="28424" xr:uid="{00000000-0005-0000-0000-00006CB80000}"/>
    <cellStyle name="Migliaia 50 3 2 3 3" xfId="43397" xr:uid="{00000000-0005-0000-0000-00006DB80000}"/>
    <cellStyle name="Migliaia 50 3 2 3 4" xfId="12142" xr:uid="{00000000-0005-0000-0000-00006EB80000}"/>
    <cellStyle name="Migliaia 50 3 2 4" xfId="19518" xr:uid="{00000000-0005-0000-0000-00006FB80000}"/>
    <cellStyle name="Migliaia 50 3 2 4 2" xfId="35599" xr:uid="{00000000-0005-0000-0000-000070B80000}"/>
    <cellStyle name="Migliaia 50 3 2 4 3" xfId="50555" xr:uid="{00000000-0005-0000-0000-000071B80000}"/>
    <cellStyle name="Migliaia 50 3 2 5" xfId="21427" xr:uid="{00000000-0005-0000-0000-000072B80000}"/>
    <cellStyle name="Migliaia 50 3 2 6" xfId="36398" xr:uid="{00000000-0005-0000-0000-000073B80000}"/>
    <cellStyle name="Migliaia 50 3 2 7" xfId="51335" xr:uid="{00000000-0005-0000-0000-000074B80000}"/>
    <cellStyle name="Migliaia 50 3 2 8" xfId="51729" xr:uid="{00000000-0005-0000-0000-000075B80000}"/>
    <cellStyle name="Migliaia 50 3 2 9" xfId="52135" xr:uid="{00000000-0005-0000-0000-000076B80000}"/>
    <cellStyle name="Migliaia 50 3 3" xfId="2953" xr:uid="{00000000-0005-0000-0000-000077B80000}"/>
    <cellStyle name="Migliaia 50 3 3 2" xfId="20582" xr:uid="{00000000-0005-0000-0000-000078B80000}"/>
    <cellStyle name="Migliaia 50 3 3 2 2" xfId="36015" xr:uid="{00000000-0005-0000-0000-000079B80000}"/>
    <cellStyle name="Migliaia 50 3 3 2 3" xfId="50971" xr:uid="{00000000-0005-0000-0000-00007AB80000}"/>
    <cellStyle name="Migliaia 50 3 3 3" xfId="19519" xr:uid="{00000000-0005-0000-0000-00007BB80000}"/>
    <cellStyle name="Migliaia 50 3 3 3 2" xfId="35600" xr:uid="{00000000-0005-0000-0000-00007CB80000}"/>
    <cellStyle name="Migliaia 50 3 3 3 3" xfId="50556" xr:uid="{00000000-0005-0000-0000-00007DB80000}"/>
    <cellStyle name="Migliaia 50 3 3 4" xfId="11562" xr:uid="{00000000-0005-0000-0000-00007EB80000}"/>
    <cellStyle name="Migliaia 50 3 4" xfId="3322" xr:uid="{00000000-0005-0000-0000-00007FB80000}"/>
    <cellStyle name="Migliaia 50 3 4 2" xfId="20581" xr:uid="{00000000-0005-0000-0000-000080B80000}"/>
    <cellStyle name="Migliaia 50 3 4 2 2" xfId="36014" xr:uid="{00000000-0005-0000-0000-000081B80000}"/>
    <cellStyle name="Migliaia 50 3 4 2 3" xfId="50970" xr:uid="{00000000-0005-0000-0000-000082B80000}"/>
    <cellStyle name="Migliaia 50 3 4 3" xfId="28423" xr:uid="{00000000-0005-0000-0000-000083B80000}"/>
    <cellStyle name="Migliaia 50 3 4 4" xfId="43396" xr:uid="{00000000-0005-0000-0000-000084B80000}"/>
    <cellStyle name="Migliaia 50 3 4 5" xfId="12141" xr:uid="{00000000-0005-0000-0000-000085B80000}"/>
    <cellStyle name="Migliaia 50 3 5" xfId="19517" xr:uid="{00000000-0005-0000-0000-000086B80000}"/>
    <cellStyle name="Migliaia 50 3 5 2" xfId="35598" xr:uid="{00000000-0005-0000-0000-000087B80000}"/>
    <cellStyle name="Migliaia 50 3 5 3" xfId="50554" xr:uid="{00000000-0005-0000-0000-000088B80000}"/>
    <cellStyle name="Migliaia 50 3 6" xfId="21426" xr:uid="{00000000-0005-0000-0000-000089B80000}"/>
    <cellStyle name="Migliaia 50 3 7" xfId="36397" xr:uid="{00000000-0005-0000-0000-00008AB80000}"/>
    <cellStyle name="Migliaia 50 3 8" xfId="51334" xr:uid="{00000000-0005-0000-0000-00008BB80000}"/>
    <cellStyle name="Migliaia 50 3 9" xfId="51728" xr:uid="{00000000-0005-0000-0000-00008CB80000}"/>
    <cellStyle name="Migliaia 50 4" xfId="2951" xr:uid="{00000000-0005-0000-0000-00008DB80000}"/>
    <cellStyle name="Migliaia 50 4 2" xfId="19521" xr:uid="{00000000-0005-0000-0000-00008EB80000}"/>
    <cellStyle name="Migliaia 50 4 2 2" xfId="20584" xr:uid="{00000000-0005-0000-0000-00008FB80000}"/>
    <cellStyle name="Migliaia 50 4 2 2 2" xfId="36017" xr:uid="{00000000-0005-0000-0000-000090B80000}"/>
    <cellStyle name="Migliaia 50 4 2 2 3" xfId="50973" xr:uid="{00000000-0005-0000-0000-000091B80000}"/>
    <cellStyle name="Migliaia 50 4 2 3" xfId="35602" xr:uid="{00000000-0005-0000-0000-000092B80000}"/>
    <cellStyle name="Migliaia 50 4 2 4" xfId="50558" xr:uid="{00000000-0005-0000-0000-000093B80000}"/>
    <cellStyle name="Migliaia 50 4 3" xfId="20583" xr:uid="{00000000-0005-0000-0000-000094B80000}"/>
    <cellStyle name="Migliaia 50 4 3 2" xfId="36016" xr:uid="{00000000-0005-0000-0000-000095B80000}"/>
    <cellStyle name="Migliaia 50 4 3 3" xfId="50972" xr:uid="{00000000-0005-0000-0000-000096B80000}"/>
    <cellStyle name="Migliaia 50 4 4" xfId="19520" xr:uid="{00000000-0005-0000-0000-000097B80000}"/>
    <cellStyle name="Migliaia 50 4 4 2" xfId="35601" xr:uid="{00000000-0005-0000-0000-000098B80000}"/>
    <cellStyle name="Migliaia 50 4 4 3" xfId="50557" xr:uid="{00000000-0005-0000-0000-000099B80000}"/>
    <cellStyle name="Migliaia 50 4 5" xfId="11564" xr:uid="{00000000-0005-0000-0000-00009AB80000}"/>
    <cellStyle name="Migliaia 50 5" xfId="3320" xr:uid="{00000000-0005-0000-0000-00009BB80000}"/>
    <cellStyle name="Migliaia 50 5 2" xfId="19522" xr:uid="{00000000-0005-0000-0000-00009CB80000}"/>
    <cellStyle name="Migliaia 50 5 2 2" xfId="35603" xr:uid="{00000000-0005-0000-0000-00009DB80000}"/>
    <cellStyle name="Migliaia 50 5 2 3" xfId="50559" xr:uid="{00000000-0005-0000-0000-00009EB80000}"/>
    <cellStyle name="Migliaia 50 5 3" xfId="11565" xr:uid="{00000000-0005-0000-0000-00009FB80000}"/>
    <cellStyle name="Migliaia 50 6" xfId="11560" xr:uid="{00000000-0005-0000-0000-0000A0B80000}"/>
    <cellStyle name="Migliaia 50 7" xfId="12139" xr:uid="{00000000-0005-0000-0000-0000A1B80000}"/>
    <cellStyle name="Migliaia 50 7 2" xfId="28421" xr:uid="{00000000-0005-0000-0000-0000A2B80000}"/>
    <cellStyle name="Migliaia 50 7 3" xfId="43394" xr:uid="{00000000-0005-0000-0000-0000A3B80000}"/>
    <cellStyle name="Migliaia 50 8" xfId="19515" xr:uid="{00000000-0005-0000-0000-0000A4B80000}"/>
    <cellStyle name="Migliaia 50 8 2" xfId="35596" xr:uid="{00000000-0005-0000-0000-0000A5B80000}"/>
    <cellStyle name="Migliaia 50 8 3" xfId="50552" xr:uid="{00000000-0005-0000-0000-0000A6B80000}"/>
    <cellStyle name="Migliaia 50 9" xfId="21424" xr:uid="{00000000-0005-0000-0000-0000A7B80000}"/>
    <cellStyle name="Migliaia 51" xfId="1407" xr:uid="{00000000-0005-0000-0000-0000A8B80000}"/>
    <cellStyle name="Migliaia 51 10" xfId="36399" xr:uid="{00000000-0005-0000-0000-0000A9B80000}"/>
    <cellStyle name="Migliaia 51 11" xfId="51336" xr:uid="{00000000-0005-0000-0000-0000AAB80000}"/>
    <cellStyle name="Migliaia 51 12" xfId="51730" xr:uid="{00000000-0005-0000-0000-0000ABB80000}"/>
    <cellStyle name="Migliaia 51 13" xfId="52136" xr:uid="{00000000-0005-0000-0000-0000ACB80000}"/>
    <cellStyle name="Migliaia 51 14" xfId="52544" xr:uid="{00000000-0005-0000-0000-0000ADB80000}"/>
    <cellStyle name="Migliaia 51 15" xfId="3693" xr:uid="{00000000-0005-0000-0000-0000AEB80000}"/>
    <cellStyle name="Migliaia 51 2" xfId="1408" xr:uid="{00000000-0005-0000-0000-0000AFB80000}"/>
    <cellStyle name="Migliaia 51 2 10" xfId="52137" xr:uid="{00000000-0005-0000-0000-0000B0B80000}"/>
    <cellStyle name="Migliaia 51 2 11" xfId="52545" xr:uid="{00000000-0005-0000-0000-0000B1B80000}"/>
    <cellStyle name="Migliaia 51 2 12" xfId="3694" xr:uid="{00000000-0005-0000-0000-0000B2B80000}"/>
    <cellStyle name="Migliaia 51 2 2" xfId="1409" xr:uid="{00000000-0005-0000-0000-0000B3B80000}"/>
    <cellStyle name="Migliaia 51 2 2 10" xfId="3801" xr:uid="{00000000-0005-0000-0000-0000B4B80000}"/>
    <cellStyle name="Migliaia 51 2 2 2" xfId="3063" xr:uid="{00000000-0005-0000-0000-0000B5B80000}"/>
    <cellStyle name="Migliaia 51 2 2 2 2" xfId="28558" xr:uid="{00000000-0005-0000-0000-0000B6B80000}"/>
    <cellStyle name="Migliaia 51 2 2 2 3" xfId="43521" xr:uid="{00000000-0005-0000-0000-0000B7B80000}"/>
    <cellStyle name="Migliaia 51 2 2 2 4" xfId="12280" xr:uid="{00000000-0005-0000-0000-0000B8B80000}"/>
    <cellStyle name="Migliaia 51 2 2 3" xfId="3432" xr:uid="{00000000-0005-0000-0000-0000B9B80000}"/>
    <cellStyle name="Migliaia 51 2 2 3 2" xfId="36018" xr:uid="{00000000-0005-0000-0000-0000BAB80000}"/>
    <cellStyle name="Migliaia 51 2 2 3 3" xfId="50974" xr:uid="{00000000-0005-0000-0000-0000BBB80000}"/>
    <cellStyle name="Migliaia 51 2 2 3 4" xfId="20585" xr:uid="{00000000-0005-0000-0000-0000BCB80000}"/>
    <cellStyle name="Migliaia 51 2 2 4" xfId="21558" xr:uid="{00000000-0005-0000-0000-0000BDB80000}"/>
    <cellStyle name="Migliaia 51 2 2 5" xfId="36525" xr:uid="{00000000-0005-0000-0000-0000BEB80000}"/>
    <cellStyle name="Migliaia 51 2 2 6" xfId="51463" xr:uid="{00000000-0005-0000-0000-0000BFB80000}"/>
    <cellStyle name="Migliaia 51 2 2 7" xfId="51868" xr:uid="{00000000-0005-0000-0000-0000C0B80000}"/>
    <cellStyle name="Migliaia 51 2 2 8" xfId="52277" xr:uid="{00000000-0005-0000-0000-0000C1B80000}"/>
    <cellStyle name="Migliaia 51 2 2 9" xfId="52682" xr:uid="{00000000-0005-0000-0000-0000C2B80000}"/>
    <cellStyle name="Migliaia 51 2 3" xfId="2956" xr:uid="{00000000-0005-0000-0000-0000C3B80000}"/>
    <cellStyle name="Migliaia 51 2 3 2" xfId="11567" xr:uid="{00000000-0005-0000-0000-0000C4B80000}"/>
    <cellStyle name="Migliaia 51 2 4" xfId="3325" xr:uid="{00000000-0005-0000-0000-0000C5B80000}"/>
    <cellStyle name="Migliaia 51 2 4 2" xfId="28426" xr:uid="{00000000-0005-0000-0000-0000C6B80000}"/>
    <cellStyle name="Migliaia 51 2 4 3" xfId="43399" xr:uid="{00000000-0005-0000-0000-0000C7B80000}"/>
    <cellStyle name="Migliaia 51 2 4 4" xfId="12144" xr:uid="{00000000-0005-0000-0000-0000C8B80000}"/>
    <cellStyle name="Migliaia 51 2 5" xfId="19524" xr:uid="{00000000-0005-0000-0000-0000C9B80000}"/>
    <cellStyle name="Migliaia 51 2 5 2" xfId="35605" xr:uid="{00000000-0005-0000-0000-0000CAB80000}"/>
    <cellStyle name="Migliaia 51 2 5 3" xfId="50561" xr:uid="{00000000-0005-0000-0000-0000CBB80000}"/>
    <cellStyle name="Migliaia 51 2 6" xfId="21429" xr:uid="{00000000-0005-0000-0000-0000CCB80000}"/>
    <cellStyle name="Migliaia 51 2 7" xfId="36400" xr:uid="{00000000-0005-0000-0000-0000CDB80000}"/>
    <cellStyle name="Migliaia 51 2 8" xfId="51337" xr:uid="{00000000-0005-0000-0000-0000CEB80000}"/>
    <cellStyle name="Migliaia 51 2 9" xfId="51731" xr:uid="{00000000-0005-0000-0000-0000CFB80000}"/>
    <cellStyle name="Migliaia 51 3" xfId="1410" xr:uid="{00000000-0005-0000-0000-0000D0B80000}"/>
    <cellStyle name="Migliaia 51 3 10" xfId="52138" xr:uid="{00000000-0005-0000-0000-0000D1B80000}"/>
    <cellStyle name="Migliaia 51 3 11" xfId="52546" xr:uid="{00000000-0005-0000-0000-0000D2B80000}"/>
    <cellStyle name="Migliaia 51 3 12" xfId="3695" xr:uid="{00000000-0005-0000-0000-0000D3B80000}"/>
    <cellStyle name="Migliaia 51 3 2" xfId="1411" xr:uid="{00000000-0005-0000-0000-0000D4B80000}"/>
    <cellStyle name="Migliaia 51 3 2 10" xfId="52547" xr:uid="{00000000-0005-0000-0000-0000D5B80000}"/>
    <cellStyle name="Migliaia 51 3 2 11" xfId="3696" xr:uid="{00000000-0005-0000-0000-0000D6B80000}"/>
    <cellStyle name="Migliaia 51 3 2 2" xfId="2958" xr:uid="{00000000-0005-0000-0000-0000D7B80000}"/>
    <cellStyle name="Migliaia 51 3 2 2 2" xfId="11569" xr:uid="{00000000-0005-0000-0000-0000D8B80000}"/>
    <cellStyle name="Migliaia 51 3 2 3" xfId="3327" xr:uid="{00000000-0005-0000-0000-0000D9B80000}"/>
    <cellStyle name="Migliaia 51 3 2 3 2" xfId="28428" xr:uid="{00000000-0005-0000-0000-0000DAB80000}"/>
    <cellStyle name="Migliaia 51 3 2 3 3" xfId="43401" xr:uid="{00000000-0005-0000-0000-0000DBB80000}"/>
    <cellStyle name="Migliaia 51 3 2 3 4" xfId="12146" xr:uid="{00000000-0005-0000-0000-0000DCB80000}"/>
    <cellStyle name="Migliaia 51 3 2 4" xfId="19526" xr:uid="{00000000-0005-0000-0000-0000DDB80000}"/>
    <cellStyle name="Migliaia 51 3 2 4 2" xfId="35607" xr:uid="{00000000-0005-0000-0000-0000DEB80000}"/>
    <cellStyle name="Migliaia 51 3 2 4 3" xfId="50563" xr:uid="{00000000-0005-0000-0000-0000DFB80000}"/>
    <cellStyle name="Migliaia 51 3 2 5" xfId="21431" xr:uid="{00000000-0005-0000-0000-0000E0B80000}"/>
    <cellStyle name="Migliaia 51 3 2 6" xfId="36402" xr:uid="{00000000-0005-0000-0000-0000E1B80000}"/>
    <cellStyle name="Migliaia 51 3 2 7" xfId="51339" xr:uid="{00000000-0005-0000-0000-0000E2B80000}"/>
    <cellStyle name="Migliaia 51 3 2 8" xfId="51733" xr:uid="{00000000-0005-0000-0000-0000E3B80000}"/>
    <cellStyle name="Migliaia 51 3 2 9" xfId="52139" xr:uid="{00000000-0005-0000-0000-0000E4B80000}"/>
    <cellStyle name="Migliaia 51 3 3" xfId="2957" xr:uid="{00000000-0005-0000-0000-0000E5B80000}"/>
    <cellStyle name="Migliaia 51 3 3 2" xfId="20587" xr:uid="{00000000-0005-0000-0000-0000E6B80000}"/>
    <cellStyle name="Migliaia 51 3 3 2 2" xfId="36020" xr:uid="{00000000-0005-0000-0000-0000E7B80000}"/>
    <cellStyle name="Migliaia 51 3 3 2 3" xfId="50976" xr:uid="{00000000-0005-0000-0000-0000E8B80000}"/>
    <cellStyle name="Migliaia 51 3 3 3" xfId="19527" xr:uid="{00000000-0005-0000-0000-0000E9B80000}"/>
    <cellStyle name="Migliaia 51 3 3 3 2" xfId="35608" xr:uid="{00000000-0005-0000-0000-0000EAB80000}"/>
    <cellStyle name="Migliaia 51 3 3 3 3" xfId="50564" xr:uid="{00000000-0005-0000-0000-0000EBB80000}"/>
    <cellStyle name="Migliaia 51 3 3 4" xfId="11568" xr:uid="{00000000-0005-0000-0000-0000ECB80000}"/>
    <cellStyle name="Migliaia 51 3 4" xfId="3326" xr:uid="{00000000-0005-0000-0000-0000EDB80000}"/>
    <cellStyle name="Migliaia 51 3 4 2" xfId="20586" xr:uid="{00000000-0005-0000-0000-0000EEB80000}"/>
    <cellStyle name="Migliaia 51 3 4 2 2" xfId="36019" xr:uid="{00000000-0005-0000-0000-0000EFB80000}"/>
    <cellStyle name="Migliaia 51 3 4 2 3" xfId="50975" xr:uid="{00000000-0005-0000-0000-0000F0B80000}"/>
    <cellStyle name="Migliaia 51 3 4 3" xfId="28427" xr:uid="{00000000-0005-0000-0000-0000F1B80000}"/>
    <cellStyle name="Migliaia 51 3 4 4" xfId="43400" xr:uid="{00000000-0005-0000-0000-0000F2B80000}"/>
    <cellStyle name="Migliaia 51 3 4 5" xfId="12145" xr:uid="{00000000-0005-0000-0000-0000F3B80000}"/>
    <cellStyle name="Migliaia 51 3 5" xfId="19525" xr:uid="{00000000-0005-0000-0000-0000F4B80000}"/>
    <cellStyle name="Migliaia 51 3 5 2" xfId="35606" xr:uid="{00000000-0005-0000-0000-0000F5B80000}"/>
    <cellStyle name="Migliaia 51 3 5 3" xfId="50562" xr:uid="{00000000-0005-0000-0000-0000F6B80000}"/>
    <cellStyle name="Migliaia 51 3 6" xfId="21430" xr:uid="{00000000-0005-0000-0000-0000F7B80000}"/>
    <cellStyle name="Migliaia 51 3 7" xfId="36401" xr:uid="{00000000-0005-0000-0000-0000F8B80000}"/>
    <cellStyle name="Migliaia 51 3 8" xfId="51338" xr:uid="{00000000-0005-0000-0000-0000F9B80000}"/>
    <cellStyle name="Migliaia 51 3 9" xfId="51732" xr:uid="{00000000-0005-0000-0000-0000FAB80000}"/>
    <cellStyle name="Migliaia 51 4" xfId="2955" xr:uid="{00000000-0005-0000-0000-0000FBB80000}"/>
    <cellStyle name="Migliaia 51 4 2" xfId="19529" xr:uid="{00000000-0005-0000-0000-0000FCB80000}"/>
    <cellStyle name="Migliaia 51 4 2 2" xfId="20589" xr:uid="{00000000-0005-0000-0000-0000FDB80000}"/>
    <cellStyle name="Migliaia 51 4 2 2 2" xfId="36022" xr:uid="{00000000-0005-0000-0000-0000FEB80000}"/>
    <cellStyle name="Migliaia 51 4 2 2 3" xfId="50978" xr:uid="{00000000-0005-0000-0000-0000FFB80000}"/>
    <cellStyle name="Migliaia 51 4 2 3" xfId="35610" xr:uid="{00000000-0005-0000-0000-000000B90000}"/>
    <cellStyle name="Migliaia 51 4 2 4" xfId="50566" xr:uid="{00000000-0005-0000-0000-000001B90000}"/>
    <cellStyle name="Migliaia 51 4 3" xfId="20588" xr:uid="{00000000-0005-0000-0000-000002B90000}"/>
    <cellStyle name="Migliaia 51 4 3 2" xfId="36021" xr:uid="{00000000-0005-0000-0000-000003B90000}"/>
    <cellStyle name="Migliaia 51 4 3 3" xfId="50977" xr:uid="{00000000-0005-0000-0000-000004B90000}"/>
    <cellStyle name="Migliaia 51 4 4" xfId="19528" xr:uid="{00000000-0005-0000-0000-000005B90000}"/>
    <cellStyle name="Migliaia 51 4 4 2" xfId="35609" xr:uid="{00000000-0005-0000-0000-000006B90000}"/>
    <cellStyle name="Migliaia 51 4 4 3" xfId="50565" xr:uid="{00000000-0005-0000-0000-000007B90000}"/>
    <cellStyle name="Migliaia 51 4 5" xfId="11570" xr:uid="{00000000-0005-0000-0000-000008B90000}"/>
    <cellStyle name="Migliaia 51 5" xfId="3324" xr:uid="{00000000-0005-0000-0000-000009B90000}"/>
    <cellStyle name="Migliaia 51 5 2" xfId="19530" xr:uid="{00000000-0005-0000-0000-00000AB90000}"/>
    <cellStyle name="Migliaia 51 5 2 2" xfId="35611" xr:uid="{00000000-0005-0000-0000-00000BB90000}"/>
    <cellStyle name="Migliaia 51 5 2 3" xfId="50567" xr:uid="{00000000-0005-0000-0000-00000CB90000}"/>
    <cellStyle name="Migliaia 51 5 3" xfId="11571" xr:uid="{00000000-0005-0000-0000-00000DB90000}"/>
    <cellStyle name="Migliaia 51 6" xfId="11566" xr:uid="{00000000-0005-0000-0000-00000EB90000}"/>
    <cellStyle name="Migliaia 51 7" xfId="12143" xr:uid="{00000000-0005-0000-0000-00000FB90000}"/>
    <cellStyle name="Migliaia 51 7 2" xfId="28425" xr:uid="{00000000-0005-0000-0000-000010B90000}"/>
    <cellStyle name="Migliaia 51 7 3" xfId="43398" xr:uid="{00000000-0005-0000-0000-000011B90000}"/>
    <cellStyle name="Migliaia 51 8" xfId="19523" xr:uid="{00000000-0005-0000-0000-000012B90000}"/>
    <cellStyle name="Migliaia 51 8 2" xfId="35604" xr:uid="{00000000-0005-0000-0000-000013B90000}"/>
    <cellStyle name="Migliaia 51 8 3" xfId="50560" xr:uid="{00000000-0005-0000-0000-000014B90000}"/>
    <cellStyle name="Migliaia 51 9" xfId="21428" xr:uid="{00000000-0005-0000-0000-000015B90000}"/>
    <cellStyle name="Migliaia 52" xfId="1412" xr:uid="{00000000-0005-0000-0000-000016B90000}"/>
    <cellStyle name="Migliaia 52 10" xfId="36403" xr:uid="{00000000-0005-0000-0000-000017B90000}"/>
    <cellStyle name="Migliaia 52 11" xfId="51340" xr:uid="{00000000-0005-0000-0000-000018B90000}"/>
    <cellStyle name="Migliaia 52 12" xfId="51734" xr:uid="{00000000-0005-0000-0000-000019B90000}"/>
    <cellStyle name="Migliaia 52 13" xfId="52140" xr:uid="{00000000-0005-0000-0000-00001AB90000}"/>
    <cellStyle name="Migliaia 52 14" xfId="52548" xr:uid="{00000000-0005-0000-0000-00001BB90000}"/>
    <cellStyle name="Migliaia 52 15" xfId="3697" xr:uid="{00000000-0005-0000-0000-00001CB90000}"/>
    <cellStyle name="Migliaia 52 2" xfId="1413" xr:uid="{00000000-0005-0000-0000-00001DB90000}"/>
    <cellStyle name="Migliaia 52 2 10" xfId="52141" xr:uid="{00000000-0005-0000-0000-00001EB90000}"/>
    <cellStyle name="Migliaia 52 2 11" xfId="52549" xr:uid="{00000000-0005-0000-0000-00001FB90000}"/>
    <cellStyle name="Migliaia 52 2 12" xfId="3698" xr:uid="{00000000-0005-0000-0000-000020B90000}"/>
    <cellStyle name="Migliaia 52 2 2" xfId="1414" xr:uid="{00000000-0005-0000-0000-000021B90000}"/>
    <cellStyle name="Migliaia 52 2 2 10" xfId="3802" xr:uid="{00000000-0005-0000-0000-000022B90000}"/>
    <cellStyle name="Migliaia 52 2 2 2" xfId="3064" xr:uid="{00000000-0005-0000-0000-000023B90000}"/>
    <cellStyle name="Migliaia 52 2 2 2 2" xfId="28559" xr:uid="{00000000-0005-0000-0000-000024B90000}"/>
    <cellStyle name="Migliaia 52 2 2 2 3" xfId="43522" xr:uid="{00000000-0005-0000-0000-000025B90000}"/>
    <cellStyle name="Migliaia 52 2 2 2 4" xfId="12281" xr:uid="{00000000-0005-0000-0000-000026B90000}"/>
    <cellStyle name="Migliaia 52 2 2 3" xfId="3433" xr:uid="{00000000-0005-0000-0000-000027B90000}"/>
    <cellStyle name="Migliaia 52 2 2 3 2" xfId="36023" xr:uid="{00000000-0005-0000-0000-000028B90000}"/>
    <cellStyle name="Migliaia 52 2 2 3 3" xfId="50979" xr:uid="{00000000-0005-0000-0000-000029B90000}"/>
    <cellStyle name="Migliaia 52 2 2 3 4" xfId="20590" xr:uid="{00000000-0005-0000-0000-00002AB90000}"/>
    <cellStyle name="Migliaia 52 2 2 4" xfId="21559" xr:uid="{00000000-0005-0000-0000-00002BB90000}"/>
    <cellStyle name="Migliaia 52 2 2 5" xfId="36526" xr:uid="{00000000-0005-0000-0000-00002CB90000}"/>
    <cellStyle name="Migliaia 52 2 2 6" xfId="51464" xr:uid="{00000000-0005-0000-0000-00002DB90000}"/>
    <cellStyle name="Migliaia 52 2 2 7" xfId="51869" xr:uid="{00000000-0005-0000-0000-00002EB90000}"/>
    <cellStyle name="Migliaia 52 2 2 8" xfId="52278" xr:uid="{00000000-0005-0000-0000-00002FB90000}"/>
    <cellStyle name="Migliaia 52 2 2 9" xfId="52683" xr:uid="{00000000-0005-0000-0000-000030B90000}"/>
    <cellStyle name="Migliaia 52 2 3" xfId="2960" xr:uid="{00000000-0005-0000-0000-000031B90000}"/>
    <cellStyle name="Migliaia 52 2 3 2" xfId="11573" xr:uid="{00000000-0005-0000-0000-000032B90000}"/>
    <cellStyle name="Migliaia 52 2 4" xfId="3329" xr:uid="{00000000-0005-0000-0000-000033B90000}"/>
    <cellStyle name="Migliaia 52 2 4 2" xfId="28430" xr:uid="{00000000-0005-0000-0000-000034B90000}"/>
    <cellStyle name="Migliaia 52 2 4 3" xfId="43403" xr:uid="{00000000-0005-0000-0000-000035B90000}"/>
    <cellStyle name="Migliaia 52 2 4 4" xfId="12148" xr:uid="{00000000-0005-0000-0000-000036B90000}"/>
    <cellStyle name="Migliaia 52 2 5" xfId="19532" xr:uid="{00000000-0005-0000-0000-000037B90000}"/>
    <cellStyle name="Migliaia 52 2 5 2" xfId="35613" xr:uid="{00000000-0005-0000-0000-000038B90000}"/>
    <cellStyle name="Migliaia 52 2 5 3" xfId="50569" xr:uid="{00000000-0005-0000-0000-000039B90000}"/>
    <cellStyle name="Migliaia 52 2 6" xfId="21433" xr:uid="{00000000-0005-0000-0000-00003AB90000}"/>
    <cellStyle name="Migliaia 52 2 7" xfId="36404" xr:uid="{00000000-0005-0000-0000-00003BB90000}"/>
    <cellStyle name="Migliaia 52 2 8" xfId="51341" xr:uid="{00000000-0005-0000-0000-00003CB90000}"/>
    <cellStyle name="Migliaia 52 2 9" xfId="51735" xr:uid="{00000000-0005-0000-0000-00003DB90000}"/>
    <cellStyle name="Migliaia 52 3" xfId="1415" xr:uid="{00000000-0005-0000-0000-00003EB90000}"/>
    <cellStyle name="Migliaia 52 3 10" xfId="52142" xr:uid="{00000000-0005-0000-0000-00003FB90000}"/>
    <cellStyle name="Migliaia 52 3 11" xfId="52550" xr:uid="{00000000-0005-0000-0000-000040B90000}"/>
    <cellStyle name="Migliaia 52 3 12" xfId="3699" xr:uid="{00000000-0005-0000-0000-000041B90000}"/>
    <cellStyle name="Migliaia 52 3 2" xfId="1416" xr:uid="{00000000-0005-0000-0000-000042B90000}"/>
    <cellStyle name="Migliaia 52 3 2 10" xfId="52551" xr:uid="{00000000-0005-0000-0000-000043B90000}"/>
    <cellStyle name="Migliaia 52 3 2 11" xfId="3700" xr:uid="{00000000-0005-0000-0000-000044B90000}"/>
    <cellStyle name="Migliaia 52 3 2 2" xfId="2962" xr:uid="{00000000-0005-0000-0000-000045B90000}"/>
    <cellStyle name="Migliaia 52 3 2 2 2" xfId="11575" xr:uid="{00000000-0005-0000-0000-000046B90000}"/>
    <cellStyle name="Migliaia 52 3 2 3" xfId="3331" xr:uid="{00000000-0005-0000-0000-000047B90000}"/>
    <cellStyle name="Migliaia 52 3 2 3 2" xfId="28432" xr:uid="{00000000-0005-0000-0000-000048B90000}"/>
    <cellStyle name="Migliaia 52 3 2 3 3" xfId="43405" xr:uid="{00000000-0005-0000-0000-000049B90000}"/>
    <cellStyle name="Migliaia 52 3 2 3 4" xfId="12150" xr:uid="{00000000-0005-0000-0000-00004AB90000}"/>
    <cellStyle name="Migliaia 52 3 2 4" xfId="19534" xr:uid="{00000000-0005-0000-0000-00004BB90000}"/>
    <cellStyle name="Migliaia 52 3 2 4 2" xfId="35615" xr:uid="{00000000-0005-0000-0000-00004CB90000}"/>
    <cellStyle name="Migliaia 52 3 2 4 3" xfId="50571" xr:uid="{00000000-0005-0000-0000-00004DB90000}"/>
    <cellStyle name="Migliaia 52 3 2 5" xfId="21435" xr:uid="{00000000-0005-0000-0000-00004EB90000}"/>
    <cellStyle name="Migliaia 52 3 2 6" xfId="36406" xr:uid="{00000000-0005-0000-0000-00004FB90000}"/>
    <cellStyle name="Migliaia 52 3 2 7" xfId="51343" xr:uid="{00000000-0005-0000-0000-000050B90000}"/>
    <cellStyle name="Migliaia 52 3 2 8" xfId="51737" xr:uid="{00000000-0005-0000-0000-000051B90000}"/>
    <cellStyle name="Migliaia 52 3 2 9" xfId="52143" xr:uid="{00000000-0005-0000-0000-000052B90000}"/>
    <cellStyle name="Migliaia 52 3 3" xfId="2961" xr:uid="{00000000-0005-0000-0000-000053B90000}"/>
    <cellStyle name="Migliaia 52 3 3 2" xfId="20592" xr:uid="{00000000-0005-0000-0000-000054B90000}"/>
    <cellStyle name="Migliaia 52 3 3 2 2" xfId="36025" xr:uid="{00000000-0005-0000-0000-000055B90000}"/>
    <cellStyle name="Migliaia 52 3 3 2 3" xfId="50981" xr:uid="{00000000-0005-0000-0000-000056B90000}"/>
    <cellStyle name="Migliaia 52 3 3 3" xfId="19535" xr:uid="{00000000-0005-0000-0000-000057B90000}"/>
    <cellStyle name="Migliaia 52 3 3 3 2" xfId="35616" xr:uid="{00000000-0005-0000-0000-000058B90000}"/>
    <cellStyle name="Migliaia 52 3 3 3 3" xfId="50572" xr:uid="{00000000-0005-0000-0000-000059B90000}"/>
    <cellStyle name="Migliaia 52 3 3 4" xfId="11574" xr:uid="{00000000-0005-0000-0000-00005AB90000}"/>
    <cellStyle name="Migliaia 52 3 4" xfId="3330" xr:uid="{00000000-0005-0000-0000-00005BB90000}"/>
    <cellStyle name="Migliaia 52 3 4 2" xfId="20591" xr:uid="{00000000-0005-0000-0000-00005CB90000}"/>
    <cellStyle name="Migliaia 52 3 4 2 2" xfId="36024" xr:uid="{00000000-0005-0000-0000-00005DB90000}"/>
    <cellStyle name="Migliaia 52 3 4 2 3" xfId="50980" xr:uid="{00000000-0005-0000-0000-00005EB90000}"/>
    <cellStyle name="Migliaia 52 3 4 3" xfId="28431" xr:uid="{00000000-0005-0000-0000-00005FB90000}"/>
    <cellStyle name="Migliaia 52 3 4 4" xfId="43404" xr:uid="{00000000-0005-0000-0000-000060B90000}"/>
    <cellStyle name="Migliaia 52 3 4 5" xfId="12149" xr:uid="{00000000-0005-0000-0000-000061B90000}"/>
    <cellStyle name="Migliaia 52 3 5" xfId="19533" xr:uid="{00000000-0005-0000-0000-000062B90000}"/>
    <cellStyle name="Migliaia 52 3 5 2" xfId="35614" xr:uid="{00000000-0005-0000-0000-000063B90000}"/>
    <cellStyle name="Migliaia 52 3 5 3" xfId="50570" xr:uid="{00000000-0005-0000-0000-000064B90000}"/>
    <cellStyle name="Migliaia 52 3 6" xfId="21434" xr:uid="{00000000-0005-0000-0000-000065B90000}"/>
    <cellStyle name="Migliaia 52 3 7" xfId="36405" xr:uid="{00000000-0005-0000-0000-000066B90000}"/>
    <cellStyle name="Migliaia 52 3 8" xfId="51342" xr:uid="{00000000-0005-0000-0000-000067B90000}"/>
    <cellStyle name="Migliaia 52 3 9" xfId="51736" xr:uid="{00000000-0005-0000-0000-000068B90000}"/>
    <cellStyle name="Migliaia 52 4" xfId="2959" xr:uid="{00000000-0005-0000-0000-000069B90000}"/>
    <cellStyle name="Migliaia 52 4 2" xfId="19537" xr:uid="{00000000-0005-0000-0000-00006AB90000}"/>
    <cellStyle name="Migliaia 52 4 2 2" xfId="20594" xr:uid="{00000000-0005-0000-0000-00006BB90000}"/>
    <cellStyle name="Migliaia 52 4 2 2 2" xfId="36027" xr:uid="{00000000-0005-0000-0000-00006CB90000}"/>
    <cellStyle name="Migliaia 52 4 2 2 3" xfId="50983" xr:uid="{00000000-0005-0000-0000-00006DB90000}"/>
    <cellStyle name="Migliaia 52 4 2 3" xfId="35618" xr:uid="{00000000-0005-0000-0000-00006EB90000}"/>
    <cellStyle name="Migliaia 52 4 2 4" xfId="50574" xr:uid="{00000000-0005-0000-0000-00006FB90000}"/>
    <cellStyle name="Migliaia 52 4 3" xfId="20593" xr:uid="{00000000-0005-0000-0000-000070B90000}"/>
    <cellStyle name="Migliaia 52 4 3 2" xfId="36026" xr:uid="{00000000-0005-0000-0000-000071B90000}"/>
    <cellStyle name="Migliaia 52 4 3 3" xfId="50982" xr:uid="{00000000-0005-0000-0000-000072B90000}"/>
    <cellStyle name="Migliaia 52 4 4" xfId="19536" xr:uid="{00000000-0005-0000-0000-000073B90000}"/>
    <cellStyle name="Migliaia 52 4 4 2" xfId="35617" xr:uid="{00000000-0005-0000-0000-000074B90000}"/>
    <cellStyle name="Migliaia 52 4 4 3" xfId="50573" xr:uid="{00000000-0005-0000-0000-000075B90000}"/>
    <cellStyle name="Migliaia 52 4 5" xfId="11576" xr:uid="{00000000-0005-0000-0000-000076B90000}"/>
    <cellStyle name="Migliaia 52 5" xfId="3328" xr:uid="{00000000-0005-0000-0000-000077B90000}"/>
    <cellStyle name="Migliaia 52 5 2" xfId="19538" xr:uid="{00000000-0005-0000-0000-000078B90000}"/>
    <cellStyle name="Migliaia 52 5 2 2" xfId="35619" xr:uid="{00000000-0005-0000-0000-000079B90000}"/>
    <cellStyle name="Migliaia 52 5 2 3" xfId="50575" xr:uid="{00000000-0005-0000-0000-00007AB90000}"/>
    <cellStyle name="Migliaia 52 5 3" xfId="11577" xr:uid="{00000000-0005-0000-0000-00007BB90000}"/>
    <cellStyle name="Migliaia 52 6" xfId="11572" xr:uid="{00000000-0005-0000-0000-00007CB90000}"/>
    <cellStyle name="Migliaia 52 7" xfId="12147" xr:uid="{00000000-0005-0000-0000-00007DB90000}"/>
    <cellStyle name="Migliaia 52 7 2" xfId="28429" xr:uid="{00000000-0005-0000-0000-00007EB90000}"/>
    <cellStyle name="Migliaia 52 7 3" xfId="43402" xr:uid="{00000000-0005-0000-0000-00007FB90000}"/>
    <cellStyle name="Migliaia 52 8" xfId="19531" xr:uid="{00000000-0005-0000-0000-000080B90000}"/>
    <cellStyle name="Migliaia 52 8 2" xfId="35612" xr:uid="{00000000-0005-0000-0000-000081B90000}"/>
    <cellStyle name="Migliaia 52 8 3" xfId="50568" xr:uid="{00000000-0005-0000-0000-000082B90000}"/>
    <cellStyle name="Migliaia 52 9" xfId="21432" xr:uid="{00000000-0005-0000-0000-000083B90000}"/>
    <cellStyle name="Migliaia 53" xfId="1417" xr:uid="{00000000-0005-0000-0000-000084B90000}"/>
    <cellStyle name="Migliaia 53 10" xfId="36407" xr:uid="{00000000-0005-0000-0000-000085B90000}"/>
    <cellStyle name="Migliaia 53 11" xfId="51344" xr:uid="{00000000-0005-0000-0000-000086B90000}"/>
    <cellStyle name="Migliaia 53 12" xfId="51738" xr:uid="{00000000-0005-0000-0000-000087B90000}"/>
    <cellStyle name="Migliaia 53 13" xfId="52144" xr:uid="{00000000-0005-0000-0000-000088B90000}"/>
    <cellStyle name="Migliaia 53 14" xfId="52552" xr:uid="{00000000-0005-0000-0000-000089B90000}"/>
    <cellStyle name="Migliaia 53 15" xfId="3701" xr:uid="{00000000-0005-0000-0000-00008AB90000}"/>
    <cellStyle name="Migliaia 53 2" xfId="1418" xr:uid="{00000000-0005-0000-0000-00008BB90000}"/>
    <cellStyle name="Migliaia 53 2 10" xfId="52145" xr:uid="{00000000-0005-0000-0000-00008CB90000}"/>
    <cellStyle name="Migliaia 53 2 11" xfId="52553" xr:uid="{00000000-0005-0000-0000-00008DB90000}"/>
    <cellStyle name="Migliaia 53 2 12" xfId="3702" xr:uid="{00000000-0005-0000-0000-00008EB90000}"/>
    <cellStyle name="Migliaia 53 2 2" xfId="1419" xr:uid="{00000000-0005-0000-0000-00008FB90000}"/>
    <cellStyle name="Migliaia 53 2 2 10" xfId="3803" xr:uid="{00000000-0005-0000-0000-000090B90000}"/>
    <cellStyle name="Migliaia 53 2 2 2" xfId="3065" xr:uid="{00000000-0005-0000-0000-000091B90000}"/>
    <cellStyle name="Migliaia 53 2 2 2 2" xfId="28560" xr:uid="{00000000-0005-0000-0000-000092B90000}"/>
    <cellStyle name="Migliaia 53 2 2 2 3" xfId="43523" xr:uid="{00000000-0005-0000-0000-000093B90000}"/>
    <cellStyle name="Migliaia 53 2 2 2 4" xfId="12282" xr:uid="{00000000-0005-0000-0000-000094B90000}"/>
    <cellStyle name="Migliaia 53 2 2 3" xfId="3434" xr:uid="{00000000-0005-0000-0000-000095B90000}"/>
    <cellStyle name="Migliaia 53 2 2 3 2" xfId="36028" xr:uid="{00000000-0005-0000-0000-000096B90000}"/>
    <cellStyle name="Migliaia 53 2 2 3 3" xfId="50984" xr:uid="{00000000-0005-0000-0000-000097B90000}"/>
    <cellStyle name="Migliaia 53 2 2 3 4" xfId="20595" xr:uid="{00000000-0005-0000-0000-000098B90000}"/>
    <cellStyle name="Migliaia 53 2 2 4" xfId="21560" xr:uid="{00000000-0005-0000-0000-000099B90000}"/>
    <cellStyle name="Migliaia 53 2 2 5" xfId="36527" xr:uid="{00000000-0005-0000-0000-00009AB90000}"/>
    <cellStyle name="Migliaia 53 2 2 6" xfId="51465" xr:uid="{00000000-0005-0000-0000-00009BB90000}"/>
    <cellStyle name="Migliaia 53 2 2 7" xfId="51870" xr:uid="{00000000-0005-0000-0000-00009CB90000}"/>
    <cellStyle name="Migliaia 53 2 2 8" xfId="52279" xr:uid="{00000000-0005-0000-0000-00009DB90000}"/>
    <cellStyle name="Migliaia 53 2 2 9" xfId="52684" xr:uid="{00000000-0005-0000-0000-00009EB90000}"/>
    <cellStyle name="Migliaia 53 2 3" xfId="2964" xr:uid="{00000000-0005-0000-0000-00009FB90000}"/>
    <cellStyle name="Migliaia 53 2 3 2" xfId="11579" xr:uid="{00000000-0005-0000-0000-0000A0B90000}"/>
    <cellStyle name="Migliaia 53 2 4" xfId="3333" xr:uid="{00000000-0005-0000-0000-0000A1B90000}"/>
    <cellStyle name="Migliaia 53 2 4 2" xfId="28434" xr:uid="{00000000-0005-0000-0000-0000A2B90000}"/>
    <cellStyle name="Migliaia 53 2 4 3" xfId="43407" xr:uid="{00000000-0005-0000-0000-0000A3B90000}"/>
    <cellStyle name="Migliaia 53 2 4 4" xfId="12152" xr:uid="{00000000-0005-0000-0000-0000A4B90000}"/>
    <cellStyle name="Migliaia 53 2 5" xfId="19540" xr:uid="{00000000-0005-0000-0000-0000A5B90000}"/>
    <cellStyle name="Migliaia 53 2 5 2" xfId="35621" xr:uid="{00000000-0005-0000-0000-0000A6B90000}"/>
    <cellStyle name="Migliaia 53 2 5 3" xfId="50577" xr:uid="{00000000-0005-0000-0000-0000A7B90000}"/>
    <cellStyle name="Migliaia 53 2 6" xfId="21437" xr:uid="{00000000-0005-0000-0000-0000A8B90000}"/>
    <cellStyle name="Migliaia 53 2 7" xfId="36408" xr:uid="{00000000-0005-0000-0000-0000A9B90000}"/>
    <cellStyle name="Migliaia 53 2 8" xfId="51345" xr:uid="{00000000-0005-0000-0000-0000AAB90000}"/>
    <cellStyle name="Migliaia 53 2 9" xfId="51739" xr:uid="{00000000-0005-0000-0000-0000ABB90000}"/>
    <cellStyle name="Migliaia 53 3" xfId="1420" xr:uid="{00000000-0005-0000-0000-0000ACB90000}"/>
    <cellStyle name="Migliaia 53 3 10" xfId="52146" xr:uid="{00000000-0005-0000-0000-0000ADB90000}"/>
    <cellStyle name="Migliaia 53 3 11" xfId="52554" xr:uid="{00000000-0005-0000-0000-0000AEB90000}"/>
    <cellStyle name="Migliaia 53 3 12" xfId="3703" xr:uid="{00000000-0005-0000-0000-0000AFB90000}"/>
    <cellStyle name="Migliaia 53 3 2" xfId="1421" xr:uid="{00000000-0005-0000-0000-0000B0B90000}"/>
    <cellStyle name="Migliaia 53 3 2 10" xfId="52555" xr:uid="{00000000-0005-0000-0000-0000B1B90000}"/>
    <cellStyle name="Migliaia 53 3 2 11" xfId="3704" xr:uid="{00000000-0005-0000-0000-0000B2B90000}"/>
    <cellStyle name="Migliaia 53 3 2 2" xfId="2966" xr:uid="{00000000-0005-0000-0000-0000B3B90000}"/>
    <cellStyle name="Migliaia 53 3 2 2 2" xfId="11581" xr:uid="{00000000-0005-0000-0000-0000B4B90000}"/>
    <cellStyle name="Migliaia 53 3 2 3" xfId="3335" xr:uid="{00000000-0005-0000-0000-0000B5B90000}"/>
    <cellStyle name="Migliaia 53 3 2 3 2" xfId="28436" xr:uid="{00000000-0005-0000-0000-0000B6B90000}"/>
    <cellStyle name="Migliaia 53 3 2 3 3" xfId="43409" xr:uid="{00000000-0005-0000-0000-0000B7B90000}"/>
    <cellStyle name="Migliaia 53 3 2 3 4" xfId="12154" xr:uid="{00000000-0005-0000-0000-0000B8B90000}"/>
    <cellStyle name="Migliaia 53 3 2 4" xfId="19542" xr:uid="{00000000-0005-0000-0000-0000B9B90000}"/>
    <cellStyle name="Migliaia 53 3 2 4 2" xfId="35623" xr:uid="{00000000-0005-0000-0000-0000BAB90000}"/>
    <cellStyle name="Migliaia 53 3 2 4 3" xfId="50579" xr:uid="{00000000-0005-0000-0000-0000BBB90000}"/>
    <cellStyle name="Migliaia 53 3 2 5" xfId="21439" xr:uid="{00000000-0005-0000-0000-0000BCB90000}"/>
    <cellStyle name="Migliaia 53 3 2 6" xfId="36410" xr:uid="{00000000-0005-0000-0000-0000BDB90000}"/>
    <cellStyle name="Migliaia 53 3 2 7" xfId="51347" xr:uid="{00000000-0005-0000-0000-0000BEB90000}"/>
    <cellStyle name="Migliaia 53 3 2 8" xfId="51741" xr:uid="{00000000-0005-0000-0000-0000BFB90000}"/>
    <cellStyle name="Migliaia 53 3 2 9" xfId="52147" xr:uid="{00000000-0005-0000-0000-0000C0B90000}"/>
    <cellStyle name="Migliaia 53 3 3" xfId="2965" xr:uid="{00000000-0005-0000-0000-0000C1B90000}"/>
    <cellStyle name="Migliaia 53 3 3 2" xfId="20597" xr:uid="{00000000-0005-0000-0000-0000C2B90000}"/>
    <cellStyle name="Migliaia 53 3 3 2 2" xfId="36030" xr:uid="{00000000-0005-0000-0000-0000C3B90000}"/>
    <cellStyle name="Migliaia 53 3 3 2 3" xfId="50986" xr:uid="{00000000-0005-0000-0000-0000C4B90000}"/>
    <cellStyle name="Migliaia 53 3 3 3" xfId="19543" xr:uid="{00000000-0005-0000-0000-0000C5B90000}"/>
    <cellStyle name="Migliaia 53 3 3 3 2" xfId="35624" xr:uid="{00000000-0005-0000-0000-0000C6B90000}"/>
    <cellStyle name="Migliaia 53 3 3 3 3" xfId="50580" xr:uid="{00000000-0005-0000-0000-0000C7B90000}"/>
    <cellStyle name="Migliaia 53 3 3 4" xfId="11580" xr:uid="{00000000-0005-0000-0000-0000C8B90000}"/>
    <cellStyle name="Migliaia 53 3 4" xfId="3334" xr:uid="{00000000-0005-0000-0000-0000C9B90000}"/>
    <cellStyle name="Migliaia 53 3 4 2" xfId="20596" xr:uid="{00000000-0005-0000-0000-0000CAB90000}"/>
    <cellStyle name="Migliaia 53 3 4 2 2" xfId="36029" xr:uid="{00000000-0005-0000-0000-0000CBB90000}"/>
    <cellStyle name="Migliaia 53 3 4 2 3" xfId="50985" xr:uid="{00000000-0005-0000-0000-0000CCB90000}"/>
    <cellStyle name="Migliaia 53 3 4 3" xfId="28435" xr:uid="{00000000-0005-0000-0000-0000CDB90000}"/>
    <cellStyle name="Migliaia 53 3 4 4" xfId="43408" xr:uid="{00000000-0005-0000-0000-0000CEB90000}"/>
    <cellStyle name="Migliaia 53 3 4 5" xfId="12153" xr:uid="{00000000-0005-0000-0000-0000CFB90000}"/>
    <cellStyle name="Migliaia 53 3 5" xfId="19541" xr:uid="{00000000-0005-0000-0000-0000D0B90000}"/>
    <cellStyle name="Migliaia 53 3 5 2" xfId="35622" xr:uid="{00000000-0005-0000-0000-0000D1B90000}"/>
    <cellStyle name="Migliaia 53 3 5 3" xfId="50578" xr:uid="{00000000-0005-0000-0000-0000D2B90000}"/>
    <cellStyle name="Migliaia 53 3 6" xfId="21438" xr:uid="{00000000-0005-0000-0000-0000D3B90000}"/>
    <cellStyle name="Migliaia 53 3 7" xfId="36409" xr:uid="{00000000-0005-0000-0000-0000D4B90000}"/>
    <cellStyle name="Migliaia 53 3 8" xfId="51346" xr:uid="{00000000-0005-0000-0000-0000D5B90000}"/>
    <cellStyle name="Migliaia 53 3 9" xfId="51740" xr:uid="{00000000-0005-0000-0000-0000D6B90000}"/>
    <cellStyle name="Migliaia 53 4" xfId="2963" xr:uid="{00000000-0005-0000-0000-0000D7B90000}"/>
    <cellStyle name="Migliaia 53 4 2" xfId="19545" xr:uid="{00000000-0005-0000-0000-0000D8B90000}"/>
    <cellStyle name="Migliaia 53 4 2 2" xfId="20599" xr:uid="{00000000-0005-0000-0000-0000D9B90000}"/>
    <cellStyle name="Migliaia 53 4 2 2 2" xfId="36032" xr:uid="{00000000-0005-0000-0000-0000DAB90000}"/>
    <cellStyle name="Migliaia 53 4 2 2 3" xfId="50988" xr:uid="{00000000-0005-0000-0000-0000DBB90000}"/>
    <cellStyle name="Migliaia 53 4 2 3" xfId="35626" xr:uid="{00000000-0005-0000-0000-0000DCB90000}"/>
    <cellStyle name="Migliaia 53 4 2 4" xfId="50582" xr:uid="{00000000-0005-0000-0000-0000DDB90000}"/>
    <cellStyle name="Migliaia 53 4 3" xfId="20598" xr:uid="{00000000-0005-0000-0000-0000DEB90000}"/>
    <cellStyle name="Migliaia 53 4 3 2" xfId="36031" xr:uid="{00000000-0005-0000-0000-0000DFB90000}"/>
    <cellStyle name="Migliaia 53 4 3 3" xfId="50987" xr:uid="{00000000-0005-0000-0000-0000E0B90000}"/>
    <cellStyle name="Migliaia 53 4 4" xfId="19544" xr:uid="{00000000-0005-0000-0000-0000E1B90000}"/>
    <cellStyle name="Migliaia 53 4 4 2" xfId="35625" xr:uid="{00000000-0005-0000-0000-0000E2B90000}"/>
    <cellStyle name="Migliaia 53 4 4 3" xfId="50581" xr:uid="{00000000-0005-0000-0000-0000E3B90000}"/>
    <cellStyle name="Migliaia 53 4 5" xfId="11582" xr:uid="{00000000-0005-0000-0000-0000E4B90000}"/>
    <cellStyle name="Migliaia 53 5" xfId="3332" xr:uid="{00000000-0005-0000-0000-0000E5B90000}"/>
    <cellStyle name="Migliaia 53 5 2" xfId="19546" xr:uid="{00000000-0005-0000-0000-0000E6B90000}"/>
    <cellStyle name="Migliaia 53 5 2 2" xfId="35627" xr:uid="{00000000-0005-0000-0000-0000E7B90000}"/>
    <cellStyle name="Migliaia 53 5 2 3" xfId="50583" xr:uid="{00000000-0005-0000-0000-0000E8B90000}"/>
    <cellStyle name="Migliaia 53 5 3" xfId="11583" xr:uid="{00000000-0005-0000-0000-0000E9B90000}"/>
    <cellStyle name="Migliaia 53 6" xfId="11578" xr:uid="{00000000-0005-0000-0000-0000EAB90000}"/>
    <cellStyle name="Migliaia 53 7" xfId="12151" xr:uid="{00000000-0005-0000-0000-0000EBB90000}"/>
    <cellStyle name="Migliaia 53 7 2" xfId="28433" xr:uid="{00000000-0005-0000-0000-0000ECB90000}"/>
    <cellStyle name="Migliaia 53 7 3" xfId="43406" xr:uid="{00000000-0005-0000-0000-0000EDB90000}"/>
    <cellStyle name="Migliaia 53 8" xfId="19539" xr:uid="{00000000-0005-0000-0000-0000EEB90000}"/>
    <cellStyle name="Migliaia 53 8 2" xfId="35620" xr:uid="{00000000-0005-0000-0000-0000EFB90000}"/>
    <cellStyle name="Migliaia 53 8 3" xfId="50576" xr:uid="{00000000-0005-0000-0000-0000F0B90000}"/>
    <cellStyle name="Migliaia 53 9" xfId="21436" xr:uid="{00000000-0005-0000-0000-0000F1B90000}"/>
    <cellStyle name="Migliaia 54" xfId="1422" xr:uid="{00000000-0005-0000-0000-0000F2B90000}"/>
    <cellStyle name="Migliaia 54 10" xfId="36411" xr:uid="{00000000-0005-0000-0000-0000F3B90000}"/>
    <cellStyle name="Migliaia 54 11" xfId="51348" xr:uid="{00000000-0005-0000-0000-0000F4B90000}"/>
    <cellStyle name="Migliaia 54 12" xfId="51742" xr:uid="{00000000-0005-0000-0000-0000F5B90000}"/>
    <cellStyle name="Migliaia 54 13" xfId="52148" xr:uid="{00000000-0005-0000-0000-0000F6B90000}"/>
    <cellStyle name="Migliaia 54 14" xfId="52556" xr:uid="{00000000-0005-0000-0000-0000F7B90000}"/>
    <cellStyle name="Migliaia 54 15" xfId="3705" xr:uid="{00000000-0005-0000-0000-0000F8B90000}"/>
    <cellStyle name="Migliaia 54 2" xfId="1423" xr:uid="{00000000-0005-0000-0000-0000F9B90000}"/>
    <cellStyle name="Migliaia 54 2 10" xfId="52149" xr:uid="{00000000-0005-0000-0000-0000FAB90000}"/>
    <cellStyle name="Migliaia 54 2 11" xfId="52557" xr:uid="{00000000-0005-0000-0000-0000FBB90000}"/>
    <cellStyle name="Migliaia 54 2 12" xfId="3706" xr:uid="{00000000-0005-0000-0000-0000FCB90000}"/>
    <cellStyle name="Migliaia 54 2 2" xfId="1424" xr:uid="{00000000-0005-0000-0000-0000FDB90000}"/>
    <cellStyle name="Migliaia 54 2 2 10" xfId="3804" xr:uid="{00000000-0005-0000-0000-0000FEB90000}"/>
    <cellStyle name="Migliaia 54 2 2 2" xfId="3066" xr:uid="{00000000-0005-0000-0000-0000FFB90000}"/>
    <cellStyle name="Migliaia 54 2 2 2 2" xfId="28561" xr:uid="{00000000-0005-0000-0000-000000BA0000}"/>
    <cellStyle name="Migliaia 54 2 2 2 3" xfId="43524" xr:uid="{00000000-0005-0000-0000-000001BA0000}"/>
    <cellStyle name="Migliaia 54 2 2 2 4" xfId="12283" xr:uid="{00000000-0005-0000-0000-000002BA0000}"/>
    <cellStyle name="Migliaia 54 2 2 3" xfId="3435" xr:uid="{00000000-0005-0000-0000-000003BA0000}"/>
    <cellStyle name="Migliaia 54 2 2 3 2" xfId="36033" xr:uid="{00000000-0005-0000-0000-000004BA0000}"/>
    <cellStyle name="Migliaia 54 2 2 3 3" xfId="50989" xr:uid="{00000000-0005-0000-0000-000005BA0000}"/>
    <cellStyle name="Migliaia 54 2 2 3 4" xfId="20600" xr:uid="{00000000-0005-0000-0000-000006BA0000}"/>
    <cellStyle name="Migliaia 54 2 2 4" xfId="21561" xr:uid="{00000000-0005-0000-0000-000007BA0000}"/>
    <cellStyle name="Migliaia 54 2 2 5" xfId="36528" xr:uid="{00000000-0005-0000-0000-000008BA0000}"/>
    <cellStyle name="Migliaia 54 2 2 6" xfId="51466" xr:uid="{00000000-0005-0000-0000-000009BA0000}"/>
    <cellStyle name="Migliaia 54 2 2 7" xfId="51871" xr:uid="{00000000-0005-0000-0000-00000ABA0000}"/>
    <cellStyle name="Migliaia 54 2 2 8" xfId="52280" xr:uid="{00000000-0005-0000-0000-00000BBA0000}"/>
    <cellStyle name="Migliaia 54 2 2 9" xfId="52685" xr:uid="{00000000-0005-0000-0000-00000CBA0000}"/>
    <cellStyle name="Migliaia 54 2 3" xfId="2968" xr:uid="{00000000-0005-0000-0000-00000DBA0000}"/>
    <cellStyle name="Migliaia 54 2 3 2" xfId="11585" xr:uid="{00000000-0005-0000-0000-00000EBA0000}"/>
    <cellStyle name="Migliaia 54 2 4" xfId="3337" xr:uid="{00000000-0005-0000-0000-00000FBA0000}"/>
    <cellStyle name="Migliaia 54 2 4 2" xfId="28438" xr:uid="{00000000-0005-0000-0000-000010BA0000}"/>
    <cellStyle name="Migliaia 54 2 4 3" xfId="43411" xr:uid="{00000000-0005-0000-0000-000011BA0000}"/>
    <cellStyle name="Migliaia 54 2 4 4" xfId="12156" xr:uid="{00000000-0005-0000-0000-000012BA0000}"/>
    <cellStyle name="Migliaia 54 2 5" xfId="19548" xr:uid="{00000000-0005-0000-0000-000013BA0000}"/>
    <cellStyle name="Migliaia 54 2 5 2" xfId="35629" xr:uid="{00000000-0005-0000-0000-000014BA0000}"/>
    <cellStyle name="Migliaia 54 2 5 3" xfId="50585" xr:uid="{00000000-0005-0000-0000-000015BA0000}"/>
    <cellStyle name="Migliaia 54 2 6" xfId="21441" xr:uid="{00000000-0005-0000-0000-000016BA0000}"/>
    <cellStyle name="Migliaia 54 2 7" xfId="36412" xr:uid="{00000000-0005-0000-0000-000017BA0000}"/>
    <cellStyle name="Migliaia 54 2 8" xfId="51349" xr:uid="{00000000-0005-0000-0000-000018BA0000}"/>
    <cellStyle name="Migliaia 54 2 9" xfId="51743" xr:uid="{00000000-0005-0000-0000-000019BA0000}"/>
    <cellStyle name="Migliaia 54 3" xfId="1425" xr:uid="{00000000-0005-0000-0000-00001ABA0000}"/>
    <cellStyle name="Migliaia 54 3 10" xfId="52150" xr:uid="{00000000-0005-0000-0000-00001BBA0000}"/>
    <cellStyle name="Migliaia 54 3 11" xfId="52558" xr:uid="{00000000-0005-0000-0000-00001CBA0000}"/>
    <cellStyle name="Migliaia 54 3 12" xfId="3707" xr:uid="{00000000-0005-0000-0000-00001DBA0000}"/>
    <cellStyle name="Migliaia 54 3 2" xfId="1426" xr:uid="{00000000-0005-0000-0000-00001EBA0000}"/>
    <cellStyle name="Migliaia 54 3 2 10" xfId="52559" xr:uid="{00000000-0005-0000-0000-00001FBA0000}"/>
    <cellStyle name="Migliaia 54 3 2 11" xfId="3708" xr:uid="{00000000-0005-0000-0000-000020BA0000}"/>
    <cellStyle name="Migliaia 54 3 2 2" xfId="2970" xr:uid="{00000000-0005-0000-0000-000021BA0000}"/>
    <cellStyle name="Migliaia 54 3 2 2 2" xfId="11587" xr:uid="{00000000-0005-0000-0000-000022BA0000}"/>
    <cellStyle name="Migliaia 54 3 2 3" xfId="3339" xr:uid="{00000000-0005-0000-0000-000023BA0000}"/>
    <cellStyle name="Migliaia 54 3 2 3 2" xfId="28440" xr:uid="{00000000-0005-0000-0000-000024BA0000}"/>
    <cellStyle name="Migliaia 54 3 2 3 3" xfId="43413" xr:uid="{00000000-0005-0000-0000-000025BA0000}"/>
    <cellStyle name="Migliaia 54 3 2 3 4" xfId="12158" xr:uid="{00000000-0005-0000-0000-000026BA0000}"/>
    <cellStyle name="Migliaia 54 3 2 4" xfId="19550" xr:uid="{00000000-0005-0000-0000-000027BA0000}"/>
    <cellStyle name="Migliaia 54 3 2 4 2" xfId="35631" xr:uid="{00000000-0005-0000-0000-000028BA0000}"/>
    <cellStyle name="Migliaia 54 3 2 4 3" xfId="50587" xr:uid="{00000000-0005-0000-0000-000029BA0000}"/>
    <cellStyle name="Migliaia 54 3 2 5" xfId="21443" xr:uid="{00000000-0005-0000-0000-00002ABA0000}"/>
    <cellStyle name="Migliaia 54 3 2 6" xfId="36414" xr:uid="{00000000-0005-0000-0000-00002BBA0000}"/>
    <cellStyle name="Migliaia 54 3 2 7" xfId="51351" xr:uid="{00000000-0005-0000-0000-00002CBA0000}"/>
    <cellStyle name="Migliaia 54 3 2 8" xfId="51745" xr:uid="{00000000-0005-0000-0000-00002DBA0000}"/>
    <cellStyle name="Migliaia 54 3 2 9" xfId="52151" xr:uid="{00000000-0005-0000-0000-00002EBA0000}"/>
    <cellStyle name="Migliaia 54 3 3" xfId="2969" xr:uid="{00000000-0005-0000-0000-00002FBA0000}"/>
    <cellStyle name="Migliaia 54 3 3 2" xfId="20602" xr:uid="{00000000-0005-0000-0000-000030BA0000}"/>
    <cellStyle name="Migliaia 54 3 3 2 2" xfId="36035" xr:uid="{00000000-0005-0000-0000-000031BA0000}"/>
    <cellStyle name="Migliaia 54 3 3 2 3" xfId="50991" xr:uid="{00000000-0005-0000-0000-000032BA0000}"/>
    <cellStyle name="Migliaia 54 3 3 3" xfId="19551" xr:uid="{00000000-0005-0000-0000-000033BA0000}"/>
    <cellStyle name="Migliaia 54 3 3 3 2" xfId="35632" xr:uid="{00000000-0005-0000-0000-000034BA0000}"/>
    <cellStyle name="Migliaia 54 3 3 3 3" xfId="50588" xr:uid="{00000000-0005-0000-0000-000035BA0000}"/>
    <cellStyle name="Migliaia 54 3 3 4" xfId="11586" xr:uid="{00000000-0005-0000-0000-000036BA0000}"/>
    <cellStyle name="Migliaia 54 3 4" xfId="3338" xr:uid="{00000000-0005-0000-0000-000037BA0000}"/>
    <cellStyle name="Migliaia 54 3 4 2" xfId="20601" xr:uid="{00000000-0005-0000-0000-000038BA0000}"/>
    <cellStyle name="Migliaia 54 3 4 2 2" xfId="36034" xr:uid="{00000000-0005-0000-0000-000039BA0000}"/>
    <cellStyle name="Migliaia 54 3 4 2 3" xfId="50990" xr:uid="{00000000-0005-0000-0000-00003ABA0000}"/>
    <cellStyle name="Migliaia 54 3 4 3" xfId="28439" xr:uid="{00000000-0005-0000-0000-00003BBA0000}"/>
    <cellStyle name="Migliaia 54 3 4 4" xfId="43412" xr:uid="{00000000-0005-0000-0000-00003CBA0000}"/>
    <cellStyle name="Migliaia 54 3 4 5" xfId="12157" xr:uid="{00000000-0005-0000-0000-00003DBA0000}"/>
    <cellStyle name="Migliaia 54 3 5" xfId="19549" xr:uid="{00000000-0005-0000-0000-00003EBA0000}"/>
    <cellStyle name="Migliaia 54 3 5 2" xfId="35630" xr:uid="{00000000-0005-0000-0000-00003FBA0000}"/>
    <cellStyle name="Migliaia 54 3 5 3" xfId="50586" xr:uid="{00000000-0005-0000-0000-000040BA0000}"/>
    <cellStyle name="Migliaia 54 3 6" xfId="21442" xr:uid="{00000000-0005-0000-0000-000041BA0000}"/>
    <cellStyle name="Migliaia 54 3 7" xfId="36413" xr:uid="{00000000-0005-0000-0000-000042BA0000}"/>
    <cellStyle name="Migliaia 54 3 8" xfId="51350" xr:uid="{00000000-0005-0000-0000-000043BA0000}"/>
    <cellStyle name="Migliaia 54 3 9" xfId="51744" xr:uid="{00000000-0005-0000-0000-000044BA0000}"/>
    <cellStyle name="Migliaia 54 4" xfId="2967" xr:uid="{00000000-0005-0000-0000-000045BA0000}"/>
    <cellStyle name="Migliaia 54 4 2" xfId="19553" xr:uid="{00000000-0005-0000-0000-000046BA0000}"/>
    <cellStyle name="Migliaia 54 4 2 2" xfId="20604" xr:uid="{00000000-0005-0000-0000-000047BA0000}"/>
    <cellStyle name="Migliaia 54 4 2 2 2" xfId="36037" xr:uid="{00000000-0005-0000-0000-000048BA0000}"/>
    <cellStyle name="Migliaia 54 4 2 2 3" xfId="50993" xr:uid="{00000000-0005-0000-0000-000049BA0000}"/>
    <cellStyle name="Migliaia 54 4 2 3" xfId="35634" xr:uid="{00000000-0005-0000-0000-00004ABA0000}"/>
    <cellStyle name="Migliaia 54 4 2 4" xfId="50590" xr:uid="{00000000-0005-0000-0000-00004BBA0000}"/>
    <cellStyle name="Migliaia 54 4 3" xfId="20603" xr:uid="{00000000-0005-0000-0000-00004CBA0000}"/>
    <cellStyle name="Migliaia 54 4 3 2" xfId="36036" xr:uid="{00000000-0005-0000-0000-00004DBA0000}"/>
    <cellStyle name="Migliaia 54 4 3 3" xfId="50992" xr:uid="{00000000-0005-0000-0000-00004EBA0000}"/>
    <cellStyle name="Migliaia 54 4 4" xfId="19552" xr:uid="{00000000-0005-0000-0000-00004FBA0000}"/>
    <cellStyle name="Migliaia 54 4 4 2" xfId="35633" xr:uid="{00000000-0005-0000-0000-000050BA0000}"/>
    <cellStyle name="Migliaia 54 4 4 3" xfId="50589" xr:uid="{00000000-0005-0000-0000-000051BA0000}"/>
    <cellStyle name="Migliaia 54 4 5" xfId="11588" xr:uid="{00000000-0005-0000-0000-000052BA0000}"/>
    <cellStyle name="Migliaia 54 5" xfId="3336" xr:uid="{00000000-0005-0000-0000-000053BA0000}"/>
    <cellStyle name="Migliaia 54 5 2" xfId="19554" xr:uid="{00000000-0005-0000-0000-000054BA0000}"/>
    <cellStyle name="Migliaia 54 5 2 2" xfId="35635" xr:uid="{00000000-0005-0000-0000-000055BA0000}"/>
    <cellStyle name="Migliaia 54 5 2 3" xfId="50591" xr:uid="{00000000-0005-0000-0000-000056BA0000}"/>
    <cellStyle name="Migliaia 54 5 3" xfId="11589" xr:uid="{00000000-0005-0000-0000-000057BA0000}"/>
    <cellStyle name="Migliaia 54 6" xfId="11584" xr:uid="{00000000-0005-0000-0000-000058BA0000}"/>
    <cellStyle name="Migliaia 54 7" xfId="12155" xr:uid="{00000000-0005-0000-0000-000059BA0000}"/>
    <cellStyle name="Migliaia 54 7 2" xfId="28437" xr:uid="{00000000-0005-0000-0000-00005ABA0000}"/>
    <cellStyle name="Migliaia 54 7 3" xfId="43410" xr:uid="{00000000-0005-0000-0000-00005BBA0000}"/>
    <cellStyle name="Migliaia 54 8" xfId="19547" xr:uid="{00000000-0005-0000-0000-00005CBA0000}"/>
    <cellStyle name="Migliaia 54 8 2" xfId="35628" xr:uid="{00000000-0005-0000-0000-00005DBA0000}"/>
    <cellStyle name="Migliaia 54 8 3" xfId="50584" xr:uid="{00000000-0005-0000-0000-00005EBA0000}"/>
    <cellStyle name="Migliaia 54 9" xfId="21440" xr:uid="{00000000-0005-0000-0000-00005FBA0000}"/>
    <cellStyle name="Migliaia 55" xfId="1427" xr:uid="{00000000-0005-0000-0000-000060BA0000}"/>
    <cellStyle name="Migliaia 55 10" xfId="36415" xr:uid="{00000000-0005-0000-0000-000061BA0000}"/>
    <cellStyle name="Migliaia 55 11" xfId="51352" xr:uid="{00000000-0005-0000-0000-000062BA0000}"/>
    <cellStyle name="Migliaia 55 12" xfId="51746" xr:uid="{00000000-0005-0000-0000-000063BA0000}"/>
    <cellStyle name="Migliaia 55 13" xfId="52152" xr:uid="{00000000-0005-0000-0000-000064BA0000}"/>
    <cellStyle name="Migliaia 55 14" xfId="52560" xr:uid="{00000000-0005-0000-0000-000065BA0000}"/>
    <cellStyle name="Migliaia 55 15" xfId="3709" xr:uid="{00000000-0005-0000-0000-000066BA0000}"/>
    <cellStyle name="Migliaia 55 2" xfId="1428" xr:uid="{00000000-0005-0000-0000-000067BA0000}"/>
    <cellStyle name="Migliaia 55 2 10" xfId="52153" xr:uid="{00000000-0005-0000-0000-000068BA0000}"/>
    <cellStyle name="Migliaia 55 2 11" xfId="52561" xr:uid="{00000000-0005-0000-0000-000069BA0000}"/>
    <cellStyle name="Migliaia 55 2 12" xfId="3710" xr:uid="{00000000-0005-0000-0000-00006ABA0000}"/>
    <cellStyle name="Migliaia 55 2 2" xfId="1429" xr:uid="{00000000-0005-0000-0000-00006BBA0000}"/>
    <cellStyle name="Migliaia 55 2 2 10" xfId="3805" xr:uid="{00000000-0005-0000-0000-00006CBA0000}"/>
    <cellStyle name="Migliaia 55 2 2 2" xfId="3067" xr:uid="{00000000-0005-0000-0000-00006DBA0000}"/>
    <cellStyle name="Migliaia 55 2 2 2 2" xfId="28562" xr:uid="{00000000-0005-0000-0000-00006EBA0000}"/>
    <cellStyle name="Migliaia 55 2 2 2 3" xfId="43525" xr:uid="{00000000-0005-0000-0000-00006FBA0000}"/>
    <cellStyle name="Migliaia 55 2 2 2 4" xfId="12284" xr:uid="{00000000-0005-0000-0000-000070BA0000}"/>
    <cellStyle name="Migliaia 55 2 2 3" xfId="3436" xr:uid="{00000000-0005-0000-0000-000071BA0000}"/>
    <cellStyle name="Migliaia 55 2 2 3 2" xfId="36038" xr:uid="{00000000-0005-0000-0000-000072BA0000}"/>
    <cellStyle name="Migliaia 55 2 2 3 3" xfId="50994" xr:uid="{00000000-0005-0000-0000-000073BA0000}"/>
    <cellStyle name="Migliaia 55 2 2 3 4" xfId="20605" xr:uid="{00000000-0005-0000-0000-000074BA0000}"/>
    <cellStyle name="Migliaia 55 2 2 4" xfId="21562" xr:uid="{00000000-0005-0000-0000-000075BA0000}"/>
    <cellStyle name="Migliaia 55 2 2 5" xfId="36529" xr:uid="{00000000-0005-0000-0000-000076BA0000}"/>
    <cellStyle name="Migliaia 55 2 2 6" xfId="51467" xr:uid="{00000000-0005-0000-0000-000077BA0000}"/>
    <cellStyle name="Migliaia 55 2 2 7" xfId="51872" xr:uid="{00000000-0005-0000-0000-000078BA0000}"/>
    <cellStyle name="Migliaia 55 2 2 8" xfId="52281" xr:uid="{00000000-0005-0000-0000-000079BA0000}"/>
    <cellStyle name="Migliaia 55 2 2 9" xfId="52686" xr:uid="{00000000-0005-0000-0000-00007ABA0000}"/>
    <cellStyle name="Migliaia 55 2 3" xfId="2972" xr:uid="{00000000-0005-0000-0000-00007BBA0000}"/>
    <cellStyle name="Migliaia 55 2 3 2" xfId="11591" xr:uid="{00000000-0005-0000-0000-00007CBA0000}"/>
    <cellStyle name="Migliaia 55 2 4" xfId="3341" xr:uid="{00000000-0005-0000-0000-00007DBA0000}"/>
    <cellStyle name="Migliaia 55 2 4 2" xfId="28442" xr:uid="{00000000-0005-0000-0000-00007EBA0000}"/>
    <cellStyle name="Migliaia 55 2 4 3" xfId="43415" xr:uid="{00000000-0005-0000-0000-00007FBA0000}"/>
    <cellStyle name="Migliaia 55 2 4 4" xfId="12160" xr:uid="{00000000-0005-0000-0000-000080BA0000}"/>
    <cellStyle name="Migliaia 55 2 5" xfId="19556" xr:uid="{00000000-0005-0000-0000-000081BA0000}"/>
    <cellStyle name="Migliaia 55 2 5 2" xfId="35637" xr:uid="{00000000-0005-0000-0000-000082BA0000}"/>
    <cellStyle name="Migliaia 55 2 5 3" xfId="50593" xr:uid="{00000000-0005-0000-0000-000083BA0000}"/>
    <cellStyle name="Migliaia 55 2 6" xfId="21445" xr:uid="{00000000-0005-0000-0000-000084BA0000}"/>
    <cellStyle name="Migliaia 55 2 7" xfId="36416" xr:uid="{00000000-0005-0000-0000-000085BA0000}"/>
    <cellStyle name="Migliaia 55 2 8" xfId="51353" xr:uid="{00000000-0005-0000-0000-000086BA0000}"/>
    <cellStyle name="Migliaia 55 2 9" xfId="51747" xr:uid="{00000000-0005-0000-0000-000087BA0000}"/>
    <cellStyle name="Migliaia 55 3" xfId="1430" xr:uid="{00000000-0005-0000-0000-000088BA0000}"/>
    <cellStyle name="Migliaia 55 3 10" xfId="52154" xr:uid="{00000000-0005-0000-0000-000089BA0000}"/>
    <cellStyle name="Migliaia 55 3 11" xfId="52562" xr:uid="{00000000-0005-0000-0000-00008ABA0000}"/>
    <cellStyle name="Migliaia 55 3 12" xfId="3711" xr:uid="{00000000-0005-0000-0000-00008BBA0000}"/>
    <cellStyle name="Migliaia 55 3 2" xfId="1431" xr:uid="{00000000-0005-0000-0000-00008CBA0000}"/>
    <cellStyle name="Migliaia 55 3 2 10" xfId="52563" xr:uid="{00000000-0005-0000-0000-00008DBA0000}"/>
    <cellStyle name="Migliaia 55 3 2 11" xfId="3712" xr:uid="{00000000-0005-0000-0000-00008EBA0000}"/>
    <cellStyle name="Migliaia 55 3 2 2" xfId="2974" xr:uid="{00000000-0005-0000-0000-00008FBA0000}"/>
    <cellStyle name="Migliaia 55 3 2 2 2" xfId="11593" xr:uid="{00000000-0005-0000-0000-000090BA0000}"/>
    <cellStyle name="Migliaia 55 3 2 3" xfId="3343" xr:uid="{00000000-0005-0000-0000-000091BA0000}"/>
    <cellStyle name="Migliaia 55 3 2 3 2" xfId="28444" xr:uid="{00000000-0005-0000-0000-000092BA0000}"/>
    <cellStyle name="Migliaia 55 3 2 3 3" xfId="43417" xr:uid="{00000000-0005-0000-0000-000093BA0000}"/>
    <cellStyle name="Migliaia 55 3 2 3 4" xfId="12162" xr:uid="{00000000-0005-0000-0000-000094BA0000}"/>
    <cellStyle name="Migliaia 55 3 2 4" xfId="19558" xr:uid="{00000000-0005-0000-0000-000095BA0000}"/>
    <cellStyle name="Migliaia 55 3 2 4 2" xfId="35639" xr:uid="{00000000-0005-0000-0000-000096BA0000}"/>
    <cellStyle name="Migliaia 55 3 2 4 3" xfId="50595" xr:uid="{00000000-0005-0000-0000-000097BA0000}"/>
    <cellStyle name="Migliaia 55 3 2 5" xfId="21447" xr:uid="{00000000-0005-0000-0000-000098BA0000}"/>
    <cellStyle name="Migliaia 55 3 2 6" xfId="36418" xr:uid="{00000000-0005-0000-0000-000099BA0000}"/>
    <cellStyle name="Migliaia 55 3 2 7" xfId="51355" xr:uid="{00000000-0005-0000-0000-00009ABA0000}"/>
    <cellStyle name="Migliaia 55 3 2 8" xfId="51749" xr:uid="{00000000-0005-0000-0000-00009BBA0000}"/>
    <cellStyle name="Migliaia 55 3 2 9" xfId="52155" xr:uid="{00000000-0005-0000-0000-00009CBA0000}"/>
    <cellStyle name="Migliaia 55 3 3" xfId="2973" xr:uid="{00000000-0005-0000-0000-00009DBA0000}"/>
    <cellStyle name="Migliaia 55 3 3 2" xfId="20607" xr:uid="{00000000-0005-0000-0000-00009EBA0000}"/>
    <cellStyle name="Migliaia 55 3 3 2 2" xfId="36040" xr:uid="{00000000-0005-0000-0000-00009FBA0000}"/>
    <cellStyle name="Migliaia 55 3 3 2 3" xfId="50996" xr:uid="{00000000-0005-0000-0000-0000A0BA0000}"/>
    <cellStyle name="Migliaia 55 3 3 3" xfId="19559" xr:uid="{00000000-0005-0000-0000-0000A1BA0000}"/>
    <cellStyle name="Migliaia 55 3 3 3 2" xfId="35640" xr:uid="{00000000-0005-0000-0000-0000A2BA0000}"/>
    <cellStyle name="Migliaia 55 3 3 3 3" xfId="50596" xr:uid="{00000000-0005-0000-0000-0000A3BA0000}"/>
    <cellStyle name="Migliaia 55 3 3 4" xfId="11592" xr:uid="{00000000-0005-0000-0000-0000A4BA0000}"/>
    <cellStyle name="Migliaia 55 3 4" xfId="3342" xr:uid="{00000000-0005-0000-0000-0000A5BA0000}"/>
    <cellStyle name="Migliaia 55 3 4 2" xfId="20606" xr:uid="{00000000-0005-0000-0000-0000A6BA0000}"/>
    <cellStyle name="Migliaia 55 3 4 2 2" xfId="36039" xr:uid="{00000000-0005-0000-0000-0000A7BA0000}"/>
    <cellStyle name="Migliaia 55 3 4 2 3" xfId="50995" xr:uid="{00000000-0005-0000-0000-0000A8BA0000}"/>
    <cellStyle name="Migliaia 55 3 4 3" xfId="28443" xr:uid="{00000000-0005-0000-0000-0000A9BA0000}"/>
    <cellStyle name="Migliaia 55 3 4 4" xfId="43416" xr:uid="{00000000-0005-0000-0000-0000AABA0000}"/>
    <cellStyle name="Migliaia 55 3 4 5" xfId="12161" xr:uid="{00000000-0005-0000-0000-0000ABBA0000}"/>
    <cellStyle name="Migliaia 55 3 5" xfId="19557" xr:uid="{00000000-0005-0000-0000-0000ACBA0000}"/>
    <cellStyle name="Migliaia 55 3 5 2" xfId="35638" xr:uid="{00000000-0005-0000-0000-0000ADBA0000}"/>
    <cellStyle name="Migliaia 55 3 5 3" xfId="50594" xr:uid="{00000000-0005-0000-0000-0000AEBA0000}"/>
    <cellStyle name="Migliaia 55 3 6" xfId="21446" xr:uid="{00000000-0005-0000-0000-0000AFBA0000}"/>
    <cellStyle name="Migliaia 55 3 7" xfId="36417" xr:uid="{00000000-0005-0000-0000-0000B0BA0000}"/>
    <cellStyle name="Migliaia 55 3 8" xfId="51354" xr:uid="{00000000-0005-0000-0000-0000B1BA0000}"/>
    <cellStyle name="Migliaia 55 3 9" xfId="51748" xr:uid="{00000000-0005-0000-0000-0000B2BA0000}"/>
    <cellStyle name="Migliaia 55 4" xfId="2971" xr:uid="{00000000-0005-0000-0000-0000B3BA0000}"/>
    <cellStyle name="Migliaia 55 4 2" xfId="19561" xr:uid="{00000000-0005-0000-0000-0000B4BA0000}"/>
    <cellStyle name="Migliaia 55 4 2 2" xfId="20609" xr:uid="{00000000-0005-0000-0000-0000B5BA0000}"/>
    <cellStyle name="Migliaia 55 4 2 2 2" xfId="36042" xr:uid="{00000000-0005-0000-0000-0000B6BA0000}"/>
    <cellStyle name="Migliaia 55 4 2 2 3" xfId="50998" xr:uid="{00000000-0005-0000-0000-0000B7BA0000}"/>
    <cellStyle name="Migliaia 55 4 2 3" xfId="35642" xr:uid="{00000000-0005-0000-0000-0000B8BA0000}"/>
    <cellStyle name="Migliaia 55 4 2 4" xfId="50598" xr:uid="{00000000-0005-0000-0000-0000B9BA0000}"/>
    <cellStyle name="Migliaia 55 4 3" xfId="20608" xr:uid="{00000000-0005-0000-0000-0000BABA0000}"/>
    <cellStyle name="Migliaia 55 4 3 2" xfId="36041" xr:uid="{00000000-0005-0000-0000-0000BBBA0000}"/>
    <cellStyle name="Migliaia 55 4 3 3" xfId="50997" xr:uid="{00000000-0005-0000-0000-0000BCBA0000}"/>
    <cellStyle name="Migliaia 55 4 4" xfId="19560" xr:uid="{00000000-0005-0000-0000-0000BDBA0000}"/>
    <cellStyle name="Migliaia 55 4 4 2" xfId="35641" xr:uid="{00000000-0005-0000-0000-0000BEBA0000}"/>
    <cellStyle name="Migliaia 55 4 4 3" xfId="50597" xr:uid="{00000000-0005-0000-0000-0000BFBA0000}"/>
    <cellStyle name="Migliaia 55 4 5" xfId="11594" xr:uid="{00000000-0005-0000-0000-0000C0BA0000}"/>
    <cellStyle name="Migliaia 55 5" xfId="3340" xr:uid="{00000000-0005-0000-0000-0000C1BA0000}"/>
    <cellStyle name="Migliaia 55 5 2" xfId="19562" xr:uid="{00000000-0005-0000-0000-0000C2BA0000}"/>
    <cellStyle name="Migliaia 55 5 2 2" xfId="35643" xr:uid="{00000000-0005-0000-0000-0000C3BA0000}"/>
    <cellStyle name="Migliaia 55 5 2 3" xfId="50599" xr:uid="{00000000-0005-0000-0000-0000C4BA0000}"/>
    <cellStyle name="Migliaia 55 5 3" xfId="11595" xr:uid="{00000000-0005-0000-0000-0000C5BA0000}"/>
    <cellStyle name="Migliaia 55 6" xfId="11590" xr:uid="{00000000-0005-0000-0000-0000C6BA0000}"/>
    <cellStyle name="Migliaia 55 7" xfId="12159" xr:uid="{00000000-0005-0000-0000-0000C7BA0000}"/>
    <cellStyle name="Migliaia 55 7 2" xfId="28441" xr:uid="{00000000-0005-0000-0000-0000C8BA0000}"/>
    <cellStyle name="Migliaia 55 7 3" xfId="43414" xr:uid="{00000000-0005-0000-0000-0000C9BA0000}"/>
    <cellStyle name="Migliaia 55 8" xfId="19555" xr:uid="{00000000-0005-0000-0000-0000CABA0000}"/>
    <cellStyle name="Migliaia 55 8 2" xfId="35636" xr:uid="{00000000-0005-0000-0000-0000CBBA0000}"/>
    <cellStyle name="Migliaia 55 8 3" xfId="50592" xr:uid="{00000000-0005-0000-0000-0000CCBA0000}"/>
    <cellStyle name="Migliaia 55 9" xfId="21444" xr:uid="{00000000-0005-0000-0000-0000CDBA0000}"/>
    <cellStyle name="Migliaia 56" xfId="1432" xr:uid="{00000000-0005-0000-0000-0000CEBA0000}"/>
    <cellStyle name="Migliaia 56 10" xfId="36419" xr:uid="{00000000-0005-0000-0000-0000CFBA0000}"/>
    <cellStyle name="Migliaia 56 11" xfId="51356" xr:uid="{00000000-0005-0000-0000-0000D0BA0000}"/>
    <cellStyle name="Migliaia 56 12" xfId="51750" xr:uid="{00000000-0005-0000-0000-0000D1BA0000}"/>
    <cellStyle name="Migliaia 56 13" xfId="52156" xr:uid="{00000000-0005-0000-0000-0000D2BA0000}"/>
    <cellStyle name="Migliaia 56 14" xfId="52564" xr:uid="{00000000-0005-0000-0000-0000D3BA0000}"/>
    <cellStyle name="Migliaia 56 15" xfId="3713" xr:uid="{00000000-0005-0000-0000-0000D4BA0000}"/>
    <cellStyle name="Migliaia 56 2" xfId="1433" xr:uid="{00000000-0005-0000-0000-0000D5BA0000}"/>
    <cellStyle name="Migliaia 56 2 10" xfId="52157" xr:uid="{00000000-0005-0000-0000-0000D6BA0000}"/>
    <cellStyle name="Migliaia 56 2 11" xfId="52565" xr:uid="{00000000-0005-0000-0000-0000D7BA0000}"/>
    <cellStyle name="Migliaia 56 2 12" xfId="3714" xr:uid="{00000000-0005-0000-0000-0000D8BA0000}"/>
    <cellStyle name="Migliaia 56 2 2" xfId="1434" xr:uid="{00000000-0005-0000-0000-0000D9BA0000}"/>
    <cellStyle name="Migliaia 56 2 2 10" xfId="3806" xr:uid="{00000000-0005-0000-0000-0000DABA0000}"/>
    <cellStyle name="Migliaia 56 2 2 2" xfId="3068" xr:uid="{00000000-0005-0000-0000-0000DBBA0000}"/>
    <cellStyle name="Migliaia 56 2 2 2 2" xfId="28563" xr:uid="{00000000-0005-0000-0000-0000DCBA0000}"/>
    <cellStyle name="Migliaia 56 2 2 2 3" xfId="43526" xr:uid="{00000000-0005-0000-0000-0000DDBA0000}"/>
    <cellStyle name="Migliaia 56 2 2 2 4" xfId="12285" xr:uid="{00000000-0005-0000-0000-0000DEBA0000}"/>
    <cellStyle name="Migliaia 56 2 2 3" xfId="3437" xr:uid="{00000000-0005-0000-0000-0000DFBA0000}"/>
    <cellStyle name="Migliaia 56 2 2 3 2" xfId="36043" xr:uid="{00000000-0005-0000-0000-0000E0BA0000}"/>
    <cellStyle name="Migliaia 56 2 2 3 3" xfId="50999" xr:uid="{00000000-0005-0000-0000-0000E1BA0000}"/>
    <cellStyle name="Migliaia 56 2 2 3 4" xfId="20610" xr:uid="{00000000-0005-0000-0000-0000E2BA0000}"/>
    <cellStyle name="Migliaia 56 2 2 4" xfId="21563" xr:uid="{00000000-0005-0000-0000-0000E3BA0000}"/>
    <cellStyle name="Migliaia 56 2 2 5" xfId="36530" xr:uid="{00000000-0005-0000-0000-0000E4BA0000}"/>
    <cellStyle name="Migliaia 56 2 2 6" xfId="51468" xr:uid="{00000000-0005-0000-0000-0000E5BA0000}"/>
    <cellStyle name="Migliaia 56 2 2 7" xfId="51873" xr:uid="{00000000-0005-0000-0000-0000E6BA0000}"/>
    <cellStyle name="Migliaia 56 2 2 8" xfId="52282" xr:uid="{00000000-0005-0000-0000-0000E7BA0000}"/>
    <cellStyle name="Migliaia 56 2 2 9" xfId="52687" xr:uid="{00000000-0005-0000-0000-0000E8BA0000}"/>
    <cellStyle name="Migliaia 56 2 3" xfId="2976" xr:uid="{00000000-0005-0000-0000-0000E9BA0000}"/>
    <cellStyle name="Migliaia 56 2 3 2" xfId="11597" xr:uid="{00000000-0005-0000-0000-0000EABA0000}"/>
    <cellStyle name="Migliaia 56 2 4" xfId="3345" xr:uid="{00000000-0005-0000-0000-0000EBBA0000}"/>
    <cellStyle name="Migliaia 56 2 4 2" xfId="28446" xr:uid="{00000000-0005-0000-0000-0000ECBA0000}"/>
    <cellStyle name="Migliaia 56 2 4 3" xfId="43419" xr:uid="{00000000-0005-0000-0000-0000EDBA0000}"/>
    <cellStyle name="Migliaia 56 2 4 4" xfId="12164" xr:uid="{00000000-0005-0000-0000-0000EEBA0000}"/>
    <cellStyle name="Migliaia 56 2 5" xfId="19564" xr:uid="{00000000-0005-0000-0000-0000EFBA0000}"/>
    <cellStyle name="Migliaia 56 2 5 2" xfId="35645" xr:uid="{00000000-0005-0000-0000-0000F0BA0000}"/>
    <cellStyle name="Migliaia 56 2 5 3" xfId="50601" xr:uid="{00000000-0005-0000-0000-0000F1BA0000}"/>
    <cellStyle name="Migliaia 56 2 6" xfId="21449" xr:uid="{00000000-0005-0000-0000-0000F2BA0000}"/>
    <cellStyle name="Migliaia 56 2 7" xfId="36420" xr:uid="{00000000-0005-0000-0000-0000F3BA0000}"/>
    <cellStyle name="Migliaia 56 2 8" xfId="51357" xr:uid="{00000000-0005-0000-0000-0000F4BA0000}"/>
    <cellStyle name="Migliaia 56 2 9" xfId="51751" xr:uid="{00000000-0005-0000-0000-0000F5BA0000}"/>
    <cellStyle name="Migliaia 56 3" xfId="1435" xr:uid="{00000000-0005-0000-0000-0000F6BA0000}"/>
    <cellStyle name="Migliaia 56 3 10" xfId="52158" xr:uid="{00000000-0005-0000-0000-0000F7BA0000}"/>
    <cellStyle name="Migliaia 56 3 11" xfId="52566" xr:uid="{00000000-0005-0000-0000-0000F8BA0000}"/>
    <cellStyle name="Migliaia 56 3 12" xfId="3715" xr:uid="{00000000-0005-0000-0000-0000F9BA0000}"/>
    <cellStyle name="Migliaia 56 3 2" xfId="1436" xr:uid="{00000000-0005-0000-0000-0000FABA0000}"/>
    <cellStyle name="Migliaia 56 3 2 10" xfId="52567" xr:uid="{00000000-0005-0000-0000-0000FBBA0000}"/>
    <cellStyle name="Migliaia 56 3 2 11" xfId="3716" xr:uid="{00000000-0005-0000-0000-0000FCBA0000}"/>
    <cellStyle name="Migliaia 56 3 2 2" xfId="2978" xr:uid="{00000000-0005-0000-0000-0000FDBA0000}"/>
    <cellStyle name="Migliaia 56 3 2 2 2" xfId="11599" xr:uid="{00000000-0005-0000-0000-0000FEBA0000}"/>
    <cellStyle name="Migliaia 56 3 2 3" xfId="3347" xr:uid="{00000000-0005-0000-0000-0000FFBA0000}"/>
    <cellStyle name="Migliaia 56 3 2 3 2" xfId="28448" xr:uid="{00000000-0005-0000-0000-000000BB0000}"/>
    <cellStyle name="Migliaia 56 3 2 3 3" xfId="43421" xr:uid="{00000000-0005-0000-0000-000001BB0000}"/>
    <cellStyle name="Migliaia 56 3 2 3 4" xfId="12166" xr:uid="{00000000-0005-0000-0000-000002BB0000}"/>
    <cellStyle name="Migliaia 56 3 2 4" xfId="19566" xr:uid="{00000000-0005-0000-0000-000003BB0000}"/>
    <cellStyle name="Migliaia 56 3 2 4 2" xfId="35647" xr:uid="{00000000-0005-0000-0000-000004BB0000}"/>
    <cellStyle name="Migliaia 56 3 2 4 3" xfId="50603" xr:uid="{00000000-0005-0000-0000-000005BB0000}"/>
    <cellStyle name="Migliaia 56 3 2 5" xfId="21451" xr:uid="{00000000-0005-0000-0000-000006BB0000}"/>
    <cellStyle name="Migliaia 56 3 2 6" xfId="36422" xr:uid="{00000000-0005-0000-0000-000007BB0000}"/>
    <cellStyle name="Migliaia 56 3 2 7" xfId="51359" xr:uid="{00000000-0005-0000-0000-000008BB0000}"/>
    <cellStyle name="Migliaia 56 3 2 8" xfId="51753" xr:uid="{00000000-0005-0000-0000-000009BB0000}"/>
    <cellStyle name="Migliaia 56 3 2 9" xfId="52159" xr:uid="{00000000-0005-0000-0000-00000ABB0000}"/>
    <cellStyle name="Migliaia 56 3 3" xfId="2977" xr:uid="{00000000-0005-0000-0000-00000BBB0000}"/>
    <cellStyle name="Migliaia 56 3 3 2" xfId="20612" xr:uid="{00000000-0005-0000-0000-00000CBB0000}"/>
    <cellStyle name="Migliaia 56 3 3 2 2" xfId="36045" xr:uid="{00000000-0005-0000-0000-00000DBB0000}"/>
    <cellStyle name="Migliaia 56 3 3 2 3" xfId="51001" xr:uid="{00000000-0005-0000-0000-00000EBB0000}"/>
    <cellStyle name="Migliaia 56 3 3 3" xfId="19567" xr:uid="{00000000-0005-0000-0000-00000FBB0000}"/>
    <cellStyle name="Migliaia 56 3 3 3 2" xfId="35648" xr:uid="{00000000-0005-0000-0000-000010BB0000}"/>
    <cellStyle name="Migliaia 56 3 3 3 3" xfId="50604" xr:uid="{00000000-0005-0000-0000-000011BB0000}"/>
    <cellStyle name="Migliaia 56 3 3 4" xfId="11598" xr:uid="{00000000-0005-0000-0000-000012BB0000}"/>
    <cellStyle name="Migliaia 56 3 4" xfId="3346" xr:uid="{00000000-0005-0000-0000-000013BB0000}"/>
    <cellStyle name="Migliaia 56 3 4 2" xfId="20611" xr:uid="{00000000-0005-0000-0000-000014BB0000}"/>
    <cellStyle name="Migliaia 56 3 4 2 2" xfId="36044" xr:uid="{00000000-0005-0000-0000-000015BB0000}"/>
    <cellStyle name="Migliaia 56 3 4 2 3" xfId="51000" xr:uid="{00000000-0005-0000-0000-000016BB0000}"/>
    <cellStyle name="Migliaia 56 3 4 3" xfId="28447" xr:uid="{00000000-0005-0000-0000-000017BB0000}"/>
    <cellStyle name="Migliaia 56 3 4 4" xfId="43420" xr:uid="{00000000-0005-0000-0000-000018BB0000}"/>
    <cellStyle name="Migliaia 56 3 4 5" xfId="12165" xr:uid="{00000000-0005-0000-0000-000019BB0000}"/>
    <cellStyle name="Migliaia 56 3 5" xfId="19565" xr:uid="{00000000-0005-0000-0000-00001ABB0000}"/>
    <cellStyle name="Migliaia 56 3 5 2" xfId="35646" xr:uid="{00000000-0005-0000-0000-00001BBB0000}"/>
    <cellStyle name="Migliaia 56 3 5 3" xfId="50602" xr:uid="{00000000-0005-0000-0000-00001CBB0000}"/>
    <cellStyle name="Migliaia 56 3 6" xfId="21450" xr:uid="{00000000-0005-0000-0000-00001DBB0000}"/>
    <cellStyle name="Migliaia 56 3 7" xfId="36421" xr:uid="{00000000-0005-0000-0000-00001EBB0000}"/>
    <cellStyle name="Migliaia 56 3 8" xfId="51358" xr:uid="{00000000-0005-0000-0000-00001FBB0000}"/>
    <cellStyle name="Migliaia 56 3 9" xfId="51752" xr:uid="{00000000-0005-0000-0000-000020BB0000}"/>
    <cellStyle name="Migliaia 56 4" xfId="2975" xr:uid="{00000000-0005-0000-0000-000021BB0000}"/>
    <cellStyle name="Migliaia 56 4 2" xfId="19569" xr:uid="{00000000-0005-0000-0000-000022BB0000}"/>
    <cellStyle name="Migliaia 56 4 2 2" xfId="20614" xr:uid="{00000000-0005-0000-0000-000023BB0000}"/>
    <cellStyle name="Migliaia 56 4 2 2 2" xfId="36047" xr:uid="{00000000-0005-0000-0000-000024BB0000}"/>
    <cellStyle name="Migliaia 56 4 2 2 3" xfId="51003" xr:uid="{00000000-0005-0000-0000-000025BB0000}"/>
    <cellStyle name="Migliaia 56 4 2 3" xfId="35650" xr:uid="{00000000-0005-0000-0000-000026BB0000}"/>
    <cellStyle name="Migliaia 56 4 2 4" xfId="50606" xr:uid="{00000000-0005-0000-0000-000027BB0000}"/>
    <cellStyle name="Migliaia 56 4 3" xfId="20613" xr:uid="{00000000-0005-0000-0000-000028BB0000}"/>
    <cellStyle name="Migliaia 56 4 3 2" xfId="36046" xr:uid="{00000000-0005-0000-0000-000029BB0000}"/>
    <cellStyle name="Migliaia 56 4 3 3" xfId="51002" xr:uid="{00000000-0005-0000-0000-00002ABB0000}"/>
    <cellStyle name="Migliaia 56 4 4" xfId="19568" xr:uid="{00000000-0005-0000-0000-00002BBB0000}"/>
    <cellStyle name="Migliaia 56 4 4 2" xfId="35649" xr:uid="{00000000-0005-0000-0000-00002CBB0000}"/>
    <cellStyle name="Migliaia 56 4 4 3" xfId="50605" xr:uid="{00000000-0005-0000-0000-00002DBB0000}"/>
    <cellStyle name="Migliaia 56 4 5" xfId="11600" xr:uid="{00000000-0005-0000-0000-00002EBB0000}"/>
    <cellStyle name="Migliaia 56 5" xfId="3344" xr:uid="{00000000-0005-0000-0000-00002FBB0000}"/>
    <cellStyle name="Migliaia 56 5 2" xfId="19570" xr:uid="{00000000-0005-0000-0000-000030BB0000}"/>
    <cellStyle name="Migliaia 56 5 2 2" xfId="35651" xr:uid="{00000000-0005-0000-0000-000031BB0000}"/>
    <cellStyle name="Migliaia 56 5 2 3" xfId="50607" xr:uid="{00000000-0005-0000-0000-000032BB0000}"/>
    <cellStyle name="Migliaia 56 5 3" xfId="11601" xr:uid="{00000000-0005-0000-0000-000033BB0000}"/>
    <cellStyle name="Migliaia 56 6" xfId="11596" xr:uid="{00000000-0005-0000-0000-000034BB0000}"/>
    <cellStyle name="Migliaia 56 7" xfId="12163" xr:uid="{00000000-0005-0000-0000-000035BB0000}"/>
    <cellStyle name="Migliaia 56 7 2" xfId="28445" xr:uid="{00000000-0005-0000-0000-000036BB0000}"/>
    <cellStyle name="Migliaia 56 7 3" xfId="43418" xr:uid="{00000000-0005-0000-0000-000037BB0000}"/>
    <cellStyle name="Migliaia 56 8" xfId="19563" xr:uid="{00000000-0005-0000-0000-000038BB0000}"/>
    <cellStyle name="Migliaia 56 8 2" xfId="35644" xr:uid="{00000000-0005-0000-0000-000039BB0000}"/>
    <cellStyle name="Migliaia 56 8 3" xfId="50600" xr:uid="{00000000-0005-0000-0000-00003ABB0000}"/>
    <cellStyle name="Migliaia 56 9" xfId="21448" xr:uid="{00000000-0005-0000-0000-00003BBB0000}"/>
    <cellStyle name="Migliaia 57" xfId="1437" xr:uid="{00000000-0005-0000-0000-00003CBB0000}"/>
    <cellStyle name="Migliaia 57 10" xfId="36423" xr:uid="{00000000-0005-0000-0000-00003DBB0000}"/>
    <cellStyle name="Migliaia 57 11" xfId="51360" xr:uid="{00000000-0005-0000-0000-00003EBB0000}"/>
    <cellStyle name="Migliaia 57 12" xfId="51754" xr:uid="{00000000-0005-0000-0000-00003FBB0000}"/>
    <cellStyle name="Migliaia 57 13" xfId="52160" xr:uid="{00000000-0005-0000-0000-000040BB0000}"/>
    <cellStyle name="Migliaia 57 14" xfId="52568" xr:uid="{00000000-0005-0000-0000-000041BB0000}"/>
    <cellStyle name="Migliaia 57 15" xfId="3717" xr:uid="{00000000-0005-0000-0000-000042BB0000}"/>
    <cellStyle name="Migliaia 57 2" xfId="1438" xr:uid="{00000000-0005-0000-0000-000043BB0000}"/>
    <cellStyle name="Migliaia 57 2 10" xfId="52161" xr:uid="{00000000-0005-0000-0000-000044BB0000}"/>
    <cellStyle name="Migliaia 57 2 11" xfId="52569" xr:uid="{00000000-0005-0000-0000-000045BB0000}"/>
    <cellStyle name="Migliaia 57 2 12" xfId="3718" xr:uid="{00000000-0005-0000-0000-000046BB0000}"/>
    <cellStyle name="Migliaia 57 2 2" xfId="1439" xr:uid="{00000000-0005-0000-0000-000047BB0000}"/>
    <cellStyle name="Migliaia 57 2 2 10" xfId="3807" xr:uid="{00000000-0005-0000-0000-000048BB0000}"/>
    <cellStyle name="Migliaia 57 2 2 2" xfId="3069" xr:uid="{00000000-0005-0000-0000-000049BB0000}"/>
    <cellStyle name="Migliaia 57 2 2 2 2" xfId="28564" xr:uid="{00000000-0005-0000-0000-00004ABB0000}"/>
    <cellStyle name="Migliaia 57 2 2 2 3" xfId="43527" xr:uid="{00000000-0005-0000-0000-00004BBB0000}"/>
    <cellStyle name="Migliaia 57 2 2 2 4" xfId="12286" xr:uid="{00000000-0005-0000-0000-00004CBB0000}"/>
    <cellStyle name="Migliaia 57 2 2 3" xfId="3438" xr:uid="{00000000-0005-0000-0000-00004DBB0000}"/>
    <cellStyle name="Migliaia 57 2 2 3 2" xfId="36048" xr:uid="{00000000-0005-0000-0000-00004EBB0000}"/>
    <cellStyle name="Migliaia 57 2 2 3 3" xfId="51004" xr:uid="{00000000-0005-0000-0000-00004FBB0000}"/>
    <cellStyle name="Migliaia 57 2 2 3 4" xfId="20615" xr:uid="{00000000-0005-0000-0000-000050BB0000}"/>
    <cellStyle name="Migliaia 57 2 2 4" xfId="21564" xr:uid="{00000000-0005-0000-0000-000051BB0000}"/>
    <cellStyle name="Migliaia 57 2 2 5" xfId="36531" xr:uid="{00000000-0005-0000-0000-000052BB0000}"/>
    <cellStyle name="Migliaia 57 2 2 6" xfId="51469" xr:uid="{00000000-0005-0000-0000-000053BB0000}"/>
    <cellStyle name="Migliaia 57 2 2 7" xfId="51874" xr:uid="{00000000-0005-0000-0000-000054BB0000}"/>
    <cellStyle name="Migliaia 57 2 2 8" xfId="52283" xr:uid="{00000000-0005-0000-0000-000055BB0000}"/>
    <cellStyle name="Migliaia 57 2 2 9" xfId="52688" xr:uid="{00000000-0005-0000-0000-000056BB0000}"/>
    <cellStyle name="Migliaia 57 2 3" xfId="2980" xr:uid="{00000000-0005-0000-0000-000057BB0000}"/>
    <cellStyle name="Migliaia 57 2 3 2" xfId="11603" xr:uid="{00000000-0005-0000-0000-000058BB0000}"/>
    <cellStyle name="Migliaia 57 2 4" xfId="3349" xr:uid="{00000000-0005-0000-0000-000059BB0000}"/>
    <cellStyle name="Migliaia 57 2 4 2" xfId="28450" xr:uid="{00000000-0005-0000-0000-00005ABB0000}"/>
    <cellStyle name="Migliaia 57 2 4 3" xfId="43423" xr:uid="{00000000-0005-0000-0000-00005BBB0000}"/>
    <cellStyle name="Migliaia 57 2 4 4" xfId="12168" xr:uid="{00000000-0005-0000-0000-00005CBB0000}"/>
    <cellStyle name="Migliaia 57 2 5" xfId="19572" xr:uid="{00000000-0005-0000-0000-00005DBB0000}"/>
    <cellStyle name="Migliaia 57 2 5 2" xfId="35653" xr:uid="{00000000-0005-0000-0000-00005EBB0000}"/>
    <cellStyle name="Migliaia 57 2 5 3" xfId="50609" xr:uid="{00000000-0005-0000-0000-00005FBB0000}"/>
    <cellStyle name="Migliaia 57 2 6" xfId="21453" xr:uid="{00000000-0005-0000-0000-000060BB0000}"/>
    <cellStyle name="Migliaia 57 2 7" xfId="36424" xr:uid="{00000000-0005-0000-0000-000061BB0000}"/>
    <cellStyle name="Migliaia 57 2 8" xfId="51361" xr:uid="{00000000-0005-0000-0000-000062BB0000}"/>
    <cellStyle name="Migliaia 57 2 9" xfId="51755" xr:uid="{00000000-0005-0000-0000-000063BB0000}"/>
    <cellStyle name="Migliaia 57 3" xfId="1440" xr:uid="{00000000-0005-0000-0000-000064BB0000}"/>
    <cellStyle name="Migliaia 57 3 10" xfId="52162" xr:uid="{00000000-0005-0000-0000-000065BB0000}"/>
    <cellStyle name="Migliaia 57 3 11" xfId="52570" xr:uid="{00000000-0005-0000-0000-000066BB0000}"/>
    <cellStyle name="Migliaia 57 3 12" xfId="3719" xr:uid="{00000000-0005-0000-0000-000067BB0000}"/>
    <cellStyle name="Migliaia 57 3 2" xfId="1441" xr:uid="{00000000-0005-0000-0000-000068BB0000}"/>
    <cellStyle name="Migliaia 57 3 2 10" xfId="52571" xr:uid="{00000000-0005-0000-0000-000069BB0000}"/>
    <cellStyle name="Migliaia 57 3 2 11" xfId="3720" xr:uid="{00000000-0005-0000-0000-00006ABB0000}"/>
    <cellStyle name="Migliaia 57 3 2 2" xfId="2982" xr:uid="{00000000-0005-0000-0000-00006BBB0000}"/>
    <cellStyle name="Migliaia 57 3 2 2 2" xfId="11605" xr:uid="{00000000-0005-0000-0000-00006CBB0000}"/>
    <cellStyle name="Migliaia 57 3 2 3" xfId="3351" xr:uid="{00000000-0005-0000-0000-00006DBB0000}"/>
    <cellStyle name="Migliaia 57 3 2 3 2" xfId="28452" xr:uid="{00000000-0005-0000-0000-00006EBB0000}"/>
    <cellStyle name="Migliaia 57 3 2 3 3" xfId="43425" xr:uid="{00000000-0005-0000-0000-00006FBB0000}"/>
    <cellStyle name="Migliaia 57 3 2 3 4" xfId="12170" xr:uid="{00000000-0005-0000-0000-000070BB0000}"/>
    <cellStyle name="Migliaia 57 3 2 4" xfId="19574" xr:uid="{00000000-0005-0000-0000-000071BB0000}"/>
    <cellStyle name="Migliaia 57 3 2 4 2" xfId="35655" xr:uid="{00000000-0005-0000-0000-000072BB0000}"/>
    <cellStyle name="Migliaia 57 3 2 4 3" xfId="50611" xr:uid="{00000000-0005-0000-0000-000073BB0000}"/>
    <cellStyle name="Migliaia 57 3 2 5" xfId="21455" xr:uid="{00000000-0005-0000-0000-000074BB0000}"/>
    <cellStyle name="Migliaia 57 3 2 6" xfId="36426" xr:uid="{00000000-0005-0000-0000-000075BB0000}"/>
    <cellStyle name="Migliaia 57 3 2 7" xfId="51363" xr:uid="{00000000-0005-0000-0000-000076BB0000}"/>
    <cellStyle name="Migliaia 57 3 2 8" xfId="51757" xr:uid="{00000000-0005-0000-0000-000077BB0000}"/>
    <cellStyle name="Migliaia 57 3 2 9" xfId="52163" xr:uid="{00000000-0005-0000-0000-000078BB0000}"/>
    <cellStyle name="Migliaia 57 3 3" xfId="2981" xr:uid="{00000000-0005-0000-0000-000079BB0000}"/>
    <cellStyle name="Migliaia 57 3 3 2" xfId="20617" xr:uid="{00000000-0005-0000-0000-00007ABB0000}"/>
    <cellStyle name="Migliaia 57 3 3 2 2" xfId="36050" xr:uid="{00000000-0005-0000-0000-00007BBB0000}"/>
    <cellStyle name="Migliaia 57 3 3 2 3" xfId="51006" xr:uid="{00000000-0005-0000-0000-00007CBB0000}"/>
    <cellStyle name="Migliaia 57 3 3 3" xfId="19575" xr:uid="{00000000-0005-0000-0000-00007DBB0000}"/>
    <cellStyle name="Migliaia 57 3 3 3 2" xfId="35656" xr:uid="{00000000-0005-0000-0000-00007EBB0000}"/>
    <cellStyle name="Migliaia 57 3 3 3 3" xfId="50612" xr:uid="{00000000-0005-0000-0000-00007FBB0000}"/>
    <cellStyle name="Migliaia 57 3 3 4" xfId="11604" xr:uid="{00000000-0005-0000-0000-000080BB0000}"/>
    <cellStyle name="Migliaia 57 3 4" xfId="3350" xr:uid="{00000000-0005-0000-0000-000081BB0000}"/>
    <cellStyle name="Migliaia 57 3 4 2" xfId="20616" xr:uid="{00000000-0005-0000-0000-000082BB0000}"/>
    <cellStyle name="Migliaia 57 3 4 2 2" xfId="36049" xr:uid="{00000000-0005-0000-0000-000083BB0000}"/>
    <cellStyle name="Migliaia 57 3 4 2 3" xfId="51005" xr:uid="{00000000-0005-0000-0000-000084BB0000}"/>
    <cellStyle name="Migliaia 57 3 4 3" xfId="28451" xr:uid="{00000000-0005-0000-0000-000085BB0000}"/>
    <cellStyle name="Migliaia 57 3 4 4" xfId="43424" xr:uid="{00000000-0005-0000-0000-000086BB0000}"/>
    <cellStyle name="Migliaia 57 3 4 5" xfId="12169" xr:uid="{00000000-0005-0000-0000-000087BB0000}"/>
    <cellStyle name="Migliaia 57 3 5" xfId="19573" xr:uid="{00000000-0005-0000-0000-000088BB0000}"/>
    <cellStyle name="Migliaia 57 3 5 2" xfId="35654" xr:uid="{00000000-0005-0000-0000-000089BB0000}"/>
    <cellStyle name="Migliaia 57 3 5 3" xfId="50610" xr:uid="{00000000-0005-0000-0000-00008ABB0000}"/>
    <cellStyle name="Migliaia 57 3 6" xfId="21454" xr:uid="{00000000-0005-0000-0000-00008BBB0000}"/>
    <cellStyle name="Migliaia 57 3 7" xfId="36425" xr:uid="{00000000-0005-0000-0000-00008CBB0000}"/>
    <cellStyle name="Migliaia 57 3 8" xfId="51362" xr:uid="{00000000-0005-0000-0000-00008DBB0000}"/>
    <cellStyle name="Migliaia 57 3 9" xfId="51756" xr:uid="{00000000-0005-0000-0000-00008EBB0000}"/>
    <cellStyle name="Migliaia 57 4" xfId="2979" xr:uid="{00000000-0005-0000-0000-00008FBB0000}"/>
    <cellStyle name="Migliaia 57 4 2" xfId="19577" xr:uid="{00000000-0005-0000-0000-000090BB0000}"/>
    <cellStyle name="Migliaia 57 4 2 2" xfId="20619" xr:uid="{00000000-0005-0000-0000-000091BB0000}"/>
    <cellStyle name="Migliaia 57 4 2 2 2" xfId="36052" xr:uid="{00000000-0005-0000-0000-000092BB0000}"/>
    <cellStyle name="Migliaia 57 4 2 2 3" xfId="51008" xr:uid="{00000000-0005-0000-0000-000093BB0000}"/>
    <cellStyle name="Migliaia 57 4 2 3" xfId="35658" xr:uid="{00000000-0005-0000-0000-000094BB0000}"/>
    <cellStyle name="Migliaia 57 4 2 4" xfId="50614" xr:uid="{00000000-0005-0000-0000-000095BB0000}"/>
    <cellStyle name="Migliaia 57 4 3" xfId="20618" xr:uid="{00000000-0005-0000-0000-000096BB0000}"/>
    <cellStyle name="Migliaia 57 4 3 2" xfId="36051" xr:uid="{00000000-0005-0000-0000-000097BB0000}"/>
    <cellStyle name="Migliaia 57 4 3 3" xfId="51007" xr:uid="{00000000-0005-0000-0000-000098BB0000}"/>
    <cellStyle name="Migliaia 57 4 4" xfId="19576" xr:uid="{00000000-0005-0000-0000-000099BB0000}"/>
    <cellStyle name="Migliaia 57 4 4 2" xfId="35657" xr:uid="{00000000-0005-0000-0000-00009ABB0000}"/>
    <cellStyle name="Migliaia 57 4 4 3" xfId="50613" xr:uid="{00000000-0005-0000-0000-00009BBB0000}"/>
    <cellStyle name="Migliaia 57 4 5" xfId="11606" xr:uid="{00000000-0005-0000-0000-00009CBB0000}"/>
    <cellStyle name="Migliaia 57 5" xfId="3348" xr:uid="{00000000-0005-0000-0000-00009DBB0000}"/>
    <cellStyle name="Migliaia 57 5 2" xfId="19578" xr:uid="{00000000-0005-0000-0000-00009EBB0000}"/>
    <cellStyle name="Migliaia 57 5 2 2" xfId="35659" xr:uid="{00000000-0005-0000-0000-00009FBB0000}"/>
    <cellStyle name="Migliaia 57 5 2 3" xfId="50615" xr:uid="{00000000-0005-0000-0000-0000A0BB0000}"/>
    <cellStyle name="Migliaia 57 5 3" xfId="11607" xr:uid="{00000000-0005-0000-0000-0000A1BB0000}"/>
    <cellStyle name="Migliaia 57 6" xfId="11602" xr:uid="{00000000-0005-0000-0000-0000A2BB0000}"/>
    <cellStyle name="Migliaia 57 7" xfId="12167" xr:uid="{00000000-0005-0000-0000-0000A3BB0000}"/>
    <cellStyle name="Migliaia 57 7 2" xfId="28449" xr:uid="{00000000-0005-0000-0000-0000A4BB0000}"/>
    <cellStyle name="Migliaia 57 7 3" xfId="43422" xr:uid="{00000000-0005-0000-0000-0000A5BB0000}"/>
    <cellStyle name="Migliaia 57 8" xfId="19571" xr:uid="{00000000-0005-0000-0000-0000A6BB0000}"/>
    <cellStyle name="Migliaia 57 8 2" xfId="35652" xr:uid="{00000000-0005-0000-0000-0000A7BB0000}"/>
    <cellStyle name="Migliaia 57 8 3" xfId="50608" xr:uid="{00000000-0005-0000-0000-0000A8BB0000}"/>
    <cellStyle name="Migliaia 57 9" xfId="21452" xr:uid="{00000000-0005-0000-0000-0000A9BB0000}"/>
    <cellStyle name="Migliaia 58" xfId="1442" xr:uid="{00000000-0005-0000-0000-0000AABB0000}"/>
    <cellStyle name="Migliaia 58 10" xfId="36427" xr:uid="{00000000-0005-0000-0000-0000ABBB0000}"/>
    <cellStyle name="Migliaia 58 11" xfId="51364" xr:uid="{00000000-0005-0000-0000-0000ACBB0000}"/>
    <cellStyle name="Migliaia 58 12" xfId="51758" xr:uid="{00000000-0005-0000-0000-0000ADBB0000}"/>
    <cellStyle name="Migliaia 58 13" xfId="52164" xr:uid="{00000000-0005-0000-0000-0000AEBB0000}"/>
    <cellStyle name="Migliaia 58 14" xfId="52572" xr:uid="{00000000-0005-0000-0000-0000AFBB0000}"/>
    <cellStyle name="Migliaia 58 15" xfId="3721" xr:uid="{00000000-0005-0000-0000-0000B0BB0000}"/>
    <cellStyle name="Migliaia 58 2" xfId="1443" xr:uid="{00000000-0005-0000-0000-0000B1BB0000}"/>
    <cellStyle name="Migliaia 58 2 10" xfId="52165" xr:uid="{00000000-0005-0000-0000-0000B2BB0000}"/>
    <cellStyle name="Migliaia 58 2 11" xfId="52573" xr:uid="{00000000-0005-0000-0000-0000B3BB0000}"/>
    <cellStyle name="Migliaia 58 2 12" xfId="3722" xr:uid="{00000000-0005-0000-0000-0000B4BB0000}"/>
    <cellStyle name="Migliaia 58 2 2" xfId="1444" xr:uid="{00000000-0005-0000-0000-0000B5BB0000}"/>
    <cellStyle name="Migliaia 58 2 2 10" xfId="3808" xr:uid="{00000000-0005-0000-0000-0000B6BB0000}"/>
    <cellStyle name="Migliaia 58 2 2 2" xfId="3070" xr:uid="{00000000-0005-0000-0000-0000B7BB0000}"/>
    <cellStyle name="Migliaia 58 2 2 2 2" xfId="28565" xr:uid="{00000000-0005-0000-0000-0000B8BB0000}"/>
    <cellStyle name="Migliaia 58 2 2 2 3" xfId="43528" xr:uid="{00000000-0005-0000-0000-0000B9BB0000}"/>
    <cellStyle name="Migliaia 58 2 2 2 4" xfId="12287" xr:uid="{00000000-0005-0000-0000-0000BABB0000}"/>
    <cellStyle name="Migliaia 58 2 2 3" xfId="3439" xr:uid="{00000000-0005-0000-0000-0000BBBB0000}"/>
    <cellStyle name="Migliaia 58 2 2 3 2" xfId="36053" xr:uid="{00000000-0005-0000-0000-0000BCBB0000}"/>
    <cellStyle name="Migliaia 58 2 2 3 3" xfId="51009" xr:uid="{00000000-0005-0000-0000-0000BDBB0000}"/>
    <cellStyle name="Migliaia 58 2 2 3 4" xfId="20620" xr:uid="{00000000-0005-0000-0000-0000BEBB0000}"/>
    <cellStyle name="Migliaia 58 2 2 4" xfId="21565" xr:uid="{00000000-0005-0000-0000-0000BFBB0000}"/>
    <cellStyle name="Migliaia 58 2 2 5" xfId="36532" xr:uid="{00000000-0005-0000-0000-0000C0BB0000}"/>
    <cellStyle name="Migliaia 58 2 2 6" xfId="51470" xr:uid="{00000000-0005-0000-0000-0000C1BB0000}"/>
    <cellStyle name="Migliaia 58 2 2 7" xfId="51875" xr:uid="{00000000-0005-0000-0000-0000C2BB0000}"/>
    <cellStyle name="Migliaia 58 2 2 8" xfId="52284" xr:uid="{00000000-0005-0000-0000-0000C3BB0000}"/>
    <cellStyle name="Migliaia 58 2 2 9" xfId="52689" xr:uid="{00000000-0005-0000-0000-0000C4BB0000}"/>
    <cellStyle name="Migliaia 58 2 3" xfId="2984" xr:uid="{00000000-0005-0000-0000-0000C5BB0000}"/>
    <cellStyle name="Migliaia 58 2 3 2" xfId="11609" xr:uid="{00000000-0005-0000-0000-0000C6BB0000}"/>
    <cellStyle name="Migliaia 58 2 4" xfId="3353" xr:uid="{00000000-0005-0000-0000-0000C7BB0000}"/>
    <cellStyle name="Migliaia 58 2 4 2" xfId="28454" xr:uid="{00000000-0005-0000-0000-0000C8BB0000}"/>
    <cellStyle name="Migliaia 58 2 4 3" xfId="43427" xr:uid="{00000000-0005-0000-0000-0000C9BB0000}"/>
    <cellStyle name="Migliaia 58 2 4 4" xfId="12172" xr:uid="{00000000-0005-0000-0000-0000CABB0000}"/>
    <cellStyle name="Migliaia 58 2 5" xfId="19580" xr:uid="{00000000-0005-0000-0000-0000CBBB0000}"/>
    <cellStyle name="Migliaia 58 2 5 2" xfId="35661" xr:uid="{00000000-0005-0000-0000-0000CCBB0000}"/>
    <cellStyle name="Migliaia 58 2 5 3" xfId="50617" xr:uid="{00000000-0005-0000-0000-0000CDBB0000}"/>
    <cellStyle name="Migliaia 58 2 6" xfId="21457" xr:uid="{00000000-0005-0000-0000-0000CEBB0000}"/>
    <cellStyle name="Migliaia 58 2 7" xfId="36428" xr:uid="{00000000-0005-0000-0000-0000CFBB0000}"/>
    <cellStyle name="Migliaia 58 2 8" xfId="51365" xr:uid="{00000000-0005-0000-0000-0000D0BB0000}"/>
    <cellStyle name="Migliaia 58 2 9" xfId="51759" xr:uid="{00000000-0005-0000-0000-0000D1BB0000}"/>
    <cellStyle name="Migliaia 58 3" xfId="1445" xr:uid="{00000000-0005-0000-0000-0000D2BB0000}"/>
    <cellStyle name="Migliaia 58 3 10" xfId="52166" xr:uid="{00000000-0005-0000-0000-0000D3BB0000}"/>
    <cellStyle name="Migliaia 58 3 11" xfId="52574" xr:uid="{00000000-0005-0000-0000-0000D4BB0000}"/>
    <cellStyle name="Migliaia 58 3 12" xfId="3723" xr:uid="{00000000-0005-0000-0000-0000D5BB0000}"/>
    <cellStyle name="Migliaia 58 3 2" xfId="1446" xr:uid="{00000000-0005-0000-0000-0000D6BB0000}"/>
    <cellStyle name="Migliaia 58 3 2 10" xfId="52575" xr:uid="{00000000-0005-0000-0000-0000D7BB0000}"/>
    <cellStyle name="Migliaia 58 3 2 11" xfId="3724" xr:uid="{00000000-0005-0000-0000-0000D8BB0000}"/>
    <cellStyle name="Migliaia 58 3 2 2" xfId="2986" xr:uid="{00000000-0005-0000-0000-0000D9BB0000}"/>
    <cellStyle name="Migliaia 58 3 2 2 2" xfId="11611" xr:uid="{00000000-0005-0000-0000-0000DABB0000}"/>
    <cellStyle name="Migliaia 58 3 2 3" xfId="3355" xr:uid="{00000000-0005-0000-0000-0000DBBB0000}"/>
    <cellStyle name="Migliaia 58 3 2 3 2" xfId="28456" xr:uid="{00000000-0005-0000-0000-0000DCBB0000}"/>
    <cellStyle name="Migliaia 58 3 2 3 3" xfId="43429" xr:uid="{00000000-0005-0000-0000-0000DDBB0000}"/>
    <cellStyle name="Migliaia 58 3 2 3 4" xfId="12174" xr:uid="{00000000-0005-0000-0000-0000DEBB0000}"/>
    <cellStyle name="Migliaia 58 3 2 4" xfId="19582" xr:uid="{00000000-0005-0000-0000-0000DFBB0000}"/>
    <cellStyle name="Migliaia 58 3 2 4 2" xfId="35663" xr:uid="{00000000-0005-0000-0000-0000E0BB0000}"/>
    <cellStyle name="Migliaia 58 3 2 4 3" xfId="50619" xr:uid="{00000000-0005-0000-0000-0000E1BB0000}"/>
    <cellStyle name="Migliaia 58 3 2 5" xfId="21459" xr:uid="{00000000-0005-0000-0000-0000E2BB0000}"/>
    <cellStyle name="Migliaia 58 3 2 6" xfId="36430" xr:uid="{00000000-0005-0000-0000-0000E3BB0000}"/>
    <cellStyle name="Migliaia 58 3 2 7" xfId="51367" xr:uid="{00000000-0005-0000-0000-0000E4BB0000}"/>
    <cellStyle name="Migliaia 58 3 2 8" xfId="51761" xr:uid="{00000000-0005-0000-0000-0000E5BB0000}"/>
    <cellStyle name="Migliaia 58 3 2 9" xfId="52167" xr:uid="{00000000-0005-0000-0000-0000E6BB0000}"/>
    <cellStyle name="Migliaia 58 3 3" xfId="2985" xr:uid="{00000000-0005-0000-0000-0000E7BB0000}"/>
    <cellStyle name="Migliaia 58 3 3 2" xfId="20622" xr:uid="{00000000-0005-0000-0000-0000E8BB0000}"/>
    <cellStyle name="Migliaia 58 3 3 2 2" xfId="36055" xr:uid="{00000000-0005-0000-0000-0000E9BB0000}"/>
    <cellStyle name="Migliaia 58 3 3 2 3" xfId="51011" xr:uid="{00000000-0005-0000-0000-0000EABB0000}"/>
    <cellStyle name="Migliaia 58 3 3 3" xfId="19583" xr:uid="{00000000-0005-0000-0000-0000EBBB0000}"/>
    <cellStyle name="Migliaia 58 3 3 3 2" xfId="35664" xr:uid="{00000000-0005-0000-0000-0000ECBB0000}"/>
    <cellStyle name="Migliaia 58 3 3 3 3" xfId="50620" xr:uid="{00000000-0005-0000-0000-0000EDBB0000}"/>
    <cellStyle name="Migliaia 58 3 3 4" xfId="11610" xr:uid="{00000000-0005-0000-0000-0000EEBB0000}"/>
    <cellStyle name="Migliaia 58 3 4" xfId="3354" xr:uid="{00000000-0005-0000-0000-0000EFBB0000}"/>
    <cellStyle name="Migliaia 58 3 4 2" xfId="20621" xr:uid="{00000000-0005-0000-0000-0000F0BB0000}"/>
    <cellStyle name="Migliaia 58 3 4 2 2" xfId="36054" xr:uid="{00000000-0005-0000-0000-0000F1BB0000}"/>
    <cellStyle name="Migliaia 58 3 4 2 3" xfId="51010" xr:uid="{00000000-0005-0000-0000-0000F2BB0000}"/>
    <cellStyle name="Migliaia 58 3 4 3" xfId="28455" xr:uid="{00000000-0005-0000-0000-0000F3BB0000}"/>
    <cellStyle name="Migliaia 58 3 4 4" xfId="43428" xr:uid="{00000000-0005-0000-0000-0000F4BB0000}"/>
    <cellStyle name="Migliaia 58 3 4 5" xfId="12173" xr:uid="{00000000-0005-0000-0000-0000F5BB0000}"/>
    <cellStyle name="Migliaia 58 3 5" xfId="19581" xr:uid="{00000000-0005-0000-0000-0000F6BB0000}"/>
    <cellStyle name="Migliaia 58 3 5 2" xfId="35662" xr:uid="{00000000-0005-0000-0000-0000F7BB0000}"/>
    <cellStyle name="Migliaia 58 3 5 3" xfId="50618" xr:uid="{00000000-0005-0000-0000-0000F8BB0000}"/>
    <cellStyle name="Migliaia 58 3 6" xfId="21458" xr:uid="{00000000-0005-0000-0000-0000F9BB0000}"/>
    <cellStyle name="Migliaia 58 3 7" xfId="36429" xr:uid="{00000000-0005-0000-0000-0000FABB0000}"/>
    <cellStyle name="Migliaia 58 3 8" xfId="51366" xr:uid="{00000000-0005-0000-0000-0000FBBB0000}"/>
    <cellStyle name="Migliaia 58 3 9" xfId="51760" xr:uid="{00000000-0005-0000-0000-0000FCBB0000}"/>
    <cellStyle name="Migliaia 58 4" xfId="2983" xr:uid="{00000000-0005-0000-0000-0000FDBB0000}"/>
    <cellStyle name="Migliaia 58 4 2" xfId="19585" xr:uid="{00000000-0005-0000-0000-0000FEBB0000}"/>
    <cellStyle name="Migliaia 58 4 2 2" xfId="20624" xr:uid="{00000000-0005-0000-0000-0000FFBB0000}"/>
    <cellStyle name="Migliaia 58 4 2 2 2" xfId="36057" xr:uid="{00000000-0005-0000-0000-000000BC0000}"/>
    <cellStyle name="Migliaia 58 4 2 2 3" xfId="51013" xr:uid="{00000000-0005-0000-0000-000001BC0000}"/>
    <cellStyle name="Migliaia 58 4 2 3" xfId="35666" xr:uid="{00000000-0005-0000-0000-000002BC0000}"/>
    <cellStyle name="Migliaia 58 4 2 4" xfId="50622" xr:uid="{00000000-0005-0000-0000-000003BC0000}"/>
    <cellStyle name="Migliaia 58 4 3" xfId="20623" xr:uid="{00000000-0005-0000-0000-000004BC0000}"/>
    <cellStyle name="Migliaia 58 4 3 2" xfId="36056" xr:uid="{00000000-0005-0000-0000-000005BC0000}"/>
    <cellStyle name="Migliaia 58 4 3 3" xfId="51012" xr:uid="{00000000-0005-0000-0000-000006BC0000}"/>
    <cellStyle name="Migliaia 58 4 4" xfId="19584" xr:uid="{00000000-0005-0000-0000-000007BC0000}"/>
    <cellStyle name="Migliaia 58 4 4 2" xfId="35665" xr:uid="{00000000-0005-0000-0000-000008BC0000}"/>
    <cellStyle name="Migliaia 58 4 4 3" xfId="50621" xr:uid="{00000000-0005-0000-0000-000009BC0000}"/>
    <cellStyle name="Migliaia 58 4 5" xfId="11612" xr:uid="{00000000-0005-0000-0000-00000ABC0000}"/>
    <cellStyle name="Migliaia 58 5" xfId="3352" xr:uid="{00000000-0005-0000-0000-00000BBC0000}"/>
    <cellStyle name="Migliaia 58 5 2" xfId="19586" xr:uid="{00000000-0005-0000-0000-00000CBC0000}"/>
    <cellStyle name="Migliaia 58 5 2 2" xfId="35667" xr:uid="{00000000-0005-0000-0000-00000DBC0000}"/>
    <cellStyle name="Migliaia 58 5 2 3" xfId="50623" xr:uid="{00000000-0005-0000-0000-00000EBC0000}"/>
    <cellStyle name="Migliaia 58 5 3" xfId="11613" xr:uid="{00000000-0005-0000-0000-00000FBC0000}"/>
    <cellStyle name="Migliaia 58 6" xfId="11608" xr:uid="{00000000-0005-0000-0000-000010BC0000}"/>
    <cellStyle name="Migliaia 58 7" xfId="12171" xr:uid="{00000000-0005-0000-0000-000011BC0000}"/>
    <cellStyle name="Migliaia 58 7 2" xfId="28453" xr:uid="{00000000-0005-0000-0000-000012BC0000}"/>
    <cellStyle name="Migliaia 58 7 3" xfId="43426" xr:uid="{00000000-0005-0000-0000-000013BC0000}"/>
    <cellStyle name="Migliaia 58 8" xfId="19579" xr:uid="{00000000-0005-0000-0000-000014BC0000}"/>
    <cellStyle name="Migliaia 58 8 2" xfId="35660" xr:uid="{00000000-0005-0000-0000-000015BC0000}"/>
    <cellStyle name="Migliaia 58 8 3" xfId="50616" xr:uid="{00000000-0005-0000-0000-000016BC0000}"/>
    <cellStyle name="Migliaia 58 9" xfId="21456" xr:uid="{00000000-0005-0000-0000-000017BC0000}"/>
    <cellStyle name="Migliaia 59" xfId="1447" xr:uid="{00000000-0005-0000-0000-000018BC0000}"/>
    <cellStyle name="Migliaia 59 10" xfId="36431" xr:uid="{00000000-0005-0000-0000-000019BC0000}"/>
    <cellStyle name="Migliaia 59 11" xfId="51368" xr:uid="{00000000-0005-0000-0000-00001ABC0000}"/>
    <cellStyle name="Migliaia 59 12" xfId="51762" xr:uid="{00000000-0005-0000-0000-00001BBC0000}"/>
    <cellStyle name="Migliaia 59 13" xfId="52168" xr:uid="{00000000-0005-0000-0000-00001CBC0000}"/>
    <cellStyle name="Migliaia 59 14" xfId="52576" xr:uid="{00000000-0005-0000-0000-00001DBC0000}"/>
    <cellStyle name="Migliaia 59 15" xfId="3725" xr:uid="{00000000-0005-0000-0000-00001EBC0000}"/>
    <cellStyle name="Migliaia 59 2" xfId="1448" xr:uid="{00000000-0005-0000-0000-00001FBC0000}"/>
    <cellStyle name="Migliaia 59 2 10" xfId="52169" xr:uid="{00000000-0005-0000-0000-000020BC0000}"/>
    <cellStyle name="Migliaia 59 2 11" xfId="52577" xr:uid="{00000000-0005-0000-0000-000021BC0000}"/>
    <cellStyle name="Migliaia 59 2 12" xfId="3726" xr:uid="{00000000-0005-0000-0000-000022BC0000}"/>
    <cellStyle name="Migliaia 59 2 2" xfId="1449" xr:uid="{00000000-0005-0000-0000-000023BC0000}"/>
    <cellStyle name="Migliaia 59 2 2 10" xfId="3809" xr:uid="{00000000-0005-0000-0000-000024BC0000}"/>
    <cellStyle name="Migliaia 59 2 2 2" xfId="3071" xr:uid="{00000000-0005-0000-0000-000025BC0000}"/>
    <cellStyle name="Migliaia 59 2 2 2 2" xfId="28566" xr:uid="{00000000-0005-0000-0000-000026BC0000}"/>
    <cellStyle name="Migliaia 59 2 2 2 3" xfId="43529" xr:uid="{00000000-0005-0000-0000-000027BC0000}"/>
    <cellStyle name="Migliaia 59 2 2 2 4" xfId="12288" xr:uid="{00000000-0005-0000-0000-000028BC0000}"/>
    <cellStyle name="Migliaia 59 2 2 3" xfId="3440" xr:uid="{00000000-0005-0000-0000-000029BC0000}"/>
    <cellStyle name="Migliaia 59 2 2 3 2" xfId="36058" xr:uid="{00000000-0005-0000-0000-00002ABC0000}"/>
    <cellStyle name="Migliaia 59 2 2 3 3" xfId="51014" xr:uid="{00000000-0005-0000-0000-00002BBC0000}"/>
    <cellStyle name="Migliaia 59 2 2 3 4" xfId="20625" xr:uid="{00000000-0005-0000-0000-00002CBC0000}"/>
    <cellStyle name="Migliaia 59 2 2 4" xfId="21566" xr:uid="{00000000-0005-0000-0000-00002DBC0000}"/>
    <cellStyle name="Migliaia 59 2 2 5" xfId="36533" xr:uid="{00000000-0005-0000-0000-00002EBC0000}"/>
    <cellStyle name="Migliaia 59 2 2 6" xfId="51471" xr:uid="{00000000-0005-0000-0000-00002FBC0000}"/>
    <cellStyle name="Migliaia 59 2 2 7" xfId="51876" xr:uid="{00000000-0005-0000-0000-000030BC0000}"/>
    <cellStyle name="Migliaia 59 2 2 8" xfId="52285" xr:uid="{00000000-0005-0000-0000-000031BC0000}"/>
    <cellStyle name="Migliaia 59 2 2 9" xfId="52690" xr:uid="{00000000-0005-0000-0000-000032BC0000}"/>
    <cellStyle name="Migliaia 59 2 3" xfId="2988" xr:uid="{00000000-0005-0000-0000-000033BC0000}"/>
    <cellStyle name="Migliaia 59 2 3 2" xfId="11615" xr:uid="{00000000-0005-0000-0000-000034BC0000}"/>
    <cellStyle name="Migliaia 59 2 4" xfId="3357" xr:uid="{00000000-0005-0000-0000-000035BC0000}"/>
    <cellStyle name="Migliaia 59 2 4 2" xfId="28458" xr:uid="{00000000-0005-0000-0000-000036BC0000}"/>
    <cellStyle name="Migliaia 59 2 4 3" xfId="43431" xr:uid="{00000000-0005-0000-0000-000037BC0000}"/>
    <cellStyle name="Migliaia 59 2 4 4" xfId="12176" xr:uid="{00000000-0005-0000-0000-000038BC0000}"/>
    <cellStyle name="Migliaia 59 2 5" xfId="19588" xr:uid="{00000000-0005-0000-0000-000039BC0000}"/>
    <cellStyle name="Migliaia 59 2 5 2" xfId="35669" xr:uid="{00000000-0005-0000-0000-00003ABC0000}"/>
    <cellStyle name="Migliaia 59 2 5 3" xfId="50625" xr:uid="{00000000-0005-0000-0000-00003BBC0000}"/>
    <cellStyle name="Migliaia 59 2 6" xfId="21461" xr:uid="{00000000-0005-0000-0000-00003CBC0000}"/>
    <cellStyle name="Migliaia 59 2 7" xfId="36432" xr:uid="{00000000-0005-0000-0000-00003DBC0000}"/>
    <cellStyle name="Migliaia 59 2 8" xfId="51369" xr:uid="{00000000-0005-0000-0000-00003EBC0000}"/>
    <cellStyle name="Migliaia 59 2 9" xfId="51763" xr:uid="{00000000-0005-0000-0000-00003FBC0000}"/>
    <cellStyle name="Migliaia 59 3" xfId="1450" xr:uid="{00000000-0005-0000-0000-000040BC0000}"/>
    <cellStyle name="Migliaia 59 3 10" xfId="52170" xr:uid="{00000000-0005-0000-0000-000041BC0000}"/>
    <cellStyle name="Migliaia 59 3 11" xfId="52578" xr:uid="{00000000-0005-0000-0000-000042BC0000}"/>
    <cellStyle name="Migliaia 59 3 12" xfId="3727" xr:uid="{00000000-0005-0000-0000-000043BC0000}"/>
    <cellStyle name="Migliaia 59 3 2" xfId="1451" xr:uid="{00000000-0005-0000-0000-000044BC0000}"/>
    <cellStyle name="Migliaia 59 3 2 10" xfId="52579" xr:uid="{00000000-0005-0000-0000-000045BC0000}"/>
    <cellStyle name="Migliaia 59 3 2 11" xfId="3728" xr:uid="{00000000-0005-0000-0000-000046BC0000}"/>
    <cellStyle name="Migliaia 59 3 2 2" xfId="2990" xr:uid="{00000000-0005-0000-0000-000047BC0000}"/>
    <cellStyle name="Migliaia 59 3 2 2 2" xfId="11617" xr:uid="{00000000-0005-0000-0000-000048BC0000}"/>
    <cellStyle name="Migliaia 59 3 2 3" xfId="3359" xr:uid="{00000000-0005-0000-0000-000049BC0000}"/>
    <cellStyle name="Migliaia 59 3 2 3 2" xfId="28460" xr:uid="{00000000-0005-0000-0000-00004ABC0000}"/>
    <cellStyle name="Migliaia 59 3 2 3 3" xfId="43433" xr:uid="{00000000-0005-0000-0000-00004BBC0000}"/>
    <cellStyle name="Migliaia 59 3 2 3 4" xfId="12178" xr:uid="{00000000-0005-0000-0000-00004CBC0000}"/>
    <cellStyle name="Migliaia 59 3 2 4" xfId="19590" xr:uid="{00000000-0005-0000-0000-00004DBC0000}"/>
    <cellStyle name="Migliaia 59 3 2 4 2" xfId="35671" xr:uid="{00000000-0005-0000-0000-00004EBC0000}"/>
    <cellStyle name="Migliaia 59 3 2 4 3" xfId="50627" xr:uid="{00000000-0005-0000-0000-00004FBC0000}"/>
    <cellStyle name="Migliaia 59 3 2 5" xfId="21463" xr:uid="{00000000-0005-0000-0000-000050BC0000}"/>
    <cellStyle name="Migliaia 59 3 2 6" xfId="36434" xr:uid="{00000000-0005-0000-0000-000051BC0000}"/>
    <cellStyle name="Migliaia 59 3 2 7" xfId="51371" xr:uid="{00000000-0005-0000-0000-000052BC0000}"/>
    <cellStyle name="Migliaia 59 3 2 8" xfId="51765" xr:uid="{00000000-0005-0000-0000-000053BC0000}"/>
    <cellStyle name="Migliaia 59 3 2 9" xfId="52171" xr:uid="{00000000-0005-0000-0000-000054BC0000}"/>
    <cellStyle name="Migliaia 59 3 3" xfId="2989" xr:uid="{00000000-0005-0000-0000-000055BC0000}"/>
    <cellStyle name="Migliaia 59 3 3 2" xfId="20627" xr:uid="{00000000-0005-0000-0000-000056BC0000}"/>
    <cellStyle name="Migliaia 59 3 3 2 2" xfId="36060" xr:uid="{00000000-0005-0000-0000-000057BC0000}"/>
    <cellStyle name="Migliaia 59 3 3 2 3" xfId="51016" xr:uid="{00000000-0005-0000-0000-000058BC0000}"/>
    <cellStyle name="Migliaia 59 3 3 3" xfId="19591" xr:uid="{00000000-0005-0000-0000-000059BC0000}"/>
    <cellStyle name="Migliaia 59 3 3 3 2" xfId="35672" xr:uid="{00000000-0005-0000-0000-00005ABC0000}"/>
    <cellStyle name="Migliaia 59 3 3 3 3" xfId="50628" xr:uid="{00000000-0005-0000-0000-00005BBC0000}"/>
    <cellStyle name="Migliaia 59 3 3 4" xfId="11616" xr:uid="{00000000-0005-0000-0000-00005CBC0000}"/>
    <cellStyle name="Migliaia 59 3 4" xfId="3358" xr:uid="{00000000-0005-0000-0000-00005DBC0000}"/>
    <cellStyle name="Migliaia 59 3 4 2" xfId="20626" xr:uid="{00000000-0005-0000-0000-00005EBC0000}"/>
    <cellStyle name="Migliaia 59 3 4 2 2" xfId="36059" xr:uid="{00000000-0005-0000-0000-00005FBC0000}"/>
    <cellStyle name="Migliaia 59 3 4 2 3" xfId="51015" xr:uid="{00000000-0005-0000-0000-000060BC0000}"/>
    <cellStyle name="Migliaia 59 3 4 3" xfId="28459" xr:uid="{00000000-0005-0000-0000-000061BC0000}"/>
    <cellStyle name="Migliaia 59 3 4 4" xfId="43432" xr:uid="{00000000-0005-0000-0000-000062BC0000}"/>
    <cellStyle name="Migliaia 59 3 4 5" xfId="12177" xr:uid="{00000000-0005-0000-0000-000063BC0000}"/>
    <cellStyle name="Migliaia 59 3 5" xfId="19589" xr:uid="{00000000-0005-0000-0000-000064BC0000}"/>
    <cellStyle name="Migliaia 59 3 5 2" xfId="35670" xr:uid="{00000000-0005-0000-0000-000065BC0000}"/>
    <cellStyle name="Migliaia 59 3 5 3" xfId="50626" xr:uid="{00000000-0005-0000-0000-000066BC0000}"/>
    <cellStyle name="Migliaia 59 3 6" xfId="21462" xr:uid="{00000000-0005-0000-0000-000067BC0000}"/>
    <cellStyle name="Migliaia 59 3 7" xfId="36433" xr:uid="{00000000-0005-0000-0000-000068BC0000}"/>
    <cellStyle name="Migliaia 59 3 8" xfId="51370" xr:uid="{00000000-0005-0000-0000-000069BC0000}"/>
    <cellStyle name="Migliaia 59 3 9" xfId="51764" xr:uid="{00000000-0005-0000-0000-00006ABC0000}"/>
    <cellStyle name="Migliaia 59 4" xfId="2987" xr:uid="{00000000-0005-0000-0000-00006BBC0000}"/>
    <cellStyle name="Migliaia 59 4 2" xfId="19593" xr:uid="{00000000-0005-0000-0000-00006CBC0000}"/>
    <cellStyle name="Migliaia 59 4 2 2" xfId="20629" xr:uid="{00000000-0005-0000-0000-00006DBC0000}"/>
    <cellStyle name="Migliaia 59 4 2 2 2" xfId="36062" xr:uid="{00000000-0005-0000-0000-00006EBC0000}"/>
    <cellStyle name="Migliaia 59 4 2 2 3" xfId="51018" xr:uid="{00000000-0005-0000-0000-00006FBC0000}"/>
    <cellStyle name="Migliaia 59 4 2 3" xfId="35674" xr:uid="{00000000-0005-0000-0000-000070BC0000}"/>
    <cellStyle name="Migliaia 59 4 2 4" xfId="50630" xr:uid="{00000000-0005-0000-0000-000071BC0000}"/>
    <cellStyle name="Migliaia 59 4 3" xfId="20628" xr:uid="{00000000-0005-0000-0000-000072BC0000}"/>
    <cellStyle name="Migliaia 59 4 3 2" xfId="36061" xr:uid="{00000000-0005-0000-0000-000073BC0000}"/>
    <cellStyle name="Migliaia 59 4 3 3" xfId="51017" xr:uid="{00000000-0005-0000-0000-000074BC0000}"/>
    <cellStyle name="Migliaia 59 4 4" xfId="19592" xr:uid="{00000000-0005-0000-0000-000075BC0000}"/>
    <cellStyle name="Migliaia 59 4 4 2" xfId="35673" xr:uid="{00000000-0005-0000-0000-000076BC0000}"/>
    <cellStyle name="Migliaia 59 4 4 3" xfId="50629" xr:uid="{00000000-0005-0000-0000-000077BC0000}"/>
    <cellStyle name="Migliaia 59 4 5" xfId="11618" xr:uid="{00000000-0005-0000-0000-000078BC0000}"/>
    <cellStyle name="Migliaia 59 5" xfId="3356" xr:uid="{00000000-0005-0000-0000-000079BC0000}"/>
    <cellStyle name="Migliaia 59 5 2" xfId="19594" xr:uid="{00000000-0005-0000-0000-00007ABC0000}"/>
    <cellStyle name="Migliaia 59 5 2 2" xfId="35675" xr:uid="{00000000-0005-0000-0000-00007BBC0000}"/>
    <cellStyle name="Migliaia 59 5 2 3" xfId="50631" xr:uid="{00000000-0005-0000-0000-00007CBC0000}"/>
    <cellStyle name="Migliaia 59 5 3" xfId="11619" xr:uid="{00000000-0005-0000-0000-00007DBC0000}"/>
    <cellStyle name="Migliaia 59 6" xfId="11614" xr:uid="{00000000-0005-0000-0000-00007EBC0000}"/>
    <cellStyle name="Migliaia 59 7" xfId="12175" xr:uid="{00000000-0005-0000-0000-00007FBC0000}"/>
    <cellStyle name="Migliaia 59 7 2" xfId="28457" xr:uid="{00000000-0005-0000-0000-000080BC0000}"/>
    <cellStyle name="Migliaia 59 7 3" xfId="43430" xr:uid="{00000000-0005-0000-0000-000081BC0000}"/>
    <cellStyle name="Migliaia 59 8" xfId="19587" xr:uid="{00000000-0005-0000-0000-000082BC0000}"/>
    <cellStyle name="Migliaia 59 8 2" xfId="35668" xr:uid="{00000000-0005-0000-0000-000083BC0000}"/>
    <cellStyle name="Migliaia 59 8 3" xfId="50624" xr:uid="{00000000-0005-0000-0000-000084BC0000}"/>
    <cellStyle name="Migliaia 59 9" xfId="21460" xr:uid="{00000000-0005-0000-0000-000085BC0000}"/>
    <cellStyle name="Migliaia 6" xfId="1452" xr:uid="{00000000-0005-0000-0000-000086BC0000}"/>
    <cellStyle name="Migliaia 6 10" xfId="36435" xr:uid="{00000000-0005-0000-0000-000087BC0000}"/>
    <cellStyle name="Migliaia 6 11" xfId="51372" xr:uid="{00000000-0005-0000-0000-000088BC0000}"/>
    <cellStyle name="Migliaia 6 12" xfId="51766" xr:uid="{00000000-0005-0000-0000-000089BC0000}"/>
    <cellStyle name="Migliaia 6 13" xfId="52172" xr:uid="{00000000-0005-0000-0000-00008ABC0000}"/>
    <cellStyle name="Migliaia 6 14" xfId="52580" xr:uid="{00000000-0005-0000-0000-00008BBC0000}"/>
    <cellStyle name="Migliaia 6 15" xfId="3729" xr:uid="{00000000-0005-0000-0000-00008CBC0000}"/>
    <cellStyle name="Migliaia 6 2" xfId="1453" xr:uid="{00000000-0005-0000-0000-00008DBC0000}"/>
    <cellStyle name="Migliaia 6 2 10" xfId="52173" xr:uid="{00000000-0005-0000-0000-00008EBC0000}"/>
    <cellStyle name="Migliaia 6 2 11" xfId="52581" xr:uid="{00000000-0005-0000-0000-00008FBC0000}"/>
    <cellStyle name="Migliaia 6 2 12" xfId="3730" xr:uid="{00000000-0005-0000-0000-000090BC0000}"/>
    <cellStyle name="Migliaia 6 2 2" xfId="1454" xr:uid="{00000000-0005-0000-0000-000091BC0000}"/>
    <cellStyle name="Migliaia 6 2 2 10" xfId="3810" xr:uid="{00000000-0005-0000-0000-000092BC0000}"/>
    <cellStyle name="Migliaia 6 2 2 2" xfId="3072" xr:uid="{00000000-0005-0000-0000-000093BC0000}"/>
    <cellStyle name="Migliaia 6 2 2 2 2" xfId="28567" xr:uid="{00000000-0005-0000-0000-000094BC0000}"/>
    <cellStyle name="Migliaia 6 2 2 2 3" xfId="43530" xr:uid="{00000000-0005-0000-0000-000095BC0000}"/>
    <cellStyle name="Migliaia 6 2 2 2 4" xfId="12289" xr:uid="{00000000-0005-0000-0000-000096BC0000}"/>
    <cellStyle name="Migliaia 6 2 2 3" xfId="3441" xr:uid="{00000000-0005-0000-0000-000097BC0000}"/>
    <cellStyle name="Migliaia 6 2 2 3 2" xfId="36063" xr:uid="{00000000-0005-0000-0000-000098BC0000}"/>
    <cellStyle name="Migliaia 6 2 2 3 3" xfId="51019" xr:uid="{00000000-0005-0000-0000-000099BC0000}"/>
    <cellStyle name="Migliaia 6 2 2 3 4" xfId="20630" xr:uid="{00000000-0005-0000-0000-00009ABC0000}"/>
    <cellStyle name="Migliaia 6 2 2 4" xfId="21567" xr:uid="{00000000-0005-0000-0000-00009BBC0000}"/>
    <cellStyle name="Migliaia 6 2 2 5" xfId="36534" xr:uid="{00000000-0005-0000-0000-00009CBC0000}"/>
    <cellStyle name="Migliaia 6 2 2 6" xfId="51472" xr:uid="{00000000-0005-0000-0000-00009DBC0000}"/>
    <cellStyle name="Migliaia 6 2 2 7" xfId="51877" xr:uid="{00000000-0005-0000-0000-00009EBC0000}"/>
    <cellStyle name="Migliaia 6 2 2 8" xfId="52286" xr:uid="{00000000-0005-0000-0000-00009FBC0000}"/>
    <cellStyle name="Migliaia 6 2 2 9" xfId="52691" xr:uid="{00000000-0005-0000-0000-0000A0BC0000}"/>
    <cellStyle name="Migliaia 6 2 3" xfId="2992" xr:uid="{00000000-0005-0000-0000-0000A1BC0000}"/>
    <cellStyle name="Migliaia 6 2 3 2" xfId="11621" xr:uid="{00000000-0005-0000-0000-0000A2BC0000}"/>
    <cellStyle name="Migliaia 6 2 4" xfId="3361" xr:uid="{00000000-0005-0000-0000-0000A3BC0000}"/>
    <cellStyle name="Migliaia 6 2 4 2" xfId="28462" xr:uid="{00000000-0005-0000-0000-0000A4BC0000}"/>
    <cellStyle name="Migliaia 6 2 4 3" xfId="43435" xr:uid="{00000000-0005-0000-0000-0000A5BC0000}"/>
    <cellStyle name="Migliaia 6 2 4 4" xfId="12180" xr:uid="{00000000-0005-0000-0000-0000A6BC0000}"/>
    <cellStyle name="Migliaia 6 2 5" xfId="19596" xr:uid="{00000000-0005-0000-0000-0000A7BC0000}"/>
    <cellStyle name="Migliaia 6 2 5 2" xfId="35677" xr:uid="{00000000-0005-0000-0000-0000A8BC0000}"/>
    <cellStyle name="Migliaia 6 2 5 3" xfId="50633" xr:uid="{00000000-0005-0000-0000-0000A9BC0000}"/>
    <cellStyle name="Migliaia 6 2 6" xfId="21465" xr:uid="{00000000-0005-0000-0000-0000AABC0000}"/>
    <cellStyle name="Migliaia 6 2 7" xfId="36436" xr:uid="{00000000-0005-0000-0000-0000ABBC0000}"/>
    <cellStyle name="Migliaia 6 2 8" xfId="51373" xr:uid="{00000000-0005-0000-0000-0000ACBC0000}"/>
    <cellStyle name="Migliaia 6 2 9" xfId="51767" xr:uid="{00000000-0005-0000-0000-0000ADBC0000}"/>
    <cellStyle name="Migliaia 6 3" xfId="1455" xr:uid="{00000000-0005-0000-0000-0000AEBC0000}"/>
    <cellStyle name="Migliaia 6 3 10" xfId="52174" xr:uid="{00000000-0005-0000-0000-0000AFBC0000}"/>
    <cellStyle name="Migliaia 6 3 11" xfId="52582" xr:uid="{00000000-0005-0000-0000-0000B0BC0000}"/>
    <cellStyle name="Migliaia 6 3 12" xfId="3731" xr:uid="{00000000-0005-0000-0000-0000B1BC0000}"/>
    <cellStyle name="Migliaia 6 3 2" xfId="1456" xr:uid="{00000000-0005-0000-0000-0000B2BC0000}"/>
    <cellStyle name="Migliaia 6 3 2 10" xfId="52583" xr:uid="{00000000-0005-0000-0000-0000B3BC0000}"/>
    <cellStyle name="Migliaia 6 3 2 11" xfId="3732" xr:uid="{00000000-0005-0000-0000-0000B4BC0000}"/>
    <cellStyle name="Migliaia 6 3 2 2" xfId="2994" xr:uid="{00000000-0005-0000-0000-0000B5BC0000}"/>
    <cellStyle name="Migliaia 6 3 2 2 2" xfId="11623" xr:uid="{00000000-0005-0000-0000-0000B6BC0000}"/>
    <cellStyle name="Migliaia 6 3 2 3" xfId="3363" xr:uid="{00000000-0005-0000-0000-0000B7BC0000}"/>
    <cellStyle name="Migliaia 6 3 2 3 2" xfId="28464" xr:uid="{00000000-0005-0000-0000-0000B8BC0000}"/>
    <cellStyle name="Migliaia 6 3 2 3 3" xfId="43437" xr:uid="{00000000-0005-0000-0000-0000B9BC0000}"/>
    <cellStyle name="Migliaia 6 3 2 3 4" xfId="12182" xr:uid="{00000000-0005-0000-0000-0000BABC0000}"/>
    <cellStyle name="Migliaia 6 3 2 4" xfId="19598" xr:uid="{00000000-0005-0000-0000-0000BBBC0000}"/>
    <cellStyle name="Migliaia 6 3 2 4 2" xfId="35679" xr:uid="{00000000-0005-0000-0000-0000BCBC0000}"/>
    <cellStyle name="Migliaia 6 3 2 4 3" xfId="50635" xr:uid="{00000000-0005-0000-0000-0000BDBC0000}"/>
    <cellStyle name="Migliaia 6 3 2 5" xfId="21467" xr:uid="{00000000-0005-0000-0000-0000BEBC0000}"/>
    <cellStyle name="Migliaia 6 3 2 6" xfId="36438" xr:uid="{00000000-0005-0000-0000-0000BFBC0000}"/>
    <cellStyle name="Migliaia 6 3 2 7" xfId="51375" xr:uid="{00000000-0005-0000-0000-0000C0BC0000}"/>
    <cellStyle name="Migliaia 6 3 2 8" xfId="51769" xr:uid="{00000000-0005-0000-0000-0000C1BC0000}"/>
    <cellStyle name="Migliaia 6 3 2 9" xfId="52175" xr:uid="{00000000-0005-0000-0000-0000C2BC0000}"/>
    <cellStyle name="Migliaia 6 3 3" xfId="2993" xr:uid="{00000000-0005-0000-0000-0000C3BC0000}"/>
    <cellStyle name="Migliaia 6 3 3 2" xfId="20632" xr:uid="{00000000-0005-0000-0000-0000C4BC0000}"/>
    <cellStyle name="Migliaia 6 3 3 2 2" xfId="36065" xr:uid="{00000000-0005-0000-0000-0000C5BC0000}"/>
    <cellStyle name="Migliaia 6 3 3 2 3" xfId="51021" xr:uid="{00000000-0005-0000-0000-0000C6BC0000}"/>
    <cellStyle name="Migliaia 6 3 3 3" xfId="19599" xr:uid="{00000000-0005-0000-0000-0000C7BC0000}"/>
    <cellStyle name="Migliaia 6 3 3 3 2" xfId="35680" xr:uid="{00000000-0005-0000-0000-0000C8BC0000}"/>
    <cellStyle name="Migliaia 6 3 3 3 3" xfId="50636" xr:uid="{00000000-0005-0000-0000-0000C9BC0000}"/>
    <cellStyle name="Migliaia 6 3 3 4" xfId="11622" xr:uid="{00000000-0005-0000-0000-0000CABC0000}"/>
    <cellStyle name="Migliaia 6 3 4" xfId="3362" xr:uid="{00000000-0005-0000-0000-0000CBBC0000}"/>
    <cellStyle name="Migliaia 6 3 4 2" xfId="20631" xr:uid="{00000000-0005-0000-0000-0000CCBC0000}"/>
    <cellStyle name="Migliaia 6 3 4 2 2" xfId="36064" xr:uid="{00000000-0005-0000-0000-0000CDBC0000}"/>
    <cellStyle name="Migliaia 6 3 4 2 3" xfId="51020" xr:uid="{00000000-0005-0000-0000-0000CEBC0000}"/>
    <cellStyle name="Migliaia 6 3 4 3" xfId="28463" xr:uid="{00000000-0005-0000-0000-0000CFBC0000}"/>
    <cellStyle name="Migliaia 6 3 4 4" xfId="43436" xr:uid="{00000000-0005-0000-0000-0000D0BC0000}"/>
    <cellStyle name="Migliaia 6 3 4 5" xfId="12181" xr:uid="{00000000-0005-0000-0000-0000D1BC0000}"/>
    <cellStyle name="Migliaia 6 3 5" xfId="19597" xr:uid="{00000000-0005-0000-0000-0000D2BC0000}"/>
    <cellStyle name="Migliaia 6 3 5 2" xfId="35678" xr:uid="{00000000-0005-0000-0000-0000D3BC0000}"/>
    <cellStyle name="Migliaia 6 3 5 3" xfId="50634" xr:uid="{00000000-0005-0000-0000-0000D4BC0000}"/>
    <cellStyle name="Migliaia 6 3 6" xfId="21466" xr:uid="{00000000-0005-0000-0000-0000D5BC0000}"/>
    <cellStyle name="Migliaia 6 3 7" xfId="36437" xr:uid="{00000000-0005-0000-0000-0000D6BC0000}"/>
    <cellStyle name="Migliaia 6 3 8" xfId="51374" xr:uid="{00000000-0005-0000-0000-0000D7BC0000}"/>
    <cellStyle name="Migliaia 6 3 9" xfId="51768" xr:uid="{00000000-0005-0000-0000-0000D8BC0000}"/>
    <cellStyle name="Migliaia 6 4" xfId="2991" xr:uid="{00000000-0005-0000-0000-0000D9BC0000}"/>
    <cellStyle name="Migliaia 6 4 2" xfId="19601" xr:uid="{00000000-0005-0000-0000-0000DABC0000}"/>
    <cellStyle name="Migliaia 6 4 2 2" xfId="20634" xr:uid="{00000000-0005-0000-0000-0000DBBC0000}"/>
    <cellStyle name="Migliaia 6 4 2 2 2" xfId="36067" xr:uid="{00000000-0005-0000-0000-0000DCBC0000}"/>
    <cellStyle name="Migliaia 6 4 2 2 3" xfId="51023" xr:uid="{00000000-0005-0000-0000-0000DDBC0000}"/>
    <cellStyle name="Migliaia 6 4 2 3" xfId="35682" xr:uid="{00000000-0005-0000-0000-0000DEBC0000}"/>
    <cellStyle name="Migliaia 6 4 2 4" xfId="50638" xr:uid="{00000000-0005-0000-0000-0000DFBC0000}"/>
    <cellStyle name="Migliaia 6 4 3" xfId="20633" xr:uid="{00000000-0005-0000-0000-0000E0BC0000}"/>
    <cellStyle name="Migliaia 6 4 3 2" xfId="36066" xr:uid="{00000000-0005-0000-0000-0000E1BC0000}"/>
    <cellStyle name="Migliaia 6 4 3 3" xfId="51022" xr:uid="{00000000-0005-0000-0000-0000E2BC0000}"/>
    <cellStyle name="Migliaia 6 4 4" xfId="19600" xr:uid="{00000000-0005-0000-0000-0000E3BC0000}"/>
    <cellStyle name="Migliaia 6 4 4 2" xfId="35681" xr:uid="{00000000-0005-0000-0000-0000E4BC0000}"/>
    <cellStyle name="Migliaia 6 4 4 3" xfId="50637" xr:uid="{00000000-0005-0000-0000-0000E5BC0000}"/>
    <cellStyle name="Migliaia 6 4 5" xfId="11624" xr:uid="{00000000-0005-0000-0000-0000E6BC0000}"/>
    <cellStyle name="Migliaia 6 5" xfId="3360" xr:uid="{00000000-0005-0000-0000-0000E7BC0000}"/>
    <cellStyle name="Migliaia 6 5 2" xfId="19602" xr:uid="{00000000-0005-0000-0000-0000E8BC0000}"/>
    <cellStyle name="Migliaia 6 5 2 2" xfId="35683" xr:uid="{00000000-0005-0000-0000-0000E9BC0000}"/>
    <cellStyle name="Migliaia 6 5 2 3" xfId="50639" xr:uid="{00000000-0005-0000-0000-0000EABC0000}"/>
    <cellStyle name="Migliaia 6 5 3" xfId="11625" xr:uid="{00000000-0005-0000-0000-0000EBBC0000}"/>
    <cellStyle name="Migliaia 6 6" xfId="11620" xr:uid="{00000000-0005-0000-0000-0000ECBC0000}"/>
    <cellStyle name="Migliaia 6 7" xfId="12179" xr:uid="{00000000-0005-0000-0000-0000EDBC0000}"/>
    <cellStyle name="Migliaia 6 7 2" xfId="28461" xr:uid="{00000000-0005-0000-0000-0000EEBC0000}"/>
    <cellStyle name="Migliaia 6 7 3" xfId="43434" xr:uid="{00000000-0005-0000-0000-0000EFBC0000}"/>
    <cellStyle name="Migliaia 6 8" xfId="19595" xr:uid="{00000000-0005-0000-0000-0000F0BC0000}"/>
    <cellStyle name="Migliaia 6 8 2" xfId="35676" xr:uid="{00000000-0005-0000-0000-0000F1BC0000}"/>
    <cellStyle name="Migliaia 6 8 3" xfId="50632" xr:uid="{00000000-0005-0000-0000-0000F2BC0000}"/>
    <cellStyle name="Migliaia 6 9" xfId="21464" xr:uid="{00000000-0005-0000-0000-0000F3BC0000}"/>
    <cellStyle name="Migliaia 60" xfId="1457" xr:uid="{00000000-0005-0000-0000-0000F4BC0000}"/>
    <cellStyle name="Migliaia 60 10" xfId="36439" xr:uid="{00000000-0005-0000-0000-0000F5BC0000}"/>
    <cellStyle name="Migliaia 60 11" xfId="51376" xr:uid="{00000000-0005-0000-0000-0000F6BC0000}"/>
    <cellStyle name="Migliaia 60 12" xfId="51770" xr:uid="{00000000-0005-0000-0000-0000F7BC0000}"/>
    <cellStyle name="Migliaia 60 13" xfId="52176" xr:uid="{00000000-0005-0000-0000-0000F8BC0000}"/>
    <cellStyle name="Migliaia 60 14" xfId="52584" xr:uid="{00000000-0005-0000-0000-0000F9BC0000}"/>
    <cellStyle name="Migliaia 60 15" xfId="3733" xr:uid="{00000000-0005-0000-0000-0000FABC0000}"/>
    <cellStyle name="Migliaia 60 2" xfId="1458" xr:uid="{00000000-0005-0000-0000-0000FBBC0000}"/>
    <cellStyle name="Migliaia 60 2 10" xfId="52177" xr:uid="{00000000-0005-0000-0000-0000FCBC0000}"/>
    <cellStyle name="Migliaia 60 2 11" xfId="52585" xr:uid="{00000000-0005-0000-0000-0000FDBC0000}"/>
    <cellStyle name="Migliaia 60 2 12" xfId="3734" xr:uid="{00000000-0005-0000-0000-0000FEBC0000}"/>
    <cellStyle name="Migliaia 60 2 2" xfId="1459" xr:uid="{00000000-0005-0000-0000-0000FFBC0000}"/>
    <cellStyle name="Migliaia 60 2 2 10" xfId="3811" xr:uid="{00000000-0005-0000-0000-000000BD0000}"/>
    <cellStyle name="Migliaia 60 2 2 2" xfId="3073" xr:uid="{00000000-0005-0000-0000-000001BD0000}"/>
    <cellStyle name="Migliaia 60 2 2 2 2" xfId="28568" xr:uid="{00000000-0005-0000-0000-000002BD0000}"/>
    <cellStyle name="Migliaia 60 2 2 2 3" xfId="43531" xr:uid="{00000000-0005-0000-0000-000003BD0000}"/>
    <cellStyle name="Migliaia 60 2 2 2 4" xfId="12290" xr:uid="{00000000-0005-0000-0000-000004BD0000}"/>
    <cellStyle name="Migliaia 60 2 2 3" xfId="3442" xr:uid="{00000000-0005-0000-0000-000005BD0000}"/>
    <cellStyle name="Migliaia 60 2 2 3 2" xfId="36068" xr:uid="{00000000-0005-0000-0000-000006BD0000}"/>
    <cellStyle name="Migliaia 60 2 2 3 3" xfId="51024" xr:uid="{00000000-0005-0000-0000-000007BD0000}"/>
    <cellStyle name="Migliaia 60 2 2 3 4" xfId="20635" xr:uid="{00000000-0005-0000-0000-000008BD0000}"/>
    <cellStyle name="Migliaia 60 2 2 4" xfId="21568" xr:uid="{00000000-0005-0000-0000-000009BD0000}"/>
    <cellStyle name="Migliaia 60 2 2 5" xfId="36535" xr:uid="{00000000-0005-0000-0000-00000ABD0000}"/>
    <cellStyle name="Migliaia 60 2 2 6" xfId="51473" xr:uid="{00000000-0005-0000-0000-00000BBD0000}"/>
    <cellStyle name="Migliaia 60 2 2 7" xfId="51878" xr:uid="{00000000-0005-0000-0000-00000CBD0000}"/>
    <cellStyle name="Migliaia 60 2 2 8" xfId="52287" xr:uid="{00000000-0005-0000-0000-00000DBD0000}"/>
    <cellStyle name="Migliaia 60 2 2 9" xfId="52692" xr:uid="{00000000-0005-0000-0000-00000EBD0000}"/>
    <cellStyle name="Migliaia 60 2 3" xfId="2996" xr:uid="{00000000-0005-0000-0000-00000FBD0000}"/>
    <cellStyle name="Migliaia 60 2 3 2" xfId="11627" xr:uid="{00000000-0005-0000-0000-000010BD0000}"/>
    <cellStyle name="Migliaia 60 2 4" xfId="3365" xr:uid="{00000000-0005-0000-0000-000011BD0000}"/>
    <cellStyle name="Migliaia 60 2 4 2" xfId="28466" xr:uid="{00000000-0005-0000-0000-000012BD0000}"/>
    <cellStyle name="Migliaia 60 2 4 3" xfId="43439" xr:uid="{00000000-0005-0000-0000-000013BD0000}"/>
    <cellStyle name="Migliaia 60 2 4 4" xfId="12184" xr:uid="{00000000-0005-0000-0000-000014BD0000}"/>
    <cellStyle name="Migliaia 60 2 5" xfId="19604" xr:uid="{00000000-0005-0000-0000-000015BD0000}"/>
    <cellStyle name="Migliaia 60 2 5 2" xfId="35685" xr:uid="{00000000-0005-0000-0000-000016BD0000}"/>
    <cellStyle name="Migliaia 60 2 5 3" xfId="50641" xr:uid="{00000000-0005-0000-0000-000017BD0000}"/>
    <cellStyle name="Migliaia 60 2 6" xfId="21469" xr:uid="{00000000-0005-0000-0000-000018BD0000}"/>
    <cellStyle name="Migliaia 60 2 7" xfId="36440" xr:uid="{00000000-0005-0000-0000-000019BD0000}"/>
    <cellStyle name="Migliaia 60 2 8" xfId="51377" xr:uid="{00000000-0005-0000-0000-00001ABD0000}"/>
    <cellStyle name="Migliaia 60 2 9" xfId="51771" xr:uid="{00000000-0005-0000-0000-00001BBD0000}"/>
    <cellStyle name="Migliaia 60 3" xfId="1460" xr:uid="{00000000-0005-0000-0000-00001CBD0000}"/>
    <cellStyle name="Migliaia 60 3 10" xfId="52178" xr:uid="{00000000-0005-0000-0000-00001DBD0000}"/>
    <cellStyle name="Migliaia 60 3 11" xfId="52586" xr:uid="{00000000-0005-0000-0000-00001EBD0000}"/>
    <cellStyle name="Migliaia 60 3 12" xfId="3735" xr:uid="{00000000-0005-0000-0000-00001FBD0000}"/>
    <cellStyle name="Migliaia 60 3 2" xfId="1461" xr:uid="{00000000-0005-0000-0000-000020BD0000}"/>
    <cellStyle name="Migliaia 60 3 2 10" xfId="52587" xr:uid="{00000000-0005-0000-0000-000021BD0000}"/>
    <cellStyle name="Migliaia 60 3 2 11" xfId="3736" xr:uid="{00000000-0005-0000-0000-000022BD0000}"/>
    <cellStyle name="Migliaia 60 3 2 2" xfId="2998" xr:uid="{00000000-0005-0000-0000-000023BD0000}"/>
    <cellStyle name="Migliaia 60 3 2 2 2" xfId="11629" xr:uid="{00000000-0005-0000-0000-000024BD0000}"/>
    <cellStyle name="Migliaia 60 3 2 3" xfId="3367" xr:uid="{00000000-0005-0000-0000-000025BD0000}"/>
    <cellStyle name="Migliaia 60 3 2 3 2" xfId="28468" xr:uid="{00000000-0005-0000-0000-000026BD0000}"/>
    <cellStyle name="Migliaia 60 3 2 3 3" xfId="43441" xr:uid="{00000000-0005-0000-0000-000027BD0000}"/>
    <cellStyle name="Migliaia 60 3 2 3 4" xfId="12186" xr:uid="{00000000-0005-0000-0000-000028BD0000}"/>
    <cellStyle name="Migliaia 60 3 2 4" xfId="19606" xr:uid="{00000000-0005-0000-0000-000029BD0000}"/>
    <cellStyle name="Migliaia 60 3 2 4 2" xfId="35687" xr:uid="{00000000-0005-0000-0000-00002ABD0000}"/>
    <cellStyle name="Migliaia 60 3 2 4 3" xfId="50643" xr:uid="{00000000-0005-0000-0000-00002BBD0000}"/>
    <cellStyle name="Migliaia 60 3 2 5" xfId="21471" xr:uid="{00000000-0005-0000-0000-00002CBD0000}"/>
    <cellStyle name="Migliaia 60 3 2 6" xfId="36442" xr:uid="{00000000-0005-0000-0000-00002DBD0000}"/>
    <cellStyle name="Migliaia 60 3 2 7" xfId="51379" xr:uid="{00000000-0005-0000-0000-00002EBD0000}"/>
    <cellStyle name="Migliaia 60 3 2 8" xfId="51773" xr:uid="{00000000-0005-0000-0000-00002FBD0000}"/>
    <cellStyle name="Migliaia 60 3 2 9" xfId="52179" xr:uid="{00000000-0005-0000-0000-000030BD0000}"/>
    <cellStyle name="Migliaia 60 3 3" xfId="2997" xr:uid="{00000000-0005-0000-0000-000031BD0000}"/>
    <cellStyle name="Migliaia 60 3 3 2" xfId="20637" xr:uid="{00000000-0005-0000-0000-000032BD0000}"/>
    <cellStyle name="Migliaia 60 3 3 2 2" xfId="36070" xr:uid="{00000000-0005-0000-0000-000033BD0000}"/>
    <cellStyle name="Migliaia 60 3 3 2 3" xfId="51026" xr:uid="{00000000-0005-0000-0000-000034BD0000}"/>
    <cellStyle name="Migliaia 60 3 3 3" xfId="19607" xr:uid="{00000000-0005-0000-0000-000035BD0000}"/>
    <cellStyle name="Migliaia 60 3 3 3 2" xfId="35688" xr:uid="{00000000-0005-0000-0000-000036BD0000}"/>
    <cellStyle name="Migliaia 60 3 3 3 3" xfId="50644" xr:uid="{00000000-0005-0000-0000-000037BD0000}"/>
    <cellStyle name="Migliaia 60 3 3 4" xfId="11628" xr:uid="{00000000-0005-0000-0000-000038BD0000}"/>
    <cellStyle name="Migliaia 60 3 4" xfId="3366" xr:uid="{00000000-0005-0000-0000-000039BD0000}"/>
    <cellStyle name="Migliaia 60 3 4 2" xfId="20636" xr:uid="{00000000-0005-0000-0000-00003ABD0000}"/>
    <cellStyle name="Migliaia 60 3 4 2 2" xfId="36069" xr:uid="{00000000-0005-0000-0000-00003BBD0000}"/>
    <cellStyle name="Migliaia 60 3 4 2 3" xfId="51025" xr:uid="{00000000-0005-0000-0000-00003CBD0000}"/>
    <cellStyle name="Migliaia 60 3 4 3" xfId="28467" xr:uid="{00000000-0005-0000-0000-00003DBD0000}"/>
    <cellStyle name="Migliaia 60 3 4 4" xfId="43440" xr:uid="{00000000-0005-0000-0000-00003EBD0000}"/>
    <cellStyle name="Migliaia 60 3 4 5" xfId="12185" xr:uid="{00000000-0005-0000-0000-00003FBD0000}"/>
    <cellStyle name="Migliaia 60 3 5" xfId="19605" xr:uid="{00000000-0005-0000-0000-000040BD0000}"/>
    <cellStyle name="Migliaia 60 3 5 2" xfId="35686" xr:uid="{00000000-0005-0000-0000-000041BD0000}"/>
    <cellStyle name="Migliaia 60 3 5 3" xfId="50642" xr:uid="{00000000-0005-0000-0000-000042BD0000}"/>
    <cellStyle name="Migliaia 60 3 6" xfId="21470" xr:uid="{00000000-0005-0000-0000-000043BD0000}"/>
    <cellStyle name="Migliaia 60 3 7" xfId="36441" xr:uid="{00000000-0005-0000-0000-000044BD0000}"/>
    <cellStyle name="Migliaia 60 3 8" xfId="51378" xr:uid="{00000000-0005-0000-0000-000045BD0000}"/>
    <cellStyle name="Migliaia 60 3 9" xfId="51772" xr:uid="{00000000-0005-0000-0000-000046BD0000}"/>
    <cellStyle name="Migliaia 60 4" xfId="2995" xr:uid="{00000000-0005-0000-0000-000047BD0000}"/>
    <cellStyle name="Migliaia 60 4 2" xfId="19609" xr:uid="{00000000-0005-0000-0000-000048BD0000}"/>
    <cellStyle name="Migliaia 60 4 2 2" xfId="20639" xr:uid="{00000000-0005-0000-0000-000049BD0000}"/>
    <cellStyle name="Migliaia 60 4 2 2 2" xfId="36072" xr:uid="{00000000-0005-0000-0000-00004ABD0000}"/>
    <cellStyle name="Migliaia 60 4 2 2 3" xfId="51028" xr:uid="{00000000-0005-0000-0000-00004BBD0000}"/>
    <cellStyle name="Migliaia 60 4 2 3" xfId="35690" xr:uid="{00000000-0005-0000-0000-00004CBD0000}"/>
    <cellStyle name="Migliaia 60 4 2 4" xfId="50646" xr:uid="{00000000-0005-0000-0000-00004DBD0000}"/>
    <cellStyle name="Migliaia 60 4 3" xfId="20638" xr:uid="{00000000-0005-0000-0000-00004EBD0000}"/>
    <cellStyle name="Migliaia 60 4 3 2" xfId="36071" xr:uid="{00000000-0005-0000-0000-00004FBD0000}"/>
    <cellStyle name="Migliaia 60 4 3 3" xfId="51027" xr:uid="{00000000-0005-0000-0000-000050BD0000}"/>
    <cellStyle name="Migliaia 60 4 4" xfId="19608" xr:uid="{00000000-0005-0000-0000-000051BD0000}"/>
    <cellStyle name="Migliaia 60 4 4 2" xfId="35689" xr:uid="{00000000-0005-0000-0000-000052BD0000}"/>
    <cellStyle name="Migliaia 60 4 4 3" xfId="50645" xr:uid="{00000000-0005-0000-0000-000053BD0000}"/>
    <cellStyle name="Migliaia 60 4 5" xfId="11630" xr:uid="{00000000-0005-0000-0000-000054BD0000}"/>
    <cellStyle name="Migliaia 60 5" xfId="3364" xr:uid="{00000000-0005-0000-0000-000055BD0000}"/>
    <cellStyle name="Migliaia 60 5 2" xfId="19610" xr:uid="{00000000-0005-0000-0000-000056BD0000}"/>
    <cellStyle name="Migliaia 60 5 2 2" xfId="35691" xr:uid="{00000000-0005-0000-0000-000057BD0000}"/>
    <cellStyle name="Migliaia 60 5 2 3" xfId="50647" xr:uid="{00000000-0005-0000-0000-000058BD0000}"/>
    <cellStyle name="Migliaia 60 5 3" xfId="11631" xr:uid="{00000000-0005-0000-0000-000059BD0000}"/>
    <cellStyle name="Migliaia 60 6" xfId="11626" xr:uid="{00000000-0005-0000-0000-00005ABD0000}"/>
    <cellStyle name="Migliaia 60 7" xfId="12183" xr:uid="{00000000-0005-0000-0000-00005BBD0000}"/>
    <cellStyle name="Migliaia 60 7 2" xfId="28465" xr:uid="{00000000-0005-0000-0000-00005CBD0000}"/>
    <cellStyle name="Migliaia 60 7 3" xfId="43438" xr:uid="{00000000-0005-0000-0000-00005DBD0000}"/>
    <cellStyle name="Migliaia 60 8" xfId="19603" xr:uid="{00000000-0005-0000-0000-00005EBD0000}"/>
    <cellStyle name="Migliaia 60 8 2" xfId="35684" xr:uid="{00000000-0005-0000-0000-00005FBD0000}"/>
    <cellStyle name="Migliaia 60 8 3" xfId="50640" xr:uid="{00000000-0005-0000-0000-000060BD0000}"/>
    <cellStyle name="Migliaia 60 9" xfId="21468" xr:uid="{00000000-0005-0000-0000-000061BD0000}"/>
    <cellStyle name="Migliaia 61" xfId="1462" xr:uid="{00000000-0005-0000-0000-000062BD0000}"/>
    <cellStyle name="Migliaia 61 10" xfId="36443" xr:uid="{00000000-0005-0000-0000-000063BD0000}"/>
    <cellStyle name="Migliaia 61 11" xfId="51380" xr:uid="{00000000-0005-0000-0000-000064BD0000}"/>
    <cellStyle name="Migliaia 61 12" xfId="51774" xr:uid="{00000000-0005-0000-0000-000065BD0000}"/>
    <cellStyle name="Migliaia 61 13" xfId="52180" xr:uid="{00000000-0005-0000-0000-000066BD0000}"/>
    <cellStyle name="Migliaia 61 14" xfId="52588" xr:uid="{00000000-0005-0000-0000-000067BD0000}"/>
    <cellStyle name="Migliaia 61 15" xfId="3737" xr:uid="{00000000-0005-0000-0000-000068BD0000}"/>
    <cellStyle name="Migliaia 61 2" xfId="1463" xr:uid="{00000000-0005-0000-0000-000069BD0000}"/>
    <cellStyle name="Migliaia 61 2 10" xfId="52181" xr:uid="{00000000-0005-0000-0000-00006ABD0000}"/>
    <cellStyle name="Migliaia 61 2 11" xfId="52589" xr:uid="{00000000-0005-0000-0000-00006BBD0000}"/>
    <cellStyle name="Migliaia 61 2 12" xfId="3738" xr:uid="{00000000-0005-0000-0000-00006CBD0000}"/>
    <cellStyle name="Migliaia 61 2 2" xfId="1464" xr:uid="{00000000-0005-0000-0000-00006DBD0000}"/>
    <cellStyle name="Migliaia 61 2 2 10" xfId="3812" xr:uid="{00000000-0005-0000-0000-00006EBD0000}"/>
    <cellStyle name="Migliaia 61 2 2 2" xfId="3074" xr:uid="{00000000-0005-0000-0000-00006FBD0000}"/>
    <cellStyle name="Migliaia 61 2 2 2 2" xfId="28569" xr:uid="{00000000-0005-0000-0000-000070BD0000}"/>
    <cellStyle name="Migliaia 61 2 2 2 3" xfId="43532" xr:uid="{00000000-0005-0000-0000-000071BD0000}"/>
    <cellStyle name="Migliaia 61 2 2 2 4" xfId="12291" xr:uid="{00000000-0005-0000-0000-000072BD0000}"/>
    <cellStyle name="Migliaia 61 2 2 3" xfId="3443" xr:uid="{00000000-0005-0000-0000-000073BD0000}"/>
    <cellStyle name="Migliaia 61 2 2 3 2" xfId="36073" xr:uid="{00000000-0005-0000-0000-000074BD0000}"/>
    <cellStyle name="Migliaia 61 2 2 3 3" xfId="51029" xr:uid="{00000000-0005-0000-0000-000075BD0000}"/>
    <cellStyle name="Migliaia 61 2 2 3 4" xfId="20640" xr:uid="{00000000-0005-0000-0000-000076BD0000}"/>
    <cellStyle name="Migliaia 61 2 2 4" xfId="21569" xr:uid="{00000000-0005-0000-0000-000077BD0000}"/>
    <cellStyle name="Migliaia 61 2 2 5" xfId="36536" xr:uid="{00000000-0005-0000-0000-000078BD0000}"/>
    <cellStyle name="Migliaia 61 2 2 6" xfId="51474" xr:uid="{00000000-0005-0000-0000-000079BD0000}"/>
    <cellStyle name="Migliaia 61 2 2 7" xfId="51879" xr:uid="{00000000-0005-0000-0000-00007ABD0000}"/>
    <cellStyle name="Migliaia 61 2 2 8" xfId="52288" xr:uid="{00000000-0005-0000-0000-00007BBD0000}"/>
    <cellStyle name="Migliaia 61 2 2 9" xfId="52693" xr:uid="{00000000-0005-0000-0000-00007CBD0000}"/>
    <cellStyle name="Migliaia 61 2 3" xfId="3000" xr:uid="{00000000-0005-0000-0000-00007DBD0000}"/>
    <cellStyle name="Migliaia 61 2 3 2" xfId="11633" xr:uid="{00000000-0005-0000-0000-00007EBD0000}"/>
    <cellStyle name="Migliaia 61 2 4" xfId="3369" xr:uid="{00000000-0005-0000-0000-00007FBD0000}"/>
    <cellStyle name="Migliaia 61 2 4 2" xfId="28470" xr:uid="{00000000-0005-0000-0000-000080BD0000}"/>
    <cellStyle name="Migliaia 61 2 4 3" xfId="43443" xr:uid="{00000000-0005-0000-0000-000081BD0000}"/>
    <cellStyle name="Migliaia 61 2 4 4" xfId="12188" xr:uid="{00000000-0005-0000-0000-000082BD0000}"/>
    <cellStyle name="Migliaia 61 2 5" xfId="19612" xr:uid="{00000000-0005-0000-0000-000083BD0000}"/>
    <cellStyle name="Migliaia 61 2 5 2" xfId="35693" xr:uid="{00000000-0005-0000-0000-000084BD0000}"/>
    <cellStyle name="Migliaia 61 2 5 3" xfId="50649" xr:uid="{00000000-0005-0000-0000-000085BD0000}"/>
    <cellStyle name="Migliaia 61 2 6" xfId="21473" xr:uid="{00000000-0005-0000-0000-000086BD0000}"/>
    <cellStyle name="Migliaia 61 2 7" xfId="36444" xr:uid="{00000000-0005-0000-0000-000087BD0000}"/>
    <cellStyle name="Migliaia 61 2 8" xfId="51381" xr:uid="{00000000-0005-0000-0000-000088BD0000}"/>
    <cellStyle name="Migliaia 61 2 9" xfId="51775" xr:uid="{00000000-0005-0000-0000-000089BD0000}"/>
    <cellStyle name="Migliaia 61 3" xfId="1465" xr:uid="{00000000-0005-0000-0000-00008ABD0000}"/>
    <cellStyle name="Migliaia 61 3 10" xfId="52182" xr:uid="{00000000-0005-0000-0000-00008BBD0000}"/>
    <cellStyle name="Migliaia 61 3 11" xfId="52590" xr:uid="{00000000-0005-0000-0000-00008CBD0000}"/>
    <cellStyle name="Migliaia 61 3 12" xfId="3739" xr:uid="{00000000-0005-0000-0000-00008DBD0000}"/>
    <cellStyle name="Migliaia 61 3 2" xfId="1466" xr:uid="{00000000-0005-0000-0000-00008EBD0000}"/>
    <cellStyle name="Migliaia 61 3 2 10" xfId="52591" xr:uid="{00000000-0005-0000-0000-00008FBD0000}"/>
    <cellStyle name="Migliaia 61 3 2 11" xfId="3740" xr:uid="{00000000-0005-0000-0000-000090BD0000}"/>
    <cellStyle name="Migliaia 61 3 2 2" xfId="3002" xr:uid="{00000000-0005-0000-0000-000091BD0000}"/>
    <cellStyle name="Migliaia 61 3 2 2 2" xfId="11635" xr:uid="{00000000-0005-0000-0000-000092BD0000}"/>
    <cellStyle name="Migliaia 61 3 2 3" xfId="3371" xr:uid="{00000000-0005-0000-0000-000093BD0000}"/>
    <cellStyle name="Migliaia 61 3 2 3 2" xfId="28472" xr:uid="{00000000-0005-0000-0000-000094BD0000}"/>
    <cellStyle name="Migliaia 61 3 2 3 3" xfId="43445" xr:uid="{00000000-0005-0000-0000-000095BD0000}"/>
    <cellStyle name="Migliaia 61 3 2 3 4" xfId="12190" xr:uid="{00000000-0005-0000-0000-000096BD0000}"/>
    <cellStyle name="Migliaia 61 3 2 4" xfId="19614" xr:uid="{00000000-0005-0000-0000-000097BD0000}"/>
    <cellStyle name="Migliaia 61 3 2 4 2" xfId="35695" xr:uid="{00000000-0005-0000-0000-000098BD0000}"/>
    <cellStyle name="Migliaia 61 3 2 4 3" xfId="50651" xr:uid="{00000000-0005-0000-0000-000099BD0000}"/>
    <cellStyle name="Migliaia 61 3 2 5" xfId="21475" xr:uid="{00000000-0005-0000-0000-00009ABD0000}"/>
    <cellStyle name="Migliaia 61 3 2 6" xfId="36446" xr:uid="{00000000-0005-0000-0000-00009BBD0000}"/>
    <cellStyle name="Migliaia 61 3 2 7" xfId="51383" xr:uid="{00000000-0005-0000-0000-00009CBD0000}"/>
    <cellStyle name="Migliaia 61 3 2 8" xfId="51777" xr:uid="{00000000-0005-0000-0000-00009DBD0000}"/>
    <cellStyle name="Migliaia 61 3 2 9" xfId="52183" xr:uid="{00000000-0005-0000-0000-00009EBD0000}"/>
    <cellStyle name="Migliaia 61 3 3" xfId="3001" xr:uid="{00000000-0005-0000-0000-00009FBD0000}"/>
    <cellStyle name="Migliaia 61 3 3 2" xfId="20642" xr:uid="{00000000-0005-0000-0000-0000A0BD0000}"/>
    <cellStyle name="Migliaia 61 3 3 2 2" xfId="36075" xr:uid="{00000000-0005-0000-0000-0000A1BD0000}"/>
    <cellStyle name="Migliaia 61 3 3 2 3" xfId="51031" xr:uid="{00000000-0005-0000-0000-0000A2BD0000}"/>
    <cellStyle name="Migliaia 61 3 3 3" xfId="19615" xr:uid="{00000000-0005-0000-0000-0000A3BD0000}"/>
    <cellStyle name="Migliaia 61 3 3 3 2" xfId="35696" xr:uid="{00000000-0005-0000-0000-0000A4BD0000}"/>
    <cellStyle name="Migliaia 61 3 3 3 3" xfId="50652" xr:uid="{00000000-0005-0000-0000-0000A5BD0000}"/>
    <cellStyle name="Migliaia 61 3 3 4" xfId="11634" xr:uid="{00000000-0005-0000-0000-0000A6BD0000}"/>
    <cellStyle name="Migliaia 61 3 4" xfId="3370" xr:uid="{00000000-0005-0000-0000-0000A7BD0000}"/>
    <cellStyle name="Migliaia 61 3 4 2" xfId="20641" xr:uid="{00000000-0005-0000-0000-0000A8BD0000}"/>
    <cellStyle name="Migliaia 61 3 4 2 2" xfId="36074" xr:uid="{00000000-0005-0000-0000-0000A9BD0000}"/>
    <cellStyle name="Migliaia 61 3 4 2 3" xfId="51030" xr:uid="{00000000-0005-0000-0000-0000AABD0000}"/>
    <cellStyle name="Migliaia 61 3 4 3" xfId="28471" xr:uid="{00000000-0005-0000-0000-0000ABBD0000}"/>
    <cellStyle name="Migliaia 61 3 4 4" xfId="43444" xr:uid="{00000000-0005-0000-0000-0000ACBD0000}"/>
    <cellStyle name="Migliaia 61 3 4 5" xfId="12189" xr:uid="{00000000-0005-0000-0000-0000ADBD0000}"/>
    <cellStyle name="Migliaia 61 3 5" xfId="19613" xr:uid="{00000000-0005-0000-0000-0000AEBD0000}"/>
    <cellStyle name="Migliaia 61 3 5 2" xfId="35694" xr:uid="{00000000-0005-0000-0000-0000AFBD0000}"/>
    <cellStyle name="Migliaia 61 3 5 3" xfId="50650" xr:uid="{00000000-0005-0000-0000-0000B0BD0000}"/>
    <cellStyle name="Migliaia 61 3 6" xfId="21474" xr:uid="{00000000-0005-0000-0000-0000B1BD0000}"/>
    <cellStyle name="Migliaia 61 3 7" xfId="36445" xr:uid="{00000000-0005-0000-0000-0000B2BD0000}"/>
    <cellStyle name="Migliaia 61 3 8" xfId="51382" xr:uid="{00000000-0005-0000-0000-0000B3BD0000}"/>
    <cellStyle name="Migliaia 61 3 9" xfId="51776" xr:uid="{00000000-0005-0000-0000-0000B4BD0000}"/>
    <cellStyle name="Migliaia 61 4" xfId="2999" xr:uid="{00000000-0005-0000-0000-0000B5BD0000}"/>
    <cellStyle name="Migliaia 61 4 2" xfId="19617" xr:uid="{00000000-0005-0000-0000-0000B6BD0000}"/>
    <cellStyle name="Migliaia 61 4 2 2" xfId="20644" xr:uid="{00000000-0005-0000-0000-0000B7BD0000}"/>
    <cellStyle name="Migliaia 61 4 2 2 2" xfId="36077" xr:uid="{00000000-0005-0000-0000-0000B8BD0000}"/>
    <cellStyle name="Migliaia 61 4 2 2 3" xfId="51033" xr:uid="{00000000-0005-0000-0000-0000B9BD0000}"/>
    <cellStyle name="Migliaia 61 4 2 3" xfId="35698" xr:uid="{00000000-0005-0000-0000-0000BABD0000}"/>
    <cellStyle name="Migliaia 61 4 2 4" xfId="50654" xr:uid="{00000000-0005-0000-0000-0000BBBD0000}"/>
    <cellStyle name="Migliaia 61 4 3" xfId="20643" xr:uid="{00000000-0005-0000-0000-0000BCBD0000}"/>
    <cellStyle name="Migliaia 61 4 3 2" xfId="36076" xr:uid="{00000000-0005-0000-0000-0000BDBD0000}"/>
    <cellStyle name="Migliaia 61 4 3 3" xfId="51032" xr:uid="{00000000-0005-0000-0000-0000BEBD0000}"/>
    <cellStyle name="Migliaia 61 4 4" xfId="19616" xr:uid="{00000000-0005-0000-0000-0000BFBD0000}"/>
    <cellStyle name="Migliaia 61 4 4 2" xfId="35697" xr:uid="{00000000-0005-0000-0000-0000C0BD0000}"/>
    <cellStyle name="Migliaia 61 4 4 3" xfId="50653" xr:uid="{00000000-0005-0000-0000-0000C1BD0000}"/>
    <cellStyle name="Migliaia 61 4 5" xfId="11636" xr:uid="{00000000-0005-0000-0000-0000C2BD0000}"/>
    <cellStyle name="Migliaia 61 5" xfId="3368" xr:uid="{00000000-0005-0000-0000-0000C3BD0000}"/>
    <cellStyle name="Migliaia 61 5 2" xfId="19618" xr:uid="{00000000-0005-0000-0000-0000C4BD0000}"/>
    <cellStyle name="Migliaia 61 5 2 2" xfId="35699" xr:uid="{00000000-0005-0000-0000-0000C5BD0000}"/>
    <cellStyle name="Migliaia 61 5 2 3" xfId="50655" xr:uid="{00000000-0005-0000-0000-0000C6BD0000}"/>
    <cellStyle name="Migliaia 61 5 3" xfId="11637" xr:uid="{00000000-0005-0000-0000-0000C7BD0000}"/>
    <cellStyle name="Migliaia 61 6" xfId="11632" xr:uid="{00000000-0005-0000-0000-0000C8BD0000}"/>
    <cellStyle name="Migliaia 61 7" xfId="12187" xr:uid="{00000000-0005-0000-0000-0000C9BD0000}"/>
    <cellStyle name="Migliaia 61 7 2" xfId="28469" xr:uid="{00000000-0005-0000-0000-0000CABD0000}"/>
    <cellStyle name="Migliaia 61 7 3" xfId="43442" xr:uid="{00000000-0005-0000-0000-0000CBBD0000}"/>
    <cellStyle name="Migliaia 61 8" xfId="19611" xr:uid="{00000000-0005-0000-0000-0000CCBD0000}"/>
    <cellStyle name="Migliaia 61 8 2" xfId="35692" xr:uid="{00000000-0005-0000-0000-0000CDBD0000}"/>
    <cellStyle name="Migliaia 61 8 3" xfId="50648" xr:uid="{00000000-0005-0000-0000-0000CEBD0000}"/>
    <cellStyle name="Migliaia 61 9" xfId="21472" xr:uid="{00000000-0005-0000-0000-0000CFBD0000}"/>
    <cellStyle name="Migliaia 7" xfId="1467" xr:uid="{00000000-0005-0000-0000-0000D0BD0000}"/>
    <cellStyle name="Migliaia 7 10" xfId="36447" xr:uid="{00000000-0005-0000-0000-0000D1BD0000}"/>
    <cellStyle name="Migliaia 7 11" xfId="51384" xr:uid="{00000000-0005-0000-0000-0000D2BD0000}"/>
    <cellStyle name="Migliaia 7 12" xfId="51778" xr:uid="{00000000-0005-0000-0000-0000D3BD0000}"/>
    <cellStyle name="Migliaia 7 13" xfId="52184" xr:uid="{00000000-0005-0000-0000-0000D4BD0000}"/>
    <cellStyle name="Migliaia 7 14" xfId="52592" xr:uid="{00000000-0005-0000-0000-0000D5BD0000}"/>
    <cellStyle name="Migliaia 7 15" xfId="3741" xr:uid="{00000000-0005-0000-0000-0000D6BD0000}"/>
    <cellStyle name="Migliaia 7 2" xfId="1468" xr:uid="{00000000-0005-0000-0000-0000D7BD0000}"/>
    <cellStyle name="Migliaia 7 2 10" xfId="52185" xr:uid="{00000000-0005-0000-0000-0000D8BD0000}"/>
    <cellStyle name="Migliaia 7 2 11" xfId="52593" xr:uid="{00000000-0005-0000-0000-0000D9BD0000}"/>
    <cellStyle name="Migliaia 7 2 12" xfId="3742" xr:uid="{00000000-0005-0000-0000-0000DABD0000}"/>
    <cellStyle name="Migliaia 7 2 2" xfId="1469" xr:uid="{00000000-0005-0000-0000-0000DBBD0000}"/>
    <cellStyle name="Migliaia 7 2 2 10" xfId="3813" xr:uid="{00000000-0005-0000-0000-0000DCBD0000}"/>
    <cellStyle name="Migliaia 7 2 2 2" xfId="3075" xr:uid="{00000000-0005-0000-0000-0000DDBD0000}"/>
    <cellStyle name="Migliaia 7 2 2 2 2" xfId="28570" xr:uid="{00000000-0005-0000-0000-0000DEBD0000}"/>
    <cellStyle name="Migliaia 7 2 2 2 3" xfId="43533" xr:uid="{00000000-0005-0000-0000-0000DFBD0000}"/>
    <cellStyle name="Migliaia 7 2 2 2 4" xfId="12292" xr:uid="{00000000-0005-0000-0000-0000E0BD0000}"/>
    <cellStyle name="Migliaia 7 2 2 3" xfId="3444" xr:uid="{00000000-0005-0000-0000-0000E1BD0000}"/>
    <cellStyle name="Migliaia 7 2 2 3 2" xfId="36078" xr:uid="{00000000-0005-0000-0000-0000E2BD0000}"/>
    <cellStyle name="Migliaia 7 2 2 3 3" xfId="51034" xr:uid="{00000000-0005-0000-0000-0000E3BD0000}"/>
    <cellStyle name="Migliaia 7 2 2 3 4" xfId="20645" xr:uid="{00000000-0005-0000-0000-0000E4BD0000}"/>
    <cellStyle name="Migliaia 7 2 2 4" xfId="21570" xr:uid="{00000000-0005-0000-0000-0000E5BD0000}"/>
    <cellStyle name="Migliaia 7 2 2 5" xfId="36537" xr:uid="{00000000-0005-0000-0000-0000E6BD0000}"/>
    <cellStyle name="Migliaia 7 2 2 6" xfId="51475" xr:uid="{00000000-0005-0000-0000-0000E7BD0000}"/>
    <cellStyle name="Migliaia 7 2 2 7" xfId="51880" xr:uid="{00000000-0005-0000-0000-0000E8BD0000}"/>
    <cellStyle name="Migliaia 7 2 2 8" xfId="52289" xr:uid="{00000000-0005-0000-0000-0000E9BD0000}"/>
    <cellStyle name="Migliaia 7 2 2 9" xfId="52694" xr:uid="{00000000-0005-0000-0000-0000EABD0000}"/>
    <cellStyle name="Migliaia 7 2 3" xfId="3004" xr:uid="{00000000-0005-0000-0000-0000EBBD0000}"/>
    <cellStyle name="Migliaia 7 2 3 2" xfId="11639" xr:uid="{00000000-0005-0000-0000-0000ECBD0000}"/>
    <cellStyle name="Migliaia 7 2 4" xfId="3373" xr:uid="{00000000-0005-0000-0000-0000EDBD0000}"/>
    <cellStyle name="Migliaia 7 2 4 2" xfId="28474" xr:uid="{00000000-0005-0000-0000-0000EEBD0000}"/>
    <cellStyle name="Migliaia 7 2 4 3" xfId="43447" xr:uid="{00000000-0005-0000-0000-0000EFBD0000}"/>
    <cellStyle name="Migliaia 7 2 4 4" xfId="12192" xr:uid="{00000000-0005-0000-0000-0000F0BD0000}"/>
    <cellStyle name="Migliaia 7 2 5" xfId="19620" xr:uid="{00000000-0005-0000-0000-0000F1BD0000}"/>
    <cellStyle name="Migliaia 7 2 5 2" xfId="35701" xr:uid="{00000000-0005-0000-0000-0000F2BD0000}"/>
    <cellStyle name="Migliaia 7 2 5 3" xfId="50657" xr:uid="{00000000-0005-0000-0000-0000F3BD0000}"/>
    <cellStyle name="Migliaia 7 2 6" xfId="21477" xr:uid="{00000000-0005-0000-0000-0000F4BD0000}"/>
    <cellStyle name="Migliaia 7 2 7" xfId="36448" xr:uid="{00000000-0005-0000-0000-0000F5BD0000}"/>
    <cellStyle name="Migliaia 7 2 8" xfId="51385" xr:uid="{00000000-0005-0000-0000-0000F6BD0000}"/>
    <cellStyle name="Migliaia 7 2 9" xfId="51779" xr:uid="{00000000-0005-0000-0000-0000F7BD0000}"/>
    <cellStyle name="Migliaia 7 3" xfId="1470" xr:uid="{00000000-0005-0000-0000-0000F8BD0000}"/>
    <cellStyle name="Migliaia 7 3 10" xfId="52186" xr:uid="{00000000-0005-0000-0000-0000F9BD0000}"/>
    <cellStyle name="Migliaia 7 3 11" xfId="52594" xr:uid="{00000000-0005-0000-0000-0000FABD0000}"/>
    <cellStyle name="Migliaia 7 3 12" xfId="3743" xr:uid="{00000000-0005-0000-0000-0000FBBD0000}"/>
    <cellStyle name="Migliaia 7 3 2" xfId="1471" xr:uid="{00000000-0005-0000-0000-0000FCBD0000}"/>
    <cellStyle name="Migliaia 7 3 2 10" xfId="52595" xr:uid="{00000000-0005-0000-0000-0000FDBD0000}"/>
    <cellStyle name="Migliaia 7 3 2 11" xfId="3744" xr:uid="{00000000-0005-0000-0000-0000FEBD0000}"/>
    <cellStyle name="Migliaia 7 3 2 2" xfId="3006" xr:uid="{00000000-0005-0000-0000-0000FFBD0000}"/>
    <cellStyle name="Migliaia 7 3 2 2 2" xfId="11641" xr:uid="{00000000-0005-0000-0000-000000BE0000}"/>
    <cellStyle name="Migliaia 7 3 2 3" xfId="3375" xr:uid="{00000000-0005-0000-0000-000001BE0000}"/>
    <cellStyle name="Migliaia 7 3 2 3 2" xfId="28476" xr:uid="{00000000-0005-0000-0000-000002BE0000}"/>
    <cellStyle name="Migliaia 7 3 2 3 3" xfId="43449" xr:uid="{00000000-0005-0000-0000-000003BE0000}"/>
    <cellStyle name="Migliaia 7 3 2 3 4" xfId="12194" xr:uid="{00000000-0005-0000-0000-000004BE0000}"/>
    <cellStyle name="Migliaia 7 3 2 4" xfId="19622" xr:uid="{00000000-0005-0000-0000-000005BE0000}"/>
    <cellStyle name="Migliaia 7 3 2 4 2" xfId="35703" xr:uid="{00000000-0005-0000-0000-000006BE0000}"/>
    <cellStyle name="Migliaia 7 3 2 4 3" xfId="50659" xr:uid="{00000000-0005-0000-0000-000007BE0000}"/>
    <cellStyle name="Migliaia 7 3 2 5" xfId="21479" xr:uid="{00000000-0005-0000-0000-000008BE0000}"/>
    <cellStyle name="Migliaia 7 3 2 6" xfId="36450" xr:uid="{00000000-0005-0000-0000-000009BE0000}"/>
    <cellStyle name="Migliaia 7 3 2 7" xfId="51387" xr:uid="{00000000-0005-0000-0000-00000ABE0000}"/>
    <cellStyle name="Migliaia 7 3 2 8" xfId="51781" xr:uid="{00000000-0005-0000-0000-00000BBE0000}"/>
    <cellStyle name="Migliaia 7 3 2 9" xfId="52187" xr:uid="{00000000-0005-0000-0000-00000CBE0000}"/>
    <cellStyle name="Migliaia 7 3 3" xfId="3005" xr:uid="{00000000-0005-0000-0000-00000DBE0000}"/>
    <cellStyle name="Migliaia 7 3 3 2" xfId="20647" xr:uid="{00000000-0005-0000-0000-00000EBE0000}"/>
    <cellStyle name="Migliaia 7 3 3 2 2" xfId="36080" xr:uid="{00000000-0005-0000-0000-00000FBE0000}"/>
    <cellStyle name="Migliaia 7 3 3 2 3" xfId="51036" xr:uid="{00000000-0005-0000-0000-000010BE0000}"/>
    <cellStyle name="Migliaia 7 3 3 3" xfId="19623" xr:uid="{00000000-0005-0000-0000-000011BE0000}"/>
    <cellStyle name="Migliaia 7 3 3 3 2" xfId="35704" xr:uid="{00000000-0005-0000-0000-000012BE0000}"/>
    <cellStyle name="Migliaia 7 3 3 3 3" xfId="50660" xr:uid="{00000000-0005-0000-0000-000013BE0000}"/>
    <cellStyle name="Migliaia 7 3 3 4" xfId="11640" xr:uid="{00000000-0005-0000-0000-000014BE0000}"/>
    <cellStyle name="Migliaia 7 3 4" xfId="3374" xr:uid="{00000000-0005-0000-0000-000015BE0000}"/>
    <cellStyle name="Migliaia 7 3 4 2" xfId="20646" xr:uid="{00000000-0005-0000-0000-000016BE0000}"/>
    <cellStyle name="Migliaia 7 3 4 2 2" xfId="36079" xr:uid="{00000000-0005-0000-0000-000017BE0000}"/>
    <cellStyle name="Migliaia 7 3 4 2 3" xfId="51035" xr:uid="{00000000-0005-0000-0000-000018BE0000}"/>
    <cellStyle name="Migliaia 7 3 4 3" xfId="28475" xr:uid="{00000000-0005-0000-0000-000019BE0000}"/>
    <cellStyle name="Migliaia 7 3 4 4" xfId="43448" xr:uid="{00000000-0005-0000-0000-00001ABE0000}"/>
    <cellStyle name="Migliaia 7 3 4 5" xfId="12193" xr:uid="{00000000-0005-0000-0000-00001BBE0000}"/>
    <cellStyle name="Migliaia 7 3 5" xfId="19621" xr:uid="{00000000-0005-0000-0000-00001CBE0000}"/>
    <cellStyle name="Migliaia 7 3 5 2" xfId="35702" xr:uid="{00000000-0005-0000-0000-00001DBE0000}"/>
    <cellStyle name="Migliaia 7 3 5 3" xfId="50658" xr:uid="{00000000-0005-0000-0000-00001EBE0000}"/>
    <cellStyle name="Migliaia 7 3 6" xfId="21478" xr:uid="{00000000-0005-0000-0000-00001FBE0000}"/>
    <cellStyle name="Migliaia 7 3 7" xfId="36449" xr:uid="{00000000-0005-0000-0000-000020BE0000}"/>
    <cellStyle name="Migliaia 7 3 8" xfId="51386" xr:uid="{00000000-0005-0000-0000-000021BE0000}"/>
    <cellStyle name="Migliaia 7 3 9" xfId="51780" xr:uid="{00000000-0005-0000-0000-000022BE0000}"/>
    <cellStyle name="Migliaia 7 4" xfId="3003" xr:uid="{00000000-0005-0000-0000-000023BE0000}"/>
    <cellStyle name="Migliaia 7 4 2" xfId="19625" xr:uid="{00000000-0005-0000-0000-000024BE0000}"/>
    <cellStyle name="Migliaia 7 4 2 2" xfId="20649" xr:uid="{00000000-0005-0000-0000-000025BE0000}"/>
    <cellStyle name="Migliaia 7 4 2 2 2" xfId="36082" xr:uid="{00000000-0005-0000-0000-000026BE0000}"/>
    <cellStyle name="Migliaia 7 4 2 2 3" xfId="51038" xr:uid="{00000000-0005-0000-0000-000027BE0000}"/>
    <cellStyle name="Migliaia 7 4 2 3" xfId="35706" xr:uid="{00000000-0005-0000-0000-000028BE0000}"/>
    <cellStyle name="Migliaia 7 4 2 4" xfId="50662" xr:uid="{00000000-0005-0000-0000-000029BE0000}"/>
    <cellStyle name="Migliaia 7 4 3" xfId="20648" xr:uid="{00000000-0005-0000-0000-00002ABE0000}"/>
    <cellStyle name="Migliaia 7 4 3 2" xfId="36081" xr:uid="{00000000-0005-0000-0000-00002BBE0000}"/>
    <cellStyle name="Migliaia 7 4 3 3" xfId="51037" xr:uid="{00000000-0005-0000-0000-00002CBE0000}"/>
    <cellStyle name="Migliaia 7 4 4" xfId="19624" xr:uid="{00000000-0005-0000-0000-00002DBE0000}"/>
    <cellStyle name="Migliaia 7 4 4 2" xfId="35705" xr:uid="{00000000-0005-0000-0000-00002EBE0000}"/>
    <cellStyle name="Migliaia 7 4 4 3" xfId="50661" xr:uid="{00000000-0005-0000-0000-00002FBE0000}"/>
    <cellStyle name="Migliaia 7 4 5" xfId="11642" xr:uid="{00000000-0005-0000-0000-000030BE0000}"/>
    <cellStyle name="Migliaia 7 5" xfId="3372" xr:uid="{00000000-0005-0000-0000-000031BE0000}"/>
    <cellStyle name="Migliaia 7 5 2" xfId="19626" xr:uid="{00000000-0005-0000-0000-000032BE0000}"/>
    <cellStyle name="Migliaia 7 5 2 2" xfId="35707" xr:uid="{00000000-0005-0000-0000-000033BE0000}"/>
    <cellStyle name="Migliaia 7 5 2 3" xfId="50663" xr:uid="{00000000-0005-0000-0000-000034BE0000}"/>
    <cellStyle name="Migliaia 7 5 3" xfId="11643" xr:uid="{00000000-0005-0000-0000-000035BE0000}"/>
    <cellStyle name="Migliaia 7 6" xfId="11638" xr:uid="{00000000-0005-0000-0000-000036BE0000}"/>
    <cellStyle name="Migliaia 7 7" xfId="12191" xr:uid="{00000000-0005-0000-0000-000037BE0000}"/>
    <cellStyle name="Migliaia 7 7 2" xfId="28473" xr:uid="{00000000-0005-0000-0000-000038BE0000}"/>
    <cellStyle name="Migliaia 7 7 3" xfId="43446" xr:uid="{00000000-0005-0000-0000-000039BE0000}"/>
    <cellStyle name="Migliaia 7 8" xfId="19619" xr:uid="{00000000-0005-0000-0000-00003ABE0000}"/>
    <cellStyle name="Migliaia 7 8 2" xfId="35700" xr:uid="{00000000-0005-0000-0000-00003BBE0000}"/>
    <cellStyle name="Migliaia 7 8 3" xfId="50656" xr:uid="{00000000-0005-0000-0000-00003CBE0000}"/>
    <cellStyle name="Migliaia 7 9" xfId="21476" xr:uid="{00000000-0005-0000-0000-00003DBE0000}"/>
    <cellStyle name="Migliaia 8" xfId="1472" xr:uid="{00000000-0005-0000-0000-00003EBE0000}"/>
    <cellStyle name="Migliaia 8 10" xfId="36451" xr:uid="{00000000-0005-0000-0000-00003FBE0000}"/>
    <cellStyle name="Migliaia 8 11" xfId="51388" xr:uid="{00000000-0005-0000-0000-000040BE0000}"/>
    <cellStyle name="Migliaia 8 12" xfId="51782" xr:uid="{00000000-0005-0000-0000-000041BE0000}"/>
    <cellStyle name="Migliaia 8 13" xfId="52188" xr:uid="{00000000-0005-0000-0000-000042BE0000}"/>
    <cellStyle name="Migliaia 8 14" xfId="52596" xr:uid="{00000000-0005-0000-0000-000043BE0000}"/>
    <cellStyle name="Migliaia 8 15" xfId="3745" xr:uid="{00000000-0005-0000-0000-000044BE0000}"/>
    <cellStyle name="Migliaia 8 2" xfId="1473" xr:uid="{00000000-0005-0000-0000-000045BE0000}"/>
    <cellStyle name="Migliaia 8 2 10" xfId="52189" xr:uid="{00000000-0005-0000-0000-000046BE0000}"/>
    <cellStyle name="Migliaia 8 2 11" xfId="52597" xr:uid="{00000000-0005-0000-0000-000047BE0000}"/>
    <cellStyle name="Migliaia 8 2 12" xfId="3746" xr:uid="{00000000-0005-0000-0000-000048BE0000}"/>
    <cellStyle name="Migliaia 8 2 2" xfId="1474" xr:uid="{00000000-0005-0000-0000-000049BE0000}"/>
    <cellStyle name="Migliaia 8 2 2 10" xfId="3814" xr:uid="{00000000-0005-0000-0000-00004ABE0000}"/>
    <cellStyle name="Migliaia 8 2 2 2" xfId="3076" xr:uid="{00000000-0005-0000-0000-00004BBE0000}"/>
    <cellStyle name="Migliaia 8 2 2 2 2" xfId="28571" xr:uid="{00000000-0005-0000-0000-00004CBE0000}"/>
    <cellStyle name="Migliaia 8 2 2 2 3" xfId="43534" xr:uid="{00000000-0005-0000-0000-00004DBE0000}"/>
    <cellStyle name="Migliaia 8 2 2 2 4" xfId="12293" xr:uid="{00000000-0005-0000-0000-00004EBE0000}"/>
    <cellStyle name="Migliaia 8 2 2 3" xfId="3445" xr:uid="{00000000-0005-0000-0000-00004FBE0000}"/>
    <cellStyle name="Migliaia 8 2 2 3 2" xfId="36083" xr:uid="{00000000-0005-0000-0000-000050BE0000}"/>
    <cellStyle name="Migliaia 8 2 2 3 3" xfId="51039" xr:uid="{00000000-0005-0000-0000-000051BE0000}"/>
    <cellStyle name="Migliaia 8 2 2 3 4" xfId="20650" xr:uid="{00000000-0005-0000-0000-000052BE0000}"/>
    <cellStyle name="Migliaia 8 2 2 4" xfId="21571" xr:uid="{00000000-0005-0000-0000-000053BE0000}"/>
    <cellStyle name="Migliaia 8 2 2 5" xfId="36538" xr:uid="{00000000-0005-0000-0000-000054BE0000}"/>
    <cellStyle name="Migliaia 8 2 2 6" xfId="51476" xr:uid="{00000000-0005-0000-0000-000055BE0000}"/>
    <cellStyle name="Migliaia 8 2 2 7" xfId="51881" xr:uid="{00000000-0005-0000-0000-000056BE0000}"/>
    <cellStyle name="Migliaia 8 2 2 8" xfId="52290" xr:uid="{00000000-0005-0000-0000-000057BE0000}"/>
    <cellStyle name="Migliaia 8 2 2 9" xfId="52695" xr:uid="{00000000-0005-0000-0000-000058BE0000}"/>
    <cellStyle name="Migliaia 8 2 3" xfId="3008" xr:uid="{00000000-0005-0000-0000-000059BE0000}"/>
    <cellStyle name="Migliaia 8 2 3 2" xfId="11645" xr:uid="{00000000-0005-0000-0000-00005ABE0000}"/>
    <cellStyle name="Migliaia 8 2 4" xfId="3377" xr:uid="{00000000-0005-0000-0000-00005BBE0000}"/>
    <cellStyle name="Migliaia 8 2 4 2" xfId="28478" xr:uid="{00000000-0005-0000-0000-00005CBE0000}"/>
    <cellStyle name="Migliaia 8 2 4 3" xfId="43451" xr:uid="{00000000-0005-0000-0000-00005DBE0000}"/>
    <cellStyle name="Migliaia 8 2 4 4" xfId="12196" xr:uid="{00000000-0005-0000-0000-00005EBE0000}"/>
    <cellStyle name="Migliaia 8 2 5" xfId="19628" xr:uid="{00000000-0005-0000-0000-00005FBE0000}"/>
    <cellStyle name="Migliaia 8 2 5 2" xfId="35709" xr:uid="{00000000-0005-0000-0000-000060BE0000}"/>
    <cellStyle name="Migliaia 8 2 5 3" xfId="50665" xr:uid="{00000000-0005-0000-0000-000061BE0000}"/>
    <cellStyle name="Migliaia 8 2 6" xfId="21481" xr:uid="{00000000-0005-0000-0000-000062BE0000}"/>
    <cellStyle name="Migliaia 8 2 7" xfId="36452" xr:uid="{00000000-0005-0000-0000-000063BE0000}"/>
    <cellStyle name="Migliaia 8 2 8" xfId="51389" xr:uid="{00000000-0005-0000-0000-000064BE0000}"/>
    <cellStyle name="Migliaia 8 2 9" xfId="51783" xr:uid="{00000000-0005-0000-0000-000065BE0000}"/>
    <cellStyle name="Migliaia 8 3" xfId="1475" xr:uid="{00000000-0005-0000-0000-000066BE0000}"/>
    <cellStyle name="Migliaia 8 3 10" xfId="52190" xr:uid="{00000000-0005-0000-0000-000067BE0000}"/>
    <cellStyle name="Migliaia 8 3 11" xfId="52598" xr:uid="{00000000-0005-0000-0000-000068BE0000}"/>
    <cellStyle name="Migliaia 8 3 12" xfId="3747" xr:uid="{00000000-0005-0000-0000-000069BE0000}"/>
    <cellStyle name="Migliaia 8 3 2" xfId="1476" xr:uid="{00000000-0005-0000-0000-00006ABE0000}"/>
    <cellStyle name="Migliaia 8 3 2 10" xfId="52599" xr:uid="{00000000-0005-0000-0000-00006BBE0000}"/>
    <cellStyle name="Migliaia 8 3 2 11" xfId="3748" xr:uid="{00000000-0005-0000-0000-00006CBE0000}"/>
    <cellStyle name="Migliaia 8 3 2 2" xfId="3010" xr:uid="{00000000-0005-0000-0000-00006DBE0000}"/>
    <cellStyle name="Migliaia 8 3 2 2 2" xfId="11647" xr:uid="{00000000-0005-0000-0000-00006EBE0000}"/>
    <cellStyle name="Migliaia 8 3 2 3" xfId="3379" xr:uid="{00000000-0005-0000-0000-00006FBE0000}"/>
    <cellStyle name="Migliaia 8 3 2 3 2" xfId="28480" xr:uid="{00000000-0005-0000-0000-000070BE0000}"/>
    <cellStyle name="Migliaia 8 3 2 3 3" xfId="43453" xr:uid="{00000000-0005-0000-0000-000071BE0000}"/>
    <cellStyle name="Migliaia 8 3 2 3 4" xfId="12198" xr:uid="{00000000-0005-0000-0000-000072BE0000}"/>
    <cellStyle name="Migliaia 8 3 2 4" xfId="19630" xr:uid="{00000000-0005-0000-0000-000073BE0000}"/>
    <cellStyle name="Migliaia 8 3 2 4 2" xfId="35711" xr:uid="{00000000-0005-0000-0000-000074BE0000}"/>
    <cellStyle name="Migliaia 8 3 2 4 3" xfId="50667" xr:uid="{00000000-0005-0000-0000-000075BE0000}"/>
    <cellStyle name="Migliaia 8 3 2 5" xfId="21483" xr:uid="{00000000-0005-0000-0000-000076BE0000}"/>
    <cellStyle name="Migliaia 8 3 2 6" xfId="36454" xr:uid="{00000000-0005-0000-0000-000077BE0000}"/>
    <cellStyle name="Migliaia 8 3 2 7" xfId="51391" xr:uid="{00000000-0005-0000-0000-000078BE0000}"/>
    <cellStyle name="Migliaia 8 3 2 8" xfId="51785" xr:uid="{00000000-0005-0000-0000-000079BE0000}"/>
    <cellStyle name="Migliaia 8 3 2 9" xfId="52191" xr:uid="{00000000-0005-0000-0000-00007ABE0000}"/>
    <cellStyle name="Migliaia 8 3 3" xfId="3009" xr:uid="{00000000-0005-0000-0000-00007BBE0000}"/>
    <cellStyle name="Migliaia 8 3 3 2" xfId="20652" xr:uid="{00000000-0005-0000-0000-00007CBE0000}"/>
    <cellStyle name="Migliaia 8 3 3 2 2" xfId="36085" xr:uid="{00000000-0005-0000-0000-00007DBE0000}"/>
    <cellStyle name="Migliaia 8 3 3 2 3" xfId="51041" xr:uid="{00000000-0005-0000-0000-00007EBE0000}"/>
    <cellStyle name="Migliaia 8 3 3 3" xfId="19631" xr:uid="{00000000-0005-0000-0000-00007FBE0000}"/>
    <cellStyle name="Migliaia 8 3 3 3 2" xfId="35712" xr:uid="{00000000-0005-0000-0000-000080BE0000}"/>
    <cellStyle name="Migliaia 8 3 3 3 3" xfId="50668" xr:uid="{00000000-0005-0000-0000-000081BE0000}"/>
    <cellStyle name="Migliaia 8 3 3 4" xfId="11646" xr:uid="{00000000-0005-0000-0000-000082BE0000}"/>
    <cellStyle name="Migliaia 8 3 4" xfId="3378" xr:uid="{00000000-0005-0000-0000-000083BE0000}"/>
    <cellStyle name="Migliaia 8 3 4 2" xfId="20651" xr:uid="{00000000-0005-0000-0000-000084BE0000}"/>
    <cellStyle name="Migliaia 8 3 4 2 2" xfId="36084" xr:uid="{00000000-0005-0000-0000-000085BE0000}"/>
    <cellStyle name="Migliaia 8 3 4 2 3" xfId="51040" xr:uid="{00000000-0005-0000-0000-000086BE0000}"/>
    <cellStyle name="Migliaia 8 3 4 3" xfId="28479" xr:uid="{00000000-0005-0000-0000-000087BE0000}"/>
    <cellStyle name="Migliaia 8 3 4 4" xfId="43452" xr:uid="{00000000-0005-0000-0000-000088BE0000}"/>
    <cellStyle name="Migliaia 8 3 4 5" xfId="12197" xr:uid="{00000000-0005-0000-0000-000089BE0000}"/>
    <cellStyle name="Migliaia 8 3 5" xfId="19629" xr:uid="{00000000-0005-0000-0000-00008ABE0000}"/>
    <cellStyle name="Migliaia 8 3 5 2" xfId="35710" xr:uid="{00000000-0005-0000-0000-00008BBE0000}"/>
    <cellStyle name="Migliaia 8 3 5 3" xfId="50666" xr:uid="{00000000-0005-0000-0000-00008CBE0000}"/>
    <cellStyle name="Migliaia 8 3 6" xfId="21482" xr:uid="{00000000-0005-0000-0000-00008DBE0000}"/>
    <cellStyle name="Migliaia 8 3 7" xfId="36453" xr:uid="{00000000-0005-0000-0000-00008EBE0000}"/>
    <cellStyle name="Migliaia 8 3 8" xfId="51390" xr:uid="{00000000-0005-0000-0000-00008FBE0000}"/>
    <cellStyle name="Migliaia 8 3 9" xfId="51784" xr:uid="{00000000-0005-0000-0000-000090BE0000}"/>
    <cellStyle name="Migliaia 8 4" xfId="3007" xr:uid="{00000000-0005-0000-0000-000091BE0000}"/>
    <cellStyle name="Migliaia 8 4 2" xfId="19633" xr:uid="{00000000-0005-0000-0000-000092BE0000}"/>
    <cellStyle name="Migliaia 8 4 2 2" xfId="20654" xr:uid="{00000000-0005-0000-0000-000093BE0000}"/>
    <cellStyle name="Migliaia 8 4 2 2 2" xfId="36087" xr:uid="{00000000-0005-0000-0000-000094BE0000}"/>
    <cellStyle name="Migliaia 8 4 2 2 3" xfId="51043" xr:uid="{00000000-0005-0000-0000-000095BE0000}"/>
    <cellStyle name="Migliaia 8 4 2 3" xfId="35714" xr:uid="{00000000-0005-0000-0000-000096BE0000}"/>
    <cellStyle name="Migliaia 8 4 2 4" xfId="50670" xr:uid="{00000000-0005-0000-0000-000097BE0000}"/>
    <cellStyle name="Migliaia 8 4 3" xfId="20653" xr:uid="{00000000-0005-0000-0000-000098BE0000}"/>
    <cellStyle name="Migliaia 8 4 3 2" xfId="36086" xr:uid="{00000000-0005-0000-0000-000099BE0000}"/>
    <cellStyle name="Migliaia 8 4 3 3" xfId="51042" xr:uid="{00000000-0005-0000-0000-00009ABE0000}"/>
    <cellStyle name="Migliaia 8 4 4" xfId="19632" xr:uid="{00000000-0005-0000-0000-00009BBE0000}"/>
    <cellStyle name="Migliaia 8 4 4 2" xfId="35713" xr:uid="{00000000-0005-0000-0000-00009CBE0000}"/>
    <cellStyle name="Migliaia 8 4 4 3" xfId="50669" xr:uid="{00000000-0005-0000-0000-00009DBE0000}"/>
    <cellStyle name="Migliaia 8 4 5" xfId="11648" xr:uid="{00000000-0005-0000-0000-00009EBE0000}"/>
    <cellStyle name="Migliaia 8 5" xfId="3376" xr:uid="{00000000-0005-0000-0000-00009FBE0000}"/>
    <cellStyle name="Migliaia 8 5 2" xfId="19634" xr:uid="{00000000-0005-0000-0000-0000A0BE0000}"/>
    <cellStyle name="Migliaia 8 5 2 2" xfId="35715" xr:uid="{00000000-0005-0000-0000-0000A1BE0000}"/>
    <cellStyle name="Migliaia 8 5 2 3" xfId="50671" xr:uid="{00000000-0005-0000-0000-0000A2BE0000}"/>
    <cellStyle name="Migliaia 8 5 3" xfId="11649" xr:uid="{00000000-0005-0000-0000-0000A3BE0000}"/>
    <cellStyle name="Migliaia 8 6" xfId="11644" xr:uid="{00000000-0005-0000-0000-0000A4BE0000}"/>
    <cellStyle name="Migliaia 8 7" xfId="12195" xr:uid="{00000000-0005-0000-0000-0000A5BE0000}"/>
    <cellStyle name="Migliaia 8 7 2" xfId="28477" xr:uid="{00000000-0005-0000-0000-0000A6BE0000}"/>
    <cellStyle name="Migliaia 8 7 3" xfId="43450" xr:uid="{00000000-0005-0000-0000-0000A7BE0000}"/>
    <cellStyle name="Migliaia 8 8" xfId="19627" xr:uid="{00000000-0005-0000-0000-0000A8BE0000}"/>
    <cellStyle name="Migliaia 8 8 2" xfId="35708" xr:uid="{00000000-0005-0000-0000-0000A9BE0000}"/>
    <cellStyle name="Migliaia 8 8 3" xfId="50664" xr:uid="{00000000-0005-0000-0000-0000AABE0000}"/>
    <cellStyle name="Migliaia 8 9" xfId="21480" xr:uid="{00000000-0005-0000-0000-0000ABBE0000}"/>
    <cellStyle name="Migliaia 9" xfId="1477" xr:uid="{00000000-0005-0000-0000-0000ACBE0000}"/>
    <cellStyle name="Migliaia 9 10" xfId="36455" xr:uid="{00000000-0005-0000-0000-0000ADBE0000}"/>
    <cellStyle name="Migliaia 9 11" xfId="51392" xr:uid="{00000000-0005-0000-0000-0000AEBE0000}"/>
    <cellStyle name="Migliaia 9 12" xfId="51786" xr:uid="{00000000-0005-0000-0000-0000AFBE0000}"/>
    <cellStyle name="Migliaia 9 13" xfId="52192" xr:uid="{00000000-0005-0000-0000-0000B0BE0000}"/>
    <cellStyle name="Migliaia 9 14" xfId="52600" xr:uid="{00000000-0005-0000-0000-0000B1BE0000}"/>
    <cellStyle name="Migliaia 9 15" xfId="3749" xr:uid="{00000000-0005-0000-0000-0000B2BE0000}"/>
    <cellStyle name="Migliaia 9 2" xfId="1478" xr:uid="{00000000-0005-0000-0000-0000B3BE0000}"/>
    <cellStyle name="Migliaia 9 2 10" xfId="52193" xr:uid="{00000000-0005-0000-0000-0000B4BE0000}"/>
    <cellStyle name="Migliaia 9 2 11" xfId="52601" xr:uid="{00000000-0005-0000-0000-0000B5BE0000}"/>
    <cellStyle name="Migliaia 9 2 12" xfId="3750" xr:uid="{00000000-0005-0000-0000-0000B6BE0000}"/>
    <cellStyle name="Migliaia 9 2 2" xfId="1479" xr:uid="{00000000-0005-0000-0000-0000B7BE0000}"/>
    <cellStyle name="Migliaia 9 2 2 10" xfId="3815" xr:uid="{00000000-0005-0000-0000-0000B8BE0000}"/>
    <cellStyle name="Migliaia 9 2 2 2" xfId="3077" xr:uid="{00000000-0005-0000-0000-0000B9BE0000}"/>
    <cellStyle name="Migliaia 9 2 2 2 2" xfId="28572" xr:uid="{00000000-0005-0000-0000-0000BABE0000}"/>
    <cellStyle name="Migliaia 9 2 2 2 3" xfId="43535" xr:uid="{00000000-0005-0000-0000-0000BBBE0000}"/>
    <cellStyle name="Migliaia 9 2 2 2 4" xfId="12294" xr:uid="{00000000-0005-0000-0000-0000BCBE0000}"/>
    <cellStyle name="Migliaia 9 2 2 3" xfId="3446" xr:uid="{00000000-0005-0000-0000-0000BDBE0000}"/>
    <cellStyle name="Migliaia 9 2 2 3 2" xfId="36088" xr:uid="{00000000-0005-0000-0000-0000BEBE0000}"/>
    <cellStyle name="Migliaia 9 2 2 3 3" xfId="51044" xr:uid="{00000000-0005-0000-0000-0000BFBE0000}"/>
    <cellStyle name="Migliaia 9 2 2 3 4" xfId="20655" xr:uid="{00000000-0005-0000-0000-0000C0BE0000}"/>
    <cellStyle name="Migliaia 9 2 2 4" xfId="21572" xr:uid="{00000000-0005-0000-0000-0000C1BE0000}"/>
    <cellStyle name="Migliaia 9 2 2 5" xfId="36539" xr:uid="{00000000-0005-0000-0000-0000C2BE0000}"/>
    <cellStyle name="Migliaia 9 2 2 6" xfId="51477" xr:uid="{00000000-0005-0000-0000-0000C3BE0000}"/>
    <cellStyle name="Migliaia 9 2 2 7" xfId="51882" xr:uid="{00000000-0005-0000-0000-0000C4BE0000}"/>
    <cellStyle name="Migliaia 9 2 2 8" xfId="52291" xr:uid="{00000000-0005-0000-0000-0000C5BE0000}"/>
    <cellStyle name="Migliaia 9 2 2 9" xfId="52696" xr:uid="{00000000-0005-0000-0000-0000C6BE0000}"/>
    <cellStyle name="Migliaia 9 2 3" xfId="3012" xr:uid="{00000000-0005-0000-0000-0000C7BE0000}"/>
    <cellStyle name="Migliaia 9 2 3 2" xfId="11651" xr:uid="{00000000-0005-0000-0000-0000C8BE0000}"/>
    <cellStyle name="Migliaia 9 2 4" xfId="3381" xr:uid="{00000000-0005-0000-0000-0000C9BE0000}"/>
    <cellStyle name="Migliaia 9 2 4 2" xfId="28482" xr:uid="{00000000-0005-0000-0000-0000CABE0000}"/>
    <cellStyle name="Migliaia 9 2 4 3" xfId="43455" xr:uid="{00000000-0005-0000-0000-0000CBBE0000}"/>
    <cellStyle name="Migliaia 9 2 4 4" xfId="12200" xr:uid="{00000000-0005-0000-0000-0000CCBE0000}"/>
    <cellStyle name="Migliaia 9 2 5" xfId="19636" xr:uid="{00000000-0005-0000-0000-0000CDBE0000}"/>
    <cellStyle name="Migliaia 9 2 5 2" xfId="35717" xr:uid="{00000000-0005-0000-0000-0000CEBE0000}"/>
    <cellStyle name="Migliaia 9 2 5 3" xfId="50673" xr:uid="{00000000-0005-0000-0000-0000CFBE0000}"/>
    <cellStyle name="Migliaia 9 2 6" xfId="21485" xr:uid="{00000000-0005-0000-0000-0000D0BE0000}"/>
    <cellStyle name="Migliaia 9 2 7" xfId="36456" xr:uid="{00000000-0005-0000-0000-0000D1BE0000}"/>
    <cellStyle name="Migliaia 9 2 8" xfId="51393" xr:uid="{00000000-0005-0000-0000-0000D2BE0000}"/>
    <cellStyle name="Migliaia 9 2 9" xfId="51787" xr:uid="{00000000-0005-0000-0000-0000D3BE0000}"/>
    <cellStyle name="Migliaia 9 3" xfId="1480" xr:uid="{00000000-0005-0000-0000-0000D4BE0000}"/>
    <cellStyle name="Migliaia 9 3 10" xfId="52194" xr:uid="{00000000-0005-0000-0000-0000D5BE0000}"/>
    <cellStyle name="Migliaia 9 3 11" xfId="52602" xr:uid="{00000000-0005-0000-0000-0000D6BE0000}"/>
    <cellStyle name="Migliaia 9 3 12" xfId="3751" xr:uid="{00000000-0005-0000-0000-0000D7BE0000}"/>
    <cellStyle name="Migliaia 9 3 2" xfId="1481" xr:uid="{00000000-0005-0000-0000-0000D8BE0000}"/>
    <cellStyle name="Migliaia 9 3 2 10" xfId="52603" xr:uid="{00000000-0005-0000-0000-0000D9BE0000}"/>
    <cellStyle name="Migliaia 9 3 2 11" xfId="3752" xr:uid="{00000000-0005-0000-0000-0000DABE0000}"/>
    <cellStyle name="Migliaia 9 3 2 2" xfId="3014" xr:uid="{00000000-0005-0000-0000-0000DBBE0000}"/>
    <cellStyle name="Migliaia 9 3 2 2 2" xfId="11653" xr:uid="{00000000-0005-0000-0000-0000DCBE0000}"/>
    <cellStyle name="Migliaia 9 3 2 3" xfId="3383" xr:uid="{00000000-0005-0000-0000-0000DDBE0000}"/>
    <cellStyle name="Migliaia 9 3 2 3 2" xfId="28484" xr:uid="{00000000-0005-0000-0000-0000DEBE0000}"/>
    <cellStyle name="Migliaia 9 3 2 3 3" xfId="43457" xr:uid="{00000000-0005-0000-0000-0000DFBE0000}"/>
    <cellStyle name="Migliaia 9 3 2 3 4" xfId="12202" xr:uid="{00000000-0005-0000-0000-0000E0BE0000}"/>
    <cellStyle name="Migliaia 9 3 2 4" xfId="19638" xr:uid="{00000000-0005-0000-0000-0000E1BE0000}"/>
    <cellStyle name="Migliaia 9 3 2 4 2" xfId="35719" xr:uid="{00000000-0005-0000-0000-0000E2BE0000}"/>
    <cellStyle name="Migliaia 9 3 2 4 3" xfId="50675" xr:uid="{00000000-0005-0000-0000-0000E3BE0000}"/>
    <cellStyle name="Migliaia 9 3 2 5" xfId="21487" xr:uid="{00000000-0005-0000-0000-0000E4BE0000}"/>
    <cellStyle name="Migliaia 9 3 2 6" xfId="36458" xr:uid="{00000000-0005-0000-0000-0000E5BE0000}"/>
    <cellStyle name="Migliaia 9 3 2 7" xfId="51395" xr:uid="{00000000-0005-0000-0000-0000E6BE0000}"/>
    <cellStyle name="Migliaia 9 3 2 8" xfId="51789" xr:uid="{00000000-0005-0000-0000-0000E7BE0000}"/>
    <cellStyle name="Migliaia 9 3 2 9" xfId="52195" xr:uid="{00000000-0005-0000-0000-0000E8BE0000}"/>
    <cellStyle name="Migliaia 9 3 3" xfId="3013" xr:uid="{00000000-0005-0000-0000-0000E9BE0000}"/>
    <cellStyle name="Migliaia 9 3 3 2" xfId="20657" xr:uid="{00000000-0005-0000-0000-0000EABE0000}"/>
    <cellStyle name="Migliaia 9 3 3 2 2" xfId="36090" xr:uid="{00000000-0005-0000-0000-0000EBBE0000}"/>
    <cellStyle name="Migliaia 9 3 3 2 3" xfId="51046" xr:uid="{00000000-0005-0000-0000-0000ECBE0000}"/>
    <cellStyle name="Migliaia 9 3 3 3" xfId="19639" xr:uid="{00000000-0005-0000-0000-0000EDBE0000}"/>
    <cellStyle name="Migliaia 9 3 3 3 2" xfId="35720" xr:uid="{00000000-0005-0000-0000-0000EEBE0000}"/>
    <cellStyle name="Migliaia 9 3 3 3 3" xfId="50676" xr:uid="{00000000-0005-0000-0000-0000EFBE0000}"/>
    <cellStyle name="Migliaia 9 3 3 4" xfId="11652" xr:uid="{00000000-0005-0000-0000-0000F0BE0000}"/>
    <cellStyle name="Migliaia 9 3 4" xfId="3382" xr:uid="{00000000-0005-0000-0000-0000F1BE0000}"/>
    <cellStyle name="Migliaia 9 3 4 2" xfId="20656" xr:uid="{00000000-0005-0000-0000-0000F2BE0000}"/>
    <cellStyle name="Migliaia 9 3 4 2 2" xfId="36089" xr:uid="{00000000-0005-0000-0000-0000F3BE0000}"/>
    <cellStyle name="Migliaia 9 3 4 2 3" xfId="51045" xr:uid="{00000000-0005-0000-0000-0000F4BE0000}"/>
    <cellStyle name="Migliaia 9 3 4 3" xfId="28483" xr:uid="{00000000-0005-0000-0000-0000F5BE0000}"/>
    <cellStyle name="Migliaia 9 3 4 4" xfId="43456" xr:uid="{00000000-0005-0000-0000-0000F6BE0000}"/>
    <cellStyle name="Migliaia 9 3 4 5" xfId="12201" xr:uid="{00000000-0005-0000-0000-0000F7BE0000}"/>
    <cellStyle name="Migliaia 9 3 5" xfId="19637" xr:uid="{00000000-0005-0000-0000-0000F8BE0000}"/>
    <cellStyle name="Migliaia 9 3 5 2" xfId="35718" xr:uid="{00000000-0005-0000-0000-0000F9BE0000}"/>
    <cellStyle name="Migliaia 9 3 5 3" xfId="50674" xr:uid="{00000000-0005-0000-0000-0000FABE0000}"/>
    <cellStyle name="Migliaia 9 3 6" xfId="21486" xr:uid="{00000000-0005-0000-0000-0000FBBE0000}"/>
    <cellStyle name="Migliaia 9 3 7" xfId="36457" xr:uid="{00000000-0005-0000-0000-0000FCBE0000}"/>
    <cellStyle name="Migliaia 9 3 8" xfId="51394" xr:uid="{00000000-0005-0000-0000-0000FDBE0000}"/>
    <cellStyle name="Migliaia 9 3 9" xfId="51788" xr:uid="{00000000-0005-0000-0000-0000FEBE0000}"/>
    <cellStyle name="Migliaia 9 4" xfId="3011" xr:uid="{00000000-0005-0000-0000-0000FFBE0000}"/>
    <cellStyle name="Migliaia 9 4 2" xfId="19641" xr:uid="{00000000-0005-0000-0000-000000BF0000}"/>
    <cellStyle name="Migliaia 9 4 2 2" xfId="20659" xr:uid="{00000000-0005-0000-0000-000001BF0000}"/>
    <cellStyle name="Migliaia 9 4 2 2 2" xfId="36092" xr:uid="{00000000-0005-0000-0000-000002BF0000}"/>
    <cellStyle name="Migliaia 9 4 2 2 3" xfId="51048" xr:uid="{00000000-0005-0000-0000-000003BF0000}"/>
    <cellStyle name="Migliaia 9 4 2 3" xfId="35722" xr:uid="{00000000-0005-0000-0000-000004BF0000}"/>
    <cellStyle name="Migliaia 9 4 2 4" xfId="50678" xr:uid="{00000000-0005-0000-0000-000005BF0000}"/>
    <cellStyle name="Migliaia 9 4 3" xfId="20658" xr:uid="{00000000-0005-0000-0000-000006BF0000}"/>
    <cellStyle name="Migliaia 9 4 3 2" xfId="36091" xr:uid="{00000000-0005-0000-0000-000007BF0000}"/>
    <cellStyle name="Migliaia 9 4 3 3" xfId="51047" xr:uid="{00000000-0005-0000-0000-000008BF0000}"/>
    <cellStyle name="Migliaia 9 4 4" xfId="19640" xr:uid="{00000000-0005-0000-0000-000009BF0000}"/>
    <cellStyle name="Migliaia 9 4 4 2" xfId="35721" xr:uid="{00000000-0005-0000-0000-00000ABF0000}"/>
    <cellStyle name="Migliaia 9 4 4 3" xfId="50677" xr:uid="{00000000-0005-0000-0000-00000BBF0000}"/>
    <cellStyle name="Migliaia 9 4 5" xfId="11654" xr:uid="{00000000-0005-0000-0000-00000CBF0000}"/>
    <cellStyle name="Migliaia 9 5" xfId="3380" xr:uid="{00000000-0005-0000-0000-00000DBF0000}"/>
    <cellStyle name="Migliaia 9 5 2" xfId="19642" xr:uid="{00000000-0005-0000-0000-00000EBF0000}"/>
    <cellStyle name="Migliaia 9 5 2 2" xfId="35723" xr:uid="{00000000-0005-0000-0000-00000FBF0000}"/>
    <cellStyle name="Migliaia 9 5 2 3" xfId="50679" xr:uid="{00000000-0005-0000-0000-000010BF0000}"/>
    <cellStyle name="Migliaia 9 5 3" xfId="11655" xr:uid="{00000000-0005-0000-0000-000011BF0000}"/>
    <cellStyle name="Migliaia 9 6" xfId="11650" xr:uid="{00000000-0005-0000-0000-000012BF0000}"/>
    <cellStyle name="Migliaia 9 7" xfId="12199" xr:uid="{00000000-0005-0000-0000-000013BF0000}"/>
    <cellStyle name="Migliaia 9 7 2" xfId="28481" xr:uid="{00000000-0005-0000-0000-000014BF0000}"/>
    <cellStyle name="Migliaia 9 7 3" xfId="43454" xr:uid="{00000000-0005-0000-0000-000015BF0000}"/>
    <cellStyle name="Migliaia 9 8" xfId="19635" xr:uid="{00000000-0005-0000-0000-000016BF0000}"/>
    <cellStyle name="Migliaia 9 8 2" xfId="35716" xr:uid="{00000000-0005-0000-0000-000017BF0000}"/>
    <cellStyle name="Migliaia 9 8 3" xfId="50672" xr:uid="{00000000-0005-0000-0000-000018BF0000}"/>
    <cellStyle name="Migliaia 9 9" xfId="21484" xr:uid="{00000000-0005-0000-0000-000019BF0000}"/>
    <cellStyle name="Milliers [0]_03tabmat" xfId="1482" xr:uid="{00000000-0005-0000-0000-00001ABF0000}"/>
    <cellStyle name="Milliers_03tabmat" xfId="1483" xr:uid="{00000000-0005-0000-0000-00001BBF0000}"/>
    <cellStyle name="Monétaire [0]_03tabmat" xfId="1484" xr:uid="{00000000-0005-0000-0000-00001CBF0000}"/>
    <cellStyle name="Monétaire_03tabmat" xfId="1485" xr:uid="{00000000-0005-0000-0000-00001DBF0000}"/>
    <cellStyle name="Named Range" xfId="1486" xr:uid="{00000000-0005-0000-0000-00001EBF0000}"/>
    <cellStyle name="Neutral" xfId="1487" builtinId="28" customBuiltin="1"/>
    <cellStyle name="Neutral 2" xfId="1488" xr:uid="{00000000-0005-0000-0000-000020BF0000}"/>
    <cellStyle name="Neutral 2 2" xfId="7378" xr:uid="{00000000-0005-0000-0000-000021BF0000}"/>
    <cellStyle name="Neutral 3" xfId="1489" xr:uid="{00000000-0005-0000-0000-000022BF0000}"/>
    <cellStyle name="Neutral 3 2" xfId="7379" xr:uid="{00000000-0005-0000-0000-000023BF0000}"/>
    <cellStyle name="Neutral 4" xfId="1490" xr:uid="{00000000-0005-0000-0000-000024BF0000}"/>
    <cellStyle name="Neutral 4 2" xfId="7380" xr:uid="{00000000-0005-0000-0000-000025BF0000}"/>
    <cellStyle name="Neutral 5" xfId="1491" xr:uid="{00000000-0005-0000-0000-000026BF0000}"/>
    <cellStyle name="Neutral 5 2" xfId="9294" xr:uid="{00000000-0005-0000-0000-000027BF0000}"/>
    <cellStyle name="Neutral 5 3" xfId="7381" xr:uid="{00000000-0005-0000-0000-000028BF0000}"/>
    <cellStyle name="Neutral 6" xfId="7589" xr:uid="{00000000-0005-0000-0000-000029BF0000}"/>
    <cellStyle name="Neutral 7" xfId="7377" xr:uid="{00000000-0005-0000-0000-00002ABF0000}"/>
    <cellStyle name="Neutrale" xfId="1492" xr:uid="{00000000-0005-0000-0000-00002BBF0000}"/>
    <cellStyle name="New prices" xfId="1493" xr:uid="{00000000-0005-0000-0000-00002CBF0000}"/>
    <cellStyle name="Normal" xfId="0" builtinId="0" customBuiltin="1"/>
    <cellStyle name="Normal 10" xfId="1494" xr:uid="{00000000-0005-0000-0000-00002EBF0000}"/>
    <cellStyle name="Normal 10 2" xfId="1495" xr:uid="{00000000-0005-0000-0000-00002FBF0000}"/>
    <cellStyle name="Normal 10 2 10" xfId="52226" xr:uid="{00000000-0005-0000-0000-000030BF0000}"/>
    <cellStyle name="Normal 10 2 11" xfId="52631" xr:uid="{00000000-0005-0000-0000-000031BF0000}"/>
    <cellStyle name="Normal 10 2 2" xfId="1496" xr:uid="{00000000-0005-0000-0000-000032BF0000}"/>
    <cellStyle name="Normal 10 2 2 2" xfId="1497" xr:uid="{00000000-0005-0000-0000-000033BF0000}"/>
    <cellStyle name="Normal 10 2 3" xfId="1498" xr:uid="{00000000-0005-0000-0000-000034BF0000}"/>
    <cellStyle name="Normal 10 2 3 2" xfId="7383" xr:uid="{00000000-0005-0000-0000-000035BF0000}"/>
    <cellStyle name="Normal 10 2 4" xfId="1499" xr:uid="{00000000-0005-0000-0000-000036BF0000}"/>
    <cellStyle name="Normal 10 2 4 2" xfId="18881" xr:uid="{00000000-0005-0000-0000-000037BF0000}"/>
    <cellStyle name="Normal 10 2 4 2 2" xfId="35160" xr:uid="{00000000-0005-0000-0000-000038BF0000}"/>
    <cellStyle name="Normal 10 2 4 2 3" xfId="50119" xr:uid="{00000000-0005-0000-0000-000039BF0000}"/>
    <cellStyle name="Normal 10 2 4 3" xfId="28150" xr:uid="{00000000-0005-0000-0000-00003ABF0000}"/>
    <cellStyle name="Normal 10 2 4 4" xfId="43120" xr:uid="{00000000-0005-0000-0000-00003BBF0000}"/>
    <cellStyle name="Normal 10 2 5" xfId="12228" xr:uid="{00000000-0005-0000-0000-00003CBF0000}"/>
    <cellStyle name="Normal 10 2 5 2" xfId="28507" xr:uid="{00000000-0005-0000-0000-00003DBF0000}"/>
    <cellStyle name="Normal 10 2 5 3" xfId="43470" xr:uid="{00000000-0005-0000-0000-00003EBF0000}"/>
    <cellStyle name="Normal 10 2 6" xfId="21507" xr:uid="{00000000-0005-0000-0000-00003FBF0000}"/>
    <cellStyle name="Normal 10 2 7" xfId="36474" xr:uid="{00000000-0005-0000-0000-000040BF0000}"/>
    <cellStyle name="Normal 10 2 8" xfId="51412" xr:uid="{00000000-0005-0000-0000-000041BF0000}"/>
    <cellStyle name="Normal 10 2 9" xfId="51817" xr:uid="{00000000-0005-0000-0000-000042BF0000}"/>
    <cellStyle name="Normal 10 3" xfId="1500" xr:uid="{00000000-0005-0000-0000-000043BF0000}"/>
    <cellStyle name="Normal 10 3 2" xfId="1501" xr:uid="{00000000-0005-0000-0000-000044BF0000}"/>
    <cellStyle name="Normal 10 3 2 2" xfId="18775" xr:uid="{00000000-0005-0000-0000-000045BF0000}"/>
    <cellStyle name="Normal 10 3 2 2 2" xfId="35051" xr:uid="{00000000-0005-0000-0000-000046BF0000}"/>
    <cellStyle name="Normal 10 3 2 2 3" xfId="50010" xr:uid="{00000000-0005-0000-0000-000047BF0000}"/>
    <cellStyle name="Normal 10 3 2 3" xfId="28049" xr:uid="{00000000-0005-0000-0000-000048BF0000}"/>
    <cellStyle name="Normal 10 3 2 4" xfId="43013" xr:uid="{00000000-0005-0000-0000-000049BF0000}"/>
    <cellStyle name="Normal 10 3 2 5" xfId="10941" xr:uid="{00000000-0005-0000-0000-00004ABF0000}"/>
    <cellStyle name="Normal 10 3 3" xfId="7384" xr:uid="{00000000-0005-0000-0000-00004BBF0000}"/>
    <cellStyle name="Normal 10 3 3 2" xfId="15423" xr:uid="{00000000-0005-0000-0000-00004CBF0000}"/>
    <cellStyle name="Normal 10 3 3 2 2" xfId="31702" xr:uid="{00000000-0005-0000-0000-00004DBF0000}"/>
    <cellStyle name="Normal 10 3 3 2 3" xfId="46662" xr:uid="{00000000-0005-0000-0000-00004EBF0000}"/>
    <cellStyle name="Normal 10 3 3 3" xfId="24700" xr:uid="{00000000-0005-0000-0000-00004FBF0000}"/>
    <cellStyle name="Normal 10 3 3 4" xfId="39665" xr:uid="{00000000-0005-0000-0000-000050BF0000}"/>
    <cellStyle name="Normal 10 3 4" xfId="21156" xr:uid="{00000000-0005-0000-0000-000051BF0000}"/>
    <cellStyle name="Normal 10 4" xfId="1502" xr:uid="{00000000-0005-0000-0000-000052BF0000}"/>
    <cellStyle name="Normal 10 4 2" xfId="1503" xr:uid="{00000000-0005-0000-0000-000053BF0000}"/>
    <cellStyle name="Normal 10 4 2 2" xfId="32437" xr:uid="{00000000-0005-0000-0000-000054BF0000}"/>
    <cellStyle name="Normal 10 4 2 3" xfId="47396" xr:uid="{00000000-0005-0000-0000-000055BF0000}"/>
    <cellStyle name="Normal 10 4 2 4" xfId="16161" xr:uid="{00000000-0005-0000-0000-000056BF0000}"/>
    <cellStyle name="Normal 10 4 3" xfId="25435" xr:uid="{00000000-0005-0000-0000-000057BF0000}"/>
    <cellStyle name="Normal 10 4 4" xfId="40399" xr:uid="{00000000-0005-0000-0000-000058BF0000}"/>
    <cellStyle name="Normal 10 4 5" xfId="8297" xr:uid="{00000000-0005-0000-0000-000059BF0000}"/>
    <cellStyle name="Normal 10 5" xfId="1504" xr:uid="{00000000-0005-0000-0000-00005ABF0000}"/>
    <cellStyle name="Normal 10 5 2" xfId="15422" xr:uid="{00000000-0005-0000-0000-00005BBF0000}"/>
    <cellStyle name="Normal 10 5 2 2" xfId="31701" xr:uid="{00000000-0005-0000-0000-00005CBF0000}"/>
    <cellStyle name="Normal 10 5 2 3" xfId="46661" xr:uid="{00000000-0005-0000-0000-00005DBF0000}"/>
    <cellStyle name="Normal 10 5 3" xfId="24699" xr:uid="{00000000-0005-0000-0000-00005EBF0000}"/>
    <cellStyle name="Normal 10 5 4" xfId="39664" xr:uid="{00000000-0005-0000-0000-00005FBF0000}"/>
    <cellStyle name="Normal 10 5 5" xfId="7382" xr:uid="{00000000-0005-0000-0000-000060BF0000}"/>
    <cellStyle name="Normal 10 6" xfId="1505" xr:uid="{00000000-0005-0000-0000-000061BF0000}"/>
    <cellStyle name="Normal 10 7" xfId="1506" xr:uid="{00000000-0005-0000-0000-000062BF0000}"/>
    <cellStyle name="Normal 10 8" xfId="1507" xr:uid="{00000000-0005-0000-0000-000063BF0000}"/>
    <cellStyle name="Normal 10 9" xfId="1508" xr:uid="{00000000-0005-0000-0000-000064BF0000}"/>
    <cellStyle name="Normal 11" xfId="1509" xr:uid="{00000000-0005-0000-0000-000065BF0000}"/>
    <cellStyle name="Normal 11 2" xfId="1510" xr:uid="{00000000-0005-0000-0000-000066BF0000}"/>
    <cellStyle name="Normal 11 2 2" xfId="1511" xr:uid="{00000000-0005-0000-0000-000067BF0000}"/>
    <cellStyle name="Normal 11 2 2 2" xfId="21149" xr:uid="{00000000-0005-0000-0000-000068BF0000}"/>
    <cellStyle name="Normal 11 2 2 2 2" xfId="36118" xr:uid="{00000000-0005-0000-0000-000069BF0000}"/>
    <cellStyle name="Normal 11 2 2 2 3" xfId="51074" xr:uid="{00000000-0005-0000-0000-00006ABF0000}"/>
    <cellStyle name="Normal 11 2 2 3" xfId="11064" xr:uid="{00000000-0005-0000-0000-00006BBF0000}"/>
    <cellStyle name="Normal 11 2 3" xfId="21102" xr:uid="{00000000-0005-0000-0000-00006CBF0000}"/>
    <cellStyle name="Normal 11 2 3 2" xfId="36098" xr:uid="{00000000-0005-0000-0000-00006DBF0000}"/>
    <cellStyle name="Normal 11 2 3 3" xfId="51054" xr:uid="{00000000-0005-0000-0000-00006EBF0000}"/>
    <cellStyle name="Normal 11 2 4" xfId="7386" xr:uid="{00000000-0005-0000-0000-00006FBF0000}"/>
    <cellStyle name="Normal 11 3" xfId="1512" xr:uid="{00000000-0005-0000-0000-000070BF0000}"/>
    <cellStyle name="Normal 11 3 2" xfId="7388" xr:uid="{00000000-0005-0000-0000-000071BF0000}"/>
    <cellStyle name="Normal 11 3 2 2" xfId="10825" xr:uid="{00000000-0005-0000-0000-000072BF0000}"/>
    <cellStyle name="Normal 11 3 2 2 2" xfId="18663" xr:uid="{00000000-0005-0000-0000-000073BF0000}"/>
    <cellStyle name="Normal 11 3 2 2 2 2" xfId="34939" xr:uid="{00000000-0005-0000-0000-000074BF0000}"/>
    <cellStyle name="Normal 11 3 2 2 2 3" xfId="49898" xr:uid="{00000000-0005-0000-0000-000075BF0000}"/>
    <cellStyle name="Normal 11 3 2 2 3" xfId="27937" xr:uid="{00000000-0005-0000-0000-000076BF0000}"/>
    <cellStyle name="Normal 11 3 2 2 4" xfId="42901" xr:uid="{00000000-0005-0000-0000-000077BF0000}"/>
    <cellStyle name="Normal 11 3 2 3" xfId="15425" xr:uid="{00000000-0005-0000-0000-000078BF0000}"/>
    <cellStyle name="Normal 11 3 2 3 2" xfId="31704" xr:uid="{00000000-0005-0000-0000-000079BF0000}"/>
    <cellStyle name="Normal 11 3 2 3 3" xfId="46664" xr:uid="{00000000-0005-0000-0000-00007ABF0000}"/>
    <cellStyle name="Normal 11 3 2 4" xfId="24702" xr:uid="{00000000-0005-0000-0000-00007BBF0000}"/>
    <cellStyle name="Normal 11 3 2 5" xfId="39667" xr:uid="{00000000-0005-0000-0000-00007CBF0000}"/>
    <cellStyle name="Normal 11 3 3" xfId="8298" xr:uid="{00000000-0005-0000-0000-00007DBF0000}"/>
    <cellStyle name="Normal 11 3 3 2" xfId="16162" xr:uid="{00000000-0005-0000-0000-00007EBF0000}"/>
    <cellStyle name="Normal 11 3 3 2 2" xfId="32438" xr:uid="{00000000-0005-0000-0000-00007FBF0000}"/>
    <cellStyle name="Normal 11 3 3 2 3" xfId="47397" xr:uid="{00000000-0005-0000-0000-000080BF0000}"/>
    <cellStyle name="Normal 11 3 3 3" xfId="25436" xr:uid="{00000000-0005-0000-0000-000081BF0000}"/>
    <cellStyle name="Normal 11 3 3 4" xfId="40400" xr:uid="{00000000-0005-0000-0000-000082BF0000}"/>
    <cellStyle name="Normal 11 3 4" xfId="15424" xr:uid="{00000000-0005-0000-0000-000083BF0000}"/>
    <cellStyle name="Normal 11 3 4 2" xfId="31703" xr:uid="{00000000-0005-0000-0000-000084BF0000}"/>
    <cellStyle name="Normal 11 3 4 3" xfId="46663" xr:uid="{00000000-0005-0000-0000-000085BF0000}"/>
    <cellStyle name="Normal 11 3 5" xfId="21130" xr:uid="{00000000-0005-0000-0000-000086BF0000}"/>
    <cellStyle name="Normal 11 3 5 2" xfId="36108" xr:uid="{00000000-0005-0000-0000-000087BF0000}"/>
    <cellStyle name="Normal 11 3 5 3" xfId="51064" xr:uid="{00000000-0005-0000-0000-000088BF0000}"/>
    <cellStyle name="Normal 11 3 6" xfId="24701" xr:uid="{00000000-0005-0000-0000-000089BF0000}"/>
    <cellStyle name="Normal 11 3 7" xfId="39666" xr:uid="{00000000-0005-0000-0000-00008ABF0000}"/>
    <cellStyle name="Normal 11 3 8" xfId="7387" xr:uid="{00000000-0005-0000-0000-00008BBF0000}"/>
    <cellStyle name="Normal 11 4" xfId="1513" xr:uid="{00000000-0005-0000-0000-00008CBF0000}"/>
    <cellStyle name="Normal 11 4 2" xfId="7385" xr:uid="{00000000-0005-0000-0000-00008DBF0000}"/>
    <cellStyle name="Normal 11 5" xfId="20101" xr:uid="{00000000-0005-0000-0000-00008EBF0000}"/>
    <cellStyle name="Normal 11 5 2" xfId="35729" xr:uid="{00000000-0005-0000-0000-00008FBF0000}"/>
    <cellStyle name="Normal 11 5 3" xfId="50685" xr:uid="{00000000-0005-0000-0000-000090BF0000}"/>
    <cellStyle name="Normal 12" xfId="1514" xr:uid="{00000000-0005-0000-0000-000091BF0000}"/>
    <cellStyle name="Normal 12 2" xfId="1515" xr:uid="{00000000-0005-0000-0000-000092BF0000}"/>
    <cellStyle name="Normal 12 2 2" xfId="1516" xr:uid="{00000000-0005-0000-0000-000093BF0000}"/>
    <cellStyle name="Normal 12 2 2 2" xfId="11065" xr:uid="{00000000-0005-0000-0000-000094BF0000}"/>
    <cellStyle name="Normal 12 2 3" xfId="7389" xr:uid="{00000000-0005-0000-0000-000095BF0000}"/>
    <cellStyle name="Normal 12 3" xfId="1517" xr:uid="{00000000-0005-0000-0000-000096BF0000}"/>
    <cellStyle name="Normal 12 3 2" xfId="10475" xr:uid="{00000000-0005-0000-0000-000097BF0000}"/>
    <cellStyle name="Normal 12 3 2 2" xfId="18324" xr:uid="{00000000-0005-0000-0000-000098BF0000}"/>
    <cellStyle name="Normal 12 3 2 2 2" xfId="34600" xr:uid="{00000000-0005-0000-0000-000099BF0000}"/>
    <cellStyle name="Normal 12 3 2 2 3" xfId="49559" xr:uid="{00000000-0005-0000-0000-00009ABF0000}"/>
    <cellStyle name="Normal 12 3 2 3" xfId="27598" xr:uid="{00000000-0005-0000-0000-00009BBF0000}"/>
    <cellStyle name="Normal 12 3 2 4" xfId="42562" xr:uid="{00000000-0005-0000-0000-00009CBF0000}"/>
    <cellStyle name="Normal 12 3 3" xfId="15427" xr:uid="{00000000-0005-0000-0000-00009DBF0000}"/>
    <cellStyle name="Normal 12 3 3 2" xfId="31706" xr:uid="{00000000-0005-0000-0000-00009EBF0000}"/>
    <cellStyle name="Normal 12 3 3 3" xfId="46666" xr:uid="{00000000-0005-0000-0000-00009FBF0000}"/>
    <cellStyle name="Normal 12 3 4" xfId="24704" xr:uid="{00000000-0005-0000-0000-0000A0BF0000}"/>
    <cellStyle name="Normal 12 3 5" xfId="39669" xr:uid="{00000000-0005-0000-0000-0000A1BF0000}"/>
    <cellStyle name="Normal 12 4" xfId="8299" xr:uid="{00000000-0005-0000-0000-0000A2BF0000}"/>
    <cellStyle name="Normal 12 4 2" xfId="16163" xr:uid="{00000000-0005-0000-0000-0000A3BF0000}"/>
    <cellStyle name="Normal 12 4 2 2" xfId="32439" xr:uid="{00000000-0005-0000-0000-0000A4BF0000}"/>
    <cellStyle name="Normal 12 4 2 3" xfId="47398" xr:uid="{00000000-0005-0000-0000-0000A5BF0000}"/>
    <cellStyle name="Normal 12 4 3" xfId="25437" xr:uid="{00000000-0005-0000-0000-0000A6BF0000}"/>
    <cellStyle name="Normal 12 4 4" xfId="40401" xr:uid="{00000000-0005-0000-0000-0000A7BF0000}"/>
    <cellStyle name="Normal 12 5" xfId="15426" xr:uid="{00000000-0005-0000-0000-0000A8BF0000}"/>
    <cellStyle name="Normal 12 5 2" xfId="31705" xr:uid="{00000000-0005-0000-0000-0000A9BF0000}"/>
    <cellStyle name="Normal 12 5 3" xfId="46665" xr:uid="{00000000-0005-0000-0000-0000AABF0000}"/>
    <cellStyle name="Normal 12 6" xfId="24703" xr:uid="{00000000-0005-0000-0000-0000ABBF0000}"/>
    <cellStyle name="Normal 12 7" xfId="39668" xr:uid="{00000000-0005-0000-0000-0000ACBF0000}"/>
    <cellStyle name="Normal 13" xfId="1518" xr:uid="{00000000-0005-0000-0000-0000ADBF0000}"/>
    <cellStyle name="Normal 13 2" xfId="1519" xr:uid="{00000000-0005-0000-0000-0000AEBF0000}"/>
    <cellStyle name="Normal 13 2 2" xfId="1520" xr:uid="{00000000-0005-0000-0000-0000AFBF0000}"/>
    <cellStyle name="Normal 13 2 2 2" xfId="18259" xr:uid="{00000000-0005-0000-0000-0000B0BF0000}"/>
    <cellStyle name="Normal 13 2 2 2 2" xfId="34535" xr:uid="{00000000-0005-0000-0000-0000B1BF0000}"/>
    <cellStyle name="Normal 13 2 2 2 3" xfId="49494" xr:uid="{00000000-0005-0000-0000-0000B2BF0000}"/>
    <cellStyle name="Normal 13 2 2 3" xfId="27533" xr:uid="{00000000-0005-0000-0000-0000B3BF0000}"/>
    <cellStyle name="Normal 13 2 2 4" xfId="42497" xr:uid="{00000000-0005-0000-0000-0000B4BF0000}"/>
    <cellStyle name="Normal 13 2 3" xfId="15429" xr:uid="{00000000-0005-0000-0000-0000B5BF0000}"/>
    <cellStyle name="Normal 13 2 3 2" xfId="31708" xr:uid="{00000000-0005-0000-0000-0000B6BF0000}"/>
    <cellStyle name="Normal 13 2 3 3" xfId="46668" xr:uid="{00000000-0005-0000-0000-0000B7BF0000}"/>
    <cellStyle name="Normal 13 2 4" xfId="24706" xr:uid="{00000000-0005-0000-0000-0000B8BF0000}"/>
    <cellStyle name="Normal 13 2 5" xfId="39671" xr:uid="{00000000-0005-0000-0000-0000B9BF0000}"/>
    <cellStyle name="Normal 13 3" xfId="1521" xr:uid="{00000000-0005-0000-0000-0000BABF0000}"/>
    <cellStyle name="Normal 13 3 2" xfId="9682" xr:uid="{00000000-0005-0000-0000-0000BBBF0000}"/>
    <cellStyle name="Normal 13 3 2 2" xfId="17545" xr:uid="{00000000-0005-0000-0000-0000BCBF0000}"/>
    <cellStyle name="Normal 13 3 2 2 2" xfId="33821" xr:uid="{00000000-0005-0000-0000-0000BDBF0000}"/>
    <cellStyle name="Normal 13 3 2 2 3" xfId="48780" xr:uid="{00000000-0005-0000-0000-0000BEBF0000}"/>
    <cellStyle name="Normal 13 3 2 3" xfId="26819" xr:uid="{00000000-0005-0000-0000-0000BFBF0000}"/>
    <cellStyle name="Normal 13 3 2 4" xfId="41783" xr:uid="{00000000-0005-0000-0000-0000C0BF0000}"/>
    <cellStyle name="Normal 13 3 3" xfId="15430" xr:uid="{00000000-0005-0000-0000-0000C1BF0000}"/>
    <cellStyle name="Normal 13 3 3 2" xfId="31709" xr:uid="{00000000-0005-0000-0000-0000C2BF0000}"/>
    <cellStyle name="Normal 13 3 3 3" xfId="46669" xr:uid="{00000000-0005-0000-0000-0000C3BF0000}"/>
    <cellStyle name="Normal 13 3 4" xfId="24707" xr:uid="{00000000-0005-0000-0000-0000C4BF0000}"/>
    <cellStyle name="Normal 13 3 5" xfId="39672" xr:uid="{00000000-0005-0000-0000-0000C5BF0000}"/>
    <cellStyle name="Normal 13 4" xfId="1522" xr:uid="{00000000-0005-0000-0000-0000C6BF0000}"/>
    <cellStyle name="Normal 13 4 2" xfId="16164" xr:uid="{00000000-0005-0000-0000-0000C7BF0000}"/>
    <cellStyle name="Normal 13 4 2 2" xfId="32440" xr:uid="{00000000-0005-0000-0000-0000C8BF0000}"/>
    <cellStyle name="Normal 13 4 2 3" xfId="47399" xr:uid="{00000000-0005-0000-0000-0000C9BF0000}"/>
    <cellStyle name="Normal 13 4 3" xfId="25438" xr:uid="{00000000-0005-0000-0000-0000CABF0000}"/>
    <cellStyle name="Normal 13 4 4" xfId="40402" xr:uid="{00000000-0005-0000-0000-0000CBBF0000}"/>
    <cellStyle name="Normal 13 5" xfId="15428" xr:uid="{00000000-0005-0000-0000-0000CCBF0000}"/>
    <cellStyle name="Normal 13 5 2" xfId="31707" xr:uid="{00000000-0005-0000-0000-0000CDBF0000}"/>
    <cellStyle name="Normal 13 5 3" xfId="46667" xr:uid="{00000000-0005-0000-0000-0000CEBF0000}"/>
    <cellStyle name="Normal 13 6" xfId="21151" xr:uid="{00000000-0005-0000-0000-0000CFBF0000}"/>
    <cellStyle name="Normal 13 6 2" xfId="36120" xr:uid="{00000000-0005-0000-0000-0000D0BF0000}"/>
    <cellStyle name="Normal 13 6 3" xfId="51076" xr:uid="{00000000-0005-0000-0000-0000D1BF0000}"/>
    <cellStyle name="Normal 13 7" xfId="24705" xr:uid="{00000000-0005-0000-0000-0000D2BF0000}"/>
    <cellStyle name="Normal 13 8" xfId="39670" xr:uid="{00000000-0005-0000-0000-0000D3BF0000}"/>
    <cellStyle name="Normal 14" xfId="1523" xr:uid="{00000000-0005-0000-0000-0000D4BF0000}"/>
    <cellStyle name="Normal 14 2" xfId="7391" xr:uid="{00000000-0005-0000-0000-0000D5BF0000}"/>
    <cellStyle name="Normal 14 2 2" xfId="7392" xr:uid="{00000000-0005-0000-0000-0000D6BF0000}"/>
    <cellStyle name="Normal 14 2 2 2" xfId="10404" xr:uid="{00000000-0005-0000-0000-0000D7BF0000}"/>
    <cellStyle name="Normal 14 2 2 2 2" xfId="18260" xr:uid="{00000000-0005-0000-0000-0000D8BF0000}"/>
    <cellStyle name="Normal 14 2 2 2 2 2" xfId="34536" xr:uid="{00000000-0005-0000-0000-0000D9BF0000}"/>
    <cellStyle name="Normal 14 2 2 2 2 3" xfId="49495" xr:uid="{00000000-0005-0000-0000-0000DABF0000}"/>
    <cellStyle name="Normal 14 2 2 2 3" xfId="27534" xr:uid="{00000000-0005-0000-0000-0000DBBF0000}"/>
    <cellStyle name="Normal 14 2 2 2 4" xfId="42498" xr:uid="{00000000-0005-0000-0000-0000DCBF0000}"/>
    <cellStyle name="Normal 14 2 2 3" xfId="15432" xr:uid="{00000000-0005-0000-0000-0000DDBF0000}"/>
    <cellStyle name="Normal 14 2 2 3 2" xfId="31711" xr:uid="{00000000-0005-0000-0000-0000DEBF0000}"/>
    <cellStyle name="Normal 14 2 2 3 3" xfId="46671" xr:uid="{00000000-0005-0000-0000-0000DFBF0000}"/>
    <cellStyle name="Normal 14 2 2 4" xfId="24709" xr:uid="{00000000-0005-0000-0000-0000E0BF0000}"/>
    <cellStyle name="Normal 14 2 2 5" xfId="39674" xr:uid="{00000000-0005-0000-0000-0000E1BF0000}"/>
    <cellStyle name="Normal 14 2 3" xfId="8897" xr:uid="{00000000-0005-0000-0000-0000E2BF0000}"/>
    <cellStyle name="Normal 14 2 3 2" xfId="16764" xr:uid="{00000000-0005-0000-0000-0000E3BF0000}"/>
    <cellStyle name="Normal 14 2 3 2 2" xfId="33040" xr:uid="{00000000-0005-0000-0000-0000E4BF0000}"/>
    <cellStyle name="Normal 14 2 3 2 3" xfId="47999" xr:uid="{00000000-0005-0000-0000-0000E5BF0000}"/>
    <cellStyle name="Normal 14 2 3 3" xfId="26038" xr:uid="{00000000-0005-0000-0000-0000E6BF0000}"/>
    <cellStyle name="Normal 14 2 3 4" xfId="41002" xr:uid="{00000000-0005-0000-0000-0000E7BF0000}"/>
    <cellStyle name="Normal 14 2 4" xfId="15431" xr:uid="{00000000-0005-0000-0000-0000E8BF0000}"/>
    <cellStyle name="Normal 14 2 4 2" xfId="31710" xr:uid="{00000000-0005-0000-0000-0000E9BF0000}"/>
    <cellStyle name="Normal 14 2 4 3" xfId="46670" xr:uid="{00000000-0005-0000-0000-0000EABF0000}"/>
    <cellStyle name="Normal 14 2 5" xfId="24708" xr:uid="{00000000-0005-0000-0000-0000EBBF0000}"/>
    <cellStyle name="Normal 14 2 6" xfId="39673" xr:uid="{00000000-0005-0000-0000-0000ECBF0000}"/>
    <cellStyle name="Normal 14 3" xfId="7393" xr:uid="{00000000-0005-0000-0000-0000EDBF0000}"/>
    <cellStyle name="Normal 14 3 2" xfId="9683" xr:uid="{00000000-0005-0000-0000-0000EEBF0000}"/>
    <cellStyle name="Normal 14 3 2 2" xfId="17546" xr:uid="{00000000-0005-0000-0000-0000EFBF0000}"/>
    <cellStyle name="Normal 14 3 2 2 2" xfId="33822" xr:uid="{00000000-0005-0000-0000-0000F0BF0000}"/>
    <cellStyle name="Normal 14 3 2 2 3" xfId="48781" xr:uid="{00000000-0005-0000-0000-0000F1BF0000}"/>
    <cellStyle name="Normal 14 3 2 3" xfId="26820" xr:uid="{00000000-0005-0000-0000-0000F2BF0000}"/>
    <cellStyle name="Normal 14 3 2 4" xfId="41784" xr:uid="{00000000-0005-0000-0000-0000F3BF0000}"/>
    <cellStyle name="Normal 14 3 3" xfId="15433" xr:uid="{00000000-0005-0000-0000-0000F4BF0000}"/>
    <cellStyle name="Normal 14 3 3 2" xfId="31712" xr:uid="{00000000-0005-0000-0000-0000F5BF0000}"/>
    <cellStyle name="Normal 14 3 3 3" xfId="46672" xr:uid="{00000000-0005-0000-0000-0000F6BF0000}"/>
    <cellStyle name="Normal 14 3 4" xfId="24710" xr:uid="{00000000-0005-0000-0000-0000F7BF0000}"/>
    <cellStyle name="Normal 14 3 5" xfId="39675" xr:uid="{00000000-0005-0000-0000-0000F8BF0000}"/>
    <cellStyle name="Normal 14 4" xfId="7390" xr:uid="{00000000-0005-0000-0000-0000F9BF0000}"/>
    <cellStyle name="Normal 15" xfId="1524" xr:uid="{00000000-0005-0000-0000-0000FABF0000}"/>
    <cellStyle name="Normal 15 2" xfId="7395" xr:uid="{00000000-0005-0000-0000-0000FBBF0000}"/>
    <cellStyle name="Normal 15 2 2" xfId="7396" xr:uid="{00000000-0005-0000-0000-0000FCBF0000}"/>
    <cellStyle name="Normal 15 2 2 2" xfId="10405" xr:uid="{00000000-0005-0000-0000-0000FDBF0000}"/>
    <cellStyle name="Normal 15 2 3" xfId="11067" xr:uid="{00000000-0005-0000-0000-0000FEBF0000}"/>
    <cellStyle name="Normal 15 3" xfId="7397" xr:uid="{00000000-0005-0000-0000-0000FFBF0000}"/>
    <cellStyle name="Normal 15 3 2" xfId="7398" xr:uid="{00000000-0005-0000-0000-000000C00000}"/>
    <cellStyle name="Normal 15 3 3" xfId="9684" xr:uid="{00000000-0005-0000-0000-000001C00000}"/>
    <cellStyle name="Normal 15 4" xfId="11066" xr:uid="{00000000-0005-0000-0000-000002C00000}"/>
    <cellStyle name="Normal 15 5" xfId="7394" xr:uid="{00000000-0005-0000-0000-000003C00000}"/>
    <cellStyle name="Normal 16" xfId="1525" xr:uid="{00000000-0005-0000-0000-000004C00000}"/>
    <cellStyle name="Normal 16 2" xfId="7400" xr:uid="{00000000-0005-0000-0000-000005C00000}"/>
    <cellStyle name="Normal 16 3" xfId="11068" xr:uid="{00000000-0005-0000-0000-000006C00000}"/>
    <cellStyle name="Normal 16 4" xfId="7399" xr:uid="{00000000-0005-0000-0000-000007C00000}"/>
    <cellStyle name="Normal 17" xfId="1526" xr:uid="{00000000-0005-0000-0000-000008C00000}"/>
    <cellStyle name="Normal 17 2" xfId="7402" xr:uid="{00000000-0005-0000-0000-000009C00000}"/>
    <cellStyle name="Normal 17 2 2" xfId="9693" xr:uid="{00000000-0005-0000-0000-00000AC00000}"/>
    <cellStyle name="Normal 17 2 2 2" xfId="17547" xr:uid="{00000000-0005-0000-0000-00000BC00000}"/>
    <cellStyle name="Normal 17 2 2 2 2" xfId="33823" xr:uid="{00000000-0005-0000-0000-00000CC00000}"/>
    <cellStyle name="Normal 17 2 2 2 3" xfId="48782" xr:uid="{00000000-0005-0000-0000-00000DC00000}"/>
    <cellStyle name="Normal 17 2 2 3" xfId="26821" xr:uid="{00000000-0005-0000-0000-00000EC00000}"/>
    <cellStyle name="Normal 17 2 2 4" xfId="41785" xr:uid="{00000000-0005-0000-0000-00000FC00000}"/>
    <cellStyle name="Normal 17 2 3" xfId="15434" xr:uid="{00000000-0005-0000-0000-000010C00000}"/>
    <cellStyle name="Normal 17 2 3 2" xfId="31713" xr:uid="{00000000-0005-0000-0000-000011C00000}"/>
    <cellStyle name="Normal 17 2 3 3" xfId="46673" xr:uid="{00000000-0005-0000-0000-000012C00000}"/>
    <cellStyle name="Normal 17 2 4" xfId="24711" xr:uid="{00000000-0005-0000-0000-000013C00000}"/>
    <cellStyle name="Normal 17 2 5" xfId="39676" xr:uid="{00000000-0005-0000-0000-000014C00000}"/>
    <cellStyle name="Normal 17 3" xfId="11069" xr:uid="{00000000-0005-0000-0000-000015C00000}"/>
    <cellStyle name="Normal 17 4" xfId="7401" xr:uid="{00000000-0005-0000-0000-000016C00000}"/>
    <cellStyle name="Normal 18" xfId="1527" xr:uid="{00000000-0005-0000-0000-000017C00000}"/>
    <cellStyle name="Normal 18 2" xfId="11070" xr:uid="{00000000-0005-0000-0000-000018C00000}"/>
    <cellStyle name="Normal 18 3" xfId="7403" xr:uid="{00000000-0005-0000-0000-000019C00000}"/>
    <cellStyle name="Normal 19" xfId="1528" xr:uid="{00000000-0005-0000-0000-00001AC00000}"/>
    <cellStyle name="Normal 19 2" xfId="7405" xr:uid="{00000000-0005-0000-0000-00001BC00000}"/>
    <cellStyle name="Normal 19 3" xfId="8898" xr:uid="{00000000-0005-0000-0000-00001CC00000}"/>
    <cellStyle name="Normal 19 4" xfId="7404" xr:uid="{00000000-0005-0000-0000-00001DC00000}"/>
    <cellStyle name="Normal 199" xfId="1529" xr:uid="{00000000-0005-0000-0000-00001EC00000}"/>
    <cellStyle name="Normal 199 2" xfId="1530" xr:uid="{00000000-0005-0000-0000-00001FC00000}"/>
    <cellStyle name="Normal 199 3" xfId="1531" xr:uid="{00000000-0005-0000-0000-000020C00000}"/>
    <cellStyle name="Normal 2" xfId="1532" xr:uid="{00000000-0005-0000-0000-000021C00000}"/>
    <cellStyle name="Normal 2 10" xfId="1533" xr:uid="{00000000-0005-0000-0000-000022C00000}"/>
    <cellStyle name="Normal 2 10 2" xfId="1534" xr:uid="{00000000-0005-0000-0000-000023C00000}"/>
    <cellStyle name="Normal 2 10 3" xfId="52705" xr:uid="{00000000-0005-0000-0000-000024C00000}"/>
    <cellStyle name="Normal 2 11" xfId="1535" xr:uid="{00000000-0005-0000-0000-000025C00000}"/>
    <cellStyle name="Normal 2 12" xfId="1536" xr:uid="{00000000-0005-0000-0000-000026C00000}"/>
    <cellStyle name="Normal 2 13" xfId="52703" xr:uid="{00000000-0005-0000-0000-000027C00000}"/>
    <cellStyle name="Normal 2 2" xfId="1537" xr:uid="{00000000-0005-0000-0000-000028C00000}"/>
    <cellStyle name="Normal 2 2 2" xfId="1538" xr:uid="{00000000-0005-0000-0000-000029C00000}"/>
    <cellStyle name="Normal 2 2 2 2" xfId="1539" xr:uid="{00000000-0005-0000-0000-00002AC00000}"/>
    <cellStyle name="Normal 2 2 2 2 2" xfId="11072" xr:uid="{00000000-0005-0000-0000-00002BC00000}"/>
    <cellStyle name="Normal 2 2 2 2 3" xfId="19643" xr:uid="{00000000-0005-0000-0000-00002CC00000}"/>
    <cellStyle name="Normal 2 2 2 2 4" xfId="7407" xr:uid="{00000000-0005-0000-0000-00002DC00000}"/>
    <cellStyle name="Normal 2 2 2 3" xfId="1540" xr:uid="{00000000-0005-0000-0000-00002EC00000}"/>
    <cellStyle name="Normal 2 2 2 3 2" xfId="7409" xr:uid="{00000000-0005-0000-0000-00002FC00000}"/>
    <cellStyle name="Normal 2 2 2 3 2 2" xfId="11074" xr:uid="{00000000-0005-0000-0000-000030C00000}"/>
    <cellStyle name="Normal 2 2 2 3 3" xfId="11073" xr:uid="{00000000-0005-0000-0000-000031C00000}"/>
    <cellStyle name="Normal 2 2 2 3 4" xfId="7408" xr:uid="{00000000-0005-0000-0000-000032C00000}"/>
    <cellStyle name="Normal 2 2 2 4" xfId="1541" xr:uid="{00000000-0005-0000-0000-000033C00000}"/>
    <cellStyle name="Normal 2 2 2 4 2" xfId="18848" xr:uid="{00000000-0005-0000-0000-000034C00000}"/>
    <cellStyle name="Normal 2 2 2 4 2 2" xfId="35124" xr:uid="{00000000-0005-0000-0000-000035C00000}"/>
    <cellStyle name="Normal 2 2 2 4 2 3" xfId="50083" xr:uid="{00000000-0005-0000-0000-000036C00000}"/>
    <cellStyle name="Normal 2 2 2 4 3" xfId="21164" xr:uid="{00000000-0005-0000-0000-000037C00000}"/>
    <cellStyle name="Normal 2 2 2 4 3 2" xfId="36129" xr:uid="{00000000-0005-0000-0000-000038C00000}"/>
    <cellStyle name="Normal 2 2 2 4 3 3" xfId="51085" xr:uid="{00000000-0005-0000-0000-000039C00000}"/>
    <cellStyle name="Normal 2 2 2 4 4" xfId="28122" xr:uid="{00000000-0005-0000-0000-00003AC00000}"/>
    <cellStyle name="Normal 2 2 2 4 5" xfId="43086" xr:uid="{00000000-0005-0000-0000-00003BC00000}"/>
    <cellStyle name="Normal 2 2 2 5" xfId="1542" xr:uid="{00000000-0005-0000-0000-00003CC00000}"/>
    <cellStyle name="Normal 2 2 2 5 2" xfId="11071" xr:uid="{00000000-0005-0000-0000-00003DC00000}"/>
    <cellStyle name="Normal 2 2 2 6" xfId="1543" xr:uid="{00000000-0005-0000-0000-00003EC00000}"/>
    <cellStyle name="Normal 2 2 2 7" xfId="1544" xr:uid="{00000000-0005-0000-0000-00003FC00000}"/>
    <cellStyle name="Normal 2 2 2 7 2" xfId="1545" xr:uid="{00000000-0005-0000-0000-000040C00000}"/>
    <cellStyle name="Normal 2 2 3" xfId="1546" xr:uid="{00000000-0005-0000-0000-000041C00000}"/>
    <cellStyle name="Normal 2 2 3 2" xfId="1547" xr:uid="{00000000-0005-0000-0000-000042C00000}"/>
    <cellStyle name="Normal 2 2 3 2 2" xfId="1548" xr:uid="{00000000-0005-0000-0000-000043C00000}"/>
    <cellStyle name="Normal 2 2 3 2 2 2" xfId="18297" xr:uid="{00000000-0005-0000-0000-000044C00000}"/>
    <cellStyle name="Normal 2 2 3 2 2 2 2" xfId="34573" xr:uid="{00000000-0005-0000-0000-000045C00000}"/>
    <cellStyle name="Normal 2 2 3 2 2 2 3" xfId="49532" xr:uid="{00000000-0005-0000-0000-000046C00000}"/>
    <cellStyle name="Normal 2 2 3 2 2 3" xfId="27571" xr:uid="{00000000-0005-0000-0000-000047C00000}"/>
    <cellStyle name="Normal 2 2 3 2 2 4" xfId="42535" xr:uid="{00000000-0005-0000-0000-000048C00000}"/>
    <cellStyle name="Normal 2 2 3 2 2 5" xfId="10445" xr:uid="{00000000-0005-0000-0000-000049C00000}"/>
    <cellStyle name="Normal 2 2 3 2 3" xfId="1549" xr:uid="{00000000-0005-0000-0000-00004AC00000}"/>
    <cellStyle name="Normal 2 2 3 2 3 2" xfId="31716" xr:uid="{00000000-0005-0000-0000-00004BC00000}"/>
    <cellStyle name="Normal 2 2 3 2 3 3" xfId="46676" xr:uid="{00000000-0005-0000-0000-00004CC00000}"/>
    <cellStyle name="Normal 2 2 3 2 3 4" xfId="15437" xr:uid="{00000000-0005-0000-0000-00004DC00000}"/>
    <cellStyle name="Normal 2 2 3 2 4" xfId="1550" xr:uid="{00000000-0005-0000-0000-00004EC00000}"/>
    <cellStyle name="Normal 2 2 3 2 4 2" xfId="24714" xr:uid="{00000000-0005-0000-0000-00004FC00000}"/>
    <cellStyle name="Normal 2 2 3 2 5" xfId="39679" xr:uid="{00000000-0005-0000-0000-000050C00000}"/>
    <cellStyle name="Normal 2 2 3 2 6" xfId="7411" xr:uid="{00000000-0005-0000-0000-000051C00000}"/>
    <cellStyle name="Normal 2 2 3 3" xfId="1551" xr:uid="{00000000-0005-0000-0000-000052C00000}"/>
    <cellStyle name="Normal 2 2 3 3 2" xfId="16166" xr:uid="{00000000-0005-0000-0000-000053C00000}"/>
    <cellStyle name="Normal 2 2 3 3 2 2" xfId="32442" xr:uid="{00000000-0005-0000-0000-000054C00000}"/>
    <cellStyle name="Normal 2 2 3 3 2 3" xfId="47401" xr:uid="{00000000-0005-0000-0000-000055C00000}"/>
    <cellStyle name="Normal 2 2 3 3 3" xfId="25440" xr:uid="{00000000-0005-0000-0000-000056C00000}"/>
    <cellStyle name="Normal 2 2 3 3 4" xfId="40404" xr:uid="{00000000-0005-0000-0000-000057C00000}"/>
    <cellStyle name="Normal 2 2 3 3 5" xfId="8301" xr:uid="{00000000-0005-0000-0000-000058C00000}"/>
    <cellStyle name="Normal 2 2 3 4" xfId="1552" xr:uid="{00000000-0005-0000-0000-000059C00000}"/>
    <cellStyle name="Normal 2 2 3 4 2" xfId="31715" xr:uid="{00000000-0005-0000-0000-00005AC00000}"/>
    <cellStyle name="Normal 2 2 3 4 3" xfId="46675" xr:uid="{00000000-0005-0000-0000-00005BC00000}"/>
    <cellStyle name="Normal 2 2 3 4 4" xfId="15436" xr:uid="{00000000-0005-0000-0000-00005CC00000}"/>
    <cellStyle name="Normal 2 2 3 5" xfId="21158" xr:uid="{00000000-0005-0000-0000-00005DC00000}"/>
    <cellStyle name="Normal 2 2 3 5 2" xfId="36125" xr:uid="{00000000-0005-0000-0000-00005EC00000}"/>
    <cellStyle name="Normal 2 2 3 5 3" xfId="51081" xr:uid="{00000000-0005-0000-0000-00005FC00000}"/>
    <cellStyle name="Normal 2 2 3 6" xfId="24713" xr:uid="{00000000-0005-0000-0000-000060C00000}"/>
    <cellStyle name="Normal 2 2 3 7" xfId="39678" xr:uid="{00000000-0005-0000-0000-000061C00000}"/>
    <cellStyle name="Normal 2 2 3 8" xfId="7410" xr:uid="{00000000-0005-0000-0000-000062C00000}"/>
    <cellStyle name="Normal 2 2 4" xfId="1553" xr:uid="{00000000-0005-0000-0000-000063C00000}"/>
    <cellStyle name="Normal 2 2 4 2" xfId="1554" xr:uid="{00000000-0005-0000-0000-000064C00000}"/>
    <cellStyle name="Normal 2 2 4 2 2" xfId="1555" xr:uid="{00000000-0005-0000-0000-000065C00000}"/>
    <cellStyle name="Normal 2 2 5" xfId="1556" xr:uid="{00000000-0005-0000-0000-000066C00000}"/>
    <cellStyle name="Normal 2 2 5 2" xfId="1557" xr:uid="{00000000-0005-0000-0000-000067C00000}"/>
    <cellStyle name="Normal 2 2 5 2 2" xfId="1558" xr:uid="{00000000-0005-0000-0000-000068C00000}"/>
    <cellStyle name="Normal 2 2 5 2 2 2" xfId="28592" xr:uid="{00000000-0005-0000-0000-000069C00000}"/>
    <cellStyle name="Normal 2 2 5 2 3" xfId="43553" xr:uid="{00000000-0005-0000-0000-00006AC00000}"/>
    <cellStyle name="Normal 2 2 5 2 4" xfId="12313" xr:uid="{00000000-0005-0000-0000-00006BC00000}"/>
    <cellStyle name="Normal 2 2 5 3" xfId="21590" xr:uid="{00000000-0005-0000-0000-00006CC00000}"/>
    <cellStyle name="Normal 2 2 5 4" xfId="36556" xr:uid="{00000000-0005-0000-0000-00006DC00000}"/>
    <cellStyle name="Normal 2 2 5 5" xfId="3827" xr:uid="{00000000-0005-0000-0000-00006EC00000}"/>
    <cellStyle name="Normal 2 2 6" xfId="1559" xr:uid="{00000000-0005-0000-0000-00006FC00000}"/>
    <cellStyle name="Normal 2 2 6 2" xfId="1560" xr:uid="{00000000-0005-0000-0000-000070C00000}"/>
    <cellStyle name="Normal 2 2 6 2 2" xfId="1561" xr:uid="{00000000-0005-0000-0000-000071C00000}"/>
    <cellStyle name="Normal 2 2 7" xfId="1562" xr:uid="{00000000-0005-0000-0000-000072C00000}"/>
    <cellStyle name="Normal 2 2 8" xfId="1563" xr:uid="{00000000-0005-0000-0000-000073C00000}"/>
    <cellStyle name="Normal 2 2 9" xfId="1564" xr:uid="{00000000-0005-0000-0000-000074C00000}"/>
    <cellStyle name="Normal 2 3" xfId="1565" xr:uid="{00000000-0005-0000-0000-000075C00000}"/>
    <cellStyle name="Normal 2 3 10" xfId="19644" xr:uid="{00000000-0005-0000-0000-000076C00000}"/>
    <cellStyle name="Normal 2 3 11" xfId="21498" xr:uid="{00000000-0005-0000-0000-000077C00000}"/>
    <cellStyle name="Normal 2 3 12" xfId="36465" xr:uid="{00000000-0005-0000-0000-000078C00000}"/>
    <cellStyle name="Normal 2 3 13" xfId="51403" xr:uid="{00000000-0005-0000-0000-000079C00000}"/>
    <cellStyle name="Normal 2 3 14" xfId="51808" xr:uid="{00000000-0005-0000-0000-00007AC00000}"/>
    <cellStyle name="Normal 2 3 15" xfId="52217" xr:uid="{00000000-0005-0000-0000-00007BC00000}"/>
    <cellStyle name="Normal 2 3 16" xfId="52622" xr:uid="{00000000-0005-0000-0000-00007CC00000}"/>
    <cellStyle name="Normal 2 3 2" xfId="1566" xr:uid="{00000000-0005-0000-0000-00007DC00000}"/>
    <cellStyle name="Normal 2 3 2 2" xfId="1567" xr:uid="{00000000-0005-0000-0000-00007EC00000}"/>
    <cellStyle name="Normal 2 3 2 2 2" xfId="1568" xr:uid="{00000000-0005-0000-0000-00007FC00000}"/>
    <cellStyle name="Normal 2 3 2 2 2 2" xfId="17903" xr:uid="{00000000-0005-0000-0000-000080C00000}"/>
    <cellStyle name="Normal 2 3 2 2 2 2 2" xfId="34179" xr:uid="{00000000-0005-0000-0000-000081C00000}"/>
    <cellStyle name="Normal 2 3 2 2 2 2 3" xfId="49138" xr:uid="{00000000-0005-0000-0000-000082C00000}"/>
    <cellStyle name="Normal 2 3 2 2 2 3" xfId="27177" xr:uid="{00000000-0005-0000-0000-000083C00000}"/>
    <cellStyle name="Normal 2 3 2 2 2 4" xfId="42141" xr:uid="{00000000-0005-0000-0000-000084C00000}"/>
    <cellStyle name="Normal 2 3 2 2 2 5" xfId="10048" xr:uid="{00000000-0005-0000-0000-000085C00000}"/>
    <cellStyle name="Normal 2 3 2 2 3" xfId="15440" xr:uid="{00000000-0005-0000-0000-000086C00000}"/>
    <cellStyle name="Normal 2 3 2 2 3 2" xfId="31719" xr:uid="{00000000-0005-0000-0000-000087C00000}"/>
    <cellStyle name="Normal 2 3 2 2 3 3" xfId="46679" xr:uid="{00000000-0005-0000-0000-000088C00000}"/>
    <cellStyle name="Normal 2 3 2 2 4" xfId="24717" xr:uid="{00000000-0005-0000-0000-000089C00000}"/>
    <cellStyle name="Normal 2 3 2 2 5" xfId="39682" xr:uid="{00000000-0005-0000-0000-00008AC00000}"/>
    <cellStyle name="Normal 2 3 2 3" xfId="1569" xr:uid="{00000000-0005-0000-0000-00008BC00000}"/>
    <cellStyle name="Normal 2 3 2 3 2" xfId="9286" xr:uid="{00000000-0005-0000-0000-00008CC00000}"/>
    <cellStyle name="Normal 2 3 2 3 2 2" xfId="17150" xr:uid="{00000000-0005-0000-0000-00008DC00000}"/>
    <cellStyle name="Normal 2 3 2 3 2 2 2" xfId="33426" xr:uid="{00000000-0005-0000-0000-00008EC00000}"/>
    <cellStyle name="Normal 2 3 2 3 2 2 3" xfId="48385" xr:uid="{00000000-0005-0000-0000-00008FC00000}"/>
    <cellStyle name="Normal 2 3 2 3 2 3" xfId="26424" xr:uid="{00000000-0005-0000-0000-000090C00000}"/>
    <cellStyle name="Normal 2 3 2 3 2 4" xfId="41388" xr:uid="{00000000-0005-0000-0000-000091C00000}"/>
    <cellStyle name="Normal 2 3 2 3 3" xfId="15441" xr:uid="{00000000-0005-0000-0000-000092C00000}"/>
    <cellStyle name="Normal 2 3 2 3 3 2" xfId="31720" xr:uid="{00000000-0005-0000-0000-000093C00000}"/>
    <cellStyle name="Normal 2 3 2 3 3 3" xfId="46680" xr:uid="{00000000-0005-0000-0000-000094C00000}"/>
    <cellStyle name="Normal 2 3 2 3 4" xfId="24718" xr:uid="{00000000-0005-0000-0000-000095C00000}"/>
    <cellStyle name="Normal 2 3 2 3 5" xfId="39683" xr:uid="{00000000-0005-0000-0000-000096C00000}"/>
    <cellStyle name="Normal 2 3 2 3 6" xfId="7413" xr:uid="{00000000-0005-0000-0000-000097C00000}"/>
    <cellStyle name="Normal 2 3 2 4" xfId="1570" xr:uid="{00000000-0005-0000-0000-000098C00000}"/>
    <cellStyle name="Normal 2 3 2 4 2" xfId="16168" xr:uid="{00000000-0005-0000-0000-000099C00000}"/>
    <cellStyle name="Normal 2 3 2 4 2 2" xfId="32444" xr:uid="{00000000-0005-0000-0000-00009AC00000}"/>
    <cellStyle name="Normal 2 3 2 4 2 3" xfId="47403" xr:uid="{00000000-0005-0000-0000-00009BC00000}"/>
    <cellStyle name="Normal 2 3 2 4 3" xfId="25442" xr:uid="{00000000-0005-0000-0000-00009CC00000}"/>
    <cellStyle name="Normal 2 3 2 4 4" xfId="40406" xr:uid="{00000000-0005-0000-0000-00009DC00000}"/>
    <cellStyle name="Normal 2 3 2 5" xfId="15439" xr:uid="{00000000-0005-0000-0000-00009EC00000}"/>
    <cellStyle name="Normal 2 3 2 5 2" xfId="31718" xr:uid="{00000000-0005-0000-0000-00009FC00000}"/>
    <cellStyle name="Normal 2 3 2 5 3" xfId="46678" xr:uid="{00000000-0005-0000-0000-0000A0C00000}"/>
    <cellStyle name="Normal 2 3 2 6" xfId="24716" xr:uid="{00000000-0005-0000-0000-0000A1C00000}"/>
    <cellStyle name="Normal 2 3 2 7" xfId="39681" xr:uid="{00000000-0005-0000-0000-0000A2C00000}"/>
    <cellStyle name="Normal 2 3 3" xfId="1571" xr:uid="{00000000-0005-0000-0000-0000A3C00000}"/>
    <cellStyle name="Normal 2 3 3 2" xfId="1572" xr:uid="{00000000-0005-0000-0000-0000A4C00000}"/>
    <cellStyle name="Normal 2 3 3 2 2" xfId="17667" xr:uid="{00000000-0005-0000-0000-0000A5C00000}"/>
    <cellStyle name="Normal 2 3 3 2 2 2" xfId="33943" xr:uid="{00000000-0005-0000-0000-0000A6C00000}"/>
    <cellStyle name="Normal 2 3 3 2 2 3" xfId="48902" xr:uid="{00000000-0005-0000-0000-0000A7C00000}"/>
    <cellStyle name="Normal 2 3 3 2 3" xfId="26941" xr:uid="{00000000-0005-0000-0000-0000A8C00000}"/>
    <cellStyle name="Normal 2 3 3 2 4" xfId="41905" xr:uid="{00000000-0005-0000-0000-0000A9C00000}"/>
    <cellStyle name="Normal 2 3 3 3" xfId="1573" xr:uid="{00000000-0005-0000-0000-0000AAC00000}"/>
    <cellStyle name="Normal 2 3 3 3 2" xfId="31721" xr:uid="{00000000-0005-0000-0000-0000ABC00000}"/>
    <cellStyle name="Normal 2 3 3 3 3" xfId="46681" xr:uid="{00000000-0005-0000-0000-0000ACC00000}"/>
    <cellStyle name="Normal 2 3 3 4" xfId="1574" xr:uid="{00000000-0005-0000-0000-0000ADC00000}"/>
    <cellStyle name="Normal 2 3 3 4 2" xfId="24719" xr:uid="{00000000-0005-0000-0000-0000AEC00000}"/>
    <cellStyle name="Normal 2 3 3 5" xfId="39684" xr:uid="{00000000-0005-0000-0000-0000AFC00000}"/>
    <cellStyle name="Normal 2 3 4" xfId="1575" xr:uid="{00000000-0005-0000-0000-0000B0C00000}"/>
    <cellStyle name="Normal 2 3 4 2" xfId="1576" xr:uid="{00000000-0005-0000-0000-0000B1C00000}"/>
    <cellStyle name="Normal 2 3 4 2 2" xfId="16907" xr:uid="{00000000-0005-0000-0000-0000B2C00000}"/>
    <cellStyle name="Normal 2 3 4 2 2 2" xfId="33183" xr:uid="{00000000-0005-0000-0000-0000B3C00000}"/>
    <cellStyle name="Normal 2 3 4 2 2 3" xfId="48142" xr:uid="{00000000-0005-0000-0000-0000B4C00000}"/>
    <cellStyle name="Normal 2 3 4 2 3" xfId="26181" xr:uid="{00000000-0005-0000-0000-0000B5C00000}"/>
    <cellStyle name="Normal 2 3 4 2 4" xfId="41145" xr:uid="{00000000-0005-0000-0000-0000B6C00000}"/>
    <cellStyle name="Normal 2 3 4 2 5" xfId="9043" xr:uid="{00000000-0005-0000-0000-0000B7C00000}"/>
    <cellStyle name="Normal 2 3 4 3" xfId="15442" xr:uid="{00000000-0005-0000-0000-0000B8C00000}"/>
    <cellStyle name="Normal 2 3 4 3 2" xfId="31722" xr:uid="{00000000-0005-0000-0000-0000B9C00000}"/>
    <cellStyle name="Normal 2 3 4 3 3" xfId="46682" xr:uid="{00000000-0005-0000-0000-0000BAC00000}"/>
    <cellStyle name="Normal 2 3 4 4" xfId="24720" xr:uid="{00000000-0005-0000-0000-0000BBC00000}"/>
    <cellStyle name="Normal 2 3 4 5" xfId="39685" xr:uid="{00000000-0005-0000-0000-0000BCC00000}"/>
    <cellStyle name="Normal 2 3 5" xfId="1577" xr:uid="{00000000-0005-0000-0000-0000BDC00000}"/>
    <cellStyle name="Normal 2 3 5 2" xfId="16167" xr:uid="{00000000-0005-0000-0000-0000BEC00000}"/>
    <cellStyle name="Normal 2 3 5 2 2" xfId="32443" xr:uid="{00000000-0005-0000-0000-0000BFC00000}"/>
    <cellStyle name="Normal 2 3 5 2 3" xfId="47402" xr:uid="{00000000-0005-0000-0000-0000C0C00000}"/>
    <cellStyle name="Normal 2 3 5 3" xfId="25441" xr:uid="{00000000-0005-0000-0000-0000C1C00000}"/>
    <cellStyle name="Normal 2 3 5 4" xfId="40405" xr:uid="{00000000-0005-0000-0000-0000C2C00000}"/>
    <cellStyle name="Normal 2 3 5 5" xfId="8302" xr:uid="{00000000-0005-0000-0000-0000C3C00000}"/>
    <cellStyle name="Normal 2 3 6" xfId="1578" xr:uid="{00000000-0005-0000-0000-0000C4C00000}"/>
    <cellStyle name="Normal 2 3 6 2" xfId="15438" xr:uid="{00000000-0005-0000-0000-0000C5C00000}"/>
    <cellStyle name="Normal 2 3 6 2 2" xfId="31717" xr:uid="{00000000-0005-0000-0000-0000C6C00000}"/>
    <cellStyle name="Normal 2 3 6 2 3" xfId="46677" xr:uid="{00000000-0005-0000-0000-0000C7C00000}"/>
    <cellStyle name="Normal 2 3 6 3" xfId="24715" xr:uid="{00000000-0005-0000-0000-0000C8C00000}"/>
    <cellStyle name="Normal 2 3 6 4" xfId="39680" xr:uid="{00000000-0005-0000-0000-0000C9C00000}"/>
    <cellStyle name="Normal 2 3 6 5" xfId="7412" xr:uid="{00000000-0005-0000-0000-0000CAC00000}"/>
    <cellStyle name="Normal 2 3 7" xfId="1579" xr:uid="{00000000-0005-0000-0000-0000CBC00000}"/>
    <cellStyle name="Normal 2 3 7 2" xfId="18872" xr:uid="{00000000-0005-0000-0000-0000CCC00000}"/>
    <cellStyle name="Normal 2 3 7 2 2" xfId="35151" xr:uid="{00000000-0005-0000-0000-0000CDC00000}"/>
    <cellStyle name="Normal 2 3 7 2 3" xfId="50110" xr:uid="{00000000-0005-0000-0000-0000CEC00000}"/>
    <cellStyle name="Normal 2 3 7 3" xfId="28141" xr:uid="{00000000-0005-0000-0000-0000CFC00000}"/>
    <cellStyle name="Normal 2 3 7 4" xfId="43111" xr:uid="{00000000-0005-0000-0000-0000D0C00000}"/>
    <cellStyle name="Normal 2 3 8" xfId="11656" xr:uid="{00000000-0005-0000-0000-0000D1C00000}"/>
    <cellStyle name="Normal 2 3 9" xfId="12220" xr:uid="{00000000-0005-0000-0000-0000D2C00000}"/>
    <cellStyle name="Normal 2 3 9 2" xfId="28498" xr:uid="{00000000-0005-0000-0000-0000D3C00000}"/>
    <cellStyle name="Normal 2 3 9 3" xfId="43461" xr:uid="{00000000-0005-0000-0000-0000D4C00000}"/>
    <cellStyle name="Normal 2 34" xfId="1580" xr:uid="{00000000-0005-0000-0000-0000D5C00000}"/>
    <cellStyle name="Normal 2 4" xfId="1581" xr:uid="{00000000-0005-0000-0000-0000D6C00000}"/>
    <cellStyle name="Normal 2 4 2" xfId="1582" xr:uid="{00000000-0005-0000-0000-0000D7C00000}"/>
    <cellStyle name="Normal 2 4 2 2" xfId="1583" xr:uid="{00000000-0005-0000-0000-0000D8C00000}"/>
    <cellStyle name="Normal 2 4 2 2 2" xfId="18257" xr:uid="{00000000-0005-0000-0000-0000D9C00000}"/>
    <cellStyle name="Normal 2 4 2 2 2 2" xfId="34533" xr:uid="{00000000-0005-0000-0000-0000DAC00000}"/>
    <cellStyle name="Normal 2 4 2 2 2 3" xfId="49492" xr:uid="{00000000-0005-0000-0000-0000DBC00000}"/>
    <cellStyle name="Normal 2 4 2 2 3" xfId="27531" xr:uid="{00000000-0005-0000-0000-0000DCC00000}"/>
    <cellStyle name="Normal 2 4 2 2 4" xfId="42495" xr:uid="{00000000-0005-0000-0000-0000DDC00000}"/>
    <cellStyle name="Normal 2 4 2 2 5" xfId="10402" xr:uid="{00000000-0005-0000-0000-0000DEC00000}"/>
    <cellStyle name="Normal 2 4 2 3" xfId="1584" xr:uid="{00000000-0005-0000-0000-0000DFC00000}"/>
    <cellStyle name="Normal 2 4 2 3 2" xfId="31724" xr:uid="{00000000-0005-0000-0000-0000E0C00000}"/>
    <cellStyle name="Normal 2 4 2 3 3" xfId="46684" xr:uid="{00000000-0005-0000-0000-0000E1C00000}"/>
    <cellStyle name="Normal 2 4 2 3 4" xfId="15444" xr:uid="{00000000-0005-0000-0000-0000E2C00000}"/>
    <cellStyle name="Normal 2 4 2 4" xfId="1585" xr:uid="{00000000-0005-0000-0000-0000E3C00000}"/>
    <cellStyle name="Normal 2 4 2 4 2" xfId="20660" xr:uid="{00000000-0005-0000-0000-0000E4C00000}"/>
    <cellStyle name="Normal 2 4 2 5" xfId="24722" xr:uid="{00000000-0005-0000-0000-0000E5C00000}"/>
    <cellStyle name="Normal 2 4 2 6" xfId="39687" xr:uid="{00000000-0005-0000-0000-0000E6C00000}"/>
    <cellStyle name="Normal 2 4 3" xfId="1586" xr:uid="{00000000-0005-0000-0000-0000E7C00000}"/>
    <cellStyle name="Normal 2 4 3 2" xfId="9680" xr:uid="{00000000-0005-0000-0000-0000E8C00000}"/>
    <cellStyle name="Normal 2 4 3 2 2" xfId="17543" xr:uid="{00000000-0005-0000-0000-0000E9C00000}"/>
    <cellStyle name="Normal 2 4 3 2 2 2" xfId="33819" xr:uid="{00000000-0005-0000-0000-0000EAC00000}"/>
    <cellStyle name="Normal 2 4 3 2 2 3" xfId="48778" xr:uid="{00000000-0005-0000-0000-0000EBC00000}"/>
    <cellStyle name="Normal 2 4 3 2 3" xfId="26817" xr:uid="{00000000-0005-0000-0000-0000ECC00000}"/>
    <cellStyle name="Normal 2 4 3 2 4" xfId="41781" xr:uid="{00000000-0005-0000-0000-0000EDC00000}"/>
    <cellStyle name="Normal 2 4 3 3" xfId="15445" xr:uid="{00000000-0005-0000-0000-0000EEC00000}"/>
    <cellStyle name="Normal 2 4 3 3 2" xfId="31725" xr:uid="{00000000-0005-0000-0000-0000EFC00000}"/>
    <cellStyle name="Normal 2 4 3 3 3" xfId="46685" xr:uid="{00000000-0005-0000-0000-0000F0C00000}"/>
    <cellStyle name="Normal 2 4 3 4" xfId="24723" xr:uid="{00000000-0005-0000-0000-0000F1C00000}"/>
    <cellStyle name="Normal 2 4 3 5" xfId="39688" xr:uid="{00000000-0005-0000-0000-0000F2C00000}"/>
    <cellStyle name="Normal 2 4 3 6" xfId="7415" xr:uid="{00000000-0005-0000-0000-0000F3C00000}"/>
    <cellStyle name="Normal 2 4 4" xfId="1587" xr:uid="{00000000-0005-0000-0000-0000F4C00000}"/>
    <cellStyle name="Normal 2 4 4 2" xfId="16169" xr:uid="{00000000-0005-0000-0000-0000F5C00000}"/>
    <cellStyle name="Normal 2 4 4 2 2" xfId="32445" xr:uid="{00000000-0005-0000-0000-0000F6C00000}"/>
    <cellStyle name="Normal 2 4 4 2 3" xfId="47404" xr:uid="{00000000-0005-0000-0000-0000F7C00000}"/>
    <cellStyle name="Normal 2 4 4 3" xfId="25443" xr:uid="{00000000-0005-0000-0000-0000F8C00000}"/>
    <cellStyle name="Normal 2 4 4 4" xfId="40407" xr:uid="{00000000-0005-0000-0000-0000F9C00000}"/>
    <cellStyle name="Normal 2 4 5" xfId="7414" xr:uid="{00000000-0005-0000-0000-0000FAC00000}"/>
    <cellStyle name="Normal 2 4 5 2" xfId="15443" xr:uid="{00000000-0005-0000-0000-0000FBC00000}"/>
    <cellStyle name="Normal 2 4 5 2 2" xfId="31723" xr:uid="{00000000-0005-0000-0000-0000FCC00000}"/>
    <cellStyle name="Normal 2 4 5 2 3" xfId="46683" xr:uid="{00000000-0005-0000-0000-0000FDC00000}"/>
    <cellStyle name="Normal 2 4 5 3" xfId="24721" xr:uid="{00000000-0005-0000-0000-0000FEC00000}"/>
    <cellStyle name="Normal 2 4 5 4" xfId="39686" xr:uid="{00000000-0005-0000-0000-0000FFC00000}"/>
    <cellStyle name="Normal 2 5" xfId="1588" xr:uid="{00000000-0005-0000-0000-000000C10000}"/>
    <cellStyle name="Normal 2 5 2" xfId="1589" xr:uid="{00000000-0005-0000-0000-000001C10000}"/>
    <cellStyle name="Normal 2 5 2 2" xfId="1590" xr:uid="{00000000-0005-0000-0000-000002C10000}"/>
    <cellStyle name="Normal 2 5 2 3" xfId="1591" xr:uid="{00000000-0005-0000-0000-000003C10000}"/>
    <cellStyle name="Normal 2 5 2 4" xfId="1592" xr:uid="{00000000-0005-0000-0000-000004C10000}"/>
    <cellStyle name="Normal 2 5 3" xfId="1593" xr:uid="{00000000-0005-0000-0000-000005C10000}"/>
    <cellStyle name="Normal 2 5 4" xfId="1594" xr:uid="{00000000-0005-0000-0000-000006C10000}"/>
    <cellStyle name="Normal 2 6" xfId="1595" xr:uid="{00000000-0005-0000-0000-000007C10000}"/>
    <cellStyle name="Normal 2 6 2" xfId="1596" xr:uid="{00000000-0005-0000-0000-000008C10000}"/>
    <cellStyle name="Normal 2 6 2 2" xfId="1597" xr:uid="{00000000-0005-0000-0000-000009C10000}"/>
    <cellStyle name="Normal 2 6 2 2 2" xfId="18653" xr:uid="{00000000-0005-0000-0000-00000AC10000}"/>
    <cellStyle name="Normal 2 6 2 2 2 2" xfId="34929" xr:uid="{00000000-0005-0000-0000-00000BC10000}"/>
    <cellStyle name="Normal 2 6 2 2 2 3" xfId="49888" xr:uid="{00000000-0005-0000-0000-00000CC10000}"/>
    <cellStyle name="Normal 2 6 2 2 3" xfId="27927" xr:uid="{00000000-0005-0000-0000-00000DC10000}"/>
    <cellStyle name="Normal 2 6 2 2 4" xfId="42891" xr:uid="{00000000-0005-0000-0000-00000EC10000}"/>
    <cellStyle name="Normal 2 6 2 2 5" xfId="10812" xr:uid="{00000000-0005-0000-0000-00000FC10000}"/>
    <cellStyle name="Normal 2 6 2 3" xfId="15446" xr:uid="{00000000-0005-0000-0000-000010C10000}"/>
    <cellStyle name="Normal 2 6 2 3 2" xfId="31727" xr:uid="{00000000-0005-0000-0000-000011C10000}"/>
    <cellStyle name="Normal 2 6 2 3 3" xfId="46687" xr:uid="{00000000-0005-0000-0000-000012C10000}"/>
    <cellStyle name="Normal 2 6 2 4" xfId="24725" xr:uid="{00000000-0005-0000-0000-000013C10000}"/>
    <cellStyle name="Normal 2 6 2 5" xfId="39690" xr:uid="{00000000-0005-0000-0000-000014C10000}"/>
    <cellStyle name="Normal 2 6 2 6" xfId="7416" xr:uid="{00000000-0005-0000-0000-000015C10000}"/>
    <cellStyle name="Normal 2 6 3" xfId="1598" xr:uid="{00000000-0005-0000-0000-000016C10000}"/>
    <cellStyle name="Normal 2 6 3 2" xfId="16165" xr:uid="{00000000-0005-0000-0000-000017C10000}"/>
    <cellStyle name="Normal 2 6 3 2 2" xfId="32441" xr:uid="{00000000-0005-0000-0000-000018C10000}"/>
    <cellStyle name="Normal 2 6 3 2 3" xfId="47400" xr:uid="{00000000-0005-0000-0000-000019C10000}"/>
    <cellStyle name="Normal 2 6 3 3" xfId="25439" xr:uid="{00000000-0005-0000-0000-00001AC10000}"/>
    <cellStyle name="Normal 2 6 3 4" xfId="40403" xr:uid="{00000000-0005-0000-0000-00001BC10000}"/>
    <cellStyle name="Normal 2 6 3 5" xfId="8300" xr:uid="{00000000-0005-0000-0000-00001CC10000}"/>
    <cellStyle name="Normal 2 6 4" xfId="1599" xr:uid="{00000000-0005-0000-0000-00001DC10000}"/>
    <cellStyle name="Normal 2 6 4 2" xfId="31726" xr:uid="{00000000-0005-0000-0000-00001EC10000}"/>
    <cellStyle name="Normal 2 6 4 3" xfId="46686" xr:uid="{00000000-0005-0000-0000-00001FC10000}"/>
    <cellStyle name="Normal 2 6 5" xfId="24724" xr:uid="{00000000-0005-0000-0000-000020C10000}"/>
    <cellStyle name="Normal 2 6 6" xfId="39689" xr:uid="{00000000-0005-0000-0000-000021C10000}"/>
    <cellStyle name="Normal 2 7" xfId="1600" xr:uid="{00000000-0005-0000-0000-000022C10000}"/>
    <cellStyle name="Normal 2 7 2" xfId="1601" xr:uid="{00000000-0005-0000-0000-000023C10000}"/>
    <cellStyle name="Normal 2 7 2 2" xfId="1602" xr:uid="{00000000-0005-0000-0000-000024C10000}"/>
    <cellStyle name="Normal 2 7 3" xfId="1603" xr:uid="{00000000-0005-0000-0000-000025C10000}"/>
    <cellStyle name="Normal 2 7 4" xfId="1604" xr:uid="{00000000-0005-0000-0000-000026C10000}"/>
    <cellStyle name="Normal 2 7 5" xfId="7417" xr:uid="{00000000-0005-0000-0000-000027C10000}"/>
    <cellStyle name="Normal 2 8" xfId="1605" xr:uid="{00000000-0005-0000-0000-000028C10000}"/>
    <cellStyle name="Normal 2 8 2" xfId="1606" xr:uid="{00000000-0005-0000-0000-000029C10000}"/>
    <cellStyle name="Normal 2 8 2 2" xfId="1607" xr:uid="{00000000-0005-0000-0000-00002AC10000}"/>
    <cellStyle name="Normal 2 8 2 2 2" xfId="31714" xr:uid="{00000000-0005-0000-0000-00002BC10000}"/>
    <cellStyle name="Normal 2 8 2 3" xfId="46674" xr:uid="{00000000-0005-0000-0000-00002CC10000}"/>
    <cellStyle name="Normal 2 8 2 4" xfId="15435" xr:uid="{00000000-0005-0000-0000-00002DC10000}"/>
    <cellStyle name="Normal 2 8 3" xfId="24712" xr:uid="{00000000-0005-0000-0000-00002EC10000}"/>
    <cellStyle name="Normal 2 8 4" xfId="39677" xr:uid="{00000000-0005-0000-0000-00002FC10000}"/>
    <cellStyle name="Normal 2 8 5" xfId="7406" xr:uid="{00000000-0005-0000-0000-000030C10000}"/>
    <cellStyle name="Normal 2 9" xfId="1608" xr:uid="{00000000-0005-0000-0000-000031C10000}"/>
    <cellStyle name="Normal 2 9 2" xfId="1609" xr:uid="{00000000-0005-0000-0000-000032C10000}"/>
    <cellStyle name="Normal 2 9 2 2" xfId="1610" xr:uid="{00000000-0005-0000-0000-000033C10000}"/>
    <cellStyle name="Normal 2 9 2 2 2" xfId="28585" xr:uid="{00000000-0005-0000-0000-000034C10000}"/>
    <cellStyle name="Normal 2 9 2 3" xfId="43546" xr:uid="{00000000-0005-0000-0000-000035C10000}"/>
    <cellStyle name="Normal 2 9 2 4" xfId="12306" xr:uid="{00000000-0005-0000-0000-000036C10000}"/>
    <cellStyle name="Normal 2 9 3" xfId="21583" xr:uid="{00000000-0005-0000-0000-000037C10000}"/>
    <cellStyle name="Normal 2 9 4" xfId="36549" xr:uid="{00000000-0005-0000-0000-000038C10000}"/>
    <cellStyle name="Normal 2 9 5" xfId="3821" xr:uid="{00000000-0005-0000-0000-000039C10000}"/>
    <cellStyle name="Normal 20" xfId="1611" xr:uid="{00000000-0005-0000-0000-00003AC10000}"/>
    <cellStyle name="Normal 20 2" xfId="10823" xr:uid="{00000000-0005-0000-0000-00003BC10000}"/>
    <cellStyle name="Normal 20 2 2" xfId="11110" xr:uid="{00000000-0005-0000-0000-00003CC10000}"/>
    <cellStyle name="Normal 20 3" xfId="11075" xr:uid="{00000000-0005-0000-0000-00003DC10000}"/>
    <cellStyle name="Normal 20 4" xfId="7418" xr:uid="{00000000-0005-0000-0000-00003EC10000}"/>
    <cellStyle name="Normal 209 2" xfId="1612" xr:uid="{00000000-0005-0000-0000-00003FC10000}"/>
    <cellStyle name="Normal 209 2 2" xfId="1613" xr:uid="{00000000-0005-0000-0000-000040C10000}"/>
    <cellStyle name="Normal 209 2 3" xfId="1614" xr:uid="{00000000-0005-0000-0000-000041C10000}"/>
    <cellStyle name="Normal 21" xfId="1615" xr:uid="{00000000-0005-0000-0000-000042C10000}"/>
    <cellStyle name="Normal 21 2" xfId="1616" xr:uid="{00000000-0005-0000-0000-000043C10000}"/>
    <cellStyle name="Normal 21 2 2" xfId="11048" xr:uid="{00000000-0005-0000-0000-000044C10000}"/>
    <cellStyle name="Normal 21 3" xfId="1617" xr:uid="{00000000-0005-0000-0000-000045C10000}"/>
    <cellStyle name="Normal 21 4" xfId="3828" xr:uid="{00000000-0005-0000-0000-000046C10000}"/>
    <cellStyle name="Normal 22" xfId="1618" xr:uid="{00000000-0005-0000-0000-000047C10000}"/>
    <cellStyle name="Normal 22 2" xfId="18845" xr:uid="{00000000-0005-0000-0000-000048C10000}"/>
    <cellStyle name="Normal 22 2 2" xfId="35121" xr:uid="{00000000-0005-0000-0000-000049C10000}"/>
    <cellStyle name="Normal 22 2 3" xfId="50080" xr:uid="{00000000-0005-0000-0000-00004AC10000}"/>
    <cellStyle name="Normal 22 3" xfId="28119" xr:uid="{00000000-0005-0000-0000-00004BC10000}"/>
    <cellStyle name="Normal 22 4" xfId="43083" xr:uid="{00000000-0005-0000-0000-00004CC10000}"/>
    <cellStyle name="Normal 23" xfId="1619" xr:uid="{00000000-0005-0000-0000-00004DC10000}"/>
    <cellStyle name="Normal 23 2" xfId="11111" xr:uid="{00000000-0005-0000-0000-00004EC10000}"/>
    <cellStyle name="Normal 23 3" xfId="3816" xr:uid="{00000000-0005-0000-0000-00004FC10000}"/>
    <cellStyle name="Normal 24" xfId="1620" xr:uid="{00000000-0005-0000-0000-000050C10000}"/>
    <cellStyle name="Normal 24 2" xfId="11115" xr:uid="{00000000-0005-0000-0000-000051C10000}"/>
    <cellStyle name="Normal 24 3" xfId="11045" xr:uid="{00000000-0005-0000-0000-000052C10000}"/>
    <cellStyle name="Normal 25" xfId="1621" xr:uid="{00000000-0005-0000-0000-000053C10000}"/>
    <cellStyle name="Normal 25 2" xfId="11112" xr:uid="{00000000-0005-0000-0000-000054C10000}"/>
    <cellStyle name="Normal 26" xfId="1622" xr:uid="{00000000-0005-0000-0000-000055C10000}"/>
    <cellStyle name="Normal 26 2" xfId="12303" xr:uid="{00000000-0005-0000-0000-000056C10000}"/>
    <cellStyle name="Normal 26 2 2" xfId="28581" xr:uid="{00000000-0005-0000-0000-000057C10000}"/>
    <cellStyle name="Normal 26 2 3" xfId="43542" xr:uid="{00000000-0005-0000-0000-000058C10000}"/>
    <cellStyle name="Normal 26 3" xfId="21580" xr:uid="{00000000-0005-0000-0000-000059C10000}"/>
    <cellStyle name="Normal 26 4" xfId="36546" xr:uid="{00000000-0005-0000-0000-00005AC10000}"/>
    <cellStyle name="Normal 27" xfId="1623" xr:uid="{00000000-0005-0000-0000-00005BC10000}"/>
    <cellStyle name="Normal 27 2" xfId="18891" xr:uid="{00000000-0005-0000-0000-00005CC10000}"/>
    <cellStyle name="Normal 27 2 2" xfId="35170" xr:uid="{00000000-0005-0000-0000-00005DC10000}"/>
    <cellStyle name="Normal 27 2 3" xfId="50129" xr:uid="{00000000-0005-0000-0000-00005EC10000}"/>
    <cellStyle name="Normal 27 3" xfId="28160" xr:uid="{00000000-0005-0000-0000-00005FC10000}"/>
    <cellStyle name="Normal 27 4" xfId="43130" xr:uid="{00000000-0005-0000-0000-000060C10000}"/>
    <cellStyle name="Normal 27 5" xfId="11141" xr:uid="{00000000-0005-0000-0000-000061C10000}"/>
    <cellStyle name="Normal 28" xfId="1624" xr:uid="{00000000-0005-0000-0000-000062C10000}"/>
    <cellStyle name="Normal 28 2" xfId="1625" xr:uid="{00000000-0005-0000-0000-000063C10000}"/>
    <cellStyle name="Normal 28 3" xfId="11891" xr:uid="{00000000-0005-0000-0000-000064C10000}"/>
    <cellStyle name="Normal 29" xfId="1626" xr:uid="{00000000-0005-0000-0000-000065C10000}"/>
    <cellStyle name="Normal 29 2" xfId="28166" xr:uid="{00000000-0005-0000-0000-000066C10000}"/>
    <cellStyle name="Normal 29 3" xfId="43135" xr:uid="{00000000-0005-0000-0000-000067C10000}"/>
    <cellStyle name="Normal 29 4" xfId="11879" xr:uid="{00000000-0005-0000-0000-000068C10000}"/>
    <cellStyle name="Normal 3" xfId="1627" xr:uid="{00000000-0005-0000-0000-000069C10000}"/>
    <cellStyle name="Normal 3 10" xfId="11881" xr:uid="{00000000-0005-0000-0000-00006AC10000}"/>
    <cellStyle name="Normal 3 10 2" xfId="28167" xr:uid="{00000000-0005-0000-0000-00006BC10000}"/>
    <cellStyle name="Normal 3 10 3" xfId="43136" xr:uid="{00000000-0005-0000-0000-00006CC10000}"/>
    <cellStyle name="Normal 3 11" xfId="19645" xr:uid="{00000000-0005-0000-0000-00006DC10000}"/>
    <cellStyle name="Normal 3 12" xfId="21488" xr:uid="{00000000-0005-0000-0000-00006EC10000}"/>
    <cellStyle name="Normal 3 13" xfId="36459" xr:uid="{00000000-0005-0000-0000-00006FC10000}"/>
    <cellStyle name="Normal 3 14" xfId="51396" xr:uid="{00000000-0005-0000-0000-000070C10000}"/>
    <cellStyle name="Normal 3 15" xfId="51790" xr:uid="{00000000-0005-0000-0000-000071C10000}"/>
    <cellStyle name="Normal 3 16" xfId="52196" xr:uid="{00000000-0005-0000-0000-000072C10000}"/>
    <cellStyle name="Normal 3 17" xfId="52604" xr:uid="{00000000-0005-0000-0000-000073C10000}"/>
    <cellStyle name="Normal 3 2" xfId="1628" xr:uid="{00000000-0005-0000-0000-000074C10000}"/>
    <cellStyle name="Normal 3 2 10" xfId="21489" xr:uid="{00000000-0005-0000-0000-000075C10000}"/>
    <cellStyle name="Normal 3 2 11" xfId="36460" xr:uid="{00000000-0005-0000-0000-000076C10000}"/>
    <cellStyle name="Normal 3 2 12" xfId="51397" xr:uid="{00000000-0005-0000-0000-000077C10000}"/>
    <cellStyle name="Normal 3 2 13" xfId="51791" xr:uid="{00000000-0005-0000-0000-000078C10000}"/>
    <cellStyle name="Normal 3 2 14" xfId="52197" xr:uid="{00000000-0005-0000-0000-000079C10000}"/>
    <cellStyle name="Normal 3 2 15" xfId="52605" xr:uid="{00000000-0005-0000-0000-00007AC10000}"/>
    <cellStyle name="Normal 3 2 2" xfId="1629" xr:uid="{00000000-0005-0000-0000-00007BC10000}"/>
    <cellStyle name="Normal 3 2 2 10" xfId="52198" xr:uid="{00000000-0005-0000-0000-00007CC10000}"/>
    <cellStyle name="Normal 3 2 2 11" xfId="52606" xr:uid="{00000000-0005-0000-0000-00007DC10000}"/>
    <cellStyle name="Normal 3 2 2 2" xfId="1630" xr:uid="{00000000-0005-0000-0000-00007EC10000}"/>
    <cellStyle name="Normal 3 2 2 2 10" xfId="52699" xr:uid="{00000000-0005-0000-0000-00007FC10000}"/>
    <cellStyle name="Normal 3 2 2 2 2" xfId="1631" xr:uid="{00000000-0005-0000-0000-000080C10000}"/>
    <cellStyle name="Normal 3 2 2 2 2 2" xfId="11076" xr:uid="{00000000-0005-0000-0000-000081C10000}"/>
    <cellStyle name="Normal 3 2 2 2 3" xfId="11136" xr:uid="{00000000-0005-0000-0000-000082C10000}"/>
    <cellStyle name="Normal 3 2 2 2 3 2" xfId="18887" xr:uid="{00000000-0005-0000-0000-000083C10000}"/>
    <cellStyle name="Normal 3 2 2 2 3 2 2" xfId="35166" xr:uid="{00000000-0005-0000-0000-000084C10000}"/>
    <cellStyle name="Normal 3 2 2 2 3 2 3" xfId="50125" xr:uid="{00000000-0005-0000-0000-000085C10000}"/>
    <cellStyle name="Normal 3 2 2 2 3 3" xfId="28156" xr:uid="{00000000-0005-0000-0000-000086C10000}"/>
    <cellStyle name="Normal 3 2 2 2 3 4" xfId="43126" xr:uid="{00000000-0005-0000-0000-000087C10000}"/>
    <cellStyle name="Normal 3 2 2 2 4" xfId="12296" xr:uid="{00000000-0005-0000-0000-000088C10000}"/>
    <cellStyle name="Normal 3 2 2 2 4 2" xfId="28575" xr:uid="{00000000-0005-0000-0000-000089C10000}"/>
    <cellStyle name="Normal 3 2 2 2 4 3" xfId="43538" xr:uid="{00000000-0005-0000-0000-00008AC10000}"/>
    <cellStyle name="Normal 3 2 2 2 5" xfId="21575" xr:uid="{00000000-0005-0000-0000-00008BC10000}"/>
    <cellStyle name="Normal 3 2 2 2 6" xfId="36542" xr:uid="{00000000-0005-0000-0000-00008CC10000}"/>
    <cellStyle name="Normal 3 2 2 2 7" xfId="51480" xr:uid="{00000000-0005-0000-0000-00008DC10000}"/>
    <cellStyle name="Normal 3 2 2 2 8" xfId="51885" xr:uid="{00000000-0005-0000-0000-00008EC10000}"/>
    <cellStyle name="Normal 3 2 2 2 9" xfId="52294" xr:uid="{00000000-0005-0000-0000-00008FC10000}"/>
    <cellStyle name="Normal 3 2 2 3" xfId="1632" xr:uid="{00000000-0005-0000-0000-000090C10000}"/>
    <cellStyle name="Normal 3 2 2 3 2" xfId="21166" xr:uid="{00000000-0005-0000-0000-000091C10000}"/>
    <cellStyle name="Normal 3 2 2 3 2 2" xfId="36131" xr:uid="{00000000-0005-0000-0000-000092C10000}"/>
    <cellStyle name="Normal 3 2 2 3 2 3" xfId="51087" xr:uid="{00000000-0005-0000-0000-000093C10000}"/>
    <cellStyle name="Normal 3 2 2 4" xfId="1633" xr:uid="{00000000-0005-0000-0000-000094C10000}"/>
    <cellStyle name="Normal 3 2 2 4 2" xfId="18860" xr:uid="{00000000-0005-0000-0000-000095C10000}"/>
    <cellStyle name="Normal 3 2 2 4 2 2" xfId="35135" xr:uid="{00000000-0005-0000-0000-000096C10000}"/>
    <cellStyle name="Normal 3 2 2 4 2 3" xfId="50094" xr:uid="{00000000-0005-0000-0000-000097C10000}"/>
    <cellStyle name="Normal 3 2 2 4 3" xfId="28133" xr:uid="{00000000-0005-0000-0000-000098C10000}"/>
    <cellStyle name="Normal 3 2 2 4 4" xfId="43097" xr:uid="{00000000-0005-0000-0000-000099C10000}"/>
    <cellStyle name="Normal 3 2 2 5" xfId="12203" xr:uid="{00000000-0005-0000-0000-00009AC10000}"/>
    <cellStyle name="Normal 3 2 2 5 2" xfId="28485" xr:uid="{00000000-0005-0000-0000-00009BC10000}"/>
    <cellStyle name="Normal 3 2 2 5 3" xfId="43458" xr:uid="{00000000-0005-0000-0000-00009CC10000}"/>
    <cellStyle name="Normal 3 2 2 6" xfId="21490" xr:uid="{00000000-0005-0000-0000-00009DC10000}"/>
    <cellStyle name="Normal 3 2 2 7" xfId="36461" xr:uid="{00000000-0005-0000-0000-00009EC10000}"/>
    <cellStyle name="Normal 3 2 2 8" xfId="51398" xr:uid="{00000000-0005-0000-0000-00009FC10000}"/>
    <cellStyle name="Normal 3 2 2 9" xfId="51792" xr:uid="{00000000-0005-0000-0000-0000A0C10000}"/>
    <cellStyle name="Normal 3 2 3" xfId="1634" xr:uid="{00000000-0005-0000-0000-0000A1C10000}"/>
    <cellStyle name="Normal 3 2 3 10" xfId="51884" xr:uid="{00000000-0005-0000-0000-0000A2C10000}"/>
    <cellStyle name="Normal 3 2 3 11" xfId="52293" xr:uid="{00000000-0005-0000-0000-0000A3C10000}"/>
    <cellStyle name="Normal 3 2 3 12" xfId="52698" xr:uid="{00000000-0005-0000-0000-0000A4C10000}"/>
    <cellStyle name="Normal 3 2 3 2" xfId="10918" xr:uid="{00000000-0005-0000-0000-0000A5C10000}"/>
    <cellStyle name="Normal 3 2 3 2 2" xfId="18753" xr:uid="{00000000-0005-0000-0000-0000A6C10000}"/>
    <cellStyle name="Normal 3 2 3 2 2 2" xfId="35029" xr:uid="{00000000-0005-0000-0000-0000A7C10000}"/>
    <cellStyle name="Normal 3 2 3 2 2 3" xfId="49988" xr:uid="{00000000-0005-0000-0000-0000A8C10000}"/>
    <cellStyle name="Normal 3 2 3 2 3" xfId="21144" xr:uid="{00000000-0005-0000-0000-0000A9C10000}"/>
    <cellStyle name="Normal 3 2 3 2 3 2" xfId="36113" xr:uid="{00000000-0005-0000-0000-0000AAC10000}"/>
    <cellStyle name="Normal 3 2 3 2 3 3" xfId="51069" xr:uid="{00000000-0005-0000-0000-0000ABC10000}"/>
    <cellStyle name="Normal 3 2 3 2 4" xfId="28027" xr:uid="{00000000-0005-0000-0000-0000ACC10000}"/>
    <cellStyle name="Normal 3 2 3 2 5" xfId="42991" xr:uid="{00000000-0005-0000-0000-0000ADC10000}"/>
    <cellStyle name="Normal 3 2 3 3" xfId="7420" xr:uid="{00000000-0005-0000-0000-0000AEC10000}"/>
    <cellStyle name="Normal 3 2 3 3 2" xfId="15448" xr:uid="{00000000-0005-0000-0000-0000AFC10000}"/>
    <cellStyle name="Normal 3 2 3 3 2 2" xfId="31729" xr:uid="{00000000-0005-0000-0000-0000B0C10000}"/>
    <cellStyle name="Normal 3 2 3 3 2 3" xfId="46689" xr:uid="{00000000-0005-0000-0000-0000B1C10000}"/>
    <cellStyle name="Normal 3 2 3 3 3" xfId="24727" xr:uid="{00000000-0005-0000-0000-0000B2C10000}"/>
    <cellStyle name="Normal 3 2 3 3 4" xfId="39692" xr:uid="{00000000-0005-0000-0000-0000B3C10000}"/>
    <cellStyle name="Normal 3 2 3 4" xfId="11135" xr:uid="{00000000-0005-0000-0000-0000B4C10000}"/>
    <cellStyle name="Normal 3 2 3 4 2" xfId="18886" xr:uid="{00000000-0005-0000-0000-0000B5C10000}"/>
    <cellStyle name="Normal 3 2 3 4 2 2" xfId="35165" xr:uid="{00000000-0005-0000-0000-0000B6C10000}"/>
    <cellStyle name="Normal 3 2 3 4 2 3" xfId="50124" xr:uid="{00000000-0005-0000-0000-0000B7C10000}"/>
    <cellStyle name="Normal 3 2 3 4 3" xfId="28155" xr:uid="{00000000-0005-0000-0000-0000B8C10000}"/>
    <cellStyle name="Normal 3 2 3 4 4" xfId="43125" xr:uid="{00000000-0005-0000-0000-0000B9C10000}"/>
    <cellStyle name="Normal 3 2 3 5" xfId="12295" xr:uid="{00000000-0005-0000-0000-0000BAC10000}"/>
    <cellStyle name="Normal 3 2 3 5 2" xfId="28574" xr:uid="{00000000-0005-0000-0000-0000BBC10000}"/>
    <cellStyle name="Normal 3 2 3 5 3" xfId="43537" xr:uid="{00000000-0005-0000-0000-0000BCC10000}"/>
    <cellStyle name="Normal 3 2 3 6" xfId="20661" xr:uid="{00000000-0005-0000-0000-0000BDC10000}"/>
    <cellStyle name="Normal 3 2 3 6 2" xfId="36093" xr:uid="{00000000-0005-0000-0000-0000BEC10000}"/>
    <cellStyle name="Normal 3 2 3 6 3" xfId="51049" xr:uid="{00000000-0005-0000-0000-0000BFC10000}"/>
    <cellStyle name="Normal 3 2 3 7" xfId="21574" xr:uid="{00000000-0005-0000-0000-0000C0C10000}"/>
    <cellStyle name="Normal 3 2 3 8" xfId="36541" xr:uid="{00000000-0005-0000-0000-0000C1C10000}"/>
    <cellStyle name="Normal 3 2 3 9" xfId="51479" xr:uid="{00000000-0005-0000-0000-0000C2C10000}"/>
    <cellStyle name="Normal 3 2 4" xfId="1635" xr:uid="{00000000-0005-0000-0000-0000C3C10000}"/>
    <cellStyle name="Normal 3 2 4 2" xfId="16170" xr:uid="{00000000-0005-0000-0000-0000C4C10000}"/>
    <cellStyle name="Normal 3 2 4 2 2" xfId="32446" xr:uid="{00000000-0005-0000-0000-0000C5C10000}"/>
    <cellStyle name="Normal 3 2 4 2 3" xfId="47405" xr:uid="{00000000-0005-0000-0000-0000C6C10000}"/>
    <cellStyle name="Normal 3 2 4 3" xfId="21160" xr:uid="{00000000-0005-0000-0000-0000C7C10000}"/>
    <cellStyle name="Normal 3 2 4 3 2" xfId="36127" xr:uid="{00000000-0005-0000-0000-0000C8C10000}"/>
    <cellStyle name="Normal 3 2 4 3 3" xfId="51083" xr:uid="{00000000-0005-0000-0000-0000C9C10000}"/>
    <cellStyle name="Normal 3 2 4 4" xfId="25444" xr:uid="{00000000-0005-0000-0000-0000CAC10000}"/>
    <cellStyle name="Normal 3 2 4 5" xfId="40408" xr:uid="{00000000-0005-0000-0000-0000CBC10000}"/>
    <cellStyle name="Normal 3 2 4 6" xfId="8303" xr:uid="{00000000-0005-0000-0000-0000CCC10000}"/>
    <cellStyle name="Normal 3 2 5" xfId="1636" xr:uid="{00000000-0005-0000-0000-0000CDC10000}"/>
    <cellStyle name="Normal 3 2 5 2" xfId="15447" xr:uid="{00000000-0005-0000-0000-0000CEC10000}"/>
    <cellStyle name="Normal 3 2 5 2 2" xfId="31728" xr:uid="{00000000-0005-0000-0000-0000CFC10000}"/>
    <cellStyle name="Normal 3 2 5 2 3" xfId="46688" xr:uid="{00000000-0005-0000-0000-0000D0C10000}"/>
    <cellStyle name="Normal 3 2 5 3" xfId="21125" xr:uid="{00000000-0005-0000-0000-0000D1C10000}"/>
    <cellStyle name="Normal 3 2 5 3 2" xfId="36103" xr:uid="{00000000-0005-0000-0000-0000D2C10000}"/>
    <cellStyle name="Normal 3 2 5 3 3" xfId="51059" xr:uid="{00000000-0005-0000-0000-0000D3C10000}"/>
    <cellStyle name="Normal 3 2 5 4" xfId="24726" xr:uid="{00000000-0005-0000-0000-0000D4C10000}"/>
    <cellStyle name="Normal 3 2 5 5" xfId="39691" xr:uid="{00000000-0005-0000-0000-0000D5C10000}"/>
    <cellStyle name="Normal 3 2 6" xfId="1637" xr:uid="{00000000-0005-0000-0000-0000D6C10000}"/>
    <cellStyle name="Normal 3 2 6 2" xfId="18859" xr:uid="{00000000-0005-0000-0000-0000D7C10000}"/>
    <cellStyle name="Normal 3 2 6 2 2" xfId="35134" xr:uid="{00000000-0005-0000-0000-0000D8C10000}"/>
    <cellStyle name="Normal 3 2 6 2 3" xfId="50093" xr:uid="{00000000-0005-0000-0000-0000D9C10000}"/>
    <cellStyle name="Normal 3 2 6 3" xfId="28132" xr:uid="{00000000-0005-0000-0000-0000DAC10000}"/>
    <cellStyle name="Normal 3 2 6 4" xfId="43096" xr:uid="{00000000-0005-0000-0000-0000DBC10000}"/>
    <cellStyle name="Normal 3 2 7" xfId="1638" xr:uid="{00000000-0005-0000-0000-0000DCC10000}"/>
    <cellStyle name="Normal 3 2 7 2" xfId="18894" xr:uid="{00000000-0005-0000-0000-0000DDC10000}"/>
    <cellStyle name="Normal 3 2 7 2 2" xfId="35173" xr:uid="{00000000-0005-0000-0000-0000DEC10000}"/>
    <cellStyle name="Normal 3 2 7 2 3" xfId="50131" xr:uid="{00000000-0005-0000-0000-0000DFC10000}"/>
    <cellStyle name="Normal 3 2 7 3" xfId="28162" xr:uid="{00000000-0005-0000-0000-0000E0C10000}"/>
    <cellStyle name="Normal 3 2 7 4" xfId="43132" xr:uid="{00000000-0005-0000-0000-0000E1C10000}"/>
    <cellStyle name="Normal 3 2 7 5" xfId="11657" xr:uid="{00000000-0005-0000-0000-0000E2C10000}"/>
    <cellStyle name="Normal 3 2 8" xfId="11882" xr:uid="{00000000-0005-0000-0000-0000E3C10000}"/>
    <cellStyle name="Normal 3 2 8 2" xfId="28168" xr:uid="{00000000-0005-0000-0000-0000E4C10000}"/>
    <cellStyle name="Normal 3 2 8 3" xfId="43137" xr:uid="{00000000-0005-0000-0000-0000E5C10000}"/>
    <cellStyle name="Normal 3 2 9" xfId="19646" xr:uid="{00000000-0005-0000-0000-0000E6C10000}"/>
    <cellStyle name="Normal 3 2 9 2" xfId="35724" xr:uid="{00000000-0005-0000-0000-0000E7C10000}"/>
    <cellStyle name="Normal 3 2 9 3" xfId="50680" xr:uid="{00000000-0005-0000-0000-0000E8C10000}"/>
    <cellStyle name="Normal 3 3" xfId="1639" xr:uid="{00000000-0005-0000-0000-0000E9C10000}"/>
    <cellStyle name="Normal 3 3 2" xfId="1640" xr:uid="{00000000-0005-0000-0000-0000EAC10000}"/>
    <cellStyle name="Normal 3 3 2 2" xfId="1641" xr:uid="{00000000-0005-0000-0000-0000EBC10000}"/>
    <cellStyle name="Normal 3 3 2 2 2" xfId="36114" xr:uid="{00000000-0005-0000-0000-0000ECC10000}"/>
    <cellStyle name="Normal 3 3 2 2 3" xfId="51070" xr:uid="{00000000-0005-0000-0000-0000EDC10000}"/>
    <cellStyle name="Normal 3 3 2 2 4" xfId="21145" xr:uid="{00000000-0005-0000-0000-0000EEC10000}"/>
    <cellStyle name="Normal 3 3 2 3" xfId="20662" xr:uid="{00000000-0005-0000-0000-0000EFC10000}"/>
    <cellStyle name="Normal 3 3 2 3 2" xfId="36094" xr:uid="{00000000-0005-0000-0000-0000F0C10000}"/>
    <cellStyle name="Normal 3 3 2 3 3" xfId="51050" xr:uid="{00000000-0005-0000-0000-0000F1C10000}"/>
    <cellStyle name="Normal 3 3 3" xfId="1642" xr:uid="{00000000-0005-0000-0000-0000F2C10000}"/>
    <cellStyle name="Normal 3 3 3 2" xfId="21165" xr:uid="{00000000-0005-0000-0000-0000F3C10000}"/>
    <cellStyle name="Normal 3 3 3 2 2" xfId="36130" xr:uid="{00000000-0005-0000-0000-0000F4C10000}"/>
    <cellStyle name="Normal 3 3 3 2 3" xfId="51086" xr:uid="{00000000-0005-0000-0000-0000F5C10000}"/>
    <cellStyle name="Normal 3 3 3 3" xfId="7421" xr:uid="{00000000-0005-0000-0000-0000F6C10000}"/>
    <cellStyle name="Normal 3 3 4" xfId="21126" xr:uid="{00000000-0005-0000-0000-0000F7C10000}"/>
    <cellStyle name="Normal 3 3 4 2" xfId="36104" xr:uid="{00000000-0005-0000-0000-0000F8C10000}"/>
    <cellStyle name="Normal 3 3 4 3" xfId="51060" xr:uid="{00000000-0005-0000-0000-0000F9C10000}"/>
    <cellStyle name="Normal 3 3 5" xfId="19647" xr:uid="{00000000-0005-0000-0000-0000FAC10000}"/>
    <cellStyle name="Normal 3 3 5 2" xfId="35725" xr:uid="{00000000-0005-0000-0000-0000FBC10000}"/>
    <cellStyle name="Normal 3 3 5 3" xfId="50681" xr:uid="{00000000-0005-0000-0000-0000FCC10000}"/>
    <cellStyle name="Normal 3 4" xfId="1643" xr:uid="{00000000-0005-0000-0000-0000FDC10000}"/>
    <cellStyle name="Normal 3 4 10" xfId="51810" xr:uid="{00000000-0005-0000-0000-0000FEC10000}"/>
    <cellStyle name="Normal 3 4 11" xfId="52219" xr:uid="{00000000-0005-0000-0000-0000FFC10000}"/>
    <cellStyle name="Normal 3 4 12" xfId="52624" xr:uid="{00000000-0005-0000-0000-000000C20000}"/>
    <cellStyle name="Normal 3 4 2" xfId="1644" xr:uid="{00000000-0005-0000-0000-000001C20000}"/>
    <cellStyle name="Normal 3 4 2 2" xfId="1645" xr:uid="{00000000-0005-0000-0000-000002C20000}"/>
    <cellStyle name="Normal 3 4 3" xfId="1646" xr:uid="{00000000-0005-0000-0000-000003C20000}"/>
    <cellStyle name="Normal 3 4 3 2" xfId="7419" xr:uid="{00000000-0005-0000-0000-000004C20000}"/>
    <cellStyle name="Normal 3 4 4" xfId="11124" xr:uid="{00000000-0005-0000-0000-000005C20000}"/>
    <cellStyle name="Normal 3 4 4 2" xfId="18874" xr:uid="{00000000-0005-0000-0000-000006C20000}"/>
    <cellStyle name="Normal 3 4 4 2 2" xfId="35153" xr:uid="{00000000-0005-0000-0000-000007C20000}"/>
    <cellStyle name="Normal 3 4 4 2 3" xfId="50112" xr:uid="{00000000-0005-0000-0000-000008C20000}"/>
    <cellStyle name="Normal 3 4 4 3" xfId="28143" xr:uid="{00000000-0005-0000-0000-000009C20000}"/>
    <cellStyle name="Normal 3 4 4 4" xfId="43113" xr:uid="{00000000-0005-0000-0000-00000AC20000}"/>
    <cellStyle name="Normal 3 4 5" xfId="12222" xr:uid="{00000000-0005-0000-0000-00000BC20000}"/>
    <cellStyle name="Normal 3 4 5 2" xfId="28500" xr:uid="{00000000-0005-0000-0000-00000CC20000}"/>
    <cellStyle name="Normal 3 4 5 3" xfId="43463" xr:uid="{00000000-0005-0000-0000-00000DC20000}"/>
    <cellStyle name="Normal 3 4 6" xfId="21159" xr:uid="{00000000-0005-0000-0000-00000EC20000}"/>
    <cellStyle name="Normal 3 4 6 2" xfId="36126" xr:uid="{00000000-0005-0000-0000-00000FC20000}"/>
    <cellStyle name="Normal 3 4 6 3" xfId="51082" xr:uid="{00000000-0005-0000-0000-000010C20000}"/>
    <cellStyle name="Normal 3 4 7" xfId="21500" xr:uid="{00000000-0005-0000-0000-000011C20000}"/>
    <cellStyle name="Normal 3 4 8" xfId="36467" xr:uid="{00000000-0005-0000-0000-000012C20000}"/>
    <cellStyle name="Normal 3 4 9" xfId="51405" xr:uid="{00000000-0005-0000-0000-000013C20000}"/>
    <cellStyle name="Normal 3 5" xfId="1647" xr:uid="{00000000-0005-0000-0000-000014C20000}"/>
    <cellStyle name="Normal 3 5 2" xfId="1648" xr:uid="{00000000-0005-0000-0000-000015C20000}"/>
    <cellStyle name="Normal 3 5 3" xfId="1649" xr:uid="{00000000-0005-0000-0000-000016C20000}"/>
    <cellStyle name="Normal 3 6" xfId="1650" xr:uid="{00000000-0005-0000-0000-000017C20000}"/>
    <cellStyle name="Normal 3 6 2" xfId="1651" xr:uid="{00000000-0005-0000-0000-000018C20000}"/>
    <cellStyle name="Normal 3 6 2 2" xfId="18885" xr:uid="{00000000-0005-0000-0000-000019C20000}"/>
    <cellStyle name="Normal 3 6 2 2 2" xfId="35164" xr:uid="{00000000-0005-0000-0000-00001AC20000}"/>
    <cellStyle name="Normal 3 6 2 2 3" xfId="50123" xr:uid="{00000000-0005-0000-0000-00001BC20000}"/>
    <cellStyle name="Normal 3 6 2 3" xfId="28154" xr:uid="{00000000-0005-0000-0000-00001CC20000}"/>
    <cellStyle name="Normal 3 6 2 4" xfId="43124" xr:uid="{00000000-0005-0000-0000-00001DC20000}"/>
    <cellStyle name="Normal 3 6 2 5" xfId="11134" xr:uid="{00000000-0005-0000-0000-00001EC20000}"/>
    <cellStyle name="Normal 3 6 3" xfId="1652" xr:uid="{00000000-0005-0000-0000-00001FC20000}"/>
    <cellStyle name="Normal 3 6 3 2" xfId="28573" xr:uid="{00000000-0005-0000-0000-000020C20000}"/>
    <cellStyle name="Normal 3 6 3 3" xfId="43536" xr:uid="{00000000-0005-0000-0000-000021C20000}"/>
    <cellStyle name="Normal 3 6 4" xfId="21573" xr:uid="{00000000-0005-0000-0000-000022C20000}"/>
    <cellStyle name="Normal 3 6 5" xfId="36540" xr:uid="{00000000-0005-0000-0000-000023C20000}"/>
    <cellStyle name="Normal 3 6 6" xfId="51478" xr:uid="{00000000-0005-0000-0000-000024C20000}"/>
    <cellStyle name="Normal 3 6 7" xfId="51883" xr:uid="{00000000-0005-0000-0000-000025C20000}"/>
    <cellStyle name="Normal 3 6 8" xfId="52292" xr:uid="{00000000-0005-0000-0000-000026C20000}"/>
    <cellStyle name="Normal 3 6 9" xfId="52697" xr:uid="{00000000-0005-0000-0000-000027C20000}"/>
    <cellStyle name="Normal 3 7" xfId="1653" xr:uid="{00000000-0005-0000-0000-000028C20000}"/>
    <cellStyle name="Normal 3 7 2" xfId="1654" xr:uid="{00000000-0005-0000-0000-000029C20000}"/>
    <cellStyle name="Normal 3 7 2 2" xfId="28587" xr:uid="{00000000-0005-0000-0000-00002AC20000}"/>
    <cellStyle name="Normal 3 7 2 3" xfId="43548" xr:uid="{00000000-0005-0000-0000-00002BC20000}"/>
    <cellStyle name="Normal 3 7 2 4" xfId="12308" xr:uid="{00000000-0005-0000-0000-00002CC20000}"/>
    <cellStyle name="Normal 3 7 3" xfId="21585" xr:uid="{00000000-0005-0000-0000-00002DC20000}"/>
    <cellStyle name="Normal 3 7 4" xfId="36551" xr:uid="{00000000-0005-0000-0000-00002EC20000}"/>
    <cellStyle name="Normal 3 8" xfId="1655" xr:uid="{00000000-0005-0000-0000-00002FC20000}"/>
    <cellStyle name="Normal 3 8 2" xfId="18858" xr:uid="{00000000-0005-0000-0000-000030C20000}"/>
    <cellStyle name="Normal 3 8 2 2" xfId="35133" xr:uid="{00000000-0005-0000-0000-000031C20000}"/>
    <cellStyle name="Normal 3 8 2 3" xfId="50092" xr:uid="{00000000-0005-0000-0000-000032C20000}"/>
    <cellStyle name="Normal 3 8 3" xfId="28131" xr:uid="{00000000-0005-0000-0000-000033C20000}"/>
    <cellStyle name="Normal 3 8 4" xfId="43095" xr:uid="{00000000-0005-0000-0000-000034C20000}"/>
    <cellStyle name="Normal 3 8 5" xfId="11117" xr:uid="{00000000-0005-0000-0000-000035C20000}"/>
    <cellStyle name="Normal 3 9" xfId="1656" xr:uid="{00000000-0005-0000-0000-000036C20000}"/>
    <cellStyle name="Normal 3 9 2" xfId="18893" xr:uid="{00000000-0005-0000-0000-000037C20000}"/>
    <cellStyle name="Normal 3 9 2 2" xfId="35172" xr:uid="{00000000-0005-0000-0000-000038C20000}"/>
    <cellStyle name="Normal 3 9 2 3" xfId="50130" xr:uid="{00000000-0005-0000-0000-000039C20000}"/>
    <cellStyle name="Normal 3 9 3" xfId="28161" xr:uid="{00000000-0005-0000-0000-00003AC20000}"/>
    <cellStyle name="Normal 3 9 4" xfId="43131" xr:uid="{00000000-0005-0000-0000-00003BC20000}"/>
    <cellStyle name="Normal 30" xfId="1657" xr:uid="{00000000-0005-0000-0000-00003CC20000}"/>
    <cellStyle name="Normal 30 2" xfId="21180" xr:uid="{00000000-0005-0000-0000-00003DC20000}"/>
    <cellStyle name="Normal 31" xfId="1658" xr:uid="{00000000-0005-0000-0000-00003EC20000}"/>
    <cellStyle name="Normal 31 2" xfId="21177" xr:uid="{00000000-0005-0000-0000-00003FC20000}"/>
    <cellStyle name="Normal 32" xfId="1659" xr:uid="{00000000-0005-0000-0000-000040C20000}"/>
    <cellStyle name="Normal 32 2" xfId="36142" xr:uid="{00000000-0005-0000-0000-000041C20000}"/>
    <cellStyle name="Normal 33" xfId="1660" xr:uid="{00000000-0005-0000-0000-000042C20000}"/>
    <cellStyle name="Normal 33 2" xfId="51889" xr:uid="{00000000-0005-0000-0000-000043C20000}"/>
    <cellStyle name="Normal 34" xfId="1661" xr:uid="{00000000-0005-0000-0000-000044C20000}"/>
    <cellStyle name="Normal 35" xfId="1662" xr:uid="{00000000-0005-0000-0000-000045C20000}"/>
    <cellStyle name="Normal 35 2" xfId="1663" xr:uid="{00000000-0005-0000-0000-000046C20000}"/>
    <cellStyle name="Normal 36" xfId="1664" xr:uid="{00000000-0005-0000-0000-000047C20000}"/>
    <cellStyle name="Normal 36 2" xfId="1665" xr:uid="{00000000-0005-0000-0000-000048C20000}"/>
    <cellStyle name="Normal 37" xfId="1666" xr:uid="{00000000-0005-0000-0000-000049C20000}"/>
    <cellStyle name="Normal 37 2" xfId="1667" xr:uid="{00000000-0005-0000-0000-00004AC20000}"/>
    <cellStyle name="Normal 38" xfId="1668" xr:uid="{00000000-0005-0000-0000-00004BC20000}"/>
    <cellStyle name="Normal 4" xfId="1669" xr:uid="{00000000-0005-0000-0000-00004CC20000}"/>
    <cellStyle name="Normal 4 10" xfId="1670" xr:uid="{00000000-0005-0000-0000-00004DC20000}"/>
    <cellStyle name="Normal 4 11" xfId="1671" xr:uid="{00000000-0005-0000-0000-00004EC20000}"/>
    <cellStyle name="Normal 4 2" xfId="1672" xr:uid="{00000000-0005-0000-0000-00004FC20000}"/>
    <cellStyle name="Normal 4 2 10" xfId="36462" xr:uid="{00000000-0005-0000-0000-000050C20000}"/>
    <cellStyle name="Normal 4 2 11" xfId="51399" xr:uid="{00000000-0005-0000-0000-000051C20000}"/>
    <cellStyle name="Normal 4 2 12" xfId="51793" xr:uid="{00000000-0005-0000-0000-000052C20000}"/>
    <cellStyle name="Normal 4 2 13" xfId="52199" xr:uid="{00000000-0005-0000-0000-000053C20000}"/>
    <cellStyle name="Normal 4 2 14" xfId="52607" xr:uid="{00000000-0005-0000-0000-000054C20000}"/>
    <cellStyle name="Normal 4 2 2" xfId="1673" xr:uid="{00000000-0005-0000-0000-000055C20000}"/>
    <cellStyle name="Normal 4 2 2 10" xfId="52295" xr:uid="{00000000-0005-0000-0000-000056C20000}"/>
    <cellStyle name="Normal 4 2 2 11" xfId="52700" xr:uid="{00000000-0005-0000-0000-000057C20000}"/>
    <cellStyle name="Normal 4 2 2 2" xfId="1674" xr:uid="{00000000-0005-0000-0000-000058C20000}"/>
    <cellStyle name="Normal 4 2 2 2 2" xfId="7423" xr:uid="{00000000-0005-0000-0000-000059C20000}"/>
    <cellStyle name="Normal 4 2 2 3" xfId="11137" xr:uid="{00000000-0005-0000-0000-00005AC20000}"/>
    <cellStyle name="Normal 4 2 2 3 2" xfId="18888" xr:uid="{00000000-0005-0000-0000-00005BC20000}"/>
    <cellStyle name="Normal 4 2 2 3 2 2" xfId="35167" xr:uid="{00000000-0005-0000-0000-00005CC20000}"/>
    <cellStyle name="Normal 4 2 2 3 2 3" xfId="50126" xr:uid="{00000000-0005-0000-0000-00005DC20000}"/>
    <cellStyle name="Normal 4 2 2 3 3" xfId="28157" xr:uid="{00000000-0005-0000-0000-00005EC20000}"/>
    <cellStyle name="Normal 4 2 2 3 4" xfId="43127" xr:uid="{00000000-0005-0000-0000-00005FC20000}"/>
    <cellStyle name="Normal 4 2 2 4" xfId="12297" xr:uid="{00000000-0005-0000-0000-000060C20000}"/>
    <cellStyle name="Normal 4 2 2 4 2" xfId="28576" xr:uid="{00000000-0005-0000-0000-000061C20000}"/>
    <cellStyle name="Normal 4 2 2 4 3" xfId="43539" xr:uid="{00000000-0005-0000-0000-000062C20000}"/>
    <cellStyle name="Normal 4 2 2 5" xfId="20663" xr:uid="{00000000-0005-0000-0000-000063C20000}"/>
    <cellStyle name="Normal 4 2 2 6" xfId="21576" xr:uid="{00000000-0005-0000-0000-000064C20000}"/>
    <cellStyle name="Normal 4 2 2 7" xfId="36543" xr:uid="{00000000-0005-0000-0000-000065C20000}"/>
    <cellStyle name="Normal 4 2 2 8" xfId="51481" xr:uid="{00000000-0005-0000-0000-000066C20000}"/>
    <cellStyle name="Normal 4 2 2 9" xfId="51886" xr:uid="{00000000-0005-0000-0000-000067C20000}"/>
    <cellStyle name="Normal 4 2 3" xfId="1675" xr:uid="{00000000-0005-0000-0000-000068C20000}"/>
    <cellStyle name="Normal 4 2 3 2" xfId="1676" xr:uid="{00000000-0005-0000-0000-000069C20000}"/>
    <cellStyle name="Normal 4 2 3 2 2" xfId="1677" xr:uid="{00000000-0005-0000-0000-00006AC20000}"/>
    <cellStyle name="Normal 4 2 3 2 2 2" xfId="34724" xr:uid="{00000000-0005-0000-0000-00006BC20000}"/>
    <cellStyle name="Normal 4 2 3 2 2 3" xfId="49683" xr:uid="{00000000-0005-0000-0000-00006CC20000}"/>
    <cellStyle name="Normal 4 2 3 2 2 4" xfId="18448" xr:uid="{00000000-0005-0000-0000-00006DC20000}"/>
    <cellStyle name="Normal 4 2 3 2 3" xfId="27722" xr:uid="{00000000-0005-0000-0000-00006EC20000}"/>
    <cellStyle name="Normal 4 2 3 2 4" xfId="42686" xr:uid="{00000000-0005-0000-0000-00006FC20000}"/>
    <cellStyle name="Normal 4 2 3 2 5" xfId="10600" xr:uid="{00000000-0005-0000-0000-000070C20000}"/>
    <cellStyle name="Normal 4 2 3 3" xfId="1678" xr:uid="{00000000-0005-0000-0000-000071C20000}"/>
    <cellStyle name="Normal 4 2 3 3 2" xfId="31731" xr:uid="{00000000-0005-0000-0000-000072C20000}"/>
    <cellStyle name="Normal 4 2 3 3 3" xfId="46691" xr:uid="{00000000-0005-0000-0000-000073C20000}"/>
    <cellStyle name="Normal 4 2 3 3 4" xfId="15450" xr:uid="{00000000-0005-0000-0000-000074C20000}"/>
    <cellStyle name="Normal 4 2 3 4" xfId="24729" xr:uid="{00000000-0005-0000-0000-000075C20000}"/>
    <cellStyle name="Normal 4 2 3 5" xfId="39694" xr:uid="{00000000-0005-0000-0000-000076C20000}"/>
    <cellStyle name="Normal 4 2 3 6" xfId="7424" xr:uid="{00000000-0005-0000-0000-000077C20000}"/>
    <cellStyle name="Normal 4 2 4" xfId="1679" xr:uid="{00000000-0005-0000-0000-000078C20000}"/>
    <cellStyle name="Normal 4 2 4 2" xfId="16171" xr:uid="{00000000-0005-0000-0000-000079C20000}"/>
    <cellStyle name="Normal 4 2 4 2 2" xfId="32447" xr:uid="{00000000-0005-0000-0000-00007AC20000}"/>
    <cellStyle name="Normal 4 2 4 2 3" xfId="47406" xr:uid="{00000000-0005-0000-0000-00007BC20000}"/>
    <cellStyle name="Normal 4 2 4 3" xfId="25445" xr:uid="{00000000-0005-0000-0000-00007CC20000}"/>
    <cellStyle name="Normal 4 2 4 4" xfId="40409" xr:uid="{00000000-0005-0000-0000-00007DC20000}"/>
    <cellStyle name="Normal 4 2 4 5" xfId="8304" xr:uid="{00000000-0005-0000-0000-00007EC20000}"/>
    <cellStyle name="Normal 4 2 5" xfId="1680" xr:uid="{00000000-0005-0000-0000-00007FC20000}"/>
    <cellStyle name="Normal 4 2 5 2" xfId="15449" xr:uid="{00000000-0005-0000-0000-000080C20000}"/>
    <cellStyle name="Normal 4 2 5 2 2" xfId="31730" xr:uid="{00000000-0005-0000-0000-000081C20000}"/>
    <cellStyle name="Normal 4 2 5 2 3" xfId="46690" xr:uid="{00000000-0005-0000-0000-000082C20000}"/>
    <cellStyle name="Normal 4 2 5 3" xfId="24728" xr:uid="{00000000-0005-0000-0000-000083C20000}"/>
    <cellStyle name="Normal 4 2 5 4" xfId="39693" xr:uid="{00000000-0005-0000-0000-000084C20000}"/>
    <cellStyle name="Normal 4 2 5 5" xfId="7422" xr:uid="{00000000-0005-0000-0000-000085C20000}"/>
    <cellStyle name="Normal 4 2 6" xfId="1681" xr:uid="{00000000-0005-0000-0000-000086C20000}"/>
    <cellStyle name="Normal 4 2 6 2" xfId="18861" xr:uid="{00000000-0005-0000-0000-000087C20000}"/>
    <cellStyle name="Normal 4 2 6 2 2" xfId="35136" xr:uid="{00000000-0005-0000-0000-000088C20000}"/>
    <cellStyle name="Normal 4 2 6 2 3" xfId="50095" xr:uid="{00000000-0005-0000-0000-000089C20000}"/>
    <cellStyle name="Normal 4 2 6 3" xfId="28134" xr:uid="{00000000-0005-0000-0000-00008AC20000}"/>
    <cellStyle name="Normal 4 2 6 4" xfId="43098" xr:uid="{00000000-0005-0000-0000-00008BC20000}"/>
    <cellStyle name="Normal 4 2 6 5" xfId="11118" xr:uid="{00000000-0005-0000-0000-00008CC20000}"/>
    <cellStyle name="Normal 4 2 7" xfId="12204" xr:uid="{00000000-0005-0000-0000-00008DC20000}"/>
    <cellStyle name="Normal 4 2 7 2" xfId="28486" xr:uid="{00000000-0005-0000-0000-00008EC20000}"/>
    <cellStyle name="Normal 4 2 7 3" xfId="43459" xr:uid="{00000000-0005-0000-0000-00008FC20000}"/>
    <cellStyle name="Normal 4 2 8" xfId="19648" xr:uid="{00000000-0005-0000-0000-000090C20000}"/>
    <cellStyle name="Normal 4 2 9" xfId="21491" xr:uid="{00000000-0005-0000-0000-000091C20000}"/>
    <cellStyle name="Normal 4 3" xfId="1682" xr:uid="{00000000-0005-0000-0000-000092C20000}"/>
    <cellStyle name="Normal 4 3 10" xfId="52625" xr:uid="{00000000-0005-0000-0000-000093C20000}"/>
    <cellStyle name="Normal 4 3 2" xfId="1683" xr:uid="{00000000-0005-0000-0000-000094C20000}"/>
    <cellStyle name="Normal 4 3 2 2" xfId="1684" xr:uid="{00000000-0005-0000-0000-000095C20000}"/>
    <cellStyle name="Normal 4 3 2 3" xfId="7425" xr:uid="{00000000-0005-0000-0000-000096C20000}"/>
    <cellStyle name="Normal 4 3 3" xfId="1685" xr:uid="{00000000-0005-0000-0000-000097C20000}"/>
    <cellStyle name="Normal 4 3 3 2" xfId="18875" xr:uid="{00000000-0005-0000-0000-000098C20000}"/>
    <cellStyle name="Normal 4 3 3 2 2" xfId="35154" xr:uid="{00000000-0005-0000-0000-000099C20000}"/>
    <cellStyle name="Normal 4 3 3 2 3" xfId="50113" xr:uid="{00000000-0005-0000-0000-00009AC20000}"/>
    <cellStyle name="Normal 4 3 3 3" xfId="28144" xr:uid="{00000000-0005-0000-0000-00009BC20000}"/>
    <cellStyle name="Normal 4 3 3 4" xfId="43114" xr:uid="{00000000-0005-0000-0000-00009CC20000}"/>
    <cellStyle name="Normal 4 3 3 5" xfId="11125" xr:uid="{00000000-0005-0000-0000-00009DC20000}"/>
    <cellStyle name="Normal 4 3 4" xfId="1686" xr:uid="{00000000-0005-0000-0000-00009EC20000}"/>
    <cellStyle name="Normal 4 3 4 2" xfId="28501" xr:uid="{00000000-0005-0000-0000-00009FC20000}"/>
    <cellStyle name="Normal 4 3 4 3" xfId="43464" xr:uid="{00000000-0005-0000-0000-0000A0C20000}"/>
    <cellStyle name="Normal 4 3 5" xfId="21501" xr:uid="{00000000-0005-0000-0000-0000A1C20000}"/>
    <cellStyle name="Normal 4 3 6" xfId="36468" xr:uid="{00000000-0005-0000-0000-0000A2C20000}"/>
    <cellStyle name="Normal 4 3 7" xfId="51406" xr:uid="{00000000-0005-0000-0000-0000A3C20000}"/>
    <cellStyle name="Normal 4 3 8" xfId="51811" xr:uid="{00000000-0005-0000-0000-0000A4C20000}"/>
    <cellStyle name="Normal 4 3 9" xfId="52220" xr:uid="{00000000-0005-0000-0000-0000A5C20000}"/>
    <cellStyle name="Normal 4 4" xfId="1687" xr:uid="{00000000-0005-0000-0000-0000A6C20000}"/>
    <cellStyle name="Normal 4 4 2" xfId="1688" xr:uid="{00000000-0005-0000-0000-0000A7C20000}"/>
    <cellStyle name="Normal 4 4 3" xfId="1689" xr:uid="{00000000-0005-0000-0000-0000A8C20000}"/>
    <cellStyle name="Normal 4 5" xfId="1690" xr:uid="{00000000-0005-0000-0000-0000A9C20000}"/>
    <cellStyle name="Normal 4 5 2" xfId="12309" xr:uid="{00000000-0005-0000-0000-0000AAC20000}"/>
    <cellStyle name="Normal 4 5 2 2" xfId="28588" xr:uid="{00000000-0005-0000-0000-0000ABC20000}"/>
    <cellStyle name="Normal 4 5 2 3" xfId="43549" xr:uid="{00000000-0005-0000-0000-0000ACC20000}"/>
    <cellStyle name="Normal 4 5 3" xfId="21586" xr:uid="{00000000-0005-0000-0000-0000ADC20000}"/>
    <cellStyle name="Normal 4 5 4" xfId="36552" xr:uid="{00000000-0005-0000-0000-0000AEC20000}"/>
    <cellStyle name="Normal 4 5 5" xfId="3823" xr:uid="{00000000-0005-0000-0000-0000AFC20000}"/>
    <cellStyle name="Normal 4 6" xfId="1691" xr:uid="{00000000-0005-0000-0000-0000B0C20000}"/>
    <cellStyle name="Normal 4 7" xfId="1692" xr:uid="{00000000-0005-0000-0000-0000B1C20000}"/>
    <cellStyle name="Normal 4 8" xfId="1693" xr:uid="{00000000-0005-0000-0000-0000B2C20000}"/>
    <cellStyle name="Normal 4 9" xfId="1694" xr:uid="{00000000-0005-0000-0000-0000B3C20000}"/>
    <cellStyle name="Normal 40" xfId="51089" xr:uid="{00000000-0005-0000-0000-0000B4C20000}"/>
    <cellStyle name="Normal 5" xfId="1695" xr:uid="{00000000-0005-0000-0000-0000B5C20000}"/>
    <cellStyle name="Normal 5 2" xfId="1696" xr:uid="{00000000-0005-0000-0000-0000B6C20000}"/>
    <cellStyle name="Normal 5 2 2" xfId="1697" xr:uid="{00000000-0005-0000-0000-0000B7C20000}"/>
    <cellStyle name="Normal 5 2 2 2" xfId="11078" xr:uid="{00000000-0005-0000-0000-0000B8C20000}"/>
    <cellStyle name="Normal 5 2 2 2 2" xfId="20167" xr:uid="{00000000-0005-0000-0000-0000B9C20000}"/>
    <cellStyle name="Normal 5 2 2 3" xfId="20166" xr:uid="{00000000-0005-0000-0000-0000BAC20000}"/>
    <cellStyle name="Normal 5 2 3" xfId="1698" xr:uid="{00000000-0005-0000-0000-0000BBC20000}"/>
    <cellStyle name="Normal 5 2 3 2" xfId="10434" xr:uid="{00000000-0005-0000-0000-0000BCC20000}"/>
    <cellStyle name="Normal 5 2 3 2 2" xfId="18286" xr:uid="{00000000-0005-0000-0000-0000BDC20000}"/>
    <cellStyle name="Normal 5 2 3 2 2 2" xfId="34562" xr:uid="{00000000-0005-0000-0000-0000BEC20000}"/>
    <cellStyle name="Normal 5 2 3 2 2 3" xfId="49521" xr:uid="{00000000-0005-0000-0000-0000BFC20000}"/>
    <cellStyle name="Normal 5 2 3 2 3" xfId="27560" xr:uid="{00000000-0005-0000-0000-0000C0C20000}"/>
    <cellStyle name="Normal 5 2 3 2 4" xfId="42524" xr:uid="{00000000-0005-0000-0000-0000C1C20000}"/>
    <cellStyle name="Normal 5 2 3 3" xfId="15452" xr:uid="{00000000-0005-0000-0000-0000C2C20000}"/>
    <cellStyle name="Normal 5 2 3 3 2" xfId="31733" xr:uid="{00000000-0005-0000-0000-0000C3C20000}"/>
    <cellStyle name="Normal 5 2 3 3 3" xfId="46693" xr:uid="{00000000-0005-0000-0000-0000C4C20000}"/>
    <cellStyle name="Normal 5 2 3 4" xfId="24731" xr:uid="{00000000-0005-0000-0000-0000C5C20000}"/>
    <cellStyle name="Normal 5 2 3 5" xfId="39696" xr:uid="{00000000-0005-0000-0000-0000C6C20000}"/>
    <cellStyle name="Normal 5 2 3 6" xfId="7428" xr:uid="{00000000-0005-0000-0000-0000C7C20000}"/>
    <cellStyle name="Normal 5 2 4" xfId="1699" xr:uid="{00000000-0005-0000-0000-0000C8C20000}"/>
    <cellStyle name="Normal 5 2 4 2" xfId="16172" xr:uid="{00000000-0005-0000-0000-0000C9C20000}"/>
    <cellStyle name="Normal 5 2 4 2 2" xfId="32448" xr:uid="{00000000-0005-0000-0000-0000CAC20000}"/>
    <cellStyle name="Normal 5 2 4 2 3" xfId="47407" xr:uid="{00000000-0005-0000-0000-0000CBC20000}"/>
    <cellStyle name="Normal 5 2 4 3" xfId="25446" xr:uid="{00000000-0005-0000-0000-0000CCC20000}"/>
    <cellStyle name="Normal 5 2 4 4" xfId="40410" xr:uid="{00000000-0005-0000-0000-0000CDC20000}"/>
    <cellStyle name="Normal 5 2 5" xfId="1700" xr:uid="{00000000-0005-0000-0000-0000CEC20000}"/>
    <cellStyle name="Normal 5 2 5 2" xfId="15451" xr:uid="{00000000-0005-0000-0000-0000CFC20000}"/>
    <cellStyle name="Normal 5 2 5 2 2" xfId="31732" xr:uid="{00000000-0005-0000-0000-0000D0C20000}"/>
    <cellStyle name="Normal 5 2 5 2 3" xfId="46692" xr:uid="{00000000-0005-0000-0000-0000D1C20000}"/>
    <cellStyle name="Normal 5 2 5 3" xfId="24730" xr:uid="{00000000-0005-0000-0000-0000D2C20000}"/>
    <cellStyle name="Normal 5 2 5 4" xfId="39695" xr:uid="{00000000-0005-0000-0000-0000D3C20000}"/>
    <cellStyle name="Normal 5 2 5 5" xfId="7427" xr:uid="{00000000-0005-0000-0000-0000D4C20000}"/>
    <cellStyle name="Normal 5 2 6" xfId="20165" xr:uid="{00000000-0005-0000-0000-0000D5C20000}"/>
    <cellStyle name="Normal 5 3" xfId="1701" xr:uid="{00000000-0005-0000-0000-0000D6C20000}"/>
    <cellStyle name="Normal 5 3 10" xfId="52221" xr:uid="{00000000-0005-0000-0000-0000D7C20000}"/>
    <cellStyle name="Normal 5 3 11" xfId="52626" xr:uid="{00000000-0005-0000-0000-0000D8C20000}"/>
    <cellStyle name="Normal 5 3 2" xfId="1702" xr:uid="{00000000-0005-0000-0000-0000D9C20000}"/>
    <cellStyle name="Normal 5 3 2 2" xfId="11079" xr:uid="{00000000-0005-0000-0000-0000DAC20000}"/>
    <cellStyle name="Normal 5 3 3" xfId="1703" xr:uid="{00000000-0005-0000-0000-0000DBC20000}"/>
    <cellStyle name="Normal 5 3 3 2" xfId="7429" xr:uid="{00000000-0005-0000-0000-0000DCC20000}"/>
    <cellStyle name="Normal 5 3 4" xfId="11126" xr:uid="{00000000-0005-0000-0000-0000DDC20000}"/>
    <cellStyle name="Normal 5 3 4 2" xfId="18876" xr:uid="{00000000-0005-0000-0000-0000DEC20000}"/>
    <cellStyle name="Normal 5 3 4 2 2" xfId="35155" xr:uid="{00000000-0005-0000-0000-0000DFC20000}"/>
    <cellStyle name="Normal 5 3 4 2 3" xfId="50114" xr:uid="{00000000-0005-0000-0000-0000E0C20000}"/>
    <cellStyle name="Normal 5 3 4 3" xfId="28145" xr:uid="{00000000-0005-0000-0000-0000E1C20000}"/>
    <cellStyle name="Normal 5 3 4 4" xfId="43115" xr:uid="{00000000-0005-0000-0000-0000E2C20000}"/>
    <cellStyle name="Normal 5 3 5" xfId="12223" xr:uid="{00000000-0005-0000-0000-0000E3C20000}"/>
    <cellStyle name="Normal 5 3 5 2" xfId="28502" xr:uid="{00000000-0005-0000-0000-0000E4C20000}"/>
    <cellStyle name="Normal 5 3 5 3" xfId="43465" xr:uid="{00000000-0005-0000-0000-0000E5C20000}"/>
    <cellStyle name="Normal 5 3 6" xfId="21502" xr:uid="{00000000-0005-0000-0000-0000E6C20000}"/>
    <cellStyle name="Normal 5 3 7" xfId="36469" xr:uid="{00000000-0005-0000-0000-0000E7C20000}"/>
    <cellStyle name="Normal 5 3 8" xfId="51407" xr:uid="{00000000-0005-0000-0000-0000E8C20000}"/>
    <cellStyle name="Normal 5 3 9" xfId="51812" xr:uid="{00000000-0005-0000-0000-0000E9C20000}"/>
    <cellStyle name="Normal 5 33" xfId="1704" xr:uid="{00000000-0005-0000-0000-0000EAC20000}"/>
    <cellStyle name="Normal 5 33 2" xfId="1705" xr:uid="{00000000-0005-0000-0000-0000EBC20000}"/>
    <cellStyle name="Normal 5 33 3" xfId="1706" xr:uid="{00000000-0005-0000-0000-0000ECC20000}"/>
    <cellStyle name="Normal 5 4" xfId="1707" xr:uid="{00000000-0005-0000-0000-0000EDC20000}"/>
    <cellStyle name="Normal 5 4 2" xfId="1708" xr:uid="{00000000-0005-0000-0000-0000EEC20000}"/>
    <cellStyle name="Normal 5 4 2 2" xfId="11077" xr:uid="{00000000-0005-0000-0000-0000EFC20000}"/>
    <cellStyle name="Normal 5 4 3" xfId="7426" xr:uid="{00000000-0005-0000-0000-0000F0C20000}"/>
    <cellStyle name="Normal 5 5" xfId="1709" xr:uid="{00000000-0005-0000-0000-0000F1C20000}"/>
    <cellStyle name="Normal 5 5 2" xfId="12310" xr:uid="{00000000-0005-0000-0000-0000F2C20000}"/>
    <cellStyle name="Normal 5 5 2 2" xfId="28589" xr:uid="{00000000-0005-0000-0000-0000F3C20000}"/>
    <cellStyle name="Normal 5 5 2 3" xfId="43550" xr:uid="{00000000-0005-0000-0000-0000F4C20000}"/>
    <cellStyle name="Normal 5 5 3" xfId="21587" xr:uid="{00000000-0005-0000-0000-0000F5C20000}"/>
    <cellStyle name="Normal 5 5 4" xfId="36553" xr:uid="{00000000-0005-0000-0000-0000F6C20000}"/>
    <cellStyle name="Normal 5 6" xfId="1710" xr:uid="{00000000-0005-0000-0000-0000F7C20000}"/>
    <cellStyle name="Normal 5 7" xfId="1711" xr:uid="{00000000-0005-0000-0000-0000F8C20000}"/>
    <cellStyle name="Normal 6" xfId="1712" xr:uid="{00000000-0005-0000-0000-0000F9C20000}"/>
    <cellStyle name="Normal 6 10" xfId="11883" xr:uid="{00000000-0005-0000-0000-0000FAC20000}"/>
    <cellStyle name="Normal 6 10 2" xfId="28169" xr:uid="{00000000-0005-0000-0000-0000FBC20000}"/>
    <cellStyle name="Normal 6 10 3" xfId="43138" xr:uid="{00000000-0005-0000-0000-0000FCC20000}"/>
    <cellStyle name="Normal 6 11" xfId="19649" xr:uid="{00000000-0005-0000-0000-0000FDC20000}"/>
    <cellStyle name="Normal 6 11 2" xfId="35726" xr:uid="{00000000-0005-0000-0000-0000FEC20000}"/>
    <cellStyle name="Normal 6 11 3" xfId="50682" xr:uid="{00000000-0005-0000-0000-0000FFC20000}"/>
    <cellStyle name="Normal 6 12" xfId="21492" xr:uid="{00000000-0005-0000-0000-000000C30000}"/>
    <cellStyle name="Normal 6 13" xfId="36463" xr:uid="{00000000-0005-0000-0000-000001C30000}"/>
    <cellStyle name="Normal 6 14" xfId="51400" xr:uid="{00000000-0005-0000-0000-000002C30000}"/>
    <cellStyle name="Normal 6 15" xfId="51794" xr:uid="{00000000-0005-0000-0000-000003C30000}"/>
    <cellStyle name="Normal 6 16" xfId="52200" xr:uid="{00000000-0005-0000-0000-000004C30000}"/>
    <cellStyle name="Normal 6 17" xfId="52608" xr:uid="{00000000-0005-0000-0000-000005C30000}"/>
    <cellStyle name="Normal 6 2" xfId="1713" xr:uid="{00000000-0005-0000-0000-000006C30000}"/>
    <cellStyle name="Normal 6 2 2" xfId="1714" xr:uid="{00000000-0005-0000-0000-000007C30000}"/>
    <cellStyle name="Normal 6 2 2 2" xfId="10049" xr:uid="{00000000-0005-0000-0000-000008C30000}"/>
    <cellStyle name="Normal 6 2 2 2 2" xfId="17904" xr:uid="{00000000-0005-0000-0000-000009C30000}"/>
    <cellStyle name="Normal 6 2 2 2 2 2" xfId="34180" xr:uid="{00000000-0005-0000-0000-00000AC30000}"/>
    <cellStyle name="Normal 6 2 2 2 2 3" xfId="49139" xr:uid="{00000000-0005-0000-0000-00000BC30000}"/>
    <cellStyle name="Normal 6 2 2 2 3" xfId="27178" xr:uid="{00000000-0005-0000-0000-00000CC30000}"/>
    <cellStyle name="Normal 6 2 2 2 4" xfId="42142" xr:uid="{00000000-0005-0000-0000-00000DC30000}"/>
    <cellStyle name="Normal 6 2 2 3" xfId="15454" xr:uid="{00000000-0005-0000-0000-00000EC30000}"/>
    <cellStyle name="Normal 6 2 2 3 2" xfId="31735" xr:uid="{00000000-0005-0000-0000-00000FC30000}"/>
    <cellStyle name="Normal 6 2 2 3 3" xfId="46695" xr:uid="{00000000-0005-0000-0000-000010C30000}"/>
    <cellStyle name="Normal 6 2 2 4" xfId="20665" xr:uid="{00000000-0005-0000-0000-000011C30000}"/>
    <cellStyle name="Normal 6 2 2 5" xfId="24733" xr:uid="{00000000-0005-0000-0000-000012C30000}"/>
    <cellStyle name="Normal 6 2 2 6" xfId="39698" xr:uid="{00000000-0005-0000-0000-000013C30000}"/>
    <cellStyle name="Normal 6 2 2 7" xfId="7432" xr:uid="{00000000-0005-0000-0000-000014C30000}"/>
    <cellStyle name="Normal 6 2 3" xfId="1715" xr:uid="{00000000-0005-0000-0000-000015C30000}"/>
    <cellStyle name="Normal 6 2 3 2" xfId="9287" xr:uid="{00000000-0005-0000-0000-000016C30000}"/>
    <cellStyle name="Normal 6 2 3 2 2" xfId="17151" xr:uid="{00000000-0005-0000-0000-000017C30000}"/>
    <cellStyle name="Normal 6 2 3 2 2 2" xfId="33427" xr:uid="{00000000-0005-0000-0000-000018C30000}"/>
    <cellStyle name="Normal 6 2 3 2 2 3" xfId="48386" xr:uid="{00000000-0005-0000-0000-000019C30000}"/>
    <cellStyle name="Normal 6 2 3 2 3" xfId="26425" xr:uid="{00000000-0005-0000-0000-00001AC30000}"/>
    <cellStyle name="Normal 6 2 3 2 4" xfId="41389" xr:uid="{00000000-0005-0000-0000-00001BC30000}"/>
    <cellStyle name="Normal 6 2 3 3" xfId="15455" xr:uid="{00000000-0005-0000-0000-00001CC30000}"/>
    <cellStyle name="Normal 6 2 3 3 2" xfId="31736" xr:uid="{00000000-0005-0000-0000-00001DC30000}"/>
    <cellStyle name="Normal 6 2 3 3 3" xfId="46696" xr:uid="{00000000-0005-0000-0000-00001EC30000}"/>
    <cellStyle name="Normal 6 2 3 4" xfId="21167" xr:uid="{00000000-0005-0000-0000-00001FC30000}"/>
    <cellStyle name="Normal 6 2 3 4 2" xfId="36132" xr:uid="{00000000-0005-0000-0000-000020C30000}"/>
    <cellStyle name="Normal 6 2 3 4 3" xfId="51088" xr:uid="{00000000-0005-0000-0000-000021C30000}"/>
    <cellStyle name="Normal 6 2 3 5" xfId="24734" xr:uid="{00000000-0005-0000-0000-000022C30000}"/>
    <cellStyle name="Normal 6 2 3 6" xfId="39699" xr:uid="{00000000-0005-0000-0000-000023C30000}"/>
    <cellStyle name="Normal 6 2 4" xfId="1716" xr:uid="{00000000-0005-0000-0000-000024C30000}"/>
    <cellStyle name="Normal 6 2 4 2" xfId="16173" xr:uid="{00000000-0005-0000-0000-000025C30000}"/>
    <cellStyle name="Normal 6 2 4 2 2" xfId="32449" xr:uid="{00000000-0005-0000-0000-000026C30000}"/>
    <cellStyle name="Normal 6 2 4 2 3" xfId="47408" xr:uid="{00000000-0005-0000-0000-000027C30000}"/>
    <cellStyle name="Normal 6 2 4 3" xfId="25447" xr:uid="{00000000-0005-0000-0000-000028C30000}"/>
    <cellStyle name="Normal 6 2 4 4" xfId="40411" xr:uid="{00000000-0005-0000-0000-000029C30000}"/>
    <cellStyle name="Normal 6 2 4 5" xfId="8305" xr:uid="{00000000-0005-0000-0000-00002AC30000}"/>
    <cellStyle name="Normal 6 2 5" xfId="1717" xr:uid="{00000000-0005-0000-0000-00002BC30000}"/>
    <cellStyle name="Normal 6 2 5 2" xfId="15453" xr:uid="{00000000-0005-0000-0000-00002CC30000}"/>
    <cellStyle name="Normal 6 2 5 2 2" xfId="31734" xr:uid="{00000000-0005-0000-0000-00002DC30000}"/>
    <cellStyle name="Normal 6 2 5 2 3" xfId="46694" xr:uid="{00000000-0005-0000-0000-00002EC30000}"/>
    <cellStyle name="Normal 6 2 5 3" xfId="24732" xr:uid="{00000000-0005-0000-0000-00002FC30000}"/>
    <cellStyle name="Normal 6 2 5 4" xfId="39697" xr:uid="{00000000-0005-0000-0000-000030C30000}"/>
    <cellStyle name="Normal 6 2 5 5" xfId="7431" xr:uid="{00000000-0005-0000-0000-000031C30000}"/>
    <cellStyle name="Normal 6 2 6" xfId="19650" xr:uid="{00000000-0005-0000-0000-000032C30000}"/>
    <cellStyle name="Normal 6 3" xfId="1718" xr:uid="{00000000-0005-0000-0000-000033C30000}"/>
    <cellStyle name="Normal 6 3 10" xfId="51408" xr:uid="{00000000-0005-0000-0000-000034C30000}"/>
    <cellStyle name="Normal 6 3 11" xfId="51813" xr:uid="{00000000-0005-0000-0000-000035C30000}"/>
    <cellStyle name="Normal 6 3 12" xfId="52222" xr:uid="{00000000-0005-0000-0000-000036C30000}"/>
    <cellStyle name="Normal 6 3 13" xfId="52627" xr:uid="{00000000-0005-0000-0000-000037C30000}"/>
    <cellStyle name="Normal 6 3 2" xfId="1719" xr:uid="{00000000-0005-0000-0000-000038C30000}"/>
    <cellStyle name="Normal 6 3 2 2" xfId="21146" xr:uid="{00000000-0005-0000-0000-000039C30000}"/>
    <cellStyle name="Normal 6 3 2 2 2" xfId="36115" xr:uid="{00000000-0005-0000-0000-00003AC30000}"/>
    <cellStyle name="Normal 6 3 2 2 3" xfId="51071" xr:uid="{00000000-0005-0000-0000-00003BC30000}"/>
    <cellStyle name="Normal 6 3 2 3" xfId="7434" xr:uid="{00000000-0005-0000-0000-00003CC30000}"/>
    <cellStyle name="Normal 6 3 3" xfId="1720" xr:uid="{00000000-0005-0000-0000-00003DC30000}"/>
    <cellStyle name="Normal 6 3 3 2" xfId="11081" xr:uid="{00000000-0005-0000-0000-00003EC30000}"/>
    <cellStyle name="Normal 6 3 4" xfId="7433" xr:uid="{00000000-0005-0000-0000-00003FC30000}"/>
    <cellStyle name="Normal 6 3 5" xfId="11127" xr:uid="{00000000-0005-0000-0000-000040C30000}"/>
    <cellStyle name="Normal 6 3 5 2" xfId="18877" xr:uid="{00000000-0005-0000-0000-000041C30000}"/>
    <cellStyle name="Normal 6 3 5 2 2" xfId="35156" xr:uid="{00000000-0005-0000-0000-000042C30000}"/>
    <cellStyle name="Normal 6 3 5 2 3" xfId="50115" xr:uid="{00000000-0005-0000-0000-000043C30000}"/>
    <cellStyle name="Normal 6 3 5 3" xfId="28146" xr:uid="{00000000-0005-0000-0000-000044C30000}"/>
    <cellStyle name="Normal 6 3 5 4" xfId="43116" xr:uid="{00000000-0005-0000-0000-000045C30000}"/>
    <cellStyle name="Normal 6 3 6" xfId="12224" xr:uid="{00000000-0005-0000-0000-000046C30000}"/>
    <cellStyle name="Normal 6 3 6 2" xfId="28503" xr:uid="{00000000-0005-0000-0000-000047C30000}"/>
    <cellStyle name="Normal 6 3 6 3" xfId="43466" xr:uid="{00000000-0005-0000-0000-000048C30000}"/>
    <cellStyle name="Normal 6 3 7" xfId="20664" xr:uid="{00000000-0005-0000-0000-000049C30000}"/>
    <cellStyle name="Normal 6 3 7 2" xfId="36095" xr:uid="{00000000-0005-0000-0000-00004AC30000}"/>
    <cellStyle name="Normal 6 3 7 3" xfId="51051" xr:uid="{00000000-0005-0000-0000-00004BC30000}"/>
    <cellStyle name="Normal 6 3 8" xfId="21503" xr:uid="{00000000-0005-0000-0000-00004CC30000}"/>
    <cellStyle name="Normal 6 3 9" xfId="36470" xr:uid="{00000000-0005-0000-0000-00004DC30000}"/>
    <cellStyle name="Normal 6 4" xfId="1721" xr:uid="{00000000-0005-0000-0000-00004EC30000}"/>
    <cellStyle name="Normal 6 4 10" xfId="51482" xr:uid="{00000000-0005-0000-0000-00004FC30000}"/>
    <cellStyle name="Normal 6 4 11" xfId="51887" xr:uid="{00000000-0005-0000-0000-000050C30000}"/>
    <cellStyle name="Normal 6 4 12" xfId="52296" xr:uid="{00000000-0005-0000-0000-000051C30000}"/>
    <cellStyle name="Normal 6 4 13" xfId="52701" xr:uid="{00000000-0005-0000-0000-000052C30000}"/>
    <cellStyle name="Normal 6 4 2" xfId="1722" xr:uid="{00000000-0005-0000-0000-000053C30000}"/>
    <cellStyle name="Normal 6 4 2 2" xfId="9812" xr:uid="{00000000-0005-0000-0000-000054C30000}"/>
    <cellStyle name="Normal 6 4 2 2 2" xfId="17666" xr:uid="{00000000-0005-0000-0000-000055C30000}"/>
    <cellStyle name="Normal 6 4 2 2 2 2" xfId="33942" xr:uid="{00000000-0005-0000-0000-000056C30000}"/>
    <cellStyle name="Normal 6 4 2 2 2 3" xfId="48901" xr:uid="{00000000-0005-0000-0000-000057C30000}"/>
    <cellStyle name="Normal 6 4 2 2 3" xfId="26940" xr:uid="{00000000-0005-0000-0000-000058C30000}"/>
    <cellStyle name="Normal 6 4 2 2 4" xfId="41904" xr:uid="{00000000-0005-0000-0000-000059C30000}"/>
    <cellStyle name="Normal 6 4 2 3" xfId="15457" xr:uid="{00000000-0005-0000-0000-00005AC30000}"/>
    <cellStyle name="Normal 6 4 2 3 2" xfId="31738" xr:uid="{00000000-0005-0000-0000-00005BC30000}"/>
    <cellStyle name="Normal 6 4 2 3 3" xfId="46698" xr:uid="{00000000-0005-0000-0000-00005CC30000}"/>
    <cellStyle name="Normal 6 4 2 4" xfId="24736" xr:uid="{00000000-0005-0000-0000-00005DC30000}"/>
    <cellStyle name="Normal 6 4 2 5" xfId="39701" xr:uid="{00000000-0005-0000-0000-00005EC30000}"/>
    <cellStyle name="Normal 6 4 3" xfId="8306" xr:uid="{00000000-0005-0000-0000-00005FC30000}"/>
    <cellStyle name="Normal 6 4 3 2" xfId="16174" xr:uid="{00000000-0005-0000-0000-000060C30000}"/>
    <cellStyle name="Normal 6 4 3 2 2" xfId="32450" xr:uid="{00000000-0005-0000-0000-000061C30000}"/>
    <cellStyle name="Normal 6 4 3 2 3" xfId="47409" xr:uid="{00000000-0005-0000-0000-000062C30000}"/>
    <cellStyle name="Normal 6 4 3 3" xfId="25448" xr:uid="{00000000-0005-0000-0000-000063C30000}"/>
    <cellStyle name="Normal 6 4 3 4" xfId="40412" xr:uid="{00000000-0005-0000-0000-000064C30000}"/>
    <cellStyle name="Normal 6 4 4" xfId="7435" xr:uid="{00000000-0005-0000-0000-000065C30000}"/>
    <cellStyle name="Normal 6 4 4 2" xfId="15456" xr:uid="{00000000-0005-0000-0000-000066C30000}"/>
    <cellStyle name="Normal 6 4 4 2 2" xfId="31737" xr:uid="{00000000-0005-0000-0000-000067C30000}"/>
    <cellStyle name="Normal 6 4 4 2 3" xfId="46697" xr:uid="{00000000-0005-0000-0000-000068C30000}"/>
    <cellStyle name="Normal 6 4 4 3" xfId="24735" xr:uid="{00000000-0005-0000-0000-000069C30000}"/>
    <cellStyle name="Normal 6 4 4 4" xfId="39700" xr:uid="{00000000-0005-0000-0000-00006AC30000}"/>
    <cellStyle name="Normal 6 4 5" xfId="11138" xr:uid="{00000000-0005-0000-0000-00006BC30000}"/>
    <cellStyle name="Normal 6 4 5 2" xfId="18889" xr:uid="{00000000-0005-0000-0000-00006CC30000}"/>
    <cellStyle name="Normal 6 4 5 2 2" xfId="35168" xr:uid="{00000000-0005-0000-0000-00006DC30000}"/>
    <cellStyle name="Normal 6 4 5 2 3" xfId="50127" xr:uid="{00000000-0005-0000-0000-00006EC30000}"/>
    <cellStyle name="Normal 6 4 5 3" xfId="28158" xr:uid="{00000000-0005-0000-0000-00006FC30000}"/>
    <cellStyle name="Normal 6 4 5 4" xfId="43128" xr:uid="{00000000-0005-0000-0000-000070C30000}"/>
    <cellStyle name="Normal 6 4 6" xfId="12298" xr:uid="{00000000-0005-0000-0000-000071C30000}"/>
    <cellStyle name="Normal 6 4 6 2" xfId="28577" xr:uid="{00000000-0005-0000-0000-000072C30000}"/>
    <cellStyle name="Normal 6 4 6 3" xfId="43540" xr:uid="{00000000-0005-0000-0000-000073C30000}"/>
    <cellStyle name="Normal 6 4 7" xfId="21161" xr:uid="{00000000-0005-0000-0000-000074C30000}"/>
    <cellStyle name="Normal 6 4 7 2" xfId="36128" xr:uid="{00000000-0005-0000-0000-000075C30000}"/>
    <cellStyle name="Normal 6 4 7 3" xfId="51084" xr:uid="{00000000-0005-0000-0000-000076C30000}"/>
    <cellStyle name="Normal 6 4 8" xfId="21577" xr:uid="{00000000-0005-0000-0000-000077C30000}"/>
    <cellStyle name="Normal 6 4 9" xfId="36544" xr:uid="{00000000-0005-0000-0000-000078C30000}"/>
    <cellStyle name="Normal 6 5" xfId="1723" xr:uid="{00000000-0005-0000-0000-000079C30000}"/>
    <cellStyle name="Normal 6 5 2" xfId="9040" xr:uid="{00000000-0005-0000-0000-00007AC30000}"/>
    <cellStyle name="Normal 6 5 2 2" xfId="16904" xr:uid="{00000000-0005-0000-0000-00007BC30000}"/>
    <cellStyle name="Normal 6 5 2 2 2" xfId="33180" xr:uid="{00000000-0005-0000-0000-00007CC30000}"/>
    <cellStyle name="Normal 6 5 2 2 3" xfId="48139" xr:uid="{00000000-0005-0000-0000-00007DC30000}"/>
    <cellStyle name="Normal 6 5 2 3" xfId="26178" xr:uid="{00000000-0005-0000-0000-00007EC30000}"/>
    <cellStyle name="Normal 6 5 2 4" xfId="41142" xr:uid="{00000000-0005-0000-0000-00007FC30000}"/>
    <cellStyle name="Normal 6 5 3" xfId="15458" xr:uid="{00000000-0005-0000-0000-000080C30000}"/>
    <cellStyle name="Normal 6 5 3 2" xfId="31739" xr:uid="{00000000-0005-0000-0000-000081C30000}"/>
    <cellStyle name="Normal 6 5 3 3" xfId="46699" xr:uid="{00000000-0005-0000-0000-000082C30000}"/>
    <cellStyle name="Normal 6 5 4" xfId="21127" xr:uid="{00000000-0005-0000-0000-000083C30000}"/>
    <cellStyle name="Normal 6 5 4 2" xfId="36105" xr:uid="{00000000-0005-0000-0000-000084C30000}"/>
    <cellStyle name="Normal 6 5 4 3" xfId="51061" xr:uid="{00000000-0005-0000-0000-000085C30000}"/>
    <cellStyle name="Normal 6 5 5" xfId="24737" xr:uid="{00000000-0005-0000-0000-000086C30000}"/>
    <cellStyle name="Normal 6 5 6" xfId="39702" xr:uid="{00000000-0005-0000-0000-000087C30000}"/>
    <cellStyle name="Normal 6 5 7" xfId="7436" xr:uid="{00000000-0005-0000-0000-000088C30000}"/>
    <cellStyle name="Normal 6 6" xfId="7430" xr:uid="{00000000-0005-0000-0000-000089C30000}"/>
    <cellStyle name="Normal 6 6 2" xfId="11080" xr:uid="{00000000-0005-0000-0000-00008AC30000}"/>
    <cellStyle name="Normal 6 7" xfId="3824" xr:uid="{00000000-0005-0000-0000-00008BC30000}"/>
    <cellStyle name="Normal 6 7 2" xfId="12311" xr:uid="{00000000-0005-0000-0000-00008CC30000}"/>
    <cellStyle name="Normal 6 7 2 2" xfId="28590" xr:uid="{00000000-0005-0000-0000-00008DC30000}"/>
    <cellStyle name="Normal 6 7 2 3" xfId="43551" xr:uid="{00000000-0005-0000-0000-00008EC30000}"/>
    <cellStyle name="Normal 6 7 3" xfId="21588" xr:uid="{00000000-0005-0000-0000-00008FC30000}"/>
    <cellStyle name="Normal 6 7 4" xfId="36554" xr:uid="{00000000-0005-0000-0000-000090C30000}"/>
    <cellStyle name="Normal 6 8" xfId="11119" xr:uid="{00000000-0005-0000-0000-000091C30000}"/>
    <cellStyle name="Normal 6 8 2" xfId="18862" xr:uid="{00000000-0005-0000-0000-000092C30000}"/>
    <cellStyle name="Normal 6 8 2 2" xfId="35137" xr:uid="{00000000-0005-0000-0000-000093C30000}"/>
    <cellStyle name="Normal 6 8 2 3" xfId="50096" xr:uid="{00000000-0005-0000-0000-000094C30000}"/>
    <cellStyle name="Normal 6 8 3" xfId="28135" xr:uid="{00000000-0005-0000-0000-000095C30000}"/>
    <cellStyle name="Normal 6 8 4" xfId="43099" xr:uid="{00000000-0005-0000-0000-000096C30000}"/>
    <cellStyle name="Normal 6 9" xfId="11658" xr:uid="{00000000-0005-0000-0000-000097C30000}"/>
    <cellStyle name="Normal 6 9 2" xfId="18895" xr:uid="{00000000-0005-0000-0000-000098C30000}"/>
    <cellStyle name="Normal 6 9 2 2" xfId="35174" xr:uid="{00000000-0005-0000-0000-000099C30000}"/>
    <cellStyle name="Normal 6 9 2 3" xfId="50132" xr:uid="{00000000-0005-0000-0000-00009AC30000}"/>
    <cellStyle name="Normal 6 9 3" xfId="28163" xr:uid="{00000000-0005-0000-0000-00009BC30000}"/>
    <cellStyle name="Normal 6 9 4" xfId="43133" xr:uid="{00000000-0005-0000-0000-00009CC30000}"/>
    <cellStyle name="Normal 7" xfId="1724" xr:uid="{00000000-0005-0000-0000-00009DC30000}"/>
    <cellStyle name="Normal 7 2" xfId="1725" xr:uid="{00000000-0005-0000-0000-00009EC30000}"/>
    <cellStyle name="Normal 7 2 2" xfId="1726" xr:uid="{00000000-0005-0000-0000-00009FC30000}"/>
    <cellStyle name="Normal 7 2 2 2" xfId="1727" xr:uid="{00000000-0005-0000-0000-0000A0C30000}"/>
    <cellStyle name="Normal 7 2 2 2 2" xfId="35123" xr:uid="{00000000-0005-0000-0000-0000A1C30000}"/>
    <cellStyle name="Normal 7 2 2 2 3" xfId="50082" xr:uid="{00000000-0005-0000-0000-0000A2C30000}"/>
    <cellStyle name="Normal 7 2 2 2 4" xfId="18847" xr:uid="{00000000-0005-0000-0000-0000A3C30000}"/>
    <cellStyle name="Normal 7 2 2 3" xfId="21162" xr:uid="{00000000-0005-0000-0000-0000A4C30000}"/>
    <cellStyle name="Normal 7 2 2 4" xfId="28121" xr:uid="{00000000-0005-0000-0000-0000A5C30000}"/>
    <cellStyle name="Normal 7 2 2 5" xfId="43085" xr:uid="{00000000-0005-0000-0000-0000A6C30000}"/>
    <cellStyle name="Normal 7 2 2 6" xfId="11042" xr:uid="{00000000-0005-0000-0000-0000A7C30000}"/>
    <cellStyle name="Normal 7 2 3" xfId="1728" xr:uid="{00000000-0005-0000-0000-0000A8C30000}"/>
    <cellStyle name="Normal 7 2 3 2" xfId="11082" xr:uid="{00000000-0005-0000-0000-0000A9C30000}"/>
    <cellStyle name="Normal 7 2 4" xfId="7438" xr:uid="{00000000-0005-0000-0000-0000AAC30000}"/>
    <cellStyle name="Normal 7 2 5" xfId="19651" xr:uid="{00000000-0005-0000-0000-0000ABC30000}"/>
    <cellStyle name="Normal 7 3" xfId="1729" xr:uid="{00000000-0005-0000-0000-0000ACC30000}"/>
    <cellStyle name="Normal 7 3 10" xfId="52223" xr:uid="{00000000-0005-0000-0000-0000ADC30000}"/>
    <cellStyle name="Normal 7 3 11" xfId="52628" xr:uid="{00000000-0005-0000-0000-0000AEC30000}"/>
    <cellStyle name="Normal 7 3 2" xfId="1730" xr:uid="{00000000-0005-0000-0000-0000AFC30000}"/>
    <cellStyle name="Normal 7 3 2 2" xfId="1731" xr:uid="{00000000-0005-0000-0000-0000B0C30000}"/>
    <cellStyle name="Normal 7 3 3" xfId="1732" xr:uid="{00000000-0005-0000-0000-0000B1C30000}"/>
    <cellStyle name="Normal 7 3 3 2" xfId="7439" xr:uid="{00000000-0005-0000-0000-0000B2C30000}"/>
    <cellStyle name="Normal 7 3 4" xfId="11128" xr:uid="{00000000-0005-0000-0000-0000B3C30000}"/>
    <cellStyle name="Normal 7 3 4 2" xfId="18878" xr:uid="{00000000-0005-0000-0000-0000B4C30000}"/>
    <cellStyle name="Normal 7 3 4 2 2" xfId="35157" xr:uid="{00000000-0005-0000-0000-0000B5C30000}"/>
    <cellStyle name="Normal 7 3 4 2 3" xfId="50116" xr:uid="{00000000-0005-0000-0000-0000B6C30000}"/>
    <cellStyle name="Normal 7 3 4 3" xfId="28147" xr:uid="{00000000-0005-0000-0000-0000B7C30000}"/>
    <cellStyle name="Normal 7 3 4 4" xfId="43117" xr:uid="{00000000-0005-0000-0000-0000B8C30000}"/>
    <cellStyle name="Normal 7 3 5" xfId="12225" xr:uid="{00000000-0005-0000-0000-0000B9C30000}"/>
    <cellStyle name="Normal 7 3 5 2" xfId="28504" xr:uid="{00000000-0005-0000-0000-0000BAC30000}"/>
    <cellStyle name="Normal 7 3 5 3" xfId="43467" xr:uid="{00000000-0005-0000-0000-0000BBC30000}"/>
    <cellStyle name="Normal 7 3 6" xfId="21504" xr:uid="{00000000-0005-0000-0000-0000BCC30000}"/>
    <cellStyle name="Normal 7 3 7" xfId="36471" xr:uid="{00000000-0005-0000-0000-0000BDC30000}"/>
    <cellStyle name="Normal 7 3 8" xfId="51409" xr:uid="{00000000-0005-0000-0000-0000BEC30000}"/>
    <cellStyle name="Normal 7 3 9" xfId="51814" xr:uid="{00000000-0005-0000-0000-0000BFC30000}"/>
    <cellStyle name="Normal 7 4" xfId="1733" xr:uid="{00000000-0005-0000-0000-0000C0C30000}"/>
    <cellStyle name="Normal 7 4 2" xfId="10824" xr:uid="{00000000-0005-0000-0000-0000C1C30000}"/>
    <cellStyle name="Normal 7 4 2 2" xfId="18662" xr:uid="{00000000-0005-0000-0000-0000C2C30000}"/>
    <cellStyle name="Normal 7 4 2 2 2" xfId="34938" xr:uid="{00000000-0005-0000-0000-0000C3C30000}"/>
    <cellStyle name="Normal 7 4 2 2 3" xfId="49897" xr:uid="{00000000-0005-0000-0000-0000C4C30000}"/>
    <cellStyle name="Normal 7 4 2 3" xfId="27936" xr:uid="{00000000-0005-0000-0000-0000C5C30000}"/>
    <cellStyle name="Normal 7 4 2 4" xfId="42900" xr:uid="{00000000-0005-0000-0000-0000C6C30000}"/>
    <cellStyle name="Normal 7 4 3" xfId="15460" xr:uid="{00000000-0005-0000-0000-0000C7C30000}"/>
    <cellStyle name="Normal 7 4 3 2" xfId="31741" xr:uid="{00000000-0005-0000-0000-0000C8C30000}"/>
    <cellStyle name="Normal 7 4 3 3" xfId="46701" xr:uid="{00000000-0005-0000-0000-0000C9C30000}"/>
    <cellStyle name="Normal 7 4 4" xfId="24739" xr:uid="{00000000-0005-0000-0000-0000CAC30000}"/>
    <cellStyle name="Normal 7 4 5" xfId="39704" xr:uid="{00000000-0005-0000-0000-0000CBC30000}"/>
    <cellStyle name="Normal 7 5" xfId="1734" xr:uid="{00000000-0005-0000-0000-0000CCC30000}"/>
    <cellStyle name="Normal 7 5 2" xfId="16175" xr:uid="{00000000-0005-0000-0000-0000CDC30000}"/>
    <cellStyle name="Normal 7 5 2 2" xfId="32451" xr:uid="{00000000-0005-0000-0000-0000CEC30000}"/>
    <cellStyle name="Normal 7 5 2 3" xfId="47410" xr:uid="{00000000-0005-0000-0000-0000CFC30000}"/>
    <cellStyle name="Normal 7 5 3" xfId="25449" xr:uid="{00000000-0005-0000-0000-0000D0C30000}"/>
    <cellStyle name="Normal 7 5 4" xfId="40413" xr:uid="{00000000-0005-0000-0000-0000D1C30000}"/>
    <cellStyle name="Normal 7 6" xfId="1735" xr:uid="{00000000-0005-0000-0000-0000D2C30000}"/>
    <cellStyle name="Normal 7 6 2" xfId="15459" xr:uid="{00000000-0005-0000-0000-0000D3C30000}"/>
    <cellStyle name="Normal 7 6 2 2" xfId="31740" xr:uid="{00000000-0005-0000-0000-0000D4C30000}"/>
    <cellStyle name="Normal 7 6 2 3" xfId="46700" xr:uid="{00000000-0005-0000-0000-0000D5C30000}"/>
    <cellStyle name="Normal 7 6 3" xfId="24738" xr:uid="{00000000-0005-0000-0000-0000D6C30000}"/>
    <cellStyle name="Normal 7 6 4" xfId="39703" xr:uid="{00000000-0005-0000-0000-0000D7C30000}"/>
    <cellStyle name="Normal 7 6 5" xfId="7437" xr:uid="{00000000-0005-0000-0000-0000D8C30000}"/>
    <cellStyle name="Normal 7 7" xfId="3825" xr:uid="{00000000-0005-0000-0000-0000D9C30000}"/>
    <cellStyle name="Normal 7 7 2" xfId="12312" xr:uid="{00000000-0005-0000-0000-0000DAC30000}"/>
    <cellStyle name="Normal 7 7 2 2" xfId="28591" xr:uid="{00000000-0005-0000-0000-0000DBC30000}"/>
    <cellStyle name="Normal 7 7 2 3" xfId="43552" xr:uid="{00000000-0005-0000-0000-0000DCC30000}"/>
    <cellStyle name="Normal 7 7 3" xfId="21589" xr:uid="{00000000-0005-0000-0000-0000DDC30000}"/>
    <cellStyle name="Normal 7 7 4" xfId="36555" xr:uid="{00000000-0005-0000-0000-0000DEC30000}"/>
    <cellStyle name="Normal 8" xfId="1736" xr:uid="{00000000-0005-0000-0000-0000DFC30000}"/>
    <cellStyle name="Normal 8 10" xfId="11659" xr:uid="{00000000-0005-0000-0000-0000E0C30000}"/>
    <cellStyle name="Normal 8 11" xfId="12205" xr:uid="{00000000-0005-0000-0000-0000E1C30000}"/>
    <cellStyle name="Normal 8 2" xfId="1737" xr:uid="{00000000-0005-0000-0000-0000E2C30000}"/>
    <cellStyle name="Normal 8 2 10" xfId="51815" xr:uid="{00000000-0005-0000-0000-0000E3C30000}"/>
    <cellStyle name="Normal 8 2 11" xfId="52224" xr:uid="{00000000-0005-0000-0000-0000E4C30000}"/>
    <cellStyle name="Normal 8 2 12" xfId="52629" xr:uid="{00000000-0005-0000-0000-0000E5C30000}"/>
    <cellStyle name="Normal 8 2 2" xfId="1738" xr:uid="{00000000-0005-0000-0000-0000E6C30000}"/>
    <cellStyle name="Normal 8 2 2 2" xfId="1739" xr:uid="{00000000-0005-0000-0000-0000E7C30000}"/>
    <cellStyle name="Normal 8 2 2 2 2" xfId="36116" xr:uid="{00000000-0005-0000-0000-0000E8C30000}"/>
    <cellStyle name="Normal 8 2 2 2 3" xfId="51072" xr:uid="{00000000-0005-0000-0000-0000E9C30000}"/>
    <cellStyle name="Normal 8 2 2 2 4" xfId="21147" xr:uid="{00000000-0005-0000-0000-0000EAC30000}"/>
    <cellStyle name="Normal 8 2 2 3" xfId="20666" xr:uid="{00000000-0005-0000-0000-0000EBC30000}"/>
    <cellStyle name="Normal 8 2 2 3 2" xfId="36096" xr:uid="{00000000-0005-0000-0000-0000ECC30000}"/>
    <cellStyle name="Normal 8 2 2 3 3" xfId="51052" xr:uid="{00000000-0005-0000-0000-0000EDC30000}"/>
    <cellStyle name="Normal 8 2 3" xfId="1740" xr:uid="{00000000-0005-0000-0000-0000EEC30000}"/>
    <cellStyle name="Normal 8 2 3 2" xfId="21128" xr:uid="{00000000-0005-0000-0000-0000EFC30000}"/>
    <cellStyle name="Normal 8 2 3 2 2" xfId="36106" xr:uid="{00000000-0005-0000-0000-0000F0C30000}"/>
    <cellStyle name="Normal 8 2 3 2 3" xfId="51062" xr:uid="{00000000-0005-0000-0000-0000F1C30000}"/>
    <cellStyle name="Normal 8 2 3 3" xfId="7441" xr:uid="{00000000-0005-0000-0000-0000F2C30000}"/>
    <cellStyle name="Normal 8 2 4" xfId="11129" xr:uid="{00000000-0005-0000-0000-0000F3C30000}"/>
    <cellStyle name="Normal 8 2 4 2" xfId="18879" xr:uid="{00000000-0005-0000-0000-0000F4C30000}"/>
    <cellStyle name="Normal 8 2 4 2 2" xfId="35158" xr:uid="{00000000-0005-0000-0000-0000F5C30000}"/>
    <cellStyle name="Normal 8 2 4 2 3" xfId="50117" xr:uid="{00000000-0005-0000-0000-0000F6C30000}"/>
    <cellStyle name="Normal 8 2 4 3" xfId="28148" xr:uid="{00000000-0005-0000-0000-0000F7C30000}"/>
    <cellStyle name="Normal 8 2 4 4" xfId="43118" xr:uid="{00000000-0005-0000-0000-0000F8C30000}"/>
    <cellStyle name="Normal 8 2 5" xfId="12226" xr:uid="{00000000-0005-0000-0000-0000F9C30000}"/>
    <cellStyle name="Normal 8 2 5 2" xfId="28505" xr:uid="{00000000-0005-0000-0000-0000FAC30000}"/>
    <cellStyle name="Normal 8 2 5 3" xfId="43468" xr:uid="{00000000-0005-0000-0000-0000FBC30000}"/>
    <cellStyle name="Normal 8 2 6" xfId="19652" xr:uid="{00000000-0005-0000-0000-0000FCC30000}"/>
    <cellStyle name="Normal 8 2 6 2" xfId="35727" xr:uid="{00000000-0005-0000-0000-0000FDC30000}"/>
    <cellStyle name="Normal 8 2 6 3" xfId="50683" xr:uid="{00000000-0005-0000-0000-0000FEC30000}"/>
    <cellStyle name="Normal 8 2 7" xfId="21505" xr:uid="{00000000-0005-0000-0000-0000FFC30000}"/>
    <cellStyle name="Normal 8 2 8" xfId="36472" xr:uid="{00000000-0005-0000-0000-000000C40000}"/>
    <cellStyle name="Normal 8 2 9" xfId="51410" xr:uid="{00000000-0005-0000-0000-000001C40000}"/>
    <cellStyle name="Normal 8 3" xfId="1741" xr:uid="{00000000-0005-0000-0000-000002C40000}"/>
    <cellStyle name="Normal 8 3 2" xfId="1742" xr:uid="{00000000-0005-0000-0000-000003C40000}"/>
    <cellStyle name="Normal 8 4" xfId="1743" xr:uid="{00000000-0005-0000-0000-000004C40000}"/>
    <cellStyle name="Normal 8 4 2" xfId="11083" xr:uid="{00000000-0005-0000-0000-000005C40000}"/>
    <cellStyle name="Normal 8 4 3" xfId="7442" xr:uid="{00000000-0005-0000-0000-000006C40000}"/>
    <cellStyle name="Normal 8 5" xfId="1744" xr:uid="{00000000-0005-0000-0000-000007C40000}"/>
    <cellStyle name="Normal 8 5 2" xfId="7443" xr:uid="{00000000-0005-0000-0000-000008C40000}"/>
    <cellStyle name="Normal 8 6" xfId="1745" xr:uid="{00000000-0005-0000-0000-000009C40000}"/>
    <cellStyle name="Normal 8 6 2" xfId="10464" xr:uid="{00000000-0005-0000-0000-00000AC40000}"/>
    <cellStyle name="Normal 8 6 2 2" xfId="18315" xr:uid="{00000000-0005-0000-0000-00000BC40000}"/>
    <cellStyle name="Normal 8 6 2 2 2" xfId="34591" xr:uid="{00000000-0005-0000-0000-00000CC40000}"/>
    <cellStyle name="Normal 8 6 2 2 3" xfId="49550" xr:uid="{00000000-0005-0000-0000-00000DC40000}"/>
    <cellStyle name="Normal 8 6 2 3" xfId="27589" xr:uid="{00000000-0005-0000-0000-00000EC40000}"/>
    <cellStyle name="Normal 8 6 2 4" xfId="42553" xr:uid="{00000000-0005-0000-0000-00000FC40000}"/>
    <cellStyle name="Normal 8 6 3" xfId="15462" xr:uid="{00000000-0005-0000-0000-000010C40000}"/>
    <cellStyle name="Normal 8 6 3 2" xfId="31743" xr:uid="{00000000-0005-0000-0000-000011C40000}"/>
    <cellStyle name="Normal 8 6 3 3" xfId="46703" xr:uid="{00000000-0005-0000-0000-000012C40000}"/>
    <cellStyle name="Normal 8 6 4" xfId="24741" xr:uid="{00000000-0005-0000-0000-000013C40000}"/>
    <cellStyle name="Normal 8 6 5" xfId="39706" xr:uid="{00000000-0005-0000-0000-000014C40000}"/>
    <cellStyle name="Normal 8 6 6" xfId="7444" xr:uid="{00000000-0005-0000-0000-000015C40000}"/>
    <cellStyle name="Normal 8 7" xfId="1746" xr:uid="{00000000-0005-0000-0000-000016C40000}"/>
    <cellStyle name="Normal 8 7 2" xfId="16176" xr:uid="{00000000-0005-0000-0000-000017C40000}"/>
    <cellStyle name="Normal 8 7 2 2" xfId="32452" xr:uid="{00000000-0005-0000-0000-000018C40000}"/>
    <cellStyle name="Normal 8 7 2 3" xfId="47411" xr:uid="{00000000-0005-0000-0000-000019C40000}"/>
    <cellStyle name="Normal 8 7 3" xfId="25450" xr:uid="{00000000-0005-0000-0000-00001AC40000}"/>
    <cellStyle name="Normal 8 7 4" xfId="40414" xr:uid="{00000000-0005-0000-0000-00001BC40000}"/>
    <cellStyle name="Normal 8 8" xfId="1747" xr:uid="{00000000-0005-0000-0000-00001CC40000}"/>
    <cellStyle name="Normal 8 8 2" xfId="15461" xr:uid="{00000000-0005-0000-0000-00001DC40000}"/>
    <cellStyle name="Normal 8 8 2 2" xfId="31742" xr:uid="{00000000-0005-0000-0000-00001EC40000}"/>
    <cellStyle name="Normal 8 8 2 3" xfId="46702" xr:uid="{00000000-0005-0000-0000-00001FC40000}"/>
    <cellStyle name="Normal 8 8 3" xfId="24740" xr:uid="{00000000-0005-0000-0000-000020C40000}"/>
    <cellStyle name="Normal 8 8 4" xfId="39705" xr:uid="{00000000-0005-0000-0000-000021C40000}"/>
    <cellStyle name="Normal 8 8 5" xfId="7440" xr:uid="{00000000-0005-0000-0000-000022C40000}"/>
    <cellStyle name="Normal 8 9" xfId="3826" xr:uid="{00000000-0005-0000-0000-000023C40000}"/>
    <cellStyle name="Normal 9" xfId="1748" xr:uid="{00000000-0005-0000-0000-000024C40000}"/>
    <cellStyle name="Normal 9 2" xfId="1749" xr:uid="{00000000-0005-0000-0000-000025C40000}"/>
    <cellStyle name="Normal 9 2 10" xfId="52225" xr:uid="{00000000-0005-0000-0000-000026C40000}"/>
    <cellStyle name="Normal 9 2 11" xfId="52630" xr:uid="{00000000-0005-0000-0000-000027C40000}"/>
    <cellStyle name="Normal 9 2 2" xfId="1750" xr:uid="{00000000-0005-0000-0000-000028C40000}"/>
    <cellStyle name="Normal 9 2 2 2" xfId="7446" xr:uid="{00000000-0005-0000-0000-000029C40000}"/>
    <cellStyle name="Normal 9 2 3" xfId="11130" xr:uid="{00000000-0005-0000-0000-00002AC40000}"/>
    <cellStyle name="Normal 9 2 3 2" xfId="18880" xr:uid="{00000000-0005-0000-0000-00002BC40000}"/>
    <cellStyle name="Normal 9 2 3 2 2" xfId="35159" xr:uid="{00000000-0005-0000-0000-00002CC40000}"/>
    <cellStyle name="Normal 9 2 3 2 3" xfId="50118" xr:uid="{00000000-0005-0000-0000-00002DC40000}"/>
    <cellStyle name="Normal 9 2 3 3" xfId="28149" xr:uid="{00000000-0005-0000-0000-00002EC40000}"/>
    <cellStyle name="Normal 9 2 3 4" xfId="43119" xr:uid="{00000000-0005-0000-0000-00002FC40000}"/>
    <cellStyle name="Normal 9 2 4" xfId="12227" xr:uid="{00000000-0005-0000-0000-000030C40000}"/>
    <cellStyle name="Normal 9 2 4 2" xfId="28506" xr:uid="{00000000-0005-0000-0000-000031C40000}"/>
    <cellStyle name="Normal 9 2 4 3" xfId="43469" xr:uid="{00000000-0005-0000-0000-000032C40000}"/>
    <cellStyle name="Normal 9 2 5" xfId="21163" xr:uid="{00000000-0005-0000-0000-000033C40000}"/>
    <cellStyle name="Normal 9 2 6" xfId="21506" xr:uid="{00000000-0005-0000-0000-000034C40000}"/>
    <cellStyle name="Normal 9 2 7" xfId="36473" xr:uid="{00000000-0005-0000-0000-000035C40000}"/>
    <cellStyle name="Normal 9 2 8" xfId="51411" xr:uid="{00000000-0005-0000-0000-000036C40000}"/>
    <cellStyle name="Normal 9 2 9" xfId="51816" xr:uid="{00000000-0005-0000-0000-000037C40000}"/>
    <cellStyle name="Normal 9 3" xfId="1751" xr:uid="{00000000-0005-0000-0000-000038C40000}"/>
    <cellStyle name="Normal 9 3 2" xfId="10931" xr:uid="{00000000-0005-0000-0000-000039C40000}"/>
    <cellStyle name="Normal 9 3 2 2" xfId="18766" xr:uid="{00000000-0005-0000-0000-00003AC40000}"/>
    <cellStyle name="Normal 9 3 2 2 2" xfId="35042" xr:uid="{00000000-0005-0000-0000-00003BC40000}"/>
    <cellStyle name="Normal 9 3 2 2 3" xfId="50001" xr:uid="{00000000-0005-0000-0000-00003CC40000}"/>
    <cellStyle name="Normal 9 3 2 3" xfId="28040" xr:uid="{00000000-0005-0000-0000-00003DC40000}"/>
    <cellStyle name="Normal 9 3 2 4" xfId="43004" xr:uid="{00000000-0005-0000-0000-00003EC40000}"/>
    <cellStyle name="Normal 9 3 3" xfId="15464" xr:uid="{00000000-0005-0000-0000-00003FC40000}"/>
    <cellStyle name="Normal 9 3 3 2" xfId="31745" xr:uid="{00000000-0005-0000-0000-000040C40000}"/>
    <cellStyle name="Normal 9 3 3 3" xfId="46705" xr:uid="{00000000-0005-0000-0000-000041C40000}"/>
    <cellStyle name="Normal 9 3 4" xfId="24743" xr:uid="{00000000-0005-0000-0000-000042C40000}"/>
    <cellStyle name="Normal 9 3 5" xfId="39708" xr:uid="{00000000-0005-0000-0000-000043C40000}"/>
    <cellStyle name="Normal 9 3 6" xfId="7447" xr:uid="{00000000-0005-0000-0000-000044C40000}"/>
    <cellStyle name="Normal 9 4" xfId="8307" xr:uid="{00000000-0005-0000-0000-000045C40000}"/>
    <cellStyle name="Normal 9 4 2" xfId="16177" xr:uid="{00000000-0005-0000-0000-000046C40000}"/>
    <cellStyle name="Normal 9 4 2 2" xfId="32453" xr:uid="{00000000-0005-0000-0000-000047C40000}"/>
    <cellStyle name="Normal 9 4 2 3" xfId="47412" xr:uid="{00000000-0005-0000-0000-000048C40000}"/>
    <cellStyle name="Normal 9 4 3" xfId="25451" xr:uid="{00000000-0005-0000-0000-000049C40000}"/>
    <cellStyle name="Normal 9 4 4" xfId="40415" xr:uid="{00000000-0005-0000-0000-00004AC40000}"/>
    <cellStyle name="Normal 9 5" xfId="7445" xr:uid="{00000000-0005-0000-0000-00004BC40000}"/>
    <cellStyle name="Normal 9 5 2" xfId="15463" xr:uid="{00000000-0005-0000-0000-00004CC40000}"/>
    <cellStyle name="Normal 9 5 2 2" xfId="31744" xr:uid="{00000000-0005-0000-0000-00004DC40000}"/>
    <cellStyle name="Normal 9 5 2 3" xfId="46704" xr:uid="{00000000-0005-0000-0000-00004EC40000}"/>
    <cellStyle name="Normal 9 5 3" xfId="24742" xr:uid="{00000000-0005-0000-0000-00004FC40000}"/>
    <cellStyle name="Normal 9 5 4" xfId="39707" xr:uid="{00000000-0005-0000-0000-000050C40000}"/>
    <cellStyle name="Normal 9 6" xfId="19653" xr:uid="{00000000-0005-0000-0000-000051C40000}"/>
    <cellStyle name="Normal GHG Numbers (0.00)" xfId="1752" xr:uid="{00000000-0005-0000-0000-000052C40000}"/>
    <cellStyle name="Normal GHG Numbers (0.00) 2" xfId="12206" xr:uid="{00000000-0005-0000-0000-000053C40000}"/>
    <cellStyle name="Normal GHG Numbers (0.00) 2 2" xfId="28487" xr:uid="{00000000-0005-0000-0000-000054C40000}"/>
    <cellStyle name="Normal GHG Numbers (0.00) 3" xfId="18934" xr:uid="{00000000-0005-0000-0000-000055C40000}"/>
    <cellStyle name="Normal GHG Numbers (0.00) 4" xfId="52201" xr:uid="{00000000-0005-0000-0000-000056C40000}"/>
    <cellStyle name="Normal GHG Textfiels Bold" xfId="1753" xr:uid="{00000000-0005-0000-0000-000057C40000}"/>
    <cellStyle name="Normal GHG Textfiels Bold 2" xfId="7448" xr:uid="{00000000-0005-0000-0000-000058C40000}"/>
    <cellStyle name="Normal GHG Textfiels Bold 2 2" xfId="15465" xr:uid="{00000000-0005-0000-0000-000059C40000}"/>
    <cellStyle name="Normal GHG Textfiels Bold 2 2 2" xfId="31746" xr:uid="{00000000-0005-0000-0000-00005AC40000}"/>
    <cellStyle name="Normal GHG Textfiels Bold 2 3" xfId="24744" xr:uid="{00000000-0005-0000-0000-00005BC40000}"/>
    <cellStyle name="Normal GHG whole table" xfId="1754" xr:uid="{00000000-0005-0000-0000-00005CC40000}"/>
    <cellStyle name="Normal GHG whole table 2" xfId="12207" xr:uid="{00000000-0005-0000-0000-00005DC40000}"/>
    <cellStyle name="Normal GHG whole table 2 2" xfId="28488" xr:uid="{00000000-0005-0000-0000-00005EC40000}"/>
    <cellStyle name="Normal GHG whole table 3" xfId="21493" xr:uid="{00000000-0005-0000-0000-00005FC40000}"/>
    <cellStyle name="Normal GHG whole table 4" xfId="52202" xr:uid="{00000000-0005-0000-0000-000060C40000}"/>
    <cellStyle name="Normal GHG-Shade" xfId="1755" xr:uid="{00000000-0005-0000-0000-000061C40000}"/>
    <cellStyle name="Normal GHG-Shade 2" xfId="1756" xr:uid="{00000000-0005-0000-0000-000062C40000}"/>
    <cellStyle name="Normal GHG-Shade 2 2" xfId="1757" xr:uid="{00000000-0005-0000-0000-000063C40000}"/>
    <cellStyle name="Normal GHG-Shade 2 2 2" xfId="20667" xr:uid="{00000000-0005-0000-0000-000064C40000}"/>
    <cellStyle name="Normal GHG-Shade 3" xfId="1758" xr:uid="{00000000-0005-0000-0000-000065C40000}"/>
    <cellStyle name="Normal GHG-Shade 3 2" xfId="1759" xr:uid="{00000000-0005-0000-0000-000066C40000}"/>
    <cellStyle name="Normal GHG-Shade 4" xfId="1760" xr:uid="{00000000-0005-0000-0000-000067C40000}"/>
    <cellStyle name="Normale 10" xfId="1761" xr:uid="{00000000-0005-0000-0000-000068C40000}"/>
    <cellStyle name="Normale 10 2" xfId="1762" xr:uid="{00000000-0005-0000-0000-000069C40000}"/>
    <cellStyle name="Normale 10 2 2" xfId="1763" xr:uid="{00000000-0005-0000-0000-00006AC40000}"/>
    <cellStyle name="Normale 10 3" xfId="1764" xr:uid="{00000000-0005-0000-0000-00006BC40000}"/>
    <cellStyle name="Normale 10 3 2" xfId="1765" xr:uid="{00000000-0005-0000-0000-00006CC40000}"/>
    <cellStyle name="Normale 10 4" xfId="1766" xr:uid="{00000000-0005-0000-0000-00006DC40000}"/>
    <cellStyle name="Normale 10_EDEN industria 2008 rev" xfId="1767" xr:uid="{00000000-0005-0000-0000-00006EC40000}"/>
    <cellStyle name="Normale 11" xfId="1768" xr:uid="{00000000-0005-0000-0000-00006FC40000}"/>
    <cellStyle name="Normale 11 2" xfId="1769" xr:uid="{00000000-0005-0000-0000-000070C40000}"/>
    <cellStyle name="Normale 11 2 2" xfId="1770" xr:uid="{00000000-0005-0000-0000-000071C40000}"/>
    <cellStyle name="Normale 11 3" xfId="1771" xr:uid="{00000000-0005-0000-0000-000072C40000}"/>
    <cellStyle name="Normale 11 3 2" xfId="1772" xr:uid="{00000000-0005-0000-0000-000073C40000}"/>
    <cellStyle name="Normale 11 4" xfId="1773" xr:uid="{00000000-0005-0000-0000-000074C40000}"/>
    <cellStyle name="Normale 11_EDEN industria 2008 rev" xfId="1774" xr:uid="{00000000-0005-0000-0000-000075C40000}"/>
    <cellStyle name="Normale 12" xfId="1775" xr:uid="{00000000-0005-0000-0000-000076C40000}"/>
    <cellStyle name="Normale 12 2" xfId="1776" xr:uid="{00000000-0005-0000-0000-000077C40000}"/>
    <cellStyle name="Normale 12 2 2" xfId="1777" xr:uid="{00000000-0005-0000-0000-000078C40000}"/>
    <cellStyle name="Normale 12 3" xfId="1778" xr:uid="{00000000-0005-0000-0000-000079C40000}"/>
    <cellStyle name="Normale 12 3 2" xfId="1779" xr:uid="{00000000-0005-0000-0000-00007AC40000}"/>
    <cellStyle name="Normale 12 4" xfId="1780" xr:uid="{00000000-0005-0000-0000-00007BC40000}"/>
    <cellStyle name="Normale 12_EDEN industria 2008 rev" xfId="1781" xr:uid="{00000000-0005-0000-0000-00007CC40000}"/>
    <cellStyle name="Normale 13" xfId="1782" xr:uid="{00000000-0005-0000-0000-00007DC40000}"/>
    <cellStyle name="Normale 13 2" xfId="1783" xr:uid="{00000000-0005-0000-0000-00007EC40000}"/>
    <cellStyle name="Normale 13 2 2" xfId="1784" xr:uid="{00000000-0005-0000-0000-00007FC40000}"/>
    <cellStyle name="Normale 13 3" xfId="1785" xr:uid="{00000000-0005-0000-0000-000080C40000}"/>
    <cellStyle name="Normale 13 3 2" xfId="1786" xr:uid="{00000000-0005-0000-0000-000081C40000}"/>
    <cellStyle name="Normale 13 4" xfId="1787" xr:uid="{00000000-0005-0000-0000-000082C40000}"/>
    <cellStyle name="Normale 13_EDEN industria 2008 rev" xfId="1788" xr:uid="{00000000-0005-0000-0000-000083C40000}"/>
    <cellStyle name="Normale 14" xfId="1789" xr:uid="{00000000-0005-0000-0000-000084C40000}"/>
    <cellStyle name="Normale 14 2" xfId="1790" xr:uid="{00000000-0005-0000-0000-000085C40000}"/>
    <cellStyle name="Normale 14 2 2" xfId="1791" xr:uid="{00000000-0005-0000-0000-000086C40000}"/>
    <cellStyle name="Normale 14 3" xfId="1792" xr:uid="{00000000-0005-0000-0000-000087C40000}"/>
    <cellStyle name="Normale 14 3 2" xfId="1793" xr:uid="{00000000-0005-0000-0000-000088C40000}"/>
    <cellStyle name="Normale 14 4" xfId="1794" xr:uid="{00000000-0005-0000-0000-000089C40000}"/>
    <cellStyle name="Normale 14_EDEN industria 2008 rev" xfId="1795" xr:uid="{00000000-0005-0000-0000-00008AC40000}"/>
    <cellStyle name="Normale 15" xfId="1796" xr:uid="{00000000-0005-0000-0000-00008BC40000}"/>
    <cellStyle name="Normale 15 2" xfId="1797" xr:uid="{00000000-0005-0000-0000-00008CC40000}"/>
    <cellStyle name="Normale 15 2 2" xfId="1798" xr:uid="{00000000-0005-0000-0000-00008DC40000}"/>
    <cellStyle name="Normale 15 3" xfId="1799" xr:uid="{00000000-0005-0000-0000-00008EC40000}"/>
    <cellStyle name="Normale 15 3 2" xfId="1800" xr:uid="{00000000-0005-0000-0000-00008FC40000}"/>
    <cellStyle name="Normale 15 4" xfId="1801" xr:uid="{00000000-0005-0000-0000-000090C40000}"/>
    <cellStyle name="Normale 15_EDEN industria 2008 rev" xfId="1802" xr:uid="{00000000-0005-0000-0000-000091C40000}"/>
    <cellStyle name="Normale 16" xfId="1803" xr:uid="{00000000-0005-0000-0000-000092C40000}"/>
    <cellStyle name="Normale 16 2" xfId="1804" xr:uid="{00000000-0005-0000-0000-000093C40000}"/>
    <cellStyle name="Normale 17" xfId="1805" xr:uid="{00000000-0005-0000-0000-000094C40000}"/>
    <cellStyle name="Normale 17 2" xfId="1806" xr:uid="{00000000-0005-0000-0000-000095C40000}"/>
    <cellStyle name="Normale 18" xfId="1807" xr:uid="{00000000-0005-0000-0000-000096C40000}"/>
    <cellStyle name="Normale 19" xfId="1808" xr:uid="{00000000-0005-0000-0000-000097C40000}"/>
    <cellStyle name="Normale 2" xfId="1809" xr:uid="{00000000-0005-0000-0000-000098C40000}"/>
    <cellStyle name="Normale 2 2" xfId="1810" xr:uid="{00000000-0005-0000-0000-000099C40000}"/>
    <cellStyle name="Normale 2 2 2" xfId="1811" xr:uid="{00000000-0005-0000-0000-00009AC40000}"/>
    <cellStyle name="Normale 2 3" xfId="1812" xr:uid="{00000000-0005-0000-0000-00009BC40000}"/>
    <cellStyle name="Normale 2_EDEN industria 2008 rev" xfId="1813" xr:uid="{00000000-0005-0000-0000-00009CC40000}"/>
    <cellStyle name="Normale 20" xfId="1814" xr:uid="{00000000-0005-0000-0000-00009DC40000}"/>
    <cellStyle name="Normale 20 2" xfId="1815" xr:uid="{00000000-0005-0000-0000-00009EC40000}"/>
    <cellStyle name="Normale 21" xfId="1816" xr:uid="{00000000-0005-0000-0000-00009FC40000}"/>
    <cellStyle name="Normale 21 2" xfId="1817" xr:uid="{00000000-0005-0000-0000-0000A0C40000}"/>
    <cellStyle name="Normale 22" xfId="1818" xr:uid="{00000000-0005-0000-0000-0000A1C40000}"/>
    <cellStyle name="Normale 22 2" xfId="1819" xr:uid="{00000000-0005-0000-0000-0000A2C40000}"/>
    <cellStyle name="Normale 23" xfId="1820" xr:uid="{00000000-0005-0000-0000-0000A3C40000}"/>
    <cellStyle name="Normale 23 2" xfId="1821" xr:uid="{00000000-0005-0000-0000-0000A4C40000}"/>
    <cellStyle name="Normale 24" xfId="1822" xr:uid="{00000000-0005-0000-0000-0000A5C40000}"/>
    <cellStyle name="Normale 24 2" xfId="1823" xr:uid="{00000000-0005-0000-0000-0000A6C40000}"/>
    <cellStyle name="Normale 25" xfId="1824" xr:uid="{00000000-0005-0000-0000-0000A7C40000}"/>
    <cellStyle name="Normale 25 2" xfId="1825" xr:uid="{00000000-0005-0000-0000-0000A8C40000}"/>
    <cellStyle name="Normale 26" xfId="1826" xr:uid="{00000000-0005-0000-0000-0000A9C40000}"/>
    <cellStyle name="Normale 26 2" xfId="1827" xr:uid="{00000000-0005-0000-0000-0000AAC40000}"/>
    <cellStyle name="Normale 27" xfId="1828" xr:uid="{00000000-0005-0000-0000-0000ABC40000}"/>
    <cellStyle name="Normale 27 2" xfId="1829" xr:uid="{00000000-0005-0000-0000-0000ACC40000}"/>
    <cellStyle name="Normale 28" xfId="1830" xr:uid="{00000000-0005-0000-0000-0000ADC40000}"/>
    <cellStyle name="Normale 28 2" xfId="1831" xr:uid="{00000000-0005-0000-0000-0000AEC40000}"/>
    <cellStyle name="Normale 29" xfId="1832" xr:uid="{00000000-0005-0000-0000-0000AFC40000}"/>
    <cellStyle name="Normale 29 2" xfId="1833" xr:uid="{00000000-0005-0000-0000-0000B0C40000}"/>
    <cellStyle name="Normale 3" xfId="1834" xr:uid="{00000000-0005-0000-0000-0000B1C40000}"/>
    <cellStyle name="Normale 3 2" xfId="1835" xr:uid="{00000000-0005-0000-0000-0000B2C40000}"/>
    <cellStyle name="Normale 3 2 2" xfId="1836" xr:uid="{00000000-0005-0000-0000-0000B3C40000}"/>
    <cellStyle name="Normale 3 3" xfId="1837" xr:uid="{00000000-0005-0000-0000-0000B4C40000}"/>
    <cellStyle name="Normale 3 3 2" xfId="1838" xr:uid="{00000000-0005-0000-0000-0000B5C40000}"/>
    <cellStyle name="Normale 3 4" xfId="1839" xr:uid="{00000000-0005-0000-0000-0000B6C40000}"/>
    <cellStyle name="Normale 3_EDEN industria 2008 rev" xfId="1840" xr:uid="{00000000-0005-0000-0000-0000B7C40000}"/>
    <cellStyle name="Normale 30" xfId="1841" xr:uid="{00000000-0005-0000-0000-0000B8C40000}"/>
    <cellStyle name="Normale 30 2" xfId="1842" xr:uid="{00000000-0005-0000-0000-0000B9C40000}"/>
    <cellStyle name="Normale 31" xfId="1843" xr:uid="{00000000-0005-0000-0000-0000BAC40000}"/>
    <cellStyle name="Normale 31 2" xfId="1844" xr:uid="{00000000-0005-0000-0000-0000BBC40000}"/>
    <cellStyle name="Normale 32" xfId="1845" xr:uid="{00000000-0005-0000-0000-0000BCC40000}"/>
    <cellStyle name="Normale 32 2" xfId="1846" xr:uid="{00000000-0005-0000-0000-0000BDC40000}"/>
    <cellStyle name="Normale 33" xfId="1847" xr:uid="{00000000-0005-0000-0000-0000BEC40000}"/>
    <cellStyle name="Normale 33 2" xfId="1848" xr:uid="{00000000-0005-0000-0000-0000BFC40000}"/>
    <cellStyle name="Normale 34" xfId="1849" xr:uid="{00000000-0005-0000-0000-0000C0C40000}"/>
    <cellStyle name="Normale 34 2" xfId="1850" xr:uid="{00000000-0005-0000-0000-0000C1C40000}"/>
    <cellStyle name="Normale 35" xfId="1851" xr:uid="{00000000-0005-0000-0000-0000C2C40000}"/>
    <cellStyle name="Normale 35 2" xfId="1852" xr:uid="{00000000-0005-0000-0000-0000C3C40000}"/>
    <cellStyle name="Normale 36" xfId="1853" xr:uid="{00000000-0005-0000-0000-0000C4C40000}"/>
    <cellStyle name="Normale 36 2" xfId="1854" xr:uid="{00000000-0005-0000-0000-0000C5C40000}"/>
    <cellStyle name="Normale 37" xfId="1855" xr:uid="{00000000-0005-0000-0000-0000C6C40000}"/>
    <cellStyle name="Normale 37 2" xfId="1856" xr:uid="{00000000-0005-0000-0000-0000C7C40000}"/>
    <cellStyle name="Normale 38" xfId="1857" xr:uid="{00000000-0005-0000-0000-0000C8C40000}"/>
    <cellStyle name="Normale 38 2" xfId="1858" xr:uid="{00000000-0005-0000-0000-0000C9C40000}"/>
    <cellStyle name="Normale 39" xfId="1859" xr:uid="{00000000-0005-0000-0000-0000CAC40000}"/>
    <cellStyle name="Normale 39 2" xfId="1860" xr:uid="{00000000-0005-0000-0000-0000CBC40000}"/>
    <cellStyle name="Normale 4" xfId="1861" xr:uid="{00000000-0005-0000-0000-0000CCC40000}"/>
    <cellStyle name="Normale 4 2" xfId="1862" xr:uid="{00000000-0005-0000-0000-0000CDC40000}"/>
    <cellStyle name="Normale 4 2 2" xfId="1863" xr:uid="{00000000-0005-0000-0000-0000CEC40000}"/>
    <cellStyle name="Normale 4 3" xfId="1864" xr:uid="{00000000-0005-0000-0000-0000CFC40000}"/>
    <cellStyle name="Normale 4 3 2" xfId="1865" xr:uid="{00000000-0005-0000-0000-0000D0C40000}"/>
    <cellStyle name="Normale 4 4" xfId="1866" xr:uid="{00000000-0005-0000-0000-0000D1C40000}"/>
    <cellStyle name="Normale 4_EDEN industria 2008 rev" xfId="1867" xr:uid="{00000000-0005-0000-0000-0000D2C40000}"/>
    <cellStyle name="Normale 40" xfId="1868" xr:uid="{00000000-0005-0000-0000-0000D3C40000}"/>
    <cellStyle name="Normale 40 2" xfId="1869" xr:uid="{00000000-0005-0000-0000-0000D4C40000}"/>
    <cellStyle name="Normale 41" xfId="1870" xr:uid="{00000000-0005-0000-0000-0000D5C40000}"/>
    <cellStyle name="Normale 41 2" xfId="1871" xr:uid="{00000000-0005-0000-0000-0000D6C40000}"/>
    <cellStyle name="Normale 42" xfId="1872" xr:uid="{00000000-0005-0000-0000-0000D7C40000}"/>
    <cellStyle name="Normale 42 2" xfId="1873" xr:uid="{00000000-0005-0000-0000-0000D8C40000}"/>
    <cellStyle name="Normale 43" xfId="1874" xr:uid="{00000000-0005-0000-0000-0000D9C40000}"/>
    <cellStyle name="Normale 43 2" xfId="1875" xr:uid="{00000000-0005-0000-0000-0000DAC40000}"/>
    <cellStyle name="Normale 44" xfId="1876" xr:uid="{00000000-0005-0000-0000-0000DBC40000}"/>
    <cellStyle name="Normale 44 2" xfId="1877" xr:uid="{00000000-0005-0000-0000-0000DCC40000}"/>
    <cellStyle name="Normale 45" xfId="1878" xr:uid="{00000000-0005-0000-0000-0000DDC40000}"/>
    <cellStyle name="Normale 45 2" xfId="1879" xr:uid="{00000000-0005-0000-0000-0000DEC40000}"/>
    <cellStyle name="Normale 46" xfId="1880" xr:uid="{00000000-0005-0000-0000-0000DFC40000}"/>
    <cellStyle name="Normale 46 2" xfId="1881" xr:uid="{00000000-0005-0000-0000-0000E0C40000}"/>
    <cellStyle name="Normale 47" xfId="1882" xr:uid="{00000000-0005-0000-0000-0000E1C40000}"/>
    <cellStyle name="Normale 47 2" xfId="1883" xr:uid="{00000000-0005-0000-0000-0000E2C40000}"/>
    <cellStyle name="Normale 48" xfId="1884" xr:uid="{00000000-0005-0000-0000-0000E3C40000}"/>
    <cellStyle name="Normale 48 2" xfId="1885" xr:uid="{00000000-0005-0000-0000-0000E4C40000}"/>
    <cellStyle name="Normale 49" xfId="1886" xr:uid="{00000000-0005-0000-0000-0000E5C40000}"/>
    <cellStyle name="Normale 49 2" xfId="1887" xr:uid="{00000000-0005-0000-0000-0000E6C40000}"/>
    <cellStyle name="Normale 5" xfId="1888" xr:uid="{00000000-0005-0000-0000-0000E7C40000}"/>
    <cellStyle name="Normale 5 2" xfId="1889" xr:uid="{00000000-0005-0000-0000-0000E8C40000}"/>
    <cellStyle name="Normale 5 2 2" xfId="1890" xr:uid="{00000000-0005-0000-0000-0000E9C40000}"/>
    <cellStyle name="Normale 5 3" xfId="1891" xr:uid="{00000000-0005-0000-0000-0000EAC40000}"/>
    <cellStyle name="Normale 5 3 2" xfId="1892" xr:uid="{00000000-0005-0000-0000-0000EBC40000}"/>
    <cellStyle name="Normale 5 4" xfId="1893" xr:uid="{00000000-0005-0000-0000-0000ECC40000}"/>
    <cellStyle name="Normale 5_EDEN industria 2008 rev" xfId="1894" xr:uid="{00000000-0005-0000-0000-0000EDC40000}"/>
    <cellStyle name="Normale 50" xfId="1895" xr:uid="{00000000-0005-0000-0000-0000EEC40000}"/>
    <cellStyle name="Normale 50 2" xfId="1896" xr:uid="{00000000-0005-0000-0000-0000EFC40000}"/>
    <cellStyle name="Normale 51" xfId="1897" xr:uid="{00000000-0005-0000-0000-0000F0C40000}"/>
    <cellStyle name="Normale 51 2" xfId="1898" xr:uid="{00000000-0005-0000-0000-0000F1C40000}"/>
    <cellStyle name="Normale 52" xfId="1899" xr:uid="{00000000-0005-0000-0000-0000F2C40000}"/>
    <cellStyle name="Normale 52 2" xfId="1900" xr:uid="{00000000-0005-0000-0000-0000F3C40000}"/>
    <cellStyle name="Normale 53" xfId="1901" xr:uid="{00000000-0005-0000-0000-0000F4C40000}"/>
    <cellStyle name="Normale 53 2" xfId="1902" xr:uid="{00000000-0005-0000-0000-0000F5C40000}"/>
    <cellStyle name="Normale 54" xfId="1903" xr:uid="{00000000-0005-0000-0000-0000F6C40000}"/>
    <cellStyle name="Normale 54 2" xfId="1904" xr:uid="{00000000-0005-0000-0000-0000F7C40000}"/>
    <cellStyle name="Normale 55" xfId="1905" xr:uid="{00000000-0005-0000-0000-0000F8C40000}"/>
    <cellStyle name="Normale 55 2" xfId="1906" xr:uid="{00000000-0005-0000-0000-0000F9C40000}"/>
    <cellStyle name="Normale 56" xfId="1907" xr:uid="{00000000-0005-0000-0000-0000FAC40000}"/>
    <cellStyle name="Normale 56 2" xfId="1908" xr:uid="{00000000-0005-0000-0000-0000FBC40000}"/>
    <cellStyle name="Normale 57" xfId="1909" xr:uid="{00000000-0005-0000-0000-0000FCC40000}"/>
    <cellStyle name="Normale 57 2" xfId="1910" xr:uid="{00000000-0005-0000-0000-0000FDC40000}"/>
    <cellStyle name="Normale 58" xfId="1911" xr:uid="{00000000-0005-0000-0000-0000FEC40000}"/>
    <cellStyle name="Normale 58 2" xfId="1912" xr:uid="{00000000-0005-0000-0000-0000FFC40000}"/>
    <cellStyle name="Normale 59" xfId="1913" xr:uid="{00000000-0005-0000-0000-000000C50000}"/>
    <cellStyle name="Normale 59 2" xfId="1914" xr:uid="{00000000-0005-0000-0000-000001C50000}"/>
    <cellStyle name="Normale 6" xfId="1915" xr:uid="{00000000-0005-0000-0000-000002C50000}"/>
    <cellStyle name="Normale 6 2" xfId="1916" xr:uid="{00000000-0005-0000-0000-000003C50000}"/>
    <cellStyle name="Normale 6 2 2" xfId="1917" xr:uid="{00000000-0005-0000-0000-000004C50000}"/>
    <cellStyle name="Normale 6 3" xfId="1918" xr:uid="{00000000-0005-0000-0000-000005C50000}"/>
    <cellStyle name="Normale 6 3 2" xfId="1919" xr:uid="{00000000-0005-0000-0000-000006C50000}"/>
    <cellStyle name="Normale 6 4" xfId="1920" xr:uid="{00000000-0005-0000-0000-000007C50000}"/>
    <cellStyle name="Normale 6_EDEN industria 2008 rev" xfId="1921" xr:uid="{00000000-0005-0000-0000-000008C50000}"/>
    <cellStyle name="Normale 60" xfId="1922" xr:uid="{00000000-0005-0000-0000-000009C50000}"/>
    <cellStyle name="Normale 60 2" xfId="1923" xr:uid="{00000000-0005-0000-0000-00000AC50000}"/>
    <cellStyle name="Normale 61" xfId="1924" xr:uid="{00000000-0005-0000-0000-00000BC50000}"/>
    <cellStyle name="Normale 61 2" xfId="1925" xr:uid="{00000000-0005-0000-0000-00000CC50000}"/>
    <cellStyle name="Normale 62" xfId="1926" xr:uid="{00000000-0005-0000-0000-00000DC50000}"/>
    <cellStyle name="Normale 62 2" xfId="1927" xr:uid="{00000000-0005-0000-0000-00000EC50000}"/>
    <cellStyle name="Normale 63" xfId="1928" xr:uid="{00000000-0005-0000-0000-00000FC50000}"/>
    <cellStyle name="Normale 63 2" xfId="1929" xr:uid="{00000000-0005-0000-0000-000010C50000}"/>
    <cellStyle name="Normale 64" xfId="1930" xr:uid="{00000000-0005-0000-0000-000011C50000}"/>
    <cellStyle name="Normale 64 2" xfId="1931" xr:uid="{00000000-0005-0000-0000-000012C50000}"/>
    <cellStyle name="Normale 65" xfId="1932" xr:uid="{00000000-0005-0000-0000-000013C50000}"/>
    <cellStyle name="Normale 65 2" xfId="1933" xr:uid="{00000000-0005-0000-0000-000014C50000}"/>
    <cellStyle name="Normale 7" xfId="1934" xr:uid="{00000000-0005-0000-0000-000015C50000}"/>
    <cellStyle name="Normale 7 2" xfId="1935" xr:uid="{00000000-0005-0000-0000-000016C50000}"/>
    <cellStyle name="Normale 7 2 2" xfId="1936" xr:uid="{00000000-0005-0000-0000-000017C50000}"/>
    <cellStyle name="Normale 7 3" xfId="1937" xr:uid="{00000000-0005-0000-0000-000018C50000}"/>
    <cellStyle name="Normale 7 3 2" xfId="1938" xr:uid="{00000000-0005-0000-0000-000019C50000}"/>
    <cellStyle name="Normale 7 4" xfId="1939" xr:uid="{00000000-0005-0000-0000-00001AC50000}"/>
    <cellStyle name="Normale 7_EDEN industria 2008 rev" xfId="1940" xr:uid="{00000000-0005-0000-0000-00001BC50000}"/>
    <cellStyle name="Normale 8" xfId="1941" xr:uid="{00000000-0005-0000-0000-00001CC50000}"/>
    <cellStyle name="Normale 8 2" xfId="1942" xr:uid="{00000000-0005-0000-0000-00001DC50000}"/>
    <cellStyle name="Normale 8 2 2" xfId="1943" xr:uid="{00000000-0005-0000-0000-00001EC50000}"/>
    <cellStyle name="Normale 8 3" xfId="1944" xr:uid="{00000000-0005-0000-0000-00001FC50000}"/>
    <cellStyle name="Normale 8 3 2" xfId="1945" xr:uid="{00000000-0005-0000-0000-000020C50000}"/>
    <cellStyle name="Normale 8 4" xfId="1946" xr:uid="{00000000-0005-0000-0000-000021C50000}"/>
    <cellStyle name="Normale 8_EDEN industria 2008 rev" xfId="1947" xr:uid="{00000000-0005-0000-0000-000022C50000}"/>
    <cellStyle name="Normale 9" xfId="1948" xr:uid="{00000000-0005-0000-0000-000023C50000}"/>
    <cellStyle name="Normale 9 2" xfId="1949" xr:uid="{00000000-0005-0000-0000-000024C50000}"/>
    <cellStyle name="Normale 9 2 2" xfId="1950" xr:uid="{00000000-0005-0000-0000-000025C50000}"/>
    <cellStyle name="Normale 9 3" xfId="1951" xr:uid="{00000000-0005-0000-0000-000026C50000}"/>
    <cellStyle name="Normale 9 3 2" xfId="1952" xr:uid="{00000000-0005-0000-0000-000027C50000}"/>
    <cellStyle name="Normale 9 4" xfId="1953" xr:uid="{00000000-0005-0000-0000-000028C50000}"/>
    <cellStyle name="Normale 9_EDEN industria 2008 rev" xfId="1954" xr:uid="{00000000-0005-0000-0000-000029C50000}"/>
    <cellStyle name="Normale_B2020" xfId="1955" xr:uid="{00000000-0005-0000-0000-00002AC50000}"/>
    <cellStyle name="Nota" xfId="1956" xr:uid="{00000000-0005-0000-0000-00002BC50000}"/>
    <cellStyle name="Nota 2" xfId="1957" xr:uid="{00000000-0005-0000-0000-00002CC50000}"/>
    <cellStyle name="Nota 2 2" xfId="1958" xr:uid="{00000000-0005-0000-0000-00002DC50000}"/>
    <cellStyle name="Nota 2 2 2" xfId="12299" xr:uid="{00000000-0005-0000-0000-00002EC50000}"/>
    <cellStyle name="Nota 2 2 2 2" xfId="28578" xr:uid="{00000000-0005-0000-0000-00002FC50000}"/>
    <cellStyle name="Nota 2 2 3" xfId="20668" xr:uid="{00000000-0005-0000-0000-000030C50000}"/>
    <cellStyle name="Nota 2 2 4" xfId="21172" xr:uid="{00000000-0005-0000-0000-000031C50000}"/>
    <cellStyle name="Nota 2 2 4 2" xfId="36137" xr:uid="{00000000-0005-0000-0000-000032C50000}"/>
    <cellStyle name="Nota 2 3" xfId="12209" xr:uid="{00000000-0005-0000-0000-000033C50000}"/>
    <cellStyle name="Nota 2 3 2" xfId="28490" xr:uid="{00000000-0005-0000-0000-000034C50000}"/>
    <cellStyle name="Nota 2 4" xfId="11889" xr:uid="{00000000-0005-0000-0000-000035C50000}"/>
    <cellStyle name="Nota 2 4 2" xfId="28175" xr:uid="{00000000-0005-0000-0000-000036C50000}"/>
    <cellStyle name="Nota 2 5" xfId="19655" xr:uid="{00000000-0005-0000-0000-000037C50000}"/>
    <cellStyle name="Nota 3" xfId="1959" xr:uid="{00000000-0005-0000-0000-000038C50000}"/>
    <cellStyle name="Nota 3 2" xfId="1960" xr:uid="{00000000-0005-0000-0000-000039C50000}"/>
    <cellStyle name="Nota 3 2 2" xfId="12211" xr:uid="{00000000-0005-0000-0000-00003AC50000}"/>
    <cellStyle name="Nota 3 2 2 2" xfId="28492" xr:uid="{00000000-0005-0000-0000-00003BC50000}"/>
    <cellStyle name="Nota 3 2 3" xfId="11887" xr:uid="{00000000-0005-0000-0000-00003CC50000}"/>
    <cellStyle name="Nota 3 2 3 2" xfId="28173" xr:uid="{00000000-0005-0000-0000-00003DC50000}"/>
    <cellStyle name="Nota 3 2 4" xfId="19657" xr:uid="{00000000-0005-0000-0000-00003EC50000}"/>
    <cellStyle name="Nota 3 3" xfId="12210" xr:uid="{00000000-0005-0000-0000-00003FC50000}"/>
    <cellStyle name="Nota 3 3 2" xfId="20670" xr:uid="{00000000-0005-0000-0000-000040C50000}"/>
    <cellStyle name="Nota 3 3 2 2" xfId="21174" xr:uid="{00000000-0005-0000-0000-000041C50000}"/>
    <cellStyle name="Nota 3 3 2 2 2" xfId="36139" xr:uid="{00000000-0005-0000-0000-000042C50000}"/>
    <cellStyle name="Nota 3 3 3" xfId="19658" xr:uid="{00000000-0005-0000-0000-000043C50000}"/>
    <cellStyle name="Nota 3 3 4" xfId="21169" xr:uid="{00000000-0005-0000-0000-000044C50000}"/>
    <cellStyle name="Nota 3 3 4 2" xfId="36134" xr:uid="{00000000-0005-0000-0000-000045C50000}"/>
    <cellStyle name="Nota 3 3 5" xfId="28491" xr:uid="{00000000-0005-0000-0000-000046C50000}"/>
    <cellStyle name="Nota 3 4" xfId="11888" xr:uid="{00000000-0005-0000-0000-000047C50000}"/>
    <cellStyle name="Nota 3 4 2" xfId="20669" xr:uid="{00000000-0005-0000-0000-000048C50000}"/>
    <cellStyle name="Nota 3 4 3" xfId="21173" xr:uid="{00000000-0005-0000-0000-000049C50000}"/>
    <cellStyle name="Nota 3 4 3 2" xfId="36138" xr:uid="{00000000-0005-0000-0000-00004AC50000}"/>
    <cellStyle name="Nota 3 4 4" xfId="28174" xr:uid="{00000000-0005-0000-0000-00004BC50000}"/>
    <cellStyle name="Nota 3 5" xfId="19656" xr:uid="{00000000-0005-0000-0000-00004CC50000}"/>
    <cellStyle name="Nota 3 6" xfId="21168" xr:uid="{00000000-0005-0000-0000-00004DC50000}"/>
    <cellStyle name="Nota 3 6 2" xfId="36133" xr:uid="{00000000-0005-0000-0000-00004EC50000}"/>
    <cellStyle name="Nota 4" xfId="11660" xr:uid="{00000000-0005-0000-0000-00004FC50000}"/>
    <cellStyle name="Nota 4 2" xfId="18896" xr:uid="{00000000-0005-0000-0000-000050C50000}"/>
    <cellStyle name="Nota 4 2 2" xfId="20672" xr:uid="{00000000-0005-0000-0000-000051C50000}"/>
    <cellStyle name="Nota 4 2 2 2" xfId="21176" xr:uid="{00000000-0005-0000-0000-000052C50000}"/>
    <cellStyle name="Nota 4 2 2 2 2" xfId="36141" xr:uid="{00000000-0005-0000-0000-000053C50000}"/>
    <cellStyle name="Nota 4 2 3" xfId="19660" xr:uid="{00000000-0005-0000-0000-000054C50000}"/>
    <cellStyle name="Nota 4 2 4" xfId="21171" xr:uid="{00000000-0005-0000-0000-000055C50000}"/>
    <cellStyle name="Nota 4 2 4 2" xfId="36136" xr:uid="{00000000-0005-0000-0000-000056C50000}"/>
    <cellStyle name="Nota 4 2 5" xfId="35175" xr:uid="{00000000-0005-0000-0000-000057C50000}"/>
    <cellStyle name="Nota 4 3" xfId="11886" xr:uid="{00000000-0005-0000-0000-000058C50000}"/>
    <cellStyle name="Nota 4 3 2" xfId="20671" xr:uid="{00000000-0005-0000-0000-000059C50000}"/>
    <cellStyle name="Nota 4 3 3" xfId="21175" xr:uid="{00000000-0005-0000-0000-00005AC50000}"/>
    <cellStyle name="Nota 4 3 3 2" xfId="36140" xr:uid="{00000000-0005-0000-0000-00005BC50000}"/>
    <cellStyle name="Nota 4 3 4" xfId="28172" xr:uid="{00000000-0005-0000-0000-00005CC50000}"/>
    <cellStyle name="Nota 4 4" xfId="19659" xr:uid="{00000000-0005-0000-0000-00005DC50000}"/>
    <cellStyle name="Nota 4 5" xfId="21170" xr:uid="{00000000-0005-0000-0000-00005EC50000}"/>
    <cellStyle name="Nota 4 5 2" xfId="36135" xr:uid="{00000000-0005-0000-0000-00005FC50000}"/>
    <cellStyle name="Nota 4 6" xfId="28164" xr:uid="{00000000-0005-0000-0000-000060C50000}"/>
    <cellStyle name="Nota 5" xfId="11661" xr:uid="{00000000-0005-0000-0000-000061C50000}"/>
    <cellStyle name="Nota 5 2" xfId="18897" xr:uid="{00000000-0005-0000-0000-000062C50000}"/>
    <cellStyle name="Nota 5 2 2" xfId="35176" xr:uid="{00000000-0005-0000-0000-000063C50000}"/>
    <cellStyle name="Nota 5 3" xfId="11885" xr:uid="{00000000-0005-0000-0000-000064C50000}"/>
    <cellStyle name="Nota 5 3 2" xfId="28171" xr:uid="{00000000-0005-0000-0000-000065C50000}"/>
    <cellStyle name="Nota 5 4" xfId="19661" xr:uid="{00000000-0005-0000-0000-000066C50000}"/>
    <cellStyle name="Nota 6" xfId="12208" xr:uid="{00000000-0005-0000-0000-000067C50000}"/>
    <cellStyle name="Nota 6 2" xfId="28489" xr:uid="{00000000-0005-0000-0000-000068C50000}"/>
    <cellStyle name="Nota 7" xfId="12300" xr:uid="{00000000-0005-0000-0000-000069C50000}"/>
    <cellStyle name="Nota 7 2" xfId="28579" xr:uid="{00000000-0005-0000-0000-00006AC50000}"/>
    <cellStyle name="Nota 8" xfId="19654" xr:uid="{00000000-0005-0000-0000-00006BC50000}"/>
    <cellStyle name="Note 2" xfId="1961" xr:uid="{00000000-0005-0000-0000-00006CC50000}"/>
    <cellStyle name="Note 2 10" xfId="52218" xr:uid="{00000000-0005-0000-0000-00006DC50000}"/>
    <cellStyle name="Note 2 11" xfId="52623" xr:uid="{00000000-0005-0000-0000-00006EC50000}"/>
    <cellStyle name="Note 2 2" xfId="1962" xr:uid="{00000000-0005-0000-0000-00006FC50000}"/>
    <cellStyle name="Note 2 2 2" xfId="1963" xr:uid="{00000000-0005-0000-0000-000070C50000}"/>
    <cellStyle name="Note 2 2 3" xfId="1964" xr:uid="{00000000-0005-0000-0000-000071C50000}"/>
    <cellStyle name="Note 2 2 4" xfId="1965" xr:uid="{00000000-0005-0000-0000-000072C50000}"/>
    <cellStyle name="Note 2 3" xfId="1966" xr:uid="{00000000-0005-0000-0000-000073C50000}"/>
    <cellStyle name="Note 2 3 2" xfId="7449" xr:uid="{00000000-0005-0000-0000-000074C50000}"/>
    <cellStyle name="Note 2 4" xfId="11123" xr:uid="{00000000-0005-0000-0000-000075C50000}"/>
    <cellStyle name="Note 2 4 2" xfId="18873" xr:uid="{00000000-0005-0000-0000-000076C50000}"/>
    <cellStyle name="Note 2 4 2 2" xfId="35152" xr:uid="{00000000-0005-0000-0000-000077C50000}"/>
    <cellStyle name="Note 2 4 2 3" xfId="50111" xr:uid="{00000000-0005-0000-0000-000078C50000}"/>
    <cellStyle name="Note 2 4 3" xfId="28142" xr:uid="{00000000-0005-0000-0000-000079C50000}"/>
    <cellStyle name="Note 2 4 4" xfId="43112" xr:uid="{00000000-0005-0000-0000-00007AC50000}"/>
    <cellStyle name="Note 2 5" xfId="12221" xr:uid="{00000000-0005-0000-0000-00007BC50000}"/>
    <cellStyle name="Note 2 5 2" xfId="28499" xr:uid="{00000000-0005-0000-0000-00007CC50000}"/>
    <cellStyle name="Note 2 5 3" xfId="43462" xr:uid="{00000000-0005-0000-0000-00007DC50000}"/>
    <cellStyle name="Note 2 6" xfId="21499" xr:uid="{00000000-0005-0000-0000-00007EC50000}"/>
    <cellStyle name="Note 2 7" xfId="36466" xr:uid="{00000000-0005-0000-0000-00007FC50000}"/>
    <cellStyle name="Note 2 8" xfId="51404" xr:uid="{00000000-0005-0000-0000-000080C50000}"/>
    <cellStyle name="Note 2 9" xfId="51809" xr:uid="{00000000-0005-0000-0000-000081C50000}"/>
    <cellStyle name="Note 3" xfId="1967" xr:uid="{00000000-0005-0000-0000-000082C50000}"/>
    <cellStyle name="Note 3 2" xfId="1968" xr:uid="{00000000-0005-0000-0000-000083C50000}"/>
    <cellStyle name="Note 3 3" xfId="11140" xr:uid="{00000000-0005-0000-0000-000084C50000}"/>
    <cellStyle name="Note 4" xfId="1969" xr:uid="{00000000-0005-0000-0000-000085C50000}"/>
    <cellStyle name="Note 4 2" xfId="1970" xr:uid="{00000000-0005-0000-0000-000086C50000}"/>
    <cellStyle name="Note 4 3" xfId="1971" xr:uid="{00000000-0005-0000-0000-000087C50000}"/>
    <cellStyle name="Note 4 4" xfId="12302" xr:uid="{00000000-0005-0000-0000-000088C50000}"/>
    <cellStyle name="Note 5" xfId="1972" xr:uid="{00000000-0005-0000-0000-000089C50000}"/>
    <cellStyle name="Note 5 2" xfId="21579" xr:uid="{00000000-0005-0000-0000-00008AC50000}"/>
    <cellStyle name="Note 6" xfId="1973" xr:uid="{00000000-0005-0000-0000-00008BC50000}"/>
    <cellStyle name="Note 7" xfId="1974" xr:uid="{00000000-0005-0000-0000-00008CC50000}"/>
    <cellStyle name="num_note" xfId="1975" xr:uid="{00000000-0005-0000-0000-00008DC50000}"/>
    <cellStyle name="Number [0.0]" xfId="1976" xr:uid="{00000000-0005-0000-0000-00008EC50000}"/>
    <cellStyle name="Number [0.0] 2" xfId="1977" xr:uid="{00000000-0005-0000-0000-00008FC50000}"/>
    <cellStyle name="Nuovo" xfId="1978" xr:uid="{00000000-0005-0000-0000-000090C50000}"/>
    <cellStyle name="Nuovo 10" xfId="1979" xr:uid="{00000000-0005-0000-0000-000091C50000}"/>
    <cellStyle name="Nuovo 10 2" xfId="1980" xr:uid="{00000000-0005-0000-0000-000092C50000}"/>
    <cellStyle name="Nuovo 10 2 2" xfId="1981" xr:uid="{00000000-0005-0000-0000-000093C50000}"/>
    <cellStyle name="Nuovo 10 3" xfId="1982" xr:uid="{00000000-0005-0000-0000-000094C50000}"/>
    <cellStyle name="Nuovo 10 3 2" xfId="1983" xr:uid="{00000000-0005-0000-0000-000095C50000}"/>
    <cellStyle name="Nuovo 10 3 3" xfId="19663" xr:uid="{00000000-0005-0000-0000-000096C50000}"/>
    <cellStyle name="Nuovo 10 3 3 2" xfId="20674" xr:uid="{00000000-0005-0000-0000-000097C50000}"/>
    <cellStyle name="Nuovo 10 3 4" xfId="20673" xr:uid="{00000000-0005-0000-0000-000098C50000}"/>
    <cellStyle name="Nuovo 10 3 5" xfId="19662" xr:uid="{00000000-0005-0000-0000-000099C50000}"/>
    <cellStyle name="Nuovo 10 4" xfId="11662" xr:uid="{00000000-0005-0000-0000-00009AC50000}"/>
    <cellStyle name="Nuovo 10 4 2" xfId="19665" xr:uid="{00000000-0005-0000-0000-00009BC50000}"/>
    <cellStyle name="Nuovo 10 4 2 2" xfId="20676" xr:uid="{00000000-0005-0000-0000-00009CC50000}"/>
    <cellStyle name="Nuovo 10 4 3" xfId="20675" xr:uid="{00000000-0005-0000-0000-00009DC50000}"/>
    <cellStyle name="Nuovo 10 4 4" xfId="19664" xr:uid="{00000000-0005-0000-0000-00009EC50000}"/>
    <cellStyle name="Nuovo 10 5" xfId="11663" xr:uid="{00000000-0005-0000-0000-00009FC50000}"/>
    <cellStyle name="Nuovo 11" xfId="1984" xr:uid="{00000000-0005-0000-0000-0000A0C50000}"/>
    <cellStyle name="Nuovo 11 2" xfId="1985" xr:uid="{00000000-0005-0000-0000-0000A1C50000}"/>
    <cellStyle name="Nuovo 11 2 2" xfId="1986" xr:uid="{00000000-0005-0000-0000-0000A2C50000}"/>
    <cellStyle name="Nuovo 11 3" xfId="1987" xr:uid="{00000000-0005-0000-0000-0000A3C50000}"/>
    <cellStyle name="Nuovo 11 3 2" xfId="1988" xr:uid="{00000000-0005-0000-0000-0000A4C50000}"/>
    <cellStyle name="Nuovo 11 3 3" xfId="19667" xr:uid="{00000000-0005-0000-0000-0000A5C50000}"/>
    <cellStyle name="Nuovo 11 3 3 2" xfId="20678" xr:uid="{00000000-0005-0000-0000-0000A6C50000}"/>
    <cellStyle name="Nuovo 11 3 4" xfId="20677" xr:uid="{00000000-0005-0000-0000-0000A7C50000}"/>
    <cellStyle name="Nuovo 11 3 5" xfId="19666" xr:uid="{00000000-0005-0000-0000-0000A8C50000}"/>
    <cellStyle name="Nuovo 11 4" xfId="11664" xr:uid="{00000000-0005-0000-0000-0000A9C50000}"/>
    <cellStyle name="Nuovo 11 4 2" xfId="19669" xr:uid="{00000000-0005-0000-0000-0000AAC50000}"/>
    <cellStyle name="Nuovo 11 4 2 2" xfId="20680" xr:uid="{00000000-0005-0000-0000-0000ABC50000}"/>
    <cellStyle name="Nuovo 11 4 3" xfId="20679" xr:uid="{00000000-0005-0000-0000-0000ACC50000}"/>
    <cellStyle name="Nuovo 11 4 4" xfId="19668" xr:uid="{00000000-0005-0000-0000-0000ADC50000}"/>
    <cellStyle name="Nuovo 11 5" xfId="11665" xr:uid="{00000000-0005-0000-0000-0000AEC50000}"/>
    <cellStyle name="Nuovo 12" xfId="1989" xr:uid="{00000000-0005-0000-0000-0000AFC50000}"/>
    <cellStyle name="Nuovo 12 2" xfId="1990" xr:uid="{00000000-0005-0000-0000-0000B0C50000}"/>
    <cellStyle name="Nuovo 12 2 2" xfId="1991" xr:uid="{00000000-0005-0000-0000-0000B1C50000}"/>
    <cellStyle name="Nuovo 12 3" xfId="1992" xr:uid="{00000000-0005-0000-0000-0000B2C50000}"/>
    <cellStyle name="Nuovo 12 3 2" xfId="1993" xr:uid="{00000000-0005-0000-0000-0000B3C50000}"/>
    <cellStyle name="Nuovo 12 3 3" xfId="19671" xr:uid="{00000000-0005-0000-0000-0000B4C50000}"/>
    <cellStyle name="Nuovo 12 3 3 2" xfId="20682" xr:uid="{00000000-0005-0000-0000-0000B5C50000}"/>
    <cellStyle name="Nuovo 12 3 4" xfId="20681" xr:uid="{00000000-0005-0000-0000-0000B6C50000}"/>
    <cellStyle name="Nuovo 12 3 5" xfId="19670" xr:uid="{00000000-0005-0000-0000-0000B7C50000}"/>
    <cellStyle name="Nuovo 12 4" xfId="11666" xr:uid="{00000000-0005-0000-0000-0000B8C50000}"/>
    <cellStyle name="Nuovo 12 4 2" xfId="19673" xr:uid="{00000000-0005-0000-0000-0000B9C50000}"/>
    <cellStyle name="Nuovo 12 4 2 2" xfId="20684" xr:uid="{00000000-0005-0000-0000-0000BAC50000}"/>
    <cellStyle name="Nuovo 12 4 3" xfId="20683" xr:uid="{00000000-0005-0000-0000-0000BBC50000}"/>
    <cellStyle name="Nuovo 12 4 4" xfId="19672" xr:uid="{00000000-0005-0000-0000-0000BCC50000}"/>
    <cellStyle name="Nuovo 12 5" xfId="11667" xr:uid="{00000000-0005-0000-0000-0000BDC50000}"/>
    <cellStyle name="Nuovo 13" xfId="1994" xr:uid="{00000000-0005-0000-0000-0000BEC50000}"/>
    <cellStyle name="Nuovo 13 2" xfId="1995" xr:uid="{00000000-0005-0000-0000-0000BFC50000}"/>
    <cellStyle name="Nuovo 13 2 2" xfId="1996" xr:uid="{00000000-0005-0000-0000-0000C0C50000}"/>
    <cellStyle name="Nuovo 13 3" xfId="1997" xr:uid="{00000000-0005-0000-0000-0000C1C50000}"/>
    <cellStyle name="Nuovo 13 3 2" xfId="1998" xr:uid="{00000000-0005-0000-0000-0000C2C50000}"/>
    <cellStyle name="Nuovo 13 3 3" xfId="19675" xr:uid="{00000000-0005-0000-0000-0000C3C50000}"/>
    <cellStyle name="Nuovo 13 3 3 2" xfId="20686" xr:uid="{00000000-0005-0000-0000-0000C4C50000}"/>
    <cellStyle name="Nuovo 13 3 4" xfId="20685" xr:uid="{00000000-0005-0000-0000-0000C5C50000}"/>
    <cellStyle name="Nuovo 13 3 5" xfId="19674" xr:uid="{00000000-0005-0000-0000-0000C6C50000}"/>
    <cellStyle name="Nuovo 13 4" xfId="11668" xr:uid="{00000000-0005-0000-0000-0000C7C50000}"/>
    <cellStyle name="Nuovo 13 4 2" xfId="19677" xr:uid="{00000000-0005-0000-0000-0000C8C50000}"/>
    <cellStyle name="Nuovo 13 4 2 2" xfId="20688" xr:uid="{00000000-0005-0000-0000-0000C9C50000}"/>
    <cellStyle name="Nuovo 13 4 3" xfId="20687" xr:uid="{00000000-0005-0000-0000-0000CAC50000}"/>
    <cellStyle name="Nuovo 13 4 4" xfId="19676" xr:uid="{00000000-0005-0000-0000-0000CBC50000}"/>
    <cellStyle name="Nuovo 13 5" xfId="11669" xr:uid="{00000000-0005-0000-0000-0000CCC50000}"/>
    <cellStyle name="Nuovo 14" xfId="1999" xr:uid="{00000000-0005-0000-0000-0000CDC50000}"/>
    <cellStyle name="Nuovo 14 2" xfId="2000" xr:uid="{00000000-0005-0000-0000-0000CEC50000}"/>
    <cellStyle name="Nuovo 14 2 2" xfId="2001" xr:uid="{00000000-0005-0000-0000-0000CFC50000}"/>
    <cellStyle name="Nuovo 14 3" xfId="2002" xr:uid="{00000000-0005-0000-0000-0000D0C50000}"/>
    <cellStyle name="Nuovo 14 3 2" xfId="2003" xr:uid="{00000000-0005-0000-0000-0000D1C50000}"/>
    <cellStyle name="Nuovo 14 3 3" xfId="19679" xr:uid="{00000000-0005-0000-0000-0000D2C50000}"/>
    <cellStyle name="Nuovo 14 3 3 2" xfId="20690" xr:uid="{00000000-0005-0000-0000-0000D3C50000}"/>
    <cellStyle name="Nuovo 14 3 4" xfId="20689" xr:uid="{00000000-0005-0000-0000-0000D4C50000}"/>
    <cellStyle name="Nuovo 14 3 5" xfId="19678" xr:uid="{00000000-0005-0000-0000-0000D5C50000}"/>
    <cellStyle name="Nuovo 14 4" xfId="11670" xr:uid="{00000000-0005-0000-0000-0000D6C50000}"/>
    <cellStyle name="Nuovo 14 4 2" xfId="19681" xr:uid="{00000000-0005-0000-0000-0000D7C50000}"/>
    <cellStyle name="Nuovo 14 4 2 2" xfId="20692" xr:uid="{00000000-0005-0000-0000-0000D8C50000}"/>
    <cellStyle name="Nuovo 14 4 3" xfId="20691" xr:uid="{00000000-0005-0000-0000-0000D9C50000}"/>
    <cellStyle name="Nuovo 14 4 4" xfId="19680" xr:uid="{00000000-0005-0000-0000-0000DAC50000}"/>
    <cellStyle name="Nuovo 14 5" xfId="11671" xr:uid="{00000000-0005-0000-0000-0000DBC50000}"/>
    <cellStyle name="Nuovo 15" xfId="2004" xr:uid="{00000000-0005-0000-0000-0000DCC50000}"/>
    <cellStyle name="Nuovo 15 2" xfId="2005" xr:uid="{00000000-0005-0000-0000-0000DDC50000}"/>
    <cellStyle name="Nuovo 15 2 2" xfId="2006" xr:uid="{00000000-0005-0000-0000-0000DEC50000}"/>
    <cellStyle name="Nuovo 15 3" xfId="2007" xr:uid="{00000000-0005-0000-0000-0000DFC50000}"/>
    <cellStyle name="Nuovo 15 3 2" xfId="2008" xr:uid="{00000000-0005-0000-0000-0000E0C50000}"/>
    <cellStyle name="Nuovo 15 3 3" xfId="19683" xr:uid="{00000000-0005-0000-0000-0000E1C50000}"/>
    <cellStyle name="Nuovo 15 3 3 2" xfId="20694" xr:uid="{00000000-0005-0000-0000-0000E2C50000}"/>
    <cellStyle name="Nuovo 15 3 4" xfId="20693" xr:uid="{00000000-0005-0000-0000-0000E3C50000}"/>
    <cellStyle name="Nuovo 15 3 5" xfId="19682" xr:uid="{00000000-0005-0000-0000-0000E4C50000}"/>
    <cellStyle name="Nuovo 15 4" xfId="11672" xr:uid="{00000000-0005-0000-0000-0000E5C50000}"/>
    <cellStyle name="Nuovo 15 4 2" xfId="19685" xr:uid="{00000000-0005-0000-0000-0000E6C50000}"/>
    <cellStyle name="Nuovo 15 4 2 2" xfId="20696" xr:uid="{00000000-0005-0000-0000-0000E7C50000}"/>
    <cellStyle name="Nuovo 15 4 3" xfId="20695" xr:uid="{00000000-0005-0000-0000-0000E8C50000}"/>
    <cellStyle name="Nuovo 15 4 4" xfId="19684" xr:uid="{00000000-0005-0000-0000-0000E9C50000}"/>
    <cellStyle name="Nuovo 15 5" xfId="11673" xr:uid="{00000000-0005-0000-0000-0000EAC50000}"/>
    <cellStyle name="Nuovo 16" xfId="2009" xr:uid="{00000000-0005-0000-0000-0000EBC50000}"/>
    <cellStyle name="Nuovo 16 2" xfId="2010" xr:uid="{00000000-0005-0000-0000-0000ECC50000}"/>
    <cellStyle name="Nuovo 16 2 2" xfId="2011" xr:uid="{00000000-0005-0000-0000-0000EDC50000}"/>
    <cellStyle name="Nuovo 16 3" xfId="2012" xr:uid="{00000000-0005-0000-0000-0000EEC50000}"/>
    <cellStyle name="Nuovo 16 3 2" xfId="2013" xr:uid="{00000000-0005-0000-0000-0000EFC50000}"/>
    <cellStyle name="Nuovo 16 3 3" xfId="19687" xr:uid="{00000000-0005-0000-0000-0000F0C50000}"/>
    <cellStyle name="Nuovo 16 3 3 2" xfId="20698" xr:uid="{00000000-0005-0000-0000-0000F1C50000}"/>
    <cellStyle name="Nuovo 16 3 4" xfId="20697" xr:uid="{00000000-0005-0000-0000-0000F2C50000}"/>
    <cellStyle name="Nuovo 16 3 5" xfId="19686" xr:uid="{00000000-0005-0000-0000-0000F3C50000}"/>
    <cellStyle name="Nuovo 16 4" xfId="11674" xr:uid="{00000000-0005-0000-0000-0000F4C50000}"/>
    <cellStyle name="Nuovo 16 4 2" xfId="19689" xr:uid="{00000000-0005-0000-0000-0000F5C50000}"/>
    <cellStyle name="Nuovo 16 4 2 2" xfId="20700" xr:uid="{00000000-0005-0000-0000-0000F6C50000}"/>
    <cellStyle name="Nuovo 16 4 3" xfId="20699" xr:uid="{00000000-0005-0000-0000-0000F7C50000}"/>
    <cellStyle name="Nuovo 16 4 4" xfId="19688" xr:uid="{00000000-0005-0000-0000-0000F8C50000}"/>
    <cellStyle name="Nuovo 16 5" xfId="11675" xr:uid="{00000000-0005-0000-0000-0000F9C50000}"/>
    <cellStyle name="Nuovo 17" xfId="2014" xr:uid="{00000000-0005-0000-0000-0000FAC50000}"/>
    <cellStyle name="Nuovo 17 2" xfId="2015" xr:uid="{00000000-0005-0000-0000-0000FBC50000}"/>
    <cellStyle name="Nuovo 17 2 2" xfId="2016" xr:uid="{00000000-0005-0000-0000-0000FCC50000}"/>
    <cellStyle name="Nuovo 17 3" xfId="2017" xr:uid="{00000000-0005-0000-0000-0000FDC50000}"/>
    <cellStyle name="Nuovo 17 3 2" xfId="2018" xr:uid="{00000000-0005-0000-0000-0000FEC50000}"/>
    <cellStyle name="Nuovo 17 3 3" xfId="19691" xr:uid="{00000000-0005-0000-0000-0000FFC50000}"/>
    <cellStyle name="Nuovo 17 3 3 2" xfId="20702" xr:uid="{00000000-0005-0000-0000-000000C60000}"/>
    <cellStyle name="Nuovo 17 3 4" xfId="20701" xr:uid="{00000000-0005-0000-0000-000001C60000}"/>
    <cellStyle name="Nuovo 17 3 5" xfId="19690" xr:uid="{00000000-0005-0000-0000-000002C60000}"/>
    <cellStyle name="Nuovo 17 4" xfId="11676" xr:uid="{00000000-0005-0000-0000-000003C60000}"/>
    <cellStyle name="Nuovo 17 4 2" xfId="19693" xr:uid="{00000000-0005-0000-0000-000004C60000}"/>
    <cellStyle name="Nuovo 17 4 2 2" xfId="20704" xr:uid="{00000000-0005-0000-0000-000005C60000}"/>
    <cellStyle name="Nuovo 17 4 3" xfId="20703" xr:uid="{00000000-0005-0000-0000-000006C60000}"/>
    <cellStyle name="Nuovo 17 4 4" xfId="19692" xr:uid="{00000000-0005-0000-0000-000007C60000}"/>
    <cellStyle name="Nuovo 17 5" xfId="11677" xr:uid="{00000000-0005-0000-0000-000008C60000}"/>
    <cellStyle name="Nuovo 18" xfId="2019" xr:uid="{00000000-0005-0000-0000-000009C60000}"/>
    <cellStyle name="Nuovo 18 2" xfId="2020" xr:uid="{00000000-0005-0000-0000-00000AC60000}"/>
    <cellStyle name="Nuovo 18 2 2" xfId="2021" xr:uid="{00000000-0005-0000-0000-00000BC60000}"/>
    <cellStyle name="Nuovo 18 3" xfId="2022" xr:uid="{00000000-0005-0000-0000-00000CC60000}"/>
    <cellStyle name="Nuovo 18 3 2" xfId="2023" xr:uid="{00000000-0005-0000-0000-00000DC60000}"/>
    <cellStyle name="Nuovo 18 3 3" xfId="19695" xr:uid="{00000000-0005-0000-0000-00000EC60000}"/>
    <cellStyle name="Nuovo 18 3 3 2" xfId="20706" xr:uid="{00000000-0005-0000-0000-00000FC60000}"/>
    <cellStyle name="Nuovo 18 3 4" xfId="20705" xr:uid="{00000000-0005-0000-0000-000010C60000}"/>
    <cellStyle name="Nuovo 18 3 5" xfId="19694" xr:uid="{00000000-0005-0000-0000-000011C60000}"/>
    <cellStyle name="Nuovo 18 4" xfId="11678" xr:uid="{00000000-0005-0000-0000-000012C60000}"/>
    <cellStyle name="Nuovo 18 4 2" xfId="19697" xr:uid="{00000000-0005-0000-0000-000013C60000}"/>
    <cellStyle name="Nuovo 18 4 2 2" xfId="20708" xr:uid="{00000000-0005-0000-0000-000014C60000}"/>
    <cellStyle name="Nuovo 18 4 3" xfId="20707" xr:uid="{00000000-0005-0000-0000-000015C60000}"/>
    <cellStyle name="Nuovo 18 4 4" xfId="19696" xr:uid="{00000000-0005-0000-0000-000016C60000}"/>
    <cellStyle name="Nuovo 18 5" xfId="11679" xr:uid="{00000000-0005-0000-0000-000017C60000}"/>
    <cellStyle name="Nuovo 19" xfId="2024" xr:uid="{00000000-0005-0000-0000-000018C60000}"/>
    <cellStyle name="Nuovo 19 2" xfId="2025" xr:uid="{00000000-0005-0000-0000-000019C60000}"/>
    <cellStyle name="Nuovo 19 2 2" xfId="2026" xr:uid="{00000000-0005-0000-0000-00001AC60000}"/>
    <cellStyle name="Nuovo 19 3" xfId="2027" xr:uid="{00000000-0005-0000-0000-00001BC60000}"/>
    <cellStyle name="Nuovo 19 3 2" xfId="2028" xr:uid="{00000000-0005-0000-0000-00001CC60000}"/>
    <cellStyle name="Nuovo 19 3 3" xfId="19699" xr:uid="{00000000-0005-0000-0000-00001DC60000}"/>
    <cellStyle name="Nuovo 19 3 3 2" xfId="20710" xr:uid="{00000000-0005-0000-0000-00001EC60000}"/>
    <cellStyle name="Nuovo 19 3 4" xfId="20709" xr:uid="{00000000-0005-0000-0000-00001FC60000}"/>
    <cellStyle name="Nuovo 19 3 5" xfId="19698" xr:uid="{00000000-0005-0000-0000-000020C60000}"/>
    <cellStyle name="Nuovo 19 4" xfId="11680" xr:uid="{00000000-0005-0000-0000-000021C60000}"/>
    <cellStyle name="Nuovo 19 4 2" xfId="19701" xr:uid="{00000000-0005-0000-0000-000022C60000}"/>
    <cellStyle name="Nuovo 19 4 2 2" xfId="20712" xr:uid="{00000000-0005-0000-0000-000023C60000}"/>
    <cellStyle name="Nuovo 19 4 3" xfId="20711" xr:uid="{00000000-0005-0000-0000-000024C60000}"/>
    <cellStyle name="Nuovo 19 4 4" xfId="19700" xr:uid="{00000000-0005-0000-0000-000025C60000}"/>
    <cellStyle name="Nuovo 19 5" xfId="11681" xr:uid="{00000000-0005-0000-0000-000026C60000}"/>
    <cellStyle name="Nuovo 2" xfId="2029" xr:uid="{00000000-0005-0000-0000-000027C60000}"/>
    <cellStyle name="Nuovo 2 2" xfId="2030" xr:uid="{00000000-0005-0000-0000-000028C60000}"/>
    <cellStyle name="Nuovo 2 2 2" xfId="2031" xr:uid="{00000000-0005-0000-0000-000029C60000}"/>
    <cellStyle name="Nuovo 2 3" xfId="2032" xr:uid="{00000000-0005-0000-0000-00002AC60000}"/>
    <cellStyle name="Nuovo 2 3 2" xfId="2033" xr:uid="{00000000-0005-0000-0000-00002BC60000}"/>
    <cellStyle name="Nuovo 2 3 3" xfId="2034" xr:uid="{00000000-0005-0000-0000-00002CC60000}"/>
    <cellStyle name="Nuovo 2 3 3 2" xfId="20714" xr:uid="{00000000-0005-0000-0000-00002DC60000}"/>
    <cellStyle name="Nuovo 2 3 3 3" xfId="19703" xr:uid="{00000000-0005-0000-0000-00002EC60000}"/>
    <cellStyle name="Nuovo 2 3 4" xfId="20713" xr:uid="{00000000-0005-0000-0000-00002FC60000}"/>
    <cellStyle name="Nuovo 2 3 5" xfId="19702" xr:uid="{00000000-0005-0000-0000-000030C60000}"/>
    <cellStyle name="Nuovo 2 4" xfId="11682" xr:uid="{00000000-0005-0000-0000-000031C60000}"/>
    <cellStyle name="Nuovo 2 4 2" xfId="19705" xr:uid="{00000000-0005-0000-0000-000032C60000}"/>
    <cellStyle name="Nuovo 2 4 2 2" xfId="20716" xr:uid="{00000000-0005-0000-0000-000033C60000}"/>
    <cellStyle name="Nuovo 2 4 3" xfId="20715" xr:uid="{00000000-0005-0000-0000-000034C60000}"/>
    <cellStyle name="Nuovo 2 4 4" xfId="19704" xr:uid="{00000000-0005-0000-0000-000035C60000}"/>
    <cellStyle name="Nuovo 2 5" xfId="11683" xr:uid="{00000000-0005-0000-0000-000036C60000}"/>
    <cellStyle name="Nuovo 20" xfId="2035" xr:uid="{00000000-0005-0000-0000-000037C60000}"/>
    <cellStyle name="Nuovo 20 2" xfId="2036" xr:uid="{00000000-0005-0000-0000-000038C60000}"/>
    <cellStyle name="Nuovo 20 2 2" xfId="2037" xr:uid="{00000000-0005-0000-0000-000039C60000}"/>
    <cellStyle name="Nuovo 20 3" xfId="2038" xr:uid="{00000000-0005-0000-0000-00003AC60000}"/>
    <cellStyle name="Nuovo 20 3 2" xfId="2039" xr:uid="{00000000-0005-0000-0000-00003BC60000}"/>
    <cellStyle name="Nuovo 20 3 3" xfId="19707" xr:uid="{00000000-0005-0000-0000-00003CC60000}"/>
    <cellStyle name="Nuovo 20 3 3 2" xfId="20718" xr:uid="{00000000-0005-0000-0000-00003DC60000}"/>
    <cellStyle name="Nuovo 20 3 4" xfId="20717" xr:uid="{00000000-0005-0000-0000-00003EC60000}"/>
    <cellStyle name="Nuovo 20 3 5" xfId="19706" xr:uid="{00000000-0005-0000-0000-00003FC60000}"/>
    <cellStyle name="Nuovo 20 4" xfId="11684" xr:uid="{00000000-0005-0000-0000-000040C60000}"/>
    <cellStyle name="Nuovo 20 4 2" xfId="19709" xr:uid="{00000000-0005-0000-0000-000041C60000}"/>
    <cellStyle name="Nuovo 20 4 2 2" xfId="20720" xr:uid="{00000000-0005-0000-0000-000042C60000}"/>
    <cellStyle name="Nuovo 20 4 3" xfId="20719" xr:uid="{00000000-0005-0000-0000-000043C60000}"/>
    <cellStyle name="Nuovo 20 4 4" xfId="19708" xr:uid="{00000000-0005-0000-0000-000044C60000}"/>
    <cellStyle name="Nuovo 20 5" xfId="11685" xr:uid="{00000000-0005-0000-0000-000045C60000}"/>
    <cellStyle name="Nuovo 21" xfId="2040" xr:uid="{00000000-0005-0000-0000-000046C60000}"/>
    <cellStyle name="Nuovo 21 2" xfId="2041" xr:uid="{00000000-0005-0000-0000-000047C60000}"/>
    <cellStyle name="Nuovo 21 2 2" xfId="2042" xr:uid="{00000000-0005-0000-0000-000048C60000}"/>
    <cellStyle name="Nuovo 21 3" xfId="2043" xr:uid="{00000000-0005-0000-0000-000049C60000}"/>
    <cellStyle name="Nuovo 21 3 2" xfId="2044" xr:uid="{00000000-0005-0000-0000-00004AC60000}"/>
    <cellStyle name="Nuovo 21 3 3" xfId="19711" xr:uid="{00000000-0005-0000-0000-00004BC60000}"/>
    <cellStyle name="Nuovo 21 3 3 2" xfId="20722" xr:uid="{00000000-0005-0000-0000-00004CC60000}"/>
    <cellStyle name="Nuovo 21 3 4" xfId="20721" xr:uid="{00000000-0005-0000-0000-00004DC60000}"/>
    <cellStyle name="Nuovo 21 3 5" xfId="19710" xr:uid="{00000000-0005-0000-0000-00004EC60000}"/>
    <cellStyle name="Nuovo 21 4" xfId="11686" xr:uid="{00000000-0005-0000-0000-00004FC60000}"/>
    <cellStyle name="Nuovo 21 4 2" xfId="19713" xr:uid="{00000000-0005-0000-0000-000050C60000}"/>
    <cellStyle name="Nuovo 21 4 2 2" xfId="20724" xr:uid="{00000000-0005-0000-0000-000051C60000}"/>
    <cellStyle name="Nuovo 21 4 3" xfId="20723" xr:uid="{00000000-0005-0000-0000-000052C60000}"/>
    <cellStyle name="Nuovo 21 4 4" xfId="19712" xr:uid="{00000000-0005-0000-0000-000053C60000}"/>
    <cellStyle name="Nuovo 21 5" xfId="11687" xr:uid="{00000000-0005-0000-0000-000054C60000}"/>
    <cellStyle name="Nuovo 22" xfId="2045" xr:uid="{00000000-0005-0000-0000-000055C60000}"/>
    <cellStyle name="Nuovo 22 2" xfId="2046" xr:uid="{00000000-0005-0000-0000-000056C60000}"/>
    <cellStyle name="Nuovo 22 2 2" xfId="2047" xr:uid="{00000000-0005-0000-0000-000057C60000}"/>
    <cellStyle name="Nuovo 22 3" xfId="2048" xr:uid="{00000000-0005-0000-0000-000058C60000}"/>
    <cellStyle name="Nuovo 22 3 2" xfId="2049" xr:uid="{00000000-0005-0000-0000-000059C60000}"/>
    <cellStyle name="Nuovo 22 3 3" xfId="19715" xr:uid="{00000000-0005-0000-0000-00005AC60000}"/>
    <cellStyle name="Nuovo 22 3 3 2" xfId="20726" xr:uid="{00000000-0005-0000-0000-00005BC60000}"/>
    <cellStyle name="Nuovo 22 3 4" xfId="20725" xr:uid="{00000000-0005-0000-0000-00005CC60000}"/>
    <cellStyle name="Nuovo 22 3 5" xfId="19714" xr:uid="{00000000-0005-0000-0000-00005DC60000}"/>
    <cellStyle name="Nuovo 22 4" xfId="11688" xr:uid="{00000000-0005-0000-0000-00005EC60000}"/>
    <cellStyle name="Nuovo 22 4 2" xfId="19717" xr:uid="{00000000-0005-0000-0000-00005FC60000}"/>
    <cellStyle name="Nuovo 22 4 2 2" xfId="20728" xr:uid="{00000000-0005-0000-0000-000060C60000}"/>
    <cellStyle name="Nuovo 22 4 3" xfId="20727" xr:uid="{00000000-0005-0000-0000-000061C60000}"/>
    <cellStyle name="Nuovo 22 4 4" xfId="19716" xr:uid="{00000000-0005-0000-0000-000062C60000}"/>
    <cellStyle name="Nuovo 22 5" xfId="11689" xr:uid="{00000000-0005-0000-0000-000063C60000}"/>
    <cellStyle name="Nuovo 23" xfId="2050" xr:uid="{00000000-0005-0000-0000-000064C60000}"/>
    <cellStyle name="Nuovo 23 2" xfId="2051" xr:uid="{00000000-0005-0000-0000-000065C60000}"/>
    <cellStyle name="Nuovo 23 2 2" xfId="2052" xr:uid="{00000000-0005-0000-0000-000066C60000}"/>
    <cellStyle name="Nuovo 23 3" xfId="2053" xr:uid="{00000000-0005-0000-0000-000067C60000}"/>
    <cellStyle name="Nuovo 23 3 2" xfId="2054" xr:uid="{00000000-0005-0000-0000-000068C60000}"/>
    <cellStyle name="Nuovo 23 3 3" xfId="19719" xr:uid="{00000000-0005-0000-0000-000069C60000}"/>
    <cellStyle name="Nuovo 23 3 3 2" xfId="20730" xr:uid="{00000000-0005-0000-0000-00006AC60000}"/>
    <cellStyle name="Nuovo 23 3 4" xfId="20729" xr:uid="{00000000-0005-0000-0000-00006BC60000}"/>
    <cellStyle name="Nuovo 23 3 5" xfId="19718" xr:uid="{00000000-0005-0000-0000-00006CC60000}"/>
    <cellStyle name="Nuovo 23 4" xfId="11690" xr:uid="{00000000-0005-0000-0000-00006DC60000}"/>
    <cellStyle name="Nuovo 23 4 2" xfId="19721" xr:uid="{00000000-0005-0000-0000-00006EC60000}"/>
    <cellStyle name="Nuovo 23 4 2 2" xfId="20732" xr:uid="{00000000-0005-0000-0000-00006FC60000}"/>
    <cellStyle name="Nuovo 23 4 3" xfId="20731" xr:uid="{00000000-0005-0000-0000-000070C60000}"/>
    <cellStyle name="Nuovo 23 4 4" xfId="19720" xr:uid="{00000000-0005-0000-0000-000071C60000}"/>
    <cellStyle name="Nuovo 23 5" xfId="11691" xr:uid="{00000000-0005-0000-0000-000072C60000}"/>
    <cellStyle name="Nuovo 24" xfId="2055" xr:uid="{00000000-0005-0000-0000-000073C60000}"/>
    <cellStyle name="Nuovo 24 2" xfId="2056" xr:uid="{00000000-0005-0000-0000-000074C60000}"/>
    <cellStyle name="Nuovo 24 2 2" xfId="2057" xr:uid="{00000000-0005-0000-0000-000075C60000}"/>
    <cellStyle name="Nuovo 24 3" xfId="2058" xr:uid="{00000000-0005-0000-0000-000076C60000}"/>
    <cellStyle name="Nuovo 24 3 2" xfId="2059" xr:uid="{00000000-0005-0000-0000-000077C60000}"/>
    <cellStyle name="Nuovo 24 3 3" xfId="19723" xr:uid="{00000000-0005-0000-0000-000078C60000}"/>
    <cellStyle name="Nuovo 24 3 3 2" xfId="20734" xr:uid="{00000000-0005-0000-0000-000079C60000}"/>
    <cellStyle name="Nuovo 24 3 4" xfId="20733" xr:uid="{00000000-0005-0000-0000-00007AC60000}"/>
    <cellStyle name="Nuovo 24 3 5" xfId="19722" xr:uid="{00000000-0005-0000-0000-00007BC60000}"/>
    <cellStyle name="Nuovo 24 4" xfId="11692" xr:uid="{00000000-0005-0000-0000-00007CC60000}"/>
    <cellStyle name="Nuovo 24 4 2" xfId="19725" xr:uid="{00000000-0005-0000-0000-00007DC60000}"/>
    <cellStyle name="Nuovo 24 4 2 2" xfId="20736" xr:uid="{00000000-0005-0000-0000-00007EC60000}"/>
    <cellStyle name="Nuovo 24 4 3" xfId="20735" xr:uid="{00000000-0005-0000-0000-00007FC60000}"/>
    <cellStyle name="Nuovo 24 4 4" xfId="19724" xr:uid="{00000000-0005-0000-0000-000080C60000}"/>
    <cellStyle name="Nuovo 24 5" xfId="11693" xr:uid="{00000000-0005-0000-0000-000081C60000}"/>
    <cellStyle name="Nuovo 25" xfId="2060" xr:uid="{00000000-0005-0000-0000-000082C60000}"/>
    <cellStyle name="Nuovo 25 2" xfId="2061" xr:uid="{00000000-0005-0000-0000-000083C60000}"/>
    <cellStyle name="Nuovo 25 2 2" xfId="2062" xr:uid="{00000000-0005-0000-0000-000084C60000}"/>
    <cellStyle name="Nuovo 25 3" xfId="2063" xr:uid="{00000000-0005-0000-0000-000085C60000}"/>
    <cellStyle name="Nuovo 25 3 2" xfId="2064" xr:uid="{00000000-0005-0000-0000-000086C60000}"/>
    <cellStyle name="Nuovo 25 3 3" xfId="19727" xr:uid="{00000000-0005-0000-0000-000087C60000}"/>
    <cellStyle name="Nuovo 25 3 3 2" xfId="20738" xr:uid="{00000000-0005-0000-0000-000088C60000}"/>
    <cellStyle name="Nuovo 25 3 4" xfId="20737" xr:uid="{00000000-0005-0000-0000-000089C60000}"/>
    <cellStyle name="Nuovo 25 3 5" xfId="19726" xr:uid="{00000000-0005-0000-0000-00008AC60000}"/>
    <cellStyle name="Nuovo 25 4" xfId="11694" xr:uid="{00000000-0005-0000-0000-00008BC60000}"/>
    <cellStyle name="Nuovo 25 4 2" xfId="19729" xr:uid="{00000000-0005-0000-0000-00008CC60000}"/>
    <cellStyle name="Nuovo 25 4 2 2" xfId="20740" xr:uid="{00000000-0005-0000-0000-00008DC60000}"/>
    <cellStyle name="Nuovo 25 4 3" xfId="20739" xr:uid="{00000000-0005-0000-0000-00008EC60000}"/>
    <cellStyle name="Nuovo 25 4 4" xfId="19728" xr:uid="{00000000-0005-0000-0000-00008FC60000}"/>
    <cellStyle name="Nuovo 25 5" xfId="11695" xr:uid="{00000000-0005-0000-0000-000090C60000}"/>
    <cellStyle name="Nuovo 26" xfId="2065" xr:uid="{00000000-0005-0000-0000-000091C60000}"/>
    <cellStyle name="Nuovo 26 2" xfId="2066" xr:uid="{00000000-0005-0000-0000-000092C60000}"/>
    <cellStyle name="Nuovo 26 2 2" xfId="2067" xr:uid="{00000000-0005-0000-0000-000093C60000}"/>
    <cellStyle name="Nuovo 26 3" xfId="2068" xr:uid="{00000000-0005-0000-0000-000094C60000}"/>
    <cellStyle name="Nuovo 26 3 2" xfId="2069" xr:uid="{00000000-0005-0000-0000-000095C60000}"/>
    <cellStyle name="Nuovo 26 3 3" xfId="19731" xr:uid="{00000000-0005-0000-0000-000096C60000}"/>
    <cellStyle name="Nuovo 26 3 3 2" xfId="20742" xr:uid="{00000000-0005-0000-0000-000097C60000}"/>
    <cellStyle name="Nuovo 26 3 4" xfId="20741" xr:uid="{00000000-0005-0000-0000-000098C60000}"/>
    <cellStyle name="Nuovo 26 3 5" xfId="19730" xr:uid="{00000000-0005-0000-0000-000099C60000}"/>
    <cellStyle name="Nuovo 26 4" xfId="11696" xr:uid="{00000000-0005-0000-0000-00009AC60000}"/>
    <cellStyle name="Nuovo 26 4 2" xfId="19733" xr:uid="{00000000-0005-0000-0000-00009BC60000}"/>
    <cellStyle name="Nuovo 26 4 2 2" xfId="20744" xr:uid="{00000000-0005-0000-0000-00009CC60000}"/>
    <cellStyle name="Nuovo 26 4 3" xfId="20743" xr:uid="{00000000-0005-0000-0000-00009DC60000}"/>
    <cellStyle name="Nuovo 26 4 4" xfId="19732" xr:uid="{00000000-0005-0000-0000-00009EC60000}"/>
    <cellStyle name="Nuovo 26 5" xfId="11697" xr:uid="{00000000-0005-0000-0000-00009FC60000}"/>
    <cellStyle name="Nuovo 27" xfId="2070" xr:uid="{00000000-0005-0000-0000-0000A0C60000}"/>
    <cellStyle name="Nuovo 27 2" xfId="2071" xr:uid="{00000000-0005-0000-0000-0000A1C60000}"/>
    <cellStyle name="Nuovo 27 2 2" xfId="2072" xr:uid="{00000000-0005-0000-0000-0000A2C60000}"/>
    <cellStyle name="Nuovo 27 3" xfId="2073" xr:uid="{00000000-0005-0000-0000-0000A3C60000}"/>
    <cellStyle name="Nuovo 27 3 2" xfId="2074" xr:uid="{00000000-0005-0000-0000-0000A4C60000}"/>
    <cellStyle name="Nuovo 27 3 3" xfId="19735" xr:uid="{00000000-0005-0000-0000-0000A5C60000}"/>
    <cellStyle name="Nuovo 27 3 3 2" xfId="20746" xr:uid="{00000000-0005-0000-0000-0000A6C60000}"/>
    <cellStyle name="Nuovo 27 3 4" xfId="20745" xr:uid="{00000000-0005-0000-0000-0000A7C60000}"/>
    <cellStyle name="Nuovo 27 3 5" xfId="19734" xr:uid="{00000000-0005-0000-0000-0000A8C60000}"/>
    <cellStyle name="Nuovo 27 4" xfId="11698" xr:uid="{00000000-0005-0000-0000-0000A9C60000}"/>
    <cellStyle name="Nuovo 27 4 2" xfId="19737" xr:uid="{00000000-0005-0000-0000-0000AAC60000}"/>
    <cellStyle name="Nuovo 27 4 2 2" xfId="20748" xr:uid="{00000000-0005-0000-0000-0000ABC60000}"/>
    <cellStyle name="Nuovo 27 4 3" xfId="20747" xr:uid="{00000000-0005-0000-0000-0000ACC60000}"/>
    <cellStyle name="Nuovo 27 4 4" xfId="19736" xr:uid="{00000000-0005-0000-0000-0000ADC60000}"/>
    <cellStyle name="Nuovo 27 5" xfId="11699" xr:uid="{00000000-0005-0000-0000-0000AEC60000}"/>
    <cellStyle name="Nuovo 28" xfId="2075" xr:uid="{00000000-0005-0000-0000-0000AFC60000}"/>
    <cellStyle name="Nuovo 28 2" xfId="2076" xr:uid="{00000000-0005-0000-0000-0000B0C60000}"/>
    <cellStyle name="Nuovo 28 2 2" xfId="2077" xr:uid="{00000000-0005-0000-0000-0000B1C60000}"/>
    <cellStyle name="Nuovo 28 3" xfId="2078" xr:uid="{00000000-0005-0000-0000-0000B2C60000}"/>
    <cellStyle name="Nuovo 28 3 2" xfId="2079" xr:uid="{00000000-0005-0000-0000-0000B3C60000}"/>
    <cellStyle name="Nuovo 28 3 3" xfId="19739" xr:uid="{00000000-0005-0000-0000-0000B4C60000}"/>
    <cellStyle name="Nuovo 28 3 3 2" xfId="20750" xr:uid="{00000000-0005-0000-0000-0000B5C60000}"/>
    <cellStyle name="Nuovo 28 3 4" xfId="20749" xr:uid="{00000000-0005-0000-0000-0000B6C60000}"/>
    <cellStyle name="Nuovo 28 3 5" xfId="19738" xr:uid="{00000000-0005-0000-0000-0000B7C60000}"/>
    <cellStyle name="Nuovo 28 4" xfId="11700" xr:uid="{00000000-0005-0000-0000-0000B8C60000}"/>
    <cellStyle name="Nuovo 28 4 2" xfId="19741" xr:uid="{00000000-0005-0000-0000-0000B9C60000}"/>
    <cellStyle name="Nuovo 28 4 2 2" xfId="20752" xr:uid="{00000000-0005-0000-0000-0000BAC60000}"/>
    <cellStyle name="Nuovo 28 4 3" xfId="20751" xr:uid="{00000000-0005-0000-0000-0000BBC60000}"/>
    <cellStyle name="Nuovo 28 4 4" xfId="19740" xr:uid="{00000000-0005-0000-0000-0000BCC60000}"/>
    <cellStyle name="Nuovo 28 5" xfId="11701" xr:uid="{00000000-0005-0000-0000-0000BDC60000}"/>
    <cellStyle name="Nuovo 29" xfId="2080" xr:uid="{00000000-0005-0000-0000-0000BEC60000}"/>
    <cellStyle name="Nuovo 29 2" xfId="2081" xr:uid="{00000000-0005-0000-0000-0000BFC60000}"/>
    <cellStyle name="Nuovo 29 2 2" xfId="2082" xr:uid="{00000000-0005-0000-0000-0000C0C60000}"/>
    <cellStyle name="Nuovo 29 3" xfId="2083" xr:uid="{00000000-0005-0000-0000-0000C1C60000}"/>
    <cellStyle name="Nuovo 29 3 2" xfId="2084" xr:uid="{00000000-0005-0000-0000-0000C2C60000}"/>
    <cellStyle name="Nuovo 29 3 3" xfId="19743" xr:uid="{00000000-0005-0000-0000-0000C3C60000}"/>
    <cellStyle name="Nuovo 29 3 3 2" xfId="20754" xr:uid="{00000000-0005-0000-0000-0000C4C60000}"/>
    <cellStyle name="Nuovo 29 3 4" xfId="20753" xr:uid="{00000000-0005-0000-0000-0000C5C60000}"/>
    <cellStyle name="Nuovo 29 3 5" xfId="19742" xr:uid="{00000000-0005-0000-0000-0000C6C60000}"/>
    <cellStyle name="Nuovo 29 4" xfId="11702" xr:uid="{00000000-0005-0000-0000-0000C7C60000}"/>
    <cellStyle name="Nuovo 29 4 2" xfId="19745" xr:uid="{00000000-0005-0000-0000-0000C8C60000}"/>
    <cellStyle name="Nuovo 29 4 2 2" xfId="20756" xr:uid="{00000000-0005-0000-0000-0000C9C60000}"/>
    <cellStyle name="Nuovo 29 4 3" xfId="20755" xr:uid="{00000000-0005-0000-0000-0000CAC60000}"/>
    <cellStyle name="Nuovo 29 4 4" xfId="19744" xr:uid="{00000000-0005-0000-0000-0000CBC60000}"/>
    <cellStyle name="Nuovo 29 5" xfId="11703" xr:uid="{00000000-0005-0000-0000-0000CCC60000}"/>
    <cellStyle name="Nuovo 3" xfId="2085" xr:uid="{00000000-0005-0000-0000-0000CDC60000}"/>
    <cellStyle name="Nuovo 3 2" xfId="2086" xr:uid="{00000000-0005-0000-0000-0000CEC60000}"/>
    <cellStyle name="Nuovo 3 2 2" xfId="2087" xr:uid="{00000000-0005-0000-0000-0000CFC60000}"/>
    <cellStyle name="Nuovo 3 3" xfId="2088" xr:uid="{00000000-0005-0000-0000-0000D0C60000}"/>
    <cellStyle name="Nuovo 3 3 2" xfId="2089" xr:uid="{00000000-0005-0000-0000-0000D1C60000}"/>
    <cellStyle name="Nuovo 3 3 3" xfId="19747" xr:uid="{00000000-0005-0000-0000-0000D2C60000}"/>
    <cellStyle name="Nuovo 3 3 3 2" xfId="20758" xr:uid="{00000000-0005-0000-0000-0000D3C60000}"/>
    <cellStyle name="Nuovo 3 3 4" xfId="20757" xr:uid="{00000000-0005-0000-0000-0000D4C60000}"/>
    <cellStyle name="Nuovo 3 3 5" xfId="19746" xr:uid="{00000000-0005-0000-0000-0000D5C60000}"/>
    <cellStyle name="Nuovo 3 4" xfId="11704" xr:uid="{00000000-0005-0000-0000-0000D6C60000}"/>
    <cellStyle name="Nuovo 3 4 2" xfId="19749" xr:uid="{00000000-0005-0000-0000-0000D7C60000}"/>
    <cellStyle name="Nuovo 3 4 2 2" xfId="20760" xr:uid="{00000000-0005-0000-0000-0000D8C60000}"/>
    <cellStyle name="Nuovo 3 4 3" xfId="20759" xr:uid="{00000000-0005-0000-0000-0000D9C60000}"/>
    <cellStyle name="Nuovo 3 4 4" xfId="19748" xr:uid="{00000000-0005-0000-0000-0000DAC60000}"/>
    <cellStyle name="Nuovo 3 5" xfId="11705" xr:uid="{00000000-0005-0000-0000-0000DBC60000}"/>
    <cellStyle name="Nuovo 30" xfId="2090" xr:uid="{00000000-0005-0000-0000-0000DCC60000}"/>
    <cellStyle name="Nuovo 30 2" xfId="2091" xr:uid="{00000000-0005-0000-0000-0000DDC60000}"/>
    <cellStyle name="Nuovo 30 2 2" xfId="2092" xr:uid="{00000000-0005-0000-0000-0000DEC60000}"/>
    <cellStyle name="Nuovo 30 3" xfId="2093" xr:uid="{00000000-0005-0000-0000-0000DFC60000}"/>
    <cellStyle name="Nuovo 30 3 2" xfId="2094" xr:uid="{00000000-0005-0000-0000-0000E0C60000}"/>
    <cellStyle name="Nuovo 30 3 3" xfId="19751" xr:uid="{00000000-0005-0000-0000-0000E1C60000}"/>
    <cellStyle name="Nuovo 30 3 3 2" xfId="20762" xr:uid="{00000000-0005-0000-0000-0000E2C60000}"/>
    <cellStyle name="Nuovo 30 3 4" xfId="20761" xr:uid="{00000000-0005-0000-0000-0000E3C60000}"/>
    <cellStyle name="Nuovo 30 3 5" xfId="19750" xr:uid="{00000000-0005-0000-0000-0000E4C60000}"/>
    <cellStyle name="Nuovo 30 4" xfId="11706" xr:uid="{00000000-0005-0000-0000-0000E5C60000}"/>
    <cellStyle name="Nuovo 30 4 2" xfId="19753" xr:uid="{00000000-0005-0000-0000-0000E6C60000}"/>
    <cellStyle name="Nuovo 30 4 2 2" xfId="20764" xr:uid="{00000000-0005-0000-0000-0000E7C60000}"/>
    <cellStyle name="Nuovo 30 4 3" xfId="20763" xr:uid="{00000000-0005-0000-0000-0000E8C60000}"/>
    <cellStyle name="Nuovo 30 4 4" xfId="19752" xr:uid="{00000000-0005-0000-0000-0000E9C60000}"/>
    <cellStyle name="Nuovo 30 5" xfId="11707" xr:uid="{00000000-0005-0000-0000-0000EAC60000}"/>
    <cellStyle name="Nuovo 31" xfId="2095" xr:uid="{00000000-0005-0000-0000-0000EBC60000}"/>
    <cellStyle name="Nuovo 31 2" xfId="2096" xr:uid="{00000000-0005-0000-0000-0000ECC60000}"/>
    <cellStyle name="Nuovo 31 2 2" xfId="2097" xr:uid="{00000000-0005-0000-0000-0000EDC60000}"/>
    <cellStyle name="Nuovo 31 3" xfId="2098" xr:uid="{00000000-0005-0000-0000-0000EEC60000}"/>
    <cellStyle name="Nuovo 31 3 2" xfId="2099" xr:uid="{00000000-0005-0000-0000-0000EFC60000}"/>
    <cellStyle name="Nuovo 31 3 3" xfId="19755" xr:uid="{00000000-0005-0000-0000-0000F0C60000}"/>
    <cellStyle name="Nuovo 31 3 3 2" xfId="20766" xr:uid="{00000000-0005-0000-0000-0000F1C60000}"/>
    <cellStyle name="Nuovo 31 3 4" xfId="20765" xr:uid="{00000000-0005-0000-0000-0000F2C60000}"/>
    <cellStyle name="Nuovo 31 3 5" xfId="19754" xr:uid="{00000000-0005-0000-0000-0000F3C60000}"/>
    <cellStyle name="Nuovo 31 4" xfId="11708" xr:uid="{00000000-0005-0000-0000-0000F4C60000}"/>
    <cellStyle name="Nuovo 31 4 2" xfId="19757" xr:uid="{00000000-0005-0000-0000-0000F5C60000}"/>
    <cellStyle name="Nuovo 31 4 2 2" xfId="20768" xr:uid="{00000000-0005-0000-0000-0000F6C60000}"/>
    <cellStyle name="Nuovo 31 4 3" xfId="20767" xr:uid="{00000000-0005-0000-0000-0000F7C60000}"/>
    <cellStyle name="Nuovo 31 4 4" xfId="19756" xr:uid="{00000000-0005-0000-0000-0000F8C60000}"/>
    <cellStyle name="Nuovo 31 5" xfId="11709" xr:uid="{00000000-0005-0000-0000-0000F9C60000}"/>
    <cellStyle name="Nuovo 32" xfId="2100" xr:uid="{00000000-0005-0000-0000-0000FAC60000}"/>
    <cellStyle name="Nuovo 32 2" xfId="2101" xr:uid="{00000000-0005-0000-0000-0000FBC60000}"/>
    <cellStyle name="Nuovo 32 2 2" xfId="2102" xr:uid="{00000000-0005-0000-0000-0000FCC60000}"/>
    <cellStyle name="Nuovo 32 3" xfId="2103" xr:uid="{00000000-0005-0000-0000-0000FDC60000}"/>
    <cellStyle name="Nuovo 32 3 2" xfId="2104" xr:uid="{00000000-0005-0000-0000-0000FEC60000}"/>
    <cellStyle name="Nuovo 32 3 3" xfId="19759" xr:uid="{00000000-0005-0000-0000-0000FFC60000}"/>
    <cellStyle name="Nuovo 32 3 3 2" xfId="20770" xr:uid="{00000000-0005-0000-0000-000000C70000}"/>
    <cellStyle name="Nuovo 32 3 4" xfId="20769" xr:uid="{00000000-0005-0000-0000-000001C70000}"/>
    <cellStyle name="Nuovo 32 3 5" xfId="19758" xr:uid="{00000000-0005-0000-0000-000002C70000}"/>
    <cellStyle name="Nuovo 32 4" xfId="11710" xr:uid="{00000000-0005-0000-0000-000003C70000}"/>
    <cellStyle name="Nuovo 32 4 2" xfId="19761" xr:uid="{00000000-0005-0000-0000-000004C70000}"/>
    <cellStyle name="Nuovo 32 4 2 2" xfId="20772" xr:uid="{00000000-0005-0000-0000-000005C70000}"/>
    <cellStyle name="Nuovo 32 4 3" xfId="20771" xr:uid="{00000000-0005-0000-0000-000006C70000}"/>
    <cellStyle name="Nuovo 32 4 4" xfId="19760" xr:uid="{00000000-0005-0000-0000-000007C70000}"/>
    <cellStyle name="Nuovo 32 5" xfId="11711" xr:uid="{00000000-0005-0000-0000-000008C70000}"/>
    <cellStyle name="Nuovo 33" xfId="2105" xr:uid="{00000000-0005-0000-0000-000009C70000}"/>
    <cellStyle name="Nuovo 33 2" xfId="2106" xr:uid="{00000000-0005-0000-0000-00000AC70000}"/>
    <cellStyle name="Nuovo 33 2 2" xfId="2107" xr:uid="{00000000-0005-0000-0000-00000BC70000}"/>
    <cellStyle name="Nuovo 33 3" xfId="2108" xr:uid="{00000000-0005-0000-0000-00000CC70000}"/>
    <cellStyle name="Nuovo 33 3 2" xfId="2109" xr:uid="{00000000-0005-0000-0000-00000DC70000}"/>
    <cellStyle name="Nuovo 33 3 3" xfId="19763" xr:uid="{00000000-0005-0000-0000-00000EC70000}"/>
    <cellStyle name="Nuovo 33 3 3 2" xfId="20774" xr:uid="{00000000-0005-0000-0000-00000FC70000}"/>
    <cellStyle name="Nuovo 33 3 4" xfId="20773" xr:uid="{00000000-0005-0000-0000-000010C70000}"/>
    <cellStyle name="Nuovo 33 3 5" xfId="19762" xr:uid="{00000000-0005-0000-0000-000011C70000}"/>
    <cellStyle name="Nuovo 33 4" xfId="11712" xr:uid="{00000000-0005-0000-0000-000012C70000}"/>
    <cellStyle name="Nuovo 33 4 2" xfId="19765" xr:uid="{00000000-0005-0000-0000-000013C70000}"/>
    <cellStyle name="Nuovo 33 4 2 2" xfId="20776" xr:uid="{00000000-0005-0000-0000-000014C70000}"/>
    <cellStyle name="Nuovo 33 4 3" xfId="20775" xr:uid="{00000000-0005-0000-0000-000015C70000}"/>
    <cellStyle name="Nuovo 33 4 4" xfId="19764" xr:uid="{00000000-0005-0000-0000-000016C70000}"/>
    <cellStyle name="Nuovo 33 5" xfId="11713" xr:uid="{00000000-0005-0000-0000-000017C70000}"/>
    <cellStyle name="Nuovo 34" xfId="2110" xr:uid="{00000000-0005-0000-0000-000018C70000}"/>
    <cellStyle name="Nuovo 34 2" xfId="2111" xr:uid="{00000000-0005-0000-0000-000019C70000}"/>
    <cellStyle name="Nuovo 34 2 2" xfId="2112" xr:uid="{00000000-0005-0000-0000-00001AC70000}"/>
    <cellStyle name="Nuovo 34 3" xfId="2113" xr:uid="{00000000-0005-0000-0000-00001BC70000}"/>
    <cellStyle name="Nuovo 34 3 2" xfId="2114" xr:uid="{00000000-0005-0000-0000-00001CC70000}"/>
    <cellStyle name="Nuovo 34 3 3" xfId="19767" xr:uid="{00000000-0005-0000-0000-00001DC70000}"/>
    <cellStyle name="Nuovo 34 3 3 2" xfId="20778" xr:uid="{00000000-0005-0000-0000-00001EC70000}"/>
    <cellStyle name="Nuovo 34 3 4" xfId="20777" xr:uid="{00000000-0005-0000-0000-00001FC70000}"/>
    <cellStyle name="Nuovo 34 3 5" xfId="19766" xr:uid="{00000000-0005-0000-0000-000020C70000}"/>
    <cellStyle name="Nuovo 34 4" xfId="11714" xr:uid="{00000000-0005-0000-0000-000021C70000}"/>
    <cellStyle name="Nuovo 34 4 2" xfId="19769" xr:uid="{00000000-0005-0000-0000-000022C70000}"/>
    <cellStyle name="Nuovo 34 4 2 2" xfId="20780" xr:uid="{00000000-0005-0000-0000-000023C70000}"/>
    <cellStyle name="Nuovo 34 4 3" xfId="20779" xr:uid="{00000000-0005-0000-0000-000024C70000}"/>
    <cellStyle name="Nuovo 34 4 4" xfId="19768" xr:uid="{00000000-0005-0000-0000-000025C70000}"/>
    <cellStyle name="Nuovo 34 5" xfId="11715" xr:uid="{00000000-0005-0000-0000-000026C70000}"/>
    <cellStyle name="Nuovo 35" xfId="2115" xr:uid="{00000000-0005-0000-0000-000027C70000}"/>
    <cellStyle name="Nuovo 35 2" xfId="2116" xr:uid="{00000000-0005-0000-0000-000028C70000}"/>
    <cellStyle name="Nuovo 35 2 2" xfId="2117" xr:uid="{00000000-0005-0000-0000-000029C70000}"/>
    <cellStyle name="Nuovo 35 3" xfId="2118" xr:uid="{00000000-0005-0000-0000-00002AC70000}"/>
    <cellStyle name="Nuovo 35 3 2" xfId="2119" xr:uid="{00000000-0005-0000-0000-00002BC70000}"/>
    <cellStyle name="Nuovo 35 3 3" xfId="19771" xr:uid="{00000000-0005-0000-0000-00002CC70000}"/>
    <cellStyle name="Nuovo 35 3 3 2" xfId="20782" xr:uid="{00000000-0005-0000-0000-00002DC70000}"/>
    <cellStyle name="Nuovo 35 3 4" xfId="20781" xr:uid="{00000000-0005-0000-0000-00002EC70000}"/>
    <cellStyle name="Nuovo 35 3 5" xfId="19770" xr:uid="{00000000-0005-0000-0000-00002FC70000}"/>
    <cellStyle name="Nuovo 35 4" xfId="11716" xr:uid="{00000000-0005-0000-0000-000030C70000}"/>
    <cellStyle name="Nuovo 35 4 2" xfId="19773" xr:uid="{00000000-0005-0000-0000-000031C70000}"/>
    <cellStyle name="Nuovo 35 4 2 2" xfId="20784" xr:uid="{00000000-0005-0000-0000-000032C70000}"/>
    <cellStyle name="Nuovo 35 4 3" xfId="20783" xr:uid="{00000000-0005-0000-0000-000033C70000}"/>
    <cellStyle name="Nuovo 35 4 4" xfId="19772" xr:uid="{00000000-0005-0000-0000-000034C70000}"/>
    <cellStyle name="Nuovo 35 5" xfId="11717" xr:uid="{00000000-0005-0000-0000-000035C70000}"/>
    <cellStyle name="Nuovo 36" xfId="2120" xr:uid="{00000000-0005-0000-0000-000036C70000}"/>
    <cellStyle name="Nuovo 36 2" xfId="2121" xr:uid="{00000000-0005-0000-0000-000037C70000}"/>
    <cellStyle name="Nuovo 36 2 2" xfId="2122" xr:uid="{00000000-0005-0000-0000-000038C70000}"/>
    <cellStyle name="Nuovo 36 3" xfId="2123" xr:uid="{00000000-0005-0000-0000-000039C70000}"/>
    <cellStyle name="Nuovo 36 3 2" xfId="2124" xr:uid="{00000000-0005-0000-0000-00003AC70000}"/>
    <cellStyle name="Nuovo 36 3 3" xfId="19775" xr:uid="{00000000-0005-0000-0000-00003BC70000}"/>
    <cellStyle name="Nuovo 36 3 3 2" xfId="20786" xr:uid="{00000000-0005-0000-0000-00003CC70000}"/>
    <cellStyle name="Nuovo 36 3 4" xfId="20785" xr:uid="{00000000-0005-0000-0000-00003DC70000}"/>
    <cellStyle name="Nuovo 36 3 5" xfId="19774" xr:uid="{00000000-0005-0000-0000-00003EC70000}"/>
    <cellStyle name="Nuovo 36 4" xfId="11718" xr:uid="{00000000-0005-0000-0000-00003FC70000}"/>
    <cellStyle name="Nuovo 36 4 2" xfId="19777" xr:uid="{00000000-0005-0000-0000-000040C70000}"/>
    <cellStyle name="Nuovo 36 4 2 2" xfId="20788" xr:uid="{00000000-0005-0000-0000-000041C70000}"/>
    <cellStyle name="Nuovo 36 4 3" xfId="20787" xr:uid="{00000000-0005-0000-0000-000042C70000}"/>
    <cellStyle name="Nuovo 36 4 4" xfId="19776" xr:uid="{00000000-0005-0000-0000-000043C70000}"/>
    <cellStyle name="Nuovo 36 5" xfId="11719" xr:uid="{00000000-0005-0000-0000-000044C70000}"/>
    <cellStyle name="Nuovo 37" xfId="2125" xr:uid="{00000000-0005-0000-0000-000045C70000}"/>
    <cellStyle name="Nuovo 37 2" xfId="2126" xr:uid="{00000000-0005-0000-0000-000046C70000}"/>
    <cellStyle name="Nuovo 37 2 2" xfId="2127" xr:uid="{00000000-0005-0000-0000-000047C70000}"/>
    <cellStyle name="Nuovo 37 3" xfId="2128" xr:uid="{00000000-0005-0000-0000-000048C70000}"/>
    <cellStyle name="Nuovo 37 3 2" xfId="2129" xr:uid="{00000000-0005-0000-0000-000049C70000}"/>
    <cellStyle name="Nuovo 37 3 3" xfId="19779" xr:uid="{00000000-0005-0000-0000-00004AC70000}"/>
    <cellStyle name="Nuovo 37 3 3 2" xfId="20790" xr:uid="{00000000-0005-0000-0000-00004BC70000}"/>
    <cellStyle name="Nuovo 37 3 4" xfId="20789" xr:uid="{00000000-0005-0000-0000-00004CC70000}"/>
    <cellStyle name="Nuovo 37 3 5" xfId="19778" xr:uid="{00000000-0005-0000-0000-00004DC70000}"/>
    <cellStyle name="Nuovo 37 4" xfId="11720" xr:uid="{00000000-0005-0000-0000-00004EC70000}"/>
    <cellStyle name="Nuovo 37 4 2" xfId="19781" xr:uid="{00000000-0005-0000-0000-00004FC70000}"/>
    <cellStyle name="Nuovo 37 4 2 2" xfId="20792" xr:uid="{00000000-0005-0000-0000-000050C70000}"/>
    <cellStyle name="Nuovo 37 4 3" xfId="20791" xr:uid="{00000000-0005-0000-0000-000051C70000}"/>
    <cellStyle name="Nuovo 37 4 4" xfId="19780" xr:uid="{00000000-0005-0000-0000-000052C70000}"/>
    <cellStyle name="Nuovo 37 5" xfId="11721" xr:uid="{00000000-0005-0000-0000-000053C70000}"/>
    <cellStyle name="Nuovo 38" xfId="2130" xr:uid="{00000000-0005-0000-0000-000054C70000}"/>
    <cellStyle name="Nuovo 38 2" xfId="2131" xr:uid="{00000000-0005-0000-0000-000055C70000}"/>
    <cellStyle name="Nuovo 38 2 2" xfId="2132" xr:uid="{00000000-0005-0000-0000-000056C70000}"/>
    <cellStyle name="Nuovo 38 3" xfId="2133" xr:uid="{00000000-0005-0000-0000-000057C70000}"/>
    <cellStyle name="Nuovo 38 3 2" xfId="2134" xr:uid="{00000000-0005-0000-0000-000058C70000}"/>
    <cellStyle name="Nuovo 38 3 3" xfId="19783" xr:uid="{00000000-0005-0000-0000-000059C70000}"/>
    <cellStyle name="Nuovo 38 3 3 2" xfId="20794" xr:uid="{00000000-0005-0000-0000-00005AC70000}"/>
    <cellStyle name="Nuovo 38 3 4" xfId="20793" xr:uid="{00000000-0005-0000-0000-00005BC70000}"/>
    <cellStyle name="Nuovo 38 3 5" xfId="19782" xr:uid="{00000000-0005-0000-0000-00005CC70000}"/>
    <cellStyle name="Nuovo 38 4" xfId="11722" xr:uid="{00000000-0005-0000-0000-00005DC70000}"/>
    <cellStyle name="Nuovo 38 4 2" xfId="19785" xr:uid="{00000000-0005-0000-0000-00005EC70000}"/>
    <cellStyle name="Nuovo 38 4 2 2" xfId="20796" xr:uid="{00000000-0005-0000-0000-00005FC70000}"/>
    <cellStyle name="Nuovo 38 4 3" xfId="20795" xr:uid="{00000000-0005-0000-0000-000060C70000}"/>
    <cellStyle name="Nuovo 38 4 4" xfId="19784" xr:uid="{00000000-0005-0000-0000-000061C70000}"/>
    <cellStyle name="Nuovo 38 5" xfId="11723" xr:uid="{00000000-0005-0000-0000-000062C70000}"/>
    <cellStyle name="Nuovo 39" xfId="2135" xr:uid="{00000000-0005-0000-0000-000063C70000}"/>
    <cellStyle name="Nuovo 39 2" xfId="2136" xr:uid="{00000000-0005-0000-0000-000064C70000}"/>
    <cellStyle name="Nuovo 39 2 2" xfId="2137" xr:uid="{00000000-0005-0000-0000-000065C70000}"/>
    <cellStyle name="Nuovo 39 3" xfId="2138" xr:uid="{00000000-0005-0000-0000-000066C70000}"/>
    <cellStyle name="Nuovo 39 3 2" xfId="2139" xr:uid="{00000000-0005-0000-0000-000067C70000}"/>
    <cellStyle name="Nuovo 39 3 3" xfId="19787" xr:uid="{00000000-0005-0000-0000-000068C70000}"/>
    <cellStyle name="Nuovo 39 3 3 2" xfId="20798" xr:uid="{00000000-0005-0000-0000-000069C70000}"/>
    <cellStyle name="Nuovo 39 3 4" xfId="20797" xr:uid="{00000000-0005-0000-0000-00006AC70000}"/>
    <cellStyle name="Nuovo 39 3 5" xfId="19786" xr:uid="{00000000-0005-0000-0000-00006BC70000}"/>
    <cellStyle name="Nuovo 39 4" xfId="11724" xr:uid="{00000000-0005-0000-0000-00006CC70000}"/>
    <cellStyle name="Nuovo 39 4 2" xfId="19789" xr:uid="{00000000-0005-0000-0000-00006DC70000}"/>
    <cellStyle name="Nuovo 39 4 2 2" xfId="20800" xr:uid="{00000000-0005-0000-0000-00006EC70000}"/>
    <cellStyle name="Nuovo 39 4 3" xfId="20799" xr:uid="{00000000-0005-0000-0000-00006FC70000}"/>
    <cellStyle name="Nuovo 39 4 4" xfId="19788" xr:uid="{00000000-0005-0000-0000-000070C70000}"/>
    <cellStyle name="Nuovo 39 5" xfId="11725" xr:uid="{00000000-0005-0000-0000-000071C70000}"/>
    <cellStyle name="Nuovo 4" xfId="2140" xr:uid="{00000000-0005-0000-0000-000072C70000}"/>
    <cellStyle name="Nuovo 4 2" xfId="2141" xr:uid="{00000000-0005-0000-0000-000073C70000}"/>
    <cellStyle name="Nuovo 4 2 2" xfId="2142" xr:uid="{00000000-0005-0000-0000-000074C70000}"/>
    <cellStyle name="Nuovo 4 3" xfId="2143" xr:uid="{00000000-0005-0000-0000-000075C70000}"/>
    <cellStyle name="Nuovo 4 3 2" xfId="2144" xr:uid="{00000000-0005-0000-0000-000076C70000}"/>
    <cellStyle name="Nuovo 4 3 3" xfId="19791" xr:uid="{00000000-0005-0000-0000-000077C70000}"/>
    <cellStyle name="Nuovo 4 3 3 2" xfId="20802" xr:uid="{00000000-0005-0000-0000-000078C70000}"/>
    <cellStyle name="Nuovo 4 3 4" xfId="20801" xr:uid="{00000000-0005-0000-0000-000079C70000}"/>
    <cellStyle name="Nuovo 4 3 5" xfId="19790" xr:uid="{00000000-0005-0000-0000-00007AC70000}"/>
    <cellStyle name="Nuovo 4 4" xfId="11726" xr:uid="{00000000-0005-0000-0000-00007BC70000}"/>
    <cellStyle name="Nuovo 4 4 2" xfId="19793" xr:uid="{00000000-0005-0000-0000-00007CC70000}"/>
    <cellStyle name="Nuovo 4 4 2 2" xfId="20804" xr:uid="{00000000-0005-0000-0000-00007DC70000}"/>
    <cellStyle name="Nuovo 4 4 3" xfId="20803" xr:uid="{00000000-0005-0000-0000-00007EC70000}"/>
    <cellStyle name="Nuovo 4 4 4" xfId="19792" xr:uid="{00000000-0005-0000-0000-00007FC70000}"/>
    <cellStyle name="Nuovo 4 5" xfId="11727" xr:uid="{00000000-0005-0000-0000-000080C70000}"/>
    <cellStyle name="Nuovo 40" xfId="2145" xr:uid="{00000000-0005-0000-0000-000081C70000}"/>
    <cellStyle name="Nuovo 40 2" xfId="2146" xr:uid="{00000000-0005-0000-0000-000082C70000}"/>
    <cellStyle name="Nuovo 40 2 2" xfId="2147" xr:uid="{00000000-0005-0000-0000-000083C70000}"/>
    <cellStyle name="Nuovo 40 3" xfId="2148" xr:uid="{00000000-0005-0000-0000-000084C70000}"/>
    <cellStyle name="Nuovo 40 3 2" xfId="2149" xr:uid="{00000000-0005-0000-0000-000085C70000}"/>
    <cellStyle name="Nuovo 40 3 3" xfId="19795" xr:uid="{00000000-0005-0000-0000-000086C70000}"/>
    <cellStyle name="Nuovo 40 3 3 2" xfId="20806" xr:uid="{00000000-0005-0000-0000-000087C70000}"/>
    <cellStyle name="Nuovo 40 3 4" xfId="20805" xr:uid="{00000000-0005-0000-0000-000088C70000}"/>
    <cellStyle name="Nuovo 40 3 5" xfId="19794" xr:uid="{00000000-0005-0000-0000-000089C70000}"/>
    <cellStyle name="Nuovo 40 4" xfId="11728" xr:uid="{00000000-0005-0000-0000-00008AC70000}"/>
    <cellStyle name="Nuovo 40 4 2" xfId="19797" xr:uid="{00000000-0005-0000-0000-00008BC70000}"/>
    <cellStyle name="Nuovo 40 4 2 2" xfId="20808" xr:uid="{00000000-0005-0000-0000-00008CC70000}"/>
    <cellStyle name="Nuovo 40 4 3" xfId="20807" xr:uid="{00000000-0005-0000-0000-00008DC70000}"/>
    <cellStyle name="Nuovo 40 4 4" xfId="19796" xr:uid="{00000000-0005-0000-0000-00008EC70000}"/>
    <cellStyle name="Nuovo 40 5" xfId="11729" xr:uid="{00000000-0005-0000-0000-00008FC70000}"/>
    <cellStyle name="Nuovo 41" xfId="2150" xr:uid="{00000000-0005-0000-0000-000090C70000}"/>
    <cellStyle name="Nuovo 41 2" xfId="2151" xr:uid="{00000000-0005-0000-0000-000091C70000}"/>
    <cellStyle name="Nuovo 41 2 2" xfId="2152" xr:uid="{00000000-0005-0000-0000-000092C70000}"/>
    <cellStyle name="Nuovo 41 3" xfId="2153" xr:uid="{00000000-0005-0000-0000-000093C70000}"/>
    <cellStyle name="Nuovo 41 3 2" xfId="2154" xr:uid="{00000000-0005-0000-0000-000094C70000}"/>
    <cellStyle name="Nuovo 41 3 3" xfId="19799" xr:uid="{00000000-0005-0000-0000-000095C70000}"/>
    <cellStyle name="Nuovo 41 3 3 2" xfId="20810" xr:uid="{00000000-0005-0000-0000-000096C70000}"/>
    <cellStyle name="Nuovo 41 3 4" xfId="20809" xr:uid="{00000000-0005-0000-0000-000097C70000}"/>
    <cellStyle name="Nuovo 41 3 5" xfId="19798" xr:uid="{00000000-0005-0000-0000-000098C70000}"/>
    <cellStyle name="Nuovo 41 4" xfId="11730" xr:uid="{00000000-0005-0000-0000-000099C70000}"/>
    <cellStyle name="Nuovo 41 4 2" xfId="19801" xr:uid="{00000000-0005-0000-0000-00009AC70000}"/>
    <cellStyle name="Nuovo 41 4 2 2" xfId="20812" xr:uid="{00000000-0005-0000-0000-00009BC70000}"/>
    <cellStyle name="Nuovo 41 4 3" xfId="20811" xr:uid="{00000000-0005-0000-0000-00009CC70000}"/>
    <cellStyle name="Nuovo 41 4 4" xfId="19800" xr:uid="{00000000-0005-0000-0000-00009DC70000}"/>
    <cellStyle name="Nuovo 41 5" xfId="11731" xr:uid="{00000000-0005-0000-0000-00009EC70000}"/>
    <cellStyle name="Nuovo 42" xfId="2155" xr:uid="{00000000-0005-0000-0000-00009FC70000}"/>
    <cellStyle name="Nuovo 42 2" xfId="2156" xr:uid="{00000000-0005-0000-0000-0000A0C70000}"/>
    <cellStyle name="Nuovo 42 2 2" xfId="2157" xr:uid="{00000000-0005-0000-0000-0000A1C70000}"/>
    <cellStyle name="Nuovo 42 3" xfId="2158" xr:uid="{00000000-0005-0000-0000-0000A2C70000}"/>
    <cellStyle name="Nuovo 42 3 2" xfId="2159" xr:uid="{00000000-0005-0000-0000-0000A3C70000}"/>
    <cellStyle name="Nuovo 42 3 3" xfId="19803" xr:uid="{00000000-0005-0000-0000-0000A4C70000}"/>
    <cellStyle name="Nuovo 42 3 3 2" xfId="20814" xr:uid="{00000000-0005-0000-0000-0000A5C70000}"/>
    <cellStyle name="Nuovo 42 3 4" xfId="20813" xr:uid="{00000000-0005-0000-0000-0000A6C70000}"/>
    <cellStyle name="Nuovo 42 3 5" xfId="19802" xr:uid="{00000000-0005-0000-0000-0000A7C70000}"/>
    <cellStyle name="Nuovo 42 4" xfId="11732" xr:uid="{00000000-0005-0000-0000-0000A8C70000}"/>
    <cellStyle name="Nuovo 42 4 2" xfId="19805" xr:uid="{00000000-0005-0000-0000-0000A9C70000}"/>
    <cellStyle name="Nuovo 42 4 2 2" xfId="20816" xr:uid="{00000000-0005-0000-0000-0000AAC70000}"/>
    <cellStyle name="Nuovo 42 4 3" xfId="20815" xr:uid="{00000000-0005-0000-0000-0000ABC70000}"/>
    <cellStyle name="Nuovo 42 4 4" xfId="19804" xr:uid="{00000000-0005-0000-0000-0000ACC70000}"/>
    <cellStyle name="Nuovo 42 5" xfId="11733" xr:uid="{00000000-0005-0000-0000-0000ADC70000}"/>
    <cellStyle name="Nuovo 43" xfId="2160" xr:uid="{00000000-0005-0000-0000-0000AEC70000}"/>
    <cellStyle name="Nuovo 43 2" xfId="2161" xr:uid="{00000000-0005-0000-0000-0000AFC70000}"/>
    <cellStyle name="Nuovo 43 2 2" xfId="2162" xr:uid="{00000000-0005-0000-0000-0000B0C70000}"/>
    <cellStyle name="Nuovo 43 3" xfId="2163" xr:uid="{00000000-0005-0000-0000-0000B1C70000}"/>
    <cellStyle name="Nuovo 43 3 2" xfId="2164" xr:uid="{00000000-0005-0000-0000-0000B2C70000}"/>
    <cellStyle name="Nuovo 43 3 3" xfId="19807" xr:uid="{00000000-0005-0000-0000-0000B3C70000}"/>
    <cellStyle name="Nuovo 43 3 3 2" xfId="20818" xr:uid="{00000000-0005-0000-0000-0000B4C70000}"/>
    <cellStyle name="Nuovo 43 3 4" xfId="20817" xr:uid="{00000000-0005-0000-0000-0000B5C70000}"/>
    <cellStyle name="Nuovo 43 3 5" xfId="19806" xr:uid="{00000000-0005-0000-0000-0000B6C70000}"/>
    <cellStyle name="Nuovo 43 4" xfId="11734" xr:uid="{00000000-0005-0000-0000-0000B7C70000}"/>
    <cellStyle name="Nuovo 43 4 2" xfId="19809" xr:uid="{00000000-0005-0000-0000-0000B8C70000}"/>
    <cellStyle name="Nuovo 43 4 2 2" xfId="20820" xr:uid="{00000000-0005-0000-0000-0000B9C70000}"/>
    <cellStyle name="Nuovo 43 4 3" xfId="20819" xr:uid="{00000000-0005-0000-0000-0000BAC70000}"/>
    <cellStyle name="Nuovo 43 4 4" xfId="19808" xr:uid="{00000000-0005-0000-0000-0000BBC70000}"/>
    <cellStyle name="Nuovo 43 5" xfId="11735" xr:uid="{00000000-0005-0000-0000-0000BCC70000}"/>
    <cellStyle name="Nuovo 44" xfId="2165" xr:uid="{00000000-0005-0000-0000-0000BDC70000}"/>
    <cellStyle name="Nuovo 44 2" xfId="2166" xr:uid="{00000000-0005-0000-0000-0000BEC70000}"/>
    <cellStyle name="Nuovo 44 2 2" xfId="2167" xr:uid="{00000000-0005-0000-0000-0000BFC70000}"/>
    <cellStyle name="Nuovo 44 3" xfId="2168" xr:uid="{00000000-0005-0000-0000-0000C0C70000}"/>
    <cellStyle name="Nuovo 44 3 2" xfId="2169" xr:uid="{00000000-0005-0000-0000-0000C1C70000}"/>
    <cellStyle name="Nuovo 44 3 3" xfId="19811" xr:uid="{00000000-0005-0000-0000-0000C2C70000}"/>
    <cellStyle name="Nuovo 44 3 3 2" xfId="20822" xr:uid="{00000000-0005-0000-0000-0000C3C70000}"/>
    <cellStyle name="Nuovo 44 3 4" xfId="20821" xr:uid="{00000000-0005-0000-0000-0000C4C70000}"/>
    <cellStyle name="Nuovo 44 3 5" xfId="19810" xr:uid="{00000000-0005-0000-0000-0000C5C70000}"/>
    <cellStyle name="Nuovo 44 4" xfId="11736" xr:uid="{00000000-0005-0000-0000-0000C6C70000}"/>
    <cellStyle name="Nuovo 44 4 2" xfId="19813" xr:uid="{00000000-0005-0000-0000-0000C7C70000}"/>
    <cellStyle name="Nuovo 44 4 2 2" xfId="20824" xr:uid="{00000000-0005-0000-0000-0000C8C70000}"/>
    <cellStyle name="Nuovo 44 4 3" xfId="20823" xr:uid="{00000000-0005-0000-0000-0000C9C70000}"/>
    <cellStyle name="Nuovo 44 4 4" xfId="19812" xr:uid="{00000000-0005-0000-0000-0000CAC70000}"/>
    <cellStyle name="Nuovo 44 5" xfId="11737" xr:uid="{00000000-0005-0000-0000-0000CBC70000}"/>
    <cellStyle name="Nuovo 45" xfId="2170" xr:uid="{00000000-0005-0000-0000-0000CCC70000}"/>
    <cellStyle name="Nuovo 45 2" xfId="2171" xr:uid="{00000000-0005-0000-0000-0000CDC70000}"/>
    <cellStyle name="Nuovo 46" xfId="2172" xr:uid="{00000000-0005-0000-0000-0000CEC70000}"/>
    <cellStyle name="Nuovo 46 2" xfId="2173" xr:uid="{00000000-0005-0000-0000-0000CFC70000}"/>
    <cellStyle name="Nuovo 46 3" xfId="19815" xr:uid="{00000000-0005-0000-0000-0000D0C70000}"/>
    <cellStyle name="Nuovo 46 3 2" xfId="20826" xr:uid="{00000000-0005-0000-0000-0000D1C70000}"/>
    <cellStyle name="Nuovo 46 4" xfId="20825" xr:uid="{00000000-0005-0000-0000-0000D2C70000}"/>
    <cellStyle name="Nuovo 46 5" xfId="19814" xr:uid="{00000000-0005-0000-0000-0000D3C70000}"/>
    <cellStyle name="Nuovo 47" xfId="11738" xr:uid="{00000000-0005-0000-0000-0000D4C70000}"/>
    <cellStyle name="Nuovo 47 2" xfId="19817" xr:uid="{00000000-0005-0000-0000-0000D5C70000}"/>
    <cellStyle name="Nuovo 47 2 2" xfId="20828" xr:uid="{00000000-0005-0000-0000-0000D6C70000}"/>
    <cellStyle name="Nuovo 47 3" xfId="20827" xr:uid="{00000000-0005-0000-0000-0000D7C70000}"/>
    <cellStyle name="Nuovo 47 4" xfId="19816" xr:uid="{00000000-0005-0000-0000-0000D8C70000}"/>
    <cellStyle name="Nuovo 48" xfId="11739" xr:uid="{00000000-0005-0000-0000-0000D9C70000}"/>
    <cellStyle name="Nuovo 5" xfId="2174" xr:uid="{00000000-0005-0000-0000-0000DAC70000}"/>
    <cellStyle name="Nuovo 5 2" xfId="2175" xr:uid="{00000000-0005-0000-0000-0000DBC70000}"/>
    <cellStyle name="Nuovo 5 2 2" xfId="2176" xr:uid="{00000000-0005-0000-0000-0000DCC70000}"/>
    <cellStyle name="Nuovo 5 3" xfId="2177" xr:uid="{00000000-0005-0000-0000-0000DDC70000}"/>
    <cellStyle name="Nuovo 5 3 2" xfId="2178" xr:uid="{00000000-0005-0000-0000-0000DEC70000}"/>
    <cellStyle name="Nuovo 5 3 3" xfId="19819" xr:uid="{00000000-0005-0000-0000-0000DFC70000}"/>
    <cellStyle name="Nuovo 5 3 3 2" xfId="20830" xr:uid="{00000000-0005-0000-0000-0000E0C70000}"/>
    <cellStyle name="Nuovo 5 3 4" xfId="20829" xr:uid="{00000000-0005-0000-0000-0000E1C70000}"/>
    <cellStyle name="Nuovo 5 3 5" xfId="19818" xr:uid="{00000000-0005-0000-0000-0000E2C70000}"/>
    <cellStyle name="Nuovo 5 4" xfId="11740" xr:uid="{00000000-0005-0000-0000-0000E3C70000}"/>
    <cellStyle name="Nuovo 5 4 2" xfId="19821" xr:uid="{00000000-0005-0000-0000-0000E4C70000}"/>
    <cellStyle name="Nuovo 5 4 2 2" xfId="20832" xr:uid="{00000000-0005-0000-0000-0000E5C70000}"/>
    <cellStyle name="Nuovo 5 4 3" xfId="20831" xr:uid="{00000000-0005-0000-0000-0000E6C70000}"/>
    <cellStyle name="Nuovo 5 4 4" xfId="19820" xr:uid="{00000000-0005-0000-0000-0000E7C70000}"/>
    <cellStyle name="Nuovo 5 5" xfId="11741" xr:uid="{00000000-0005-0000-0000-0000E8C70000}"/>
    <cellStyle name="Nuovo 6" xfId="2179" xr:uid="{00000000-0005-0000-0000-0000E9C70000}"/>
    <cellStyle name="Nuovo 6 2" xfId="2180" xr:uid="{00000000-0005-0000-0000-0000EAC70000}"/>
    <cellStyle name="Nuovo 6 2 2" xfId="2181" xr:uid="{00000000-0005-0000-0000-0000EBC70000}"/>
    <cellStyle name="Nuovo 6 3" xfId="2182" xr:uid="{00000000-0005-0000-0000-0000ECC70000}"/>
    <cellStyle name="Nuovo 6 3 2" xfId="2183" xr:uid="{00000000-0005-0000-0000-0000EDC70000}"/>
    <cellStyle name="Nuovo 6 3 3" xfId="19823" xr:uid="{00000000-0005-0000-0000-0000EEC70000}"/>
    <cellStyle name="Nuovo 6 3 3 2" xfId="20834" xr:uid="{00000000-0005-0000-0000-0000EFC70000}"/>
    <cellStyle name="Nuovo 6 3 4" xfId="20833" xr:uid="{00000000-0005-0000-0000-0000F0C70000}"/>
    <cellStyle name="Nuovo 6 3 5" xfId="19822" xr:uid="{00000000-0005-0000-0000-0000F1C70000}"/>
    <cellStyle name="Nuovo 6 4" xfId="11742" xr:uid="{00000000-0005-0000-0000-0000F2C70000}"/>
    <cellStyle name="Nuovo 6 4 2" xfId="19825" xr:uid="{00000000-0005-0000-0000-0000F3C70000}"/>
    <cellStyle name="Nuovo 6 4 2 2" xfId="20836" xr:uid="{00000000-0005-0000-0000-0000F4C70000}"/>
    <cellStyle name="Nuovo 6 4 3" xfId="20835" xr:uid="{00000000-0005-0000-0000-0000F5C70000}"/>
    <cellStyle name="Nuovo 6 4 4" xfId="19824" xr:uid="{00000000-0005-0000-0000-0000F6C70000}"/>
    <cellStyle name="Nuovo 6 5" xfId="11743" xr:uid="{00000000-0005-0000-0000-0000F7C70000}"/>
    <cellStyle name="Nuovo 7" xfId="2184" xr:uid="{00000000-0005-0000-0000-0000F8C70000}"/>
    <cellStyle name="Nuovo 7 2" xfId="2185" xr:uid="{00000000-0005-0000-0000-0000F9C70000}"/>
    <cellStyle name="Nuovo 7 2 2" xfId="2186" xr:uid="{00000000-0005-0000-0000-0000FAC70000}"/>
    <cellStyle name="Nuovo 7 3" xfId="2187" xr:uid="{00000000-0005-0000-0000-0000FBC70000}"/>
    <cellStyle name="Nuovo 7 3 2" xfId="2188" xr:uid="{00000000-0005-0000-0000-0000FCC70000}"/>
    <cellStyle name="Nuovo 7 3 3" xfId="19827" xr:uid="{00000000-0005-0000-0000-0000FDC70000}"/>
    <cellStyle name="Nuovo 7 3 3 2" xfId="20838" xr:uid="{00000000-0005-0000-0000-0000FEC70000}"/>
    <cellStyle name="Nuovo 7 3 4" xfId="20837" xr:uid="{00000000-0005-0000-0000-0000FFC70000}"/>
    <cellStyle name="Nuovo 7 3 5" xfId="19826" xr:uid="{00000000-0005-0000-0000-000000C80000}"/>
    <cellStyle name="Nuovo 7 4" xfId="11744" xr:uid="{00000000-0005-0000-0000-000001C80000}"/>
    <cellStyle name="Nuovo 7 4 2" xfId="19829" xr:uid="{00000000-0005-0000-0000-000002C80000}"/>
    <cellStyle name="Nuovo 7 4 2 2" xfId="20840" xr:uid="{00000000-0005-0000-0000-000003C80000}"/>
    <cellStyle name="Nuovo 7 4 3" xfId="20839" xr:uid="{00000000-0005-0000-0000-000004C80000}"/>
    <cellStyle name="Nuovo 7 4 4" xfId="19828" xr:uid="{00000000-0005-0000-0000-000005C80000}"/>
    <cellStyle name="Nuovo 7 5" xfId="11745" xr:uid="{00000000-0005-0000-0000-000006C80000}"/>
    <cellStyle name="Nuovo 8" xfId="2189" xr:uid="{00000000-0005-0000-0000-000007C80000}"/>
    <cellStyle name="Nuovo 8 2" xfId="2190" xr:uid="{00000000-0005-0000-0000-000008C80000}"/>
    <cellStyle name="Nuovo 8 2 2" xfId="2191" xr:uid="{00000000-0005-0000-0000-000009C80000}"/>
    <cellStyle name="Nuovo 8 3" xfId="2192" xr:uid="{00000000-0005-0000-0000-00000AC80000}"/>
    <cellStyle name="Nuovo 8 3 2" xfId="2193" xr:uid="{00000000-0005-0000-0000-00000BC80000}"/>
    <cellStyle name="Nuovo 8 3 3" xfId="19831" xr:uid="{00000000-0005-0000-0000-00000CC80000}"/>
    <cellStyle name="Nuovo 8 3 3 2" xfId="20842" xr:uid="{00000000-0005-0000-0000-00000DC80000}"/>
    <cellStyle name="Nuovo 8 3 4" xfId="20841" xr:uid="{00000000-0005-0000-0000-00000EC80000}"/>
    <cellStyle name="Nuovo 8 3 5" xfId="19830" xr:uid="{00000000-0005-0000-0000-00000FC80000}"/>
    <cellStyle name="Nuovo 8 4" xfId="11746" xr:uid="{00000000-0005-0000-0000-000010C80000}"/>
    <cellStyle name="Nuovo 8 4 2" xfId="19833" xr:uid="{00000000-0005-0000-0000-000011C80000}"/>
    <cellStyle name="Nuovo 8 4 2 2" xfId="20844" xr:uid="{00000000-0005-0000-0000-000012C80000}"/>
    <cellStyle name="Nuovo 8 4 3" xfId="20843" xr:uid="{00000000-0005-0000-0000-000013C80000}"/>
    <cellStyle name="Nuovo 8 4 4" xfId="19832" xr:uid="{00000000-0005-0000-0000-000014C80000}"/>
    <cellStyle name="Nuovo 8 5" xfId="11747" xr:uid="{00000000-0005-0000-0000-000015C80000}"/>
    <cellStyle name="Nuovo 9" xfId="2194" xr:uid="{00000000-0005-0000-0000-000016C80000}"/>
    <cellStyle name="Nuovo 9 2" xfId="2195" xr:uid="{00000000-0005-0000-0000-000017C80000}"/>
    <cellStyle name="Nuovo 9 2 2" xfId="2196" xr:uid="{00000000-0005-0000-0000-000018C80000}"/>
    <cellStyle name="Nuovo 9 3" xfId="2197" xr:uid="{00000000-0005-0000-0000-000019C80000}"/>
    <cellStyle name="Nuovo 9 3 2" xfId="2198" xr:uid="{00000000-0005-0000-0000-00001AC80000}"/>
    <cellStyle name="Nuovo 9 3 3" xfId="19835" xr:uid="{00000000-0005-0000-0000-00001BC80000}"/>
    <cellStyle name="Nuovo 9 3 3 2" xfId="20846" xr:uid="{00000000-0005-0000-0000-00001CC80000}"/>
    <cellStyle name="Nuovo 9 3 4" xfId="20845" xr:uid="{00000000-0005-0000-0000-00001DC80000}"/>
    <cellStyle name="Nuovo 9 3 5" xfId="19834" xr:uid="{00000000-0005-0000-0000-00001EC80000}"/>
    <cellStyle name="Nuovo 9 4" xfId="11748" xr:uid="{00000000-0005-0000-0000-00001FC80000}"/>
    <cellStyle name="Nuovo 9 4 2" xfId="19837" xr:uid="{00000000-0005-0000-0000-000020C80000}"/>
    <cellStyle name="Nuovo 9 4 2 2" xfId="20848" xr:uid="{00000000-0005-0000-0000-000021C80000}"/>
    <cellStyle name="Nuovo 9 4 3" xfId="20847" xr:uid="{00000000-0005-0000-0000-000022C80000}"/>
    <cellStyle name="Nuovo 9 4 4" xfId="19836" xr:uid="{00000000-0005-0000-0000-000023C80000}"/>
    <cellStyle name="Nuovo 9 5" xfId="11749" xr:uid="{00000000-0005-0000-0000-000024C80000}"/>
    <cellStyle name="Output" xfId="2199" builtinId="21" customBuiltin="1"/>
    <cellStyle name="Output 10" xfId="21494" xr:uid="{00000000-0005-0000-0000-000026C80000}"/>
    <cellStyle name="Output 2" xfId="2200" xr:uid="{00000000-0005-0000-0000-000027C80000}"/>
    <cellStyle name="Output 2 2" xfId="7451" xr:uid="{00000000-0005-0000-0000-000028C80000}"/>
    <cellStyle name="Output 2 3" xfId="12213" xr:uid="{00000000-0005-0000-0000-000029C80000}"/>
    <cellStyle name="Output 2 3 2" xfId="28494" xr:uid="{00000000-0005-0000-0000-00002AC80000}"/>
    <cellStyle name="Output 2 4" xfId="11884" xr:uid="{00000000-0005-0000-0000-00002BC80000}"/>
    <cellStyle name="Output 2 4 2" xfId="28170" xr:uid="{00000000-0005-0000-0000-00002CC80000}"/>
    <cellStyle name="Output 2 5" xfId="19839" xr:uid="{00000000-0005-0000-0000-00002DC80000}"/>
    <cellStyle name="Output 3" xfId="2201" xr:uid="{00000000-0005-0000-0000-00002EC80000}"/>
    <cellStyle name="Output 3 2" xfId="2202" xr:uid="{00000000-0005-0000-0000-00002FC80000}"/>
    <cellStyle name="Output 3 2 2" xfId="7452" xr:uid="{00000000-0005-0000-0000-000030C80000}"/>
    <cellStyle name="Output 4" xfId="2203" xr:uid="{00000000-0005-0000-0000-000031C80000}"/>
    <cellStyle name="Output 4 2" xfId="7453" xr:uid="{00000000-0005-0000-0000-000032C80000}"/>
    <cellStyle name="Output 5" xfId="2204" xr:uid="{00000000-0005-0000-0000-000033C80000}"/>
    <cellStyle name="Output 5 2" xfId="10633" xr:uid="{00000000-0005-0000-0000-000034C80000}"/>
    <cellStyle name="Output 5 3" xfId="7454" xr:uid="{00000000-0005-0000-0000-000035C80000}"/>
    <cellStyle name="Output 6" xfId="7591" xr:uid="{00000000-0005-0000-0000-000036C80000}"/>
    <cellStyle name="Output 7" xfId="7450" xr:uid="{00000000-0005-0000-0000-000037C80000}"/>
    <cellStyle name="Output 8" xfId="12212" xr:uid="{00000000-0005-0000-0000-000038C80000}"/>
    <cellStyle name="Output 8 2" xfId="28493" xr:uid="{00000000-0005-0000-0000-000039C80000}"/>
    <cellStyle name="Output 9" xfId="19838" xr:uid="{00000000-0005-0000-0000-00003AC80000}"/>
    <cellStyle name="Overskrift 1 2" xfId="7456" xr:uid="{00000000-0005-0000-0000-00003BC80000}"/>
    <cellStyle name="Overskrift 1 2 2" xfId="19840" xr:uid="{00000000-0005-0000-0000-00003CC80000}"/>
    <cellStyle name="Overskrift 1 3" xfId="7457" xr:uid="{00000000-0005-0000-0000-00003DC80000}"/>
    <cellStyle name="Overskrift 1 4" xfId="7458" xr:uid="{00000000-0005-0000-0000-00003EC80000}"/>
    <cellStyle name="Overskrift 1 5" xfId="7459" xr:uid="{00000000-0005-0000-0000-00003FC80000}"/>
    <cellStyle name="Overskrift 1 5 2" xfId="10453" xr:uid="{00000000-0005-0000-0000-000040C80000}"/>
    <cellStyle name="Overskrift 1 6" xfId="7583" xr:uid="{00000000-0005-0000-0000-000041C80000}"/>
    <cellStyle name="Overskrift 1 7" xfId="7455" xr:uid="{00000000-0005-0000-0000-000042C80000}"/>
    <cellStyle name="Overskrift 2 2" xfId="7461" xr:uid="{00000000-0005-0000-0000-000043C80000}"/>
    <cellStyle name="Overskrift 2 2 2" xfId="19841" xr:uid="{00000000-0005-0000-0000-000044C80000}"/>
    <cellStyle name="Overskrift 2 3" xfId="7462" xr:uid="{00000000-0005-0000-0000-000045C80000}"/>
    <cellStyle name="Overskrift 2 4" xfId="7463" xr:uid="{00000000-0005-0000-0000-000046C80000}"/>
    <cellStyle name="Overskrift 2 5" xfId="7464" xr:uid="{00000000-0005-0000-0000-000047C80000}"/>
    <cellStyle name="Overskrift 2 5 2" xfId="8931" xr:uid="{00000000-0005-0000-0000-000048C80000}"/>
    <cellStyle name="Overskrift 2 6" xfId="7584" xr:uid="{00000000-0005-0000-0000-000049C80000}"/>
    <cellStyle name="Overskrift 2 7" xfId="7460" xr:uid="{00000000-0005-0000-0000-00004AC80000}"/>
    <cellStyle name="Overskrift 3 2" xfId="7466" xr:uid="{00000000-0005-0000-0000-00004BC80000}"/>
    <cellStyle name="Overskrift 3 2 2" xfId="19842" xr:uid="{00000000-0005-0000-0000-00004CC80000}"/>
    <cellStyle name="Overskrift 3 3" xfId="7467" xr:uid="{00000000-0005-0000-0000-00004DC80000}"/>
    <cellStyle name="Overskrift 3 4" xfId="7468" xr:uid="{00000000-0005-0000-0000-00004EC80000}"/>
    <cellStyle name="Overskrift 3 5" xfId="7469" xr:uid="{00000000-0005-0000-0000-00004FC80000}"/>
    <cellStyle name="Overskrift 3 5 2" xfId="8946" xr:uid="{00000000-0005-0000-0000-000050C80000}"/>
    <cellStyle name="Overskrift 3 6" xfId="7585" xr:uid="{00000000-0005-0000-0000-000051C80000}"/>
    <cellStyle name="Overskrift 3 7" xfId="7465" xr:uid="{00000000-0005-0000-0000-000052C80000}"/>
    <cellStyle name="Overskrift 4 2" xfId="7471" xr:uid="{00000000-0005-0000-0000-000053C80000}"/>
    <cellStyle name="Overskrift 4 2 2" xfId="19843" xr:uid="{00000000-0005-0000-0000-000054C80000}"/>
    <cellStyle name="Overskrift 4 3" xfId="7472" xr:uid="{00000000-0005-0000-0000-000055C80000}"/>
    <cellStyle name="Overskrift 4 4" xfId="7473" xr:uid="{00000000-0005-0000-0000-000056C80000}"/>
    <cellStyle name="Overskrift 4 5" xfId="7474" xr:uid="{00000000-0005-0000-0000-000057C80000}"/>
    <cellStyle name="Overskrift 4 5 2" xfId="10733" xr:uid="{00000000-0005-0000-0000-000058C80000}"/>
    <cellStyle name="Overskrift 4 6" xfId="7586" xr:uid="{00000000-0005-0000-0000-000059C80000}"/>
    <cellStyle name="Overskrift 4 7" xfId="7470" xr:uid="{00000000-0005-0000-0000-00005AC80000}"/>
    <cellStyle name="Pattern" xfId="2205" xr:uid="{00000000-0005-0000-0000-00005BC80000}"/>
    <cellStyle name="Pattern 2" xfId="12214" xr:uid="{00000000-0005-0000-0000-00005CC80000}"/>
    <cellStyle name="Pattern 2 2" xfId="28495" xr:uid="{00000000-0005-0000-0000-00005DC80000}"/>
    <cellStyle name="Pattern 3" xfId="21495" xr:uid="{00000000-0005-0000-0000-00005EC80000}"/>
    <cellStyle name="Pattern 4" xfId="52203" xr:uid="{00000000-0005-0000-0000-00005FC80000}"/>
    <cellStyle name="Percen - Type1" xfId="2206" xr:uid="{00000000-0005-0000-0000-000060C80000}"/>
    <cellStyle name="Percen - Typografi2" xfId="7475" xr:uid="{00000000-0005-0000-0000-000061C80000}"/>
    <cellStyle name="Percent" xfId="52704" builtinId="5"/>
    <cellStyle name="Percent 2" xfId="2207" xr:uid="{00000000-0005-0000-0000-000063C80000}"/>
    <cellStyle name="Percent 2 2" xfId="2208" xr:uid="{00000000-0005-0000-0000-000064C80000}"/>
    <cellStyle name="Percent 2 2 2" xfId="2209" xr:uid="{00000000-0005-0000-0000-000065C80000}"/>
    <cellStyle name="Percent 2 2 2 2" xfId="2210" xr:uid="{00000000-0005-0000-0000-000066C80000}"/>
    <cellStyle name="Percent 2 2 2 3" xfId="2211" xr:uid="{00000000-0005-0000-0000-000067C80000}"/>
    <cellStyle name="Percent 2 2 3" xfId="2212" xr:uid="{00000000-0005-0000-0000-000068C80000}"/>
    <cellStyle name="Percent 2 2 3 2" xfId="2213" xr:uid="{00000000-0005-0000-0000-000069C80000}"/>
    <cellStyle name="Percent 2 2 3 3" xfId="2214" xr:uid="{00000000-0005-0000-0000-00006AC80000}"/>
    <cellStyle name="Percent 2 2 4" xfId="2215" xr:uid="{00000000-0005-0000-0000-00006BC80000}"/>
    <cellStyle name="Percent 2 2 4 2" xfId="2216" xr:uid="{00000000-0005-0000-0000-00006CC80000}"/>
    <cellStyle name="Percent 2 3" xfId="2217" xr:uid="{00000000-0005-0000-0000-00006DC80000}"/>
    <cellStyle name="Percent 2 3 2" xfId="2218" xr:uid="{00000000-0005-0000-0000-00006EC80000}"/>
    <cellStyle name="Percent 2 3 3" xfId="2219" xr:uid="{00000000-0005-0000-0000-00006FC80000}"/>
    <cellStyle name="Percent 2 3 3 2" xfId="2220" xr:uid="{00000000-0005-0000-0000-000070C80000}"/>
    <cellStyle name="Percent 2 4" xfId="2221" xr:uid="{00000000-0005-0000-0000-000071C80000}"/>
    <cellStyle name="Percent 2 4 2" xfId="2222" xr:uid="{00000000-0005-0000-0000-000072C80000}"/>
    <cellStyle name="Percent 2 5" xfId="2223" xr:uid="{00000000-0005-0000-0000-000073C80000}"/>
    <cellStyle name="Percent 2 5 2" xfId="2224" xr:uid="{00000000-0005-0000-0000-000074C80000}"/>
    <cellStyle name="Percent 2 5 3" xfId="2225" xr:uid="{00000000-0005-0000-0000-000075C80000}"/>
    <cellStyle name="Percent 2 5 4" xfId="2226" xr:uid="{00000000-0005-0000-0000-000076C80000}"/>
    <cellStyle name="Percent 2 6" xfId="2227" xr:uid="{00000000-0005-0000-0000-000077C80000}"/>
    <cellStyle name="Percent 3" xfId="2228" xr:uid="{00000000-0005-0000-0000-000078C80000}"/>
    <cellStyle name="Percent 3 2" xfId="2229" xr:uid="{00000000-0005-0000-0000-000079C80000}"/>
    <cellStyle name="Percent 3 2 2" xfId="2230" xr:uid="{00000000-0005-0000-0000-00007AC80000}"/>
    <cellStyle name="Percent 3 2 2 2" xfId="2231" xr:uid="{00000000-0005-0000-0000-00007BC80000}"/>
    <cellStyle name="Percent 3 2 3" xfId="2232" xr:uid="{00000000-0005-0000-0000-00007CC80000}"/>
    <cellStyle name="Percent 3 2 4" xfId="2233" xr:uid="{00000000-0005-0000-0000-00007DC80000}"/>
    <cellStyle name="Percent 3 2 5" xfId="2234" xr:uid="{00000000-0005-0000-0000-00007EC80000}"/>
    <cellStyle name="Percent 3 3" xfId="2235" xr:uid="{00000000-0005-0000-0000-00007FC80000}"/>
    <cellStyle name="Percent 3 3 2" xfId="2236" xr:uid="{00000000-0005-0000-0000-000080C80000}"/>
    <cellStyle name="Percent 3 3 2 2" xfId="2237" xr:uid="{00000000-0005-0000-0000-000081C80000}"/>
    <cellStyle name="Percent 3 3 3" xfId="2238" xr:uid="{00000000-0005-0000-0000-000082C80000}"/>
    <cellStyle name="Percent 3 3 3 2" xfId="2239" xr:uid="{00000000-0005-0000-0000-000083C80000}"/>
    <cellStyle name="Percent 3 3 4" xfId="2240" xr:uid="{00000000-0005-0000-0000-000084C80000}"/>
    <cellStyle name="Percent 3 3 5" xfId="2241" xr:uid="{00000000-0005-0000-0000-000085C80000}"/>
    <cellStyle name="Percent 3 3 5 2" xfId="19844" xr:uid="{00000000-0005-0000-0000-000086C80000}"/>
    <cellStyle name="Percent 3 4" xfId="2242" xr:uid="{00000000-0005-0000-0000-000087C80000}"/>
    <cellStyle name="Percent 3 4 2" xfId="2243" xr:uid="{00000000-0005-0000-0000-000088C80000}"/>
    <cellStyle name="Percent 3 4 3" xfId="11752" xr:uid="{00000000-0005-0000-0000-000089C80000}"/>
    <cellStyle name="Percent 3 5" xfId="2244" xr:uid="{00000000-0005-0000-0000-00008AC80000}"/>
    <cellStyle name="Percent 3 5 2" xfId="2245" xr:uid="{00000000-0005-0000-0000-00008BC80000}"/>
    <cellStyle name="Percent 3 5 2 2" xfId="20849" xr:uid="{00000000-0005-0000-0000-00008CC80000}"/>
    <cellStyle name="Percent 3 5 3" xfId="11751" xr:uid="{00000000-0005-0000-0000-00008DC80000}"/>
    <cellStyle name="Percent 3 6" xfId="2246" xr:uid="{00000000-0005-0000-0000-00008EC80000}"/>
    <cellStyle name="Percent 3 6 2" xfId="2247" xr:uid="{00000000-0005-0000-0000-00008FC80000}"/>
    <cellStyle name="Percent 3 6 3" xfId="2248" xr:uid="{00000000-0005-0000-0000-000090C80000}"/>
    <cellStyle name="Percent 3 7" xfId="2249" xr:uid="{00000000-0005-0000-0000-000091C80000}"/>
    <cellStyle name="Percent 3 8" xfId="2250" xr:uid="{00000000-0005-0000-0000-000092C80000}"/>
    <cellStyle name="Percent 3 9" xfId="2251" xr:uid="{00000000-0005-0000-0000-000093C80000}"/>
    <cellStyle name="Percent 4" xfId="2252" xr:uid="{00000000-0005-0000-0000-000094C80000}"/>
    <cellStyle name="Percent 4 10" xfId="52204" xr:uid="{00000000-0005-0000-0000-000095C80000}"/>
    <cellStyle name="Percent 4 11" xfId="52609" xr:uid="{00000000-0005-0000-0000-000096C80000}"/>
    <cellStyle name="Percent 4 2" xfId="2253" xr:uid="{00000000-0005-0000-0000-000097C80000}"/>
    <cellStyle name="Percent 4 2 10" xfId="52702" xr:uid="{00000000-0005-0000-0000-000098C80000}"/>
    <cellStyle name="Percent 4 2 2" xfId="2254" xr:uid="{00000000-0005-0000-0000-000099C80000}"/>
    <cellStyle name="Percent 4 2 2 2" xfId="18890" xr:uid="{00000000-0005-0000-0000-00009AC80000}"/>
    <cellStyle name="Percent 4 2 2 2 2" xfId="35169" xr:uid="{00000000-0005-0000-0000-00009BC80000}"/>
    <cellStyle name="Percent 4 2 2 2 3" xfId="50128" xr:uid="{00000000-0005-0000-0000-00009CC80000}"/>
    <cellStyle name="Percent 4 2 2 3" xfId="20851" xr:uid="{00000000-0005-0000-0000-00009DC80000}"/>
    <cellStyle name="Percent 4 2 2 4" xfId="28159" xr:uid="{00000000-0005-0000-0000-00009EC80000}"/>
    <cellStyle name="Percent 4 2 2 5" xfId="43129" xr:uid="{00000000-0005-0000-0000-00009FC80000}"/>
    <cellStyle name="Percent 4 2 2 6" xfId="11139" xr:uid="{00000000-0005-0000-0000-0000A0C80000}"/>
    <cellStyle name="Percent 4 2 3" xfId="2255" xr:uid="{00000000-0005-0000-0000-0000A1C80000}"/>
    <cellStyle name="Percent 4 2 3 2" xfId="28580" xr:uid="{00000000-0005-0000-0000-0000A2C80000}"/>
    <cellStyle name="Percent 4 2 3 3" xfId="43541" xr:uid="{00000000-0005-0000-0000-0000A3C80000}"/>
    <cellStyle name="Percent 4 2 3 4" xfId="12301" xr:uid="{00000000-0005-0000-0000-0000A4C80000}"/>
    <cellStyle name="Percent 4 2 4" xfId="2256" xr:uid="{00000000-0005-0000-0000-0000A5C80000}"/>
    <cellStyle name="Percent 4 2 4 2" xfId="19845" xr:uid="{00000000-0005-0000-0000-0000A6C80000}"/>
    <cellStyle name="Percent 4 2 5" xfId="21578" xr:uid="{00000000-0005-0000-0000-0000A7C80000}"/>
    <cellStyle name="Percent 4 2 6" xfId="36545" xr:uid="{00000000-0005-0000-0000-0000A8C80000}"/>
    <cellStyle name="Percent 4 2 7" xfId="51483" xr:uid="{00000000-0005-0000-0000-0000A9C80000}"/>
    <cellStyle name="Percent 4 2 8" xfId="51888" xr:uid="{00000000-0005-0000-0000-0000AAC80000}"/>
    <cellStyle name="Percent 4 2 9" xfId="52297" xr:uid="{00000000-0005-0000-0000-0000ABC80000}"/>
    <cellStyle name="Percent 4 3" xfId="2257" xr:uid="{00000000-0005-0000-0000-0000ACC80000}"/>
    <cellStyle name="Percent 4 3 2" xfId="18863" xr:uid="{00000000-0005-0000-0000-0000ADC80000}"/>
    <cellStyle name="Percent 4 3 2 2" xfId="35138" xr:uid="{00000000-0005-0000-0000-0000AEC80000}"/>
    <cellStyle name="Percent 4 3 2 3" xfId="50097" xr:uid="{00000000-0005-0000-0000-0000AFC80000}"/>
    <cellStyle name="Percent 4 3 3" xfId="20850" xr:uid="{00000000-0005-0000-0000-0000B0C80000}"/>
    <cellStyle name="Percent 4 3 4" xfId="28136" xr:uid="{00000000-0005-0000-0000-0000B1C80000}"/>
    <cellStyle name="Percent 4 3 5" xfId="43100" xr:uid="{00000000-0005-0000-0000-0000B2C80000}"/>
    <cellStyle name="Percent 4 3 6" xfId="11120" xr:uid="{00000000-0005-0000-0000-0000B3C80000}"/>
    <cellStyle name="Percent 4 4" xfId="2258" xr:uid="{00000000-0005-0000-0000-0000B4C80000}"/>
    <cellStyle name="Percent 4 4 2" xfId="11753" xr:uid="{00000000-0005-0000-0000-0000B5C80000}"/>
    <cellStyle name="Percent 4 5" xfId="2259" xr:uid="{00000000-0005-0000-0000-0000B6C80000}"/>
    <cellStyle name="Percent 4 5 2" xfId="2260" xr:uid="{00000000-0005-0000-0000-0000B7C80000}"/>
    <cellStyle name="Percent 4 5 2 2" xfId="28496" xr:uid="{00000000-0005-0000-0000-0000B8C80000}"/>
    <cellStyle name="Percent 4 5 3" xfId="43460" xr:uid="{00000000-0005-0000-0000-0000B9C80000}"/>
    <cellStyle name="Percent 4 5 4" xfId="12215" xr:uid="{00000000-0005-0000-0000-0000BAC80000}"/>
    <cellStyle name="Percent 4 6" xfId="2261" xr:uid="{00000000-0005-0000-0000-0000BBC80000}"/>
    <cellStyle name="Percent 4 6 2" xfId="21497" xr:uid="{00000000-0005-0000-0000-0000BCC80000}"/>
    <cellStyle name="Percent 4 7" xfId="2262" xr:uid="{00000000-0005-0000-0000-0000BDC80000}"/>
    <cellStyle name="Percent 4 7 2" xfId="36464" xr:uid="{00000000-0005-0000-0000-0000BEC80000}"/>
    <cellStyle name="Percent 4 8" xfId="2263" xr:uid="{00000000-0005-0000-0000-0000BFC80000}"/>
    <cellStyle name="Percent 4 9" xfId="51795" xr:uid="{00000000-0005-0000-0000-0000C0C80000}"/>
    <cellStyle name="Percent 5" xfId="2264" xr:uid="{00000000-0005-0000-0000-0000C1C80000}"/>
    <cellStyle name="Percent 5 2" xfId="2265" xr:uid="{00000000-0005-0000-0000-0000C2C80000}"/>
    <cellStyle name="Percent 5 2 2" xfId="11754" xr:uid="{00000000-0005-0000-0000-0000C3C80000}"/>
    <cellStyle name="Percent 5 3" xfId="2266" xr:uid="{00000000-0005-0000-0000-0000C4C80000}"/>
    <cellStyle name="Percent 5 3 2" xfId="12216" xr:uid="{00000000-0005-0000-0000-0000C5C80000}"/>
    <cellStyle name="Percent 5 4" xfId="2267" xr:uid="{00000000-0005-0000-0000-0000C6C80000}"/>
    <cellStyle name="Percent 6" xfId="2268" xr:uid="{00000000-0005-0000-0000-0000C7C80000}"/>
    <cellStyle name="Percent 6 2" xfId="2269" xr:uid="{00000000-0005-0000-0000-0000C8C80000}"/>
    <cellStyle name="Percent 6 2 2" xfId="35125" xr:uid="{00000000-0005-0000-0000-0000C9C80000}"/>
    <cellStyle name="Percent 6 2 3" xfId="50084" xr:uid="{00000000-0005-0000-0000-0000CAC80000}"/>
    <cellStyle name="Percent 6 2 4" xfId="18849" xr:uid="{00000000-0005-0000-0000-0000CBC80000}"/>
    <cellStyle name="Percent 6 3" xfId="2270" xr:uid="{00000000-0005-0000-0000-0000CCC80000}"/>
    <cellStyle name="Percent 6 3 2" xfId="28123" xr:uid="{00000000-0005-0000-0000-0000CDC80000}"/>
    <cellStyle name="Percent 6 4" xfId="43087" xr:uid="{00000000-0005-0000-0000-0000CEC80000}"/>
    <cellStyle name="Percent 6 5" xfId="11043" xr:uid="{00000000-0005-0000-0000-0000CFC80000}"/>
    <cellStyle name="Percent 7" xfId="2271" xr:uid="{00000000-0005-0000-0000-0000D0C80000}"/>
    <cellStyle name="Percent 7 2" xfId="2272" xr:uid="{00000000-0005-0000-0000-0000D1C80000}"/>
    <cellStyle name="Percent 7 2 2" xfId="35177" xr:uid="{00000000-0005-0000-0000-0000D2C80000}"/>
    <cellStyle name="Percent 7 2 3" xfId="50133" xr:uid="{00000000-0005-0000-0000-0000D3C80000}"/>
    <cellStyle name="Percent 7 2 4" xfId="18898" xr:uid="{00000000-0005-0000-0000-0000D4C80000}"/>
    <cellStyle name="Percent 7 3" xfId="28165" xr:uid="{00000000-0005-0000-0000-0000D5C80000}"/>
    <cellStyle name="Percent 7 4" xfId="43134" xr:uid="{00000000-0005-0000-0000-0000D6C80000}"/>
    <cellStyle name="Percent 7 5" xfId="11750" xr:uid="{00000000-0005-0000-0000-0000D7C80000}"/>
    <cellStyle name="Percent 8" xfId="2273" xr:uid="{00000000-0005-0000-0000-0000D8C80000}"/>
    <cellStyle name="Percent 8 2" xfId="28176" xr:uid="{00000000-0005-0000-0000-0000D9C80000}"/>
    <cellStyle name="Percent 8 3" xfId="43139" xr:uid="{00000000-0005-0000-0000-0000DAC80000}"/>
    <cellStyle name="Percent 8 4" xfId="11890" xr:uid="{00000000-0005-0000-0000-0000DBC80000}"/>
    <cellStyle name="Percent 9" xfId="21496" xr:uid="{00000000-0005-0000-0000-0000DCC80000}"/>
    <cellStyle name="Percentuale 10" xfId="2274" xr:uid="{00000000-0005-0000-0000-0000DDC80000}"/>
    <cellStyle name="Percentuale 10 2" xfId="2275" xr:uid="{00000000-0005-0000-0000-0000DEC80000}"/>
    <cellStyle name="Percentuale 10 2 2" xfId="2276" xr:uid="{00000000-0005-0000-0000-0000DFC80000}"/>
    <cellStyle name="Percentuale 10 3" xfId="2277" xr:uid="{00000000-0005-0000-0000-0000E0C80000}"/>
    <cellStyle name="Percentuale 10 3 2" xfId="2278" xr:uid="{00000000-0005-0000-0000-0000E1C80000}"/>
    <cellStyle name="Percentuale 10 3 3" xfId="19847" xr:uid="{00000000-0005-0000-0000-0000E2C80000}"/>
    <cellStyle name="Percentuale 10 3 3 2" xfId="20853" xr:uid="{00000000-0005-0000-0000-0000E3C80000}"/>
    <cellStyle name="Percentuale 10 3 4" xfId="20852" xr:uid="{00000000-0005-0000-0000-0000E4C80000}"/>
    <cellStyle name="Percentuale 10 3 5" xfId="19846" xr:uid="{00000000-0005-0000-0000-0000E5C80000}"/>
    <cellStyle name="Percentuale 10 4" xfId="11755" xr:uid="{00000000-0005-0000-0000-0000E6C80000}"/>
    <cellStyle name="Percentuale 10 4 2" xfId="19849" xr:uid="{00000000-0005-0000-0000-0000E7C80000}"/>
    <cellStyle name="Percentuale 10 4 2 2" xfId="20855" xr:uid="{00000000-0005-0000-0000-0000E8C80000}"/>
    <cellStyle name="Percentuale 10 4 3" xfId="20854" xr:uid="{00000000-0005-0000-0000-0000E9C80000}"/>
    <cellStyle name="Percentuale 10 4 4" xfId="19848" xr:uid="{00000000-0005-0000-0000-0000EAC80000}"/>
    <cellStyle name="Percentuale 10 5" xfId="11756" xr:uid="{00000000-0005-0000-0000-0000EBC80000}"/>
    <cellStyle name="Percentuale 11" xfId="2279" xr:uid="{00000000-0005-0000-0000-0000ECC80000}"/>
    <cellStyle name="Percentuale 11 2" xfId="2280" xr:uid="{00000000-0005-0000-0000-0000EDC80000}"/>
    <cellStyle name="Percentuale 11 2 2" xfId="2281" xr:uid="{00000000-0005-0000-0000-0000EEC80000}"/>
    <cellStyle name="Percentuale 11 3" xfId="2282" xr:uid="{00000000-0005-0000-0000-0000EFC80000}"/>
    <cellStyle name="Percentuale 11 3 2" xfId="2283" xr:uid="{00000000-0005-0000-0000-0000F0C80000}"/>
    <cellStyle name="Percentuale 11 3 3" xfId="19851" xr:uid="{00000000-0005-0000-0000-0000F1C80000}"/>
    <cellStyle name="Percentuale 11 3 3 2" xfId="20857" xr:uid="{00000000-0005-0000-0000-0000F2C80000}"/>
    <cellStyle name="Percentuale 11 3 4" xfId="20856" xr:uid="{00000000-0005-0000-0000-0000F3C80000}"/>
    <cellStyle name="Percentuale 11 3 5" xfId="19850" xr:uid="{00000000-0005-0000-0000-0000F4C80000}"/>
    <cellStyle name="Percentuale 11 4" xfId="11757" xr:uid="{00000000-0005-0000-0000-0000F5C80000}"/>
    <cellStyle name="Percentuale 11 4 2" xfId="19853" xr:uid="{00000000-0005-0000-0000-0000F6C80000}"/>
    <cellStyle name="Percentuale 11 4 2 2" xfId="20859" xr:uid="{00000000-0005-0000-0000-0000F7C80000}"/>
    <cellStyle name="Percentuale 11 4 3" xfId="20858" xr:uid="{00000000-0005-0000-0000-0000F8C80000}"/>
    <cellStyle name="Percentuale 11 4 4" xfId="19852" xr:uid="{00000000-0005-0000-0000-0000F9C80000}"/>
    <cellStyle name="Percentuale 11 5" xfId="11758" xr:uid="{00000000-0005-0000-0000-0000FAC80000}"/>
    <cellStyle name="Percentuale 12" xfId="2284" xr:uid="{00000000-0005-0000-0000-0000FBC80000}"/>
    <cellStyle name="Percentuale 12 2" xfId="2285" xr:uid="{00000000-0005-0000-0000-0000FCC80000}"/>
    <cellStyle name="Percentuale 12 2 2" xfId="2286" xr:uid="{00000000-0005-0000-0000-0000FDC80000}"/>
    <cellStyle name="Percentuale 12 3" xfId="2287" xr:uid="{00000000-0005-0000-0000-0000FEC80000}"/>
    <cellStyle name="Percentuale 12 3 2" xfId="2288" xr:uid="{00000000-0005-0000-0000-0000FFC80000}"/>
    <cellStyle name="Percentuale 12 3 3" xfId="19855" xr:uid="{00000000-0005-0000-0000-000000C90000}"/>
    <cellStyle name="Percentuale 12 3 3 2" xfId="20861" xr:uid="{00000000-0005-0000-0000-000001C90000}"/>
    <cellStyle name="Percentuale 12 3 4" xfId="20860" xr:uid="{00000000-0005-0000-0000-000002C90000}"/>
    <cellStyle name="Percentuale 12 3 5" xfId="19854" xr:uid="{00000000-0005-0000-0000-000003C90000}"/>
    <cellStyle name="Percentuale 12 4" xfId="11759" xr:uid="{00000000-0005-0000-0000-000004C90000}"/>
    <cellStyle name="Percentuale 12 4 2" xfId="19857" xr:uid="{00000000-0005-0000-0000-000005C90000}"/>
    <cellStyle name="Percentuale 12 4 2 2" xfId="20863" xr:uid="{00000000-0005-0000-0000-000006C90000}"/>
    <cellStyle name="Percentuale 12 4 3" xfId="20862" xr:uid="{00000000-0005-0000-0000-000007C90000}"/>
    <cellStyle name="Percentuale 12 4 4" xfId="19856" xr:uid="{00000000-0005-0000-0000-000008C90000}"/>
    <cellStyle name="Percentuale 12 5" xfId="11760" xr:uid="{00000000-0005-0000-0000-000009C90000}"/>
    <cellStyle name="Percentuale 13" xfId="2289" xr:uid="{00000000-0005-0000-0000-00000AC90000}"/>
    <cellStyle name="Percentuale 13 2" xfId="2290" xr:uid="{00000000-0005-0000-0000-00000BC90000}"/>
    <cellStyle name="Percentuale 13 2 2" xfId="2291" xr:uid="{00000000-0005-0000-0000-00000CC90000}"/>
    <cellStyle name="Percentuale 13 3" xfId="2292" xr:uid="{00000000-0005-0000-0000-00000DC90000}"/>
    <cellStyle name="Percentuale 13 3 2" xfId="2293" xr:uid="{00000000-0005-0000-0000-00000EC90000}"/>
    <cellStyle name="Percentuale 13 3 3" xfId="19859" xr:uid="{00000000-0005-0000-0000-00000FC90000}"/>
    <cellStyle name="Percentuale 13 3 3 2" xfId="20865" xr:uid="{00000000-0005-0000-0000-000010C90000}"/>
    <cellStyle name="Percentuale 13 3 4" xfId="20864" xr:uid="{00000000-0005-0000-0000-000011C90000}"/>
    <cellStyle name="Percentuale 13 3 5" xfId="19858" xr:uid="{00000000-0005-0000-0000-000012C90000}"/>
    <cellStyle name="Percentuale 13 4" xfId="11761" xr:uid="{00000000-0005-0000-0000-000013C90000}"/>
    <cellStyle name="Percentuale 13 4 2" xfId="19861" xr:uid="{00000000-0005-0000-0000-000014C90000}"/>
    <cellStyle name="Percentuale 13 4 2 2" xfId="20867" xr:uid="{00000000-0005-0000-0000-000015C90000}"/>
    <cellStyle name="Percentuale 13 4 3" xfId="20866" xr:uid="{00000000-0005-0000-0000-000016C90000}"/>
    <cellStyle name="Percentuale 13 4 4" xfId="19860" xr:uid="{00000000-0005-0000-0000-000017C90000}"/>
    <cellStyle name="Percentuale 13 5" xfId="11762" xr:uid="{00000000-0005-0000-0000-000018C90000}"/>
    <cellStyle name="Percentuale 14" xfId="2294" xr:uid="{00000000-0005-0000-0000-000019C90000}"/>
    <cellStyle name="Percentuale 14 2" xfId="2295" xr:uid="{00000000-0005-0000-0000-00001AC90000}"/>
    <cellStyle name="Percentuale 14 2 2" xfId="2296" xr:uid="{00000000-0005-0000-0000-00001BC90000}"/>
    <cellStyle name="Percentuale 14 3" xfId="2297" xr:uid="{00000000-0005-0000-0000-00001CC90000}"/>
    <cellStyle name="Percentuale 14 3 2" xfId="2298" xr:uid="{00000000-0005-0000-0000-00001DC90000}"/>
    <cellStyle name="Percentuale 14 3 3" xfId="19863" xr:uid="{00000000-0005-0000-0000-00001EC90000}"/>
    <cellStyle name="Percentuale 14 3 3 2" xfId="20869" xr:uid="{00000000-0005-0000-0000-00001FC90000}"/>
    <cellStyle name="Percentuale 14 3 4" xfId="20868" xr:uid="{00000000-0005-0000-0000-000020C90000}"/>
    <cellStyle name="Percentuale 14 3 5" xfId="19862" xr:uid="{00000000-0005-0000-0000-000021C90000}"/>
    <cellStyle name="Percentuale 14 4" xfId="11763" xr:uid="{00000000-0005-0000-0000-000022C90000}"/>
    <cellStyle name="Percentuale 14 4 2" xfId="19865" xr:uid="{00000000-0005-0000-0000-000023C90000}"/>
    <cellStyle name="Percentuale 14 4 2 2" xfId="20871" xr:uid="{00000000-0005-0000-0000-000024C90000}"/>
    <cellStyle name="Percentuale 14 4 3" xfId="20870" xr:uid="{00000000-0005-0000-0000-000025C90000}"/>
    <cellStyle name="Percentuale 14 4 4" xfId="19864" xr:uid="{00000000-0005-0000-0000-000026C90000}"/>
    <cellStyle name="Percentuale 14 5" xfId="11764" xr:uid="{00000000-0005-0000-0000-000027C90000}"/>
    <cellStyle name="Percentuale 15" xfId="2299" xr:uid="{00000000-0005-0000-0000-000028C90000}"/>
    <cellStyle name="Percentuale 15 2" xfId="2300" xr:uid="{00000000-0005-0000-0000-000029C90000}"/>
    <cellStyle name="Percentuale 15 2 2" xfId="2301" xr:uid="{00000000-0005-0000-0000-00002AC90000}"/>
    <cellStyle name="Percentuale 15 3" xfId="2302" xr:uid="{00000000-0005-0000-0000-00002BC90000}"/>
    <cellStyle name="Percentuale 15 3 2" xfId="2303" xr:uid="{00000000-0005-0000-0000-00002CC90000}"/>
    <cellStyle name="Percentuale 15 3 3" xfId="19867" xr:uid="{00000000-0005-0000-0000-00002DC90000}"/>
    <cellStyle name="Percentuale 15 3 3 2" xfId="20873" xr:uid="{00000000-0005-0000-0000-00002EC90000}"/>
    <cellStyle name="Percentuale 15 3 4" xfId="20872" xr:uid="{00000000-0005-0000-0000-00002FC90000}"/>
    <cellStyle name="Percentuale 15 3 5" xfId="19866" xr:uid="{00000000-0005-0000-0000-000030C90000}"/>
    <cellStyle name="Percentuale 15 4" xfId="11765" xr:uid="{00000000-0005-0000-0000-000031C90000}"/>
    <cellStyle name="Percentuale 15 4 2" xfId="19869" xr:uid="{00000000-0005-0000-0000-000032C90000}"/>
    <cellStyle name="Percentuale 15 4 2 2" xfId="20875" xr:uid="{00000000-0005-0000-0000-000033C90000}"/>
    <cellStyle name="Percentuale 15 4 3" xfId="20874" xr:uid="{00000000-0005-0000-0000-000034C90000}"/>
    <cellStyle name="Percentuale 15 4 4" xfId="19868" xr:uid="{00000000-0005-0000-0000-000035C90000}"/>
    <cellStyle name="Percentuale 15 5" xfId="11766" xr:uid="{00000000-0005-0000-0000-000036C90000}"/>
    <cellStyle name="Percentuale 16" xfId="2304" xr:uid="{00000000-0005-0000-0000-000037C90000}"/>
    <cellStyle name="Percentuale 16 2" xfId="2305" xr:uid="{00000000-0005-0000-0000-000038C90000}"/>
    <cellStyle name="Percentuale 16 2 2" xfId="2306" xr:uid="{00000000-0005-0000-0000-000039C90000}"/>
    <cellStyle name="Percentuale 16 3" xfId="2307" xr:uid="{00000000-0005-0000-0000-00003AC90000}"/>
    <cellStyle name="Percentuale 16 3 2" xfId="2308" xr:uid="{00000000-0005-0000-0000-00003BC90000}"/>
    <cellStyle name="Percentuale 16 3 3" xfId="19871" xr:uid="{00000000-0005-0000-0000-00003CC90000}"/>
    <cellStyle name="Percentuale 16 3 3 2" xfId="20877" xr:uid="{00000000-0005-0000-0000-00003DC90000}"/>
    <cellStyle name="Percentuale 16 3 4" xfId="20876" xr:uid="{00000000-0005-0000-0000-00003EC90000}"/>
    <cellStyle name="Percentuale 16 3 5" xfId="19870" xr:uid="{00000000-0005-0000-0000-00003FC90000}"/>
    <cellStyle name="Percentuale 16 4" xfId="11767" xr:uid="{00000000-0005-0000-0000-000040C90000}"/>
    <cellStyle name="Percentuale 16 4 2" xfId="19873" xr:uid="{00000000-0005-0000-0000-000041C90000}"/>
    <cellStyle name="Percentuale 16 4 2 2" xfId="20879" xr:uid="{00000000-0005-0000-0000-000042C90000}"/>
    <cellStyle name="Percentuale 16 4 3" xfId="20878" xr:uid="{00000000-0005-0000-0000-000043C90000}"/>
    <cellStyle name="Percentuale 16 4 4" xfId="19872" xr:uid="{00000000-0005-0000-0000-000044C90000}"/>
    <cellStyle name="Percentuale 16 5" xfId="11768" xr:uid="{00000000-0005-0000-0000-000045C90000}"/>
    <cellStyle name="Percentuale 17" xfId="2309" xr:uid="{00000000-0005-0000-0000-000046C90000}"/>
    <cellStyle name="Percentuale 17 2" xfId="2310" xr:uid="{00000000-0005-0000-0000-000047C90000}"/>
    <cellStyle name="Percentuale 17 2 2" xfId="2311" xr:uid="{00000000-0005-0000-0000-000048C90000}"/>
    <cellStyle name="Percentuale 17 3" xfId="2312" xr:uid="{00000000-0005-0000-0000-000049C90000}"/>
    <cellStyle name="Percentuale 17 3 2" xfId="2313" xr:uid="{00000000-0005-0000-0000-00004AC90000}"/>
    <cellStyle name="Percentuale 17 3 3" xfId="19875" xr:uid="{00000000-0005-0000-0000-00004BC90000}"/>
    <cellStyle name="Percentuale 17 3 3 2" xfId="20881" xr:uid="{00000000-0005-0000-0000-00004CC90000}"/>
    <cellStyle name="Percentuale 17 3 4" xfId="20880" xr:uid="{00000000-0005-0000-0000-00004DC90000}"/>
    <cellStyle name="Percentuale 17 3 5" xfId="19874" xr:uid="{00000000-0005-0000-0000-00004EC90000}"/>
    <cellStyle name="Percentuale 17 4" xfId="11769" xr:uid="{00000000-0005-0000-0000-00004FC90000}"/>
    <cellStyle name="Percentuale 17 4 2" xfId="19877" xr:uid="{00000000-0005-0000-0000-000050C90000}"/>
    <cellStyle name="Percentuale 17 4 2 2" xfId="20883" xr:uid="{00000000-0005-0000-0000-000051C90000}"/>
    <cellStyle name="Percentuale 17 4 3" xfId="20882" xr:uid="{00000000-0005-0000-0000-000052C90000}"/>
    <cellStyle name="Percentuale 17 4 4" xfId="19876" xr:uid="{00000000-0005-0000-0000-000053C90000}"/>
    <cellStyle name="Percentuale 17 5" xfId="11770" xr:uid="{00000000-0005-0000-0000-000054C90000}"/>
    <cellStyle name="Percentuale 18" xfId="2314" xr:uid="{00000000-0005-0000-0000-000055C90000}"/>
    <cellStyle name="Percentuale 18 2" xfId="2315" xr:uid="{00000000-0005-0000-0000-000056C90000}"/>
    <cellStyle name="Percentuale 18 2 2" xfId="2316" xr:uid="{00000000-0005-0000-0000-000057C90000}"/>
    <cellStyle name="Percentuale 18 3" xfId="2317" xr:uid="{00000000-0005-0000-0000-000058C90000}"/>
    <cellStyle name="Percentuale 18 3 2" xfId="2318" xr:uid="{00000000-0005-0000-0000-000059C90000}"/>
    <cellStyle name="Percentuale 18 3 3" xfId="19879" xr:uid="{00000000-0005-0000-0000-00005AC90000}"/>
    <cellStyle name="Percentuale 18 3 3 2" xfId="20885" xr:uid="{00000000-0005-0000-0000-00005BC90000}"/>
    <cellStyle name="Percentuale 18 3 4" xfId="20884" xr:uid="{00000000-0005-0000-0000-00005CC90000}"/>
    <cellStyle name="Percentuale 18 3 5" xfId="19878" xr:uid="{00000000-0005-0000-0000-00005DC90000}"/>
    <cellStyle name="Percentuale 18 4" xfId="11771" xr:uid="{00000000-0005-0000-0000-00005EC90000}"/>
    <cellStyle name="Percentuale 18 4 2" xfId="19881" xr:uid="{00000000-0005-0000-0000-00005FC90000}"/>
    <cellStyle name="Percentuale 18 4 2 2" xfId="20887" xr:uid="{00000000-0005-0000-0000-000060C90000}"/>
    <cellStyle name="Percentuale 18 4 3" xfId="20886" xr:uid="{00000000-0005-0000-0000-000061C90000}"/>
    <cellStyle name="Percentuale 18 4 4" xfId="19880" xr:uid="{00000000-0005-0000-0000-000062C90000}"/>
    <cellStyle name="Percentuale 18 5" xfId="11772" xr:uid="{00000000-0005-0000-0000-000063C90000}"/>
    <cellStyle name="Percentuale 19" xfId="2319" xr:uid="{00000000-0005-0000-0000-000064C90000}"/>
    <cellStyle name="Percentuale 19 2" xfId="2320" xr:uid="{00000000-0005-0000-0000-000065C90000}"/>
    <cellStyle name="Percentuale 19 2 2" xfId="2321" xr:uid="{00000000-0005-0000-0000-000066C90000}"/>
    <cellStyle name="Percentuale 19 3" xfId="2322" xr:uid="{00000000-0005-0000-0000-000067C90000}"/>
    <cellStyle name="Percentuale 19 3 2" xfId="2323" xr:uid="{00000000-0005-0000-0000-000068C90000}"/>
    <cellStyle name="Percentuale 19 3 3" xfId="19883" xr:uid="{00000000-0005-0000-0000-000069C90000}"/>
    <cellStyle name="Percentuale 19 3 3 2" xfId="20889" xr:uid="{00000000-0005-0000-0000-00006AC90000}"/>
    <cellStyle name="Percentuale 19 3 4" xfId="20888" xr:uid="{00000000-0005-0000-0000-00006BC90000}"/>
    <cellStyle name="Percentuale 19 3 5" xfId="19882" xr:uid="{00000000-0005-0000-0000-00006CC90000}"/>
    <cellStyle name="Percentuale 19 4" xfId="11773" xr:uid="{00000000-0005-0000-0000-00006DC90000}"/>
    <cellStyle name="Percentuale 19 4 2" xfId="19885" xr:uid="{00000000-0005-0000-0000-00006EC90000}"/>
    <cellStyle name="Percentuale 19 4 2 2" xfId="20891" xr:uid="{00000000-0005-0000-0000-00006FC90000}"/>
    <cellStyle name="Percentuale 19 4 3" xfId="20890" xr:uid="{00000000-0005-0000-0000-000070C90000}"/>
    <cellStyle name="Percentuale 19 4 4" xfId="19884" xr:uid="{00000000-0005-0000-0000-000071C90000}"/>
    <cellStyle name="Percentuale 19 5" xfId="11774" xr:uid="{00000000-0005-0000-0000-000072C90000}"/>
    <cellStyle name="Percentuale 2" xfId="2324" xr:uid="{00000000-0005-0000-0000-000073C90000}"/>
    <cellStyle name="Percentuale 2 2" xfId="2325" xr:uid="{00000000-0005-0000-0000-000074C90000}"/>
    <cellStyle name="Percentuale 2 2 2" xfId="2326" xr:uid="{00000000-0005-0000-0000-000075C90000}"/>
    <cellStyle name="Percentuale 2 3" xfId="2327" xr:uid="{00000000-0005-0000-0000-000076C90000}"/>
    <cellStyle name="Percentuale 2 3 2" xfId="2328" xr:uid="{00000000-0005-0000-0000-000077C90000}"/>
    <cellStyle name="Percentuale 2 3 3" xfId="19887" xr:uid="{00000000-0005-0000-0000-000078C90000}"/>
    <cellStyle name="Percentuale 2 3 3 2" xfId="20893" xr:uid="{00000000-0005-0000-0000-000079C90000}"/>
    <cellStyle name="Percentuale 2 3 4" xfId="20892" xr:uid="{00000000-0005-0000-0000-00007AC90000}"/>
    <cellStyle name="Percentuale 2 3 5" xfId="19886" xr:uid="{00000000-0005-0000-0000-00007BC90000}"/>
    <cellStyle name="Percentuale 2 4" xfId="11775" xr:uid="{00000000-0005-0000-0000-00007CC90000}"/>
    <cellStyle name="Percentuale 2 4 2" xfId="19889" xr:uid="{00000000-0005-0000-0000-00007DC90000}"/>
    <cellStyle name="Percentuale 2 4 2 2" xfId="20895" xr:uid="{00000000-0005-0000-0000-00007EC90000}"/>
    <cellStyle name="Percentuale 2 4 3" xfId="20894" xr:uid="{00000000-0005-0000-0000-00007FC90000}"/>
    <cellStyle name="Percentuale 2 4 4" xfId="19888" xr:uid="{00000000-0005-0000-0000-000080C90000}"/>
    <cellStyle name="Percentuale 2 5" xfId="11776" xr:uid="{00000000-0005-0000-0000-000081C90000}"/>
    <cellStyle name="Percentuale 20" xfId="2329" xr:uid="{00000000-0005-0000-0000-000082C90000}"/>
    <cellStyle name="Percentuale 20 2" xfId="2330" xr:uid="{00000000-0005-0000-0000-000083C90000}"/>
    <cellStyle name="Percentuale 20 2 2" xfId="2331" xr:uid="{00000000-0005-0000-0000-000084C90000}"/>
    <cellStyle name="Percentuale 20 3" xfId="2332" xr:uid="{00000000-0005-0000-0000-000085C90000}"/>
    <cellStyle name="Percentuale 20 3 2" xfId="2333" xr:uid="{00000000-0005-0000-0000-000086C90000}"/>
    <cellStyle name="Percentuale 20 3 3" xfId="19891" xr:uid="{00000000-0005-0000-0000-000087C90000}"/>
    <cellStyle name="Percentuale 20 3 3 2" xfId="20897" xr:uid="{00000000-0005-0000-0000-000088C90000}"/>
    <cellStyle name="Percentuale 20 3 4" xfId="20896" xr:uid="{00000000-0005-0000-0000-000089C90000}"/>
    <cellStyle name="Percentuale 20 3 5" xfId="19890" xr:uid="{00000000-0005-0000-0000-00008AC90000}"/>
    <cellStyle name="Percentuale 20 4" xfId="11777" xr:uid="{00000000-0005-0000-0000-00008BC90000}"/>
    <cellStyle name="Percentuale 20 4 2" xfId="19893" xr:uid="{00000000-0005-0000-0000-00008CC90000}"/>
    <cellStyle name="Percentuale 20 4 2 2" xfId="20899" xr:uid="{00000000-0005-0000-0000-00008DC90000}"/>
    <cellStyle name="Percentuale 20 4 3" xfId="20898" xr:uid="{00000000-0005-0000-0000-00008EC90000}"/>
    <cellStyle name="Percentuale 20 4 4" xfId="19892" xr:uid="{00000000-0005-0000-0000-00008FC90000}"/>
    <cellStyle name="Percentuale 20 5" xfId="11778" xr:uid="{00000000-0005-0000-0000-000090C90000}"/>
    <cellStyle name="Percentuale 21" xfId="2334" xr:uid="{00000000-0005-0000-0000-000091C90000}"/>
    <cellStyle name="Percentuale 21 2" xfId="2335" xr:uid="{00000000-0005-0000-0000-000092C90000}"/>
    <cellStyle name="Percentuale 21 2 2" xfId="2336" xr:uid="{00000000-0005-0000-0000-000093C90000}"/>
    <cellStyle name="Percentuale 21 3" xfId="2337" xr:uid="{00000000-0005-0000-0000-000094C90000}"/>
    <cellStyle name="Percentuale 21 3 2" xfId="2338" xr:uid="{00000000-0005-0000-0000-000095C90000}"/>
    <cellStyle name="Percentuale 21 3 3" xfId="19895" xr:uid="{00000000-0005-0000-0000-000096C90000}"/>
    <cellStyle name="Percentuale 21 3 3 2" xfId="20901" xr:uid="{00000000-0005-0000-0000-000097C90000}"/>
    <cellStyle name="Percentuale 21 3 4" xfId="20900" xr:uid="{00000000-0005-0000-0000-000098C90000}"/>
    <cellStyle name="Percentuale 21 3 5" xfId="19894" xr:uid="{00000000-0005-0000-0000-000099C90000}"/>
    <cellStyle name="Percentuale 21 4" xfId="11779" xr:uid="{00000000-0005-0000-0000-00009AC90000}"/>
    <cellStyle name="Percentuale 21 4 2" xfId="19897" xr:uid="{00000000-0005-0000-0000-00009BC90000}"/>
    <cellStyle name="Percentuale 21 4 2 2" xfId="20903" xr:uid="{00000000-0005-0000-0000-00009CC90000}"/>
    <cellStyle name="Percentuale 21 4 3" xfId="20902" xr:uid="{00000000-0005-0000-0000-00009DC90000}"/>
    <cellStyle name="Percentuale 21 4 4" xfId="19896" xr:uid="{00000000-0005-0000-0000-00009EC90000}"/>
    <cellStyle name="Percentuale 21 5" xfId="11780" xr:uid="{00000000-0005-0000-0000-00009FC90000}"/>
    <cellStyle name="Percentuale 22" xfId="2339" xr:uid="{00000000-0005-0000-0000-0000A0C90000}"/>
    <cellStyle name="Percentuale 22 2" xfId="2340" xr:uid="{00000000-0005-0000-0000-0000A1C90000}"/>
    <cellStyle name="Percentuale 22 2 2" xfId="2341" xr:uid="{00000000-0005-0000-0000-0000A2C90000}"/>
    <cellStyle name="Percentuale 22 3" xfId="2342" xr:uid="{00000000-0005-0000-0000-0000A3C90000}"/>
    <cellStyle name="Percentuale 22 3 2" xfId="2343" xr:uid="{00000000-0005-0000-0000-0000A4C90000}"/>
    <cellStyle name="Percentuale 22 3 3" xfId="19899" xr:uid="{00000000-0005-0000-0000-0000A5C90000}"/>
    <cellStyle name="Percentuale 22 3 3 2" xfId="20905" xr:uid="{00000000-0005-0000-0000-0000A6C90000}"/>
    <cellStyle name="Percentuale 22 3 4" xfId="20904" xr:uid="{00000000-0005-0000-0000-0000A7C90000}"/>
    <cellStyle name="Percentuale 22 3 5" xfId="19898" xr:uid="{00000000-0005-0000-0000-0000A8C90000}"/>
    <cellStyle name="Percentuale 22 4" xfId="11781" xr:uid="{00000000-0005-0000-0000-0000A9C90000}"/>
    <cellStyle name="Percentuale 22 4 2" xfId="19901" xr:uid="{00000000-0005-0000-0000-0000AAC90000}"/>
    <cellStyle name="Percentuale 22 4 2 2" xfId="20907" xr:uid="{00000000-0005-0000-0000-0000ABC90000}"/>
    <cellStyle name="Percentuale 22 4 3" xfId="20906" xr:uid="{00000000-0005-0000-0000-0000ACC90000}"/>
    <cellStyle name="Percentuale 22 4 4" xfId="19900" xr:uid="{00000000-0005-0000-0000-0000ADC90000}"/>
    <cellStyle name="Percentuale 22 5" xfId="11782" xr:uid="{00000000-0005-0000-0000-0000AEC90000}"/>
    <cellStyle name="Percentuale 23" xfId="2344" xr:uid="{00000000-0005-0000-0000-0000AFC90000}"/>
    <cellStyle name="Percentuale 23 2" xfId="2345" xr:uid="{00000000-0005-0000-0000-0000B0C90000}"/>
    <cellStyle name="Percentuale 23 2 2" xfId="2346" xr:uid="{00000000-0005-0000-0000-0000B1C90000}"/>
    <cellStyle name="Percentuale 23 3" xfId="2347" xr:uid="{00000000-0005-0000-0000-0000B2C90000}"/>
    <cellStyle name="Percentuale 23 3 2" xfId="2348" xr:uid="{00000000-0005-0000-0000-0000B3C90000}"/>
    <cellStyle name="Percentuale 23 3 3" xfId="19903" xr:uid="{00000000-0005-0000-0000-0000B4C90000}"/>
    <cellStyle name="Percentuale 23 3 3 2" xfId="20909" xr:uid="{00000000-0005-0000-0000-0000B5C90000}"/>
    <cellStyle name="Percentuale 23 3 4" xfId="20908" xr:uid="{00000000-0005-0000-0000-0000B6C90000}"/>
    <cellStyle name="Percentuale 23 3 5" xfId="19902" xr:uid="{00000000-0005-0000-0000-0000B7C90000}"/>
    <cellStyle name="Percentuale 23 4" xfId="11783" xr:uid="{00000000-0005-0000-0000-0000B8C90000}"/>
    <cellStyle name="Percentuale 23 4 2" xfId="19905" xr:uid="{00000000-0005-0000-0000-0000B9C90000}"/>
    <cellStyle name="Percentuale 23 4 2 2" xfId="20911" xr:uid="{00000000-0005-0000-0000-0000BAC90000}"/>
    <cellStyle name="Percentuale 23 4 3" xfId="20910" xr:uid="{00000000-0005-0000-0000-0000BBC90000}"/>
    <cellStyle name="Percentuale 23 4 4" xfId="19904" xr:uid="{00000000-0005-0000-0000-0000BCC90000}"/>
    <cellStyle name="Percentuale 23 5" xfId="11784" xr:uid="{00000000-0005-0000-0000-0000BDC90000}"/>
    <cellStyle name="Percentuale 24" xfId="2349" xr:uid="{00000000-0005-0000-0000-0000BEC90000}"/>
    <cellStyle name="Percentuale 24 2" xfId="2350" xr:uid="{00000000-0005-0000-0000-0000BFC90000}"/>
    <cellStyle name="Percentuale 24 2 2" xfId="2351" xr:uid="{00000000-0005-0000-0000-0000C0C90000}"/>
    <cellStyle name="Percentuale 24 3" xfId="2352" xr:uid="{00000000-0005-0000-0000-0000C1C90000}"/>
    <cellStyle name="Percentuale 24 3 2" xfId="2353" xr:uid="{00000000-0005-0000-0000-0000C2C90000}"/>
    <cellStyle name="Percentuale 24 3 3" xfId="19907" xr:uid="{00000000-0005-0000-0000-0000C3C90000}"/>
    <cellStyle name="Percentuale 24 3 3 2" xfId="20913" xr:uid="{00000000-0005-0000-0000-0000C4C90000}"/>
    <cellStyle name="Percentuale 24 3 4" xfId="20912" xr:uid="{00000000-0005-0000-0000-0000C5C90000}"/>
    <cellStyle name="Percentuale 24 3 5" xfId="19906" xr:uid="{00000000-0005-0000-0000-0000C6C90000}"/>
    <cellStyle name="Percentuale 24 4" xfId="11785" xr:uid="{00000000-0005-0000-0000-0000C7C90000}"/>
    <cellStyle name="Percentuale 24 4 2" xfId="19909" xr:uid="{00000000-0005-0000-0000-0000C8C90000}"/>
    <cellStyle name="Percentuale 24 4 2 2" xfId="20915" xr:uid="{00000000-0005-0000-0000-0000C9C90000}"/>
    <cellStyle name="Percentuale 24 4 3" xfId="20914" xr:uid="{00000000-0005-0000-0000-0000CAC90000}"/>
    <cellStyle name="Percentuale 24 4 4" xfId="19908" xr:uid="{00000000-0005-0000-0000-0000CBC90000}"/>
    <cellStyle name="Percentuale 24 5" xfId="11786" xr:uid="{00000000-0005-0000-0000-0000CCC90000}"/>
    <cellStyle name="Percentuale 25" xfId="2354" xr:uid="{00000000-0005-0000-0000-0000CDC90000}"/>
    <cellStyle name="Percentuale 25 2" xfId="2355" xr:uid="{00000000-0005-0000-0000-0000CEC90000}"/>
    <cellStyle name="Percentuale 25 2 2" xfId="2356" xr:uid="{00000000-0005-0000-0000-0000CFC90000}"/>
    <cellStyle name="Percentuale 25 3" xfId="2357" xr:uid="{00000000-0005-0000-0000-0000D0C90000}"/>
    <cellStyle name="Percentuale 25 3 2" xfId="2358" xr:uid="{00000000-0005-0000-0000-0000D1C90000}"/>
    <cellStyle name="Percentuale 25 3 3" xfId="19911" xr:uid="{00000000-0005-0000-0000-0000D2C90000}"/>
    <cellStyle name="Percentuale 25 3 3 2" xfId="20917" xr:uid="{00000000-0005-0000-0000-0000D3C90000}"/>
    <cellStyle name="Percentuale 25 3 4" xfId="20916" xr:uid="{00000000-0005-0000-0000-0000D4C90000}"/>
    <cellStyle name="Percentuale 25 3 5" xfId="19910" xr:uid="{00000000-0005-0000-0000-0000D5C90000}"/>
    <cellStyle name="Percentuale 25 4" xfId="11787" xr:uid="{00000000-0005-0000-0000-0000D6C90000}"/>
    <cellStyle name="Percentuale 25 4 2" xfId="19913" xr:uid="{00000000-0005-0000-0000-0000D7C90000}"/>
    <cellStyle name="Percentuale 25 4 2 2" xfId="20919" xr:uid="{00000000-0005-0000-0000-0000D8C90000}"/>
    <cellStyle name="Percentuale 25 4 3" xfId="20918" xr:uid="{00000000-0005-0000-0000-0000D9C90000}"/>
    <cellStyle name="Percentuale 25 4 4" xfId="19912" xr:uid="{00000000-0005-0000-0000-0000DAC90000}"/>
    <cellStyle name="Percentuale 25 5" xfId="11788" xr:uid="{00000000-0005-0000-0000-0000DBC90000}"/>
    <cellStyle name="Percentuale 26" xfId="2359" xr:uid="{00000000-0005-0000-0000-0000DCC90000}"/>
    <cellStyle name="Percentuale 26 2" xfId="2360" xr:uid="{00000000-0005-0000-0000-0000DDC90000}"/>
    <cellStyle name="Percentuale 26 2 2" xfId="2361" xr:uid="{00000000-0005-0000-0000-0000DEC90000}"/>
    <cellStyle name="Percentuale 26 3" xfId="2362" xr:uid="{00000000-0005-0000-0000-0000DFC90000}"/>
    <cellStyle name="Percentuale 26 3 2" xfId="2363" xr:uid="{00000000-0005-0000-0000-0000E0C90000}"/>
    <cellStyle name="Percentuale 26 3 3" xfId="19915" xr:uid="{00000000-0005-0000-0000-0000E1C90000}"/>
    <cellStyle name="Percentuale 26 3 3 2" xfId="20921" xr:uid="{00000000-0005-0000-0000-0000E2C90000}"/>
    <cellStyle name="Percentuale 26 3 4" xfId="20920" xr:uid="{00000000-0005-0000-0000-0000E3C90000}"/>
    <cellStyle name="Percentuale 26 3 5" xfId="19914" xr:uid="{00000000-0005-0000-0000-0000E4C90000}"/>
    <cellStyle name="Percentuale 26 4" xfId="11789" xr:uid="{00000000-0005-0000-0000-0000E5C90000}"/>
    <cellStyle name="Percentuale 26 4 2" xfId="19917" xr:uid="{00000000-0005-0000-0000-0000E6C90000}"/>
    <cellStyle name="Percentuale 26 4 2 2" xfId="20923" xr:uid="{00000000-0005-0000-0000-0000E7C90000}"/>
    <cellStyle name="Percentuale 26 4 3" xfId="20922" xr:uid="{00000000-0005-0000-0000-0000E8C90000}"/>
    <cellStyle name="Percentuale 26 4 4" xfId="19916" xr:uid="{00000000-0005-0000-0000-0000E9C90000}"/>
    <cellStyle name="Percentuale 26 5" xfId="11790" xr:uid="{00000000-0005-0000-0000-0000EAC90000}"/>
    <cellStyle name="Percentuale 27" xfId="2364" xr:uid="{00000000-0005-0000-0000-0000EBC90000}"/>
    <cellStyle name="Percentuale 27 2" xfId="2365" xr:uid="{00000000-0005-0000-0000-0000ECC90000}"/>
    <cellStyle name="Percentuale 27 2 2" xfId="2366" xr:uid="{00000000-0005-0000-0000-0000EDC90000}"/>
    <cellStyle name="Percentuale 27 3" xfId="2367" xr:uid="{00000000-0005-0000-0000-0000EEC90000}"/>
    <cellStyle name="Percentuale 27 3 2" xfId="2368" xr:uid="{00000000-0005-0000-0000-0000EFC90000}"/>
    <cellStyle name="Percentuale 27 3 3" xfId="19919" xr:uid="{00000000-0005-0000-0000-0000F0C90000}"/>
    <cellStyle name="Percentuale 27 3 3 2" xfId="20925" xr:uid="{00000000-0005-0000-0000-0000F1C90000}"/>
    <cellStyle name="Percentuale 27 3 4" xfId="20924" xr:uid="{00000000-0005-0000-0000-0000F2C90000}"/>
    <cellStyle name="Percentuale 27 3 5" xfId="19918" xr:uid="{00000000-0005-0000-0000-0000F3C90000}"/>
    <cellStyle name="Percentuale 27 4" xfId="11791" xr:uid="{00000000-0005-0000-0000-0000F4C90000}"/>
    <cellStyle name="Percentuale 27 4 2" xfId="19921" xr:uid="{00000000-0005-0000-0000-0000F5C90000}"/>
    <cellStyle name="Percentuale 27 4 2 2" xfId="20927" xr:uid="{00000000-0005-0000-0000-0000F6C90000}"/>
    <cellStyle name="Percentuale 27 4 3" xfId="20926" xr:uid="{00000000-0005-0000-0000-0000F7C90000}"/>
    <cellStyle name="Percentuale 27 4 4" xfId="19920" xr:uid="{00000000-0005-0000-0000-0000F8C90000}"/>
    <cellStyle name="Percentuale 27 5" xfId="11792" xr:uid="{00000000-0005-0000-0000-0000F9C90000}"/>
    <cellStyle name="Percentuale 28" xfId="2369" xr:uid="{00000000-0005-0000-0000-0000FAC90000}"/>
    <cellStyle name="Percentuale 28 2" xfId="2370" xr:uid="{00000000-0005-0000-0000-0000FBC90000}"/>
    <cellStyle name="Percentuale 28 2 2" xfId="2371" xr:uid="{00000000-0005-0000-0000-0000FCC90000}"/>
    <cellStyle name="Percentuale 28 3" xfId="2372" xr:uid="{00000000-0005-0000-0000-0000FDC90000}"/>
    <cellStyle name="Percentuale 28 3 2" xfId="2373" xr:uid="{00000000-0005-0000-0000-0000FEC90000}"/>
    <cellStyle name="Percentuale 28 3 3" xfId="19923" xr:uid="{00000000-0005-0000-0000-0000FFC90000}"/>
    <cellStyle name="Percentuale 28 3 3 2" xfId="20929" xr:uid="{00000000-0005-0000-0000-000000CA0000}"/>
    <cellStyle name="Percentuale 28 3 4" xfId="20928" xr:uid="{00000000-0005-0000-0000-000001CA0000}"/>
    <cellStyle name="Percentuale 28 3 5" xfId="19922" xr:uid="{00000000-0005-0000-0000-000002CA0000}"/>
    <cellStyle name="Percentuale 28 4" xfId="11793" xr:uid="{00000000-0005-0000-0000-000003CA0000}"/>
    <cellStyle name="Percentuale 28 4 2" xfId="19925" xr:uid="{00000000-0005-0000-0000-000004CA0000}"/>
    <cellStyle name="Percentuale 28 4 2 2" xfId="20931" xr:uid="{00000000-0005-0000-0000-000005CA0000}"/>
    <cellStyle name="Percentuale 28 4 3" xfId="20930" xr:uid="{00000000-0005-0000-0000-000006CA0000}"/>
    <cellStyle name="Percentuale 28 4 4" xfId="19924" xr:uid="{00000000-0005-0000-0000-000007CA0000}"/>
    <cellStyle name="Percentuale 28 5" xfId="11794" xr:uid="{00000000-0005-0000-0000-000008CA0000}"/>
    <cellStyle name="Percentuale 29" xfId="2374" xr:uid="{00000000-0005-0000-0000-000009CA0000}"/>
    <cellStyle name="Percentuale 29 2" xfId="2375" xr:uid="{00000000-0005-0000-0000-00000ACA0000}"/>
    <cellStyle name="Percentuale 29 2 2" xfId="2376" xr:uid="{00000000-0005-0000-0000-00000BCA0000}"/>
    <cellStyle name="Percentuale 29 3" xfId="2377" xr:uid="{00000000-0005-0000-0000-00000CCA0000}"/>
    <cellStyle name="Percentuale 29 3 2" xfId="2378" xr:uid="{00000000-0005-0000-0000-00000DCA0000}"/>
    <cellStyle name="Percentuale 29 3 3" xfId="19927" xr:uid="{00000000-0005-0000-0000-00000ECA0000}"/>
    <cellStyle name="Percentuale 29 3 3 2" xfId="20933" xr:uid="{00000000-0005-0000-0000-00000FCA0000}"/>
    <cellStyle name="Percentuale 29 3 4" xfId="20932" xr:uid="{00000000-0005-0000-0000-000010CA0000}"/>
    <cellStyle name="Percentuale 29 3 5" xfId="19926" xr:uid="{00000000-0005-0000-0000-000011CA0000}"/>
    <cellStyle name="Percentuale 29 4" xfId="11795" xr:uid="{00000000-0005-0000-0000-000012CA0000}"/>
    <cellStyle name="Percentuale 29 4 2" xfId="19929" xr:uid="{00000000-0005-0000-0000-000013CA0000}"/>
    <cellStyle name="Percentuale 29 4 2 2" xfId="20935" xr:uid="{00000000-0005-0000-0000-000014CA0000}"/>
    <cellStyle name="Percentuale 29 4 3" xfId="20934" xr:uid="{00000000-0005-0000-0000-000015CA0000}"/>
    <cellStyle name="Percentuale 29 4 4" xfId="19928" xr:uid="{00000000-0005-0000-0000-000016CA0000}"/>
    <cellStyle name="Percentuale 29 5" xfId="11796" xr:uid="{00000000-0005-0000-0000-000017CA0000}"/>
    <cellStyle name="Percentuale 3" xfId="2379" xr:uid="{00000000-0005-0000-0000-000018CA0000}"/>
    <cellStyle name="Percentuale 3 2" xfId="2380" xr:uid="{00000000-0005-0000-0000-000019CA0000}"/>
    <cellStyle name="Percentuale 3 2 2" xfId="2381" xr:uid="{00000000-0005-0000-0000-00001ACA0000}"/>
    <cellStyle name="Percentuale 3 3" xfId="2382" xr:uid="{00000000-0005-0000-0000-00001BCA0000}"/>
    <cellStyle name="Percentuale 3 3 2" xfId="2383" xr:uid="{00000000-0005-0000-0000-00001CCA0000}"/>
    <cellStyle name="Percentuale 3 3 3" xfId="19931" xr:uid="{00000000-0005-0000-0000-00001DCA0000}"/>
    <cellStyle name="Percentuale 3 3 3 2" xfId="20937" xr:uid="{00000000-0005-0000-0000-00001ECA0000}"/>
    <cellStyle name="Percentuale 3 3 4" xfId="20936" xr:uid="{00000000-0005-0000-0000-00001FCA0000}"/>
    <cellStyle name="Percentuale 3 3 5" xfId="19930" xr:uid="{00000000-0005-0000-0000-000020CA0000}"/>
    <cellStyle name="Percentuale 3 4" xfId="11797" xr:uid="{00000000-0005-0000-0000-000021CA0000}"/>
    <cellStyle name="Percentuale 3 4 2" xfId="19933" xr:uid="{00000000-0005-0000-0000-000022CA0000}"/>
    <cellStyle name="Percentuale 3 4 2 2" xfId="20939" xr:uid="{00000000-0005-0000-0000-000023CA0000}"/>
    <cellStyle name="Percentuale 3 4 3" xfId="20938" xr:uid="{00000000-0005-0000-0000-000024CA0000}"/>
    <cellStyle name="Percentuale 3 4 4" xfId="19932" xr:uid="{00000000-0005-0000-0000-000025CA0000}"/>
    <cellStyle name="Percentuale 3 5" xfId="11798" xr:uid="{00000000-0005-0000-0000-000026CA0000}"/>
    <cellStyle name="Percentuale 30" xfId="2384" xr:uid="{00000000-0005-0000-0000-000027CA0000}"/>
    <cellStyle name="Percentuale 30 2" xfId="2385" xr:uid="{00000000-0005-0000-0000-000028CA0000}"/>
    <cellStyle name="Percentuale 30 2 2" xfId="2386" xr:uid="{00000000-0005-0000-0000-000029CA0000}"/>
    <cellStyle name="Percentuale 30 3" xfId="2387" xr:uid="{00000000-0005-0000-0000-00002ACA0000}"/>
    <cellStyle name="Percentuale 30 3 2" xfId="2388" xr:uid="{00000000-0005-0000-0000-00002BCA0000}"/>
    <cellStyle name="Percentuale 30 3 3" xfId="19935" xr:uid="{00000000-0005-0000-0000-00002CCA0000}"/>
    <cellStyle name="Percentuale 30 3 3 2" xfId="20941" xr:uid="{00000000-0005-0000-0000-00002DCA0000}"/>
    <cellStyle name="Percentuale 30 3 4" xfId="20940" xr:uid="{00000000-0005-0000-0000-00002ECA0000}"/>
    <cellStyle name="Percentuale 30 3 5" xfId="19934" xr:uid="{00000000-0005-0000-0000-00002FCA0000}"/>
    <cellStyle name="Percentuale 30 4" xfId="11799" xr:uid="{00000000-0005-0000-0000-000030CA0000}"/>
    <cellStyle name="Percentuale 30 4 2" xfId="19937" xr:uid="{00000000-0005-0000-0000-000031CA0000}"/>
    <cellStyle name="Percentuale 30 4 2 2" xfId="20943" xr:uid="{00000000-0005-0000-0000-000032CA0000}"/>
    <cellStyle name="Percentuale 30 4 3" xfId="20942" xr:uid="{00000000-0005-0000-0000-000033CA0000}"/>
    <cellStyle name="Percentuale 30 4 4" xfId="19936" xr:uid="{00000000-0005-0000-0000-000034CA0000}"/>
    <cellStyle name="Percentuale 30 5" xfId="11800" xr:uid="{00000000-0005-0000-0000-000035CA0000}"/>
    <cellStyle name="Percentuale 31" xfId="2389" xr:uid="{00000000-0005-0000-0000-000036CA0000}"/>
    <cellStyle name="Percentuale 31 2" xfId="2390" xr:uid="{00000000-0005-0000-0000-000037CA0000}"/>
    <cellStyle name="Percentuale 31 2 2" xfId="2391" xr:uid="{00000000-0005-0000-0000-000038CA0000}"/>
    <cellStyle name="Percentuale 31 3" xfId="2392" xr:uid="{00000000-0005-0000-0000-000039CA0000}"/>
    <cellStyle name="Percentuale 31 3 2" xfId="2393" xr:uid="{00000000-0005-0000-0000-00003ACA0000}"/>
    <cellStyle name="Percentuale 31 3 3" xfId="19939" xr:uid="{00000000-0005-0000-0000-00003BCA0000}"/>
    <cellStyle name="Percentuale 31 3 3 2" xfId="20945" xr:uid="{00000000-0005-0000-0000-00003CCA0000}"/>
    <cellStyle name="Percentuale 31 3 4" xfId="20944" xr:uid="{00000000-0005-0000-0000-00003DCA0000}"/>
    <cellStyle name="Percentuale 31 3 5" xfId="19938" xr:uid="{00000000-0005-0000-0000-00003ECA0000}"/>
    <cellStyle name="Percentuale 31 4" xfId="11801" xr:uid="{00000000-0005-0000-0000-00003FCA0000}"/>
    <cellStyle name="Percentuale 31 4 2" xfId="19941" xr:uid="{00000000-0005-0000-0000-000040CA0000}"/>
    <cellStyle name="Percentuale 31 4 2 2" xfId="20947" xr:uid="{00000000-0005-0000-0000-000041CA0000}"/>
    <cellStyle name="Percentuale 31 4 3" xfId="20946" xr:uid="{00000000-0005-0000-0000-000042CA0000}"/>
    <cellStyle name="Percentuale 31 4 4" xfId="19940" xr:uid="{00000000-0005-0000-0000-000043CA0000}"/>
    <cellStyle name="Percentuale 31 5" xfId="11802" xr:uid="{00000000-0005-0000-0000-000044CA0000}"/>
    <cellStyle name="Percentuale 32" xfId="2394" xr:uid="{00000000-0005-0000-0000-000045CA0000}"/>
    <cellStyle name="Percentuale 32 2" xfId="2395" xr:uid="{00000000-0005-0000-0000-000046CA0000}"/>
    <cellStyle name="Percentuale 32 2 2" xfId="2396" xr:uid="{00000000-0005-0000-0000-000047CA0000}"/>
    <cellStyle name="Percentuale 32 3" xfId="2397" xr:uid="{00000000-0005-0000-0000-000048CA0000}"/>
    <cellStyle name="Percentuale 32 3 2" xfId="2398" xr:uid="{00000000-0005-0000-0000-000049CA0000}"/>
    <cellStyle name="Percentuale 32 3 3" xfId="19943" xr:uid="{00000000-0005-0000-0000-00004ACA0000}"/>
    <cellStyle name="Percentuale 32 3 3 2" xfId="20949" xr:uid="{00000000-0005-0000-0000-00004BCA0000}"/>
    <cellStyle name="Percentuale 32 3 4" xfId="20948" xr:uid="{00000000-0005-0000-0000-00004CCA0000}"/>
    <cellStyle name="Percentuale 32 3 5" xfId="19942" xr:uid="{00000000-0005-0000-0000-00004DCA0000}"/>
    <cellStyle name="Percentuale 32 4" xfId="11803" xr:uid="{00000000-0005-0000-0000-00004ECA0000}"/>
    <cellStyle name="Percentuale 32 4 2" xfId="19945" xr:uid="{00000000-0005-0000-0000-00004FCA0000}"/>
    <cellStyle name="Percentuale 32 4 2 2" xfId="20951" xr:uid="{00000000-0005-0000-0000-000050CA0000}"/>
    <cellStyle name="Percentuale 32 4 3" xfId="20950" xr:uid="{00000000-0005-0000-0000-000051CA0000}"/>
    <cellStyle name="Percentuale 32 4 4" xfId="19944" xr:uid="{00000000-0005-0000-0000-000052CA0000}"/>
    <cellStyle name="Percentuale 32 5" xfId="11804" xr:uid="{00000000-0005-0000-0000-000053CA0000}"/>
    <cellStyle name="Percentuale 33" xfId="2399" xr:uid="{00000000-0005-0000-0000-000054CA0000}"/>
    <cellStyle name="Percentuale 33 2" xfId="2400" xr:uid="{00000000-0005-0000-0000-000055CA0000}"/>
    <cellStyle name="Percentuale 33 2 2" xfId="2401" xr:uid="{00000000-0005-0000-0000-000056CA0000}"/>
    <cellStyle name="Percentuale 33 3" xfId="2402" xr:uid="{00000000-0005-0000-0000-000057CA0000}"/>
    <cellStyle name="Percentuale 33 3 2" xfId="2403" xr:uid="{00000000-0005-0000-0000-000058CA0000}"/>
    <cellStyle name="Percentuale 33 3 3" xfId="19947" xr:uid="{00000000-0005-0000-0000-000059CA0000}"/>
    <cellStyle name="Percentuale 33 3 3 2" xfId="20953" xr:uid="{00000000-0005-0000-0000-00005ACA0000}"/>
    <cellStyle name="Percentuale 33 3 4" xfId="20952" xr:uid="{00000000-0005-0000-0000-00005BCA0000}"/>
    <cellStyle name="Percentuale 33 3 5" xfId="19946" xr:uid="{00000000-0005-0000-0000-00005CCA0000}"/>
    <cellStyle name="Percentuale 33 4" xfId="11805" xr:uid="{00000000-0005-0000-0000-00005DCA0000}"/>
    <cellStyle name="Percentuale 33 4 2" xfId="19949" xr:uid="{00000000-0005-0000-0000-00005ECA0000}"/>
    <cellStyle name="Percentuale 33 4 2 2" xfId="20955" xr:uid="{00000000-0005-0000-0000-00005FCA0000}"/>
    <cellStyle name="Percentuale 33 4 3" xfId="20954" xr:uid="{00000000-0005-0000-0000-000060CA0000}"/>
    <cellStyle name="Percentuale 33 4 4" xfId="19948" xr:uid="{00000000-0005-0000-0000-000061CA0000}"/>
    <cellStyle name="Percentuale 33 5" xfId="11806" xr:uid="{00000000-0005-0000-0000-000062CA0000}"/>
    <cellStyle name="Percentuale 34" xfId="2404" xr:uid="{00000000-0005-0000-0000-000063CA0000}"/>
    <cellStyle name="Percentuale 34 2" xfId="2405" xr:uid="{00000000-0005-0000-0000-000064CA0000}"/>
    <cellStyle name="Percentuale 34 2 2" xfId="2406" xr:uid="{00000000-0005-0000-0000-000065CA0000}"/>
    <cellStyle name="Percentuale 34 3" xfId="2407" xr:uid="{00000000-0005-0000-0000-000066CA0000}"/>
    <cellStyle name="Percentuale 34 3 2" xfId="2408" xr:uid="{00000000-0005-0000-0000-000067CA0000}"/>
    <cellStyle name="Percentuale 34 3 3" xfId="19951" xr:uid="{00000000-0005-0000-0000-000068CA0000}"/>
    <cellStyle name="Percentuale 34 3 3 2" xfId="20957" xr:uid="{00000000-0005-0000-0000-000069CA0000}"/>
    <cellStyle name="Percentuale 34 3 4" xfId="20956" xr:uid="{00000000-0005-0000-0000-00006ACA0000}"/>
    <cellStyle name="Percentuale 34 3 5" xfId="19950" xr:uid="{00000000-0005-0000-0000-00006BCA0000}"/>
    <cellStyle name="Percentuale 34 4" xfId="11807" xr:uid="{00000000-0005-0000-0000-00006CCA0000}"/>
    <cellStyle name="Percentuale 34 4 2" xfId="19953" xr:uid="{00000000-0005-0000-0000-00006DCA0000}"/>
    <cellStyle name="Percentuale 34 4 2 2" xfId="20959" xr:uid="{00000000-0005-0000-0000-00006ECA0000}"/>
    <cellStyle name="Percentuale 34 4 3" xfId="20958" xr:uid="{00000000-0005-0000-0000-00006FCA0000}"/>
    <cellStyle name="Percentuale 34 4 4" xfId="19952" xr:uid="{00000000-0005-0000-0000-000070CA0000}"/>
    <cellStyle name="Percentuale 34 5" xfId="11808" xr:uid="{00000000-0005-0000-0000-000071CA0000}"/>
    <cellStyle name="Percentuale 35" xfId="2409" xr:uid="{00000000-0005-0000-0000-000072CA0000}"/>
    <cellStyle name="Percentuale 35 2" xfId="2410" xr:uid="{00000000-0005-0000-0000-000073CA0000}"/>
    <cellStyle name="Percentuale 35 2 2" xfId="2411" xr:uid="{00000000-0005-0000-0000-000074CA0000}"/>
    <cellStyle name="Percentuale 35 3" xfId="2412" xr:uid="{00000000-0005-0000-0000-000075CA0000}"/>
    <cellStyle name="Percentuale 35 3 2" xfId="2413" xr:uid="{00000000-0005-0000-0000-000076CA0000}"/>
    <cellStyle name="Percentuale 35 3 3" xfId="19955" xr:uid="{00000000-0005-0000-0000-000077CA0000}"/>
    <cellStyle name="Percentuale 35 3 3 2" xfId="20961" xr:uid="{00000000-0005-0000-0000-000078CA0000}"/>
    <cellStyle name="Percentuale 35 3 4" xfId="20960" xr:uid="{00000000-0005-0000-0000-000079CA0000}"/>
    <cellStyle name="Percentuale 35 3 5" xfId="19954" xr:uid="{00000000-0005-0000-0000-00007ACA0000}"/>
    <cellStyle name="Percentuale 35 4" xfId="11809" xr:uid="{00000000-0005-0000-0000-00007BCA0000}"/>
    <cellStyle name="Percentuale 35 4 2" xfId="19957" xr:uid="{00000000-0005-0000-0000-00007CCA0000}"/>
    <cellStyle name="Percentuale 35 4 2 2" xfId="20963" xr:uid="{00000000-0005-0000-0000-00007DCA0000}"/>
    <cellStyle name="Percentuale 35 4 3" xfId="20962" xr:uid="{00000000-0005-0000-0000-00007ECA0000}"/>
    <cellStyle name="Percentuale 35 4 4" xfId="19956" xr:uid="{00000000-0005-0000-0000-00007FCA0000}"/>
    <cellStyle name="Percentuale 35 5" xfId="11810" xr:uid="{00000000-0005-0000-0000-000080CA0000}"/>
    <cellStyle name="Percentuale 36" xfId="2414" xr:uid="{00000000-0005-0000-0000-000081CA0000}"/>
    <cellStyle name="Percentuale 36 2" xfId="2415" xr:uid="{00000000-0005-0000-0000-000082CA0000}"/>
    <cellStyle name="Percentuale 36 2 2" xfId="2416" xr:uid="{00000000-0005-0000-0000-000083CA0000}"/>
    <cellStyle name="Percentuale 36 3" xfId="2417" xr:uid="{00000000-0005-0000-0000-000084CA0000}"/>
    <cellStyle name="Percentuale 36 3 2" xfId="2418" xr:uid="{00000000-0005-0000-0000-000085CA0000}"/>
    <cellStyle name="Percentuale 36 3 3" xfId="19959" xr:uid="{00000000-0005-0000-0000-000086CA0000}"/>
    <cellStyle name="Percentuale 36 3 3 2" xfId="20965" xr:uid="{00000000-0005-0000-0000-000087CA0000}"/>
    <cellStyle name="Percentuale 36 3 4" xfId="20964" xr:uid="{00000000-0005-0000-0000-000088CA0000}"/>
    <cellStyle name="Percentuale 36 3 5" xfId="19958" xr:uid="{00000000-0005-0000-0000-000089CA0000}"/>
    <cellStyle name="Percentuale 36 4" xfId="11811" xr:uid="{00000000-0005-0000-0000-00008ACA0000}"/>
    <cellStyle name="Percentuale 36 4 2" xfId="19961" xr:uid="{00000000-0005-0000-0000-00008BCA0000}"/>
    <cellStyle name="Percentuale 36 4 2 2" xfId="20967" xr:uid="{00000000-0005-0000-0000-00008CCA0000}"/>
    <cellStyle name="Percentuale 36 4 3" xfId="20966" xr:uid="{00000000-0005-0000-0000-00008DCA0000}"/>
    <cellStyle name="Percentuale 36 4 4" xfId="19960" xr:uid="{00000000-0005-0000-0000-00008ECA0000}"/>
    <cellStyle name="Percentuale 36 5" xfId="11812" xr:uid="{00000000-0005-0000-0000-00008FCA0000}"/>
    <cellStyle name="Percentuale 37" xfId="2419" xr:uid="{00000000-0005-0000-0000-000090CA0000}"/>
    <cellStyle name="Percentuale 37 2" xfId="2420" xr:uid="{00000000-0005-0000-0000-000091CA0000}"/>
    <cellStyle name="Percentuale 37 2 2" xfId="2421" xr:uid="{00000000-0005-0000-0000-000092CA0000}"/>
    <cellStyle name="Percentuale 37 3" xfId="2422" xr:uid="{00000000-0005-0000-0000-000093CA0000}"/>
    <cellStyle name="Percentuale 37 3 2" xfId="2423" xr:uid="{00000000-0005-0000-0000-000094CA0000}"/>
    <cellStyle name="Percentuale 37 3 3" xfId="19963" xr:uid="{00000000-0005-0000-0000-000095CA0000}"/>
    <cellStyle name="Percentuale 37 3 3 2" xfId="20969" xr:uid="{00000000-0005-0000-0000-000096CA0000}"/>
    <cellStyle name="Percentuale 37 3 4" xfId="20968" xr:uid="{00000000-0005-0000-0000-000097CA0000}"/>
    <cellStyle name="Percentuale 37 3 5" xfId="19962" xr:uid="{00000000-0005-0000-0000-000098CA0000}"/>
    <cellStyle name="Percentuale 37 4" xfId="11813" xr:uid="{00000000-0005-0000-0000-000099CA0000}"/>
    <cellStyle name="Percentuale 37 4 2" xfId="19965" xr:uid="{00000000-0005-0000-0000-00009ACA0000}"/>
    <cellStyle name="Percentuale 37 4 2 2" xfId="20971" xr:uid="{00000000-0005-0000-0000-00009BCA0000}"/>
    <cellStyle name="Percentuale 37 4 3" xfId="20970" xr:uid="{00000000-0005-0000-0000-00009CCA0000}"/>
    <cellStyle name="Percentuale 37 4 4" xfId="19964" xr:uid="{00000000-0005-0000-0000-00009DCA0000}"/>
    <cellStyle name="Percentuale 37 5" xfId="11814" xr:uid="{00000000-0005-0000-0000-00009ECA0000}"/>
    <cellStyle name="Percentuale 38" xfId="2424" xr:uid="{00000000-0005-0000-0000-00009FCA0000}"/>
    <cellStyle name="Percentuale 38 2" xfId="2425" xr:uid="{00000000-0005-0000-0000-0000A0CA0000}"/>
    <cellStyle name="Percentuale 38 2 2" xfId="2426" xr:uid="{00000000-0005-0000-0000-0000A1CA0000}"/>
    <cellStyle name="Percentuale 38 3" xfId="2427" xr:uid="{00000000-0005-0000-0000-0000A2CA0000}"/>
    <cellStyle name="Percentuale 38 3 2" xfId="2428" xr:uid="{00000000-0005-0000-0000-0000A3CA0000}"/>
    <cellStyle name="Percentuale 38 3 3" xfId="19967" xr:uid="{00000000-0005-0000-0000-0000A4CA0000}"/>
    <cellStyle name="Percentuale 38 3 3 2" xfId="20973" xr:uid="{00000000-0005-0000-0000-0000A5CA0000}"/>
    <cellStyle name="Percentuale 38 3 4" xfId="20972" xr:uid="{00000000-0005-0000-0000-0000A6CA0000}"/>
    <cellStyle name="Percentuale 38 3 5" xfId="19966" xr:uid="{00000000-0005-0000-0000-0000A7CA0000}"/>
    <cellStyle name="Percentuale 38 4" xfId="11815" xr:uid="{00000000-0005-0000-0000-0000A8CA0000}"/>
    <cellStyle name="Percentuale 38 4 2" xfId="19969" xr:uid="{00000000-0005-0000-0000-0000A9CA0000}"/>
    <cellStyle name="Percentuale 38 4 2 2" xfId="20975" xr:uid="{00000000-0005-0000-0000-0000AACA0000}"/>
    <cellStyle name="Percentuale 38 4 3" xfId="20974" xr:uid="{00000000-0005-0000-0000-0000ABCA0000}"/>
    <cellStyle name="Percentuale 38 4 4" xfId="19968" xr:uid="{00000000-0005-0000-0000-0000ACCA0000}"/>
    <cellStyle name="Percentuale 38 5" xfId="11816" xr:uid="{00000000-0005-0000-0000-0000ADCA0000}"/>
    <cellStyle name="Percentuale 39" xfId="2429" xr:uid="{00000000-0005-0000-0000-0000AECA0000}"/>
    <cellStyle name="Percentuale 39 2" xfId="2430" xr:uid="{00000000-0005-0000-0000-0000AFCA0000}"/>
    <cellStyle name="Percentuale 39 2 2" xfId="2431" xr:uid="{00000000-0005-0000-0000-0000B0CA0000}"/>
    <cellStyle name="Percentuale 39 3" xfId="2432" xr:uid="{00000000-0005-0000-0000-0000B1CA0000}"/>
    <cellStyle name="Percentuale 39 3 2" xfId="2433" xr:uid="{00000000-0005-0000-0000-0000B2CA0000}"/>
    <cellStyle name="Percentuale 39 3 3" xfId="19971" xr:uid="{00000000-0005-0000-0000-0000B3CA0000}"/>
    <cellStyle name="Percentuale 39 3 3 2" xfId="20977" xr:uid="{00000000-0005-0000-0000-0000B4CA0000}"/>
    <cellStyle name="Percentuale 39 3 4" xfId="20976" xr:uid="{00000000-0005-0000-0000-0000B5CA0000}"/>
    <cellStyle name="Percentuale 39 3 5" xfId="19970" xr:uid="{00000000-0005-0000-0000-0000B6CA0000}"/>
    <cellStyle name="Percentuale 39 4" xfId="11817" xr:uid="{00000000-0005-0000-0000-0000B7CA0000}"/>
    <cellStyle name="Percentuale 39 4 2" xfId="19973" xr:uid="{00000000-0005-0000-0000-0000B8CA0000}"/>
    <cellStyle name="Percentuale 39 4 2 2" xfId="20979" xr:uid="{00000000-0005-0000-0000-0000B9CA0000}"/>
    <cellStyle name="Percentuale 39 4 3" xfId="20978" xr:uid="{00000000-0005-0000-0000-0000BACA0000}"/>
    <cellStyle name="Percentuale 39 4 4" xfId="19972" xr:uid="{00000000-0005-0000-0000-0000BBCA0000}"/>
    <cellStyle name="Percentuale 39 5" xfId="11818" xr:uid="{00000000-0005-0000-0000-0000BCCA0000}"/>
    <cellStyle name="Percentuale 4" xfId="2434" xr:uid="{00000000-0005-0000-0000-0000BDCA0000}"/>
    <cellStyle name="Percentuale 4 2" xfId="2435" xr:uid="{00000000-0005-0000-0000-0000BECA0000}"/>
    <cellStyle name="Percentuale 4 2 2" xfId="2436" xr:uid="{00000000-0005-0000-0000-0000BFCA0000}"/>
    <cellStyle name="Percentuale 4 3" xfId="2437" xr:uid="{00000000-0005-0000-0000-0000C0CA0000}"/>
    <cellStyle name="Percentuale 4 3 2" xfId="2438" xr:uid="{00000000-0005-0000-0000-0000C1CA0000}"/>
    <cellStyle name="Percentuale 4 3 3" xfId="19975" xr:uid="{00000000-0005-0000-0000-0000C2CA0000}"/>
    <cellStyle name="Percentuale 4 3 3 2" xfId="20981" xr:uid="{00000000-0005-0000-0000-0000C3CA0000}"/>
    <cellStyle name="Percentuale 4 3 4" xfId="20980" xr:uid="{00000000-0005-0000-0000-0000C4CA0000}"/>
    <cellStyle name="Percentuale 4 3 5" xfId="19974" xr:uid="{00000000-0005-0000-0000-0000C5CA0000}"/>
    <cellStyle name="Percentuale 4 4" xfId="11819" xr:uid="{00000000-0005-0000-0000-0000C6CA0000}"/>
    <cellStyle name="Percentuale 4 4 2" xfId="19977" xr:uid="{00000000-0005-0000-0000-0000C7CA0000}"/>
    <cellStyle name="Percentuale 4 4 2 2" xfId="20983" xr:uid="{00000000-0005-0000-0000-0000C8CA0000}"/>
    <cellStyle name="Percentuale 4 4 3" xfId="20982" xr:uid="{00000000-0005-0000-0000-0000C9CA0000}"/>
    <cellStyle name="Percentuale 4 4 4" xfId="19976" xr:uid="{00000000-0005-0000-0000-0000CACA0000}"/>
    <cellStyle name="Percentuale 4 5" xfId="11820" xr:uid="{00000000-0005-0000-0000-0000CBCA0000}"/>
    <cellStyle name="Percentuale 40" xfId="2439" xr:uid="{00000000-0005-0000-0000-0000CCCA0000}"/>
    <cellStyle name="Percentuale 40 2" xfId="2440" xr:uid="{00000000-0005-0000-0000-0000CDCA0000}"/>
    <cellStyle name="Percentuale 40 2 2" xfId="2441" xr:uid="{00000000-0005-0000-0000-0000CECA0000}"/>
    <cellStyle name="Percentuale 40 3" xfId="2442" xr:uid="{00000000-0005-0000-0000-0000CFCA0000}"/>
    <cellStyle name="Percentuale 40 3 2" xfId="2443" xr:uid="{00000000-0005-0000-0000-0000D0CA0000}"/>
    <cellStyle name="Percentuale 40 3 3" xfId="19979" xr:uid="{00000000-0005-0000-0000-0000D1CA0000}"/>
    <cellStyle name="Percentuale 40 3 3 2" xfId="20985" xr:uid="{00000000-0005-0000-0000-0000D2CA0000}"/>
    <cellStyle name="Percentuale 40 3 4" xfId="20984" xr:uid="{00000000-0005-0000-0000-0000D3CA0000}"/>
    <cellStyle name="Percentuale 40 3 5" xfId="19978" xr:uid="{00000000-0005-0000-0000-0000D4CA0000}"/>
    <cellStyle name="Percentuale 40 4" xfId="11821" xr:uid="{00000000-0005-0000-0000-0000D5CA0000}"/>
    <cellStyle name="Percentuale 40 4 2" xfId="19981" xr:uid="{00000000-0005-0000-0000-0000D6CA0000}"/>
    <cellStyle name="Percentuale 40 4 2 2" xfId="20987" xr:uid="{00000000-0005-0000-0000-0000D7CA0000}"/>
    <cellStyle name="Percentuale 40 4 3" xfId="20986" xr:uid="{00000000-0005-0000-0000-0000D8CA0000}"/>
    <cellStyle name="Percentuale 40 4 4" xfId="19980" xr:uid="{00000000-0005-0000-0000-0000D9CA0000}"/>
    <cellStyle name="Percentuale 40 5" xfId="11822" xr:uid="{00000000-0005-0000-0000-0000DACA0000}"/>
    <cellStyle name="Percentuale 41" xfId="2444" xr:uid="{00000000-0005-0000-0000-0000DBCA0000}"/>
    <cellStyle name="Percentuale 41 2" xfId="2445" xr:uid="{00000000-0005-0000-0000-0000DCCA0000}"/>
    <cellStyle name="Percentuale 41 2 2" xfId="2446" xr:uid="{00000000-0005-0000-0000-0000DDCA0000}"/>
    <cellStyle name="Percentuale 41 3" xfId="2447" xr:uid="{00000000-0005-0000-0000-0000DECA0000}"/>
    <cellStyle name="Percentuale 41 3 2" xfId="2448" xr:uid="{00000000-0005-0000-0000-0000DFCA0000}"/>
    <cellStyle name="Percentuale 41 3 3" xfId="19983" xr:uid="{00000000-0005-0000-0000-0000E0CA0000}"/>
    <cellStyle name="Percentuale 41 3 3 2" xfId="20989" xr:uid="{00000000-0005-0000-0000-0000E1CA0000}"/>
    <cellStyle name="Percentuale 41 3 4" xfId="20988" xr:uid="{00000000-0005-0000-0000-0000E2CA0000}"/>
    <cellStyle name="Percentuale 41 3 5" xfId="19982" xr:uid="{00000000-0005-0000-0000-0000E3CA0000}"/>
    <cellStyle name="Percentuale 41 4" xfId="11823" xr:uid="{00000000-0005-0000-0000-0000E4CA0000}"/>
    <cellStyle name="Percentuale 41 4 2" xfId="19985" xr:uid="{00000000-0005-0000-0000-0000E5CA0000}"/>
    <cellStyle name="Percentuale 41 4 2 2" xfId="20991" xr:uid="{00000000-0005-0000-0000-0000E6CA0000}"/>
    <cellStyle name="Percentuale 41 4 3" xfId="20990" xr:uid="{00000000-0005-0000-0000-0000E7CA0000}"/>
    <cellStyle name="Percentuale 41 4 4" xfId="19984" xr:uid="{00000000-0005-0000-0000-0000E8CA0000}"/>
    <cellStyle name="Percentuale 41 5" xfId="11824" xr:uid="{00000000-0005-0000-0000-0000E9CA0000}"/>
    <cellStyle name="Percentuale 42" xfId="2449" xr:uid="{00000000-0005-0000-0000-0000EACA0000}"/>
    <cellStyle name="Percentuale 42 2" xfId="2450" xr:uid="{00000000-0005-0000-0000-0000EBCA0000}"/>
    <cellStyle name="Percentuale 42 2 2" xfId="2451" xr:uid="{00000000-0005-0000-0000-0000ECCA0000}"/>
    <cellStyle name="Percentuale 42 3" xfId="2452" xr:uid="{00000000-0005-0000-0000-0000EDCA0000}"/>
    <cellStyle name="Percentuale 42 3 2" xfId="2453" xr:uid="{00000000-0005-0000-0000-0000EECA0000}"/>
    <cellStyle name="Percentuale 42 3 3" xfId="19987" xr:uid="{00000000-0005-0000-0000-0000EFCA0000}"/>
    <cellStyle name="Percentuale 42 3 3 2" xfId="20993" xr:uid="{00000000-0005-0000-0000-0000F0CA0000}"/>
    <cellStyle name="Percentuale 42 3 4" xfId="20992" xr:uid="{00000000-0005-0000-0000-0000F1CA0000}"/>
    <cellStyle name="Percentuale 42 3 5" xfId="19986" xr:uid="{00000000-0005-0000-0000-0000F2CA0000}"/>
    <cellStyle name="Percentuale 42 4" xfId="11825" xr:uid="{00000000-0005-0000-0000-0000F3CA0000}"/>
    <cellStyle name="Percentuale 42 4 2" xfId="19989" xr:uid="{00000000-0005-0000-0000-0000F4CA0000}"/>
    <cellStyle name="Percentuale 42 4 2 2" xfId="20995" xr:uid="{00000000-0005-0000-0000-0000F5CA0000}"/>
    <cellStyle name="Percentuale 42 4 3" xfId="20994" xr:uid="{00000000-0005-0000-0000-0000F6CA0000}"/>
    <cellStyle name="Percentuale 42 4 4" xfId="19988" xr:uid="{00000000-0005-0000-0000-0000F7CA0000}"/>
    <cellStyle name="Percentuale 42 5" xfId="11826" xr:uid="{00000000-0005-0000-0000-0000F8CA0000}"/>
    <cellStyle name="Percentuale 43" xfId="2454" xr:uid="{00000000-0005-0000-0000-0000F9CA0000}"/>
    <cellStyle name="Percentuale 43 2" xfId="2455" xr:uid="{00000000-0005-0000-0000-0000FACA0000}"/>
    <cellStyle name="Percentuale 43 2 2" xfId="2456" xr:uid="{00000000-0005-0000-0000-0000FBCA0000}"/>
    <cellStyle name="Percentuale 43 3" xfId="2457" xr:uid="{00000000-0005-0000-0000-0000FCCA0000}"/>
    <cellStyle name="Percentuale 43 3 2" xfId="2458" xr:uid="{00000000-0005-0000-0000-0000FDCA0000}"/>
    <cellStyle name="Percentuale 43 3 3" xfId="19991" xr:uid="{00000000-0005-0000-0000-0000FECA0000}"/>
    <cellStyle name="Percentuale 43 3 3 2" xfId="20997" xr:uid="{00000000-0005-0000-0000-0000FFCA0000}"/>
    <cellStyle name="Percentuale 43 3 4" xfId="20996" xr:uid="{00000000-0005-0000-0000-000000CB0000}"/>
    <cellStyle name="Percentuale 43 3 5" xfId="19990" xr:uid="{00000000-0005-0000-0000-000001CB0000}"/>
    <cellStyle name="Percentuale 43 4" xfId="11827" xr:uid="{00000000-0005-0000-0000-000002CB0000}"/>
    <cellStyle name="Percentuale 43 4 2" xfId="19993" xr:uid="{00000000-0005-0000-0000-000003CB0000}"/>
    <cellStyle name="Percentuale 43 4 2 2" xfId="20999" xr:uid="{00000000-0005-0000-0000-000004CB0000}"/>
    <cellStyle name="Percentuale 43 4 3" xfId="20998" xr:uid="{00000000-0005-0000-0000-000005CB0000}"/>
    <cellStyle name="Percentuale 43 4 4" xfId="19992" xr:uid="{00000000-0005-0000-0000-000006CB0000}"/>
    <cellStyle name="Percentuale 43 5" xfId="11828" xr:uid="{00000000-0005-0000-0000-000007CB0000}"/>
    <cellStyle name="Percentuale 44" xfId="2459" xr:uid="{00000000-0005-0000-0000-000008CB0000}"/>
    <cellStyle name="Percentuale 44 2" xfId="2460" xr:uid="{00000000-0005-0000-0000-000009CB0000}"/>
    <cellStyle name="Percentuale 44 2 2" xfId="2461" xr:uid="{00000000-0005-0000-0000-00000ACB0000}"/>
    <cellStyle name="Percentuale 44 3" xfId="2462" xr:uid="{00000000-0005-0000-0000-00000BCB0000}"/>
    <cellStyle name="Percentuale 44 3 2" xfId="2463" xr:uid="{00000000-0005-0000-0000-00000CCB0000}"/>
    <cellStyle name="Percentuale 44 3 3" xfId="19995" xr:uid="{00000000-0005-0000-0000-00000DCB0000}"/>
    <cellStyle name="Percentuale 44 3 3 2" xfId="21001" xr:uid="{00000000-0005-0000-0000-00000ECB0000}"/>
    <cellStyle name="Percentuale 44 3 4" xfId="21000" xr:uid="{00000000-0005-0000-0000-00000FCB0000}"/>
    <cellStyle name="Percentuale 44 3 5" xfId="19994" xr:uid="{00000000-0005-0000-0000-000010CB0000}"/>
    <cellStyle name="Percentuale 44 4" xfId="11829" xr:uid="{00000000-0005-0000-0000-000011CB0000}"/>
    <cellStyle name="Percentuale 44 4 2" xfId="19997" xr:uid="{00000000-0005-0000-0000-000012CB0000}"/>
    <cellStyle name="Percentuale 44 4 2 2" xfId="21003" xr:uid="{00000000-0005-0000-0000-000013CB0000}"/>
    <cellStyle name="Percentuale 44 4 3" xfId="21002" xr:uid="{00000000-0005-0000-0000-000014CB0000}"/>
    <cellStyle name="Percentuale 44 4 4" xfId="19996" xr:uid="{00000000-0005-0000-0000-000015CB0000}"/>
    <cellStyle name="Percentuale 44 5" xfId="11830" xr:uid="{00000000-0005-0000-0000-000016CB0000}"/>
    <cellStyle name="Percentuale 45" xfId="2464" xr:uid="{00000000-0005-0000-0000-000017CB0000}"/>
    <cellStyle name="Percentuale 45 2" xfId="2465" xr:uid="{00000000-0005-0000-0000-000018CB0000}"/>
    <cellStyle name="Percentuale 45 2 2" xfId="2466" xr:uid="{00000000-0005-0000-0000-000019CB0000}"/>
    <cellStyle name="Percentuale 45 3" xfId="2467" xr:uid="{00000000-0005-0000-0000-00001ACB0000}"/>
    <cellStyle name="Percentuale 45 3 2" xfId="2468" xr:uid="{00000000-0005-0000-0000-00001BCB0000}"/>
    <cellStyle name="Percentuale 45 3 3" xfId="19999" xr:uid="{00000000-0005-0000-0000-00001CCB0000}"/>
    <cellStyle name="Percentuale 45 3 3 2" xfId="21005" xr:uid="{00000000-0005-0000-0000-00001DCB0000}"/>
    <cellStyle name="Percentuale 45 3 4" xfId="21004" xr:uid="{00000000-0005-0000-0000-00001ECB0000}"/>
    <cellStyle name="Percentuale 45 3 5" xfId="19998" xr:uid="{00000000-0005-0000-0000-00001FCB0000}"/>
    <cellStyle name="Percentuale 45 4" xfId="11831" xr:uid="{00000000-0005-0000-0000-000020CB0000}"/>
    <cellStyle name="Percentuale 45 4 2" xfId="20001" xr:uid="{00000000-0005-0000-0000-000021CB0000}"/>
    <cellStyle name="Percentuale 45 4 2 2" xfId="21007" xr:uid="{00000000-0005-0000-0000-000022CB0000}"/>
    <cellStyle name="Percentuale 45 4 3" xfId="21006" xr:uid="{00000000-0005-0000-0000-000023CB0000}"/>
    <cellStyle name="Percentuale 45 4 4" xfId="20000" xr:uid="{00000000-0005-0000-0000-000024CB0000}"/>
    <cellStyle name="Percentuale 45 5" xfId="11832" xr:uid="{00000000-0005-0000-0000-000025CB0000}"/>
    <cellStyle name="Percentuale 46" xfId="2469" xr:uid="{00000000-0005-0000-0000-000026CB0000}"/>
    <cellStyle name="Percentuale 46 2" xfId="2470" xr:uid="{00000000-0005-0000-0000-000027CB0000}"/>
    <cellStyle name="Percentuale 46 2 2" xfId="2471" xr:uid="{00000000-0005-0000-0000-000028CB0000}"/>
    <cellStyle name="Percentuale 46 3" xfId="2472" xr:uid="{00000000-0005-0000-0000-000029CB0000}"/>
    <cellStyle name="Percentuale 46 3 2" xfId="2473" xr:uid="{00000000-0005-0000-0000-00002ACB0000}"/>
    <cellStyle name="Percentuale 46 3 3" xfId="20003" xr:uid="{00000000-0005-0000-0000-00002BCB0000}"/>
    <cellStyle name="Percentuale 46 3 3 2" xfId="21009" xr:uid="{00000000-0005-0000-0000-00002CCB0000}"/>
    <cellStyle name="Percentuale 46 3 4" xfId="21008" xr:uid="{00000000-0005-0000-0000-00002DCB0000}"/>
    <cellStyle name="Percentuale 46 3 5" xfId="20002" xr:uid="{00000000-0005-0000-0000-00002ECB0000}"/>
    <cellStyle name="Percentuale 46 4" xfId="11833" xr:uid="{00000000-0005-0000-0000-00002FCB0000}"/>
    <cellStyle name="Percentuale 46 4 2" xfId="20005" xr:uid="{00000000-0005-0000-0000-000030CB0000}"/>
    <cellStyle name="Percentuale 46 4 2 2" xfId="21011" xr:uid="{00000000-0005-0000-0000-000031CB0000}"/>
    <cellStyle name="Percentuale 46 4 3" xfId="21010" xr:uid="{00000000-0005-0000-0000-000032CB0000}"/>
    <cellStyle name="Percentuale 46 4 4" xfId="20004" xr:uid="{00000000-0005-0000-0000-000033CB0000}"/>
    <cellStyle name="Percentuale 46 5" xfId="11834" xr:uid="{00000000-0005-0000-0000-000034CB0000}"/>
    <cellStyle name="Percentuale 47" xfId="2474" xr:uid="{00000000-0005-0000-0000-000035CB0000}"/>
    <cellStyle name="Percentuale 47 2" xfId="2475" xr:uid="{00000000-0005-0000-0000-000036CB0000}"/>
    <cellStyle name="Percentuale 47 2 2" xfId="2476" xr:uid="{00000000-0005-0000-0000-000037CB0000}"/>
    <cellStyle name="Percentuale 47 3" xfId="2477" xr:uid="{00000000-0005-0000-0000-000038CB0000}"/>
    <cellStyle name="Percentuale 47 3 2" xfId="2478" xr:uid="{00000000-0005-0000-0000-000039CB0000}"/>
    <cellStyle name="Percentuale 47 3 3" xfId="20007" xr:uid="{00000000-0005-0000-0000-00003ACB0000}"/>
    <cellStyle name="Percentuale 47 3 3 2" xfId="21013" xr:uid="{00000000-0005-0000-0000-00003BCB0000}"/>
    <cellStyle name="Percentuale 47 3 4" xfId="21012" xr:uid="{00000000-0005-0000-0000-00003CCB0000}"/>
    <cellStyle name="Percentuale 47 3 5" xfId="20006" xr:uid="{00000000-0005-0000-0000-00003DCB0000}"/>
    <cellStyle name="Percentuale 47 4" xfId="11835" xr:uid="{00000000-0005-0000-0000-00003ECB0000}"/>
    <cellStyle name="Percentuale 47 4 2" xfId="20009" xr:uid="{00000000-0005-0000-0000-00003FCB0000}"/>
    <cellStyle name="Percentuale 47 4 2 2" xfId="21015" xr:uid="{00000000-0005-0000-0000-000040CB0000}"/>
    <cellStyle name="Percentuale 47 4 3" xfId="21014" xr:uid="{00000000-0005-0000-0000-000041CB0000}"/>
    <cellStyle name="Percentuale 47 4 4" xfId="20008" xr:uid="{00000000-0005-0000-0000-000042CB0000}"/>
    <cellStyle name="Percentuale 47 5" xfId="11836" xr:uid="{00000000-0005-0000-0000-000043CB0000}"/>
    <cellStyle name="Percentuale 48" xfId="2479" xr:uid="{00000000-0005-0000-0000-000044CB0000}"/>
    <cellStyle name="Percentuale 48 2" xfId="2480" xr:uid="{00000000-0005-0000-0000-000045CB0000}"/>
    <cellStyle name="Percentuale 48 2 2" xfId="2481" xr:uid="{00000000-0005-0000-0000-000046CB0000}"/>
    <cellStyle name="Percentuale 48 3" xfId="2482" xr:uid="{00000000-0005-0000-0000-000047CB0000}"/>
    <cellStyle name="Percentuale 48 3 2" xfId="2483" xr:uid="{00000000-0005-0000-0000-000048CB0000}"/>
    <cellStyle name="Percentuale 48 3 3" xfId="20011" xr:uid="{00000000-0005-0000-0000-000049CB0000}"/>
    <cellStyle name="Percentuale 48 3 3 2" xfId="21017" xr:uid="{00000000-0005-0000-0000-00004ACB0000}"/>
    <cellStyle name="Percentuale 48 3 4" xfId="21016" xr:uid="{00000000-0005-0000-0000-00004BCB0000}"/>
    <cellStyle name="Percentuale 48 3 5" xfId="20010" xr:uid="{00000000-0005-0000-0000-00004CCB0000}"/>
    <cellStyle name="Percentuale 48 4" xfId="11837" xr:uid="{00000000-0005-0000-0000-00004DCB0000}"/>
    <cellStyle name="Percentuale 48 4 2" xfId="20013" xr:uid="{00000000-0005-0000-0000-00004ECB0000}"/>
    <cellStyle name="Percentuale 48 4 2 2" xfId="21019" xr:uid="{00000000-0005-0000-0000-00004FCB0000}"/>
    <cellStyle name="Percentuale 48 4 3" xfId="21018" xr:uid="{00000000-0005-0000-0000-000050CB0000}"/>
    <cellStyle name="Percentuale 48 4 4" xfId="20012" xr:uid="{00000000-0005-0000-0000-000051CB0000}"/>
    <cellStyle name="Percentuale 48 5" xfId="11838" xr:uid="{00000000-0005-0000-0000-000052CB0000}"/>
    <cellStyle name="Percentuale 49" xfId="2484" xr:uid="{00000000-0005-0000-0000-000053CB0000}"/>
    <cellStyle name="Percentuale 49 2" xfId="2485" xr:uid="{00000000-0005-0000-0000-000054CB0000}"/>
    <cellStyle name="Percentuale 49 2 2" xfId="2486" xr:uid="{00000000-0005-0000-0000-000055CB0000}"/>
    <cellStyle name="Percentuale 49 3" xfId="2487" xr:uid="{00000000-0005-0000-0000-000056CB0000}"/>
    <cellStyle name="Percentuale 49 3 2" xfId="2488" xr:uid="{00000000-0005-0000-0000-000057CB0000}"/>
    <cellStyle name="Percentuale 49 3 3" xfId="20015" xr:uid="{00000000-0005-0000-0000-000058CB0000}"/>
    <cellStyle name="Percentuale 49 3 3 2" xfId="21021" xr:uid="{00000000-0005-0000-0000-000059CB0000}"/>
    <cellStyle name="Percentuale 49 3 4" xfId="21020" xr:uid="{00000000-0005-0000-0000-00005ACB0000}"/>
    <cellStyle name="Percentuale 49 3 5" xfId="20014" xr:uid="{00000000-0005-0000-0000-00005BCB0000}"/>
    <cellStyle name="Percentuale 49 4" xfId="11839" xr:uid="{00000000-0005-0000-0000-00005CCB0000}"/>
    <cellStyle name="Percentuale 49 4 2" xfId="20017" xr:uid="{00000000-0005-0000-0000-00005DCB0000}"/>
    <cellStyle name="Percentuale 49 4 2 2" xfId="21023" xr:uid="{00000000-0005-0000-0000-00005ECB0000}"/>
    <cellStyle name="Percentuale 49 4 3" xfId="21022" xr:uid="{00000000-0005-0000-0000-00005FCB0000}"/>
    <cellStyle name="Percentuale 49 4 4" xfId="20016" xr:uid="{00000000-0005-0000-0000-000060CB0000}"/>
    <cellStyle name="Percentuale 49 5" xfId="11840" xr:uid="{00000000-0005-0000-0000-000061CB0000}"/>
    <cellStyle name="Percentuale 5" xfId="2489" xr:uid="{00000000-0005-0000-0000-000062CB0000}"/>
    <cellStyle name="Percentuale 5 2" xfId="2490" xr:uid="{00000000-0005-0000-0000-000063CB0000}"/>
    <cellStyle name="Percentuale 5 2 2" xfId="2491" xr:uid="{00000000-0005-0000-0000-000064CB0000}"/>
    <cellStyle name="Percentuale 5 3" xfId="2492" xr:uid="{00000000-0005-0000-0000-000065CB0000}"/>
    <cellStyle name="Percentuale 5 3 2" xfId="2493" xr:uid="{00000000-0005-0000-0000-000066CB0000}"/>
    <cellStyle name="Percentuale 5 3 3" xfId="20019" xr:uid="{00000000-0005-0000-0000-000067CB0000}"/>
    <cellStyle name="Percentuale 5 3 3 2" xfId="21025" xr:uid="{00000000-0005-0000-0000-000068CB0000}"/>
    <cellStyle name="Percentuale 5 3 4" xfId="21024" xr:uid="{00000000-0005-0000-0000-000069CB0000}"/>
    <cellStyle name="Percentuale 5 3 5" xfId="20018" xr:uid="{00000000-0005-0000-0000-00006ACB0000}"/>
    <cellStyle name="Percentuale 5 4" xfId="11841" xr:uid="{00000000-0005-0000-0000-00006BCB0000}"/>
    <cellStyle name="Percentuale 5 4 2" xfId="20021" xr:uid="{00000000-0005-0000-0000-00006CCB0000}"/>
    <cellStyle name="Percentuale 5 4 2 2" xfId="21027" xr:uid="{00000000-0005-0000-0000-00006DCB0000}"/>
    <cellStyle name="Percentuale 5 4 3" xfId="21026" xr:uid="{00000000-0005-0000-0000-00006ECB0000}"/>
    <cellStyle name="Percentuale 5 4 4" xfId="20020" xr:uid="{00000000-0005-0000-0000-00006FCB0000}"/>
    <cellStyle name="Percentuale 5 5" xfId="11842" xr:uid="{00000000-0005-0000-0000-000070CB0000}"/>
    <cellStyle name="Percentuale 50" xfId="2494" xr:uid="{00000000-0005-0000-0000-000071CB0000}"/>
    <cellStyle name="Percentuale 50 2" xfId="2495" xr:uid="{00000000-0005-0000-0000-000072CB0000}"/>
    <cellStyle name="Percentuale 50 2 2" xfId="2496" xr:uid="{00000000-0005-0000-0000-000073CB0000}"/>
    <cellStyle name="Percentuale 50 3" xfId="2497" xr:uid="{00000000-0005-0000-0000-000074CB0000}"/>
    <cellStyle name="Percentuale 50 3 2" xfId="2498" xr:uid="{00000000-0005-0000-0000-000075CB0000}"/>
    <cellStyle name="Percentuale 50 3 3" xfId="20023" xr:uid="{00000000-0005-0000-0000-000076CB0000}"/>
    <cellStyle name="Percentuale 50 3 3 2" xfId="21029" xr:uid="{00000000-0005-0000-0000-000077CB0000}"/>
    <cellStyle name="Percentuale 50 3 4" xfId="21028" xr:uid="{00000000-0005-0000-0000-000078CB0000}"/>
    <cellStyle name="Percentuale 50 3 5" xfId="20022" xr:uid="{00000000-0005-0000-0000-000079CB0000}"/>
    <cellStyle name="Percentuale 50 4" xfId="11843" xr:uid="{00000000-0005-0000-0000-00007ACB0000}"/>
    <cellStyle name="Percentuale 50 4 2" xfId="20025" xr:uid="{00000000-0005-0000-0000-00007BCB0000}"/>
    <cellStyle name="Percentuale 50 4 2 2" xfId="21031" xr:uid="{00000000-0005-0000-0000-00007CCB0000}"/>
    <cellStyle name="Percentuale 50 4 3" xfId="21030" xr:uid="{00000000-0005-0000-0000-00007DCB0000}"/>
    <cellStyle name="Percentuale 50 4 4" xfId="20024" xr:uid="{00000000-0005-0000-0000-00007ECB0000}"/>
    <cellStyle name="Percentuale 50 5" xfId="11844" xr:uid="{00000000-0005-0000-0000-00007FCB0000}"/>
    <cellStyle name="Percentuale 51" xfId="2499" xr:uid="{00000000-0005-0000-0000-000080CB0000}"/>
    <cellStyle name="Percentuale 51 2" xfId="2500" xr:uid="{00000000-0005-0000-0000-000081CB0000}"/>
    <cellStyle name="Percentuale 51 2 2" xfId="2501" xr:uid="{00000000-0005-0000-0000-000082CB0000}"/>
    <cellStyle name="Percentuale 51 3" xfId="2502" xr:uid="{00000000-0005-0000-0000-000083CB0000}"/>
    <cellStyle name="Percentuale 51 3 2" xfId="2503" xr:uid="{00000000-0005-0000-0000-000084CB0000}"/>
    <cellStyle name="Percentuale 51 3 3" xfId="20027" xr:uid="{00000000-0005-0000-0000-000085CB0000}"/>
    <cellStyle name="Percentuale 51 3 3 2" xfId="21033" xr:uid="{00000000-0005-0000-0000-000086CB0000}"/>
    <cellStyle name="Percentuale 51 3 4" xfId="21032" xr:uid="{00000000-0005-0000-0000-000087CB0000}"/>
    <cellStyle name="Percentuale 51 3 5" xfId="20026" xr:uid="{00000000-0005-0000-0000-000088CB0000}"/>
    <cellStyle name="Percentuale 51 4" xfId="11845" xr:uid="{00000000-0005-0000-0000-000089CB0000}"/>
    <cellStyle name="Percentuale 51 4 2" xfId="20029" xr:uid="{00000000-0005-0000-0000-00008ACB0000}"/>
    <cellStyle name="Percentuale 51 4 2 2" xfId="21035" xr:uid="{00000000-0005-0000-0000-00008BCB0000}"/>
    <cellStyle name="Percentuale 51 4 3" xfId="21034" xr:uid="{00000000-0005-0000-0000-00008CCB0000}"/>
    <cellStyle name="Percentuale 51 4 4" xfId="20028" xr:uid="{00000000-0005-0000-0000-00008DCB0000}"/>
    <cellStyle name="Percentuale 51 5" xfId="11846" xr:uid="{00000000-0005-0000-0000-00008ECB0000}"/>
    <cellStyle name="Percentuale 52" xfId="2504" xr:uid="{00000000-0005-0000-0000-00008FCB0000}"/>
    <cellStyle name="Percentuale 52 2" xfId="2505" xr:uid="{00000000-0005-0000-0000-000090CB0000}"/>
    <cellStyle name="Percentuale 52 2 2" xfId="2506" xr:uid="{00000000-0005-0000-0000-000091CB0000}"/>
    <cellStyle name="Percentuale 52 3" xfId="2507" xr:uid="{00000000-0005-0000-0000-000092CB0000}"/>
    <cellStyle name="Percentuale 52 3 2" xfId="2508" xr:uid="{00000000-0005-0000-0000-000093CB0000}"/>
    <cellStyle name="Percentuale 52 3 3" xfId="20031" xr:uid="{00000000-0005-0000-0000-000094CB0000}"/>
    <cellStyle name="Percentuale 52 3 3 2" xfId="21037" xr:uid="{00000000-0005-0000-0000-000095CB0000}"/>
    <cellStyle name="Percentuale 52 3 4" xfId="21036" xr:uid="{00000000-0005-0000-0000-000096CB0000}"/>
    <cellStyle name="Percentuale 52 3 5" xfId="20030" xr:uid="{00000000-0005-0000-0000-000097CB0000}"/>
    <cellStyle name="Percentuale 52 4" xfId="11847" xr:uid="{00000000-0005-0000-0000-000098CB0000}"/>
    <cellStyle name="Percentuale 52 4 2" xfId="20033" xr:uid="{00000000-0005-0000-0000-000099CB0000}"/>
    <cellStyle name="Percentuale 52 4 2 2" xfId="21039" xr:uid="{00000000-0005-0000-0000-00009ACB0000}"/>
    <cellStyle name="Percentuale 52 4 3" xfId="21038" xr:uid="{00000000-0005-0000-0000-00009BCB0000}"/>
    <cellStyle name="Percentuale 52 4 4" xfId="20032" xr:uid="{00000000-0005-0000-0000-00009CCB0000}"/>
    <cellStyle name="Percentuale 52 5" xfId="11848" xr:uid="{00000000-0005-0000-0000-00009DCB0000}"/>
    <cellStyle name="Percentuale 53" xfId="2509" xr:uid="{00000000-0005-0000-0000-00009ECB0000}"/>
    <cellStyle name="Percentuale 53 2" xfId="2510" xr:uid="{00000000-0005-0000-0000-00009FCB0000}"/>
    <cellStyle name="Percentuale 53 2 2" xfId="2511" xr:uid="{00000000-0005-0000-0000-0000A0CB0000}"/>
    <cellStyle name="Percentuale 53 3" xfId="2512" xr:uid="{00000000-0005-0000-0000-0000A1CB0000}"/>
    <cellStyle name="Percentuale 53 3 2" xfId="2513" xr:uid="{00000000-0005-0000-0000-0000A2CB0000}"/>
    <cellStyle name="Percentuale 53 3 3" xfId="20035" xr:uid="{00000000-0005-0000-0000-0000A3CB0000}"/>
    <cellStyle name="Percentuale 53 3 3 2" xfId="21041" xr:uid="{00000000-0005-0000-0000-0000A4CB0000}"/>
    <cellStyle name="Percentuale 53 3 4" xfId="21040" xr:uid="{00000000-0005-0000-0000-0000A5CB0000}"/>
    <cellStyle name="Percentuale 53 3 5" xfId="20034" xr:uid="{00000000-0005-0000-0000-0000A6CB0000}"/>
    <cellStyle name="Percentuale 53 4" xfId="11849" xr:uid="{00000000-0005-0000-0000-0000A7CB0000}"/>
    <cellStyle name="Percentuale 53 4 2" xfId="20037" xr:uid="{00000000-0005-0000-0000-0000A8CB0000}"/>
    <cellStyle name="Percentuale 53 4 2 2" xfId="21043" xr:uid="{00000000-0005-0000-0000-0000A9CB0000}"/>
    <cellStyle name="Percentuale 53 4 3" xfId="21042" xr:uid="{00000000-0005-0000-0000-0000AACB0000}"/>
    <cellStyle name="Percentuale 53 4 4" xfId="20036" xr:uid="{00000000-0005-0000-0000-0000ABCB0000}"/>
    <cellStyle name="Percentuale 53 5" xfId="11850" xr:uid="{00000000-0005-0000-0000-0000ACCB0000}"/>
    <cellStyle name="Percentuale 54" xfId="2514" xr:uid="{00000000-0005-0000-0000-0000ADCB0000}"/>
    <cellStyle name="Percentuale 54 2" xfId="2515" xr:uid="{00000000-0005-0000-0000-0000AECB0000}"/>
    <cellStyle name="Percentuale 54 2 2" xfId="2516" xr:uid="{00000000-0005-0000-0000-0000AFCB0000}"/>
    <cellStyle name="Percentuale 54 3" xfId="2517" xr:uid="{00000000-0005-0000-0000-0000B0CB0000}"/>
    <cellStyle name="Percentuale 54 3 2" xfId="2518" xr:uid="{00000000-0005-0000-0000-0000B1CB0000}"/>
    <cellStyle name="Percentuale 54 3 3" xfId="20039" xr:uid="{00000000-0005-0000-0000-0000B2CB0000}"/>
    <cellStyle name="Percentuale 54 3 3 2" xfId="21045" xr:uid="{00000000-0005-0000-0000-0000B3CB0000}"/>
    <cellStyle name="Percentuale 54 3 4" xfId="21044" xr:uid="{00000000-0005-0000-0000-0000B4CB0000}"/>
    <cellStyle name="Percentuale 54 3 5" xfId="20038" xr:uid="{00000000-0005-0000-0000-0000B5CB0000}"/>
    <cellStyle name="Percentuale 54 4" xfId="11851" xr:uid="{00000000-0005-0000-0000-0000B6CB0000}"/>
    <cellStyle name="Percentuale 54 4 2" xfId="20041" xr:uid="{00000000-0005-0000-0000-0000B7CB0000}"/>
    <cellStyle name="Percentuale 54 4 2 2" xfId="21047" xr:uid="{00000000-0005-0000-0000-0000B8CB0000}"/>
    <cellStyle name="Percentuale 54 4 3" xfId="21046" xr:uid="{00000000-0005-0000-0000-0000B9CB0000}"/>
    <cellStyle name="Percentuale 54 4 4" xfId="20040" xr:uid="{00000000-0005-0000-0000-0000BACB0000}"/>
    <cellStyle name="Percentuale 54 5" xfId="11852" xr:uid="{00000000-0005-0000-0000-0000BBCB0000}"/>
    <cellStyle name="Percentuale 55" xfId="2519" xr:uid="{00000000-0005-0000-0000-0000BCCB0000}"/>
    <cellStyle name="Percentuale 55 2" xfId="2520" xr:uid="{00000000-0005-0000-0000-0000BDCB0000}"/>
    <cellStyle name="Percentuale 55 2 2" xfId="2521" xr:uid="{00000000-0005-0000-0000-0000BECB0000}"/>
    <cellStyle name="Percentuale 55 3" xfId="2522" xr:uid="{00000000-0005-0000-0000-0000BFCB0000}"/>
    <cellStyle name="Percentuale 55 3 2" xfId="2523" xr:uid="{00000000-0005-0000-0000-0000C0CB0000}"/>
    <cellStyle name="Percentuale 55 3 3" xfId="20043" xr:uid="{00000000-0005-0000-0000-0000C1CB0000}"/>
    <cellStyle name="Percentuale 55 3 3 2" xfId="21049" xr:uid="{00000000-0005-0000-0000-0000C2CB0000}"/>
    <cellStyle name="Percentuale 55 3 4" xfId="21048" xr:uid="{00000000-0005-0000-0000-0000C3CB0000}"/>
    <cellStyle name="Percentuale 55 3 5" xfId="20042" xr:uid="{00000000-0005-0000-0000-0000C4CB0000}"/>
    <cellStyle name="Percentuale 55 4" xfId="11853" xr:uid="{00000000-0005-0000-0000-0000C5CB0000}"/>
    <cellStyle name="Percentuale 55 4 2" xfId="20045" xr:uid="{00000000-0005-0000-0000-0000C6CB0000}"/>
    <cellStyle name="Percentuale 55 4 2 2" xfId="21051" xr:uid="{00000000-0005-0000-0000-0000C7CB0000}"/>
    <cellStyle name="Percentuale 55 4 3" xfId="21050" xr:uid="{00000000-0005-0000-0000-0000C8CB0000}"/>
    <cellStyle name="Percentuale 55 4 4" xfId="20044" xr:uid="{00000000-0005-0000-0000-0000C9CB0000}"/>
    <cellStyle name="Percentuale 55 5" xfId="11854" xr:uid="{00000000-0005-0000-0000-0000CACB0000}"/>
    <cellStyle name="Percentuale 56" xfId="2524" xr:uid="{00000000-0005-0000-0000-0000CBCB0000}"/>
    <cellStyle name="Percentuale 56 2" xfId="2525" xr:uid="{00000000-0005-0000-0000-0000CCCB0000}"/>
    <cellStyle name="Percentuale 56 2 2" xfId="2526" xr:uid="{00000000-0005-0000-0000-0000CDCB0000}"/>
    <cellStyle name="Percentuale 56 3" xfId="2527" xr:uid="{00000000-0005-0000-0000-0000CECB0000}"/>
    <cellStyle name="Percentuale 56 3 2" xfId="2528" xr:uid="{00000000-0005-0000-0000-0000CFCB0000}"/>
    <cellStyle name="Percentuale 56 3 3" xfId="20047" xr:uid="{00000000-0005-0000-0000-0000D0CB0000}"/>
    <cellStyle name="Percentuale 56 3 3 2" xfId="21053" xr:uid="{00000000-0005-0000-0000-0000D1CB0000}"/>
    <cellStyle name="Percentuale 56 3 4" xfId="21052" xr:uid="{00000000-0005-0000-0000-0000D2CB0000}"/>
    <cellStyle name="Percentuale 56 3 5" xfId="20046" xr:uid="{00000000-0005-0000-0000-0000D3CB0000}"/>
    <cellStyle name="Percentuale 56 4" xfId="11855" xr:uid="{00000000-0005-0000-0000-0000D4CB0000}"/>
    <cellStyle name="Percentuale 56 4 2" xfId="20049" xr:uid="{00000000-0005-0000-0000-0000D5CB0000}"/>
    <cellStyle name="Percentuale 56 4 2 2" xfId="21055" xr:uid="{00000000-0005-0000-0000-0000D6CB0000}"/>
    <cellStyle name="Percentuale 56 4 3" xfId="21054" xr:uid="{00000000-0005-0000-0000-0000D7CB0000}"/>
    <cellStyle name="Percentuale 56 4 4" xfId="20048" xr:uid="{00000000-0005-0000-0000-0000D8CB0000}"/>
    <cellStyle name="Percentuale 56 5" xfId="11856" xr:uid="{00000000-0005-0000-0000-0000D9CB0000}"/>
    <cellStyle name="Percentuale 57" xfId="2529" xr:uid="{00000000-0005-0000-0000-0000DACB0000}"/>
    <cellStyle name="Percentuale 57 2" xfId="2530" xr:uid="{00000000-0005-0000-0000-0000DBCB0000}"/>
    <cellStyle name="Percentuale 57 2 2" xfId="2531" xr:uid="{00000000-0005-0000-0000-0000DCCB0000}"/>
    <cellStyle name="Percentuale 57 3" xfId="2532" xr:uid="{00000000-0005-0000-0000-0000DDCB0000}"/>
    <cellStyle name="Percentuale 57 3 2" xfId="2533" xr:uid="{00000000-0005-0000-0000-0000DECB0000}"/>
    <cellStyle name="Percentuale 57 3 3" xfId="20051" xr:uid="{00000000-0005-0000-0000-0000DFCB0000}"/>
    <cellStyle name="Percentuale 57 3 3 2" xfId="21057" xr:uid="{00000000-0005-0000-0000-0000E0CB0000}"/>
    <cellStyle name="Percentuale 57 3 4" xfId="21056" xr:uid="{00000000-0005-0000-0000-0000E1CB0000}"/>
    <cellStyle name="Percentuale 57 3 5" xfId="20050" xr:uid="{00000000-0005-0000-0000-0000E2CB0000}"/>
    <cellStyle name="Percentuale 57 4" xfId="11857" xr:uid="{00000000-0005-0000-0000-0000E3CB0000}"/>
    <cellStyle name="Percentuale 57 4 2" xfId="20053" xr:uid="{00000000-0005-0000-0000-0000E4CB0000}"/>
    <cellStyle name="Percentuale 57 4 2 2" xfId="21059" xr:uid="{00000000-0005-0000-0000-0000E5CB0000}"/>
    <cellStyle name="Percentuale 57 4 3" xfId="21058" xr:uid="{00000000-0005-0000-0000-0000E6CB0000}"/>
    <cellStyle name="Percentuale 57 4 4" xfId="20052" xr:uid="{00000000-0005-0000-0000-0000E7CB0000}"/>
    <cellStyle name="Percentuale 57 5" xfId="11858" xr:uid="{00000000-0005-0000-0000-0000E8CB0000}"/>
    <cellStyle name="Percentuale 58" xfId="2534" xr:uid="{00000000-0005-0000-0000-0000E9CB0000}"/>
    <cellStyle name="Percentuale 58 2" xfId="2535" xr:uid="{00000000-0005-0000-0000-0000EACB0000}"/>
    <cellStyle name="Percentuale 58 2 2" xfId="2536" xr:uid="{00000000-0005-0000-0000-0000EBCB0000}"/>
    <cellStyle name="Percentuale 58 3" xfId="2537" xr:uid="{00000000-0005-0000-0000-0000ECCB0000}"/>
    <cellStyle name="Percentuale 58 3 2" xfId="2538" xr:uid="{00000000-0005-0000-0000-0000EDCB0000}"/>
    <cellStyle name="Percentuale 58 3 3" xfId="20055" xr:uid="{00000000-0005-0000-0000-0000EECB0000}"/>
    <cellStyle name="Percentuale 58 3 3 2" xfId="21061" xr:uid="{00000000-0005-0000-0000-0000EFCB0000}"/>
    <cellStyle name="Percentuale 58 3 4" xfId="21060" xr:uid="{00000000-0005-0000-0000-0000F0CB0000}"/>
    <cellStyle name="Percentuale 58 3 5" xfId="20054" xr:uid="{00000000-0005-0000-0000-0000F1CB0000}"/>
    <cellStyle name="Percentuale 58 4" xfId="11859" xr:uid="{00000000-0005-0000-0000-0000F2CB0000}"/>
    <cellStyle name="Percentuale 58 4 2" xfId="20057" xr:uid="{00000000-0005-0000-0000-0000F3CB0000}"/>
    <cellStyle name="Percentuale 58 4 2 2" xfId="21063" xr:uid="{00000000-0005-0000-0000-0000F4CB0000}"/>
    <cellStyle name="Percentuale 58 4 3" xfId="21062" xr:uid="{00000000-0005-0000-0000-0000F5CB0000}"/>
    <cellStyle name="Percentuale 58 4 4" xfId="20056" xr:uid="{00000000-0005-0000-0000-0000F6CB0000}"/>
    <cellStyle name="Percentuale 58 5" xfId="11860" xr:uid="{00000000-0005-0000-0000-0000F7CB0000}"/>
    <cellStyle name="Percentuale 59" xfId="2539" xr:uid="{00000000-0005-0000-0000-0000F8CB0000}"/>
    <cellStyle name="Percentuale 59 2" xfId="2540" xr:uid="{00000000-0005-0000-0000-0000F9CB0000}"/>
    <cellStyle name="Percentuale 59 2 2" xfId="2541" xr:uid="{00000000-0005-0000-0000-0000FACB0000}"/>
    <cellStyle name="Percentuale 59 3" xfId="2542" xr:uid="{00000000-0005-0000-0000-0000FBCB0000}"/>
    <cellStyle name="Percentuale 59 3 2" xfId="2543" xr:uid="{00000000-0005-0000-0000-0000FCCB0000}"/>
    <cellStyle name="Percentuale 59 3 3" xfId="20059" xr:uid="{00000000-0005-0000-0000-0000FDCB0000}"/>
    <cellStyle name="Percentuale 59 3 3 2" xfId="21065" xr:uid="{00000000-0005-0000-0000-0000FECB0000}"/>
    <cellStyle name="Percentuale 59 3 4" xfId="21064" xr:uid="{00000000-0005-0000-0000-0000FFCB0000}"/>
    <cellStyle name="Percentuale 59 3 5" xfId="20058" xr:uid="{00000000-0005-0000-0000-000000CC0000}"/>
    <cellStyle name="Percentuale 59 4" xfId="11861" xr:uid="{00000000-0005-0000-0000-000001CC0000}"/>
    <cellStyle name="Percentuale 59 4 2" xfId="20061" xr:uid="{00000000-0005-0000-0000-000002CC0000}"/>
    <cellStyle name="Percentuale 59 4 2 2" xfId="21067" xr:uid="{00000000-0005-0000-0000-000003CC0000}"/>
    <cellStyle name="Percentuale 59 4 3" xfId="21066" xr:uid="{00000000-0005-0000-0000-000004CC0000}"/>
    <cellStyle name="Percentuale 59 4 4" xfId="20060" xr:uid="{00000000-0005-0000-0000-000005CC0000}"/>
    <cellStyle name="Percentuale 59 5" xfId="11862" xr:uid="{00000000-0005-0000-0000-000006CC0000}"/>
    <cellStyle name="Percentuale 6" xfId="2544" xr:uid="{00000000-0005-0000-0000-000007CC0000}"/>
    <cellStyle name="Percentuale 6 2" xfId="2545" xr:uid="{00000000-0005-0000-0000-000008CC0000}"/>
    <cellStyle name="Percentuale 6 2 2" xfId="2546" xr:uid="{00000000-0005-0000-0000-000009CC0000}"/>
    <cellStyle name="Percentuale 6 3" xfId="2547" xr:uid="{00000000-0005-0000-0000-00000ACC0000}"/>
    <cellStyle name="Percentuale 6 3 2" xfId="2548" xr:uid="{00000000-0005-0000-0000-00000BCC0000}"/>
    <cellStyle name="Percentuale 6 3 3" xfId="20064" xr:uid="{00000000-0005-0000-0000-00000CCC0000}"/>
    <cellStyle name="Percentuale 6 3 3 2" xfId="21069" xr:uid="{00000000-0005-0000-0000-00000DCC0000}"/>
    <cellStyle name="Percentuale 6 3 4" xfId="21068" xr:uid="{00000000-0005-0000-0000-00000ECC0000}"/>
    <cellStyle name="Percentuale 6 3 5" xfId="20062" xr:uid="{00000000-0005-0000-0000-00000FCC0000}"/>
    <cellStyle name="Percentuale 6 4" xfId="11863" xr:uid="{00000000-0005-0000-0000-000010CC0000}"/>
    <cellStyle name="Percentuale 6 4 2" xfId="20066" xr:uid="{00000000-0005-0000-0000-000011CC0000}"/>
    <cellStyle name="Percentuale 6 4 2 2" xfId="21071" xr:uid="{00000000-0005-0000-0000-000012CC0000}"/>
    <cellStyle name="Percentuale 6 4 3" xfId="21070" xr:uid="{00000000-0005-0000-0000-000013CC0000}"/>
    <cellStyle name="Percentuale 6 4 4" xfId="20065" xr:uid="{00000000-0005-0000-0000-000014CC0000}"/>
    <cellStyle name="Percentuale 6 5" xfId="11864" xr:uid="{00000000-0005-0000-0000-000015CC0000}"/>
    <cellStyle name="Percentuale 60" xfId="2549" xr:uid="{00000000-0005-0000-0000-000016CC0000}"/>
    <cellStyle name="Percentuale 60 2" xfId="2550" xr:uid="{00000000-0005-0000-0000-000017CC0000}"/>
    <cellStyle name="Percentuale 60 2 2" xfId="2551" xr:uid="{00000000-0005-0000-0000-000018CC0000}"/>
    <cellStyle name="Percentuale 60 3" xfId="2552" xr:uid="{00000000-0005-0000-0000-000019CC0000}"/>
    <cellStyle name="Percentuale 60 3 2" xfId="2553" xr:uid="{00000000-0005-0000-0000-00001ACC0000}"/>
    <cellStyle name="Percentuale 60 3 3" xfId="20068" xr:uid="{00000000-0005-0000-0000-00001BCC0000}"/>
    <cellStyle name="Percentuale 60 3 3 2" xfId="21073" xr:uid="{00000000-0005-0000-0000-00001CCC0000}"/>
    <cellStyle name="Percentuale 60 3 4" xfId="21072" xr:uid="{00000000-0005-0000-0000-00001DCC0000}"/>
    <cellStyle name="Percentuale 60 3 5" xfId="20067" xr:uid="{00000000-0005-0000-0000-00001ECC0000}"/>
    <cellStyle name="Percentuale 60 4" xfId="11865" xr:uid="{00000000-0005-0000-0000-00001FCC0000}"/>
    <cellStyle name="Percentuale 60 4 2" xfId="20070" xr:uid="{00000000-0005-0000-0000-000020CC0000}"/>
    <cellStyle name="Percentuale 60 4 2 2" xfId="21075" xr:uid="{00000000-0005-0000-0000-000021CC0000}"/>
    <cellStyle name="Percentuale 60 4 3" xfId="21074" xr:uid="{00000000-0005-0000-0000-000022CC0000}"/>
    <cellStyle name="Percentuale 60 4 4" xfId="20069" xr:uid="{00000000-0005-0000-0000-000023CC0000}"/>
    <cellStyle name="Percentuale 60 5" xfId="11866" xr:uid="{00000000-0005-0000-0000-000024CC0000}"/>
    <cellStyle name="Percentuale 61" xfId="2554" xr:uid="{00000000-0005-0000-0000-000025CC0000}"/>
    <cellStyle name="Percentuale 61 2" xfId="2555" xr:uid="{00000000-0005-0000-0000-000026CC0000}"/>
    <cellStyle name="Percentuale 61 2 2" xfId="2556" xr:uid="{00000000-0005-0000-0000-000027CC0000}"/>
    <cellStyle name="Percentuale 61 3" xfId="2557" xr:uid="{00000000-0005-0000-0000-000028CC0000}"/>
    <cellStyle name="Percentuale 61 3 2" xfId="2558" xr:uid="{00000000-0005-0000-0000-000029CC0000}"/>
    <cellStyle name="Percentuale 61 3 3" xfId="20072" xr:uid="{00000000-0005-0000-0000-00002ACC0000}"/>
    <cellStyle name="Percentuale 61 3 3 2" xfId="21077" xr:uid="{00000000-0005-0000-0000-00002BCC0000}"/>
    <cellStyle name="Percentuale 61 3 4" xfId="21076" xr:uid="{00000000-0005-0000-0000-00002CCC0000}"/>
    <cellStyle name="Percentuale 61 3 5" xfId="20071" xr:uid="{00000000-0005-0000-0000-00002DCC0000}"/>
    <cellStyle name="Percentuale 61 4" xfId="11867" xr:uid="{00000000-0005-0000-0000-00002ECC0000}"/>
    <cellStyle name="Percentuale 61 4 2" xfId="20074" xr:uid="{00000000-0005-0000-0000-00002FCC0000}"/>
    <cellStyle name="Percentuale 61 4 2 2" xfId="21079" xr:uid="{00000000-0005-0000-0000-000030CC0000}"/>
    <cellStyle name="Percentuale 61 4 3" xfId="21078" xr:uid="{00000000-0005-0000-0000-000031CC0000}"/>
    <cellStyle name="Percentuale 61 4 4" xfId="20073" xr:uid="{00000000-0005-0000-0000-000032CC0000}"/>
    <cellStyle name="Percentuale 61 5" xfId="11868" xr:uid="{00000000-0005-0000-0000-000033CC0000}"/>
    <cellStyle name="Percentuale 62" xfId="2559" xr:uid="{00000000-0005-0000-0000-000034CC0000}"/>
    <cellStyle name="Percentuale 62 2" xfId="2560" xr:uid="{00000000-0005-0000-0000-000035CC0000}"/>
    <cellStyle name="Percentuale 63" xfId="2561" xr:uid="{00000000-0005-0000-0000-000036CC0000}"/>
    <cellStyle name="Percentuale 63 2" xfId="2562" xr:uid="{00000000-0005-0000-0000-000037CC0000}"/>
    <cellStyle name="Percentuale 64" xfId="2563" xr:uid="{00000000-0005-0000-0000-000038CC0000}"/>
    <cellStyle name="Percentuale 64 2" xfId="2564" xr:uid="{00000000-0005-0000-0000-000039CC0000}"/>
    <cellStyle name="Percentuale 65" xfId="2565" xr:uid="{00000000-0005-0000-0000-00003ACC0000}"/>
    <cellStyle name="Percentuale 65 2" xfId="2566" xr:uid="{00000000-0005-0000-0000-00003BCC0000}"/>
    <cellStyle name="Percentuale 66" xfId="2567" xr:uid="{00000000-0005-0000-0000-00003CCC0000}"/>
    <cellStyle name="Percentuale 66 2" xfId="2568" xr:uid="{00000000-0005-0000-0000-00003DCC0000}"/>
    <cellStyle name="Percentuale 67" xfId="2569" xr:uid="{00000000-0005-0000-0000-00003ECC0000}"/>
    <cellStyle name="Percentuale 67 2" xfId="2570" xr:uid="{00000000-0005-0000-0000-00003FCC0000}"/>
    <cellStyle name="Percentuale 68" xfId="2571" xr:uid="{00000000-0005-0000-0000-000040CC0000}"/>
    <cellStyle name="Percentuale 68 2" xfId="2572" xr:uid="{00000000-0005-0000-0000-000041CC0000}"/>
    <cellStyle name="Percentuale 68 2 2" xfId="2573" xr:uid="{00000000-0005-0000-0000-000042CC0000}"/>
    <cellStyle name="Percentuale 68 3" xfId="2574" xr:uid="{00000000-0005-0000-0000-000043CC0000}"/>
    <cellStyle name="Percentuale 68 3 2" xfId="2575" xr:uid="{00000000-0005-0000-0000-000044CC0000}"/>
    <cellStyle name="Percentuale 68 3 3" xfId="20076" xr:uid="{00000000-0005-0000-0000-000045CC0000}"/>
    <cellStyle name="Percentuale 68 3 3 2" xfId="21081" xr:uid="{00000000-0005-0000-0000-000046CC0000}"/>
    <cellStyle name="Percentuale 68 3 4" xfId="21080" xr:uid="{00000000-0005-0000-0000-000047CC0000}"/>
    <cellStyle name="Percentuale 68 3 5" xfId="20075" xr:uid="{00000000-0005-0000-0000-000048CC0000}"/>
    <cellStyle name="Percentuale 68 4" xfId="11869" xr:uid="{00000000-0005-0000-0000-000049CC0000}"/>
    <cellStyle name="Percentuale 68 4 2" xfId="20078" xr:uid="{00000000-0005-0000-0000-00004ACC0000}"/>
    <cellStyle name="Percentuale 68 4 2 2" xfId="21083" xr:uid="{00000000-0005-0000-0000-00004BCC0000}"/>
    <cellStyle name="Percentuale 68 4 3" xfId="21082" xr:uid="{00000000-0005-0000-0000-00004CCC0000}"/>
    <cellStyle name="Percentuale 68 4 4" xfId="20077" xr:uid="{00000000-0005-0000-0000-00004DCC0000}"/>
    <cellStyle name="Percentuale 68 5" xfId="11870" xr:uid="{00000000-0005-0000-0000-00004ECC0000}"/>
    <cellStyle name="Percentuale 69" xfId="2576" xr:uid="{00000000-0005-0000-0000-00004FCC0000}"/>
    <cellStyle name="Percentuale 69 2" xfId="2577" xr:uid="{00000000-0005-0000-0000-000050CC0000}"/>
    <cellStyle name="Percentuale 69 2 2" xfId="2578" xr:uid="{00000000-0005-0000-0000-000051CC0000}"/>
    <cellStyle name="Percentuale 69 3" xfId="2579" xr:uid="{00000000-0005-0000-0000-000052CC0000}"/>
    <cellStyle name="Percentuale 69 3 2" xfId="2580" xr:uid="{00000000-0005-0000-0000-000053CC0000}"/>
    <cellStyle name="Percentuale 69 3 3" xfId="20080" xr:uid="{00000000-0005-0000-0000-000054CC0000}"/>
    <cellStyle name="Percentuale 69 3 3 2" xfId="21085" xr:uid="{00000000-0005-0000-0000-000055CC0000}"/>
    <cellStyle name="Percentuale 69 3 4" xfId="21084" xr:uid="{00000000-0005-0000-0000-000056CC0000}"/>
    <cellStyle name="Percentuale 69 3 5" xfId="20079" xr:uid="{00000000-0005-0000-0000-000057CC0000}"/>
    <cellStyle name="Percentuale 69 4" xfId="11871" xr:uid="{00000000-0005-0000-0000-000058CC0000}"/>
    <cellStyle name="Percentuale 69 4 2" xfId="20082" xr:uid="{00000000-0005-0000-0000-000059CC0000}"/>
    <cellStyle name="Percentuale 69 4 2 2" xfId="21087" xr:uid="{00000000-0005-0000-0000-00005ACC0000}"/>
    <cellStyle name="Percentuale 69 4 3" xfId="21086" xr:uid="{00000000-0005-0000-0000-00005BCC0000}"/>
    <cellStyle name="Percentuale 69 4 4" xfId="20081" xr:uid="{00000000-0005-0000-0000-00005CCC0000}"/>
    <cellStyle name="Percentuale 69 5" xfId="11872" xr:uid="{00000000-0005-0000-0000-00005DCC0000}"/>
    <cellStyle name="Percentuale 7" xfId="2581" xr:uid="{00000000-0005-0000-0000-00005ECC0000}"/>
    <cellStyle name="Percentuale 7 2" xfId="2582" xr:uid="{00000000-0005-0000-0000-00005FCC0000}"/>
    <cellStyle name="Percentuale 7 2 2" xfId="2583" xr:uid="{00000000-0005-0000-0000-000060CC0000}"/>
    <cellStyle name="Percentuale 7 3" xfId="2584" xr:uid="{00000000-0005-0000-0000-000061CC0000}"/>
    <cellStyle name="Percentuale 7 3 2" xfId="2585" xr:uid="{00000000-0005-0000-0000-000062CC0000}"/>
    <cellStyle name="Percentuale 7 3 3" xfId="20084" xr:uid="{00000000-0005-0000-0000-000063CC0000}"/>
    <cellStyle name="Percentuale 7 3 3 2" xfId="21089" xr:uid="{00000000-0005-0000-0000-000064CC0000}"/>
    <cellStyle name="Percentuale 7 3 4" xfId="21088" xr:uid="{00000000-0005-0000-0000-000065CC0000}"/>
    <cellStyle name="Percentuale 7 3 5" xfId="20083" xr:uid="{00000000-0005-0000-0000-000066CC0000}"/>
    <cellStyle name="Percentuale 7 4" xfId="11873" xr:uid="{00000000-0005-0000-0000-000067CC0000}"/>
    <cellStyle name="Percentuale 7 4 2" xfId="20086" xr:uid="{00000000-0005-0000-0000-000068CC0000}"/>
    <cellStyle name="Percentuale 7 4 2 2" xfId="21091" xr:uid="{00000000-0005-0000-0000-000069CC0000}"/>
    <cellStyle name="Percentuale 7 4 3" xfId="21090" xr:uid="{00000000-0005-0000-0000-00006ACC0000}"/>
    <cellStyle name="Percentuale 7 4 4" xfId="20085" xr:uid="{00000000-0005-0000-0000-00006BCC0000}"/>
    <cellStyle name="Percentuale 7 5" xfId="11874" xr:uid="{00000000-0005-0000-0000-00006CCC0000}"/>
    <cellStyle name="Percentuale 8" xfId="2586" xr:uid="{00000000-0005-0000-0000-00006DCC0000}"/>
    <cellStyle name="Percentuale 8 2" xfId="2587" xr:uid="{00000000-0005-0000-0000-00006ECC0000}"/>
    <cellStyle name="Percentuale 8 2 2" xfId="2588" xr:uid="{00000000-0005-0000-0000-00006FCC0000}"/>
    <cellStyle name="Percentuale 8 3" xfId="2589" xr:uid="{00000000-0005-0000-0000-000070CC0000}"/>
    <cellStyle name="Percentuale 8 3 2" xfId="2590" xr:uid="{00000000-0005-0000-0000-000071CC0000}"/>
    <cellStyle name="Percentuale 8 3 3" xfId="20088" xr:uid="{00000000-0005-0000-0000-000072CC0000}"/>
    <cellStyle name="Percentuale 8 3 3 2" xfId="21093" xr:uid="{00000000-0005-0000-0000-000073CC0000}"/>
    <cellStyle name="Percentuale 8 3 4" xfId="21092" xr:uid="{00000000-0005-0000-0000-000074CC0000}"/>
    <cellStyle name="Percentuale 8 3 5" xfId="20087" xr:uid="{00000000-0005-0000-0000-000075CC0000}"/>
    <cellStyle name="Percentuale 8 4" xfId="11875" xr:uid="{00000000-0005-0000-0000-000076CC0000}"/>
    <cellStyle name="Percentuale 8 4 2" xfId="20090" xr:uid="{00000000-0005-0000-0000-000077CC0000}"/>
    <cellStyle name="Percentuale 8 4 2 2" xfId="21095" xr:uid="{00000000-0005-0000-0000-000078CC0000}"/>
    <cellStyle name="Percentuale 8 4 3" xfId="21094" xr:uid="{00000000-0005-0000-0000-000079CC0000}"/>
    <cellStyle name="Percentuale 8 4 4" xfId="20089" xr:uid="{00000000-0005-0000-0000-00007ACC0000}"/>
    <cellStyle name="Percentuale 8 5" xfId="11876" xr:uid="{00000000-0005-0000-0000-00007BCC0000}"/>
    <cellStyle name="Percentuale 9" xfId="2591" xr:uid="{00000000-0005-0000-0000-00007CCC0000}"/>
    <cellStyle name="Percentuale 9 2" xfId="2592" xr:uid="{00000000-0005-0000-0000-00007DCC0000}"/>
    <cellStyle name="Percentuale 9 2 2" xfId="2593" xr:uid="{00000000-0005-0000-0000-00007ECC0000}"/>
    <cellStyle name="Percentuale 9 3" xfId="2594" xr:uid="{00000000-0005-0000-0000-00007FCC0000}"/>
    <cellStyle name="Percentuale 9 3 2" xfId="2595" xr:uid="{00000000-0005-0000-0000-000080CC0000}"/>
    <cellStyle name="Percentuale 9 3 3" xfId="20092" xr:uid="{00000000-0005-0000-0000-000081CC0000}"/>
    <cellStyle name="Percentuale 9 3 3 2" xfId="21097" xr:uid="{00000000-0005-0000-0000-000082CC0000}"/>
    <cellStyle name="Percentuale 9 3 4" xfId="21096" xr:uid="{00000000-0005-0000-0000-000083CC0000}"/>
    <cellStyle name="Percentuale 9 3 5" xfId="20091" xr:uid="{00000000-0005-0000-0000-000084CC0000}"/>
    <cellStyle name="Percentuale 9 4" xfId="11877" xr:uid="{00000000-0005-0000-0000-000085CC0000}"/>
    <cellStyle name="Percentuale 9 4 2" xfId="20094" xr:uid="{00000000-0005-0000-0000-000086CC0000}"/>
    <cellStyle name="Percentuale 9 4 2 2" xfId="21099" xr:uid="{00000000-0005-0000-0000-000087CC0000}"/>
    <cellStyle name="Percentuale 9 4 3" xfId="21098" xr:uid="{00000000-0005-0000-0000-000088CC0000}"/>
    <cellStyle name="Percentuale 9 4 4" xfId="20093" xr:uid="{00000000-0005-0000-0000-000089CC0000}"/>
    <cellStyle name="Percentuale 9 5" xfId="11878" xr:uid="{00000000-0005-0000-0000-00008ACC0000}"/>
    <cellStyle name="Pilkku_Layo9704" xfId="2596" xr:uid="{00000000-0005-0000-0000-00008BCC0000}"/>
    <cellStyle name="Preliminary data" xfId="2597" xr:uid="{00000000-0005-0000-0000-00008CCC0000}"/>
    <cellStyle name="Preliminary data 2" xfId="12229" xr:uid="{00000000-0005-0000-0000-00008DCC0000}"/>
    <cellStyle name="Procent 10" xfId="7477" xr:uid="{00000000-0005-0000-0000-00008ECC0000}"/>
    <cellStyle name="Procent 11" xfId="7478" xr:uid="{00000000-0005-0000-0000-00008FCC0000}"/>
    <cellStyle name="Procent 12" xfId="7479" xr:uid="{00000000-0005-0000-0000-000090CC0000}"/>
    <cellStyle name="Procent 12 2" xfId="7480" xr:uid="{00000000-0005-0000-0000-000091CC0000}"/>
    <cellStyle name="Procent 13" xfId="7481" xr:uid="{00000000-0005-0000-0000-000092CC0000}"/>
    <cellStyle name="Procent 14" xfId="7482" xr:uid="{00000000-0005-0000-0000-000093CC0000}"/>
    <cellStyle name="Procent 15" xfId="7476" xr:uid="{00000000-0005-0000-0000-000094CC0000}"/>
    <cellStyle name="Procent 16" xfId="3818" xr:uid="{00000000-0005-0000-0000-000095CC0000}"/>
    <cellStyle name="Procent 16 2" xfId="11114" xr:uid="{00000000-0005-0000-0000-000096CC0000}"/>
    <cellStyle name="Procent 17" xfId="11047" xr:uid="{00000000-0005-0000-0000-000097CC0000}"/>
    <cellStyle name="Procent 2" xfId="2598" xr:uid="{00000000-0005-0000-0000-000098CC0000}"/>
    <cellStyle name="Procent 2 2" xfId="2599" xr:uid="{00000000-0005-0000-0000-000099CC0000}"/>
    <cellStyle name="Procent 2 2 10" xfId="51819" xr:uid="{00000000-0005-0000-0000-00009ACC0000}"/>
    <cellStyle name="Procent 2 2 11" xfId="52228" xr:uid="{00000000-0005-0000-0000-00009BCC0000}"/>
    <cellStyle name="Procent 2 2 12" xfId="52633" xr:uid="{00000000-0005-0000-0000-00009CCC0000}"/>
    <cellStyle name="Procent 2 2 2" xfId="11041" xr:uid="{00000000-0005-0000-0000-00009DCC0000}"/>
    <cellStyle name="Procent 2 2 2 2" xfId="18846" xr:uid="{00000000-0005-0000-0000-00009ECC0000}"/>
    <cellStyle name="Procent 2 2 2 2 2" xfId="35122" xr:uid="{00000000-0005-0000-0000-00009FCC0000}"/>
    <cellStyle name="Procent 2 2 2 2 3" xfId="50081" xr:uid="{00000000-0005-0000-0000-0000A0CC0000}"/>
    <cellStyle name="Procent 2 2 2 3" xfId="28120" xr:uid="{00000000-0005-0000-0000-0000A1CC0000}"/>
    <cellStyle name="Procent 2 2 2 4" xfId="43084" xr:uid="{00000000-0005-0000-0000-0000A2CC0000}"/>
    <cellStyle name="Procent 2 2 3" xfId="7484" xr:uid="{00000000-0005-0000-0000-0000A3CC0000}"/>
    <cellStyle name="Procent 2 2 4" xfId="11132" xr:uid="{00000000-0005-0000-0000-0000A4CC0000}"/>
    <cellStyle name="Procent 2 2 4 2" xfId="18883" xr:uid="{00000000-0005-0000-0000-0000A5CC0000}"/>
    <cellStyle name="Procent 2 2 4 2 2" xfId="35162" xr:uid="{00000000-0005-0000-0000-0000A6CC0000}"/>
    <cellStyle name="Procent 2 2 4 2 3" xfId="50121" xr:uid="{00000000-0005-0000-0000-0000A7CC0000}"/>
    <cellStyle name="Procent 2 2 4 3" xfId="28152" xr:uid="{00000000-0005-0000-0000-0000A8CC0000}"/>
    <cellStyle name="Procent 2 2 4 4" xfId="43122" xr:uid="{00000000-0005-0000-0000-0000A9CC0000}"/>
    <cellStyle name="Procent 2 2 5" xfId="12231" xr:uid="{00000000-0005-0000-0000-0000AACC0000}"/>
    <cellStyle name="Procent 2 2 5 2" xfId="28509" xr:uid="{00000000-0005-0000-0000-0000ABCC0000}"/>
    <cellStyle name="Procent 2 2 5 3" xfId="43472" xr:uid="{00000000-0005-0000-0000-0000ACCC0000}"/>
    <cellStyle name="Procent 2 2 6" xfId="21100" xr:uid="{00000000-0005-0000-0000-0000ADCC0000}"/>
    <cellStyle name="Procent 2 2 7" xfId="21509" xr:uid="{00000000-0005-0000-0000-0000AECC0000}"/>
    <cellStyle name="Procent 2 2 8" xfId="36476" xr:uid="{00000000-0005-0000-0000-0000AFCC0000}"/>
    <cellStyle name="Procent 2 2 9" xfId="51414" xr:uid="{00000000-0005-0000-0000-0000B0CC0000}"/>
    <cellStyle name="Procent 2 3" xfId="7485" xr:uid="{00000000-0005-0000-0000-0000B1CC0000}"/>
    <cellStyle name="Procent 2 4" xfId="7486" xr:uid="{00000000-0005-0000-0000-0000B2CC0000}"/>
    <cellStyle name="Procent 2 4 2" xfId="7487" xr:uid="{00000000-0005-0000-0000-0000B3CC0000}"/>
    <cellStyle name="Procent 2 5" xfId="7483" xr:uid="{00000000-0005-0000-0000-0000B4CC0000}"/>
    <cellStyle name="Procent 2 5 2" xfId="11084" xr:uid="{00000000-0005-0000-0000-0000B5CC0000}"/>
    <cellStyle name="Procent 2 6" xfId="3822" xr:uid="{00000000-0005-0000-0000-0000B6CC0000}"/>
    <cellStyle name="Procent 2 6 2" xfId="12307" xr:uid="{00000000-0005-0000-0000-0000B7CC0000}"/>
    <cellStyle name="Procent 2 6 2 2" xfId="28586" xr:uid="{00000000-0005-0000-0000-0000B8CC0000}"/>
    <cellStyle name="Procent 2 6 2 3" xfId="43547" xr:uid="{00000000-0005-0000-0000-0000B9CC0000}"/>
    <cellStyle name="Procent 2 6 3" xfId="21584" xr:uid="{00000000-0005-0000-0000-0000BACC0000}"/>
    <cellStyle name="Procent 2 6 4" xfId="36550" xr:uid="{00000000-0005-0000-0000-0000BBCC0000}"/>
    <cellStyle name="Procent 3" xfId="2600" xr:uid="{00000000-0005-0000-0000-0000BCCC0000}"/>
    <cellStyle name="Procent 3 2" xfId="7489" xr:uid="{00000000-0005-0000-0000-0000BDCC0000}"/>
    <cellStyle name="Procent 3 2 2" xfId="20096" xr:uid="{00000000-0005-0000-0000-0000BECC0000}"/>
    <cellStyle name="Procent 3 3" xfId="7488" xr:uid="{00000000-0005-0000-0000-0000BFCC0000}"/>
    <cellStyle name="Procent 3 4" xfId="20095" xr:uid="{00000000-0005-0000-0000-0000C0CC0000}"/>
    <cellStyle name="Procent 4" xfId="7490" xr:uid="{00000000-0005-0000-0000-0000C1CC0000}"/>
    <cellStyle name="Procent 4 2" xfId="7491" xr:uid="{00000000-0005-0000-0000-0000C2CC0000}"/>
    <cellStyle name="Procent 4 2 2" xfId="7492" xr:uid="{00000000-0005-0000-0000-0000C3CC0000}"/>
    <cellStyle name="Procent 4 2 2 2" xfId="10050" xr:uid="{00000000-0005-0000-0000-0000C4CC0000}"/>
    <cellStyle name="Procent 4 2 2 2 2" xfId="17905" xr:uid="{00000000-0005-0000-0000-0000C5CC0000}"/>
    <cellStyle name="Procent 4 2 2 2 2 2" xfId="34181" xr:uid="{00000000-0005-0000-0000-0000C6CC0000}"/>
    <cellStyle name="Procent 4 2 2 2 2 3" xfId="49140" xr:uid="{00000000-0005-0000-0000-0000C7CC0000}"/>
    <cellStyle name="Procent 4 2 2 2 3" xfId="27179" xr:uid="{00000000-0005-0000-0000-0000C8CC0000}"/>
    <cellStyle name="Procent 4 2 2 2 4" xfId="42143" xr:uid="{00000000-0005-0000-0000-0000C9CC0000}"/>
    <cellStyle name="Procent 4 2 2 3" xfId="21148" xr:uid="{00000000-0005-0000-0000-0000CACC0000}"/>
    <cellStyle name="Procent 4 2 2 3 2" xfId="36117" xr:uid="{00000000-0005-0000-0000-0000CBCC0000}"/>
    <cellStyle name="Procent 4 2 2 3 3" xfId="51073" xr:uid="{00000000-0005-0000-0000-0000CCCC0000}"/>
    <cellStyle name="Procent 4 2 3" xfId="21101" xr:uid="{00000000-0005-0000-0000-0000CDCC0000}"/>
    <cellStyle name="Procent 4 2 3 2" xfId="36097" xr:uid="{00000000-0005-0000-0000-0000CECC0000}"/>
    <cellStyle name="Procent 4 2 3 3" xfId="51053" xr:uid="{00000000-0005-0000-0000-0000CFCC0000}"/>
    <cellStyle name="Procent 4 3" xfId="7493" xr:uid="{00000000-0005-0000-0000-0000D0CC0000}"/>
    <cellStyle name="Procent 4 3 2" xfId="7494" xr:uid="{00000000-0005-0000-0000-0000D1CC0000}"/>
    <cellStyle name="Procent 4 3 2 2" xfId="10950" xr:uid="{00000000-0005-0000-0000-0000D2CC0000}"/>
    <cellStyle name="Procent 4 3 2 2 2" xfId="18784" xr:uid="{00000000-0005-0000-0000-0000D3CC0000}"/>
    <cellStyle name="Procent 4 3 2 2 2 2" xfId="35060" xr:uid="{00000000-0005-0000-0000-0000D4CC0000}"/>
    <cellStyle name="Procent 4 3 2 2 2 3" xfId="50019" xr:uid="{00000000-0005-0000-0000-0000D5CC0000}"/>
    <cellStyle name="Procent 4 3 2 2 3" xfId="28058" xr:uid="{00000000-0005-0000-0000-0000D6CC0000}"/>
    <cellStyle name="Procent 4 3 2 2 4" xfId="43022" xr:uid="{00000000-0005-0000-0000-0000D7CC0000}"/>
    <cellStyle name="Procent 4 3 3" xfId="8598" xr:uid="{00000000-0005-0000-0000-0000D8CC0000}"/>
    <cellStyle name="Procent 4 3 3 2" xfId="16465" xr:uid="{00000000-0005-0000-0000-0000D9CC0000}"/>
    <cellStyle name="Procent 4 3 3 2 2" xfId="32741" xr:uid="{00000000-0005-0000-0000-0000DACC0000}"/>
    <cellStyle name="Procent 4 3 3 2 3" xfId="47700" xr:uid="{00000000-0005-0000-0000-0000DBCC0000}"/>
    <cellStyle name="Procent 4 3 3 3" xfId="25739" xr:uid="{00000000-0005-0000-0000-0000DCCC0000}"/>
    <cellStyle name="Procent 4 3 3 4" xfId="40703" xr:uid="{00000000-0005-0000-0000-0000DDCC0000}"/>
    <cellStyle name="Procent 4 3 4" xfId="21129" xr:uid="{00000000-0005-0000-0000-0000DECC0000}"/>
    <cellStyle name="Procent 4 3 4 2" xfId="36107" xr:uid="{00000000-0005-0000-0000-0000DFCC0000}"/>
    <cellStyle name="Procent 4 3 4 3" xfId="51063" xr:uid="{00000000-0005-0000-0000-0000E0CC0000}"/>
    <cellStyle name="Procent 4 4" xfId="7495" xr:uid="{00000000-0005-0000-0000-0000E1CC0000}"/>
    <cellStyle name="Procent 4 4 2" xfId="9293" xr:uid="{00000000-0005-0000-0000-0000E2CC0000}"/>
    <cellStyle name="Procent 4 4 2 2" xfId="17157" xr:uid="{00000000-0005-0000-0000-0000E3CC0000}"/>
    <cellStyle name="Procent 4 4 2 2 2" xfId="33433" xr:uid="{00000000-0005-0000-0000-0000E4CC0000}"/>
    <cellStyle name="Procent 4 4 2 2 3" xfId="48392" xr:uid="{00000000-0005-0000-0000-0000E5CC0000}"/>
    <cellStyle name="Procent 4 4 2 3" xfId="26431" xr:uid="{00000000-0005-0000-0000-0000E6CC0000}"/>
    <cellStyle name="Procent 4 4 2 4" xfId="41395" xr:uid="{00000000-0005-0000-0000-0000E7CC0000}"/>
    <cellStyle name="Procent 4 5" xfId="20097" xr:uid="{00000000-0005-0000-0000-0000E8CC0000}"/>
    <cellStyle name="Procent 4 5 2" xfId="35728" xr:uid="{00000000-0005-0000-0000-0000E9CC0000}"/>
    <cellStyle name="Procent 4 5 3" xfId="50684" xr:uid="{00000000-0005-0000-0000-0000EACC0000}"/>
    <cellStyle name="Procent 5" xfId="7496" xr:uid="{00000000-0005-0000-0000-0000EBCC0000}"/>
    <cellStyle name="Procent 5 2" xfId="11085" xr:uid="{00000000-0005-0000-0000-0000ECCC0000}"/>
    <cellStyle name="Procent 5 3" xfId="21152" xr:uid="{00000000-0005-0000-0000-0000EDCC0000}"/>
    <cellStyle name="Procent 5 3 2" xfId="36121" xr:uid="{00000000-0005-0000-0000-0000EECC0000}"/>
    <cellStyle name="Procent 5 3 3" xfId="51077" xr:uid="{00000000-0005-0000-0000-0000EFCC0000}"/>
    <cellStyle name="Procent 6" xfId="7497" xr:uid="{00000000-0005-0000-0000-0000F0CC0000}"/>
    <cellStyle name="Procent 6 2" xfId="11086" xr:uid="{00000000-0005-0000-0000-0000F1CC0000}"/>
    <cellStyle name="Procent 7" xfId="7498" xr:uid="{00000000-0005-0000-0000-0000F2CC0000}"/>
    <cellStyle name="Procent 7 2" xfId="7499" xr:uid="{00000000-0005-0000-0000-0000F3CC0000}"/>
    <cellStyle name="Procent 7 2 2" xfId="11088" xr:uid="{00000000-0005-0000-0000-0000F4CC0000}"/>
    <cellStyle name="Procent 7 3" xfId="11087" xr:uid="{00000000-0005-0000-0000-0000F5CC0000}"/>
    <cellStyle name="Procent 8" xfId="7500" xr:uid="{00000000-0005-0000-0000-0000F6CC0000}"/>
    <cellStyle name="Procent 8 2" xfId="7501" xr:uid="{00000000-0005-0000-0000-0000F7CC0000}"/>
    <cellStyle name="Procent 8 2 2" xfId="9691" xr:uid="{00000000-0005-0000-0000-0000F8CC0000}"/>
    <cellStyle name="Procent 9" xfId="7502" xr:uid="{00000000-0005-0000-0000-0000F9CC0000}"/>
    <cellStyle name="Procent 9 2" xfId="7503" xr:uid="{00000000-0005-0000-0000-0000FACC0000}"/>
    <cellStyle name="Procent 9 3" xfId="7504" xr:uid="{00000000-0005-0000-0000-0000FBCC0000}"/>
    <cellStyle name="Publication_style" xfId="2601" xr:uid="{00000000-0005-0000-0000-0000FCCC0000}"/>
    <cellStyle name="Pyör. luku_Layo9704" xfId="2602" xr:uid="{00000000-0005-0000-0000-0000FDCC0000}"/>
    <cellStyle name="Pyör. valuutta_Layo9704" xfId="2603" xr:uid="{00000000-0005-0000-0000-0000FECC0000}"/>
    <cellStyle name="Redundant_elc" xfId="2604" xr:uid="{00000000-0005-0000-0000-0000FFCC0000}"/>
    <cellStyle name="RedundantIND" xfId="2605" xr:uid="{00000000-0005-0000-0000-000000CD0000}"/>
    <cellStyle name="RedundantIND 2" xfId="2606" xr:uid="{00000000-0005-0000-0000-000001CD0000}"/>
    <cellStyle name="RedundantIND 3" xfId="2607" xr:uid="{00000000-0005-0000-0000-000002CD0000}"/>
    <cellStyle name="RedundantIND 4" xfId="2608" xr:uid="{00000000-0005-0000-0000-000003CD0000}"/>
    <cellStyle name="Refdb standard" xfId="2609" xr:uid="{00000000-0005-0000-0000-000004CD0000}"/>
    <cellStyle name="Refdb standard 2" xfId="2610" xr:uid="{00000000-0005-0000-0000-000005CD0000}"/>
    <cellStyle name="Reference" xfId="2611" xr:uid="{00000000-0005-0000-0000-000006CD0000}"/>
    <cellStyle name="Sammenkædet celle 2" xfId="7506" xr:uid="{00000000-0005-0000-0000-000007CD0000}"/>
    <cellStyle name="Sammenkædet celle 2 2" xfId="7507" xr:uid="{00000000-0005-0000-0000-000008CD0000}"/>
    <cellStyle name="Sammenkædet celle 3" xfId="7508" xr:uid="{00000000-0005-0000-0000-000009CD0000}"/>
    <cellStyle name="Sammenkædet celle 3 2" xfId="7509" xr:uid="{00000000-0005-0000-0000-00000ACD0000}"/>
    <cellStyle name="Sammenkædet celle 4" xfId="7510" xr:uid="{00000000-0005-0000-0000-00000BCD0000}"/>
    <cellStyle name="Sammenkædet celle 5" xfId="7511" xr:uid="{00000000-0005-0000-0000-00000CCD0000}"/>
    <cellStyle name="Sammenkædet celle 5 2" xfId="10591" xr:uid="{00000000-0005-0000-0000-00000DCD0000}"/>
    <cellStyle name="Sammenkædet celle 6" xfId="7593" xr:uid="{00000000-0005-0000-0000-00000ECD0000}"/>
    <cellStyle name="Sammenkædet celle 7" xfId="7505" xr:uid="{00000000-0005-0000-0000-00000FCD0000}"/>
    <cellStyle name="SAPBEXaggData" xfId="7512" xr:uid="{00000000-0005-0000-0000-000010CD0000}"/>
    <cellStyle name="SAPBEXaggDataEmph" xfId="7513" xr:uid="{00000000-0005-0000-0000-000011CD0000}"/>
    <cellStyle name="SAPBEXaggItem" xfId="7514" xr:uid="{00000000-0005-0000-0000-000012CD0000}"/>
    <cellStyle name="SAPBEXaggItemX" xfId="7515" xr:uid="{00000000-0005-0000-0000-000013CD0000}"/>
    <cellStyle name="SAPBEXaggItemX 2" xfId="11089" xr:uid="{00000000-0005-0000-0000-000014CD0000}"/>
    <cellStyle name="SAPBEXchaText" xfId="7516" xr:uid="{00000000-0005-0000-0000-000015CD0000}"/>
    <cellStyle name="SAPBEXexcBad" xfId="7517" xr:uid="{00000000-0005-0000-0000-000016CD0000}"/>
    <cellStyle name="SAPBEXexcBad7" xfId="7518" xr:uid="{00000000-0005-0000-0000-000017CD0000}"/>
    <cellStyle name="SAPBEXexcBad7 2" xfId="11090" xr:uid="{00000000-0005-0000-0000-000018CD0000}"/>
    <cellStyle name="SAPBEXexcBad8" xfId="7519" xr:uid="{00000000-0005-0000-0000-000019CD0000}"/>
    <cellStyle name="SAPBEXexcBad8 2" xfId="11091" xr:uid="{00000000-0005-0000-0000-00001ACD0000}"/>
    <cellStyle name="SAPBEXexcBad9" xfId="7520" xr:uid="{00000000-0005-0000-0000-00001BCD0000}"/>
    <cellStyle name="SAPBEXexcBad9 2" xfId="11092" xr:uid="{00000000-0005-0000-0000-00001CCD0000}"/>
    <cellStyle name="SAPBEXexcCritical" xfId="7521" xr:uid="{00000000-0005-0000-0000-00001DCD0000}"/>
    <cellStyle name="SAPBEXexcCritical4" xfId="7522" xr:uid="{00000000-0005-0000-0000-00001ECD0000}"/>
    <cellStyle name="SAPBEXexcCritical4 2" xfId="11093" xr:uid="{00000000-0005-0000-0000-00001FCD0000}"/>
    <cellStyle name="SAPBEXexcCritical5" xfId="7523" xr:uid="{00000000-0005-0000-0000-000020CD0000}"/>
    <cellStyle name="SAPBEXexcCritical5 2" xfId="11094" xr:uid="{00000000-0005-0000-0000-000021CD0000}"/>
    <cellStyle name="SAPBEXexcCritical6" xfId="7524" xr:uid="{00000000-0005-0000-0000-000022CD0000}"/>
    <cellStyle name="SAPBEXexcCritical6 2" xfId="11095" xr:uid="{00000000-0005-0000-0000-000023CD0000}"/>
    <cellStyle name="SAPBEXexcGood" xfId="7525" xr:uid="{00000000-0005-0000-0000-000024CD0000}"/>
    <cellStyle name="SAPBEXexcGood1" xfId="7526" xr:uid="{00000000-0005-0000-0000-000025CD0000}"/>
    <cellStyle name="SAPBEXexcGood1 2" xfId="11096" xr:uid="{00000000-0005-0000-0000-000026CD0000}"/>
    <cellStyle name="SAPBEXexcGood2" xfId="7527" xr:uid="{00000000-0005-0000-0000-000027CD0000}"/>
    <cellStyle name="SAPBEXexcGood2 2" xfId="11097" xr:uid="{00000000-0005-0000-0000-000028CD0000}"/>
    <cellStyle name="SAPBEXexcGood3" xfId="7528" xr:uid="{00000000-0005-0000-0000-000029CD0000}"/>
    <cellStyle name="SAPBEXexcGood3 2" xfId="11098" xr:uid="{00000000-0005-0000-0000-00002ACD0000}"/>
    <cellStyle name="SAPBEXexcVeryBad" xfId="7529" xr:uid="{00000000-0005-0000-0000-00002BCD0000}"/>
    <cellStyle name="SAPBEXfilterDrill" xfId="7530" xr:uid="{00000000-0005-0000-0000-00002CCD0000}"/>
    <cellStyle name="SAPBEXfilterItem" xfId="7531" xr:uid="{00000000-0005-0000-0000-00002DCD0000}"/>
    <cellStyle name="SAPBEXfilterText" xfId="7532" xr:uid="{00000000-0005-0000-0000-00002ECD0000}"/>
    <cellStyle name="SAPBEXformats" xfId="7533" xr:uid="{00000000-0005-0000-0000-00002FCD0000}"/>
    <cellStyle name="SAPBEXheaderData" xfId="7534" xr:uid="{00000000-0005-0000-0000-000030CD0000}"/>
    <cellStyle name="SAPBEXheaderItem" xfId="7535" xr:uid="{00000000-0005-0000-0000-000031CD0000}"/>
    <cellStyle name="SAPBEXheaderText" xfId="7536" xr:uid="{00000000-0005-0000-0000-000032CD0000}"/>
    <cellStyle name="SAPBEXHLevel0" xfId="7537" xr:uid="{00000000-0005-0000-0000-000033CD0000}"/>
    <cellStyle name="SAPBEXHLevel0 2" xfId="11099" xr:uid="{00000000-0005-0000-0000-000034CD0000}"/>
    <cellStyle name="SAPBEXHLevel0X" xfId="7538" xr:uid="{00000000-0005-0000-0000-000035CD0000}"/>
    <cellStyle name="SAPBEXHLevel0X 2" xfId="11100" xr:uid="{00000000-0005-0000-0000-000036CD0000}"/>
    <cellStyle name="SAPBEXHLevel1" xfId="7539" xr:uid="{00000000-0005-0000-0000-000037CD0000}"/>
    <cellStyle name="SAPBEXHLevel1 2" xfId="11101" xr:uid="{00000000-0005-0000-0000-000038CD0000}"/>
    <cellStyle name="SAPBEXHLevel1X" xfId="7540" xr:uid="{00000000-0005-0000-0000-000039CD0000}"/>
    <cellStyle name="SAPBEXHLevel1X 2" xfId="11102" xr:uid="{00000000-0005-0000-0000-00003ACD0000}"/>
    <cellStyle name="SAPBEXHLevel2" xfId="7541" xr:uid="{00000000-0005-0000-0000-00003BCD0000}"/>
    <cellStyle name="SAPBEXHLevel2 2" xfId="11103" xr:uid="{00000000-0005-0000-0000-00003CCD0000}"/>
    <cellStyle name="SAPBEXHLevel2X" xfId="7542" xr:uid="{00000000-0005-0000-0000-00003DCD0000}"/>
    <cellStyle name="SAPBEXHLevel2X 2" xfId="11104" xr:uid="{00000000-0005-0000-0000-00003ECD0000}"/>
    <cellStyle name="SAPBEXHLevel3" xfId="7543" xr:uid="{00000000-0005-0000-0000-00003FCD0000}"/>
    <cellStyle name="SAPBEXHLevel3 2" xfId="11105" xr:uid="{00000000-0005-0000-0000-000040CD0000}"/>
    <cellStyle name="SAPBEXHLevel3X" xfId="7544" xr:uid="{00000000-0005-0000-0000-000041CD0000}"/>
    <cellStyle name="SAPBEXHLevel3X 2" xfId="11106" xr:uid="{00000000-0005-0000-0000-000042CD0000}"/>
    <cellStyle name="SAPBEXinputData" xfId="7545" xr:uid="{00000000-0005-0000-0000-000043CD0000}"/>
    <cellStyle name="SAPBEXinputData 2" xfId="11107" xr:uid="{00000000-0005-0000-0000-000044CD0000}"/>
    <cellStyle name="SAPBEXresData" xfId="7546" xr:uid="{00000000-0005-0000-0000-000045CD0000}"/>
    <cellStyle name="SAPBEXresDataEmph" xfId="7547" xr:uid="{00000000-0005-0000-0000-000046CD0000}"/>
    <cellStyle name="SAPBEXresItem" xfId="7548" xr:uid="{00000000-0005-0000-0000-000047CD0000}"/>
    <cellStyle name="SAPBEXresItemX" xfId="7549" xr:uid="{00000000-0005-0000-0000-000048CD0000}"/>
    <cellStyle name="SAPBEXresItemX 2" xfId="11108" xr:uid="{00000000-0005-0000-0000-000049CD0000}"/>
    <cellStyle name="SAPBEXstdData" xfId="7550" xr:uid="{00000000-0005-0000-0000-00004ACD0000}"/>
    <cellStyle name="SAPBEXstdDataEmph" xfId="7551" xr:uid="{00000000-0005-0000-0000-00004BCD0000}"/>
    <cellStyle name="SAPBEXstdItem" xfId="7552" xr:uid="{00000000-0005-0000-0000-00004CCD0000}"/>
    <cellStyle name="SAPBEXstdItemX" xfId="7553" xr:uid="{00000000-0005-0000-0000-00004DCD0000}"/>
    <cellStyle name="SAPBEXstdItemX 2" xfId="11109" xr:uid="{00000000-0005-0000-0000-00004ECD0000}"/>
    <cellStyle name="SAPBEXsubData" xfId="7554" xr:uid="{00000000-0005-0000-0000-00004FCD0000}"/>
    <cellStyle name="SAPBEXsubDataEmph" xfId="7555" xr:uid="{00000000-0005-0000-0000-000050CD0000}"/>
    <cellStyle name="SAPBEXsubItem" xfId="7556" xr:uid="{00000000-0005-0000-0000-000051CD0000}"/>
    <cellStyle name="SAPBEXtitle" xfId="7557" xr:uid="{00000000-0005-0000-0000-000052CD0000}"/>
    <cellStyle name="SAPBEXundefined" xfId="7558" xr:uid="{00000000-0005-0000-0000-000053CD0000}"/>
    <cellStyle name="Scottish Data 1" xfId="2612" xr:uid="{00000000-0005-0000-0000-000054CD0000}"/>
    <cellStyle name="Scottish Data 2" xfId="2613" xr:uid="{00000000-0005-0000-0000-000055CD0000}"/>
    <cellStyle name="Set_Equal_2dp" xfId="2614" xr:uid="{00000000-0005-0000-0000-000056CD0000}"/>
    <cellStyle name="Shade" xfId="2615" xr:uid="{00000000-0005-0000-0000-000057CD0000}"/>
    <cellStyle name="Sheet Title" xfId="2616" xr:uid="{00000000-0005-0000-0000-000058CD0000}"/>
    <cellStyle name="Source" xfId="2617" xr:uid="{00000000-0005-0000-0000-000059CD0000}"/>
    <cellStyle name="Source 10" xfId="2618" xr:uid="{00000000-0005-0000-0000-00005ACD0000}"/>
    <cellStyle name="source 11" xfId="2619" xr:uid="{00000000-0005-0000-0000-00005BCD0000}"/>
    <cellStyle name="source 2" xfId="2620" xr:uid="{00000000-0005-0000-0000-00005CCD0000}"/>
    <cellStyle name="source 3" xfId="2621" xr:uid="{00000000-0005-0000-0000-00005DCD0000}"/>
    <cellStyle name="Source 4" xfId="2622" xr:uid="{00000000-0005-0000-0000-00005ECD0000}"/>
    <cellStyle name="Source 5" xfId="2623" xr:uid="{00000000-0005-0000-0000-00005FCD0000}"/>
    <cellStyle name="Source 6" xfId="2624" xr:uid="{00000000-0005-0000-0000-000060CD0000}"/>
    <cellStyle name="Source 7" xfId="2625" xr:uid="{00000000-0005-0000-0000-000061CD0000}"/>
    <cellStyle name="Source 8" xfId="2626" xr:uid="{00000000-0005-0000-0000-000062CD0000}"/>
    <cellStyle name="Source 9" xfId="2627" xr:uid="{00000000-0005-0000-0000-000063CD0000}"/>
    <cellStyle name="Standard_ENR_REF" xfId="7559" xr:uid="{00000000-0005-0000-0000-000064CD0000}"/>
    <cellStyle name="Style 1" xfId="2628" xr:uid="{00000000-0005-0000-0000-000065CD0000}"/>
    <cellStyle name="Style 21" xfId="2629" xr:uid="{00000000-0005-0000-0000-000066CD0000}"/>
    <cellStyle name="Style 21 2" xfId="2630" xr:uid="{00000000-0005-0000-0000-000067CD0000}"/>
    <cellStyle name="Style 21 2 2" xfId="2631" xr:uid="{00000000-0005-0000-0000-000068CD0000}"/>
    <cellStyle name="Style 21 2 2 2" xfId="2632" xr:uid="{00000000-0005-0000-0000-000069CD0000}"/>
    <cellStyle name="Style 21 3" xfId="2633" xr:uid="{00000000-0005-0000-0000-00006ACD0000}"/>
    <cellStyle name="Style 21 3 2" xfId="2634" xr:uid="{00000000-0005-0000-0000-00006BCD0000}"/>
    <cellStyle name="Style 22" xfId="2635" xr:uid="{00000000-0005-0000-0000-00006CCD0000}"/>
    <cellStyle name="Style 22 2" xfId="2636" xr:uid="{00000000-0005-0000-0000-00006DCD0000}"/>
    <cellStyle name="Style 22 2 2" xfId="2637" xr:uid="{00000000-0005-0000-0000-00006ECD0000}"/>
    <cellStyle name="Style 22 3" xfId="2638" xr:uid="{00000000-0005-0000-0000-00006FCD0000}"/>
    <cellStyle name="Style 23" xfId="2639" xr:uid="{00000000-0005-0000-0000-000070CD0000}"/>
    <cellStyle name="Style 24" xfId="2640" xr:uid="{00000000-0005-0000-0000-000071CD0000}"/>
    <cellStyle name="Style 24 2" xfId="2641" xr:uid="{00000000-0005-0000-0000-000072CD0000}"/>
    <cellStyle name="Style 24 2 2" xfId="2642" xr:uid="{00000000-0005-0000-0000-000073CD0000}"/>
    <cellStyle name="Style 24 3" xfId="2643" xr:uid="{00000000-0005-0000-0000-000074CD0000}"/>
    <cellStyle name="Style 25" xfId="2644" xr:uid="{00000000-0005-0000-0000-000075CD0000}"/>
    <cellStyle name="Style 25 2" xfId="2645" xr:uid="{00000000-0005-0000-0000-000076CD0000}"/>
    <cellStyle name="Style 25 2 2" xfId="2646" xr:uid="{00000000-0005-0000-0000-000077CD0000}"/>
    <cellStyle name="Style 25 2 2 2" xfId="2647" xr:uid="{00000000-0005-0000-0000-000078CD0000}"/>
    <cellStyle name="Style 25 3" xfId="2648" xr:uid="{00000000-0005-0000-0000-000079CD0000}"/>
    <cellStyle name="Style 25 3 2" xfId="2649" xr:uid="{00000000-0005-0000-0000-00007ACD0000}"/>
    <cellStyle name="Style 26" xfId="2650" xr:uid="{00000000-0005-0000-0000-00007BCD0000}"/>
    <cellStyle name="Sub heading - 1" xfId="2651" xr:uid="{00000000-0005-0000-0000-00007CCD0000}"/>
    <cellStyle name="Sub heading - 2" xfId="2652" xr:uid="{00000000-0005-0000-0000-00007DCD0000}"/>
    <cellStyle name="Table" xfId="2653" xr:uid="{00000000-0005-0000-0000-00007ECD0000}"/>
    <cellStyle name="Table heading" xfId="2654" xr:uid="{00000000-0005-0000-0000-00007FCD0000}"/>
    <cellStyle name="tableau | cellule | normal | decimal 1" xfId="2655" xr:uid="{00000000-0005-0000-0000-000080CD0000}"/>
    <cellStyle name="tableau | cellule | normal | pourcentage | decimal 1" xfId="2656" xr:uid="{00000000-0005-0000-0000-000081CD0000}"/>
    <cellStyle name="tableau | cellule | total | decimal 1" xfId="2657" xr:uid="{00000000-0005-0000-0000-000082CD0000}"/>
    <cellStyle name="tableau | coin superieur gauche" xfId="2658" xr:uid="{00000000-0005-0000-0000-000083CD0000}"/>
    <cellStyle name="tableau | entete-colonne | series" xfId="2659" xr:uid="{00000000-0005-0000-0000-000084CD0000}"/>
    <cellStyle name="tableau | entete-ligne | normal" xfId="2660" xr:uid="{00000000-0005-0000-0000-000085CD0000}"/>
    <cellStyle name="tableau | entete-ligne | total" xfId="2661" xr:uid="{00000000-0005-0000-0000-000086CD0000}"/>
    <cellStyle name="tableau | ligne-titre | niveau1" xfId="2662" xr:uid="{00000000-0005-0000-0000-000087CD0000}"/>
    <cellStyle name="tableau | ligne-titre | niveau2" xfId="2663" xr:uid="{00000000-0005-0000-0000-000088CD0000}"/>
    <cellStyle name="Testo avviso" xfId="2664" xr:uid="{00000000-0005-0000-0000-000089CD0000}"/>
    <cellStyle name="Testo descrittivo" xfId="2665" xr:uid="{00000000-0005-0000-0000-00008ACD0000}"/>
    <cellStyle name="Titel 2" xfId="7561" xr:uid="{00000000-0005-0000-0000-00008BCD0000}"/>
    <cellStyle name="Titel 3" xfId="7562" xr:uid="{00000000-0005-0000-0000-00008CCD0000}"/>
    <cellStyle name="Titel 4" xfId="7563" xr:uid="{00000000-0005-0000-0000-00008DCD0000}"/>
    <cellStyle name="Titel 5" xfId="7564" xr:uid="{00000000-0005-0000-0000-00008ECD0000}"/>
    <cellStyle name="Titel 5 2" xfId="10801" xr:uid="{00000000-0005-0000-0000-00008FCD0000}"/>
    <cellStyle name="Titel 6" xfId="7582" xr:uid="{00000000-0005-0000-0000-000090CD0000}"/>
    <cellStyle name="Titel 7" xfId="7560" xr:uid="{00000000-0005-0000-0000-000091CD0000}"/>
    <cellStyle name="Title" xfId="2666" builtinId="15" customBuiltin="1"/>
    <cellStyle name="Title 2" xfId="2667" xr:uid="{00000000-0005-0000-0000-000093CD0000}"/>
    <cellStyle name="Title 2 2" xfId="2668" xr:uid="{00000000-0005-0000-0000-000094CD0000}"/>
    <cellStyle name="Title 2 2 2" xfId="2669" xr:uid="{00000000-0005-0000-0000-000095CD0000}"/>
    <cellStyle name="Title 2 3" xfId="2670" xr:uid="{00000000-0005-0000-0000-000096CD0000}"/>
    <cellStyle name="Title 3" xfId="2671" xr:uid="{00000000-0005-0000-0000-000097CD0000}"/>
    <cellStyle name="Title 4" xfId="2672" xr:uid="{00000000-0005-0000-0000-000098CD0000}"/>
    <cellStyle name="Title 5" xfId="2673" xr:uid="{00000000-0005-0000-0000-000099CD0000}"/>
    <cellStyle name="Title 6" xfId="2674" xr:uid="{00000000-0005-0000-0000-00009ACD0000}"/>
    <cellStyle name="Title 7" xfId="2675" xr:uid="{00000000-0005-0000-0000-00009BCD0000}"/>
    <cellStyle name="Titolo" xfId="2676" xr:uid="{00000000-0005-0000-0000-00009CCD0000}"/>
    <cellStyle name="Titolo 1" xfId="2677" xr:uid="{00000000-0005-0000-0000-00009DCD0000}"/>
    <cellStyle name="Titolo 2" xfId="2678" xr:uid="{00000000-0005-0000-0000-00009ECD0000}"/>
    <cellStyle name="Titolo 3" xfId="2679" xr:uid="{00000000-0005-0000-0000-00009FCD0000}"/>
    <cellStyle name="Titolo 4" xfId="2680" xr:uid="{00000000-0005-0000-0000-0000A0CD0000}"/>
    <cellStyle name="Tmpl_Assumption" xfId="2681" xr:uid="{00000000-0005-0000-0000-0000A1CD0000}"/>
    <cellStyle name="Total" xfId="2682" builtinId="25" customBuiltin="1"/>
    <cellStyle name="Total 2" xfId="2683" xr:uid="{00000000-0005-0000-0000-0000A3CD0000}"/>
    <cellStyle name="Total 2 2" xfId="7567" xr:uid="{00000000-0005-0000-0000-0000A4CD0000}"/>
    <cellStyle name="Total 2 2 2" xfId="9692" xr:uid="{00000000-0005-0000-0000-0000A5CD0000}"/>
    <cellStyle name="Total 2 3" xfId="15467" xr:uid="{00000000-0005-0000-0000-0000A6CD0000}"/>
    <cellStyle name="Total 2 4" xfId="7566" xr:uid="{00000000-0005-0000-0000-0000A7CD0000}"/>
    <cellStyle name="Total 3" xfId="2684" xr:uid="{00000000-0005-0000-0000-0000A8CD0000}"/>
    <cellStyle name="Total 3 2" xfId="15468" xr:uid="{00000000-0005-0000-0000-0000A9CD0000}"/>
    <cellStyle name="Total 3 3" xfId="7568" xr:uid="{00000000-0005-0000-0000-0000AACD0000}"/>
    <cellStyle name="Total 4" xfId="2685" xr:uid="{00000000-0005-0000-0000-0000ABCD0000}"/>
    <cellStyle name="Total 4 2" xfId="15469" xr:uid="{00000000-0005-0000-0000-0000ACCD0000}"/>
    <cellStyle name="Total 4 3" xfId="7569" xr:uid="{00000000-0005-0000-0000-0000ADCD0000}"/>
    <cellStyle name="Total 5" xfId="2686" xr:uid="{00000000-0005-0000-0000-0000AECD0000}"/>
    <cellStyle name="Total 5 2" xfId="10820" xr:uid="{00000000-0005-0000-0000-0000AFCD0000}"/>
    <cellStyle name="Total 5 3" xfId="15470" xr:uid="{00000000-0005-0000-0000-0000B0CD0000}"/>
    <cellStyle name="Total 5 4" xfId="7570" xr:uid="{00000000-0005-0000-0000-0000B1CD0000}"/>
    <cellStyle name="Total 6" xfId="7594" xr:uid="{00000000-0005-0000-0000-0000B2CD0000}"/>
    <cellStyle name="Total 7" xfId="7565" xr:uid="{00000000-0005-0000-0000-0000B3CD0000}"/>
    <cellStyle name="Total 7 2" xfId="15466" xr:uid="{00000000-0005-0000-0000-0000B4CD0000}"/>
    <cellStyle name="Totale" xfId="2687" xr:uid="{00000000-0005-0000-0000-0000B5CD0000}"/>
    <cellStyle name="Totale 2" xfId="12217" xr:uid="{00000000-0005-0000-0000-0000B6CD0000}"/>
    <cellStyle name="Totale 2 2" xfId="28497" xr:uid="{00000000-0005-0000-0000-0000B7CD0000}"/>
    <cellStyle name="Totale 3" xfId="18892" xr:uid="{00000000-0005-0000-0000-0000B8CD0000}"/>
    <cellStyle name="Totale 3 2" xfId="35171" xr:uid="{00000000-0005-0000-0000-0000B9CD0000}"/>
    <cellStyle name="Totale 4" xfId="20098" xr:uid="{00000000-0005-0000-0000-0000BACD0000}"/>
    <cellStyle name="Udgår måske?" xfId="2688" xr:uid="{00000000-0005-0000-0000-0000BBCD0000}"/>
    <cellStyle name="Ugyldig 2" xfId="7572" xr:uid="{00000000-0005-0000-0000-0000BCCD0000}"/>
    <cellStyle name="Ugyldig 2 2" xfId="21157" xr:uid="{00000000-0005-0000-0000-0000BDCD0000}"/>
    <cellStyle name="Ugyldig 3" xfId="7573" xr:uid="{00000000-0005-0000-0000-0000BECD0000}"/>
    <cellStyle name="Ugyldig 4" xfId="7574" xr:uid="{00000000-0005-0000-0000-0000BFCD0000}"/>
    <cellStyle name="Ugyldig 5" xfId="7575" xr:uid="{00000000-0005-0000-0000-0000C0CD0000}"/>
    <cellStyle name="Ugyldig 5 2" xfId="10679" xr:uid="{00000000-0005-0000-0000-0000C1CD0000}"/>
    <cellStyle name="Ugyldig 6" xfId="7588" xr:uid="{00000000-0005-0000-0000-0000C2CD0000}"/>
    <cellStyle name="Ugyldig 7" xfId="7571" xr:uid="{00000000-0005-0000-0000-0000C3CD0000}"/>
    <cellStyle name="UKTM Data 1" xfId="2689" xr:uid="{00000000-0005-0000-0000-0000C4CD0000}"/>
    <cellStyle name="UKTM Data 2" xfId="2690" xr:uid="{00000000-0005-0000-0000-0000C5CD0000}"/>
    <cellStyle name="Uncertain" xfId="20099" xr:uid="{00000000-0005-0000-0000-0000C6CD0000}"/>
    <cellStyle name="Unit" xfId="2691" xr:uid="{00000000-0005-0000-0000-0000C7CD0000}"/>
    <cellStyle name="Unit 2" xfId="2692" xr:uid="{00000000-0005-0000-0000-0000C8CD0000}"/>
    <cellStyle name="Unit 2 2" xfId="2693" xr:uid="{00000000-0005-0000-0000-0000C9CD0000}"/>
    <cellStyle name="Unit 2 3" xfId="2694" xr:uid="{00000000-0005-0000-0000-0000CACD0000}"/>
    <cellStyle name="Unit 3" xfId="2695" xr:uid="{00000000-0005-0000-0000-0000CBCD0000}"/>
    <cellStyle name="Valore non valido" xfId="2696" xr:uid="{00000000-0005-0000-0000-0000CCCD0000}"/>
    <cellStyle name="Valore valido" xfId="2697" xr:uid="{00000000-0005-0000-0000-0000CDCD0000}"/>
    <cellStyle name="Valuta 2" xfId="7577" xr:uid="{00000000-0005-0000-0000-0000CECD0000}"/>
    <cellStyle name="Valuta 3" xfId="7578" xr:uid="{00000000-0005-0000-0000-0000CFCD0000}"/>
    <cellStyle name="Valuta 4" xfId="7579" xr:uid="{00000000-0005-0000-0000-0000D0CD0000}"/>
    <cellStyle name="Valuta 5" xfId="7580" xr:uid="{00000000-0005-0000-0000-0000D1CD0000}"/>
    <cellStyle name="Valuta 6" xfId="7576" xr:uid="{00000000-0005-0000-0000-0000D2CD0000}"/>
    <cellStyle name="Valuutta_Layo9704" xfId="2698" xr:uid="{00000000-0005-0000-0000-0000D3CD0000}"/>
    <cellStyle name="Währung [0]_Tfz-Anzahl" xfId="2699" xr:uid="{00000000-0005-0000-0000-0000D4CD0000}"/>
    <cellStyle name="Währung_Tfz-Anzahl" xfId="2700" xr:uid="{00000000-0005-0000-0000-0000D5CD0000}"/>
    <cellStyle name="Warning Text" xfId="2701" builtinId="11" customBuiltin="1"/>
    <cellStyle name="Warning Text 2" xfId="2702" xr:uid="{00000000-0005-0000-0000-0000D7CD0000}"/>
    <cellStyle name="Warning Text 3" xfId="2703" xr:uid="{00000000-0005-0000-0000-0000D8CD0000}"/>
    <cellStyle name="Warning Text 4" xfId="2704" xr:uid="{00000000-0005-0000-0000-0000D9CD0000}"/>
    <cellStyle name="Warning Text 5" xfId="2705" xr:uid="{00000000-0005-0000-0000-0000DACD0000}"/>
    <cellStyle name="X08_Total Oil" xfId="3819" xr:uid="{00000000-0005-0000-0000-0000DBCD0000}"/>
    <cellStyle name="X12_Total Figs 1 dec" xfId="3820" xr:uid="{00000000-0005-0000-0000-0000DCCD0000}"/>
    <cellStyle name="Year" xfId="2706" xr:uid="{00000000-0005-0000-0000-0000DDCD0000}"/>
    <cellStyle name="Years" xfId="20100" xr:uid="{00000000-0005-0000-0000-0000DECD0000}"/>
    <cellStyle name="Βασικό_Φύλλο1" xfId="7581" xr:uid="{00000000-0005-0000-0000-0000DFCD0000}"/>
    <cellStyle name="Обычный_2++_CRFReport-template" xfId="2707" xr:uid="{00000000-0005-0000-0000-0000E0CD0000}"/>
    <cellStyle name="已访问的超链接" xfId="2708" xr:uid="{00000000-0005-0000-0000-0000E1CD0000}"/>
  </cellStyles>
  <dxfs count="48">
    <dxf>
      <font>
        <b/>
        <i val="0"/>
      </font>
      <fill>
        <patternFill>
          <bgColor rgb="FF00B0F0"/>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fgColor theme="7" tint="0.59999389629810485"/>
          <bgColor theme="7" tint="0.59999389629810485"/>
        </patternFill>
      </fill>
    </dxf>
    <dxf>
      <fill>
        <patternFill patternType="solid">
          <fgColor theme="7" tint="0.59999389629810485"/>
          <bgColor theme="7" tint="0.59999389629810485"/>
        </patternFill>
      </fill>
    </dxf>
    <dxf>
      <font>
        <b/>
        <color theme="0"/>
      </font>
      <fill>
        <patternFill patternType="solid">
          <fgColor theme="7"/>
          <bgColor theme="7"/>
        </patternFill>
      </fill>
    </dxf>
    <dxf>
      <font>
        <b/>
        <color theme="0"/>
      </font>
      <fill>
        <patternFill patternType="solid">
          <fgColor theme="7"/>
          <bgColor theme="7"/>
        </patternFill>
      </fill>
    </dxf>
    <dxf>
      <font>
        <b/>
        <color theme="0"/>
      </font>
      <fill>
        <patternFill patternType="solid">
          <fgColor theme="7"/>
          <bgColor theme="7"/>
        </patternFill>
      </fill>
      <border>
        <top style="thick">
          <color theme="0"/>
        </top>
      </border>
    </dxf>
    <dxf>
      <font>
        <b/>
        <color theme="0"/>
      </font>
      <fill>
        <patternFill patternType="solid">
          <fgColor theme="7"/>
          <bgColor theme="7"/>
        </patternFill>
      </fill>
      <border>
        <bottom style="thick">
          <color theme="0"/>
        </bottom>
      </border>
    </dxf>
    <dxf>
      <font>
        <color theme="1"/>
      </font>
      <fill>
        <patternFill patternType="solid">
          <fgColor theme="7" tint="0.79998168889431442"/>
          <bgColor theme="7" tint="0.79998168889431442"/>
        </patternFill>
      </fill>
      <border>
        <vertical style="thin">
          <color theme="0"/>
        </vertical>
        <horizontal style="thin">
          <color theme="0"/>
        </horizontal>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
      <fill>
        <patternFill patternType="solid">
          <fgColor theme="7" tint="0.79998168889431442"/>
          <bgColor theme="7" tint="0.79998168889431442"/>
        </patternFill>
      </fill>
    </dxf>
    <dxf>
      <fill>
        <patternFill patternType="solid">
          <fgColor theme="7" tint="0.79995117038483843"/>
          <bgColor theme="7" tint="0.59996337778862885"/>
        </patternFill>
      </fill>
    </dxf>
    <dxf>
      <font>
        <b/>
        <color theme="7" tint="-0.249977111117893"/>
      </font>
    </dxf>
    <dxf>
      <font>
        <b/>
        <color theme="7" tint="-0.249977111117893"/>
      </font>
    </dxf>
    <dxf>
      <font>
        <b/>
        <color theme="7" tint="-0.249977111117893"/>
      </font>
      <border>
        <top style="thin">
          <color theme="7"/>
        </top>
      </border>
    </dxf>
    <dxf>
      <font>
        <b/>
        <i val="0"/>
        <color theme="7" tint="-0.499984740745262"/>
      </font>
      <border>
        <bottom style="thin">
          <color theme="7"/>
        </bottom>
      </border>
    </dxf>
    <dxf>
      <font>
        <color theme="7" tint="-0.499984740745262"/>
      </font>
      <border>
        <top style="thin">
          <color theme="7"/>
        </top>
        <bottom style="thin">
          <color theme="7"/>
        </bottom>
      </border>
    </dxf>
    <dxf>
      <fill>
        <patternFill patternType="solid">
          <fgColor theme="6" tint="0.79998168889431442"/>
          <bgColor theme="6" tint="0.79998168889431442"/>
        </patternFill>
      </fill>
    </dxf>
    <dxf>
      <fill>
        <patternFill patternType="solid">
          <fgColor theme="6" tint="0.79995117038483843"/>
          <bgColor theme="6" tint="0.59996337778862885"/>
        </patternFill>
      </fill>
    </dxf>
    <dxf>
      <font>
        <b/>
        <color theme="6" tint="-0.249977111117893"/>
      </font>
    </dxf>
    <dxf>
      <font>
        <b/>
        <color theme="6" tint="-0.249977111117893"/>
      </font>
    </dxf>
    <dxf>
      <font>
        <b/>
        <color theme="6" tint="-0.249977111117893"/>
      </font>
      <border>
        <top style="thin">
          <color theme="6"/>
        </top>
      </border>
    </dxf>
    <dxf>
      <font>
        <b/>
        <i val="0"/>
        <color theme="5"/>
      </font>
      <border>
        <bottom style="thin">
          <color theme="6"/>
        </bottom>
      </border>
    </dxf>
    <dxf>
      <font>
        <color auto="1"/>
      </font>
      <border>
        <top style="thin">
          <color theme="6"/>
        </top>
        <bottom style="thin">
          <color theme="6"/>
        </bottom>
      </border>
    </dxf>
    <dxf>
      <border>
        <left style="thin">
          <color theme="7"/>
        </left>
      </border>
    </dxf>
    <dxf>
      <border>
        <left style="thin">
          <color theme="7"/>
        </left>
      </border>
    </dxf>
    <dxf>
      <border>
        <top style="thin">
          <color theme="7"/>
        </top>
      </border>
    </dxf>
    <dxf>
      <border>
        <top style="thin">
          <color theme="7"/>
        </top>
      </border>
    </dxf>
    <dxf>
      <font>
        <b/>
        <color theme="1"/>
      </font>
    </dxf>
    <dxf>
      <font>
        <b/>
        <color theme="1"/>
      </font>
    </dxf>
    <dxf>
      <font>
        <b/>
        <color theme="1"/>
      </font>
      <border>
        <top style="double">
          <color theme="7"/>
        </top>
      </border>
    </dxf>
    <dxf>
      <font>
        <b/>
        <color theme="0"/>
      </font>
      <fill>
        <patternFill patternType="solid">
          <fgColor theme="7"/>
          <bgColor theme="7"/>
        </patternFill>
      </fill>
    </dxf>
    <dxf>
      <font>
        <color theme="1"/>
      </font>
      <border>
        <left style="thin">
          <color theme="7"/>
        </left>
        <right style="thin">
          <color theme="7"/>
        </right>
        <top style="thin">
          <color theme="7"/>
        </top>
        <bottom style="thin">
          <color theme="7"/>
        </bottom>
      </border>
    </dxf>
    <dxf>
      <border>
        <left style="thin">
          <color theme="6"/>
        </left>
      </border>
    </dxf>
    <dxf>
      <border>
        <left style="thin">
          <color theme="6"/>
        </left>
      </border>
    </dxf>
    <dxf>
      <border>
        <top style="thin">
          <color theme="6"/>
        </top>
      </border>
    </dxf>
    <dxf>
      <border>
        <top style="thin">
          <color theme="6"/>
        </top>
      </border>
    </dxf>
    <dxf>
      <font>
        <b/>
        <color theme="1"/>
      </font>
    </dxf>
    <dxf>
      <font>
        <b/>
        <color theme="1"/>
      </font>
    </dxf>
    <dxf>
      <font>
        <b/>
        <color theme="1"/>
      </font>
      <border>
        <top style="double">
          <color theme="6"/>
        </top>
      </border>
    </dxf>
    <dxf>
      <font>
        <b/>
        <i val="0"/>
        <color theme="0"/>
      </font>
      <fill>
        <patternFill patternType="solid">
          <fgColor theme="6"/>
          <bgColor theme="6"/>
        </patternFill>
      </fill>
    </dxf>
    <dxf>
      <font>
        <color theme="1"/>
      </font>
      <border>
        <left style="thin">
          <color theme="6"/>
        </left>
        <right style="thin">
          <color theme="6"/>
        </right>
        <top style="thin">
          <color theme="6"/>
        </top>
        <bottom style="thin">
          <color theme="6"/>
        </bottom>
      </border>
    </dxf>
  </dxfs>
  <tableStyles count="7" defaultTableStyle="TableStyleMedium9" defaultPivotStyle="PivotStyleLight16">
    <tableStyle name="E4tech Table Style_1" pivot="0" count="9" xr9:uid="{00000000-0011-0000-FFFF-FFFF00000000}">
      <tableStyleElement type="wholeTable" dxfId="47"/>
      <tableStyleElement type="headerRow" dxfId="46"/>
      <tableStyleElement type="totalRow" dxfId="45"/>
      <tableStyleElement type="firstColumn" dxfId="44"/>
      <tableStyleElement type="lastColumn" dxfId="43"/>
      <tableStyleElement type="firstRowStripe" dxfId="42"/>
      <tableStyleElement type="secondRowStripe" dxfId="41"/>
      <tableStyleElement type="firstColumnStripe" dxfId="40"/>
      <tableStyleElement type="secondColumnStripe" dxfId="39"/>
    </tableStyle>
    <tableStyle name="E4tech Table Style_2" pivot="0" count="9" xr9:uid="{00000000-0011-0000-FFFF-FFFF0100000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 name="E4tech Table Style_3" pivot="0" count="7" xr9:uid="{00000000-0011-0000-FFFF-FFFF02000000}">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E4tech Table Style_4" pivot="0" count="7" xr9:uid="{00000000-0011-0000-FFFF-FFFF03000000}">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E4tech Table Style_5" pivot="0" count="7" xr9:uid="{00000000-0011-0000-FFFF-FFFF04000000}">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E4tech Table Style_6" pivot="0" count="7" xr9:uid="{00000000-0011-0000-FFFF-FFFF05000000}">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Tmpl_Table" pivot="0" count="2" xr9:uid="{00000000-0011-0000-FFFF-FFFF06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15</xdr:col>
      <xdr:colOff>30480</xdr:colOff>
      <xdr:row>9</xdr:row>
      <xdr:rowOff>129540</xdr:rowOff>
    </xdr:from>
    <xdr:ext cx="5141407" cy="78124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8816340" y="1783080"/>
          <a:ext cx="5141407" cy="7812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In</a:t>
          </a:r>
          <a:r>
            <a:rPr lang="en-GB" sz="1100" baseline="0"/>
            <a:t> range 2010-2050 demand increases of 127%.</a:t>
          </a:r>
        </a:p>
        <a:p>
          <a:r>
            <a:rPr lang="en-GB" sz="1100" baseline="0"/>
            <a:t>If as a driver for TTB I just use population the TTB incrteases in same time period of9%.</a:t>
          </a:r>
        </a:p>
        <a:p>
          <a:r>
            <a:rPr lang="en-GB" sz="1100" baseline="0"/>
            <a:t>If I use the pkm driver I have constant speed.</a:t>
          </a:r>
        </a:p>
        <a:p>
          <a:r>
            <a:rPr lang="en-GB" sz="1100" baseline="0"/>
            <a:t>I can use population driver corrected with 7.5% factor as Pye &amp;Daly</a:t>
          </a:r>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19</xdr:col>
      <xdr:colOff>497205</xdr:colOff>
      <xdr:row>5</xdr:row>
      <xdr:rowOff>116205</xdr:rowOff>
    </xdr:from>
    <xdr:to>
      <xdr:col>25</xdr:col>
      <xdr:colOff>302895</xdr:colOff>
      <xdr:row>16</xdr:row>
      <xdr:rowOff>140970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5022830" y="1078230"/>
          <a:ext cx="3625215" cy="2120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The</a:t>
          </a:r>
          <a:r>
            <a:rPr lang="da-DK" sz="1100" baseline="0"/>
            <a:t> yearly travel time budget for Denmark is expressed in Million hours. It is calculated as the product of the average travel time per day (in hours) multiplied by 365 (days in year) and by the population.</a:t>
          </a:r>
        </a:p>
        <a:p>
          <a:endParaRPr lang="da-DK" sz="1100" baseline="0"/>
        </a:p>
        <a:p>
          <a:r>
            <a:rPr lang="en-GB" sz="1100" b="0" i="0" u="none" strike="noStrike">
              <a:solidFill>
                <a:schemeClr val="dk1"/>
              </a:solidFill>
              <a:effectLst/>
              <a:latin typeface="+mn-lt"/>
              <a:ea typeface="+mn-ea"/>
              <a:cs typeface="+mn-cs"/>
            </a:rPr>
            <a:t>Weighted average using as weights those of TU, characterizing the representivness of the intervieews</a:t>
          </a:r>
          <a:r>
            <a:rPr lang="en-GB"/>
            <a:t> </a:t>
          </a:r>
          <a:r>
            <a:rPr lang="en-GB" sz="1100" b="0" i="0" u="none" strike="noStrike">
              <a:solidFill>
                <a:schemeClr val="dk1"/>
              </a:solidFill>
              <a:effectLst/>
              <a:latin typeface="+mn-lt"/>
              <a:ea typeface="+mn-ea"/>
              <a:cs typeface="+mn-cs"/>
            </a:rPr>
            <a:t>Since in TU the category Walk includes also running, to avoid accounting running, the purposes like "trip itself" and "sport" have not been considered</a:t>
          </a:r>
          <a:r>
            <a:rPr lang="en-GB"/>
            <a:t> </a:t>
          </a:r>
          <a:endParaRPr lang="da-DK" sz="1100" baseline="0"/>
        </a:p>
        <a:p>
          <a:endParaRPr lang="da-DK" sz="1100"/>
        </a:p>
      </xdr:txBody>
    </xdr:sp>
    <xdr:clientData/>
  </xdr:twoCellAnchor>
  <xdr:twoCellAnchor>
    <xdr:from>
      <xdr:col>7</xdr:col>
      <xdr:colOff>7620</xdr:colOff>
      <xdr:row>3</xdr:row>
      <xdr:rowOff>38100</xdr:rowOff>
    </xdr:from>
    <xdr:to>
      <xdr:col>11</xdr:col>
      <xdr:colOff>205740</xdr:colOff>
      <xdr:row>10</xdr:row>
      <xdr:rowOff>45720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6827520" y="609600"/>
          <a:ext cx="2998470" cy="135064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Time=1/speed*occupancy</a:t>
          </a:r>
          <a:r>
            <a:rPr lang="da-DK" sz="1100" baseline="0"/>
            <a:t> </a:t>
          </a:r>
          <a:r>
            <a:rPr lang="da-DK" sz="1100"/>
            <a:t>For daly </a:t>
          </a:r>
        </a:p>
        <a:p>
          <a:pPr marL="0" marR="0" lvl="0" indent="0" defTabSz="914400" eaLnBrk="1" fontAlgn="auto" latinLnBrk="0" hangingPunct="1">
            <a:lnSpc>
              <a:spcPct val="100000"/>
            </a:lnSpc>
            <a:spcBef>
              <a:spcPts val="0"/>
            </a:spcBef>
            <a:spcAft>
              <a:spcPts val="0"/>
            </a:spcAft>
            <a:buClrTx/>
            <a:buSzTx/>
            <a:buFontTx/>
            <a:buNone/>
            <a:tabLst/>
            <a:defRPr/>
          </a:pPr>
          <a:r>
            <a:rPr lang="da-DK" sz="1100"/>
            <a:t>(</a:t>
          </a:r>
          <a:r>
            <a:rPr lang="da-DK" sz="1100">
              <a:solidFill>
                <a:schemeClr val="dk1"/>
              </a:solidFill>
              <a:effectLst/>
              <a:latin typeface="+mn-lt"/>
              <a:ea typeface="+mn-ea"/>
              <a:cs typeface="+mn-cs"/>
            </a:rPr>
            <a:t>Occupancy defined related</a:t>
          </a:r>
          <a:r>
            <a:rPr lang="da-DK" sz="1100" baseline="0">
              <a:solidFill>
                <a:schemeClr val="dk1"/>
              </a:solidFill>
              <a:effectLst/>
              <a:latin typeface="+mn-lt"/>
              <a:ea typeface="+mn-ea"/>
              <a:cs typeface="+mn-cs"/>
            </a:rPr>
            <a:t> to vehicles).</a:t>
          </a:r>
        </a:p>
        <a:p>
          <a:pPr marL="0" marR="0" lvl="0" indent="0" defTabSz="914400" eaLnBrk="1" fontAlgn="auto" latinLnBrk="0" hangingPunct="1">
            <a:lnSpc>
              <a:spcPct val="100000"/>
            </a:lnSpc>
            <a:spcBef>
              <a:spcPts val="0"/>
            </a:spcBef>
            <a:spcAft>
              <a:spcPts val="0"/>
            </a:spcAft>
            <a:buClrTx/>
            <a:buSzTx/>
            <a:buFontTx/>
            <a:buNone/>
            <a:tabLst/>
            <a:defRPr/>
          </a:pPr>
          <a:endParaRPr lang="da-DK" sz="1100"/>
        </a:p>
        <a:p>
          <a:r>
            <a:rPr lang="da-DK" sz="1100"/>
            <a:t>Daly expresses speed related to ACTIVITY,</a:t>
          </a:r>
          <a:r>
            <a:rPr lang="da-DK" sz="1100" baseline="0"/>
            <a:t> </a:t>
          </a:r>
          <a:r>
            <a:rPr lang="da-DK" sz="1100"/>
            <a:t> but we do it for FLO,which</a:t>
          </a:r>
          <a:r>
            <a:rPr lang="da-DK" sz="1100" baseline="0"/>
            <a:t> is expressed as Mpassengers</a:t>
          </a:r>
        </a:p>
        <a:p>
          <a:r>
            <a:rPr lang="da-DK" sz="1100" baseline="0"/>
            <a:t>So </a:t>
          </a:r>
          <a:r>
            <a:rPr lang="da-DK" sz="1100">
              <a:solidFill>
                <a:schemeClr val="dk1"/>
              </a:solidFill>
              <a:effectLst/>
              <a:latin typeface="+mn-lt"/>
              <a:ea typeface="+mn-ea"/>
              <a:cs typeface="+mn-cs"/>
            </a:rPr>
            <a:t>time=1/speed.</a:t>
          </a:r>
          <a:endParaRPr lang="da-DK" sz="1100"/>
        </a:p>
        <a:p>
          <a:endParaRPr lang="da-DK" sz="1100" baseline="0"/>
        </a:p>
      </xdr:txBody>
    </xdr:sp>
    <xdr:clientData/>
  </xdr:twoCellAnchor>
  <xdr:twoCellAnchor>
    <xdr:from>
      <xdr:col>6</xdr:col>
      <xdr:colOff>655320</xdr:colOff>
      <xdr:row>11</xdr:row>
      <xdr:rowOff>137160</xdr:rowOff>
    </xdr:from>
    <xdr:to>
      <xdr:col>11</xdr:col>
      <xdr:colOff>137160</xdr:colOff>
      <xdr:row>17</xdr:row>
      <xdr:rowOff>30480</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6741795" y="2242185"/>
          <a:ext cx="3015615" cy="1036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This table used</a:t>
          </a:r>
          <a:r>
            <a:rPr lang="da-DK" sz="1100" baseline="0"/>
            <a:t> attribute FLO_FUNC in order to say that depending on which demand commodity is satisfied, the same technology has different valus of speed, defined by means of the process TIMES.</a:t>
          </a:r>
          <a:endParaRPr lang="da-DK" sz="1100"/>
        </a:p>
      </xdr:txBody>
    </xdr:sp>
    <xdr:clientData/>
  </xdr:twoCellAnchor>
  <xdr:oneCellAnchor>
    <xdr:from>
      <xdr:col>18</xdr:col>
      <xdr:colOff>598170</xdr:colOff>
      <xdr:row>1</xdr:row>
      <xdr:rowOff>160020</xdr:rowOff>
    </xdr:from>
    <xdr:ext cx="4823460" cy="609013"/>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4514195" y="350520"/>
          <a:ext cx="4823460" cy="609013"/>
        </a:xfrm>
        <a:prstGeom prst="rect">
          <a:avLst/>
        </a:prstGeom>
        <a:solidFill>
          <a:sysClr val="window" lastClr="FFFF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When cars (TPC*) meet</a:t>
          </a:r>
          <a:r>
            <a:rPr lang="en-GB" sz="1100" baseline="0"/>
            <a:t> demand TPS they consume 0.021 of commodity TIMES.</a:t>
          </a:r>
        </a:p>
        <a:p>
          <a:r>
            <a:rPr lang="en-GB" sz="1100" baseline="0"/>
            <a:t>With this table I amnage to specify for the same mode different speeds depending on the distance of the trip.</a:t>
          </a:r>
          <a:endParaRPr lang="en-GB"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xdr:row>
      <xdr:rowOff>0</xdr:rowOff>
    </xdr:from>
    <xdr:ext cx="9752093" cy="3536866"/>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609600" y="571500"/>
          <a:ext cx="9752093" cy="3536866"/>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Minimum public</a:t>
          </a:r>
          <a:r>
            <a:rPr lang="en-GB" sz="1100" b="1" baseline="0"/>
            <a:t> transport </a:t>
          </a:r>
          <a:r>
            <a:rPr lang="en-GB" sz="1100" baseline="0"/>
            <a:t>share can be obtained by means of specific assumption, considering the number of people without access to car.</a:t>
          </a:r>
        </a:p>
        <a:p>
          <a:r>
            <a:rPr lang="en-GB" sz="1100" baseline="0"/>
            <a:t>People without car can go walking or by bike in short distance (for trips shorter than 3 and 10 km respectivly),  while for medium and long distance need public service.</a:t>
          </a:r>
        </a:p>
        <a:p>
          <a:r>
            <a:rPr lang="en-GB" sz="1100" baseline="0"/>
            <a:t>By assuming that the share of population without car availability will remain the same as that given by TU survey, it is possible to obtain the number of people who</a:t>
          </a:r>
        </a:p>
        <a:p>
          <a:r>
            <a:rPr lang="en-GB" sz="1100" baseline="0"/>
            <a:t>in the future will require public transport. </a:t>
          </a:r>
        </a:p>
        <a:p>
          <a:r>
            <a:rPr lang="en-GB" sz="1100" baseline="0"/>
            <a:t>Converting a share of population (6.9%) into pkm requires knowing how many km those people run. Considerind that each person has a constant TTB, depending on </a:t>
          </a:r>
        </a:p>
        <a:p>
          <a:r>
            <a:rPr lang="en-GB" sz="1100" baseline="0"/>
            <a:t>the mode used (and therefore on the speed) different km (thus pkm) are travelled per year.</a:t>
          </a:r>
        </a:p>
        <a:p>
          <a:r>
            <a:rPr lang="en-GB" sz="1100" baseline="0"/>
            <a:t>It has been calculated that the speed for car and for public transport is almost the same (weightd on the pkm in short/medium/long): therefore a person without</a:t>
          </a:r>
        </a:p>
        <a:p>
          <a:r>
            <a:rPr lang="en-GB" sz="1100" baseline="0"/>
            <a:t>car travels the same amount of km as a person with the car. </a:t>
          </a:r>
        </a:p>
        <a:p>
          <a:endParaRPr lang="en-GB" sz="1100" baseline="0"/>
        </a:p>
        <a:p>
          <a:r>
            <a:rPr lang="en-GB" sz="1100" baseline="0"/>
            <a:t>(Knowing number of people, to get the minimum pkm of public transport, the km/person are requiered. These can be calculated from the figures </a:t>
          </a:r>
        </a:p>
        <a:p>
          <a:r>
            <a:rPr lang="en-GB" sz="1100" baseline="0"/>
            <a:t>of Statistiks Danmrk. Must be assumed that people without car make same amount of km than people with car).</a:t>
          </a:r>
        </a:p>
        <a:p>
          <a:endParaRPr lang="en-GB" sz="1100" baseline="0"/>
        </a:p>
        <a:p>
          <a:r>
            <a:rPr lang="en-GB" sz="1100" baseline="0"/>
            <a:t>Moreover, bike and walk can only be used for trips shorter than 10 km. But short travel demand includes trips of distance until 25 kilometres. Therefore, public</a:t>
          </a:r>
        </a:p>
        <a:p>
          <a:r>
            <a:rPr lang="en-GB" sz="1100" baseline="0"/>
            <a:t> transport is required to meet short distance travel demand between 10 and 25 km.</a:t>
          </a:r>
        </a:p>
        <a:p>
          <a:endParaRPr lang="en-GB" sz="1100" baseline="0"/>
        </a:p>
        <a:p>
          <a:r>
            <a:rPr lang="en-GB" sz="1100" baseline="0"/>
            <a:t>I consider the future demand in medium and long distance and I consider that a share of that amount equal to the share of people in DK without </a:t>
          </a:r>
        </a:p>
        <a:p>
          <a:r>
            <a:rPr lang="en-GB" sz="1100" baseline="0"/>
            <a:t>car availability has to be fulfilled by public transport. This simple calculation requires the assumption that people without car run same amount </a:t>
          </a:r>
        </a:p>
        <a:p>
          <a:r>
            <a:rPr lang="en-GB" sz="1100" baseline="0"/>
            <a:t>of kilometers as other categories.</a:t>
          </a:r>
        </a:p>
        <a:p>
          <a:endParaRPr lang="en-GB" sz="1100" baseline="0"/>
        </a:p>
        <a:p>
          <a:r>
            <a:rPr lang="en-GB" sz="1100" baseline="0"/>
            <a:t>Not car ownership bur car availability (even worse set).</a:t>
          </a:r>
        </a:p>
      </xdr:txBody>
    </xdr:sp>
    <xdr:clientData/>
  </xdr:oneCellAnchor>
  <xdr:oneCellAnchor>
    <xdr:from>
      <xdr:col>0</xdr:col>
      <xdr:colOff>586740</xdr:colOff>
      <xdr:row>23</xdr:row>
      <xdr:rowOff>15240</xdr:rowOff>
    </xdr:from>
    <xdr:ext cx="5965223" cy="1642373"/>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586740" y="4396740"/>
          <a:ext cx="5965223" cy="164237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Bike, Walk, Moto, Moped</a:t>
          </a:r>
        </a:p>
        <a:p>
          <a:r>
            <a:rPr lang="en-GB" sz="1100"/>
            <a:t>These</a:t>
          </a:r>
          <a:r>
            <a:rPr lang="en-GB" sz="1100" baseline="0"/>
            <a:t> constraints have been obtained from the TU Survey. </a:t>
          </a:r>
        </a:p>
        <a:p>
          <a:r>
            <a:rPr lang="en-GB" sz="1100" baseline="0">
              <a:solidFill>
                <a:schemeClr val="tx1"/>
              </a:solidFill>
              <a:effectLst/>
              <a:latin typeface="+mn-lt"/>
              <a:ea typeface="+mn-ea"/>
              <a:cs typeface="+mn-cs"/>
            </a:rPr>
            <a:t>From the TU survey has been calculated the number of km travelled for a certain </a:t>
          </a:r>
          <a:endParaRPr lang="en-GB">
            <a:effectLst/>
          </a:endParaRPr>
        </a:p>
        <a:p>
          <a:r>
            <a:rPr lang="en-GB" sz="1100" baseline="0">
              <a:solidFill>
                <a:schemeClr val="tx1"/>
              </a:solidFill>
              <a:effectLst/>
              <a:latin typeface="+mn-lt"/>
              <a:ea typeface="+mn-ea"/>
              <a:cs typeface="+mn-cs"/>
            </a:rPr>
            <a:t>purpose that can not be fulfilled with other modes. These km have been compared</a:t>
          </a:r>
          <a:endParaRPr lang="en-GB">
            <a:effectLst/>
          </a:endParaRPr>
        </a:p>
        <a:p>
          <a:r>
            <a:rPr lang="en-GB" sz="1100" baseline="0">
              <a:solidFill>
                <a:schemeClr val="tx1"/>
              </a:solidFill>
              <a:effectLst/>
              <a:latin typeface="+mn-lt"/>
              <a:ea typeface="+mn-ea"/>
              <a:cs typeface="+mn-cs"/>
            </a:rPr>
            <a:t> with the total km to get the percentage on the total (and then normalized with the Mpkm in TIMES).</a:t>
          </a:r>
        </a:p>
        <a:p>
          <a:r>
            <a:rPr lang="en-GB" sz="1100" baseline="0">
              <a:solidFill>
                <a:schemeClr val="tx1"/>
              </a:solidFill>
              <a:effectLst/>
              <a:latin typeface="+mn-lt"/>
              <a:ea typeface="+mn-ea"/>
              <a:cs typeface="+mn-cs"/>
            </a:rPr>
            <a:t>The unreplacable purpose is when the trip is the purpose itself: if a person goes walking, </a:t>
          </a:r>
        </a:p>
        <a:p>
          <a:r>
            <a:rPr lang="en-GB" sz="1100" baseline="0">
              <a:solidFill>
                <a:schemeClr val="tx1"/>
              </a:solidFill>
              <a:effectLst/>
              <a:latin typeface="+mn-lt"/>
              <a:ea typeface="+mn-ea"/>
              <a:cs typeface="+mn-cs"/>
            </a:rPr>
            <a:t>by bike, by moto just for enjoying the trip, such trip can't be substituted by other modes.</a:t>
          </a:r>
        </a:p>
        <a:p>
          <a:r>
            <a:rPr lang="en-GB" sz="1100" baseline="0">
              <a:solidFill>
                <a:schemeClr val="tx1"/>
              </a:solidFill>
              <a:effectLst/>
              <a:latin typeface="+mn-lt"/>
              <a:ea typeface="+mn-ea"/>
              <a:cs typeface="+mn-cs"/>
            </a:rPr>
            <a:t>Data can be found in Master excel.</a:t>
          </a:r>
          <a:endParaRPr lang="en-GB">
            <a:effectLst/>
          </a:endParaRPr>
        </a:p>
        <a:p>
          <a:endParaRPr lang="en-GB"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10</xdr:col>
      <xdr:colOff>586740</xdr:colOff>
      <xdr:row>1</xdr:row>
      <xdr:rowOff>22860</xdr:rowOff>
    </xdr:from>
    <xdr:ext cx="4495141" cy="781240"/>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6682740" y="213360"/>
          <a:ext cx="4495141" cy="78124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In short distance bus substitutes</a:t>
          </a:r>
          <a:r>
            <a:rPr lang="en-GB" sz="1100" baseline="0"/>
            <a:t> for sure trips by car. </a:t>
          </a:r>
        </a:p>
        <a:p>
          <a:r>
            <a:rPr lang="en-GB" sz="1100" baseline="0"/>
            <a:t>But for trips shoprter than 5 km (extra short) people might substitute</a:t>
          </a:r>
        </a:p>
        <a:p>
          <a:r>
            <a:rPr lang="en-GB" sz="1100" baseline="0"/>
            <a:t> car with bike and walk. Therefore in sceanario flexible DP the min share for</a:t>
          </a:r>
        </a:p>
        <a:p>
          <a:r>
            <a:rPr lang="en-GB" sz="1100" baseline="0"/>
            <a:t>extra short distance travel demand is set to 0.</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106680</xdr:colOff>
      <xdr:row>5</xdr:row>
      <xdr:rowOff>60960</xdr:rowOff>
    </xdr:from>
    <xdr:ext cx="10133800" cy="2159053"/>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716280" y="1013460"/>
          <a:ext cx="10133800" cy="2159053"/>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Here I set constraints on the maximum modal shift potential</a:t>
          </a:r>
          <a:r>
            <a:rPr lang="en-GB" sz="1100" baseline="0"/>
            <a:t> between modes</a:t>
          </a:r>
        </a:p>
        <a:p>
          <a:r>
            <a:rPr lang="en-GB" sz="1100" baseline="0"/>
            <a:t>I assume that the shift can happen from whatever mode to wahatever mode (total competition).</a:t>
          </a:r>
        </a:p>
        <a:p>
          <a:r>
            <a:rPr lang="en-GB" sz="1100" baseline="0"/>
            <a:t>The only criteria to be respected is that only trip (so pkm) lower than 3 km can be shifted to walk and only trips lower than 10 km </a:t>
          </a:r>
        </a:p>
        <a:p>
          <a:r>
            <a:rPr lang="en-GB" sz="1100" baseline="0"/>
            <a:t>can be shifted to bike. This distance km have been observed from the trip distance profiles built starting from TU survey.</a:t>
          </a:r>
        </a:p>
        <a:p>
          <a:r>
            <a:rPr lang="en-GB" sz="1100" baseline="0"/>
            <a:t>95% of trips taken on foot are shorter than 3 km and 95% of trips taken by bike are shorter than 10km. From this it has been assumed than walk and bike</a:t>
          </a:r>
        </a:p>
        <a:p>
          <a:r>
            <a:rPr lang="en-GB" sz="1100" baseline="0"/>
            <a:t>can only steal from other modes pkm taken in respectively 0-3 km and 0-10 km range. The shares of tot pkm travelled in thesse ranges have been calculated for all the modes</a:t>
          </a:r>
        </a:p>
        <a:p>
          <a:r>
            <a:rPr lang="en-GB" sz="1100" baseline="0"/>
            <a:t>from TU survey.</a:t>
          </a:r>
        </a:p>
        <a:p>
          <a:endParaRPr lang="en-GB" sz="1100" baseline="0"/>
        </a:p>
        <a:p>
          <a:r>
            <a:rPr lang="en-GB" sz="1100" baseline="0"/>
            <a:t>It has been evrified from TU that walk and bike are used for all kind of purposes (also picking up people, business, carrying objects). Therefore they can replace</a:t>
          </a:r>
        </a:p>
        <a:p>
          <a:r>
            <a:rPr lang="en-GB" sz="1100" baseline="0"/>
            <a:t>all pkm if they are shorter than 3 and 10km!</a:t>
          </a:r>
        </a:p>
        <a:p>
          <a:endParaRPr lang="en-GB" sz="1100" baseline="0"/>
        </a:p>
        <a:p>
          <a:r>
            <a:rPr lang="en-GB" sz="1100" baseline="0"/>
            <a:t>Potential Share in 2050 = demand in base model in 2050 + Maximum shift from other modes</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9</xdr:col>
      <xdr:colOff>548640</xdr:colOff>
      <xdr:row>2</xdr:row>
      <xdr:rowOff>30480</xdr:rowOff>
    </xdr:from>
    <xdr:ext cx="4495141" cy="781240"/>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6035040" y="411480"/>
          <a:ext cx="4495141" cy="78124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In short distance bus substitutes</a:t>
          </a:r>
          <a:r>
            <a:rPr lang="en-GB" sz="1100" baseline="0"/>
            <a:t> for sure trips by car. </a:t>
          </a:r>
        </a:p>
        <a:p>
          <a:r>
            <a:rPr lang="en-GB" sz="1100" baseline="0"/>
            <a:t>But for trips shoprter than 5 km (extra short) people might substitute</a:t>
          </a:r>
        </a:p>
        <a:p>
          <a:r>
            <a:rPr lang="en-GB" sz="1100" baseline="0"/>
            <a:t> car with bike and walk. Therefore is sceanario flexible DP the min share for</a:t>
          </a:r>
        </a:p>
        <a:p>
          <a:r>
            <a:rPr lang="en-GB" sz="1100" baseline="0"/>
            <a:t>extra short distance travel demand is 0.</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11</xdr:col>
      <xdr:colOff>571500</xdr:colOff>
      <xdr:row>5</xdr:row>
      <xdr:rowOff>167640</xdr:rowOff>
    </xdr:from>
    <xdr:to>
      <xdr:col>17</xdr:col>
      <xdr:colOff>434340</xdr:colOff>
      <xdr:row>16</xdr:row>
      <xdr:rowOff>68580</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8168640" y="1082040"/>
          <a:ext cx="3596640" cy="1912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The</a:t>
          </a:r>
          <a:r>
            <a:rPr lang="da-DK" sz="1100" baseline="0"/>
            <a:t> yearly travel time budget for Denmark is expressed in Million hours. It is calculated as the product of the average travel time per day (in hours) multiplied by 365 (days in year) and by the population.</a:t>
          </a:r>
        </a:p>
        <a:p>
          <a:endParaRPr lang="da-DK" sz="1100" baseline="0"/>
        </a:p>
        <a:p>
          <a:r>
            <a:rPr lang="en-GB" sz="1100" b="0" i="0" u="none" strike="noStrike">
              <a:solidFill>
                <a:schemeClr val="dk1"/>
              </a:solidFill>
              <a:effectLst/>
              <a:latin typeface="+mn-lt"/>
              <a:ea typeface="+mn-ea"/>
              <a:cs typeface="+mn-cs"/>
            </a:rPr>
            <a:t>Weighted average using as weights those of TU, characterizing the representivness of the intervieews</a:t>
          </a:r>
          <a:r>
            <a:rPr lang="en-GB"/>
            <a:t> </a:t>
          </a:r>
          <a:r>
            <a:rPr lang="en-GB" sz="1100" b="0" i="0" u="none" strike="noStrike">
              <a:solidFill>
                <a:schemeClr val="dk1"/>
              </a:solidFill>
              <a:effectLst/>
              <a:latin typeface="+mn-lt"/>
              <a:ea typeface="+mn-ea"/>
              <a:cs typeface="+mn-cs"/>
            </a:rPr>
            <a:t>Since in TU the category Walk includes also running, to avoid accounting running, the purposes like "trip itself" and "sport" have not been considered</a:t>
          </a:r>
          <a:r>
            <a:rPr lang="en-GB"/>
            <a:t> </a:t>
          </a:r>
          <a:endParaRPr lang="da-DK"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3:E5"/>
  <sheetViews>
    <sheetView workbookViewId="0">
      <selection activeCell="E11" sqref="E11"/>
    </sheetView>
  </sheetViews>
  <sheetFormatPr defaultRowHeight="14.4"/>
  <cols>
    <col min="1" max="1" width="11.5546875" customWidth="1"/>
    <col min="2" max="2" width="15.6640625" customWidth="1"/>
    <col min="3" max="3" width="13.88671875" customWidth="1"/>
    <col min="4" max="4" width="19.88671875" customWidth="1"/>
    <col min="5" max="5" width="60.33203125" customWidth="1"/>
  </cols>
  <sheetData>
    <row r="3" spans="1:5">
      <c r="A3" s="90" t="s">
        <v>335</v>
      </c>
      <c r="B3" s="90" t="s">
        <v>336</v>
      </c>
      <c r="C3" s="90" t="s">
        <v>337</v>
      </c>
      <c r="D3" s="90" t="s">
        <v>338</v>
      </c>
      <c r="E3" s="90" t="s">
        <v>339</v>
      </c>
    </row>
    <row r="4" spans="1:5" s="93" customFormat="1">
      <c r="A4" s="94">
        <v>43529</v>
      </c>
      <c r="B4" s="93" t="s">
        <v>340</v>
      </c>
      <c r="C4" s="93" t="s">
        <v>408</v>
      </c>
      <c r="D4" s="93" t="str">
        <f>ADDRESS(ROW('TTB from TIMES population'!B3),COLUMN('TTB from TIMES population'!B3),4,1)</f>
        <v>B3</v>
      </c>
      <c r="E4" s="93" t="s">
        <v>409</v>
      </c>
    </row>
    <row r="5" spans="1:5" s="93" customFormat="1">
      <c r="A5" s="94">
        <v>43437</v>
      </c>
      <c r="B5" s="93" t="s">
        <v>340</v>
      </c>
      <c r="C5" s="93" t="s">
        <v>341</v>
      </c>
      <c r="D5" s="93" t="str">
        <f>ADDRESS(ROW('Explanation (2)'!B3),COLUMN('Explanation (2)'!B3),4,1)</f>
        <v>B3</v>
      </c>
      <c r="E5" s="93" t="s">
        <v>342</v>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V65"/>
  <sheetViews>
    <sheetView workbookViewId="0">
      <selection activeCell="L18" sqref="L18:M18"/>
    </sheetView>
  </sheetViews>
  <sheetFormatPr defaultRowHeight="14.4"/>
  <cols>
    <col min="2" max="2" width="14.109375" bestFit="1" customWidth="1"/>
    <col min="3" max="3" width="13.88671875" customWidth="1"/>
    <col min="4" max="4" width="13.33203125" customWidth="1"/>
    <col min="5" max="5" width="13" customWidth="1"/>
    <col min="6" max="6" width="13.33203125" customWidth="1"/>
    <col min="7" max="7" width="7.109375" customWidth="1"/>
    <col min="8" max="8" width="9.33203125" style="6" customWidth="1"/>
    <col min="9" max="9" width="8.6640625" bestFit="1" customWidth="1"/>
    <col min="11" max="13" width="8.88671875" style="23"/>
    <col min="16" max="16" width="12" bestFit="1" customWidth="1"/>
  </cols>
  <sheetData>
    <row r="1" spans="1:22">
      <c r="A1" s="6"/>
      <c r="B1" s="6"/>
      <c r="C1" s="6"/>
      <c r="D1" s="6"/>
      <c r="E1" s="6"/>
      <c r="F1" s="6"/>
      <c r="G1" s="6"/>
      <c r="I1" s="6"/>
      <c r="V1" s="2"/>
    </row>
    <row r="2" spans="1:22">
      <c r="A2" s="6"/>
      <c r="B2" s="6"/>
      <c r="C2" s="6"/>
      <c r="D2" t="s">
        <v>377</v>
      </c>
      <c r="E2" s="6"/>
      <c r="F2" s="6"/>
      <c r="G2" s="6"/>
      <c r="L2"/>
      <c r="Q2" s="29"/>
    </row>
    <row r="3" spans="1:22">
      <c r="B3" s="1" t="s">
        <v>3</v>
      </c>
      <c r="C3" s="6"/>
      <c r="D3" s="6"/>
      <c r="E3" s="6"/>
      <c r="F3" s="2"/>
      <c r="P3" s="1" t="s">
        <v>3</v>
      </c>
      <c r="Q3" s="23"/>
      <c r="R3" s="23"/>
      <c r="S3" s="23"/>
      <c r="T3" s="2"/>
    </row>
    <row r="4" spans="1:22" ht="15" thickBot="1">
      <c r="B4" s="3" t="s">
        <v>2</v>
      </c>
      <c r="C4" s="3" t="s">
        <v>0</v>
      </c>
      <c r="D4" s="4" t="s">
        <v>5</v>
      </c>
      <c r="E4" s="4" t="s">
        <v>4</v>
      </c>
      <c r="F4" s="5" t="s">
        <v>1</v>
      </c>
      <c r="P4" s="3" t="s">
        <v>2</v>
      </c>
      <c r="Q4" s="3" t="s">
        <v>0</v>
      </c>
      <c r="R4" s="4" t="s">
        <v>5</v>
      </c>
      <c r="S4" s="4" t="s">
        <v>4</v>
      </c>
      <c r="T4" s="5" t="s">
        <v>1</v>
      </c>
    </row>
    <row r="5" spans="1:22">
      <c r="B5" s="23" t="s">
        <v>8</v>
      </c>
      <c r="C5" s="23">
        <v>2010</v>
      </c>
      <c r="D5" s="7">
        <f>Speed!AC55</f>
        <v>642.09525480011598</v>
      </c>
      <c r="E5" s="7">
        <f>Speed!AD55</f>
        <v>747.77617674661383</v>
      </c>
      <c r="F5" s="23" t="s">
        <v>7</v>
      </c>
      <c r="G5" s="7"/>
      <c r="H5" s="7">
        <f>D5+E5</f>
        <v>1389.8714315467298</v>
      </c>
      <c r="P5" s="35" t="s">
        <v>62</v>
      </c>
      <c r="Q5" s="35">
        <v>2010</v>
      </c>
      <c r="R5" s="23">
        <v>1.0000000000000001E-5</v>
      </c>
      <c r="S5" s="23">
        <v>1.0000000000000001E-5</v>
      </c>
      <c r="T5" s="36" t="s">
        <v>7</v>
      </c>
    </row>
    <row r="6" spans="1:22">
      <c r="B6" s="23" t="s">
        <v>8</v>
      </c>
      <c r="C6" s="23">
        <v>2020</v>
      </c>
      <c r="D6" s="7">
        <f>Speed!AF55</f>
        <v>756.57385326696362</v>
      </c>
      <c r="E6" s="7">
        <f>Speed!AG55</f>
        <v>890.408788308162</v>
      </c>
      <c r="F6" s="23" t="s">
        <v>7</v>
      </c>
      <c r="H6" s="7">
        <f>D6+E6</f>
        <v>1646.9826415751256</v>
      </c>
      <c r="J6">
        <f>H6/$H$5</f>
        <v>1.1849892041757182</v>
      </c>
    </row>
    <row r="7" spans="1:22">
      <c r="B7" s="23" t="s">
        <v>8</v>
      </c>
      <c r="C7" s="23">
        <v>2030</v>
      </c>
      <c r="D7" s="7">
        <f>Speed!AI55</f>
        <v>788.17232331356286</v>
      </c>
      <c r="E7" s="7">
        <f>Speed!AJ55</f>
        <v>926.64670522583924</v>
      </c>
      <c r="F7" s="23" t="s">
        <v>7</v>
      </c>
      <c r="H7" s="7">
        <f>D7+E7</f>
        <v>1714.8190285394021</v>
      </c>
      <c r="J7" s="23">
        <f>H7/$H$5</f>
        <v>1.2337968747447752</v>
      </c>
    </row>
    <row r="8" spans="1:22">
      <c r="B8" s="23" t="s">
        <v>8</v>
      </c>
      <c r="C8" s="23">
        <v>2040</v>
      </c>
      <c r="D8" s="7">
        <f>Speed!AL55</f>
        <v>820.80477024579272</v>
      </c>
      <c r="E8" s="7">
        <f>Speed!AM55</f>
        <v>977.19285611995838</v>
      </c>
      <c r="F8" s="23" t="s">
        <v>7</v>
      </c>
      <c r="H8" s="7">
        <f>D8+E8</f>
        <v>1797.9976263657511</v>
      </c>
      <c r="J8" s="23">
        <f>H8/$H$5</f>
        <v>1.2936431281020251</v>
      </c>
    </row>
    <row r="9" spans="1:22">
      <c r="B9" s="23" t="s">
        <v>8</v>
      </c>
      <c r="C9" s="23">
        <v>2050</v>
      </c>
      <c r="D9" s="7">
        <f>Speed!AO55</f>
        <v>852.9855954213682</v>
      </c>
      <c r="E9" s="7">
        <f>Speed!AP55</f>
        <v>1024.1404990469039</v>
      </c>
      <c r="F9" s="23" t="s">
        <v>7</v>
      </c>
      <c r="H9" s="7">
        <f>D9+E9</f>
        <v>1877.1260944682722</v>
      </c>
      <c r="J9" s="23">
        <f>H9/$H$5</f>
        <v>1.3505753495338033</v>
      </c>
    </row>
    <row r="10" spans="1:22">
      <c r="B10" s="23" t="s">
        <v>8</v>
      </c>
      <c r="C10" s="23">
        <v>0</v>
      </c>
      <c r="D10" s="23">
        <v>5</v>
      </c>
      <c r="E10" s="23">
        <v>5</v>
      </c>
      <c r="F10" s="23" t="s">
        <v>7</v>
      </c>
      <c r="H10" s="23"/>
    </row>
    <row r="11" spans="1:22">
      <c r="B11" s="23"/>
      <c r="C11" s="6"/>
      <c r="H11">
        <f>H9/H5</f>
        <v>1.3505753495338033</v>
      </c>
    </row>
    <row r="12" spans="1:22">
      <c r="C12" s="6"/>
    </row>
    <row r="13" spans="1:22">
      <c r="C13" s="6"/>
    </row>
    <row r="14" spans="1:22">
      <c r="C14" s="6"/>
    </row>
    <row r="15" spans="1:22">
      <c r="C15" s="6"/>
      <c r="D15" s="6" t="s">
        <v>464</v>
      </c>
    </row>
    <row r="16" spans="1:22">
      <c r="B16" s="1"/>
      <c r="C16" s="6"/>
    </row>
    <row r="17" spans="2:18" ht="15" thickBot="1">
      <c r="B17" s="3" t="s">
        <v>2</v>
      </c>
      <c r="C17" s="3" t="s">
        <v>0</v>
      </c>
      <c r="D17" s="4" t="s">
        <v>5</v>
      </c>
      <c r="E17" s="4" t="s">
        <v>4</v>
      </c>
      <c r="F17" s="5" t="s">
        <v>1</v>
      </c>
      <c r="N17" s="23"/>
      <c r="O17" s="23"/>
      <c r="P17" s="23"/>
      <c r="Q17" s="23"/>
      <c r="R17" s="23"/>
    </row>
    <row r="18" spans="2:18">
      <c r="B18" s="6" t="s">
        <v>8</v>
      </c>
      <c r="C18" s="6">
        <v>2010</v>
      </c>
      <c r="D18" s="7">
        <f>'TTB from TIMES population'!R8</f>
        <v>642.09529999999995</v>
      </c>
      <c r="E18" s="7">
        <f>'TTB from TIMES population'!S8</f>
        <v>747.77620000000002</v>
      </c>
      <c r="F18" s="6" t="s">
        <v>7</v>
      </c>
      <c r="H18" s="7">
        <f>D18+E18</f>
        <v>1389.8715</v>
      </c>
      <c r="N18" s="23"/>
      <c r="O18" s="23"/>
      <c r="P18" s="23"/>
      <c r="Q18" s="23"/>
    </row>
    <row r="19" spans="2:18">
      <c r="B19" s="6" t="s">
        <v>8</v>
      </c>
      <c r="C19" s="6">
        <v>2020</v>
      </c>
      <c r="D19" s="7">
        <f>'TTB from TIMES population'!R9</f>
        <v>680.86949297561989</v>
      </c>
      <c r="E19" s="7">
        <f>'TTB from TIMES population'!S9</f>
        <v>786.81925437669599</v>
      </c>
      <c r="F19" s="6" t="s">
        <v>7</v>
      </c>
      <c r="H19" s="7">
        <f>D19+E19</f>
        <v>1467.6887473523159</v>
      </c>
      <c r="N19" s="23"/>
      <c r="O19" s="23"/>
      <c r="P19" s="23"/>
      <c r="Q19" s="23"/>
    </row>
    <row r="20" spans="2:18">
      <c r="B20" s="6" t="s">
        <v>8</v>
      </c>
      <c r="C20" s="6">
        <v>2030</v>
      </c>
      <c r="D20" s="7">
        <f>'TTB from TIMES population'!R10</f>
        <v>721.96948031917611</v>
      </c>
      <c r="E20" s="7">
        <f>'TTB from TIMES population'!S10</f>
        <v>812.18032326079776</v>
      </c>
      <c r="F20" s="6" t="s">
        <v>7</v>
      </c>
      <c r="H20" s="7">
        <f>D20+E20</f>
        <v>1534.1498035799739</v>
      </c>
    </row>
    <row r="21" spans="2:18">
      <c r="B21" s="6" t="s">
        <v>8</v>
      </c>
      <c r="C21" s="6">
        <v>2040</v>
      </c>
      <c r="D21" s="7">
        <f>'TTB from TIMES population'!R11</f>
        <v>750.573097124122</v>
      </c>
      <c r="E21" s="7">
        <f>'TTB from TIMES population'!S11</f>
        <v>830.62957882378214</v>
      </c>
      <c r="F21" s="6" t="s">
        <v>7</v>
      </c>
      <c r="H21" s="7">
        <f>D21+E21</f>
        <v>1581.202675947904</v>
      </c>
      <c r="N21" s="23"/>
      <c r="O21" s="23"/>
      <c r="P21" s="23"/>
      <c r="Q21" s="23"/>
    </row>
    <row r="22" spans="2:18">
      <c r="B22" s="6" t="s">
        <v>8</v>
      </c>
      <c r="C22" s="6">
        <v>2050</v>
      </c>
      <c r="D22" s="7">
        <f>'TTB from TIMES population'!R12</f>
        <v>761.20889133031744</v>
      </c>
      <c r="E22" s="7">
        <f>'TTB from TIMES population'!S12</f>
        <v>836.86951448069874</v>
      </c>
      <c r="F22" s="6" t="s">
        <v>7</v>
      </c>
      <c r="H22" s="7">
        <f>D22+E22</f>
        <v>1598.0784058110162</v>
      </c>
    </row>
    <row r="23" spans="2:18">
      <c r="B23" s="23" t="s">
        <v>8</v>
      </c>
      <c r="C23" s="6">
        <v>0</v>
      </c>
      <c r="D23" s="7">
        <f>'TTB from TIMES population'!R13</f>
        <v>5</v>
      </c>
      <c r="E23" s="7">
        <f>'TTB from TIMES population'!S13</f>
        <v>5</v>
      </c>
      <c r="F23" s="23" t="s">
        <v>7</v>
      </c>
    </row>
    <row r="24" spans="2:18">
      <c r="C24" s="6"/>
      <c r="H24" s="6">
        <f>H22/H18</f>
        <v>1.1498029895648743</v>
      </c>
    </row>
    <row r="25" spans="2:18">
      <c r="C25" s="6"/>
    </row>
    <row r="26" spans="2:18">
      <c r="C26" s="6"/>
    </row>
    <row r="27" spans="2:18">
      <c r="C27" s="6"/>
    </row>
    <row r="28" spans="2:18">
      <c r="C28" s="6"/>
    </row>
    <row r="29" spans="2:18">
      <c r="C29" s="6"/>
    </row>
    <row r="30" spans="2:18">
      <c r="C30" s="6"/>
    </row>
    <row r="31" spans="2:18">
      <c r="C31" s="6"/>
    </row>
    <row r="32" spans="2:18">
      <c r="C32" s="6"/>
    </row>
    <row r="33" spans="3:3">
      <c r="C33" s="6"/>
    </row>
    <row r="34" spans="3:3">
      <c r="C34" s="6"/>
    </row>
    <row r="35" spans="3:3">
      <c r="C35" s="6"/>
    </row>
    <row r="36" spans="3:3">
      <c r="C36" s="6"/>
    </row>
    <row r="37" spans="3:3">
      <c r="C37" s="6"/>
    </row>
    <row r="38" spans="3:3">
      <c r="C38" s="6"/>
    </row>
    <row r="39" spans="3:3">
      <c r="C39" s="6"/>
    </row>
    <row r="40" spans="3:3">
      <c r="C40" s="6"/>
    </row>
    <row r="41" spans="3:3">
      <c r="C41" s="6"/>
    </row>
    <row r="42" spans="3:3">
      <c r="C42" s="6"/>
    </row>
    <row r="43" spans="3:3">
      <c r="C43" s="6"/>
    </row>
    <row r="44" spans="3:3">
      <c r="C44" s="6"/>
    </row>
    <row r="45" spans="3:3">
      <c r="C45" s="6"/>
    </row>
    <row r="46" spans="3:3">
      <c r="C46" s="6"/>
    </row>
    <row r="47" spans="3:3">
      <c r="C47" s="6"/>
    </row>
    <row r="48" spans="3:3">
      <c r="C48" s="6"/>
    </row>
    <row r="49" spans="3:3">
      <c r="C49" s="6"/>
    </row>
    <row r="50" spans="3:3">
      <c r="C50" s="6"/>
    </row>
    <row r="51" spans="3:3">
      <c r="C51" s="6"/>
    </row>
    <row r="52" spans="3:3">
      <c r="C52" s="6"/>
    </row>
    <row r="53" spans="3:3">
      <c r="C53" s="6"/>
    </row>
    <row r="54" spans="3:3">
      <c r="C54" s="6"/>
    </row>
    <row r="55" spans="3:3">
      <c r="C55" s="6"/>
    </row>
    <row r="56" spans="3:3">
      <c r="C56" s="6"/>
    </row>
    <row r="57" spans="3:3">
      <c r="C57" s="6"/>
    </row>
    <row r="58" spans="3:3">
      <c r="C58" s="6"/>
    </row>
    <row r="59" spans="3:3">
      <c r="C59" s="6"/>
    </row>
    <row r="60" spans="3:3">
      <c r="C60" s="6"/>
    </row>
    <row r="61" spans="3:3">
      <c r="C61" s="6"/>
    </row>
    <row r="62" spans="3:3">
      <c r="C62" s="6"/>
    </row>
    <row r="63" spans="3:3">
      <c r="C63" s="6"/>
    </row>
    <row r="64" spans="3:3">
      <c r="C64" s="6"/>
    </row>
    <row r="65" spans="3:3">
      <c r="C65" s="6"/>
    </row>
  </sheetData>
  <pageMargins left="0.7" right="0.7" top="0.75" bottom="0.75" header="0.3" footer="0.3"/>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N48"/>
  <sheetViews>
    <sheetView topLeftCell="O1" workbookViewId="0">
      <selection activeCell="AN8" sqref="AN8"/>
    </sheetView>
  </sheetViews>
  <sheetFormatPr defaultColWidth="9.109375" defaultRowHeight="14.4"/>
  <cols>
    <col min="1" max="16384" width="9.109375" style="39"/>
  </cols>
  <sheetData>
    <row r="2" spans="2:40">
      <c r="B2" s="111" t="s">
        <v>0</v>
      </c>
      <c r="C2" s="112">
        <v>2007</v>
      </c>
      <c r="D2" s="112">
        <v>2008</v>
      </c>
      <c r="E2" s="112">
        <v>2009</v>
      </c>
      <c r="F2" s="112">
        <v>2010</v>
      </c>
      <c r="G2" s="112">
        <v>2011</v>
      </c>
      <c r="H2" s="112">
        <v>2012</v>
      </c>
      <c r="I2" s="112">
        <v>2013</v>
      </c>
      <c r="J2" s="112">
        <v>2014</v>
      </c>
      <c r="K2" s="113" t="s">
        <v>9</v>
      </c>
      <c r="N2" s="39" t="s">
        <v>15</v>
      </c>
      <c r="P2" s="114">
        <f>K3/60</f>
        <v>0.92558333333333331</v>
      </c>
      <c r="S2" s="23" t="s">
        <v>407</v>
      </c>
      <c r="T2" s="23"/>
      <c r="U2" s="23"/>
      <c r="V2" s="23"/>
    </row>
    <row r="3" spans="2:40">
      <c r="B3" s="115" t="s">
        <v>12</v>
      </c>
      <c r="C3" s="116">
        <v>57.32</v>
      </c>
      <c r="D3" s="116">
        <v>55.48</v>
      </c>
      <c r="E3" s="116">
        <v>56.63</v>
      </c>
      <c r="F3" s="116">
        <v>54.75</v>
      </c>
      <c r="G3" s="116">
        <v>56.42</v>
      </c>
      <c r="H3" s="116">
        <v>56.71</v>
      </c>
      <c r="I3" s="116">
        <v>53.08</v>
      </c>
      <c r="J3" s="116">
        <v>53.89</v>
      </c>
      <c r="K3" s="117">
        <f>AVERAGE(C3:J3)</f>
        <v>55.534999999999997</v>
      </c>
      <c r="N3" s="39" t="s">
        <v>16</v>
      </c>
      <c r="P3" s="39">
        <v>1.1000000000000001</v>
      </c>
      <c r="S3" s="23" t="s">
        <v>406</v>
      </c>
      <c r="T3" s="23"/>
      <c r="U3" s="23"/>
      <c r="V3" s="23"/>
    </row>
    <row r="4" spans="2:40">
      <c r="N4" s="39" t="s">
        <v>13</v>
      </c>
      <c r="P4" s="39">
        <v>365</v>
      </c>
      <c r="S4" s="23"/>
      <c r="T4" s="23"/>
      <c r="U4" s="23"/>
      <c r="V4" s="23"/>
      <c r="AD4" s="39" t="s">
        <v>412</v>
      </c>
    </row>
    <row r="5" spans="2:40">
      <c r="S5" s="23"/>
      <c r="T5" s="23"/>
      <c r="U5" s="23"/>
      <c r="V5" s="23"/>
    </row>
    <row r="6" spans="2:40">
      <c r="B6" s="141" t="s">
        <v>11</v>
      </c>
      <c r="C6" s="142"/>
      <c r="D6" s="142"/>
      <c r="E6" s="143"/>
      <c r="H6" s="144" t="s">
        <v>35</v>
      </c>
      <c r="I6" s="145"/>
      <c r="J6" s="145"/>
      <c r="K6" s="146"/>
      <c r="S6" s="23" t="s">
        <v>11</v>
      </c>
      <c r="T6" s="23"/>
      <c r="U6" s="23"/>
      <c r="V6" s="23"/>
      <c r="AE6" s="141" t="s">
        <v>11</v>
      </c>
      <c r="AF6" s="142"/>
      <c r="AG6" s="142"/>
      <c r="AH6" s="143"/>
      <c r="AK6" s="144" t="s">
        <v>35</v>
      </c>
      <c r="AL6" s="145"/>
      <c r="AM6" s="145"/>
      <c r="AN6" s="146"/>
    </row>
    <row r="7" spans="2:40">
      <c r="B7" s="118"/>
      <c r="C7" s="39" t="s">
        <v>5</v>
      </c>
      <c r="D7" s="39" t="s">
        <v>4</v>
      </c>
      <c r="E7" s="119" t="s">
        <v>10</v>
      </c>
      <c r="H7" s="118"/>
      <c r="I7" s="39" t="s">
        <v>5</v>
      </c>
      <c r="J7" s="39" t="s">
        <v>4</v>
      </c>
      <c r="K7" s="119" t="s">
        <v>10</v>
      </c>
      <c r="S7" s="23"/>
      <c r="T7" s="23" t="s">
        <v>5</v>
      </c>
      <c r="U7" s="23" t="s">
        <v>4</v>
      </c>
      <c r="V7" s="23" t="s">
        <v>10</v>
      </c>
      <c r="Z7" s="39" t="s">
        <v>410</v>
      </c>
      <c r="AA7" s="39" t="s">
        <v>411</v>
      </c>
      <c r="AE7" s="118"/>
      <c r="AF7" s="39" t="s">
        <v>5</v>
      </c>
      <c r="AG7" s="39" t="s">
        <v>4</v>
      </c>
      <c r="AH7" s="119" t="s">
        <v>10</v>
      </c>
      <c r="AK7" s="118"/>
      <c r="AL7" s="39" t="s">
        <v>5</v>
      </c>
      <c r="AM7" s="39" t="s">
        <v>4</v>
      </c>
      <c r="AN7" s="119" t="s">
        <v>10</v>
      </c>
    </row>
    <row r="8" spans="2:40">
      <c r="B8" s="118">
        <v>2010</v>
      </c>
      <c r="C8" s="119">
        <v>2155666</v>
      </c>
      <c r="D8" s="119">
        <v>2613168</v>
      </c>
      <c r="E8" s="119">
        <v>4768834</v>
      </c>
      <c r="H8" s="118">
        <v>2010</v>
      </c>
      <c r="I8" s="40">
        <f t="shared" ref="I8:I48" si="0">C8*$P$2*$P$4/10^6</f>
        <v>728.26571046916661</v>
      </c>
      <c r="J8" s="40">
        <f t="shared" ref="J8:J48" si="1">D8*$P$2*$P$4/10^6</f>
        <v>882.82723302000011</v>
      </c>
      <c r="K8" s="40">
        <f t="shared" ref="K8:K48" si="2">E8*$P$2*$P$4/10^6</f>
        <v>1611.0929434891666</v>
      </c>
      <c r="S8" s="23">
        <v>2010</v>
      </c>
      <c r="T8" s="23">
        <f t="shared" ref="T8:T14" si="3">V8*$C$15/$E$15</f>
        <v>2543633.0441440679</v>
      </c>
      <c r="U8" s="23">
        <f t="shared" ref="U8:U14" si="4">V8*$D$15/$E$15</f>
        <v>2991366.9558559321</v>
      </c>
      <c r="V8" s="23">
        <v>5535000</v>
      </c>
      <c r="Y8" s="23">
        <v>2010</v>
      </c>
      <c r="Z8" s="39">
        <f t="shared" ref="Z8:Z48" si="5">V8/E8</f>
        <v>1.1606610756423896</v>
      </c>
      <c r="AA8" s="39">
        <f t="shared" ref="AA8:AA48" si="6">Z8/$Z$8</f>
        <v>1</v>
      </c>
      <c r="AE8" s="118">
        <v>2010</v>
      </c>
      <c r="AF8" s="119">
        <f t="shared" ref="AF8:AG8" si="7">C8*$AA8</f>
        <v>2155666</v>
      </c>
      <c r="AG8" s="119">
        <f t="shared" si="7"/>
        <v>2613168</v>
      </c>
      <c r="AH8" s="119">
        <f>E8*$AA8</f>
        <v>4768834</v>
      </c>
      <c r="AK8" s="118">
        <v>2010</v>
      </c>
      <c r="AL8" s="40">
        <f t="shared" ref="AL8:AL48" si="8">AF8*$P$2*$P$4/10^6</f>
        <v>728.26571046916661</v>
      </c>
      <c r="AM8" s="40">
        <f t="shared" ref="AM8:AM48" si="9">AG8*$P$2*$P$4/10^6</f>
        <v>882.82723302000011</v>
      </c>
      <c r="AN8" s="40">
        <f t="shared" ref="AN8:AN48" si="10">AH8*$P$2*$P$4/10^6</f>
        <v>1611.0929434891666</v>
      </c>
    </row>
    <row r="9" spans="2:40">
      <c r="B9" s="118">
        <v>2011</v>
      </c>
      <c r="C9" s="119">
        <v>2173141</v>
      </c>
      <c r="D9" s="119">
        <v>2622809</v>
      </c>
      <c r="E9" s="119">
        <v>4795950</v>
      </c>
      <c r="H9" s="118">
        <v>2011</v>
      </c>
      <c r="I9" s="40">
        <f t="shared" si="0"/>
        <v>734.16942806291661</v>
      </c>
      <c r="J9" s="40">
        <f t="shared" si="1"/>
        <v>886.08432837458327</v>
      </c>
      <c r="K9" s="40">
        <f t="shared" si="2"/>
        <v>1620.2537564375</v>
      </c>
      <c r="S9" s="23">
        <v>2011</v>
      </c>
      <c r="T9" s="23">
        <f t="shared" si="3"/>
        <v>2555581.4559142119</v>
      </c>
      <c r="U9" s="23">
        <f t="shared" si="4"/>
        <v>3005418.5440857881</v>
      </c>
      <c r="V9" s="23">
        <v>5561000</v>
      </c>
      <c r="Y9" s="23">
        <v>2011</v>
      </c>
      <c r="Z9" s="39">
        <f t="shared" si="5"/>
        <v>1.1595200116765187</v>
      </c>
      <c r="AA9" s="39">
        <f t="shared" si="6"/>
        <v>0.99901688443782843</v>
      </c>
      <c r="AE9" s="118">
        <v>2011</v>
      </c>
      <c r="AF9" s="119">
        <f t="shared" ref="AF9:AF48" si="11">C9*$AA9</f>
        <v>2171004.5512641068</v>
      </c>
      <c r="AG9" s="119">
        <f t="shared" ref="AG9:AG48" si="12">D9*$AA9</f>
        <v>2620230.4756554966</v>
      </c>
      <c r="AH9" s="119">
        <f t="shared" ref="AH9:AH48" si="13">E9*$AA9</f>
        <v>4791235.0269196033</v>
      </c>
      <c r="AK9" s="118">
        <v>2011</v>
      </c>
      <c r="AL9" s="40">
        <f t="shared" si="8"/>
        <v>733.44765467291734</v>
      </c>
      <c r="AM9" s="40">
        <f t="shared" si="9"/>
        <v>885.21320508196197</v>
      </c>
      <c r="AN9" s="40">
        <f t="shared" si="10"/>
        <v>1618.6608597548795</v>
      </c>
    </row>
    <row r="10" spans="2:40">
      <c r="B10" s="118">
        <v>2012</v>
      </c>
      <c r="C10" s="119">
        <v>2187526</v>
      </c>
      <c r="D10" s="119">
        <v>2632198</v>
      </c>
      <c r="E10" s="119">
        <v>4819724</v>
      </c>
      <c r="H10" s="118">
        <v>2012</v>
      </c>
      <c r="I10" s="40">
        <f t="shared" si="0"/>
        <v>739.02922649416678</v>
      </c>
      <c r="J10" s="40">
        <f t="shared" si="1"/>
        <v>889.25628857416666</v>
      </c>
      <c r="K10" s="40">
        <f t="shared" si="2"/>
        <v>1628.2855150683333</v>
      </c>
      <c r="S10" s="23">
        <v>2012</v>
      </c>
      <c r="T10" s="23">
        <f t="shared" si="3"/>
        <v>2564772.5418912456</v>
      </c>
      <c r="U10" s="23">
        <f t="shared" si="4"/>
        <v>3016227.4581087544</v>
      </c>
      <c r="V10" s="23">
        <v>5581000</v>
      </c>
      <c r="Y10" s="23">
        <v>2012</v>
      </c>
      <c r="Z10" s="39">
        <f t="shared" si="5"/>
        <v>1.1579501232850677</v>
      </c>
      <c r="AA10" s="39">
        <f t="shared" si="6"/>
        <v>0.99766430320253352</v>
      </c>
      <c r="AE10" s="118">
        <v>2012</v>
      </c>
      <c r="AF10" s="119">
        <f t="shared" si="11"/>
        <v>2182416.6025274252</v>
      </c>
      <c r="AG10" s="119">
        <f t="shared" si="12"/>
        <v>2626049.9835611023</v>
      </c>
      <c r="AH10" s="119">
        <f t="shared" si="13"/>
        <v>4808466.5860885279</v>
      </c>
      <c r="AK10" s="118">
        <v>2012</v>
      </c>
      <c r="AL10" s="40">
        <f t="shared" si="8"/>
        <v>737.30307829661001</v>
      </c>
      <c r="AM10" s="40">
        <f t="shared" si="9"/>
        <v>887.17925550881694</v>
      </c>
      <c r="AN10" s="40">
        <f t="shared" si="10"/>
        <v>1624.4823338054273</v>
      </c>
    </row>
    <row r="11" spans="2:40">
      <c r="B11" s="118">
        <v>2013</v>
      </c>
      <c r="C11" s="119">
        <v>2204115</v>
      </c>
      <c r="D11" s="119">
        <v>2641524</v>
      </c>
      <c r="E11" s="119">
        <v>4845639</v>
      </c>
      <c r="H11" s="118">
        <v>2013</v>
      </c>
      <c r="I11" s="40">
        <f t="shared" si="0"/>
        <v>744.63361969374989</v>
      </c>
      <c r="J11" s="40">
        <f t="shared" si="1"/>
        <v>892.40696498500006</v>
      </c>
      <c r="K11" s="40">
        <f t="shared" si="2"/>
        <v>1637.0405846787501</v>
      </c>
      <c r="S11" s="23">
        <v>2013</v>
      </c>
      <c r="T11" s="23">
        <f t="shared" si="3"/>
        <v>2574882.7364659826</v>
      </c>
      <c r="U11" s="23">
        <f t="shared" si="4"/>
        <v>3028117.2635340174</v>
      </c>
      <c r="V11" s="23">
        <v>5603000</v>
      </c>
      <c r="Y11" s="23">
        <v>2013</v>
      </c>
      <c r="Z11" s="39">
        <f t="shared" si="5"/>
        <v>1.1562974460127962</v>
      </c>
      <c r="AA11" s="39">
        <f t="shared" si="6"/>
        <v>0.99624039289231925</v>
      </c>
      <c r="AE11" s="118">
        <v>2013</v>
      </c>
      <c r="AF11" s="119">
        <f t="shared" si="11"/>
        <v>2195828.3935798542</v>
      </c>
      <c r="AG11" s="119">
        <f t="shared" si="12"/>
        <v>2631592.9075944908</v>
      </c>
      <c r="AH11" s="119">
        <f t="shared" si="13"/>
        <v>4827421.3011743445</v>
      </c>
      <c r="AK11" s="118">
        <v>2013</v>
      </c>
      <c r="AL11" s="40">
        <f t="shared" si="8"/>
        <v>741.83408984453126</v>
      </c>
      <c r="AM11" s="40">
        <f t="shared" si="9"/>
        <v>889.05186541649857</v>
      </c>
      <c r="AN11" s="40">
        <f t="shared" si="10"/>
        <v>1630.8859552610297</v>
      </c>
    </row>
    <row r="12" spans="2:40">
      <c r="B12" s="118">
        <v>2014</v>
      </c>
      <c r="C12" s="119">
        <v>2223737</v>
      </c>
      <c r="D12" s="119">
        <v>2652705</v>
      </c>
      <c r="E12" s="119">
        <v>4876442</v>
      </c>
      <c r="H12" s="118">
        <v>2014</v>
      </c>
      <c r="I12" s="40">
        <f t="shared" si="0"/>
        <v>751.26267529458335</v>
      </c>
      <c r="J12" s="40">
        <f t="shared" si="1"/>
        <v>896.18433073124993</v>
      </c>
      <c r="K12" s="40">
        <f t="shared" si="2"/>
        <v>1647.4470060258332</v>
      </c>
      <c r="S12" s="23">
        <v>2014</v>
      </c>
      <c r="T12" s="23">
        <f t="shared" si="3"/>
        <v>2574882.7364659826</v>
      </c>
      <c r="U12" s="23">
        <f t="shared" si="4"/>
        <v>3028117.2635340174</v>
      </c>
      <c r="V12" s="23">
        <v>5603000</v>
      </c>
      <c r="Y12" s="23">
        <v>2014</v>
      </c>
      <c r="Z12" s="39">
        <f t="shared" si="5"/>
        <v>1.1489934669580812</v>
      </c>
      <c r="AA12" s="39">
        <f t="shared" si="6"/>
        <v>0.98994744552982383</v>
      </c>
      <c r="AE12" s="118">
        <v>2014</v>
      </c>
      <c r="AF12" s="119">
        <f t="shared" si="11"/>
        <v>2201382.7626801538</v>
      </c>
      <c r="AG12" s="119">
        <f t="shared" si="12"/>
        <v>2626038.5384941911</v>
      </c>
      <c r="AH12" s="119">
        <f t="shared" si="13"/>
        <v>4827421.3011743454</v>
      </c>
      <c r="AK12" s="118">
        <v>2014</v>
      </c>
      <c r="AL12" s="40">
        <f t="shared" si="8"/>
        <v>743.71056632977422</v>
      </c>
      <c r="AM12" s="40">
        <f t="shared" si="9"/>
        <v>887.17538893125572</v>
      </c>
      <c r="AN12" s="40">
        <f t="shared" si="10"/>
        <v>1630.8859552610299</v>
      </c>
    </row>
    <row r="13" spans="2:40">
      <c r="B13" s="118">
        <v>2015</v>
      </c>
      <c r="C13" s="119">
        <v>2246638</v>
      </c>
      <c r="D13" s="119">
        <v>2666283</v>
      </c>
      <c r="E13" s="119">
        <v>4912921</v>
      </c>
      <c r="H13" s="118">
        <v>2015</v>
      </c>
      <c r="I13" s="40">
        <f t="shared" si="0"/>
        <v>758.99950142416662</v>
      </c>
      <c r="J13" s="40">
        <f t="shared" si="1"/>
        <v>900.77149396374989</v>
      </c>
      <c r="K13" s="40">
        <f t="shared" si="2"/>
        <v>1659.7709953879166</v>
      </c>
      <c r="S13" s="23">
        <v>2015</v>
      </c>
      <c r="T13" s="23">
        <f t="shared" si="3"/>
        <v>2585912.0396384229</v>
      </c>
      <c r="U13" s="23">
        <f t="shared" si="4"/>
        <v>3041087.9603615771</v>
      </c>
      <c r="V13" s="23">
        <v>5627000</v>
      </c>
      <c r="Y13" s="23">
        <v>2015</v>
      </c>
      <c r="Z13" s="39">
        <f t="shared" si="5"/>
        <v>1.1453471366626902</v>
      </c>
      <c r="AA13" s="39">
        <f t="shared" si="6"/>
        <v>0.98680584771810009</v>
      </c>
      <c r="AE13" s="118">
        <v>2015</v>
      </c>
      <c r="AF13" s="119">
        <f t="shared" si="11"/>
        <v>2216995.516105697</v>
      </c>
      <c r="AG13" s="119">
        <f t="shared" si="12"/>
        <v>2631103.6560713593</v>
      </c>
      <c r="AH13" s="119">
        <f t="shared" si="13"/>
        <v>4848099.1721770559</v>
      </c>
      <c r="AK13" s="118">
        <v>2015</v>
      </c>
      <c r="AL13" s="40">
        <f t="shared" si="8"/>
        <v>748.9851464204902</v>
      </c>
      <c r="AM13" s="40">
        <f t="shared" si="9"/>
        <v>888.88657770119789</v>
      </c>
      <c r="AN13" s="40">
        <f t="shared" si="10"/>
        <v>1637.871724121688</v>
      </c>
    </row>
    <row r="14" spans="2:40">
      <c r="B14" s="118">
        <v>2016</v>
      </c>
      <c r="C14" s="119">
        <v>2267174</v>
      </c>
      <c r="D14" s="119">
        <v>2678232</v>
      </c>
      <c r="E14" s="119">
        <v>4945406</v>
      </c>
      <c r="H14" s="118">
        <v>2016</v>
      </c>
      <c r="I14" s="40">
        <f t="shared" si="0"/>
        <v>765.93734088083329</v>
      </c>
      <c r="J14" s="40">
        <f t="shared" si="1"/>
        <v>904.80831922999994</v>
      </c>
      <c r="K14" s="40">
        <f t="shared" si="2"/>
        <v>1670.7456601108333</v>
      </c>
      <c r="S14" s="23">
        <v>2016</v>
      </c>
      <c r="T14" s="23">
        <f t="shared" si="3"/>
        <v>2622676.3835465577</v>
      </c>
      <c r="U14" s="23">
        <f t="shared" si="4"/>
        <v>3084323.6164534423</v>
      </c>
      <c r="V14" s="23">
        <v>5707000</v>
      </c>
      <c r="Y14" s="23">
        <v>2016</v>
      </c>
      <c r="Z14" s="39">
        <f t="shared" si="5"/>
        <v>1.154000298458812</v>
      </c>
      <c r="AA14" s="39">
        <f t="shared" si="6"/>
        <v>0.99426122119250782</v>
      </c>
      <c r="AE14" s="118">
        <v>2016</v>
      </c>
      <c r="AF14" s="119">
        <f t="shared" si="11"/>
        <v>2254163.1898959028</v>
      </c>
      <c r="AG14" s="119">
        <f t="shared" si="12"/>
        <v>2662862.2189568528</v>
      </c>
      <c r="AH14" s="119">
        <f t="shared" si="13"/>
        <v>4917025.4088527551</v>
      </c>
      <c r="AK14" s="118">
        <v>2016</v>
      </c>
      <c r="AL14" s="40">
        <f t="shared" si="8"/>
        <v>761.54179590111949</v>
      </c>
      <c r="AM14" s="40">
        <f t="shared" si="9"/>
        <v>899.6158244227604</v>
      </c>
      <c r="AN14" s="40">
        <f t="shared" si="10"/>
        <v>1661.1576203238797</v>
      </c>
    </row>
    <row r="15" spans="2:40">
      <c r="B15" s="118">
        <v>2017</v>
      </c>
      <c r="C15" s="119">
        <v>2286733</v>
      </c>
      <c r="D15" s="119">
        <v>2689247</v>
      </c>
      <c r="E15" s="119">
        <v>4975980</v>
      </c>
      <c r="H15" s="118">
        <v>2017</v>
      </c>
      <c r="I15" s="40">
        <f t="shared" si="0"/>
        <v>772.54511269291675</v>
      </c>
      <c r="J15" s="40">
        <f t="shared" si="1"/>
        <v>908.52960388208339</v>
      </c>
      <c r="K15" s="40">
        <f t="shared" si="2"/>
        <v>1681.0747165750001</v>
      </c>
      <c r="S15" s="23">
        <v>2017</v>
      </c>
      <c r="T15" s="23">
        <f>V15*$C$15/$E$15</f>
        <v>2641977.6640983284</v>
      </c>
      <c r="U15" s="23">
        <f>V15*$D$15/$E$15</f>
        <v>3107022.3359016716</v>
      </c>
      <c r="V15" s="23">
        <v>5749000</v>
      </c>
      <c r="Y15" s="23">
        <v>2017</v>
      </c>
      <c r="Z15" s="39">
        <f t="shared" si="5"/>
        <v>1.155350302854915</v>
      </c>
      <c r="AA15" s="39">
        <f t="shared" si="6"/>
        <v>0.99542435522399575</v>
      </c>
      <c r="AE15" s="118">
        <v>2017</v>
      </c>
      <c r="AF15" s="119">
        <f t="shared" si="11"/>
        <v>2276269.7220944334</v>
      </c>
      <c r="AG15" s="119">
        <f t="shared" si="12"/>
        <v>2676941.9610130647</v>
      </c>
      <c r="AH15" s="119">
        <f t="shared" si="13"/>
        <v>4953211.6831074981</v>
      </c>
      <c r="AK15" s="118">
        <v>2017</v>
      </c>
      <c r="AL15" s="40">
        <f t="shared" si="8"/>
        <v>769.01022068379552</v>
      </c>
      <c r="AM15" s="40">
        <f t="shared" si="9"/>
        <v>904.372495146235</v>
      </c>
      <c r="AN15" s="40">
        <f t="shared" si="10"/>
        <v>1673.3827158300307</v>
      </c>
    </row>
    <row r="16" spans="2:40">
      <c r="B16" s="118">
        <v>2018</v>
      </c>
      <c r="C16" s="119">
        <v>2304325</v>
      </c>
      <c r="D16" s="119">
        <v>2698716</v>
      </c>
      <c r="E16" s="119">
        <v>5003041</v>
      </c>
      <c r="H16" s="118">
        <v>2018</v>
      </c>
      <c r="I16" s="40">
        <f t="shared" si="0"/>
        <v>778.48835732291661</v>
      </c>
      <c r="J16" s="40">
        <f t="shared" si="1"/>
        <v>911.72859111499997</v>
      </c>
      <c r="K16" s="40">
        <f t="shared" si="2"/>
        <v>1690.2169484379165</v>
      </c>
      <c r="S16" s="110" t="s">
        <v>378</v>
      </c>
      <c r="T16" s="110">
        <v>2657600</v>
      </c>
      <c r="U16" s="110">
        <v>3123507</v>
      </c>
      <c r="V16" s="23">
        <f>SUM(T16:U16)</f>
        <v>5781107</v>
      </c>
      <c r="Y16" s="110" t="s">
        <v>378</v>
      </c>
      <c r="Z16" s="39">
        <f t="shared" si="5"/>
        <v>1.155518613579221</v>
      </c>
      <c r="AA16" s="39">
        <f t="shared" si="6"/>
        <v>0.99556936803422791</v>
      </c>
      <c r="AE16" s="118">
        <v>2018</v>
      </c>
      <c r="AF16" s="119">
        <f t="shared" si="11"/>
        <v>2294115.3839954725</v>
      </c>
      <c r="AG16" s="119">
        <f t="shared" si="12"/>
        <v>2686758.9826238593</v>
      </c>
      <c r="AH16" s="119">
        <f t="shared" si="13"/>
        <v>4980874.3666193318</v>
      </c>
      <c r="AK16" s="118">
        <v>2018</v>
      </c>
      <c r="AL16" s="40">
        <f t="shared" si="8"/>
        <v>775.03916192198039</v>
      </c>
      <c r="AM16" s="40">
        <f t="shared" si="9"/>
        <v>907.68905727509753</v>
      </c>
      <c r="AN16" s="40">
        <f t="shared" si="10"/>
        <v>1682.728219197078</v>
      </c>
    </row>
    <row r="17" spans="2:40">
      <c r="B17" s="118">
        <v>2019</v>
      </c>
      <c r="C17" s="119">
        <v>2320670</v>
      </c>
      <c r="D17" s="119">
        <v>2708097</v>
      </c>
      <c r="E17" s="119">
        <v>5028767</v>
      </c>
      <c r="H17" s="118">
        <v>2019</v>
      </c>
      <c r="I17" s="40">
        <f t="shared" si="0"/>
        <v>784.01031807083336</v>
      </c>
      <c r="J17" s="40">
        <f t="shared" si="1"/>
        <v>914.89784861124997</v>
      </c>
      <c r="K17" s="40">
        <f t="shared" si="2"/>
        <v>1698.9081666820834</v>
      </c>
      <c r="S17" s="110" t="s">
        <v>379</v>
      </c>
      <c r="T17" s="110">
        <v>2678707</v>
      </c>
      <c r="U17" s="110">
        <v>3135513</v>
      </c>
      <c r="V17" s="23">
        <f t="shared" ref="V17:V48" si="14">SUM(T17:U17)</f>
        <v>5814220</v>
      </c>
      <c r="Y17" s="110" t="s">
        <v>379</v>
      </c>
      <c r="Z17" s="39">
        <f t="shared" si="5"/>
        <v>1.156191965147719</v>
      </c>
      <c r="AA17" s="39">
        <f t="shared" si="6"/>
        <v>0.99614951290393106</v>
      </c>
      <c r="AE17" s="118">
        <v>2019</v>
      </c>
      <c r="AF17" s="119">
        <f t="shared" si="11"/>
        <v>2311734.2901107655</v>
      </c>
      <c r="AG17" s="119">
        <f t="shared" si="12"/>
        <v>2697669.5074465969</v>
      </c>
      <c r="AH17" s="119">
        <f t="shared" si="13"/>
        <v>5009403.7975573624</v>
      </c>
      <c r="AK17" s="118">
        <v>2019</v>
      </c>
      <c r="AL17" s="40">
        <f t="shared" si="8"/>
        <v>780.99149645791647</v>
      </c>
      <c r="AM17" s="40">
        <f t="shared" si="9"/>
        <v>911.37504625095119</v>
      </c>
      <c r="AN17" s="40">
        <f t="shared" si="10"/>
        <v>1692.3665427088679</v>
      </c>
    </row>
    <row r="18" spans="2:40">
      <c r="B18" s="118">
        <v>2020</v>
      </c>
      <c r="C18" s="119">
        <v>2334482</v>
      </c>
      <c r="D18" s="119">
        <v>2715050</v>
      </c>
      <c r="E18" s="119">
        <v>5049532</v>
      </c>
      <c r="H18" s="118">
        <v>2020</v>
      </c>
      <c r="I18" s="40">
        <f t="shared" si="0"/>
        <v>788.6765353758334</v>
      </c>
      <c r="J18" s="40">
        <f t="shared" si="1"/>
        <v>917.24683564583336</v>
      </c>
      <c r="K18" s="40">
        <f t="shared" si="2"/>
        <v>1705.9233710216668</v>
      </c>
      <c r="S18" s="110" t="s">
        <v>380</v>
      </c>
      <c r="T18" s="110">
        <v>2698116</v>
      </c>
      <c r="U18" s="110">
        <v>3146679</v>
      </c>
      <c r="V18" s="23">
        <f t="shared" si="14"/>
        <v>5844795</v>
      </c>
      <c r="Y18" s="110" t="s">
        <v>380</v>
      </c>
      <c r="Z18" s="39">
        <f t="shared" si="5"/>
        <v>1.1574924171190519</v>
      </c>
      <c r="AA18" s="39">
        <f t="shared" si="6"/>
        <v>0.99726995365844939</v>
      </c>
      <c r="AE18" s="118">
        <v>2020</v>
      </c>
      <c r="AF18" s="119">
        <f t="shared" si="11"/>
        <v>2328108.7559564845</v>
      </c>
      <c r="AG18" s="119">
        <f t="shared" si="12"/>
        <v>2707637.7876803731</v>
      </c>
      <c r="AH18" s="119">
        <f t="shared" si="13"/>
        <v>5035746.5436368575</v>
      </c>
      <c r="AK18" s="118">
        <v>2020</v>
      </c>
      <c r="AL18" s="40">
        <f t="shared" si="8"/>
        <v>786.52341188576384</v>
      </c>
      <c r="AM18" s="40">
        <f t="shared" si="9"/>
        <v>914.74270927787961</v>
      </c>
      <c r="AN18" s="40">
        <f t="shared" si="10"/>
        <v>1701.2661211636434</v>
      </c>
    </row>
    <row r="19" spans="2:40">
      <c r="B19" s="118">
        <v>2021</v>
      </c>
      <c r="C19" s="119">
        <v>2347523</v>
      </c>
      <c r="D19" s="119">
        <v>2721385</v>
      </c>
      <c r="E19" s="119">
        <v>5068908</v>
      </c>
      <c r="H19" s="118">
        <v>2021</v>
      </c>
      <c r="I19" s="40">
        <f t="shared" si="0"/>
        <v>793.08227964708328</v>
      </c>
      <c r="J19" s="40">
        <f t="shared" si="1"/>
        <v>919.38703884791676</v>
      </c>
      <c r="K19" s="40">
        <f t="shared" si="2"/>
        <v>1712.4693184950002</v>
      </c>
      <c r="S19" s="110" t="s">
        <v>381</v>
      </c>
      <c r="T19" s="110">
        <v>2716720</v>
      </c>
      <c r="U19" s="110">
        <v>3156661</v>
      </c>
      <c r="V19" s="23">
        <f t="shared" si="14"/>
        <v>5873381</v>
      </c>
      <c r="Y19" s="110" t="s">
        <v>381</v>
      </c>
      <c r="Z19" s="39">
        <f t="shared" si="5"/>
        <v>1.1587073586658112</v>
      </c>
      <c r="AA19" s="39">
        <f t="shared" si="6"/>
        <v>0.99831672051593778</v>
      </c>
      <c r="AE19" s="118">
        <v>2021</v>
      </c>
      <c r="AF19" s="119">
        <f t="shared" si="11"/>
        <v>2343571.462695736</v>
      </c>
      <c r="AG19" s="119">
        <f t="shared" si="12"/>
        <v>2716804.1484612655</v>
      </c>
      <c r="AH19" s="119">
        <f t="shared" si="13"/>
        <v>5060375.611157001</v>
      </c>
      <c r="AK19" s="118">
        <v>2021</v>
      </c>
      <c r="AL19" s="40">
        <f t="shared" si="8"/>
        <v>791.74730051658014</v>
      </c>
      <c r="AM19" s="40">
        <f t="shared" si="9"/>
        <v>917.83945350751139</v>
      </c>
      <c r="AN19" s="40">
        <f t="shared" si="10"/>
        <v>1709.5867540240913</v>
      </c>
    </row>
    <row r="20" spans="2:40">
      <c r="B20" s="118">
        <v>2022</v>
      </c>
      <c r="C20" s="119">
        <v>2356963</v>
      </c>
      <c r="D20" s="119">
        <v>2724709</v>
      </c>
      <c r="E20" s="119">
        <v>5081672</v>
      </c>
      <c r="H20" s="118">
        <v>2022</v>
      </c>
      <c r="I20" s="40">
        <f t="shared" si="0"/>
        <v>796.27146958041669</v>
      </c>
      <c r="J20" s="40">
        <f t="shared" si="1"/>
        <v>920.51001208291666</v>
      </c>
      <c r="K20" s="40">
        <f t="shared" si="2"/>
        <v>1716.7814816633334</v>
      </c>
      <c r="S20" s="110" t="s">
        <v>382</v>
      </c>
      <c r="T20" s="110">
        <v>2734303</v>
      </c>
      <c r="U20" s="110">
        <v>3166511</v>
      </c>
      <c r="V20" s="23">
        <f t="shared" si="14"/>
        <v>5900814</v>
      </c>
      <c r="Y20" s="110" t="s">
        <v>382</v>
      </c>
      <c r="Z20" s="39">
        <f t="shared" si="5"/>
        <v>1.1611953703426747</v>
      </c>
      <c r="AA20" s="39">
        <f t="shared" si="6"/>
        <v>1.0004603365370803</v>
      </c>
      <c r="AE20" s="118">
        <v>2022</v>
      </c>
      <c r="AF20" s="119">
        <f t="shared" si="11"/>
        <v>2358047.9961854466</v>
      </c>
      <c r="AG20" s="119">
        <f t="shared" si="12"/>
        <v>2725963.2831056118</v>
      </c>
      <c r="AH20" s="119">
        <f t="shared" si="13"/>
        <v>5084011.279291058</v>
      </c>
      <c r="AK20" s="118">
        <v>2022</v>
      </c>
      <c r="AL20" s="40">
        <f t="shared" si="8"/>
        <v>796.63802243129931</v>
      </c>
      <c r="AM20" s="40">
        <f t="shared" si="9"/>
        <v>920.93375647422681</v>
      </c>
      <c r="AN20" s="40">
        <f t="shared" si="10"/>
        <v>1717.5717789055257</v>
      </c>
    </row>
    <row r="21" spans="2:40">
      <c r="B21" s="118">
        <v>2023</v>
      </c>
      <c r="C21" s="119">
        <v>2364762</v>
      </c>
      <c r="D21" s="119">
        <v>2726636</v>
      </c>
      <c r="E21" s="119">
        <v>5091398</v>
      </c>
      <c r="H21" s="118">
        <v>2023</v>
      </c>
      <c r="I21" s="40">
        <f t="shared" si="0"/>
        <v>798.90626749249998</v>
      </c>
      <c r="J21" s="40">
        <f t="shared" si="1"/>
        <v>921.16102574833337</v>
      </c>
      <c r="K21" s="40">
        <f t="shared" si="2"/>
        <v>1720.0672932408336</v>
      </c>
      <c r="S21" s="110" t="s">
        <v>383</v>
      </c>
      <c r="T21" s="110">
        <v>2751292</v>
      </c>
      <c r="U21" s="110">
        <v>3176484</v>
      </c>
      <c r="V21" s="23">
        <f t="shared" si="14"/>
        <v>5927776</v>
      </c>
      <c r="Y21" s="110" t="s">
        <v>383</v>
      </c>
      <c r="Z21" s="39">
        <f t="shared" si="5"/>
        <v>1.1642727596624738</v>
      </c>
      <c r="AA21" s="39">
        <f t="shared" si="6"/>
        <v>1.003111747344577</v>
      </c>
      <c r="AE21" s="118">
        <v>2023</v>
      </c>
      <c r="AF21" s="119">
        <f t="shared" si="11"/>
        <v>2372120.5418740567</v>
      </c>
      <c r="AG21" s="119">
        <f t="shared" si="12"/>
        <v>2735120.6023326279</v>
      </c>
      <c r="AH21" s="119">
        <f t="shared" si="13"/>
        <v>5107241.1442066841</v>
      </c>
      <c r="AK21" s="118">
        <v>2023</v>
      </c>
      <c r="AL21" s="40">
        <f t="shared" si="8"/>
        <v>801.3922619489357</v>
      </c>
      <c r="AM21" s="40">
        <f t="shared" si="9"/>
        <v>924.02744612413346</v>
      </c>
      <c r="AN21" s="40">
        <f t="shared" si="10"/>
        <v>1725.4197080730692</v>
      </c>
    </row>
    <row r="22" spans="2:40">
      <c r="B22" s="118">
        <v>2024</v>
      </c>
      <c r="C22" s="119">
        <v>2370504</v>
      </c>
      <c r="D22" s="119">
        <v>2726993</v>
      </c>
      <c r="E22" s="119">
        <v>5097497</v>
      </c>
      <c r="H22" s="118">
        <v>2024</v>
      </c>
      <c r="I22" s="40">
        <f t="shared" si="0"/>
        <v>800.84613280999997</v>
      </c>
      <c r="J22" s="40">
        <f t="shared" si="1"/>
        <v>921.28163388458336</v>
      </c>
      <c r="K22" s="40">
        <f t="shared" si="2"/>
        <v>1722.1277666945834</v>
      </c>
      <c r="S22" s="110" t="s">
        <v>384</v>
      </c>
      <c r="T22" s="110">
        <v>2767951</v>
      </c>
      <c r="U22" s="110">
        <v>3186720</v>
      </c>
      <c r="V22" s="23">
        <f t="shared" si="14"/>
        <v>5954671</v>
      </c>
      <c r="Y22" s="110" t="s">
        <v>384</v>
      </c>
      <c r="Z22" s="39">
        <f t="shared" si="5"/>
        <v>1.1681558615924639</v>
      </c>
      <c r="AA22" s="39">
        <f t="shared" si="6"/>
        <v>1.0064573423778567</v>
      </c>
      <c r="AE22" s="118">
        <v>2024</v>
      </c>
      <c r="AF22" s="119">
        <f t="shared" si="11"/>
        <v>2385811.1559360786</v>
      </c>
      <c r="AG22" s="119">
        <f t="shared" si="12"/>
        <v>2744602.1274630185</v>
      </c>
      <c r="AH22" s="119">
        <f t="shared" si="13"/>
        <v>5130413.2833990976</v>
      </c>
      <c r="AK22" s="118">
        <v>2024</v>
      </c>
      <c r="AL22" s="40">
        <f t="shared" si="8"/>
        <v>806.01747048153652</v>
      </c>
      <c r="AM22" s="40">
        <f t="shared" si="9"/>
        <v>927.23066482100728</v>
      </c>
      <c r="AN22" s="40">
        <f t="shared" si="10"/>
        <v>1733.2481353025441</v>
      </c>
    </row>
    <row r="23" spans="2:40">
      <c r="B23" s="118">
        <v>2025</v>
      </c>
      <c r="C23" s="119">
        <v>2376092</v>
      </c>
      <c r="D23" s="119">
        <v>2727475</v>
      </c>
      <c r="E23" s="119">
        <v>5103567</v>
      </c>
      <c r="H23" s="118">
        <v>2025</v>
      </c>
      <c r="I23" s="40">
        <f t="shared" si="0"/>
        <v>802.73397108833342</v>
      </c>
      <c r="J23" s="40">
        <f t="shared" si="1"/>
        <v>921.4444717604166</v>
      </c>
      <c r="K23" s="40">
        <f t="shared" si="2"/>
        <v>1724.1784428487501</v>
      </c>
      <c r="S23" s="110" t="s">
        <v>385</v>
      </c>
      <c r="T23" s="110">
        <v>2784425</v>
      </c>
      <c r="U23" s="110">
        <v>3197217</v>
      </c>
      <c r="V23" s="23">
        <f t="shared" si="14"/>
        <v>5981642</v>
      </c>
      <c r="Y23" s="110" t="s">
        <v>385</v>
      </c>
      <c r="Z23" s="39">
        <f t="shared" si="5"/>
        <v>1.17205123397028</v>
      </c>
      <c r="AA23" s="39">
        <f t="shared" si="6"/>
        <v>1.0098135093585234</v>
      </c>
      <c r="AE23" s="118">
        <v>2025</v>
      </c>
      <c r="AF23" s="119">
        <f t="shared" si="11"/>
        <v>2399409.8010787126</v>
      </c>
      <c r="AG23" s="119">
        <f t="shared" si="12"/>
        <v>2754241.1014376385</v>
      </c>
      <c r="AH23" s="119">
        <f t="shared" si="13"/>
        <v>5153650.9025163511</v>
      </c>
      <c r="AK23" s="118">
        <v>2025</v>
      </c>
      <c r="AL23" s="40">
        <f t="shared" si="8"/>
        <v>810.61160842601328</v>
      </c>
      <c r="AM23" s="40">
        <f t="shared" si="9"/>
        <v>930.48707570739714</v>
      </c>
      <c r="AN23" s="40">
        <f t="shared" si="10"/>
        <v>1741.0986841334104</v>
      </c>
    </row>
    <row r="24" spans="2:40">
      <c r="B24" s="118">
        <v>2026</v>
      </c>
      <c r="C24" s="119">
        <v>2380668</v>
      </c>
      <c r="D24" s="119">
        <v>2727694</v>
      </c>
      <c r="E24" s="119">
        <v>5108362</v>
      </c>
      <c r="H24" s="118">
        <v>2026</v>
      </c>
      <c r="I24" s="40">
        <f t="shared" si="0"/>
        <v>804.2799173950001</v>
      </c>
      <c r="J24" s="40">
        <f t="shared" si="1"/>
        <v>921.51845826416661</v>
      </c>
      <c r="K24" s="40">
        <f t="shared" si="2"/>
        <v>1725.7983756591668</v>
      </c>
      <c r="S24" s="110" t="s">
        <v>386</v>
      </c>
      <c r="T24" s="110">
        <v>2800624</v>
      </c>
      <c r="U24" s="110">
        <v>3207826</v>
      </c>
      <c r="V24" s="23">
        <f t="shared" si="14"/>
        <v>6008450</v>
      </c>
      <c r="Y24" s="110" t="s">
        <v>386</v>
      </c>
      <c r="Z24" s="39">
        <f t="shared" si="5"/>
        <v>1.1761989459635007</v>
      </c>
      <c r="AA24" s="39">
        <f t="shared" si="6"/>
        <v>1.0133870865898655</v>
      </c>
      <c r="AE24" s="118">
        <v>2026</v>
      </c>
      <c r="AF24" s="119">
        <f t="shared" si="11"/>
        <v>2412538.208657722</v>
      </c>
      <c r="AG24" s="119">
        <f t="shared" si="12"/>
        <v>2764209.8757686568</v>
      </c>
      <c r="AH24" s="119">
        <f t="shared" si="13"/>
        <v>5176748.0844263788</v>
      </c>
      <c r="AK24" s="118">
        <v>2026</v>
      </c>
      <c r="AL24" s="40">
        <f t="shared" si="8"/>
        <v>815.04688229165663</v>
      </c>
      <c r="AM24" s="40">
        <f t="shared" si="9"/>
        <v>933.85490565910845</v>
      </c>
      <c r="AN24" s="40">
        <f t="shared" si="10"/>
        <v>1748.9017879507651</v>
      </c>
    </row>
    <row r="25" spans="2:40">
      <c r="B25" s="118">
        <v>2027</v>
      </c>
      <c r="C25" s="119">
        <v>2384938</v>
      </c>
      <c r="D25" s="119">
        <v>2727654</v>
      </c>
      <c r="E25" s="119">
        <v>5112592</v>
      </c>
      <c r="H25" s="118">
        <v>2027</v>
      </c>
      <c r="I25" s="40">
        <f t="shared" si="0"/>
        <v>805.72248529916669</v>
      </c>
      <c r="J25" s="40">
        <f t="shared" si="1"/>
        <v>921.50494474749996</v>
      </c>
      <c r="K25" s="40">
        <f t="shared" si="2"/>
        <v>1727.2274300466668</v>
      </c>
      <c r="S25" s="110" t="s">
        <v>387</v>
      </c>
      <c r="T25" s="110">
        <v>2816435</v>
      </c>
      <c r="U25" s="110">
        <v>3218373</v>
      </c>
      <c r="V25" s="23">
        <f t="shared" si="14"/>
        <v>6034808</v>
      </c>
      <c r="Y25" s="110" t="s">
        <v>387</v>
      </c>
      <c r="Z25" s="39">
        <f t="shared" si="5"/>
        <v>1.1803813016958913</v>
      </c>
      <c r="AA25" s="39">
        <f t="shared" si="6"/>
        <v>1.0169905121032745</v>
      </c>
      <c r="AE25" s="118">
        <v>2027</v>
      </c>
      <c r="AF25" s="119">
        <f t="shared" si="11"/>
        <v>2425459.3179545593</v>
      </c>
      <c r="AG25" s="119">
        <f t="shared" si="12"/>
        <v>2773998.2383005451</v>
      </c>
      <c r="AH25" s="119">
        <f t="shared" si="13"/>
        <v>5199457.556255104</v>
      </c>
      <c r="AK25" s="118">
        <v>2027</v>
      </c>
      <c r="AL25" s="40">
        <f t="shared" si="8"/>
        <v>819.41212293752255</v>
      </c>
      <c r="AM25" s="40">
        <f t="shared" si="9"/>
        <v>937.16178566445956</v>
      </c>
      <c r="AN25" s="40">
        <f t="shared" si="10"/>
        <v>1756.5739086019821</v>
      </c>
    </row>
    <row r="26" spans="2:40">
      <c r="B26" s="118">
        <v>2028</v>
      </c>
      <c r="C26" s="119">
        <v>2387429</v>
      </c>
      <c r="D26" s="119">
        <v>2726434</v>
      </c>
      <c r="E26" s="119">
        <v>5113863</v>
      </c>
      <c r="H26" s="118">
        <v>2028</v>
      </c>
      <c r="I26" s="40">
        <f t="shared" si="0"/>
        <v>806.5640395495833</v>
      </c>
      <c r="J26" s="40">
        <f t="shared" si="1"/>
        <v>921.09278248916678</v>
      </c>
      <c r="K26" s="40">
        <f t="shared" si="2"/>
        <v>1727.6568220387501</v>
      </c>
      <c r="S26" s="110" t="s">
        <v>388</v>
      </c>
      <c r="T26" s="110">
        <v>2831787</v>
      </c>
      <c r="U26" s="110">
        <v>3228682</v>
      </c>
      <c r="V26" s="23">
        <f t="shared" si="14"/>
        <v>6060469</v>
      </c>
      <c r="Y26" s="110" t="s">
        <v>388</v>
      </c>
      <c r="Z26" s="39">
        <f t="shared" si="5"/>
        <v>1.1851058583305809</v>
      </c>
      <c r="AA26" s="39">
        <f t="shared" si="6"/>
        <v>1.0210610859631541</v>
      </c>
      <c r="AE26" s="118">
        <v>2028</v>
      </c>
      <c r="AF26" s="119">
        <f t="shared" si="11"/>
        <v>2437710.8473999272</v>
      </c>
      <c r="AG26" s="119">
        <f t="shared" si="12"/>
        <v>2783855.6608468662</v>
      </c>
      <c r="AH26" s="119">
        <f t="shared" si="13"/>
        <v>5221566.5082467934</v>
      </c>
      <c r="AK26" s="118">
        <v>2028</v>
      </c>
      <c r="AL26" s="40">
        <f t="shared" si="8"/>
        <v>823.55115412132602</v>
      </c>
      <c r="AM26" s="40">
        <f t="shared" si="9"/>
        <v>940.49199676121191</v>
      </c>
      <c r="AN26" s="40">
        <f t="shared" si="10"/>
        <v>1764.0431508825377</v>
      </c>
    </row>
    <row r="27" spans="2:40">
      <c r="B27" s="118">
        <v>2029</v>
      </c>
      <c r="C27" s="119">
        <v>2389346</v>
      </c>
      <c r="D27" s="119">
        <v>2725037</v>
      </c>
      <c r="E27" s="119">
        <v>5114383</v>
      </c>
      <c r="H27" s="118">
        <v>2029</v>
      </c>
      <c r="I27" s="40">
        <f t="shared" si="0"/>
        <v>807.21167483583326</v>
      </c>
      <c r="J27" s="40">
        <f t="shared" si="1"/>
        <v>920.62082291958336</v>
      </c>
      <c r="K27" s="40">
        <f t="shared" si="2"/>
        <v>1727.8324977554166</v>
      </c>
      <c r="S27" s="110" t="s">
        <v>389</v>
      </c>
      <c r="T27" s="110">
        <v>2846649</v>
      </c>
      <c r="U27" s="110">
        <v>3238601</v>
      </c>
      <c r="V27" s="23">
        <f t="shared" si="14"/>
        <v>6085250</v>
      </c>
      <c r="Y27" s="110" t="s">
        <v>389</v>
      </c>
      <c r="Z27" s="39">
        <f t="shared" si="5"/>
        <v>1.1898307185832582</v>
      </c>
      <c r="AA27" s="39">
        <f t="shared" si="6"/>
        <v>1.0251319214135997</v>
      </c>
      <c r="AE27" s="118">
        <v>2029</v>
      </c>
      <c r="AF27" s="119">
        <f t="shared" si="11"/>
        <v>2449394.8559018988</v>
      </c>
      <c r="AG27" s="119">
        <f t="shared" si="12"/>
        <v>2793522.4157331511</v>
      </c>
      <c r="AH27" s="119">
        <f t="shared" si="13"/>
        <v>5242917.27163505</v>
      </c>
      <c r="AK27" s="118">
        <v>2029</v>
      </c>
      <c r="AL27" s="40">
        <f t="shared" si="8"/>
        <v>827.49845521194777</v>
      </c>
      <c r="AM27" s="40">
        <f t="shared" si="9"/>
        <v>943.75779309292159</v>
      </c>
      <c r="AN27" s="40">
        <f t="shared" si="10"/>
        <v>1771.2562483048694</v>
      </c>
    </row>
    <row r="28" spans="2:40">
      <c r="B28" s="118">
        <v>2030</v>
      </c>
      <c r="C28" s="119">
        <v>2390813</v>
      </c>
      <c r="D28" s="119">
        <v>2723161</v>
      </c>
      <c r="E28" s="119">
        <v>5113974</v>
      </c>
      <c r="H28" s="118">
        <v>2030</v>
      </c>
      <c r="I28" s="40">
        <f t="shared" si="0"/>
        <v>807.70728305958323</v>
      </c>
      <c r="J28" s="40">
        <f t="shared" si="1"/>
        <v>919.98703898791666</v>
      </c>
      <c r="K28" s="40">
        <f t="shared" si="2"/>
        <v>1727.6943220474998</v>
      </c>
      <c r="S28" s="110" t="s">
        <v>390</v>
      </c>
      <c r="T28" s="110">
        <v>2860985</v>
      </c>
      <c r="U28" s="110">
        <v>3248104</v>
      </c>
      <c r="V28" s="23">
        <f t="shared" si="14"/>
        <v>6109089</v>
      </c>
      <c r="Y28" s="110" t="s">
        <v>390</v>
      </c>
      <c r="Z28" s="39">
        <f t="shared" si="5"/>
        <v>1.1945874187080341</v>
      </c>
      <c r="AA28" s="39">
        <f t="shared" si="6"/>
        <v>1.0292301893960452</v>
      </c>
      <c r="AE28" s="118">
        <v>2030</v>
      </c>
      <c r="AF28" s="119">
        <f t="shared" si="11"/>
        <v>2460696.9168005269</v>
      </c>
      <c r="AG28" s="119">
        <f t="shared" si="12"/>
        <v>2802759.5117859235</v>
      </c>
      <c r="AH28" s="119">
        <f t="shared" si="13"/>
        <v>5263456.4285864504</v>
      </c>
      <c r="AK28" s="118">
        <v>2030</v>
      </c>
      <c r="AL28" s="40">
        <f t="shared" si="8"/>
        <v>831.31671991998007</v>
      </c>
      <c r="AM28" s="40">
        <f t="shared" si="9"/>
        <v>946.87843437944014</v>
      </c>
      <c r="AN28" s="40">
        <f t="shared" si="10"/>
        <v>1778.1951542994204</v>
      </c>
    </row>
    <row r="29" spans="2:40">
      <c r="B29" s="118">
        <v>2031</v>
      </c>
      <c r="C29" s="119">
        <v>2392791</v>
      </c>
      <c r="D29" s="119">
        <v>2721459</v>
      </c>
      <c r="E29" s="119">
        <v>5114250</v>
      </c>
      <c r="H29" s="118">
        <v>2031</v>
      </c>
      <c r="I29" s="40">
        <f t="shared" si="0"/>
        <v>808.37552645874996</v>
      </c>
      <c r="J29" s="40">
        <f t="shared" si="1"/>
        <v>919.41203885375</v>
      </c>
      <c r="K29" s="40">
        <f t="shared" si="2"/>
        <v>1727.7875653125</v>
      </c>
      <c r="S29" s="110" t="s">
        <v>391</v>
      </c>
      <c r="T29" s="110">
        <v>2874784</v>
      </c>
      <c r="U29" s="110">
        <v>3257176</v>
      </c>
      <c r="V29" s="23">
        <f t="shared" si="14"/>
        <v>6131960</v>
      </c>
      <c r="Y29" s="110" t="s">
        <v>391</v>
      </c>
      <c r="Z29" s="39">
        <f t="shared" si="5"/>
        <v>1.1989949650486387</v>
      </c>
      <c r="AA29" s="39">
        <f t="shared" si="6"/>
        <v>1.0330276341739404</v>
      </c>
      <c r="AE29" s="118">
        <v>2031</v>
      </c>
      <c r="AF29" s="119">
        <f t="shared" si="11"/>
        <v>2471819.2258026968</v>
      </c>
      <c r="AG29" s="119">
        <f t="shared" si="12"/>
        <v>2811342.3522713776</v>
      </c>
      <c r="AH29" s="119">
        <f t="shared" si="13"/>
        <v>5283161.5780740744</v>
      </c>
      <c r="AK29" s="118">
        <v>2031</v>
      </c>
      <c r="AL29" s="40">
        <f t="shared" si="8"/>
        <v>835.07425762179605</v>
      </c>
      <c r="AM29" s="40">
        <f t="shared" si="9"/>
        <v>949.77804332812832</v>
      </c>
      <c r="AN29" s="40">
        <f t="shared" si="10"/>
        <v>1784.8523009499243</v>
      </c>
    </row>
    <row r="30" spans="2:40">
      <c r="B30" s="118">
        <v>2032</v>
      </c>
      <c r="C30" s="119">
        <v>2395224</v>
      </c>
      <c r="D30" s="119">
        <v>2720739</v>
      </c>
      <c r="E30" s="119">
        <v>5115963</v>
      </c>
      <c r="H30" s="118">
        <v>2032</v>
      </c>
      <c r="I30" s="40">
        <f t="shared" si="0"/>
        <v>809.19748610999989</v>
      </c>
      <c r="J30" s="40">
        <f t="shared" si="1"/>
        <v>919.16879555374987</v>
      </c>
      <c r="K30" s="40">
        <f t="shared" si="2"/>
        <v>1728.36628166375</v>
      </c>
      <c r="S30" s="110" t="s">
        <v>392</v>
      </c>
      <c r="T30" s="110">
        <v>2888023</v>
      </c>
      <c r="U30" s="110">
        <v>3265840</v>
      </c>
      <c r="V30" s="23">
        <f t="shared" si="14"/>
        <v>6153863</v>
      </c>
      <c r="Y30" s="110" t="s">
        <v>392</v>
      </c>
      <c r="Z30" s="39">
        <f t="shared" si="5"/>
        <v>1.2028748057794789</v>
      </c>
      <c r="AA30" s="39">
        <f t="shared" si="6"/>
        <v>1.0363704194299144</v>
      </c>
      <c r="AE30" s="118">
        <v>2032</v>
      </c>
      <c r="AF30" s="119">
        <f t="shared" si="11"/>
        <v>2482339.3015085971</v>
      </c>
      <c r="AG30" s="119">
        <f t="shared" si="12"/>
        <v>2819693.4185893256</v>
      </c>
      <c r="AH30" s="119">
        <f t="shared" si="13"/>
        <v>5302032.7200979227</v>
      </c>
      <c r="AK30" s="118">
        <v>2032</v>
      </c>
      <c r="AL30" s="40">
        <f t="shared" si="8"/>
        <v>838.62833808145285</v>
      </c>
      <c r="AM30" s="40">
        <f t="shared" si="9"/>
        <v>952.5993501749291</v>
      </c>
      <c r="AN30" s="40">
        <f t="shared" si="10"/>
        <v>1791.227688256382</v>
      </c>
    </row>
    <row r="31" spans="2:40">
      <c r="B31" s="118">
        <v>2033</v>
      </c>
      <c r="C31" s="119">
        <v>2399386</v>
      </c>
      <c r="D31" s="119">
        <v>2721774</v>
      </c>
      <c r="E31" s="119">
        <v>5121160</v>
      </c>
      <c r="H31" s="118">
        <v>2033</v>
      </c>
      <c r="I31" s="40">
        <f t="shared" si="0"/>
        <v>810.60356751916663</v>
      </c>
      <c r="J31" s="40">
        <f t="shared" si="1"/>
        <v>919.51845779749999</v>
      </c>
      <c r="K31" s="40">
        <f t="shared" si="2"/>
        <v>1730.1220253166664</v>
      </c>
      <c r="S31" s="110" t="s">
        <v>393</v>
      </c>
      <c r="T31" s="110">
        <v>2900705</v>
      </c>
      <c r="U31" s="110">
        <v>3274087</v>
      </c>
      <c r="V31" s="23">
        <f t="shared" si="14"/>
        <v>6174792</v>
      </c>
      <c r="Y31" s="110" t="s">
        <v>393</v>
      </c>
      <c r="Z31" s="39">
        <f t="shared" si="5"/>
        <v>1.2057408868303274</v>
      </c>
      <c r="AA31" s="39">
        <f t="shared" si="6"/>
        <v>1.0388397716904458</v>
      </c>
      <c r="AE31" s="118">
        <v>2033</v>
      </c>
      <c r="AF31" s="119">
        <f t="shared" si="11"/>
        <v>2492577.604437252</v>
      </c>
      <c r="AG31" s="119">
        <f t="shared" si="12"/>
        <v>2827487.0807529916</v>
      </c>
      <c r="AH31" s="119">
        <f t="shared" si="13"/>
        <v>5320064.6851902436</v>
      </c>
      <c r="AK31" s="118">
        <v>2033</v>
      </c>
      <c r="AL31" s="40">
        <f t="shared" si="8"/>
        <v>842.08722501307204</v>
      </c>
      <c r="AM31" s="40">
        <f t="shared" si="9"/>
        <v>955.23234476350581</v>
      </c>
      <c r="AN31" s="40">
        <f t="shared" si="10"/>
        <v>1797.3195697765777</v>
      </c>
    </row>
    <row r="32" spans="2:40">
      <c r="B32" s="118">
        <v>2034</v>
      </c>
      <c r="C32" s="119">
        <v>2405405</v>
      </c>
      <c r="D32" s="119">
        <v>2724805</v>
      </c>
      <c r="E32" s="119">
        <v>5130210</v>
      </c>
      <c r="H32" s="118">
        <v>2034</v>
      </c>
      <c r="I32" s="40">
        <f t="shared" si="0"/>
        <v>812.63701393958331</v>
      </c>
      <c r="J32" s="40">
        <f t="shared" si="1"/>
        <v>920.54244452291664</v>
      </c>
      <c r="K32" s="40">
        <f t="shared" si="2"/>
        <v>1733.1794584625</v>
      </c>
      <c r="S32" s="110" t="s">
        <v>394</v>
      </c>
      <c r="T32" s="110">
        <v>2912812</v>
      </c>
      <c r="U32" s="110">
        <v>3281952</v>
      </c>
      <c r="V32" s="23">
        <f t="shared" si="14"/>
        <v>6194764</v>
      </c>
      <c r="Y32" s="110" t="s">
        <v>394</v>
      </c>
      <c r="Z32" s="39">
        <f t="shared" si="5"/>
        <v>1.2075069051754217</v>
      </c>
      <c r="AA32" s="39">
        <f t="shared" si="6"/>
        <v>1.0403613341707909</v>
      </c>
      <c r="AE32" s="118">
        <v>2034</v>
      </c>
      <c r="AF32" s="119">
        <f t="shared" si="11"/>
        <v>2502490.3550210912</v>
      </c>
      <c r="AG32" s="119">
        <f t="shared" si="12"/>
        <v>2834781.7651552418</v>
      </c>
      <c r="AH32" s="119">
        <f t="shared" si="13"/>
        <v>5337272.120176333</v>
      </c>
      <c r="AK32" s="118">
        <v>2034</v>
      </c>
      <c r="AL32" s="40">
        <f t="shared" si="8"/>
        <v>845.43612801875258</v>
      </c>
      <c r="AM32" s="40">
        <f t="shared" si="9"/>
        <v>957.69676574470293</v>
      </c>
      <c r="AN32" s="40">
        <f t="shared" si="10"/>
        <v>1803.1328937634551</v>
      </c>
    </row>
    <row r="33" spans="2:40">
      <c r="B33" s="118">
        <v>2035</v>
      </c>
      <c r="C33" s="119">
        <v>2412577</v>
      </c>
      <c r="D33" s="119">
        <v>2729359</v>
      </c>
      <c r="E33" s="119">
        <v>5141936</v>
      </c>
      <c r="H33" s="118">
        <v>2035</v>
      </c>
      <c r="I33" s="40">
        <f t="shared" si="0"/>
        <v>815.05998747791659</v>
      </c>
      <c r="J33" s="40">
        <f t="shared" si="1"/>
        <v>922.08095839541659</v>
      </c>
      <c r="K33" s="40">
        <f t="shared" si="2"/>
        <v>1737.1409458733335</v>
      </c>
      <c r="S33" s="110" t="s">
        <v>395</v>
      </c>
      <c r="T33" s="110">
        <v>2924345</v>
      </c>
      <c r="U33" s="110">
        <v>3289483</v>
      </c>
      <c r="V33" s="23">
        <f t="shared" si="14"/>
        <v>6213828</v>
      </c>
      <c r="Y33" s="110" t="s">
        <v>395</v>
      </c>
      <c r="Z33" s="39">
        <f t="shared" si="5"/>
        <v>1.208460782086747</v>
      </c>
      <c r="AA33" s="39">
        <f t="shared" si="6"/>
        <v>1.0411831734926595</v>
      </c>
      <c r="AE33" s="118">
        <v>2035</v>
      </c>
      <c r="AF33" s="119">
        <f t="shared" si="11"/>
        <v>2511934.5771554001</v>
      </c>
      <c r="AG33" s="119">
        <f t="shared" si="12"/>
        <v>2841762.6652207519</v>
      </c>
      <c r="AH33" s="119">
        <f t="shared" si="13"/>
        <v>5353697.2423761515</v>
      </c>
      <c r="AK33" s="118">
        <v>2035</v>
      </c>
      <c r="AL33" s="40">
        <f t="shared" si="8"/>
        <v>848.62674434914459</v>
      </c>
      <c r="AM33" s="40">
        <f t="shared" si="9"/>
        <v>960.05517847929298</v>
      </c>
      <c r="AN33" s="40">
        <f t="shared" si="10"/>
        <v>1808.6819228284373</v>
      </c>
    </row>
    <row r="34" spans="2:40">
      <c r="B34" s="118">
        <v>2036</v>
      </c>
      <c r="C34" s="119">
        <v>2419698</v>
      </c>
      <c r="D34" s="119">
        <v>2734062</v>
      </c>
      <c r="E34" s="119">
        <v>5153760</v>
      </c>
      <c r="H34" s="118">
        <v>2036</v>
      </c>
      <c r="I34" s="40">
        <f t="shared" si="0"/>
        <v>817.46573128249986</v>
      </c>
      <c r="J34" s="40">
        <f t="shared" si="1"/>
        <v>923.66981011750011</v>
      </c>
      <c r="K34" s="40">
        <f t="shared" si="2"/>
        <v>1741.1355414000002</v>
      </c>
      <c r="S34" s="110" t="s">
        <v>396</v>
      </c>
      <c r="T34" s="110">
        <v>2935310</v>
      </c>
      <c r="U34" s="110">
        <v>3296685</v>
      </c>
      <c r="V34" s="23">
        <f t="shared" si="14"/>
        <v>6231995</v>
      </c>
      <c r="Y34" s="110" t="s">
        <v>396</v>
      </c>
      <c r="Z34" s="39">
        <f t="shared" si="5"/>
        <v>1.2092132734159138</v>
      </c>
      <c r="AA34" s="39">
        <f t="shared" si="6"/>
        <v>1.0418315034357917</v>
      </c>
      <c r="AE34" s="118">
        <v>2036</v>
      </c>
      <c r="AF34" s="119">
        <f t="shared" si="11"/>
        <v>2520917.6052005785</v>
      </c>
      <c r="AG34" s="119">
        <f t="shared" si="12"/>
        <v>2848431.9239466675</v>
      </c>
      <c r="AH34" s="119">
        <f t="shared" si="13"/>
        <v>5369349.5291472459</v>
      </c>
      <c r="AK34" s="118">
        <v>2036</v>
      </c>
      <c r="AL34" s="40">
        <f t="shared" si="8"/>
        <v>851.66155182928583</v>
      </c>
      <c r="AM34" s="40">
        <f t="shared" si="9"/>
        <v>962.3083069529672</v>
      </c>
      <c r="AN34" s="40">
        <f t="shared" si="10"/>
        <v>1813.9698587822529</v>
      </c>
    </row>
    <row r="35" spans="2:40">
      <c r="B35" s="118">
        <v>2037</v>
      </c>
      <c r="C35" s="119">
        <v>2427455</v>
      </c>
      <c r="D35" s="119">
        <v>2739448</v>
      </c>
      <c r="E35" s="119">
        <v>5166903</v>
      </c>
      <c r="H35" s="118">
        <v>2037</v>
      </c>
      <c r="I35" s="40">
        <f t="shared" si="0"/>
        <v>820.08634000208315</v>
      </c>
      <c r="J35" s="40">
        <f t="shared" si="1"/>
        <v>925.48940513666662</v>
      </c>
      <c r="K35" s="40">
        <f t="shared" si="2"/>
        <v>1745.5757451387499</v>
      </c>
      <c r="S35" s="110" t="s">
        <v>397</v>
      </c>
      <c r="T35" s="110">
        <v>2945728</v>
      </c>
      <c r="U35" s="110">
        <v>3303519</v>
      </c>
      <c r="V35" s="23">
        <f t="shared" si="14"/>
        <v>6249247</v>
      </c>
      <c r="Y35" s="110" t="s">
        <v>397</v>
      </c>
      <c r="Z35" s="39">
        <f t="shared" si="5"/>
        <v>1.2094763536300179</v>
      </c>
      <c r="AA35" s="39">
        <f t="shared" si="6"/>
        <v>1.042058167549567</v>
      </c>
      <c r="AE35" s="118">
        <v>2037</v>
      </c>
      <c r="AF35" s="119">
        <f t="shared" si="11"/>
        <v>2529549.3091090345</v>
      </c>
      <c r="AG35" s="119">
        <f t="shared" si="12"/>
        <v>2854664.1629773262</v>
      </c>
      <c r="AH35" s="119">
        <f t="shared" si="13"/>
        <v>5384213.4720863607</v>
      </c>
      <c r="AK35" s="118">
        <v>2037</v>
      </c>
      <c r="AL35" s="40">
        <f t="shared" si="8"/>
        <v>854.57766869500233</v>
      </c>
      <c r="AM35" s="40">
        <f t="shared" si="9"/>
        <v>964.41379360325368</v>
      </c>
      <c r="AN35" s="40">
        <f t="shared" si="10"/>
        <v>1818.991462298256</v>
      </c>
    </row>
    <row r="36" spans="2:40">
      <c r="B36" s="118">
        <v>2038</v>
      </c>
      <c r="C36" s="119">
        <v>2434806</v>
      </c>
      <c r="D36" s="119">
        <v>2744485</v>
      </c>
      <c r="E36" s="119">
        <v>5179291</v>
      </c>
      <c r="H36" s="118">
        <v>2038</v>
      </c>
      <c r="I36" s="40">
        <f t="shared" si="0"/>
        <v>822.5697865274999</v>
      </c>
      <c r="J36" s="40">
        <f t="shared" si="1"/>
        <v>927.19109472291677</v>
      </c>
      <c r="K36" s="40">
        <f t="shared" si="2"/>
        <v>1749.7608812504166</v>
      </c>
      <c r="S36" s="110" t="s">
        <v>398</v>
      </c>
      <c r="T36" s="110">
        <v>2955669</v>
      </c>
      <c r="U36" s="110">
        <v>3310010</v>
      </c>
      <c r="V36" s="23">
        <f t="shared" si="14"/>
        <v>6265679</v>
      </c>
      <c r="Y36" s="110" t="s">
        <v>398</v>
      </c>
      <c r="Z36" s="39">
        <f t="shared" si="5"/>
        <v>1.2097561229905791</v>
      </c>
      <c r="AA36" s="39">
        <f t="shared" si="6"/>
        <v>1.0422992106640752</v>
      </c>
      <c r="AE36" s="118">
        <v>2038</v>
      </c>
      <c r="AF36" s="119">
        <f t="shared" si="11"/>
        <v>2537796.371920154</v>
      </c>
      <c r="AG36" s="119">
        <f t="shared" si="12"/>
        <v>2860574.5491793943</v>
      </c>
      <c r="AH36" s="119">
        <f t="shared" si="13"/>
        <v>5398370.9210995482</v>
      </c>
      <c r="AK36" s="118">
        <v>2038</v>
      </c>
      <c r="AL36" s="40">
        <f t="shared" si="8"/>
        <v>857.36383921372988</v>
      </c>
      <c r="AM36" s="40">
        <f t="shared" si="9"/>
        <v>966.41054616445581</v>
      </c>
      <c r="AN36" s="40">
        <f t="shared" si="10"/>
        <v>1823.7743853781858</v>
      </c>
    </row>
    <row r="37" spans="2:40">
      <c r="B37" s="118">
        <v>2039</v>
      </c>
      <c r="C37" s="119">
        <v>2441871</v>
      </c>
      <c r="D37" s="119">
        <v>2748931</v>
      </c>
      <c r="E37" s="119">
        <v>5190802</v>
      </c>
      <c r="H37" s="118">
        <v>2039</v>
      </c>
      <c r="I37" s="40">
        <f t="shared" si="0"/>
        <v>824.95661140875006</v>
      </c>
      <c r="J37" s="40">
        <f t="shared" si="1"/>
        <v>928.69312210041664</v>
      </c>
      <c r="K37" s="40">
        <f t="shared" si="2"/>
        <v>1753.6497335091667</v>
      </c>
      <c r="S37" s="110" t="s">
        <v>399</v>
      </c>
      <c r="T37" s="110">
        <v>2965184</v>
      </c>
      <c r="U37" s="110">
        <v>3316122</v>
      </c>
      <c r="V37" s="23">
        <f t="shared" si="14"/>
        <v>6281306</v>
      </c>
      <c r="Y37" s="110" t="s">
        <v>399</v>
      </c>
      <c r="Z37" s="39">
        <f t="shared" si="5"/>
        <v>1.2100839138152448</v>
      </c>
      <c r="AA37" s="39">
        <f t="shared" si="6"/>
        <v>1.042581628013588</v>
      </c>
      <c r="AE37" s="118">
        <v>2039</v>
      </c>
      <c r="AF37" s="119">
        <f t="shared" si="11"/>
        <v>2545849.8425791683</v>
      </c>
      <c r="AG37" s="119">
        <f t="shared" si="12"/>
        <v>2865984.9572770204</v>
      </c>
      <c r="AH37" s="119">
        <f t="shared" si="13"/>
        <v>5411834.7998561887</v>
      </c>
      <c r="AK37" s="118">
        <v>2039</v>
      </c>
      <c r="AL37" s="40">
        <f t="shared" si="8"/>
        <v>860.08460696310749</v>
      </c>
      <c r="AM37" s="40">
        <f t="shared" si="9"/>
        <v>968.23838716447426</v>
      </c>
      <c r="AN37" s="40">
        <f t="shared" si="10"/>
        <v>1828.3229941275818</v>
      </c>
    </row>
    <row r="38" spans="2:40">
      <c r="B38" s="118">
        <v>2040</v>
      </c>
      <c r="C38" s="119">
        <v>2448973</v>
      </c>
      <c r="D38" s="119">
        <v>2753635</v>
      </c>
      <c r="E38" s="119">
        <v>5202608</v>
      </c>
      <c r="H38" s="118">
        <v>2040</v>
      </c>
      <c r="I38" s="40">
        <f t="shared" si="0"/>
        <v>827.35593629291668</v>
      </c>
      <c r="J38" s="40">
        <f t="shared" si="1"/>
        <v>930.28231166041667</v>
      </c>
      <c r="K38" s="40">
        <f t="shared" si="2"/>
        <v>1757.6382479533333</v>
      </c>
      <c r="S38" s="110" t="s">
        <v>400</v>
      </c>
      <c r="T38" s="110">
        <v>2974334</v>
      </c>
      <c r="U38" s="110">
        <v>3321887</v>
      </c>
      <c r="V38" s="23">
        <f t="shared" si="14"/>
        <v>6296221</v>
      </c>
      <c r="Y38" s="110" t="s">
        <v>400</v>
      </c>
      <c r="Z38" s="39">
        <f t="shared" si="5"/>
        <v>1.2102047665324775</v>
      </c>
      <c r="AA38" s="39">
        <f t="shared" si="6"/>
        <v>1.042685752050974</v>
      </c>
      <c r="AE38" s="118">
        <v>2040</v>
      </c>
      <c r="AF38" s="119">
        <f t="shared" si="11"/>
        <v>2553509.25425753</v>
      </c>
      <c r="AG38" s="119">
        <f t="shared" si="12"/>
        <v>2871175.9808488837</v>
      </c>
      <c r="AH38" s="119">
        <f t="shared" si="13"/>
        <v>5424685.2351064142</v>
      </c>
      <c r="AK38" s="118">
        <v>2040</v>
      </c>
      <c r="AL38" s="40">
        <f t="shared" si="8"/>
        <v>862.67224664741741</v>
      </c>
      <c r="AM38" s="40">
        <f t="shared" si="9"/>
        <v>969.99211175336018</v>
      </c>
      <c r="AN38" s="40">
        <f t="shared" si="10"/>
        <v>1832.6643584007782</v>
      </c>
    </row>
    <row r="39" spans="2:40">
      <c r="B39" s="118">
        <v>2041</v>
      </c>
      <c r="C39" s="119">
        <v>2448973</v>
      </c>
      <c r="D39" s="119">
        <v>2753635</v>
      </c>
      <c r="E39" s="119">
        <v>5202608</v>
      </c>
      <c r="H39" s="118">
        <v>2041</v>
      </c>
      <c r="I39" s="40">
        <f t="shared" si="0"/>
        <v>827.35593629291668</v>
      </c>
      <c r="J39" s="40">
        <f t="shared" si="1"/>
        <v>930.28231166041667</v>
      </c>
      <c r="K39" s="40">
        <f t="shared" si="2"/>
        <v>1757.6382479533333</v>
      </c>
      <c r="S39" s="110" t="s">
        <v>401</v>
      </c>
      <c r="T39" s="110">
        <v>2983170</v>
      </c>
      <c r="U39" s="110">
        <v>3327325</v>
      </c>
      <c r="V39" s="23">
        <f t="shared" si="14"/>
        <v>6310495</v>
      </c>
      <c r="Y39" s="110" t="s">
        <v>401</v>
      </c>
      <c r="Z39" s="39">
        <f t="shared" si="5"/>
        <v>1.2129483904995342</v>
      </c>
      <c r="AA39" s="39">
        <f t="shared" si="6"/>
        <v>1.0450495979872549</v>
      </c>
      <c r="AE39" s="118">
        <v>2041</v>
      </c>
      <c r="AF39" s="119">
        <f t="shared" si="11"/>
        <v>2559298.2491316418</v>
      </c>
      <c r="AG39" s="119">
        <f t="shared" si="12"/>
        <v>2877685.1497536348</v>
      </c>
      <c r="AH39" s="119">
        <f t="shared" si="13"/>
        <v>5436983.3988852762</v>
      </c>
      <c r="AK39" s="118">
        <v>2041</v>
      </c>
      <c r="AL39" s="40">
        <f t="shared" si="8"/>
        <v>864.62798861528142</v>
      </c>
      <c r="AM39" s="40">
        <f t="shared" si="9"/>
        <v>972.19115581537255</v>
      </c>
      <c r="AN39" s="40">
        <f t="shared" si="10"/>
        <v>1836.8191444306538</v>
      </c>
    </row>
    <row r="40" spans="2:40">
      <c r="B40" s="118">
        <v>2042</v>
      </c>
      <c r="C40" s="119">
        <v>2448973</v>
      </c>
      <c r="D40" s="119">
        <v>2753635</v>
      </c>
      <c r="E40" s="119">
        <v>5202608</v>
      </c>
      <c r="H40" s="118">
        <v>2042</v>
      </c>
      <c r="I40" s="40">
        <f t="shared" si="0"/>
        <v>827.35593629291668</v>
      </c>
      <c r="J40" s="40">
        <f t="shared" si="1"/>
        <v>930.28231166041667</v>
      </c>
      <c r="K40" s="40">
        <f t="shared" si="2"/>
        <v>1757.6382479533333</v>
      </c>
      <c r="S40" s="110" t="s">
        <v>402</v>
      </c>
      <c r="T40" s="110">
        <v>2991752</v>
      </c>
      <c r="U40" s="110">
        <v>3332477</v>
      </c>
      <c r="V40" s="23">
        <f t="shared" si="14"/>
        <v>6324229</v>
      </c>
      <c r="Y40" s="110" t="s">
        <v>402</v>
      </c>
      <c r="Z40" s="39">
        <f t="shared" si="5"/>
        <v>1.2155882203694763</v>
      </c>
      <c r="AA40" s="39">
        <f t="shared" si="6"/>
        <v>1.0473240172172451</v>
      </c>
      <c r="AE40" s="118">
        <v>2042</v>
      </c>
      <c r="AF40" s="119">
        <f t="shared" si="11"/>
        <v>2564868.2404165682</v>
      </c>
      <c r="AG40" s="119">
        <f t="shared" si="12"/>
        <v>2883948.0701500089</v>
      </c>
      <c r="AH40" s="119">
        <f t="shared" si="13"/>
        <v>5448816.3105665771</v>
      </c>
      <c r="AK40" s="118">
        <v>2042</v>
      </c>
      <c r="AL40" s="40">
        <f t="shared" si="8"/>
        <v>866.50974286683254</v>
      </c>
      <c r="AM40" s="40">
        <f t="shared" si="9"/>
        <v>974.30700779433278</v>
      </c>
      <c r="AN40" s="40">
        <f t="shared" si="10"/>
        <v>1840.8167506611653</v>
      </c>
    </row>
    <row r="41" spans="2:40">
      <c r="B41" s="118">
        <v>2043</v>
      </c>
      <c r="C41" s="119">
        <v>2448973</v>
      </c>
      <c r="D41" s="119">
        <v>2753635</v>
      </c>
      <c r="E41" s="119">
        <v>5202608</v>
      </c>
      <c r="H41" s="118">
        <v>2043</v>
      </c>
      <c r="I41" s="40">
        <f t="shared" si="0"/>
        <v>827.35593629291668</v>
      </c>
      <c r="J41" s="40">
        <f t="shared" si="1"/>
        <v>930.28231166041667</v>
      </c>
      <c r="K41" s="40">
        <f t="shared" si="2"/>
        <v>1757.6382479533333</v>
      </c>
      <c r="S41" s="110" t="s">
        <v>403</v>
      </c>
      <c r="T41" s="110">
        <v>3000116</v>
      </c>
      <c r="U41" s="110">
        <v>3337392</v>
      </c>
      <c r="V41" s="23">
        <f t="shared" si="14"/>
        <v>6337508</v>
      </c>
      <c r="Y41" s="110" t="s">
        <v>403</v>
      </c>
      <c r="Z41" s="39">
        <f t="shared" si="5"/>
        <v>1.2181405941020349</v>
      </c>
      <c r="AA41" s="39">
        <f t="shared" si="6"/>
        <v>1.0495230861669347</v>
      </c>
      <c r="AE41" s="118">
        <v>2043</v>
      </c>
      <c r="AF41" s="119">
        <f t="shared" si="11"/>
        <v>2570253.7008994967</v>
      </c>
      <c r="AG41" s="119">
        <f t="shared" si="12"/>
        <v>2890003.5033772872</v>
      </c>
      <c r="AH41" s="119">
        <f t="shared" si="13"/>
        <v>5460257.2042767834</v>
      </c>
      <c r="AK41" s="118">
        <v>2043</v>
      </c>
      <c r="AL41" s="40">
        <f t="shared" si="8"/>
        <v>868.32915561667573</v>
      </c>
      <c r="AM41" s="40">
        <f t="shared" si="9"/>
        <v>976.35276274035061</v>
      </c>
      <c r="AN41" s="40">
        <f t="shared" si="10"/>
        <v>1844.6819183570262</v>
      </c>
    </row>
    <row r="42" spans="2:40">
      <c r="B42" s="118">
        <v>2044</v>
      </c>
      <c r="C42" s="119">
        <v>2448973</v>
      </c>
      <c r="D42" s="119">
        <v>2753635</v>
      </c>
      <c r="E42" s="119">
        <v>5202608</v>
      </c>
      <c r="H42" s="118">
        <v>2044</v>
      </c>
      <c r="I42" s="40">
        <f t="shared" si="0"/>
        <v>827.35593629291668</v>
      </c>
      <c r="J42" s="40">
        <f t="shared" si="1"/>
        <v>930.28231166041667</v>
      </c>
      <c r="K42" s="40">
        <f t="shared" si="2"/>
        <v>1757.6382479533333</v>
      </c>
      <c r="S42" s="110" t="s">
        <v>404</v>
      </c>
      <c r="T42" s="110">
        <v>3008359</v>
      </c>
      <c r="U42" s="110">
        <v>3342163</v>
      </c>
      <c r="V42" s="23">
        <f t="shared" si="14"/>
        <v>6350522</v>
      </c>
      <c r="Y42" s="110" t="s">
        <v>404</v>
      </c>
      <c r="Z42" s="39">
        <f t="shared" si="5"/>
        <v>1.2206420318424913</v>
      </c>
      <c r="AA42" s="39">
        <f t="shared" si="6"/>
        <v>1.0516782697885376</v>
      </c>
      <c r="AE42" s="118">
        <v>2044</v>
      </c>
      <c r="AF42" s="119">
        <f t="shared" si="11"/>
        <v>2575531.6873988444</v>
      </c>
      <c r="AG42" s="119">
        <f t="shared" si="12"/>
        <v>2895938.0924291597</v>
      </c>
      <c r="AH42" s="119">
        <f t="shared" si="13"/>
        <v>5471469.7798280045</v>
      </c>
      <c r="AK42" s="118">
        <v>2044</v>
      </c>
      <c r="AL42" s="40">
        <f t="shared" si="8"/>
        <v>870.11225957981014</v>
      </c>
      <c r="AM42" s="40">
        <f t="shared" si="9"/>
        <v>978.357691941908</v>
      </c>
      <c r="AN42" s="40">
        <f t="shared" si="10"/>
        <v>1848.4699515217185</v>
      </c>
    </row>
    <row r="43" spans="2:40">
      <c r="B43" s="118">
        <v>2045</v>
      </c>
      <c r="C43" s="119">
        <v>2448973</v>
      </c>
      <c r="D43" s="119">
        <v>2753635</v>
      </c>
      <c r="E43" s="119">
        <v>5202608</v>
      </c>
      <c r="H43" s="118">
        <v>2045</v>
      </c>
      <c r="I43" s="40">
        <f t="shared" si="0"/>
        <v>827.35593629291668</v>
      </c>
      <c r="J43" s="40">
        <f t="shared" si="1"/>
        <v>930.28231166041667</v>
      </c>
      <c r="K43" s="40">
        <f t="shared" si="2"/>
        <v>1757.6382479533333</v>
      </c>
      <c r="S43" s="110" t="s">
        <v>405</v>
      </c>
      <c r="T43" s="110">
        <v>3016481</v>
      </c>
      <c r="U43" s="110">
        <v>3346842</v>
      </c>
      <c r="V43" s="23">
        <f t="shared" si="14"/>
        <v>6363323</v>
      </c>
      <c r="Y43" s="110" t="s">
        <v>405</v>
      </c>
      <c r="Z43" s="39">
        <f t="shared" si="5"/>
        <v>1.2231025285779746</v>
      </c>
      <c r="AA43" s="39">
        <f t="shared" si="6"/>
        <v>1.053798179542659</v>
      </c>
      <c r="AE43" s="118">
        <v>2045</v>
      </c>
      <c r="AF43" s="119">
        <f t="shared" si="11"/>
        <v>2580723.2891491242</v>
      </c>
      <c r="AG43" s="119">
        <f t="shared" si="12"/>
        <v>2901775.5501249498</v>
      </c>
      <c r="AH43" s="119">
        <f t="shared" si="13"/>
        <v>5482498.839274074</v>
      </c>
      <c r="AK43" s="118">
        <v>2045</v>
      </c>
      <c r="AL43" s="40">
        <f t="shared" si="8"/>
        <v>871.86617949928768</v>
      </c>
      <c r="AM43" s="40">
        <f t="shared" si="9"/>
        <v>980.32980648848365</v>
      </c>
      <c r="AN43" s="40">
        <f t="shared" si="10"/>
        <v>1852.1959859877713</v>
      </c>
    </row>
    <row r="44" spans="2:40">
      <c r="B44" s="118">
        <v>2046</v>
      </c>
      <c r="C44" s="119">
        <v>2448973</v>
      </c>
      <c r="D44" s="119">
        <v>2753635</v>
      </c>
      <c r="E44" s="119">
        <v>5202608</v>
      </c>
      <c r="H44" s="118">
        <v>2046</v>
      </c>
      <c r="I44" s="40">
        <f t="shared" si="0"/>
        <v>827.35593629291668</v>
      </c>
      <c r="J44" s="40">
        <f t="shared" si="1"/>
        <v>930.28231166041667</v>
      </c>
      <c r="K44" s="40">
        <f t="shared" si="2"/>
        <v>1757.6382479533333</v>
      </c>
      <c r="S44" s="33">
        <v>2046</v>
      </c>
      <c r="T44" s="33">
        <f t="shared" ref="T44:U48" si="15">T43</f>
        <v>3016481</v>
      </c>
      <c r="U44" s="33">
        <f t="shared" si="15"/>
        <v>3346842</v>
      </c>
      <c r="V44" s="23">
        <f t="shared" si="14"/>
        <v>6363323</v>
      </c>
      <c r="Y44" s="33">
        <v>2046</v>
      </c>
      <c r="Z44" s="39">
        <f t="shared" si="5"/>
        <v>1.2231025285779746</v>
      </c>
      <c r="AA44" s="39">
        <f t="shared" si="6"/>
        <v>1.053798179542659</v>
      </c>
      <c r="AE44" s="118">
        <v>2046</v>
      </c>
      <c r="AF44" s="119">
        <f t="shared" si="11"/>
        <v>2580723.2891491242</v>
      </c>
      <c r="AG44" s="119">
        <f t="shared" si="12"/>
        <v>2901775.5501249498</v>
      </c>
      <c r="AH44" s="119">
        <f t="shared" si="13"/>
        <v>5482498.839274074</v>
      </c>
      <c r="AK44" s="118">
        <v>2046</v>
      </c>
      <c r="AL44" s="40">
        <f t="shared" si="8"/>
        <v>871.86617949928768</v>
      </c>
      <c r="AM44" s="40">
        <f t="shared" si="9"/>
        <v>980.32980648848365</v>
      </c>
      <c r="AN44" s="40">
        <f t="shared" si="10"/>
        <v>1852.1959859877713</v>
      </c>
    </row>
    <row r="45" spans="2:40">
      <c r="B45" s="118">
        <v>2047</v>
      </c>
      <c r="C45" s="119">
        <v>2448973</v>
      </c>
      <c r="D45" s="119">
        <v>2753635</v>
      </c>
      <c r="E45" s="119">
        <v>5202608</v>
      </c>
      <c r="H45" s="118">
        <v>2047</v>
      </c>
      <c r="I45" s="40">
        <f t="shared" si="0"/>
        <v>827.35593629291668</v>
      </c>
      <c r="J45" s="40">
        <f t="shared" si="1"/>
        <v>930.28231166041667</v>
      </c>
      <c r="K45" s="40">
        <f t="shared" si="2"/>
        <v>1757.6382479533333</v>
      </c>
      <c r="S45" s="33">
        <v>2047</v>
      </c>
      <c r="T45" s="33">
        <f t="shared" si="15"/>
        <v>3016481</v>
      </c>
      <c r="U45" s="33">
        <f t="shared" si="15"/>
        <v>3346842</v>
      </c>
      <c r="V45" s="23">
        <f t="shared" si="14"/>
        <v>6363323</v>
      </c>
      <c r="Y45" s="33">
        <v>2047</v>
      </c>
      <c r="Z45" s="39">
        <f t="shared" si="5"/>
        <v>1.2231025285779746</v>
      </c>
      <c r="AA45" s="39">
        <f t="shared" si="6"/>
        <v>1.053798179542659</v>
      </c>
      <c r="AE45" s="118">
        <v>2047</v>
      </c>
      <c r="AF45" s="119">
        <f t="shared" si="11"/>
        <v>2580723.2891491242</v>
      </c>
      <c r="AG45" s="119">
        <f t="shared" si="12"/>
        <v>2901775.5501249498</v>
      </c>
      <c r="AH45" s="119">
        <f t="shared" si="13"/>
        <v>5482498.839274074</v>
      </c>
      <c r="AK45" s="118">
        <v>2047</v>
      </c>
      <c r="AL45" s="40">
        <f t="shared" si="8"/>
        <v>871.86617949928768</v>
      </c>
      <c r="AM45" s="40">
        <f t="shared" si="9"/>
        <v>980.32980648848365</v>
      </c>
      <c r="AN45" s="40">
        <f t="shared" si="10"/>
        <v>1852.1959859877713</v>
      </c>
    </row>
    <row r="46" spans="2:40">
      <c r="B46" s="118">
        <v>2048</v>
      </c>
      <c r="C46" s="119">
        <v>2448973</v>
      </c>
      <c r="D46" s="119">
        <v>2753635</v>
      </c>
      <c r="E46" s="119">
        <v>5202608</v>
      </c>
      <c r="H46" s="118">
        <v>2048</v>
      </c>
      <c r="I46" s="40">
        <f t="shared" si="0"/>
        <v>827.35593629291668</v>
      </c>
      <c r="J46" s="40">
        <f t="shared" si="1"/>
        <v>930.28231166041667</v>
      </c>
      <c r="K46" s="40">
        <f t="shared" si="2"/>
        <v>1757.6382479533333</v>
      </c>
      <c r="S46" s="33">
        <v>2048</v>
      </c>
      <c r="T46" s="33">
        <f t="shared" si="15"/>
        <v>3016481</v>
      </c>
      <c r="U46" s="33">
        <f t="shared" si="15"/>
        <v>3346842</v>
      </c>
      <c r="V46" s="23">
        <f t="shared" si="14"/>
        <v>6363323</v>
      </c>
      <c r="Y46" s="33">
        <v>2048</v>
      </c>
      <c r="Z46" s="39">
        <f t="shared" si="5"/>
        <v>1.2231025285779746</v>
      </c>
      <c r="AA46" s="39">
        <f t="shared" si="6"/>
        <v>1.053798179542659</v>
      </c>
      <c r="AE46" s="118">
        <v>2048</v>
      </c>
      <c r="AF46" s="119">
        <f t="shared" si="11"/>
        <v>2580723.2891491242</v>
      </c>
      <c r="AG46" s="119">
        <f t="shared" si="12"/>
        <v>2901775.5501249498</v>
      </c>
      <c r="AH46" s="119">
        <f t="shared" si="13"/>
        <v>5482498.839274074</v>
      </c>
      <c r="AK46" s="118">
        <v>2048</v>
      </c>
      <c r="AL46" s="40">
        <f t="shared" si="8"/>
        <v>871.86617949928768</v>
      </c>
      <c r="AM46" s="40">
        <f t="shared" si="9"/>
        <v>980.32980648848365</v>
      </c>
      <c r="AN46" s="40">
        <f t="shared" si="10"/>
        <v>1852.1959859877713</v>
      </c>
    </row>
    <row r="47" spans="2:40">
      <c r="B47" s="118">
        <v>2049</v>
      </c>
      <c r="C47" s="119">
        <v>2448973</v>
      </c>
      <c r="D47" s="119">
        <v>2753635</v>
      </c>
      <c r="E47" s="119">
        <v>5202608</v>
      </c>
      <c r="H47" s="118">
        <v>2049</v>
      </c>
      <c r="I47" s="40">
        <f t="shared" si="0"/>
        <v>827.35593629291668</v>
      </c>
      <c r="J47" s="40">
        <f t="shared" si="1"/>
        <v>930.28231166041667</v>
      </c>
      <c r="K47" s="40">
        <f t="shared" si="2"/>
        <v>1757.6382479533333</v>
      </c>
      <c r="S47" s="33">
        <v>2049</v>
      </c>
      <c r="T47" s="33">
        <f t="shared" si="15"/>
        <v>3016481</v>
      </c>
      <c r="U47" s="33">
        <f t="shared" si="15"/>
        <v>3346842</v>
      </c>
      <c r="V47" s="23">
        <f t="shared" si="14"/>
        <v>6363323</v>
      </c>
      <c r="Y47" s="33">
        <v>2049</v>
      </c>
      <c r="Z47" s="39">
        <f t="shared" si="5"/>
        <v>1.2231025285779746</v>
      </c>
      <c r="AA47" s="39">
        <f t="shared" si="6"/>
        <v>1.053798179542659</v>
      </c>
      <c r="AE47" s="118">
        <v>2049</v>
      </c>
      <c r="AF47" s="119">
        <f t="shared" si="11"/>
        <v>2580723.2891491242</v>
      </c>
      <c r="AG47" s="119">
        <f t="shared" si="12"/>
        <v>2901775.5501249498</v>
      </c>
      <c r="AH47" s="119">
        <f t="shared" si="13"/>
        <v>5482498.839274074</v>
      </c>
      <c r="AK47" s="118">
        <v>2049</v>
      </c>
      <c r="AL47" s="40">
        <f t="shared" si="8"/>
        <v>871.86617949928768</v>
      </c>
      <c r="AM47" s="40">
        <f t="shared" si="9"/>
        <v>980.32980648848365</v>
      </c>
      <c r="AN47" s="40">
        <f t="shared" si="10"/>
        <v>1852.1959859877713</v>
      </c>
    </row>
    <row r="48" spans="2:40">
      <c r="B48" s="115">
        <v>2050</v>
      </c>
      <c r="C48" s="117">
        <v>2448973</v>
      </c>
      <c r="D48" s="117">
        <v>2753635</v>
      </c>
      <c r="E48" s="117">
        <v>5202608</v>
      </c>
      <c r="H48" s="115">
        <v>2050</v>
      </c>
      <c r="I48" s="40">
        <f t="shared" si="0"/>
        <v>827.35593629291668</v>
      </c>
      <c r="J48" s="40">
        <f t="shared" si="1"/>
        <v>930.28231166041667</v>
      </c>
      <c r="K48" s="40">
        <f t="shared" si="2"/>
        <v>1757.6382479533333</v>
      </c>
      <c r="S48" s="33">
        <v>2050</v>
      </c>
      <c r="T48" s="33">
        <f t="shared" si="15"/>
        <v>3016481</v>
      </c>
      <c r="U48" s="33">
        <f t="shared" si="15"/>
        <v>3346842</v>
      </c>
      <c r="V48" s="23">
        <f t="shared" si="14"/>
        <v>6363323</v>
      </c>
      <c r="Y48" s="33">
        <v>2050</v>
      </c>
      <c r="Z48" s="39">
        <f t="shared" si="5"/>
        <v>1.2231025285779746</v>
      </c>
      <c r="AA48" s="39">
        <f t="shared" si="6"/>
        <v>1.053798179542659</v>
      </c>
      <c r="AE48" s="115">
        <v>2050</v>
      </c>
      <c r="AF48" s="117">
        <f t="shared" si="11"/>
        <v>2580723.2891491242</v>
      </c>
      <c r="AG48" s="117">
        <f t="shared" si="12"/>
        <v>2901775.5501249498</v>
      </c>
      <c r="AH48" s="117">
        <f t="shared" si="13"/>
        <v>5482498.839274074</v>
      </c>
      <c r="AK48" s="115">
        <v>2050</v>
      </c>
      <c r="AL48" s="40">
        <f t="shared" si="8"/>
        <v>871.86617949928768</v>
      </c>
      <c r="AM48" s="40">
        <f t="shared" si="9"/>
        <v>980.32980648848365</v>
      </c>
      <c r="AN48" s="40">
        <f t="shared" si="10"/>
        <v>1852.1959859877713</v>
      </c>
    </row>
  </sheetData>
  <mergeCells count="4">
    <mergeCell ref="B6:E6"/>
    <mergeCell ref="H6:K6"/>
    <mergeCell ref="AE6:AH6"/>
    <mergeCell ref="AK6:AN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T60"/>
  <sheetViews>
    <sheetView workbookViewId="0">
      <selection activeCell="R25" sqref="R25"/>
    </sheetView>
  </sheetViews>
  <sheetFormatPr defaultRowHeight="14.4"/>
  <cols>
    <col min="8" max="8" width="8.88671875" style="23"/>
    <col min="12" max="12" width="11.5546875" bestFit="1" customWidth="1"/>
    <col min="25" max="25" width="12" bestFit="1" customWidth="1"/>
    <col min="26" max="26" width="10" bestFit="1" customWidth="1"/>
  </cols>
  <sheetData>
    <row r="1" spans="2:28" s="23" customFormat="1"/>
    <row r="2" spans="2:28">
      <c r="B2" t="s">
        <v>407</v>
      </c>
      <c r="J2" s="25" t="s">
        <v>58</v>
      </c>
      <c r="K2" s="26"/>
      <c r="L2" s="23">
        <v>642.09529999999995</v>
      </c>
      <c r="O2" s="23"/>
      <c r="P2" s="23"/>
      <c r="Q2" s="23"/>
      <c r="R2" s="23"/>
      <c r="S2" s="23"/>
      <c r="T2" s="23"/>
    </row>
    <row r="3" spans="2:28">
      <c r="B3" s="23" t="s">
        <v>406</v>
      </c>
      <c r="J3" s="11" t="s">
        <v>59</v>
      </c>
      <c r="K3" s="12"/>
      <c r="L3" s="23">
        <v>747.77620000000002</v>
      </c>
      <c r="O3" s="23"/>
      <c r="P3" s="23"/>
      <c r="Q3" s="23"/>
      <c r="R3" s="23"/>
      <c r="S3" s="23"/>
      <c r="T3" s="23"/>
    </row>
    <row r="4" spans="2:28">
      <c r="O4" s="23"/>
      <c r="P4" s="23"/>
      <c r="Q4" s="23"/>
      <c r="R4" s="23"/>
      <c r="S4" s="23"/>
      <c r="T4" s="23"/>
    </row>
    <row r="5" spans="2:28">
      <c r="B5" t="s">
        <v>11</v>
      </c>
      <c r="J5" s="147" t="s">
        <v>36</v>
      </c>
      <c r="K5" s="147"/>
      <c r="L5" s="147"/>
      <c r="M5" s="147"/>
      <c r="O5" s="23"/>
      <c r="P5" s="23"/>
      <c r="Q5" s="23"/>
      <c r="R5" s="23"/>
      <c r="S5" s="23"/>
      <c r="T5" s="23"/>
    </row>
    <row r="6" spans="2:28">
      <c r="C6" t="s">
        <v>5</v>
      </c>
      <c r="D6" t="s">
        <v>4</v>
      </c>
      <c r="E6" t="s">
        <v>10</v>
      </c>
      <c r="G6" s="24" t="s">
        <v>17</v>
      </c>
      <c r="K6" t="s">
        <v>5</v>
      </c>
      <c r="L6" t="s">
        <v>4</v>
      </c>
      <c r="M6" t="s">
        <v>10</v>
      </c>
      <c r="O6" s="23"/>
      <c r="P6" s="23"/>
      <c r="Q6" s="23"/>
      <c r="R6" s="23"/>
      <c r="S6" s="23"/>
      <c r="T6" s="23"/>
    </row>
    <row r="7" spans="2:28" ht="15" thickBot="1">
      <c r="B7">
        <v>2010</v>
      </c>
      <c r="C7" s="23">
        <f t="shared" ref="C7:C13" si="0">E7*$C$15/$E$15</f>
        <v>2544463.5430549891</v>
      </c>
      <c r="D7" s="23">
        <f t="shared" ref="D7:D13" si="1">E7*$D$15/$E$15</f>
        <v>2990536.4569450109</v>
      </c>
      <c r="E7">
        <v>5535000</v>
      </c>
      <c r="G7" s="23">
        <v>1</v>
      </c>
      <c r="H7" s="23">
        <v>1</v>
      </c>
      <c r="I7">
        <f>E7/$E$7</f>
        <v>1</v>
      </c>
      <c r="J7">
        <v>2010</v>
      </c>
      <c r="K7" s="7">
        <f>$L$2*G7</f>
        <v>642.09529999999995</v>
      </c>
      <c r="L7" s="7">
        <f>$L$3*H7</f>
        <v>747.77620000000002</v>
      </c>
      <c r="M7" s="7">
        <f>SUM(K7:L7)</f>
        <v>1389.8715</v>
      </c>
      <c r="P7" s="3" t="s">
        <v>2</v>
      </c>
      <c r="Q7" s="3" t="s">
        <v>0</v>
      </c>
      <c r="R7" s="4" t="s">
        <v>5</v>
      </c>
      <c r="S7" s="4" t="s">
        <v>4</v>
      </c>
      <c r="T7" s="5" t="s">
        <v>1</v>
      </c>
    </row>
    <row r="8" spans="2:28">
      <c r="B8">
        <v>2011</v>
      </c>
      <c r="C8" s="23">
        <f t="shared" si="0"/>
        <v>2556415.8559943624</v>
      </c>
      <c r="D8" s="23">
        <f t="shared" si="1"/>
        <v>3004584.1440056376</v>
      </c>
      <c r="E8">
        <v>5561000</v>
      </c>
      <c r="F8" s="37"/>
      <c r="G8" s="38">
        <f t="shared" ref="G8:G47" si="2">C8/$C$7</f>
        <v>1.0046973803071366</v>
      </c>
      <c r="H8" s="38">
        <f t="shared" ref="H8:H47" si="3">D8/$D$7</f>
        <v>1.0046973803071364</v>
      </c>
      <c r="I8" s="23">
        <f t="shared" ref="I8:I47" si="4">E8/$E$7</f>
        <v>1.0046973803071364</v>
      </c>
      <c r="J8">
        <v>2011</v>
      </c>
      <c r="K8" s="7">
        <f>$L$2*G8</f>
        <v>645.11146581752496</v>
      </c>
      <c r="L8" s="7">
        <f>$L$3*H8</f>
        <v>751.28878919602528</v>
      </c>
      <c r="M8" s="7">
        <f t="shared" ref="M8:M47" si="5">SUM(K8:L8)</f>
        <v>1396.4002550135501</v>
      </c>
      <c r="O8" s="23"/>
      <c r="P8" s="23" t="s">
        <v>8</v>
      </c>
      <c r="Q8" s="23">
        <v>2010</v>
      </c>
      <c r="R8" s="7">
        <f>K7</f>
        <v>642.09529999999995</v>
      </c>
      <c r="S8" s="7">
        <f>L7</f>
        <v>747.77620000000002</v>
      </c>
      <c r="T8" s="23" t="s">
        <v>7</v>
      </c>
      <c r="U8" s="23"/>
      <c r="V8" s="23"/>
      <c r="W8" s="23"/>
      <c r="X8" t="s">
        <v>376</v>
      </c>
      <c r="AA8" s="23"/>
      <c r="AB8" s="23"/>
    </row>
    <row r="9" spans="2:28">
      <c r="B9">
        <v>2012</v>
      </c>
      <c r="C9" s="23">
        <f t="shared" si="0"/>
        <v>2565609.9428708032</v>
      </c>
      <c r="D9" s="23">
        <f t="shared" si="1"/>
        <v>3015390.0571291968</v>
      </c>
      <c r="E9">
        <v>5581000</v>
      </c>
      <c r="F9" s="30"/>
      <c r="G9" s="38">
        <f t="shared" si="2"/>
        <v>1.0083107497741646</v>
      </c>
      <c r="H9" s="38">
        <f t="shared" si="3"/>
        <v>1.0083107497741643</v>
      </c>
      <c r="I9" s="23">
        <f t="shared" si="4"/>
        <v>1.0083107497741643</v>
      </c>
      <c r="J9">
        <v>2012</v>
      </c>
      <c r="K9" s="7">
        <f t="shared" ref="K9:K47" si="6">$L$2*G9</f>
        <v>647.43159336946712</v>
      </c>
      <c r="L9" s="7">
        <f t="shared" ref="L9:L47" si="7">$L$3*H9</f>
        <v>753.99078088527551</v>
      </c>
      <c r="M9" s="7">
        <f t="shared" si="5"/>
        <v>1401.4223742547426</v>
      </c>
      <c r="O9" s="23"/>
      <c r="P9" s="23" t="s">
        <v>8</v>
      </c>
      <c r="Q9" s="23">
        <v>2020</v>
      </c>
      <c r="R9" s="7">
        <f>$R$8*G17</f>
        <v>680.86949297561989</v>
      </c>
      <c r="S9" s="7">
        <f>$S$8*H17</f>
        <v>786.81925437669599</v>
      </c>
      <c r="T9" s="23" t="s">
        <v>7</v>
      </c>
      <c r="U9" s="23"/>
      <c r="V9" s="23"/>
      <c r="W9" s="23"/>
      <c r="X9" s="23">
        <v>54.8</v>
      </c>
      <c r="Y9" s="23" t="s">
        <v>372</v>
      </c>
      <c r="Z9" s="23" t="s">
        <v>375</v>
      </c>
      <c r="AA9" s="23"/>
      <c r="AB9" s="23"/>
    </row>
    <row r="10" spans="2:28">
      <c r="B10">
        <v>2013</v>
      </c>
      <c r="C10" s="23">
        <f t="shared" si="0"/>
        <v>2575723.4384348881</v>
      </c>
      <c r="D10" s="23">
        <f t="shared" si="1"/>
        <v>3027276.5615651119</v>
      </c>
      <c r="E10">
        <v>5603000</v>
      </c>
      <c r="F10" s="30"/>
      <c r="G10" s="38">
        <f t="shared" si="2"/>
        <v>1.0122854561878953</v>
      </c>
      <c r="H10" s="38">
        <f t="shared" si="3"/>
        <v>1.0122854561878951</v>
      </c>
      <c r="I10" s="23">
        <f t="shared" si="4"/>
        <v>1.0122854561878951</v>
      </c>
      <c r="J10">
        <v>2013</v>
      </c>
      <c r="K10" s="7">
        <f t="shared" si="6"/>
        <v>649.98373367660349</v>
      </c>
      <c r="L10" s="7">
        <f t="shared" si="7"/>
        <v>756.96297174345068</v>
      </c>
      <c r="M10" s="7">
        <f>SUM(K10:L10)</f>
        <v>1406.9467054200541</v>
      </c>
      <c r="O10" s="23"/>
      <c r="P10" s="23" t="s">
        <v>8</v>
      </c>
      <c r="Q10" s="23">
        <v>2030</v>
      </c>
      <c r="R10" s="7">
        <f>$R$8*G27</f>
        <v>721.96948031917611</v>
      </c>
      <c r="S10" s="7">
        <f>$S$8*H27</f>
        <v>812.18032326079776</v>
      </c>
      <c r="T10" s="23" t="s">
        <v>7</v>
      </c>
      <c r="U10" s="23"/>
      <c r="V10" s="23"/>
      <c r="W10" s="23"/>
      <c r="X10" s="23">
        <f>X9/60</f>
        <v>0.91333333333333333</v>
      </c>
      <c r="Y10" s="23" t="s">
        <v>373</v>
      </c>
      <c r="AA10" s="23"/>
      <c r="AB10" s="23"/>
    </row>
    <row r="11" spans="2:28">
      <c r="B11">
        <v>2014</v>
      </c>
      <c r="C11" s="23">
        <f t="shared" si="0"/>
        <v>2575723.4384348881</v>
      </c>
      <c r="D11" s="23">
        <f t="shared" si="1"/>
        <v>3027276.5615651119</v>
      </c>
      <c r="E11">
        <v>5603000</v>
      </c>
      <c r="F11" s="30"/>
      <c r="G11" s="38">
        <f t="shared" si="2"/>
        <v>1.0122854561878953</v>
      </c>
      <c r="H11" s="38">
        <f t="shared" si="3"/>
        <v>1.0122854561878951</v>
      </c>
      <c r="I11" s="23">
        <f t="shared" si="4"/>
        <v>1.0122854561878951</v>
      </c>
      <c r="J11">
        <v>2014</v>
      </c>
      <c r="K11" s="7">
        <f t="shared" si="6"/>
        <v>649.98373367660349</v>
      </c>
      <c r="L11" s="7">
        <f t="shared" si="7"/>
        <v>756.96297174345068</v>
      </c>
      <c r="M11" s="7">
        <f t="shared" si="5"/>
        <v>1406.9467054200541</v>
      </c>
      <c r="O11" s="23"/>
      <c r="P11" s="23" t="s">
        <v>8</v>
      </c>
      <c r="Q11" s="23">
        <v>2040</v>
      </c>
      <c r="R11" s="7">
        <f>$R$8*G37</f>
        <v>750.573097124122</v>
      </c>
      <c r="S11" s="7">
        <f>$S$8*H37</f>
        <v>830.62957882378214</v>
      </c>
      <c r="T11" s="23" t="s">
        <v>7</v>
      </c>
      <c r="U11" s="23"/>
      <c r="V11" s="23"/>
      <c r="W11" s="23"/>
      <c r="X11" s="23"/>
      <c r="Y11" s="23"/>
      <c r="AA11" s="23"/>
      <c r="AB11" s="23"/>
    </row>
    <row r="12" spans="2:28">
      <c r="B12">
        <v>2015</v>
      </c>
      <c r="C12" s="23">
        <f t="shared" si="0"/>
        <v>2586756.3426866168</v>
      </c>
      <c r="D12" s="23">
        <f t="shared" si="1"/>
        <v>3040243.6573133832</v>
      </c>
      <c r="E12">
        <v>5627000</v>
      </c>
      <c r="F12" s="30"/>
      <c r="G12" s="38">
        <f t="shared" si="2"/>
        <v>1.0166214995483289</v>
      </c>
      <c r="H12" s="38">
        <f t="shared" si="3"/>
        <v>1.0166214995483287</v>
      </c>
      <c r="I12" s="23">
        <f t="shared" si="4"/>
        <v>1.0166214995483289</v>
      </c>
      <c r="J12">
        <v>2015</v>
      </c>
      <c r="K12" s="7">
        <f t="shared" si="6"/>
        <v>652.76788673893407</v>
      </c>
      <c r="L12" s="7">
        <f t="shared" si="7"/>
        <v>760.20536177055101</v>
      </c>
      <c r="M12" s="7">
        <f t="shared" si="5"/>
        <v>1412.9732485094851</v>
      </c>
      <c r="O12" s="23"/>
      <c r="P12" s="23" t="s">
        <v>8</v>
      </c>
      <c r="Q12" s="23">
        <v>2050</v>
      </c>
      <c r="R12" s="7">
        <f>$R$8*G47</f>
        <v>761.20889133031744</v>
      </c>
      <c r="S12" s="7">
        <f>$S$8*H47</f>
        <v>836.86951448069874</v>
      </c>
      <c r="T12" s="23" t="s">
        <v>7</v>
      </c>
      <c r="U12" s="23"/>
      <c r="V12" s="23"/>
      <c r="W12" s="23"/>
      <c r="X12" s="23">
        <f>X10*365</f>
        <v>333.36666666666667</v>
      </c>
      <c r="Y12" s="23" t="s">
        <v>374</v>
      </c>
      <c r="AA12" s="23"/>
      <c r="AB12" s="23"/>
    </row>
    <row r="13" spans="2:28">
      <c r="B13">
        <v>2016</v>
      </c>
      <c r="C13" s="23">
        <f t="shared" si="0"/>
        <v>2623532.69019238</v>
      </c>
      <c r="D13" s="23">
        <f t="shared" si="1"/>
        <v>3083467.30980762</v>
      </c>
      <c r="E13">
        <v>5707000</v>
      </c>
      <c r="F13" s="30"/>
      <c r="G13" s="38">
        <f t="shared" si="2"/>
        <v>1.0310749774164409</v>
      </c>
      <c r="H13" s="38">
        <f t="shared" si="3"/>
        <v>1.0310749774164407</v>
      </c>
      <c r="I13" s="23">
        <f t="shared" si="4"/>
        <v>1.0310749774164409</v>
      </c>
      <c r="J13">
        <v>2016</v>
      </c>
      <c r="K13" s="7">
        <f t="shared" si="6"/>
        <v>662.04839694670284</v>
      </c>
      <c r="L13" s="7">
        <f t="shared" si="7"/>
        <v>771.01332852755183</v>
      </c>
      <c r="M13" s="7">
        <f>SUM(K13:L13)</f>
        <v>1433.0617254742547</v>
      </c>
      <c r="P13" s="23" t="s">
        <v>8</v>
      </c>
      <c r="Q13" s="23">
        <v>0</v>
      </c>
      <c r="R13" s="23">
        <v>5</v>
      </c>
      <c r="S13" s="23">
        <v>5</v>
      </c>
      <c r="T13" s="23" t="s">
        <v>7</v>
      </c>
      <c r="X13" s="23" t="s">
        <v>5</v>
      </c>
      <c r="Y13" s="23" t="s">
        <v>4</v>
      </c>
    </row>
    <row r="14" spans="2:28">
      <c r="B14">
        <v>2017</v>
      </c>
      <c r="C14">
        <f>E14*$C$15/$E$15</f>
        <v>2642840.2726329057</v>
      </c>
      <c r="D14" s="23">
        <f>E14*$D$15/$E$15</f>
        <v>3106159.7273670943</v>
      </c>
      <c r="E14">
        <v>5749000</v>
      </c>
      <c r="F14" s="30"/>
      <c r="G14" s="38">
        <f t="shared" si="2"/>
        <v>1.0386630532971997</v>
      </c>
      <c r="H14" s="38">
        <f t="shared" si="3"/>
        <v>1.0386630532971997</v>
      </c>
      <c r="I14" s="23">
        <f t="shared" si="4"/>
        <v>1.0386630532971997</v>
      </c>
      <c r="J14">
        <v>2017</v>
      </c>
      <c r="K14" s="7">
        <f t="shared" si="6"/>
        <v>666.92066480578137</v>
      </c>
      <c r="L14" s="7">
        <f t="shared" si="7"/>
        <v>776.68751107497746</v>
      </c>
      <c r="M14" s="7">
        <f>SUM(K14:L14)</f>
        <v>1443.6081758807588</v>
      </c>
      <c r="X14">
        <f>X12*C7</f>
        <v>848239329.8030982</v>
      </c>
      <c r="Y14">
        <f>X12*D7</f>
        <v>996945170.1969018</v>
      </c>
    </row>
    <row r="15" spans="2:28">
      <c r="B15" s="110" t="s">
        <v>378</v>
      </c>
      <c r="C15" s="110">
        <v>2657600</v>
      </c>
      <c r="D15" s="110">
        <v>3123507</v>
      </c>
      <c r="E15">
        <f>SUM(C15:D15)</f>
        <v>5781107</v>
      </c>
      <c r="F15" s="30"/>
      <c r="G15" s="38">
        <f t="shared" si="2"/>
        <v>1.0444637759710931</v>
      </c>
      <c r="H15" s="38">
        <f t="shared" si="3"/>
        <v>1.0444637759710929</v>
      </c>
      <c r="I15" s="23">
        <f t="shared" si="4"/>
        <v>1.0444637759710931</v>
      </c>
      <c r="J15">
        <v>2018</v>
      </c>
      <c r="K15" s="7">
        <f t="shared" si="6"/>
        <v>670.64528157129178</v>
      </c>
      <c r="L15" s="7">
        <f t="shared" si="7"/>
        <v>781.02515343331515</v>
      </c>
      <c r="M15" s="7">
        <f t="shared" si="5"/>
        <v>1451.670435004607</v>
      </c>
    </row>
    <row r="16" spans="2:28">
      <c r="B16" s="110" t="s">
        <v>379</v>
      </c>
      <c r="C16" s="110">
        <v>2678707</v>
      </c>
      <c r="D16" s="110">
        <v>3135513</v>
      </c>
      <c r="E16" s="23">
        <f t="shared" ref="E16:E47" si="8">SUM(C16:D16)</f>
        <v>5814220</v>
      </c>
      <c r="F16" s="30"/>
      <c r="G16" s="38">
        <f t="shared" si="2"/>
        <v>1.0527590412177148</v>
      </c>
      <c r="H16" s="38">
        <f t="shared" si="3"/>
        <v>1.0484784402872955</v>
      </c>
      <c r="I16" s="23">
        <f t="shared" si="4"/>
        <v>1.0504462511291779</v>
      </c>
      <c r="J16">
        <v>2019</v>
      </c>
      <c r="K16" s="7">
        <f t="shared" si="6"/>
        <v>675.97163239840086</v>
      </c>
      <c r="L16" s="7">
        <f t="shared" si="7"/>
        <v>784.02722385996083</v>
      </c>
      <c r="M16" s="7">
        <f t="shared" si="5"/>
        <v>1459.9988562583617</v>
      </c>
      <c r="V16" s="23"/>
    </row>
    <row r="17" spans="2:46">
      <c r="B17" s="110" t="s">
        <v>380</v>
      </c>
      <c r="C17" s="110">
        <v>2698116</v>
      </c>
      <c r="D17" s="110">
        <v>3146679</v>
      </c>
      <c r="E17" s="23">
        <f t="shared" si="8"/>
        <v>5844795</v>
      </c>
      <c r="F17" s="30"/>
      <c r="G17" s="38">
        <f t="shared" si="2"/>
        <v>1.060386975228786</v>
      </c>
      <c r="H17" s="38">
        <f t="shared" si="3"/>
        <v>1.0522122185443934</v>
      </c>
      <c r="I17" s="23">
        <f t="shared" si="4"/>
        <v>1.0559701897018969</v>
      </c>
      <c r="J17">
        <v>2020</v>
      </c>
      <c r="K17" s="7">
        <f t="shared" si="6"/>
        <v>680.86949297561989</v>
      </c>
      <c r="L17" s="7">
        <f t="shared" si="7"/>
        <v>786.81925437669599</v>
      </c>
      <c r="M17" s="7">
        <f t="shared" si="5"/>
        <v>1467.6887473523159</v>
      </c>
      <c r="V17" s="23"/>
    </row>
    <row r="18" spans="2:46">
      <c r="B18" s="110" t="s">
        <v>381</v>
      </c>
      <c r="C18" s="110">
        <v>2716720</v>
      </c>
      <c r="D18" s="110">
        <v>3156661</v>
      </c>
      <c r="E18" s="23">
        <f t="shared" si="8"/>
        <v>5873381</v>
      </c>
      <c r="F18" s="30"/>
      <c r="G18" s="38">
        <f t="shared" si="2"/>
        <v>1.0676985360687041</v>
      </c>
      <c r="H18" s="38">
        <f t="shared" si="3"/>
        <v>1.0555500812134202</v>
      </c>
      <c r="I18" s="23">
        <f t="shared" si="4"/>
        <v>1.06113477868112</v>
      </c>
      <c r="J18">
        <v>2021</v>
      </c>
      <c r="K18" s="7">
        <f t="shared" si="6"/>
        <v>685.5642118265954</v>
      </c>
      <c r="L18" s="7">
        <f t="shared" si="7"/>
        <v>789.31522863946282</v>
      </c>
      <c r="M18" s="7">
        <f t="shared" si="5"/>
        <v>1474.8794404660582</v>
      </c>
      <c r="V18" s="23"/>
    </row>
    <row r="19" spans="2:46">
      <c r="B19" s="110" t="s">
        <v>382</v>
      </c>
      <c r="C19" s="110">
        <v>2734303</v>
      </c>
      <c r="D19" s="110">
        <v>3166511</v>
      </c>
      <c r="E19" s="23">
        <f t="shared" si="8"/>
        <v>5900814</v>
      </c>
      <c r="F19" s="30"/>
      <c r="G19" s="38">
        <f t="shared" si="2"/>
        <v>1.0746088335449608</v>
      </c>
      <c r="H19" s="38">
        <f t="shared" si="3"/>
        <v>1.0588438046445876</v>
      </c>
      <c r="I19" s="23">
        <f t="shared" si="4"/>
        <v>1.066091056910569</v>
      </c>
      <c r="J19">
        <v>2022</v>
      </c>
      <c r="K19" s="7">
        <f t="shared" si="6"/>
        <v>690.0012813577016</v>
      </c>
      <c r="L19" s="7">
        <f t="shared" si="7"/>
        <v>791.77819663067214</v>
      </c>
      <c r="M19" s="7">
        <f t="shared" si="5"/>
        <v>1481.7794779883739</v>
      </c>
      <c r="V19" s="23"/>
    </row>
    <row r="20" spans="2:46">
      <c r="B20" s="110" t="s">
        <v>383</v>
      </c>
      <c r="C20" s="110">
        <v>2751292</v>
      </c>
      <c r="D20" s="110">
        <v>3176484</v>
      </c>
      <c r="E20" s="23">
        <f t="shared" si="8"/>
        <v>5927776</v>
      </c>
      <c r="F20" s="30"/>
      <c r="G20" s="38">
        <f t="shared" si="2"/>
        <v>1.08128568299182</v>
      </c>
      <c r="H20" s="38">
        <f t="shared" si="3"/>
        <v>1.0621786578201238</v>
      </c>
      <c r="I20" s="23">
        <f t="shared" si="4"/>
        <v>1.0709622402890695</v>
      </c>
      <c r="J20">
        <v>2023</v>
      </c>
      <c r="K20" s="7">
        <f t="shared" si="6"/>
        <v>694.28845500633759</v>
      </c>
      <c r="L20" s="7">
        <f t="shared" si="7"/>
        <v>794.27192046583241</v>
      </c>
      <c r="M20" s="7">
        <f t="shared" si="5"/>
        <v>1488.5603754721701</v>
      </c>
    </row>
    <row r="21" spans="2:46">
      <c r="B21" s="110" t="s">
        <v>384</v>
      </c>
      <c r="C21" s="110">
        <v>2767951</v>
      </c>
      <c r="D21" s="110">
        <v>3186720</v>
      </c>
      <c r="E21" s="23">
        <f t="shared" si="8"/>
        <v>5954671</v>
      </c>
      <c r="F21" s="30"/>
      <c r="G21" s="38">
        <f t="shared" si="2"/>
        <v>1.087832839089014</v>
      </c>
      <c r="H21" s="38">
        <f t="shared" si="3"/>
        <v>1.0656014550832129</v>
      </c>
      <c r="I21" s="23">
        <f t="shared" si="4"/>
        <v>1.0758213188798555</v>
      </c>
      <c r="J21">
        <v>2024</v>
      </c>
      <c r="K21" s="7">
        <f t="shared" si="6"/>
        <v>698.49235316471209</v>
      </c>
      <c r="L21" s="7">
        <f t="shared" si="7"/>
        <v>796.83140679659562</v>
      </c>
      <c r="M21" s="7">
        <f t="shared" si="5"/>
        <v>1495.3237599613076</v>
      </c>
    </row>
    <row r="22" spans="2:46">
      <c r="B22" s="110" t="s">
        <v>385</v>
      </c>
      <c r="C22" s="110">
        <v>2784425</v>
      </c>
      <c r="D22" s="110">
        <v>3197217</v>
      </c>
      <c r="E22" s="23">
        <f t="shared" si="8"/>
        <v>5981642</v>
      </c>
      <c r="F22" s="30"/>
      <c r="G22" s="38">
        <f t="shared" si="2"/>
        <v>1.0943072883083651</v>
      </c>
      <c r="H22" s="38">
        <f t="shared" si="3"/>
        <v>1.069111527657524</v>
      </c>
      <c r="I22" s="23">
        <f t="shared" si="4"/>
        <v>1.0806941282746161</v>
      </c>
      <c r="J22">
        <v>2025</v>
      </c>
      <c r="K22" s="7">
        <f t="shared" si="6"/>
        <v>702.64956657854611</v>
      </c>
      <c r="L22" s="7">
        <f t="shared" si="7"/>
        <v>799.45615552793822</v>
      </c>
      <c r="M22" s="7">
        <f t="shared" si="5"/>
        <v>1502.1057221064843</v>
      </c>
    </row>
    <row r="23" spans="2:46">
      <c r="B23" s="110" t="s">
        <v>386</v>
      </c>
      <c r="C23" s="110">
        <v>2800624</v>
      </c>
      <c r="D23" s="110">
        <v>3207826</v>
      </c>
      <c r="E23" s="23">
        <f t="shared" si="8"/>
        <v>6008450</v>
      </c>
      <c r="F23" s="30"/>
      <c r="G23" s="38">
        <f t="shared" si="2"/>
        <v>1.1006736597363285</v>
      </c>
      <c r="H23" s="38">
        <f t="shared" si="3"/>
        <v>1.0726590517063823</v>
      </c>
      <c r="I23" s="23">
        <f t="shared" si="4"/>
        <v>1.0855374887082203</v>
      </c>
      <c r="J23">
        <v>2026</v>
      </c>
      <c r="K23" s="7">
        <f t="shared" si="6"/>
        <v>706.73738375049572</v>
      </c>
      <c r="L23" s="7">
        <f t="shared" si="7"/>
        <v>802.10890958060213</v>
      </c>
      <c r="M23" s="7">
        <f t="shared" si="5"/>
        <v>1508.846293331098</v>
      </c>
    </row>
    <row r="24" spans="2:46">
      <c r="B24" s="110" t="s">
        <v>387</v>
      </c>
      <c r="C24" s="110">
        <v>2816435</v>
      </c>
      <c r="D24" s="110">
        <v>3218373</v>
      </c>
      <c r="E24" s="23">
        <f t="shared" si="8"/>
        <v>6034808</v>
      </c>
      <c r="F24" s="30"/>
      <c r="G24" s="38">
        <f t="shared" si="2"/>
        <v>1.1068875432258978</v>
      </c>
      <c r="H24" s="38">
        <f t="shared" si="3"/>
        <v>1.0761858436889735</v>
      </c>
      <c r="I24" s="23">
        <f t="shared" si="4"/>
        <v>1.0902995483288167</v>
      </c>
      <c r="J24">
        <v>2027</v>
      </c>
      <c r="K24" s="7">
        <f>$L$2*G24</f>
        <v>710.72728913389574</v>
      </c>
      <c r="L24" s="7">
        <f t="shared" si="7"/>
        <v>804.7461606875346</v>
      </c>
      <c r="M24" s="7">
        <f t="shared" si="5"/>
        <v>1515.4734498214302</v>
      </c>
    </row>
    <row r="25" spans="2:46">
      <c r="B25" s="110" t="s">
        <v>388</v>
      </c>
      <c r="C25" s="110">
        <v>2831787</v>
      </c>
      <c r="D25" s="110">
        <v>3228682</v>
      </c>
      <c r="E25" s="23">
        <f t="shared" si="8"/>
        <v>6060469</v>
      </c>
      <c r="F25" s="30"/>
      <c r="G25" s="38">
        <f t="shared" si="2"/>
        <v>1.112921035056387</v>
      </c>
      <c r="H25" s="38">
        <f t="shared" si="3"/>
        <v>1.0796330512881516</v>
      </c>
      <c r="I25" s="23">
        <f t="shared" si="4"/>
        <v>1.094935682023487</v>
      </c>
      <c r="J25">
        <v>2028</v>
      </c>
      <c r="K25" s="7">
        <f t="shared" si="6"/>
        <v>714.60136588084129</v>
      </c>
      <c r="L25" s="7">
        <f t="shared" si="7"/>
        <v>807.32390048665911</v>
      </c>
      <c r="M25" s="7">
        <f t="shared" si="5"/>
        <v>1521.9252663675004</v>
      </c>
    </row>
    <row r="26" spans="2:46">
      <c r="B26" s="110" t="s">
        <v>389</v>
      </c>
      <c r="C26" s="110">
        <v>2846649</v>
      </c>
      <c r="D26" s="110">
        <v>3238601</v>
      </c>
      <c r="E26" s="23">
        <f t="shared" si="8"/>
        <v>6085250</v>
      </c>
      <c r="F26" s="30"/>
      <c r="G26" s="38">
        <f t="shared" si="2"/>
        <v>1.1187619519131307</v>
      </c>
      <c r="H26" s="38">
        <f t="shared" si="3"/>
        <v>1.0829498475027453</v>
      </c>
      <c r="I26" s="23">
        <f t="shared" si="4"/>
        <v>1.099412827461608</v>
      </c>
      <c r="J26">
        <v>2029</v>
      </c>
      <c r="K26" s="7">
        <f t="shared" si="6"/>
        <v>718.35179114224718</v>
      </c>
      <c r="L26" s="7">
        <f t="shared" si="7"/>
        <v>809.80412175618233</v>
      </c>
      <c r="M26" s="7">
        <f t="shared" si="5"/>
        <v>1528.1559128984295</v>
      </c>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row>
    <row r="27" spans="2:46">
      <c r="B27" s="110" t="s">
        <v>390</v>
      </c>
      <c r="C27" s="110">
        <v>2860985</v>
      </c>
      <c r="D27" s="110">
        <v>3248104</v>
      </c>
      <c r="E27" s="23">
        <f t="shared" si="8"/>
        <v>6109089</v>
      </c>
      <c r="F27" s="30"/>
      <c r="G27" s="38">
        <f t="shared" si="2"/>
        <v>1.1243961454307112</v>
      </c>
      <c r="H27" s="38">
        <f t="shared" si="3"/>
        <v>1.0861275382404492</v>
      </c>
      <c r="I27" s="23">
        <f t="shared" si="4"/>
        <v>1.103719783197832</v>
      </c>
      <c r="J27">
        <v>2030</v>
      </c>
      <c r="K27" s="7">
        <f t="shared" si="6"/>
        <v>721.96948031917611</v>
      </c>
      <c r="L27" s="7">
        <f t="shared" si="7"/>
        <v>812.18032326079776</v>
      </c>
      <c r="M27" s="7">
        <f t="shared" si="5"/>
        <v>1534.1498035799739</v>
      </c>
      <c r="R27" s="23"/>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row>
    <row r="28" spans="2:46">
      <c r="B28" s="110" t="s">
        <v>391</v>
      </c>
      <c r="C28" s="110">
        <v>2874784</v>
      </c>
      <c r="D28" s="110">
        <v>3257176</v>
      </c>
      <c r="E28" s="23">
        <f t="shared" si="8"/>
        <v>6131960</v>
      </c>
      <c r="F28" s="30"/>
      <c r="G28" s="38">
        <f t="shared" si="2"/>
        <v>1.1298192924974726</v>
      </c>
      <c r="H28" s="38">
        <f t="shared" si="3"/>
        <v>1.0891611076787793</v>
      </c>
      <c r="I28" s="23">
        <f t="shared" si="4"/>
        <v>1.1078518518518519</v>
      </c>
      <c r="J28">
        <v>2031</v>
      </c>
      <c r="K28" s="7">
        <f t="shared" si="6"/>
        <v>725.4516575619524</v>
      </c>
      <c r="L28" s="7">
        <f t="shared" si="7"/>
        <v>814.44875428782836</v>
      </c>
      <c r="M28" s="7">
        <f t="shared" si="5"/>
        <v>1539.9004118497808</v>
      </c>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row>
    <row r="29" spans="2:46">
      <c r="B29" s="110" t="s">
        <v>392</v>
      </c>
      <c r="C29" s="110">
        <v>2888023</v>
      </c>
      <c r="D29" s="110">
        <v>3265840</v>
      </c>
      <c r="E29" s="23">
        <f t="shared" si="8"/>
        <v>6153863</v>
      </c>
      <c r="F29" s="30"/>
      <c r="G29" s="38">
        <f t="shared" si="2"/>
        <v>1.1350223538799535</v>
      </c>
      <c r="H29" s="38">
        <f t="shared" si="3"/>
        <v>1.0920582467455442</v>
      </c>
      <c r="I29" s="23">
        <f t="shared" si="4"/>
        <v>1.1118090334236677</v>
      </c>
      <c r="J29">
        <v>2032</v>
      </c>
      <c r="K29" s="7">
        <f t="shared" si="6"/>
        <v>728.79251882125493</v>
      </c>
      <c r="L29" s="7">
        <f t="shared" si="7"/>
        <v>816.61516593004546</v>
      </c>
      <c r="M29" s="7">
        <f t="shared" si="5"/>
        <v>1545.4076847513004</v>
      </c>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row>
    <row r="30" spans="2:46">
      <c r="B30" s="110" t="s">
        <v>393</v>
      </c>
      <c r="C30" s="110">
        <v>2900705</v>
      </c>
      <c r="D30" s="110">
        <v>3274087</v>
      </c>
      <c r="E30" s="23">
        <f t="shared" si="8"/>
        <v>6174792</v>
      </c>
      <c r="F30" s="30"/>
      <c r="G30" s="38">
        <f t="shared" si="2"/>
        <v>1.1400065086086053</v>
      </c>
      <c r="H30" s="38">
        <f t="shared" si="3"/>
        <v>1.0948159459472535</v>
      </c>
      <c r="I30" s="23">
        <f t="shared" si="4"/>
        <v>1.115590243902439</v>
      </c>
      <c r="J30">
        <v>2033</v>
      </c>
      <c r="K30" s="7">
        <f t="shared" si="6"/>
        <v>731.99282114699497</v>
      </c>
      <c r="L30" s="7">
        <f t="shared" si="7"/>
        <v>818.67730775984262</v>
      </c>
      <c r="M30" s="7">
        <f t="shared" si="5"/>
        <v>1550.6701289068376</v>
      </c>
      <c r="R30" s="23"/>
      <c r="S30" s="23"/>
      <c r="T30" s="23"/>
    </row>
    <row r="31" spans="2:46">
      <c r="B31" s="110" t="s">
        <v>394</v>
      </c>
      <c r="C31" s="110">
        <v>2912812</v>
      </c>
      <c r="D31" s="110">
        <v>3281952</v>
      </c>
      <c r="E31" s="23">
        <f t="shared" si="8"/>
        <v>6194764</v>
      </c>
      <c r="F31" s="30"/>
      <c r="G31" s="38">
        <f t="shared" si="2"/>
        <v>1.1447646825007194</v>
      </c>
      <c r="H31" s="38">
        <f t="shared" si="3"/>
        <v>1.0974459088697033</v>
      </c>
      <c r="I31" s="23">
        <f t="shared" si="4"/>
        <v>1.1191985546522132</v>
      </c>
      <c r="J31">
        <v>2034</v>
      </c>
      <c r="K31" s="7">
        <f t="shared" si="6"/>
        <v>735.0480222397041</v>
      </c>
      <c r="L31" s="7">
        <f t="shared" si="7"/>
        <v>820.64393144013309</v>
      </c>
      <c r="M31" s="7">
        <f t="shared" si="5"/>
        <v>1555.6919536798373</v>
      </c>
    </row>
    <row r="32" spans="2:46">
      <c r="B32" s="110" t="s">
        <v>395</v>
      </c>
      <c r="C32" s="110">
        <v>2924345</v>
      </c>
      <c r="D32" s="110">
        <v>3289483</v>
      </c>
      <c r="E32" s="23">
        <f t="shared" si="8"/>
        <v>6213828</v>
      </c>
      <c r="F32" s="30"/>
      <c r="G32" s="38">
        <f t="shared" si="2"/>
        <v>1.1492972685664458</v>
      </c>
      <c r="H32" s="38">
        <f t="shared" si="3"/>
        <v>1.0999641861448426</v>
      </c>
      <c r="I32" s="23">
        <f t="shared" si="4"/>
        <v>1.1226428184281843</v>
      </c>
      <c r="J32">
        <v>2035</v>
      </c>
      <c r="K32" s="7">
        <f t="shared" si="6"/>
        <v>737.9583744493525</v>
      </c>
      <c r="L32" s="7">
        <f t="shared" si="7"/>
        <v>822.52703925148307</v>
      </c>
      <c r="M32" s="7">
        <f t="shared" si="5"/>
        <v>1560.4854137008356</v>
      </c>
    </row>
    <row r="33" spans="2:13">
      <c r="B33" s="110" t="s">
        <v>396</v>
      </c>
      <c r="C33" s="110">
        <v>2935310</v>
      </c>
      <c r="D33" s="110">
        <v>3296685</v>
      </c>
      <c r="E33" s="23">
        <f t="shared" si="8"/>
        <v>6231995</v>
      </c>
      <c r="F33" s="30"/>
      <c r="G33" s="38">
        <f t="shared" si="2"/>
        <v>1.1536066248666879</v>
      </c>
      <c r="H33" s="38">
        <f t="shared" si="3"/>
        <v>1.1023724497134992</v>
      </c>
      <c r="I33" s="23">
        <f t="shared" si="4"/>
        <v>1.1259250225835591</v>
      </c>
      <c r="J33">
        <v>2036</v>
      </c>
      <c r="K33" s="7">
        <f t="shared" si="6"/>
        <v>740.72539187576331</v>
      </c>
      <c r="L33" s="7">
        <f t="shared" si="7"/>
        <v>824.3278814314516</v>
      </c>
      <c r="M33" s="7">
        <f t="shared" si="5"/>
        <v>1565.053273307215</v>
      </c>
    </row>
    <row r="34" spans="2:13">
      <c r="B34" s="110" t="s">
        <v>397</v>
      </c>
      <c r="C34" s="110">
        <v>2945728</v>
      </c>
      <c r="D34" s="110">
        <v>3303519</v>
      </c>
      <c r="E34" s="23">
        <f t="shared" si="8"/>
        <v>6249247</v>
      </c>
      <c r="F34" s="30"/>
      <c r="G34" s="38">
        <f t="shared" si="2"/>
        <v>1.1577010046146057</v>
      </c>
      <c r="H34" s="38">
        <f t="shared" si="3"/>
        <v>1.1046576584372148</v>
      </c>
      <c r="I34" s="23">
        <f t="shared" si="4"/>
        <v>1.1290419150858175</v>
      </c>
      <c r="J34">
        <v>2037</v>
      </c>
      <c r="K34" s="7">
        <f t="shared" si="6"/>
        <v>743.35437386831654</v>
      </c>
      <c r="L34" s="7">
        <f t="shared" si="7"/>
        <v>826.03670612707845</v>
      </c>
      <c r="M34" s="7">
        <f t="shared" si="5"/>
        <v>1569.3910799953951</v>
      </c>
    </row>
    <row r="35" spans="2:13">
      <c r="B35" s="110" t="s">
        <v>398</v>
      </c>
      <c r="C35" s="110">
        <v>2955669</v>
      </c>
      <c r="D35" s="110">
        <v>3310010</v>
      </c>
      <c r="E35" s="23">
        <f t="shared" si="8"/>
        <v>6265679</v>
      </c>
      <c r="F35" s="30"/>
      <c r="G35" s="38">
        <f t="shared" si="2"/>
        <v>1.1616079185207349</v>
      </c>
      <c r="H35" s="38">
        <f t="shared" si="3"/>
        <v>1.1068281720201292</v>
      </c>
      <c r="I35" s="23">
        <f t="shared" si="4"/>
        <v>1.1320106594399277</v>
      </c>
      <c r="J35">
        <v>2038</v>
      </c>
      <c r="K35" s="7">
        <f t="shared" si="6"/>
        <v>745.86298492494677</v>
      </c>
      <c r="L35" s="7">
        <f t="shared" si="7"/>
        <v>827.65976452615848</v>
      </c>
      <c r="M35" s="7">
        <f t="shared" si="5"/>
        <v>1573.5227494511053</v>
      </c>
    </row>
    <row r="36" spans="2:13">
      <c r="B36" s="110" t="s">
        <v>399</v>
      </c>
      <c r="C36" s="110">
        <v>2965184</v>
      </c>
      <c r="D36" s="110">
        <v>3316122</v>
      </c>
      <c r="E36" s="23">
        <f t="shared" si="8"/>
        <v>6281306</v>
      </c>
      <c r="F36" s="30"/>
      <c r="G36" s="38">
        <f t="shared" si="2"/>
        <v>1.1653474101027506</v>
      </c>
      <c r="H36" s="38">
        <f t="shared" si="3"/>
        <v>1.1088719524882809</v>
      </c>
      <c r="I36" s="23">
        <f t="shared" si="4"/>
        <v>1.13483396567299</v>
      </c>
      <c r="J36">
        <v>2039</v>
      </c>
      <c r="K36" s="7">
        <f t="shared" si="6"/>
        <v>748.26409489414857</v>
      </c>
      <c r="L36" s="7">
        <f t="shared" si="7"/>
        <v>829.1880549182672</v>
      </c>
      <c r="M36" s="7">
        <f t="shared" si="5"/>
        <v>1577.4521498124159</v>
      </c>
    </row>
    <row r="37" spans="2:13">
      <c r="B37" s="110" t="s">
        <v>400</v>
      </c>
      <c r="C37" s="110">
        <v>2974334</v>
      </c>
      <c r="D37" s="110">
        <v>3321887</v>
      </c>
      <c r="E37" s="23">
        <f t="shared" si="8"/>
        <v>6296221</v>
      </c>
      <c r="F37" s="30"/>
      <c r="G37" s="38">
        <f t="shared" si="2"/>
        <v>1.1689434529798335</v>
      </c>
      <c r="H37" s="38">
        <f t="shared" si="3"/>
        <v>1.1107997002629693</v>
      </c>
      <c r="I37" s="23">
        <f t="shared" si="4"/>
        <v>1.1375286359530261</v>
      </c>
      <c r="J37">
        <v>2040</v>
      </c>
      <c r="K37" s="7">
        <f t="shared" si="6"/>
        <v>750.573097124122</v>
      </c>
      <c r="L37" s="7">
        <f t="shared" si="7"/>
        <v>830.62957882378214</v>
      </c>
      <c r="M37" s="7">
        <f t="shared" si="5"/>
        <v>1581.202675947904</v>
      </c>
    </row>
    <row r="38" spans="2:13">
      <c r="B38" s="110" t="s">
        <v>401</v>
      </c>
      <c r="C38" s="110">
        <v>2983170</v>
      </c>
      <c r="D38" s="110">
        <v>3327325</v>
      </c>
      <c r="E38" s="23">
        <f t="shared" si="8"/>
        <v>6310495</v>
      </c>
      <c r="F38" s="34"/>
      <c r="G38" s="38">
        <f t="shared" si="2"/>
        <v>1.172416090669659</v>
      </c>
      <c r="H38" s="38">
        <f t="shared" si="3"/>
        <v>1.112618103107506</v>
      </c>
      <c r="I38" s="23">
        <f t="shared" si="4"/>
        <v>1.1401074977416441</v>
      </c>
      <c r="J38">
        <v>2041</v>
      </c>
      <c r="K38" s="7">
        <f t="shared" si="6"/>
        <v>752.80286146336186</v>
      </c>
      <c r="L38" s="7">
        <f t="shared" si="7"/>
        <v>831.98933719293905</v>
      </c>
      <c r="M38" s="7">
        <f t="shared" si="5"/>
        <v>1584.792198656301</v>
      </c>
    </row>
    <row r="39" spans="2:13">
      <c r="B39" s="110" t="s">
        <v>402</v>
      </c>
      <c r="C39" s="110">
        <v>2991752</v>
      </c>
      <c r="D39" s="110">
        <v>3332477</v>
      </c>
      <c r="E39" s="23">
        <f t="shared" si="8"/>
        <v>6324229</v>
      </c>
      <c r="F39" s="34"/>
      <c r="G39" s="38">
        <f t="shared" si="2"/>
        <v>1.1757889037812574</v>
      </c>
      <c r="H39" s="38">
        <f t="shared" si="3"/>
        <v>1.1143408709366811</v>
      </c>
      <c r="I39" s="23">
        <f t="shared" si="4"/>
        <v>1.1425887985546521</v>
      </c>
      <c r="J39">
        <v>2042</v>
      </c>
      <c r="K39" s="7">
        <f t="shared" si="6"/>
        <v>754.96852891009758</v>
      </c>
      <c r="L39" s="7">
        <f t="shared" si="7"/>
        <v>833.27758197372191</v>
      </c>
      <c r="M39" s="7">
        <f t="shared" si="5"/>
        <v>1588.2461108838195</v>
      </c>
    </row>
    <row r="40" spans="2:13">
      <c r="B40" s="110" t="s">
        <v>403</v>
      </c>
      <c r="C40" s="110">
        <v>3000116</v>
      </c>
      <c r="D40" s="110">
        <v>3337392</v>
      </c>
      <c r="E40" s="23">
        <f t="shared" si="8"/>
        <v>6337508</v>
      </c>
      <c r="F40" s="34"/>
      <c r="G40" s="38">
        <f t="shared" si="2"/>
        <v>1.1790760406800467</v>
      </c>
      <c r="H40" s="38">
        <f t="shared" si="3"/>
        <v>1.1159843887706087</v>
      </c>
      <c r="I40" s="23">
        <f t="shared" si="4"/>
        <v>1.1449878952122854</v>
      </c>
      <c r="J40">
        <v>2043</v>
      </c>
      <c r="K40" s="7">
        <f t="shared" si="6"/>
        <v>757.07918406326667</v>
      </c>
      <c r="L40" s="7">
        <f t="shared" si="7"/>
        <v>834.50656549420842</v>
      </c>
      <c r="M40" s="7">
        <f t="shared" si="5"/>
        <v>1591.5857495574751</v>
      </c>
    </row>
    <row r="41" spans="2:13">
      <c r="B41" s="110" t="s">
        <v>404</v>
      </c>
      <c r="C41" s="110">
        <v>3008359</v>
      </c>
      <c r="D41" s="110">
        <v>3342163</v>
      </c>
      <c r="E41" s="23">
        <f t="shared" si="8"/>
        <v>6350522</v>
      </c>
      <c r="F41" s="34"/>
      <c r="G41" s="38">
        <f t="shared" si="2"/>
        <v>1.1823156233506253</v>
      </c>
      <c r="H41" s="38">
        <f t="shared" si="3"/>
        <v>1.1175797547086899</v>
      </c>
      <c r="I41" s="23">
        <f t="shared" si="4"/>
        <v>1.1473391147244805</v>
      </c>
      <c r="J41">
        <v>2044</v>
      </c>
      <c r="K41" s="7">
        <f t="shared" si="6"/>
        <v>759.15930487000674</v>
      </c>
      <c r="L41" s="7">
        <f t="shared" si="7"/>
        <v>835.69954217299619</v>
      </c>
      <c r="M41" s="7">
        <f t="shared" si="5"/>
        <v>1594.8588470430029</v>
      </c>
    </row>
    <row r="42" spans="2:13">
      <c r="B42" s="110" t="s">
        <v>405</v>
      </c>
      <c r="C42" s="110">
        <v>3016481</v>
      </c>
      <c r="D42" s="110">
        <v>3346842</v>
      </c>
      <c r="E42" s="23">
        <f t="shared" si="8"/>
        <v>6363323</v>
      </c>
      <c r="F42" s="34"/>
      <c r="G42" s="38">
        <f t="shared" si="2"/>
        <v>1.1855076517929932</v>
      </c>
      <c r="H42" s="38">
        <f t="shared" si="3"/>
        <v>1.1191443569355359</v>
      </c>
      <c r="I42" s="23">
        <f t="shared" si="4"/>
        <v>1.1496518518518519</v>
      </c>
      <c r="J42">
        <v>2045</v>
      </c>
      <c r="K42" s="7">
        <f t="shared" si="6"/>
        <v>761.20889133031744</v>
      </c>
      <c r="L42" s="7">
        <f t="shared" si="7"/>
        <v>836.86951448069874</v>
      </c>
      <c r="M42" s="7">
        <f t="shared" si="5"/>
        <v>1598.0784058110162</v>
      </c>
    </row>
    <row r="43" spans="2:13">
      <c r="B43" s="33">
        <v>2046</v>
      </c>
      <c r="C43" s="33">
        <f t="shared" ref="C43:D47" si="9">C42</f>
        <v>3016481</v>
      </c>
      <c r="D43" s="33">
        <f t="shared" si="9"/>
        <v>3346842</v>
      </c>
      <c r="E43" s="23">
        <f t="shared" si="8"/>
        <v>6363323</v>
      </c>
      <c r="F43" s="34"/>
      <c r="G43" s="38">
        <f t="shared" si="2"/>
        <v>1.1855076517929932</v>
      </c>
      <c r="H43" s="38">
        <f t="shared" si="3"/>
        <v>1.1191443569355359</v>
      </c>
      <c r="I43" s="23">
        <f t="shared" si="4"/>
        <v>1.1496518518518519</v>
      </c>
      <c r="J43">
        <v>2046</v>
      </c>
      <c r="K43" s="7">
        <f t="shared" si="6"/>
        <v>761.20889133031744</v>
      </c>
      <c r="L43" s="7">
        <f t="shared" si="7"/>
        <v>836.86951448069874</v>
      </c>
      <c r="M43" s="7">
        <f t="shared" si="5"/>
        <v>1598.0784058110162</v>
      </c>
    </row>
    <row r="44" spans="2:13">
      <c r="B44" s="33">
        <v>2047</v>
      </c>
      <c r="C44" s="33">
        <f t="shared" si="9"/>
        <v>3016481</v>
      </c>
      <c r="D44" s="33">
        <f t="shared" si="9"/>
        <v>3346842</v>
      </c>
      <c r="E44" s="23">
        <f t="shared" si="8"/>
        <v>6363323</v>
      </c>
      <c r="F44" s="34"/>
      <c r="G44" s="38">
        <f t="shared" si="2"/>
        <v>1.1855076517929932</v>
      </c>
      <c r="H44" s="38">
        <f t="shared" si="3"/>
        <v>1.1191443569355359</v>
      </c>
      <c r="I44" s="23">
        <f t="shared" si="4"/>
        <v>1.1496518518518519</v>
      </c>
      <c r="J44">
        <v>2047</v>
      </c>
      <c r="K44" s="7">
        <f t="shared" si="6"/>
        <v>761.20889133031744</v>
      </c>
      <c r="L44" s="7">
        <f t="shared" si="7"/>
        <v>836.86951448069874</v>
      </c>
      <c r="M44" s="7">
        <f t="shared" si="5"/>
        <v>1598.0784058110162</v>
      </c>
    </row>
    <row r="45" spans="2:13">
      <c r="B45" s="33">
        <v>2048</v>
      </c>
      <c r="C45" s="33">
        <f t="shared" si="9"/>
        <v>3016481</v>
      </c>
      <c r="D45" s="33">
        <f t="shared" si="9"/>
        <v>3346842</v>
      </c>
      <c r="E45" s="23">
        <f t="shared" si="8"/>
        <v>6363323</v>
      </c>
      <c r="F45" s="34"/>
      <c r="G45" s="38">
        <f t="shared" si="2"/>
        <v>1.1855076517929932</v>
      </c>
      <c r="H45" s="38">
        <f t="shared" si="3"/>
        <v>1.1191443569355359</v>
      </c>
      <c r="I45" s="23">
        <f t="shared" si="4"/>
        <v>1.1496518518518519</v>
      </c>
      <c r="J45">
        <v>2048</v>
      </c>
      <c r="K45" s="7">
        <f t="shared" si="6"/>
        <v>761.20889133031744</v>
      </c>
      <c r="L45" s="7">
        <f t="shared" si="7"/>
        <v>836.86951448069874</v>
      </c>
      <c r="M45" s="7">
        <f t="shared" si="5"/>
        <v>1598.0784058110162</v>
      </c>
    </row>
    <row r="46" spans="2:13">
      <c r="B46" s="33">
        <v>2049</v>
      </c>
      <c r="C46" s="33">
        <f t="shared" si="9"/>
        <v>3016481</v>
      </c>
      <c r="D46" s="33">
        <f t="shared" si="9"/>
        <v>3346842</v>
      </c>
      <c r="E46" s="23">
        <f t="shared" si="8"/>
        <v>6363323</v>
      </c>
      <c r="F46" s="34"/>
      <c r="G46" s="38">
        <f t="shared" si="2"/>
        <v>1.1855076517929932</v>
      </c>
      <c r="H46" s="38">
        <f t="shared" si="3"/>
        <v>1.1191443569355359</v>
      </c>
      <c r="I46" s="23">
        <f t="shared" si="4"/>
        <v>1.1496518518518519</v>
      </c>
      <c r="J46">
        <v>2049</v>
      </c>
      <c r="K46" s="7">
        <f t="shared" si="6"/>
        <v>761.20889133031744</v>
      </c>
      <c r="L46" s="7">
        <f t="shared" si="7"/>
        <v>836.86951448069874</v>
      </c>
      <c r="M46" s="7">
        <f t="shared" si="5"/>
        <v>1598.0784058110162</v>
      </c>
    </row>
    <row r="47" spans="2:13">
      <c r="B47" s="33">
        <v>2050</v>
      </c>
      <c r="C47" s="33">
        <f t="shared" si="9"/>
        <v>3016481</v>
      </c>
      <c r="D47" s="33">
        <f t="shared" si="9"/>
        <v>3346842</v>
      </c>
      <c r="E47" s="23">
        <f t="shared" si="8"/>
        <v>6363323</v>
      </c>
      <c r="F47" s="34"/>
      <c r="G47" s="38">
        <f t="shared" si="2"/>
        <v>1.1855076517929932</v>
      </c>
      <c r="H47" s="38">
        <f t="shared" si="3"/>
        <v>1.1191443569355359</v>
      </c>
      <c r="I47" s="23">
        <f t="shared" si="4"/>
        <v>1.1496518518518519</v>
      </c>
      <c r="J47">
        <v>2050</v>
      </c>
      <c r="K47" s="7">
        <f t="shared" si="6"/>
        <v>761.20889133031744</v>
      </c>
      <c r="L47" s="7">
        <f t="shared" si="7"/>
        <v>836.86951448069874</v>
      </c>
      <c r="M47" s="7">
        <f t="shared" si="5"/>
        <v>1598.0784058110162</v>
      </c>
    </row>
    <row r="59" spans="18:20">
      <c r="R59" s="109"/>
      <c r="S59" s="109"/>
      <c r="T59" s="109"/>
    </row>
    <row r="60" spans="18:20">
      <c r="R60" s="109"/>
      <c r="S60" s="109"/>
      <c r="T60" s="109"/>
    </row>
  </sheetData>
  <mergeCells count="1">
    <mergeCell ref="J5:M5"/>
  </mergeCells>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P55"/>
  <sheetViews>
    <sheetView topLeftCell="M12" workbookViewId="0">
      <selection activeCell="AC55" sqref="AC55:AD55"/>
    </sheetView>
  </sheetViews>
  <sheetFormatPr defaultColWidth="9.109375" defaultRowHeight="14.4"/>
  <cols>
    <col min="1" max="2" width="9.109375" style="23"/>
    <col min="3" max="3" width="14.5546875" style="23" bestFit="1" customWidth="1"/>
    <col min="4" max="4" width="37.109375" style="23" bestFit="1" customWidth="1"/>
    <col min="5" max="5" width="10.6640625" style="23" customWidth="1"/>
    <col min="6" max="6" width="10.5546875" style="23" bestFit="1" customWidth="1"/>
    <col min="7" max="7" width="11" style="23" bestFit="1" customWidth="1"/>
    <col min="8" max="8" width="13.88671875" style="23" bestFit="1" customWidth="1"/>
    <col min="9" max="9" width="9.88671875" style="23" bestFit="1" customWidth="1"/>
    <col min="10" max="14" width="9.109375" style="23"/>
    <col min="15" max="15" width="9.5546875" style="23" bestFit="1" customWidth="1"/>
    <col min="16" max="20" width="9.109375" style="23"/>
    <col min="21" max="21" width="11.5546875" style="23" bestFit="1" customWidth="1"/>
    <col min="22" max="16384" width="9.109375" style="23"/>
  </cols>
  <sheetData>
    <row r="2" spans="2:25">
      <c r="B2" s="23" t="s">
        <v>461</v>
      </c>
    </row>
    <row r="3" spans="2:25">
      <c r="O3" s="148" t="s">
        <v>117</v>
      </c>
      <c r="P3" s="149"/>
      <c r="Q3" s="149"/>
      <c r="R3" s="149"/>
      <c r="S3" s="149"/>
    </row>
    <row r="4" spans="2:25">
      <c r="B4" s="1"/>
      <c r="O4" s="120"/>
      <c r="P4" s="23" t="s">
        <v>413</v>
      </c>
      <c r="Q4" s="121" t="s">
        <v>114</v>
      </c>
      <c r="R4" s="121" t="s">
        <v>113</v>
      </c>
      <c r="S4" s="122" t="s">
        <v>112</v>
      </c>
      <c r="U4" s="123"/>
    </row>
    <row r="5" spans="2:25" ht="15" thickBot="1">
      <c r="B5" s="3" t="s">
        <v>2</v>
      </c>
      <c r="C5" s="124" t="s">
        <v>414</v>
      </c>
      <c r="D5" s="125" t="s">
        <v>415</v>
      </c>
      <c r="E5" s="126" t="s">
        <v>5</v>
      </c>
      <c r="F5" s="126" t="s">
        <v>4</v>
      </c>
      <c r="O5" s="120" t="s">
        <v>72</v>
      </c>
      <c r="P5" s="127">
        <f>X15</f>
        <v>30.314583826537696</v>
      </c>
      <c r="Q5" s="127">
        <f>X16</f>
        <v>48.431509616076916</v>
      </c>
      <c r="R5" s="127">
        <v>63.011104799999998</v>
      </c>
      <c r="S5" s="128">
        <v>78.386392999999998</v>
      </c>
    </row>
    <row r="6" spans="2:25">
      <c r="C6" s="23" t="s">
        <v>81</v>
      </c>
      <c r="D6" s="23" t="s">
        <v>416</v>
      </c>
      <c r="E6" s="23" t="s">
        <v>417</v>
      </c>
      <c r="F6" s="23" t="s">
        <v>417</v>
      </c>
      <c r="O6" s="120" t="s">
        <v>111</v>
      </c>
      <c r="P6" s="127">
        <v>20.98033279033978</v>
      </c>
      <c r="Q6" s="127">
        <v>31.407177768123585</v>
      </c>
      <c r="R6" s="127">
        <v>47.350724999999997</v>
      </c>
      <c r="S6" s="128">
        <v>64.917008199999998</v>
      </c>
    </row>
    <row r="7" spans="2:25">
      <c r="C7" s="23" t="s">
        <v>94</v>
      </c>
      <c r="D7" s="23" t="s">
        <v>418</v>
      </c>
      <c r="E7" s="23" t="s">
        <v>417</v>
      </c>
      <c r="F7" s="23" t="s">
        <v>417</v>
      </c>
      <c r="O7" s="120" t="s">
        <v>70</v>
      </c>
      <c r="P7" s="127"/>
      <c r="Q7" s="127">
        <v>36.782436300000001</v>
      </c>
      <c r="R7" s="127">
        <v>58.592852200000003</v>
      </c>
      <c r="S7" s="128">
        <v>70.686839899999995</v>
      </c>
      <c r="W7" s="23" t="s">
        <v>419</v>
      </c>
      <c r="X7" s="23" t="s">
        <v>420</v>
      </c>
      <c r="Y7" s="23" t="s">
        <v>421</v>
      </c>
    </row>
    <row r="8" spans="2:25">
      <c r="C8" s="23" t="s">
        <v>93</v>
      </c>
      <c r="D8" s="23" t="s">
        <v>418</v>
      </c>
      <c r="E8" s="23" t="s">
        <v>417</v>
      </c>
      <c r="F8" s="23" t="s">
        <v>417</v>
      </c>
      <c r="O8" s="120" t="s">
        <v>69</v>
      </c>
      <c r="P8" s="127"/>
      <c r="Q8" s="127">
        <v>60.840995300000003</v>
      </c>
      <c r="R8" s="127">
        <v>70.819515899999999</v>
      </c>
      <c r="S8" s="128">
        <v>91.327718200000007</v>
      </c>
      <c r="V8" s="23" t="s">
        <v>422</v>
      </c>
      <c r="W8" s="23">
        <v>26.752659999999999</v>
      </c>
      <c r="X8" s="23">
        <v>62084</v>
      </c>
      <c r="Y8" s="23">
        <v>339.6934</v>
      </c>
    </row>
    <row r="9" spans="2:25">
      <c r="C9" s="23" t="s">
        <v>142</v>
      </c>
      <c r="D9" s="23" t="s">
        <v>423</v>
      </c>
      <c r="E9" s="23" t="s">
        <v>417</v>
      </c>
      <c r="F9" s="23" t="s">
        <v>417</v>
      </c>
      <c r="O9" s="120" t="s">
        <v>68</v>
      </c>
      <c r="P9" s="127">
        <v>36.107349999999997</v>
      </c>
      <c r="Q9" s="127">
        <v>45.280434310503644</v>
      </c>
      <c r="R9" s="127">
        <v>55.080235899999998</v>
      </c>
      <c r="S9" s="128"/>
      <c r="V9" s="129" t="s">
        <v>424</v>
      </c>
      <c r="W9" s="23">
        <v>37.339089999999999</v>
      </c>
      <c r="X9" s="23">
        <v>31481</v>
      </c>
      <c r="Y9" s="23">
        <v>342.7629</v>
      </c>
    </row>
    <row r="10" spans="2:25">
      <c r="C10" s="23" t="s">
        <v>133</v>
      </c>
      <c r="D10" s="23" t="s">
        <v>425</v>
      </c>
      <c r="E10" s="23" t="s">
        <v>417</v>
      </c>
      <c r="F10" s="23" t="s">
        <v>417</v>
      </c>
      <c r="O10" s="120" t="s">
        <v>67</v>
      </c>
      <c r="P10" s="130">
        <v>31.721661594991357</v>
      </c>
      <c r="Q10" s="127">
        <v>39.654932468571353</v>
      </c>
      <c r="R10" s="127"/>
      <c r="S10" s="128"/>
      <c r="V10" s="23" t="s">
        <v>426</v>
      </c>
      <c r="W10" s="89">
        <v>41.885860000000001</v>
      </c>
      <c r="X10" s="23">
        <v>32834</v>
      </c>
      <c r="Y10" s="23">
        <v>342.7629</v>
      </c>
    </row>
    <row r="11" spans="2:25">
      <c r="C11" s="23" t="s">
        <v>176</v>
      </c>
      <c r="D11" s="23" t="s">
        <v>427</v>
      </c>
      <c r="E11" s="23" t="s">
        <v>417</v>
      </c>
      <c r="F11" s="23" t="s">
        <v>417</v>
      </c>
      <c r="O11" s="120" t="s">
        <v>428</v>
      </c>
      <c r="P11" s="131"/>
      <c r="Q11" s="127">
        <v>45.354439999999997</v>
      </c>
      <c r="R11" s="127">
        <v>63.606779400000001</v>
      </c>
      <c r="S11" s="128">
        <v>72.618477900000002</v>
      </c>
      <c r="V11" s="89" t="s">
        <v>429</v>
      </c>
      <c r="W11" s="23">
        <v>49.692230000000002</v>
      </c>
      <c r="X11" s="23">
        <v>40352</v>
      </c>
      <c r="Y11" s="23">
        <v>343.98219999999998</v>
      </c>
    </row>
    <row r="12" spans="2:25">
      <c r="C12" s="23" t="s">
        <v>162</v>
      </c>
      <c r="D12" s="23" t="s">
        <v>430</v>
      </c>
      <c r="E12" s="23" t="s">
        <v>417</v>
      </c>
      <c r="F12" s="23" t="s">
        <v>417</v>
      </c>
      <c r="O12" s="120" t="s">
        <v>431</v>
      </c>
      <c r="P12" s="130">
        <v>26.820397471018129</v>
      </c>
      <c r="Q12" s="127">
        <v>37.854796702547581</v>
      </c>
      <c r="R12" s="127">
        <v>41.142392800000003</v>
      </c>
      <c r="S12" s="128">
        <v>60.375</v>
      </c>
      <c r="V12" s="23" t="s">
        <v>432</v>
      </c>
      <c r="W12" s="23">
        <v>56.147750000000002</v>
      </c>
      <c r="X12" s="23">
        <v>21260</v>
      </c>
      <c r="Y12" s="23">
        <v>342.79700000000003</v>
      </c>
    </row>
    <row r="13" spans="2:25">
      <c r="C13" s="23" t="s">
        <v>170</v>
      </c>
      <c r="D13" s="23" t="s">
        <v>433</v>
      </c>
      <c r="E13" s="23" t="s">
        <v>417</v>
      </c>
      <c r="F13" s="23" t="s">
        <v>417</v>
      </c>
      <c r="O13" s="120" t="s">
        <v>66</v>
      </c>
      <c r="P13" s="130">
        <v>15.830551426516418</v>
      </c>
      <c r="Q13" s="132">
        <v>18.469142373483582</v>
      </c>
      <c r="R13" s="127"/>
      <c r="S13" s="128"/>
    </row>
    <row r="14" spans="2:25">
      <c r="C14" s="23" t="s">
        <v>434</v>
      </c>
      <c r="D14" s="23" t="s">
        <v>435</v>
      </c>
      <c r="E14" s="23" t="s">
        <v>417</v>
      </c>
      <c r="F14" s="23" t="s">
        <v>417</v>
      </c>
      <c r="O14" s="120" t="s">
        <v>436</v>
      </c>
      <c r="P14" s="130">
        <f>25*0.7</f>
        <v>17.5</v>
      </c>
      <c r="Q14" s="127">
        <f>25*0.75</f>
        <v>18.75</v>
      </c>
      <c r="R14" s="127">
        <f>25*0.8</f>
        <v>20</v>
      </c>
      <c r="S14" s="128"/>
    </row>
    <row r="15" spans="2:25">
      <c r="C15" s="23" t="s">
        <v>437</v>
      </c>
      <c r="D15" s="23" t="s">
        <v>438</v>
      </c>
      <c r="E15" s="23" t="s">
        <v>417</v>
      </c>
      <c r="F15" s="23" t="s">
        <v>417</v>
      </c>
      <c r="O15" s="120" t="s">
        <v>65</v>
      </c>
      <c r="P15" s="133">
        <v>5.9817793999999997</v>
      </c>
      <c r="Q15" s="127">
        <v>5.9817793999999997</v>
      </c>
      <c r="R15" s="127"/>
      <c r="S15" s="128"/>
      <c r="V15" s="23" t="s">
        <v>439</v>
      </c>
      <c r="W15" s="23">
        <f>W8*0.6+W9*0.4</f>
        <v>30.987231999999999</v>
      </c>
      <c r="X15" s="29">
        <f>(W8*X8+W9*X9)/SUM(X8:X9)</f>
        <v>30.314583826537696</v>
      </c>
      <c r="Y15" s="23">
        <f>(W8*Y8+W9*Y9)/SUM(Y8:Y9)</f>
        <v>32.069682419526345</v>
      </c>
    </row>
    <row r="16" spans="2:25">
      <c r="C16" s="23" t="s">
        <v>440</v>
      </c>
      <c r="D16" s="23" t="s">
        <v>441</v>
      </c>
      <c r="E16" s="23" t="s">
        <v>417</v>
      </c>
      <c r="F16" s="23" t="s">
        <v>417</v>
      </c>
      <c r="O16" s="120" t="s">
        <v>442</v>
      </c>
      <c r="P16" s="131"/>
      <c r="Q16" s="127"/>
      <c r="R16" s="127"/>
      <c r="S16" s="128">
        <v>330.29318899999998</v>
      </c>
      <c r="V16" s="23" t="s">
        <v>443</v>
      </c>
      <c r="W16" s="23">
        <f>W10*0.2+W11*0.3+W12*0.3</f>
        <v>40.129165999999998</v>
      </c>
      <c r="X16" s="29">
        <f>(W10*X10+W11*X11+W12*X12)/SUM(X10:X12)</f>
        <v>48.431509616076916</v>
      </c>
      <c r="Y16" s="23">
        <f>(W10*Y10+W11*Y11+W12*Y12)/SUM(Y10:Y12)</f>
        <v>49.242708673739521</v>
      </c>
    </row>
    <row r="17" spans="3:42">
      <c r="O17" s="134" t="s">
        <v>444</v>
      </c>
      <c r="P17" s="135"/>
      <c r="Q17" s="136">
        <v>25</v>
      </c>
      <c r="R17" s="136">
        <v>25</v>
      </c>
      <c r="S17" s="137">
        <v>25</v>
      </c>
    </row>
    <row r="19" spans="3:42">
      <c r="M19" s="150" t="s">
        <v>463</v>
      </c>
      <c r="N19" s="150"/>
      <c r="O19" s="150"/>
      <c r="P19" s="150"/>
      <c r="Q19" s="150"/>
      <c r="R19" s="150"/>
      <c r="S19" s="150"/>
      <c r="T19" s="150"/>
      <c r="U19" s="150"/>
      <c r="V19" s="150"/>
      <c r="W19" s="150"/>
      <c r="X19" s="150"/>
      <c r="Y19" s="150"/>
      <c r="Z19" s="150"/>
      <c r="AA19" s="150"/>
      <c r="AB19" s="150" t="s">
        <v>462</v>
      </c>
      <c r="AC19" s="150"/>
      <c r="AD19" s="150"/>
      <c r="AE19" s="150"/>
      <c r="AF19" s="150"/>
      <c r="AG19" s="150"/>
      <c r="AH19" s="150"/>
      <c r="AI19" s="150"/>
      <c r="AJ19" s="150"/>
      <c r="AK19" s="150"/>
      <c r="AL19" s="150"/>
      <c r="AM19" s="150"/>
      <c r="AN19" s="150"/>
      <c r="AO19" s="150"/>
      <c r="AP19" s="150"/>
    </row>
    <row r="20" spans="3:42">
      <c r="C20" s="1"/>
      <c r="H20" s="1"/>
      <c r="M20" s="23">
        <v>2010</v>
      </c>
      <c r="N20" s="23">
        <v>2010</v>
      </c>
      <c r="O20" s="23">
        <v>2010</v>
      </c>
      <c r="P20" s="23">
        <v>2020</v>
      </c>
      <c r="Q20" s="23">
        <v>2020</v>
      </c>
      <c r="R20" s="23">
        <v>2020</v>
      </c>
      <c r="S20" s="23">
        <v>2030</v>
      </c>
      <c r="T20" s="23">
        <f>S20</f>
        <v>2030</v>
      </c>
      <c r="U20" s="23">
        <f>T20</f>
        <v>2030</v>
      </c>
      <c r="V20" s="23">
        <v>2040</v>
      </c>
      <c r="W20" s="23">
        <f>V20</f>
        <v>2040</v>
      </c>
      <c r="X20" s="23">
        <f>W20</f>
        <v>2040</v>
      </c>
      <c r="Y20" s="23">
        <v>2050</v>
      </c>
      <c r="Z20" s="23">
        <f>Y20</f>
        <v>2050</v>
      </c>
      <c r="AA20" s="23">
        <f>Z20</f>
        <v>2050</v>
      </c>
      <c r="AB20" s="23">
        <f>M20</f>
        <v>2010</v>
      </c>
      <c r="AC20" s="23">
        <f t="shared" ref="AC20:AD20" si="0">N20</f>
        <v>2010</v>
      </c>
      <c r="AD20" s="23">
        <f t="shared" si="0"/>
        <v>2010</v>
      </c>
      <c r="AE20" s="23">
        <f>P20</f>
        <v>2020</v>
      </c>
      <c r="AF20" s="23">
        <f t="shared" ref="AF20" si="1">Q20</f>
        <v>2020</v>
      </c>
      <c r="AG20" s="23">
        <f t="shared" ref="AG20" si="2">R20</f>
        <v>2020</v>
      </c>
      <c r="AH20" s="23">
        <f>S20</f>
        <v>2030</v>
      </c>
      <c r="AI20" s="23">
        <f t="shared" ref="AI20" si="3">T20</f>
        <v>2030</v>
      </c>
      <c r="AJ20" s="23">
        <f t="shared" ref="AJ20" si="4">U20</f>
        <v>2030</v>
      </c>
      <c r="AK20" s="23">
        <f>V20</f>
        <v>2040</v>
      </c>
      <c r="AL20" s="23">
        <f t="shared" ref="AL20" si="5">W20</f>
        <v>2040</v>
      </c>
      <c r="AM20" s="23">
        <f t="shared" ref="AM20" si="6">X20</f>
        <v>2040</v>
      </c>
      <c r="AN20" s="23">
        <f>Y20</f>
        <v>2050</v>
      </c>
      <c r="AO20" s="23">
        <f t="shared" ref="AO20" si="7">Z20</f>
        <v>2050</v>
      </c>
      <c r="AP20" s="23">
        <f t="shared" ref="AP20" si="8">AA20</f>
        <v>2050</v>
      </c>
    </row>
    <row r="21" spans="3:42" ht="15" thickBot="1">
      <c r="C21" s="3" t="s">
        <v>2</v>
      </c>
      <c r="D21" s="3" t="s">
        <v>0</v>
      </c>
      <c r="E21" s="126" t="s">
        <v>5</v>
      </c>
      <c r="F21" s="126" t="s">
        <v>4</v>
      </c>
      <c r="G21" s="124" t="s">
        <v>1</v>
      </c>
      <c r="H21" s="138" t="s">
        <v>445</v>
      </c>
      <c r="I21" s="125" t="s">
        <v>90</v>
      </c>
      <c r="M21" s="23" t="s">
        <v>457</v>
      </c>
      <c r="N21" s="23" t="s">
        <v>5</v>
      </c>
      <c r="O21" s="23" t="s">
        <v>4</v>
      </c>
      <c r="P21" s="23" t="s">
        <v>457</v>
      </c>
      <c r="Q21" s="23" t="s">
        <v>5</v>
      </c>
      <c r="R21" s="23" t="s">
        <v>4</v>
      </c>
      <c r="S21" s="23" t="s">
        <v>457</v>
      </c>
      <c r="T21" s="23" t="s">
        <v>5</v>
      </c>
      <c r="U21" s="23" t="s">
        <v>4</v>
      </c>
      <c r="V21" s="23" t="s">
        <v>457</v>
      </c>
      <c r="W21" s="23" t="s">
        <v>5</v>
      </c>
      <c r="X21" s="23" t="s">
        <v>4</v>
      </c>
      <c r="Y21" s="23" t="s">
        <v>457</v>
      </c>
      <c r="Z21" s="23" t="s">
        <v>5</v>
      </c>
      <c r="AA21" s="23" t="s">
        <v>4</v>
      </c>
      <c r="AB21" s="23" t="s">
        <v>458</v>
      </c>
      <c r="AC21" s="23" t="s">
        <v>459</v>
      </c>
      <c r="AD21" s="23" t="s">
        <v>460</v>
      </c>
      <c r="AE21" s="23" t="s">
        <v>458</v>
      </c>
      <c r="AF21" s="23" t="s">
        <v>459</v>
      </c>
      <c r="AG21" s="23" t="s">
        <v>460</v>
      </c>
      <c r="AH21" s="23" t="s">
        <v>458</v>
      </c>
      <c r="AI21" s="23" t="s">
        <v>459</v>
      </c>
      <c r="AJ21" s="23" t="s">
        <v>460</v>
      </c>
      <c r="AK21" s="23" t="s">
        <v>458</v>
      </c>
      <c r="AL21" s="23" t="s">
        <v>459</v>
      </c>
      <c r="AM21" s="23" t="s">
        <v>460</v>
      </c>
      <c r="AN21" s="23" t="s">
        <v>458</v>
      </c>
      <c r="AO21" s="23" t="s">
        <v>459</v>
      </c>
      <c r="AP21" s="23" t="s">
        <v>460</v>
      </c>
    </row>
    <row r="22" spans="3:42">
      <c r="C22" s="23" t="s">
        <v>446</v>
      </c>
      <c r="D22" s="23">
        <v>2010</v>
      </c>
      <c r="E22" s="139">
        <f>1/$P$5</f>
        <v>3.2987423008083321E-2</v>
      </c>
      <c r="F22" s="139">
        <f>1/$P$5</f>
        <v>3.2987423008083321E-2</v>
      </c>
      <c r="G22" s="23" t="s">
        <v>81</v>
      </c>
      <c r="H22" s="23" t="s">
        <v>84</v>
      </c>
      <c r="I22" s="23" t="s">
        <v>447</v>
      </c>
      <c r="K22" s="23" t="s">
        <v>72</v>
      </c>
      <c r="M22" s="40">
        <f t="array" ref="M22">INDEX('LTM data'!$D$47:$W$66,MATCH(Speed!$H22&amp;Speed!M$20,'LTM data'!$C$47:$C$66&amp;'LTM data'!$A$47:$A$66,0),MATCH(Speed!$K22,'LTM data'!$D$46:$W$46,0))</f>
        <v>3299.24246603142</v>
      </c>
      <c r="N22" s="40">
        <f t="array" ref="N22">INDEX('LTM data'!$D$47:$W$66,MATCH(Speed!$H22&amp;Speed!N$20,'LTM data'!$C$47:$C$66&amp;'LTM data'!$A$47:$A$66,0),MATCH((Speed!$K22&amp;" DKE"),'LTM data'!$D$46:$W$46,0))</f>
        <v>1315.3945644862199</v>
      </c>
      <c r="O22" s="7">
        <f>M22-N22</f>
        <v>1983.8479015452001</v>
      </c>
      <c r="P22" s="40">
        <f t="array" ref="P22">INDEX('LTM data'!$D$47:$W$66,MATCH(Speed!$H22&amp;Speed!P$20,'LTM data'!$C$47:$C$66&amp;'LTM data'!$A$47:$A$66,0),MATCH(Speed!$K22,'LTM data'!$D$46:$W$46,0))</f>
        <v>4032.4863548143267</v>
      </c>
      <c r="Q22" s="40">
        <f t="array" ref="Q22">INDEX('LTM data'!$D$47:$W$66,MATCH(Speed!$H22&amp;Speed!Q$20,'LTM data'!$C$47:$C$66&amp;'LTM data'!$A$47:$A$66,0),MATCH((Speed!$K22&amp;" DKE"),'LTM data'!$D$46:$W$46,0))</f>
        <v>1607.7359233521399</v>
      </c>
      <c r="R22" s="7">
        <f>P22-Q22</f>
        <v>2424.7504314621865</v>
      </c>
      <c r="S22" s="40">
        <f t="array" ref="S22">INDEX('LTM data'!$D$47:$W$66,MATCH(Speed!$H22&amp;Speed!S$20,'LTM data'!$C$47:$C$66&amp;'LTM data'!$A$47:$A$66,0),MATCH(Speed!$K22,'LTM data'!$D$46:$W$46,0))</f>
        <v>4204.7338499674815</v>
      </c>
      <c r="T22" s="40">
        <f t="array" ref="T22">INDEX('LTM data'!$D$47:$W$66,MATCH(Speed!$H22&amp;Speed!T$20,'LTM data'!$C$47:$C$66&amp;'LTM data'!$A$47:$A$66,0),MATCH((Speed!$K22&amp;" DKE"),'LTM data'!$D$46:$W$46,0))</f>
        <v>1676.4102997290195</v>
      </c>
      <c r="U22" s="7">
        <f>S22-T22</f>
        <v>2528.3235502384623</v>
      </c>
      <c r="V22" s="40">
        <f t="array" ref="V22">INDEX('LTM data'!$D$47:$W$66,MATCH(Speed!$H22&amp;Speed!V$20,'LTM data'!$C$47:$C$66&amp;'LTM data'!$A$47:$A$66,0),MATCH(Speed!$K22,'LTM data'!$D$46:$W$46,0))</f>
        <v>4519.792673212085</v>
      </c>
      <c r="W22" s="40">
        <f t="array" ref="W22">INDEX('LTM data'!$D$47:$W$66,MATCH(Speed!$H22&amp;Speed!W$20,'LTM data'!$C$47:$C$66&amp;'LTM data'!$A$47:$A$66,0),MATCH((Speed!$K22&amp;" DKE"),'LTM data'!$D$46:$W$46,0))</f>
        <v>1802.0229722913609</v>
      </c>
      <c r="X22" s="7">
        <f>V22-W22</f>
        <v>2717.7697009207241</v>
      </c>
      <c r="Y22" s="40">
        <f t="array" ref="Y22">INDEX('LTM data'!$D$47:$W$66,MATCH(Speed!$H22&amp;Speed!Y$20,'LTM data'!$C$47:$C$66&amp;'LTM data'!$A$47:$A$66,0),MATCH(Speed!$K22,'LTM data'!$D$46:$W$46,0))</f>
        <v>4799.0015212516118</v>
      </c>
      <c r="Z22" s="40">
        <f t="array" ref="Z22">INDEX('LTM data'!$D$47:$W$66,MATCH(Speed!$H22&amp;Speed!Z$20,'LTM data'!$C$47:$C$66&amp;'LTM data'!$A$47:$A$66,0),MATCH((Speed!$K22&amp;" DKE"),'LTM data'!$D$46:$W$46,0))</f>
        <v>1913.3424054185152</v>
      </c>
      <c r="AA22" s="7">
        <f>Y22-Z22</f>
        <v>2885.6591158330966</v>
      </c>
      <c r="AB22" s="23">
        <f>M22*$F22</f>
        <v>108.83350683321042</v>
      </c>
      <c r="AC22" s="23">
        <f>$E22*N22</f>
        <v>43.391476921240468</v>
      </c>
      <c r="AD22" s="23">
        <f>$F22*O22</f>
        <v>65.442029911969954</v>
      </c>
      <c r="AE22" s="23">
        <f>P22*$F22</f>
        <v>133.02133316058416</v>
      </c>
      <c r="AF22" s="23">
        <f>$E22*Q22</f>
        <v>53.035064988908459</v>
      </c>
      <c r="AG22" s="23">
        <f>$F22*R22</f>
        <v>79.98626817167569</v>
      </c>
      <c r="AH22" s="23">
        <f>S22*$F22</f>
        <v>138.70333414528406</v>
      </c>
      <c r="AI22" s="23">
        <f>$E22*T22</f>
        <v>55.300455692268912</v>
      </c>
      <c r="AJ22" s="23">
        <f>$F22*U22</f>
        <v>83.402878453015163</v>
      </c>
      <c r="AK22" s="23">
        <f>V22*$F22</f>
        <v>149.09631282008274</v>
      </c>
      <c r="AL22" s="23">
        <f>$E22*W22</f>
        <v>59.444094057258731</v>
      </c>
      <c r="AM22" s="23">
        <f>$F22*X22</f>
        <v>89.65221876282402</v>
      </c>
      <c r="AN22" s="23">
        <f>Y22*$F22</f>
        <v>158.30669319796229</v>
      </c>
      <c r="AO22" s="23">
        <f>$E22*Z22</f>
        <v>63.116235286844216</v>
      </c>
      <c r="AP22" s="23">
        <f>$F22*AA22</f>
        <v>95.19045791111806</v>
      </c>
    </row>
    <row r="23" spans="3:42">
      <c r="C23" s="23" t="s">
        <v>446</v>
      </c>
      <c r="D23" s="23">
        <v>2010</v>
      </c>
      <c r="E23" s="139">
        <f>1/$Q$5</f>
        <v>2.0647714843644856E-2</v>
      </c>
      <c r="F23" s="139">
        <f>1/$Q$5</f>
        <v>2.0647714843644856E-2</v>
      </c>
      <c r="G23" s="23" t="s">
        <v>81</v>
      </c>
      <c r="H23" s="23" t="s">
        <v>83</v>
      </c>
      <c r="I23" s="23" t="s">
        <v>51</v>
      </c>
      <c r="K23" s="23" t="s">
        <v>72</v>
      </c>
      <c r="M23" s="40">
        <f t="array" ref="M23">INDEX('LTM data'!$D$47:$W$66,MATCH(Speed!$H23&amp;Speed!M$20,'LTM data'!$C$47:$C$66&amp;'LTM data'!$A$47:$A$66,0),MATCH(Speed!$K23,'LTM data'!$D$46:$W$46,0))</f>
        <v>15830.087400313731</v>
      </c>
      <c r="N23" s="40">
        <f t="array" ref="N23">INDEX('LTM data'!$D$47:$W$66,MATCH(Speed!$H23&amp;Speed!N$20,'LTM data'!$C$47:$C$66&amp;'LTM data'!$A$47:$A$66,0),MATCH((Speed!$K23&amp;" DKE"),'LTM data'!$D$46:$W$46,0))</f>
        <v>6311.3791236512097</v>
      </c>
      <c r="O23" s="7">
        <f t="shared" ref="O23:O54" si="9">M23-N23</f>
        <v>9518.7082766625208</v>
      </c>
      <c r="P23" s="40">
        <f t="array" ref="P23">INDEX('LTM data'!$D$47:$W$66,MATCH(Speed!$H23&amp;Speed!P$20,'LTM data'!$C$47:$C$66&amp;'LTM data'!$A$47:$A$66,0),MATCH(Speed!$K23,'LTM data'!$D$46:$W$46,0))</f>
        <v>19348.263152683183</v>
      </c>
      <c r="Q23" s="40">
        <f t="array" ref="Q23">INDEX('LTM data'!$D$47:$W$66,MATCH(Speed!$H23&amp;Speed!Q$20,'LTM data'!$C$47:$C$66&amp;'LTM data'!$A$47:$A$66,0),MATCH((Speed!$K23&amp;" DKE"),'LTM data'!$D$46:$W$46,0))</f>
        <v>7714.0587447631178</v>
      </c>
      <c r="R23" s="7">
        <f t="shared" ref="R23:R54" si="10">P23-Q23</f>
        <v>11634.204407920064</v>
      </c>
      <c r="S23" s="40">
        <f t="array" ref="S23">INDEX('LTM data'!$D$47:$W$66,MATCH(Speed!$H23&amp;Speed!S$20,'LTM data'!$C$47:$C$66&amp;'LTM data'!$A$47:$A$66,0),MATCH(Speed!$K23,'LTM data'!$D$46:$W$46,0))</f>
        <v>20174.723447988312</v>
      </c>
      <c r="T23" s="40">
        <f t="array" ref="T23">INDEX('LTM data'!$D$47:$W$66,MATCH(Speed!$H23&amp;Speed!T$20,'LTM data'!$C$47:$C$66&amp;'LTM data'!$A$47:$A$66,0),MATCH((Speed!$K23&amp;" DKE"),'LTM data'!$D$46:$W$46,0))</f>
        <v>8043.5644589395306</v>
      </c>
      <c r="U23" s="7">
        <f t="shared" ref="U23:U54" si="11">S23-T23</f>
        <v>12131.158989048781</v>
      </c>
      <c r="V23" s="40">
        <f t="array" ref="V23">INDEX('LTM data'!$D$47:$W$66,MATCH(Speed!$H23&amp;Speed!V$20,'LTM data'!$C$47:$C$66&amp;'LTM data'!$A$47:$A$66,0),MATCH(Speed!$K23,'LTM data'!$D$46:$W$46,0))</f>
        <v>21686.406435689823</v>
      </c>
      <c r="W23" s="40">
        <f t="array" ref="W23">INDEX('LTM data'!$D$47:$W$66,MATCH(Speed!$H23&amp;Speed!W$20,'LTM data'!$C$47:$C$66&amp;'LTM data'!$A$47:$A$66,0),MATCH((Speed!$K23&amp;" DKE"),'LTM data'!$D$46:$W$46,0))</f>
        <v>8646.265139541516</v>
      </c>
      <c r="X23" s="7">
        <f t="shared" ref="X23:X54" si="12">V23-W23</f>
        <v>13040.141296148307</v>
      </c>
      <c r="Y23" s="40">
        <f t="array" ref="Y23">INDEX('LTM data'!$D$47:$W$66,MATCH(Speed!$H23&amp;Speed!Y$20,'LTM data'!$C$47:$C$66&amp;'LTM data'!$A$47:$A$66,0),MATCH(Speed!$K23,'LTM data'!$D$46:$W$46,0))</f>
        <v>23026.077742940914</v>
      </c>
      <c r="Z23" s="40">
        <f t="array" ref="Z23">INDEX('LTM data'!$D$47:$W$66,MATCH(Speed!$H23&amp;Speed!Z$20,'LTM data'!$C$47:$C$66&amp;'LTM data'!$A$47:$A$66,0),MATCH((Speed!$K23&amp;" DKE"),'LTM data'!$D$46:$W$46,0))</f>
        <v>9180.385596827904</v>
      </c>
      <c r="AA23" s="7">
        <f t="shared" ref="AA23:AA54" si="13">Y23-Z23</f>
        <v>13845.69214611301</v>
      </c>
      <c r="AB23" s="23">
        <f t="shared" ref="AB23:AB54" si="14">M23*$F23</f>
        <v>326.85513059165322</v>
      </c>
      <c r="AC23" s="23">
        <f t="shared" ref="AC23:AC46" si="15">$E23*N23</f>
        <v>130.31555641528334</v>
      </c>
      <c r="AD23" s="23">
        <f t="shared" ref="AD23:AD46" si="16">$F23*O23</f>
        <v>196.53957417636988</v>
      </c>
      <c r="AE23" s="23">
        <f t="shared" ref="AE23:AE46" si="17">P23*$F23</f>
        <v>399.49742029640339</v>
      </c>
      <c r="AF23" s="23">
        <f t="shared" ref="AF23:AF46" si="18">$E23*Q23</f>
        <v>159.27768524899383</v>
      </c>
      <c r="AG23" s="23">
        <f t="shared" ref="AG23:AG46" si="19">$F23*R23</f>
        <v>240.21973504740953</v>
      </c>
      <c r="AH23" s="23">
        <f t="shared" ref="AH23:AH46" si="20">S23*$F23</f>
        <v>416.5619368034582</v>
      </c>
      <c r="AI23" s="23">
        <f t="shared" ref="AI23:AI46" si="21">$E23*T23</f>
        <v>166.08122527465994</v>
      </c>
      <c r="AJ23" s="23">
        <f t="shared" ref="AJ23:AJ46" si="22">$F23*U23</f>
        <v>250.48071152879825</v>
      </c>
      <c r="AK23" s="23">
        <f t="shared" ref="AK23:AK46" si="23">V23*$F23</f>
        <v>447.77473606750812</v>
      </c>
      <c r="AL23" s="23">
        <f t="shared" ref="AL23:AL46" si="24">$E23*W23</f>
        <v>178.52561706380041</v>
      </c>
      <c r="AM23" s="23">
        <f t="shared" ref="AM23:AM46" si="25">$F23*X23</f>
        <v>269.24911900370768</v>
      </c>
      <c r="AN23" s="23">
        <f t="shared" ref="AN23:AN46" si="26">Y23*$F23</f>
        <v>475.43588720384156</v>
      </c>
      <c r="AO23" s="23">
        <f t="shared" ref="AO23:AO46" si="27">$E23*Z23</f>
        <v>189.55398395800697</v>
      </c>
      <c r="AP23" s="23">
        <f t="shared" ref="AP23:AP46" si="28">$F23*AA23</f>
        <v>285.88190324583462</v>
      </c>
    </row>
    <row r="24" spans="3:42">
      <c r="C24" s="23" t="s">
        <v>446</v>
      </c>
      <c r="D24" s="23">
        <v>2010</v>
      </c>
      <c r="E24" s="139">
        <f>1/$R$5</f>
        <v>1.5870218482504691E-2</v>
      </c>
      <c r="F24" s="139">
        <f>1/$R$5</f>
        <v>1.5870218482504691E-2</v>
      </c>
      <c r="G24" s="23" t="s">
        <v>81</v>
      </c>
      <c r="H24" s="23" t="s">
        <v>82</v>
      </c>
      <c r="I24" s="23" t="s">
        <v>52</v>
      </c>
      <c r="K24" s="23" t="s">
        <v>72</v>
      </c>
      <c r="M24" s="40">
        <f t="array" ref="M24">INDEX('LTM data'!$D$47:$W$66,MATCH(Speed!$H24&amp;Speed!M$20,'LTM data'!$C$47:$C$66&amp;'LTM data'!$A$47:$A$66,0),MATCH(Speed!$K24,'LTM data'!$D$46:$W$46,0))</f>
        <v>11434.14643148964</v>
      </c>
      <c r="N24" s="40">
        <f t="array" ref="N24">INDEX('LTM data'!$D$47:$W$66,MATCH(Speed!$H24&amp;Speed!N$20,'LTM data'!$C$47:$C$66&amp;'LTM data'!$A$47:$A$66,0),MATCH((Speed!$K24&amp;" DKE"),'LTM data'!$D$46:$W$46,0))</f>
        <v>4558.75601767836</v>
      </c>
      <c r="O24" s="7">
        <f t="shared" si="9"/>
        <v>6875.3904138112803</v>
      </c>
      <c r="P24" s="40">
        <f t="array" ref="P24">INDEX('LTM data'!$D$47:$W$66,MATCH(Speed!$H24&amp;Speed!P$20,'LTM data'!$C$47:$C$66&amp;'LTM data'!$A$47:$A$66,0),MATCH(Speed!$K24,'LTM data'!$D$46:$W$46,0))</f>
        <v>13975.341290812483</v>
      </c>
      <c r="Q24" s="40">
        <f t="array" ref="Q24">INDEX('LTM data'!$D$47:$W$66,MATCH(Speed!$H24&amp;Speed!Q$20,'LTM data'!$C$47:$C$66&amp;'LTM data'!$A$47:$A$66,0),MATCH((Speed!$K24&amp;" DKE"),'LTM data'!$D$46:$W$46,0))</f>
        <v>5571.9219261651615</v>
      </c>
      <c r="R24" s="7">
        <f t="shared" si="10"/>
        <v>8403.4193646473213</v>
      </c>
      <c r="S24" s="40">
        <f t="array" ref="S24">INDEX('LTM data'!$D$47:$W$66,MATCH(Speed!$H24&amp;Speed!S$20,'LTM data'!$C$47:$C$66&amp;'LTM data'!$A$47:$A$66,0),MATCH(Speed!$K24,'LTM data'!$D$46:$W$46,0))</f>
        <v>14572.297441297396</v>
      </c>
      <c r="T24" s="40">
        <f t="array" ref="T24">INDEX('LTM data'!$D$47:$W$66,MATCH(Speed!$H24&amp;Speed!T$20,'LTM data'!$C$47:$C$66&amp;'LTM data'!$A$47:$A$66,0),MATCH((Speed!$K24&amp;" DKE"),'LTM data'!$D$46:$W$46,0))</f>
        <v>5809.9263508608728</v>
      </c>
      <c r="U24" s="7">
        <f t="shared" si="11"/>
        <v>8762.3710904365234</v>
      </c>
      <c r="V24" s="40">
        <f t="array" ref="V24">INDEX('LTM data'!$D$47:$W$66,MATCH(Speed!$H24&amp;Speed!V$20,'LTM data'!$C$47:$C$66&amp;'LTM data'!$A$47:$A$66,0),MATCH(Speed!$K24,'LTM data'!$D$46:$W$46,0))</f>
        <v>15664.193158754286</v>
      </c>
      <c r="W24" s="40">
        <f t="array" ref="W24">INDEX('LTM data'!$D$47:$W$66,MATCH(Speed!$H24&amp;Speed!W$20,'LTM data'!$C$47:$C$66&amp;'LTM data'!$A$47:$A$66,0),MATCH((Speed!$K24&amp;" DKE"),'LTM data'!$D$46:$W$46,0))</f>
        <v>6245.2615289136284</v>
      </c>
      <c r="X24" s="7">
        <f t="shared" si="12"/>
        <v>9418.9316298406575</v>
      </c>
      <c r="Y24" s="40">
        <f t="array" ref="Y24">INDEX('LTM data'!$D$47:$W$66,MATCH(Speed!$H24&amp;Speed!Y$20,'LTM data'!$C$47:$C$66&amp;'LTM data'!$A$47:$A$66,0),MATCH(Speed!$K24,'LTM data'!$D$46:$W$46,0))</f>
        <v>16631.844032044508</v>
      </c>
      <c r="Z24" s="40">
        <f t="array" ref="Z24">INDEX('LTM data'!$D$47:$W$66,MATCH(Speed!$H24&amp;Speed!Z$20,'LTM data'!$C$47:$C$66&amp;'LTM data'!$A$47:$A$66,0),MATCH((Speed!$K24&amp;" DKE"),'LTM data'!$D$46:$W$46,0))</f>
        <v>6631.0607022979084</v>
      </c>
      <c r="AA24" s="7">
        <f t="shared" si="13"/>
        <v>10000.783329746599</v>
      </c>
      <c r="AB24" s="23">
        <f t="shared" si="14"/>
        <v>181.46240202869194</v>
      </c>
      <c r="AC24" s="23">
        <f t="shared" si="15"/>
        <v>72.348454008988597</v>
      </c>
      <c r="AD24" s="23">
        <f t="shared" si="16"/>
        <v>109.11394801970336</v>
      </c>
      <c r="AE24" s="23">
        <f t="shared" si="17"/>
        <v>221.79171965276322</v>
      </c>
      <c r="AF24" s="23">
        <f t="shared" si="18"/>
        <v>88.427618335699478</v>
      </c>
      <c r="AG24" s="23">
        <f t="shared" si="19"/>
        <v>133.36410131706376</v>
      </c>
      <c r="AH24" s="23">
        <f t="shared" si="20"/>
        <v>231.26554418543375</v>
      </c>
      <c r="AI24" s="23">
        <f t="shared" si="21"/>
        <v>92.204800555423262</v>
      </c>
      <c r="AJ24" s="23">
        <f t="shared" si="22"/>
        <v>139.06074363001051</v>
      </c>
      <c r="AK24" s="23">
        <f t="shared" si="23"/>
        <v>248.59416778158581</v>
      </c>
      <c r="AL24" s="23">
        <f t="shared" si="24"/>
        <v>99.113664944240568</v>
      </c>
      <c r="AM24" s="23">
        <f t="shared" si="25"/>
        <v>149.48050283734523</v>
      </c>
      <c r="AN24" s="23">
        <f t="shared" si="26"/>
        <v>263.95099855548807</v>
      </c>
      <c r="AO24" s="23">
        <f t="shared" si="27"/>
        <v>105.23638211621881</v>
      </c>
      <c r="AP24" s="23">
        <f t="shared" si="28"/>
        <v>158.71461643926926</v>
      </c>
    </row>
    <row r="25" spans="3:42">
      <c r="C25" s="23" t="s">
        <v>446</v>
      </c>
      <c r="D25" s="23">
        <v>2010</v>
      </c>
      <c r="E25" s="139">
        <f>1/$S$5</f>
        <v>1.2757316183690198E-2</v>
      </c>
      <c r="F25" s="139">
        <f>1/$S$5</f>
        <v>1.2757316183690198E-2</v>
      </c>
      <c r="G25" s="23" t="s">
        <v>81</v>
      </c>
      <c r="H25" s="23" t="s">
        <v>79</v>
      </c>
      <c r="I25" s="23" t="s">
        <v>53</v>
      </c>
      <c r="K25" s="23" t="s">
        <v>72</v>
      </c>
      <c r="M25" s="40">
        <f t="array" ref="M25">INDEX('LTM data'!$D$47:$W$66,MATCH(Speed!$H25&amp;Speed!M$20,'LTM data'!$C$47:$C$66&amp;'LTM data'!$A$47:$A$66,0),MATCH(Speed!$K25,'LTM data'!$D$46:$W$46,0))</f>
        <v>21898.978305174423</v>
      </c>
      <c r="N25" s="40">
        <f t="array" ref="N25">INDEX('LTM data'!$D$47:$W$66,MATCH(Speed!$H25&amp;Speed!N$20,'LTM data'!$C$47:$C$66&amp;'LTM data'!$A$47:$A$66,0),MATCH((Speed!$K25&amp;" DKE"),'LTM data'!$D$46:$W$46,0))</f>
        <v>8730.9460989267209</v>
      </c>
      <c r="O25" s="7">
        <f t="shared" si="9"/>
        <v>13168.032206247703</v>
      </c>
      <c r="P25" s="40">
        <f t="array" ref="P25">INDEX('LTM data'!$D$47:$W$66,MATCH(Speed!$H25&amp;Speed!P$20,'LTM data'!$C$47:$C$66&amp;'LTM data'!$A$47:$A$66,0),MATCH(Speed!$K25,'LTM data'!$D$46:$W$46,0))</f>
        <v>26765.941609079011</v>
      </c>
      <c r="Q25" s="40">
        <f t="array" ref="Q25">INDEX('LTM data'!$D$47:$W$66,MATCH(Speed!$H25&amp;Speed!Q$20,'LTM data'!$C$47:$C$66&amp;'LTM data'!$A$47:$A$66,0),MATCH((Speed!$K25&amp;" DKE"),'LTM data'!$D$46:$W$46,0))</f>
        <v>10671.365130339011</v>
      </c>
      <c r="R25" s="7">
        <f t="shared" si="10"/>
        <v>16094.57647874</v>
      </c>
      <c r="S25" s="40">
        <f t="array" ref="S25">INDEX('LTM data'!$D$47:$W$66,MATCH(Speed!$H25&amp;Speed!S$20,'LTM data'!$C$47:$C$66&amp;'LTM data'!$A$47:$A$66,0),MATCH(Speed!$K25,'LTM data'!$D$46:$W$46,0))</f>
        <v>27909.24774626537</v>
      </c>
      <c r="T25" s="40">
        <f t="array" ref="T25">INDEX('LTM data'!$D$47:$W$66,MATCH(Speed!$H25&amp;Speed!T$20,'LTM data'!$C$47:$C$66&amp;'LTM data'!$A$47:$A$66,0),MATCH((Speed!$K25&amp;" DKE"),'LTM data'!$D$46:$W$46,0))</f>
        <v>11127.192069808034</v>
      </c>
      <c r="U25" s="7">
        <f t="shared" si="11"/>
        <v>16782.055676457334</v>
      </c>
      <c r="V25" s="40">
        <f t="array" ref="V25">INDEX('LTM data'!$D$47:$W$66,MATCH(Speed!$H25&amp;Speed!V$20,'LTM data'!$C$47:$C$66&amp;'LTM data'!$A$47:$A$66,0),MATCH(Speed!$K25,'LTM data'!$D$46:$W$46,0))</f>
        <v>30000.475173810748</v>
      </c>
      <c r="W25" s="40">
        <f t="array" ref="W25">INDEX('LTM data'!$D$47:$W$66,MATCH(Speed!$H25&amp;Speed!W$20,'LTM data'!$C$47:$C$66&amp;'LTM data'!$A$47:$A$66,0),MATCH((Speed!$K25&amp;" DKE"),'LTM data'!$D$46:$W$46,0))</f>
        <v>11960.947585524569</v>
      </c>
      <c r="X25" s="7">
        <f t="shared" si="12"/>
        <v>18039.527588286179</v>
      </c>
      <c r="Y25" s="40">
        <f t="array" ref="Y25">INDEX('LTM data'!$D$47:$W$66,MATCH(Speed!$H25&amp;Speed!Y$20,'LTM data'!$C$47:$C$66&amp;'LTM data'!$A$47:$A$66,0),MATCH(Speed!$K25,'LTM data'!$D$46:$W$46,0))</f>
        <v>31853.74560445757</v>
      </c>
      <c r="Z25" s="40">
        <f t="array" ref="Z25">INDEX('LTM data'!$D$47:$W$66,MATCH(Speed!$H25&amp;Speed!Z$20,'LTM data'!$C$47:$C$66&amp;'LTM data'!$A$47:$A$66,0),MATCH((Speed!$K25&amp;" DKE"),'LTM data'!$D$46:$W$46,0))</f>
        <v>12699.831565006334</v>
      </c>
      <c r="AA25" s="7">
        <f t="shared" si="13"/>
        <v>19153.914039451236</v>
      </c>
      <c r="AB25" s="23">
        <f t="shared" si="14"/>
        <v>279.37219033888221</v>
      </c>
      <c r="AC25" s="23">
        <f t="shared" si="15"/>
        <v>111.38343996676466</v>
      </c>
      <c r="AD25" s="23">
        <f t="shared" si="16"/>
        <v>167.98875037211755</v>
      </c>
      <c r="AE25" s="23">
        <f t="shared" si="17"/>
        <v>341.4615800612105</v>
      </c>
      <c r="AF25" s="23">
        <f t="shared" si="18"/>
        <v>136.13797907934111</v>
      </c>
      <c r="AG25" s="23">
        <f t="shared" si="19"/>
        <v>205.32360098186942</v>
      </c>
      <c r="AH25" s="23">
        <f t="shared" si="20"/>
        <v>356.04709794805041</v>
      </c>
      <c r="AI25" s="23">
        <f t="shared" si="21"/>
        <v>141.95310747119126</v>
      </c>
      <c r="AJ25" s="23">
        <f t="shared" si="22"/>
        <v>214.09399047685909</v>
      </c>
      <c r="AK25" s="23">
        <f t="shared" si="23"/>
        <v>382.72554745325186</v>
      </c>
      <c r="AL25" s="23">
        <f t="shared" si="24"/>
        <v>152.58959020508277</v>
      </c>
      <c r="AM25" s="23">
        <f t="shared" si="25"/>
        <v>230.13595724816906</v>
      </c>
      <c r="AN25" s="23">
        <f t="shared" si="26"/>
        <v>406.36830431089709</v>
      </c>
      <c r="AO25" s="23">
        <f t="shared" si="27"/>
        <v>162.01576675439492</v>
      </c>
      <c r="AP25" s="23">
        <f t="shared" si="28"/>
        <v>244.35253755650214</v>
      </c>
    </row>
    <row r="26" spans="3:42">
      <c r="C26" s="23" t="s">
        <v>446</v>
      </c>
      <c r="D26" s="23">
        <v>2010</v>
      </c>
      <c r="E26" s="139">
        <f>1/$P$6</f>
        <v>4.7663686271956641E-2</v>
      </c>
      <c r="F26" s="139">
        <f>1/$P$6</f>
        <v>4.7663686271956641E-2</v>
      </c>
      <c r="G26" s="23" t="s">
        <v>94</v>
      </c>
      <c r="H26" s="23" t="s">
        <v>84</v>
      </c>
      <c r="I26" s="23" t="s">
        <v>448</v>
      </c>
      <c r="K26" s="23" t="s">
        <v>71</v>
      </c>
      <c r="M26" s="40">
        <f t="array" ref="M26">INDEX('LTM data'!$D$47:$W$66,MATCH(Speed!$H26&amp;Speed!M$20,'LTM data'!$C$47:$C$66&amp;'LTM data'!$A$47:$A$66,0),MATCH(Speed!$K26,'LTM data'!$D$46:$W$46,0))</f>
        <v>589.71317344623299</v>
      </c>
      <c r="N26" s="40">
        <f t="array" ref="N26">INDEX('LTM data'!$D$47:$W$66,MATCH(Speed!$H26&amp;Speed!N$20,'LTM data'!$C$47:$C$66&amp;'LTM data'!$A$47:$A$66,0),MATCH((Speed!$K26&amp;" DKE"),'LTM data'!$D$46:$W$46,0))</f>
        <v>352.72136400345499</v>
      </c>
      <c r="O26" s="7">
        <f t="shared" si="9"/>
        <v>236.99180944277799</v>
      </c>
      <c r="P26" s="40">
        <f t="array" ref="P26">INDEX('LTM data'!$D$47:$W$66,MATCH(Speed!$H26&amp;Speed!P$20,'LTM data'!$C$47:$C$66&amp;'LTM data'!$A$47:$A$66,0),MATCH(Speed!$K26,'LTM data'!$D$46:$W$46,0))</f>
        <v>638.71316403473475</v>
      </c>
      <c r="Q26" s="40">
        <f t="array" ref="Q26">INDEX('LTM data'!$D$47:$W$66,MATCH(Speed!$H26&amp;Speed!Q$20,'LTM data'!$C$47:$C$66&amp;'LTM data'!$A$47:$A$66,0),MATCH((Speed!$K26&amp;" DKE"),'LTM data'!$D$46:$W$46,0))</f>
        <v>382.02941458596183</v>
      </c>
      <c r="R26" s="7">
        <f t="shared" si="10"/>
        <v>256.68374944877291</v>
      </c>
      <c r="S26" s="40">
        <f t="array" ref="S26">INDEX('LTM data'!$D$47:$W$66,MATCH(Speed!$H26&amp;Speed!S$20,'LTM data'!$C$47:$C$66&amp;'LTM data'!$A$47:$A$66,0),MATCH(Speed!$K26,'LTM data'!$D$46:$W$46,0))</f>
        <v>656.41985179441906</v>
      </c>
      <c r="T26" s="40">
        <f t="array" ref="T26">INDEX('LTM data'!$D$47:$W$66,MATCH(Speed!$H26&amp;Speed!T$20,'LTM data'!$C$47:$C$66&amp;'LTM data'!$A$47:$A$66,0),MATCH((Speed!$K26&amp;" DKE"),'LTM data'!$D$46:$W$46,0))</f>
        <v>392.62020234483248</v>
      </c>
      <c r="U26" s="7">
        <f t="shared" si="11"/>
        <v>263.79964944958658</v>
      </c>
      <c r="V26" s="40">
        <f t="array" ref="V26">INDEX('LTM data'!$D$47:$W$66,MATCH(Speed!$H26&amp;Speed!V$20,'LTM data'!$C$47:$C$66&amp;'LTM data'!$A$47:$A$66,0),MATCH(Speed!$K26,'LTM data'!$D$46:$W$46,0))</f>
        <v>586.98368906893666</v>
      </c>
      <c r="W26" s="40">
        <f t="array" ref="W26">INDEX('LTM data'!$D$47:$W$66,MATCH(Speed!$H26&amp;Speed!W$20,'LTM data'!$C$47:$C$66&amp;'LTM data'!$A$47:$A$66,0),MATCH((Speed!$K26&amp;" DKE"),'LTM data'!$D$46:$W$46,0))</f>
        <v>351.08879499204926</v>
      </c>
      <c r="X26" s="7">
        <f t="shared" si="12"/>
        <v>235.8948940768874</v>
      </c>
      <c r="Y26" s="40">
        <f t="array" ref="Y26">INDEX('LTM data'!$D$47:$W$66,MATCH(Speed!$H26&amp;Speed!Y$20,'LTM data'!$C$47:$C$66&amp;'LTM data'!$A$47:$A$66,0),MATCH(Speed!$K26,'LTM data'!$D$46:$W$46,0))</f>
        <v>539.24937543443718</v>
      </c>
      <c r="Z26" s="40">
        <f t="array" ref="Z26">INDEX('LTM data'!$D$47:$W$66,MATCH(Speed!$H26&amp;Speed!Z$20,'LTM data'!$C$47:$C$66&amp;'LTM data'!$A$47:$A$66,0),MATCH((Speed!$K26&amp;" DKE"),'LTM data'!$D$46:$W$46,0))</f>
        <v>322.53777566084472</v>
      </c>
      <c r="AA26" s="7">
        <f t="shared" si="13"/>
        <v>216.71159977359247</v>
      </c>
      <c r="AB26" s="23">
        <f t="shared" si="14"/>
        <v>28.1079036895812</v>
      </c>
      <c r="AC26" s="23">
        <f t="shared" si="15"/>
        <v>16.812000435277298</v>
      </c>
      <c r="AD26" s="23">
        <f t="shared" si="16"/>
        <v>11.295903254303902</v>
      </c>
      <c r="AE26" s="23">
        <f t="shared" si="17"/>
        <v>30.443423868320377</v>
      </c>
      <c r="AF26" s="23">
        <f t="shared" si="18"/>
        <v>18.208930163484542</v>
      </c>
      <c r="AG26" s="23">
        <f t="shared" si="19"/>
        <v>12.234493704835836</v>
      </c>
      <c r="AH26" s="23">
        <f t="shared" si="20"/>
        <v>31.287389878613464</v>
      </c>
      <c r="AI26" s="23">
        <f t="shared" si="21"/>
        <v>18.71372614859623</v>
      </c>
      <c r="AJ26" s="23">
        <f t="shared" si="22"/>
        <v>12.573663730017234</v>
      </c>
      <c r="AK26" s="23">
        <f t="shared" si="23"/>
        <v>27.977806402537542</v>
      </c>
      <c r="AL26" s="23">
        <f t="shared" si="24"/>
        <v>16.734186178100337</v>
      </c>
      <c r="AM26" s="23">
        <f t="shared" si="25"/>
        <v>11.243620224437203</v>
      </c>
      <c r="AN26" s="23">
        <f t="shared" si="26"/>
        <v>25.702613053055575</v>
      </c>
      <c r="AO26" s="23">
        <f t="shared" si="27"/>
        <v>15.373339349953236</v>
      </c>
      <c r="AP26" s="23">
        <f t="shared" si="28"/>
        <v>10.329273703102341</v>
      </c>
    </row>
    <row r="27" spans="3:42">
      <c r="C27" s="23" t="s">
        <v>446</v>
      </c>
      <c r="D27" s="23">
        <v>2010</v>
      </c>
      <c r="E27" s="139">
        <f>1/$Q$6</f>
        <v>3.183985544269248E-2</v>
      </c>
      <c r="F27" s="139">
        <f>1/$Q$6</f>
        <v>3.183985544269248E-2</v>
      </c>
      <c r="G27" s="23" t="s">
        <v>94</v>
      </c>
      <c r="H27" s="23" t="s">
        <v>83</v>
      </c>
      <c r="I27" s="23" t="s">
        <v>54</v>
      </c>
      <c r="K27" s="23" t="s">
        <v>71</v>
      </c>
      <c r="M27" s="40">
        <f t="array" ref="M27">INDEX('LTM data'!$D$47:$W$66,MATCH(Speed!$H27&amp;Speed!M$20,'LTM data'!$C$47:$C$66&amp;'LTM data'!$A$47:$A$66,0),MATCH(Speed!$K27,'LTM data'!$D$46:$W$46,0))</f>
        <v>1693.7605286842559</v>
      </c>
      <c r="N27" s="40">
        <f t="array" ref="N27">INDEX('LTM data'!$D$47:$W$66,MATCH(Speed!$H27&amp;Speed!N$20,'LTM data'!$C$47:$C$66&amp;'LTM data'!$A$47:$A$66,0),MATCH((Speed!$K27&amp;" DKE"),'LTM data'!$D$46:$W$46,0))</f>
        <v>1013.07813844724</v>
      </c>
      <c r="O27" s="7">
        <f t="shared" si="9"/>
        <v>680.68239023701585</v>
      </c>
      <c r="P27" s="40">
        <f t="array" ref="P27">INDEX('LTM data'!$D$47:$W$66,MATCH(Speed!$H27&amp;Speed!P$20,'LTM data'!$C$47:$C$66&amp;'LTM data'!$A$47:$A$66,0),MATCH(Speed!$K27,'LTM data'!$D$46:$W$46,0))</f>
        <v>1834.4971676161849</v>
      </c>
      <c r="Q27" s="40">
        <f t="array" ref="Q27">INDEX('LTM data'!$D$47:$W$66,MATCH(Speed!$H27&amp;Speed!Q$20,'LTM data'!$C$47:$C$66&amp;'LTM data'!$A$47:$A$66,0),MATCH((Speed!$K27&amp;" DKE"),'LTM data'!$D$46:$W$46,0))</f>
        <v>1097.2560430364067</v>
      </c>
      <c r="R27" s="7">
        <f t="shared" si="10"/>
        <v>737.24112457977822</v>
      </c>
      <c r="S27" s="40">
        <f t="array" ref="S27">INDEX('LTM data'!$D$47:$W$66,MATCH(Speed!$H27&amp;Speed!S$20,'LTM data'!$C$47:$C$66&amp;'LTM data'!$A$47:$A$66,0),MATCH(Speed!$K27,'LTM data'!$D$46:$W$46,0))</f>
        <v>1885.3539064029846</v>
      </c>
      <c r="T27" s="40">
        <f t="array" ref="T27">INDEX('LTM data'!$D$47:$W$66,MATCH(Speed!$H27&amp;Speed!T$20,'LTM data'!$C$47:$C$66&amp;'LTM data'!$A$47:$A$66,0),MATCH((Speed!$K27&amp;" DKE"),'LTM data'!$D$46:$W$46,0))</f>
        <v>1127.6746585284395</v>
      </c>
      <c r="U27" s="7">
        <f t="shared" si="11"/>
        <v>757.67924787454513</v>
      </c>
      <c r="V27" s="40">
        <f t="array" ref="V27">INDEX('LTM data'!$D$47:$W$66,MATCH(Speed!$H27&amp;Speed!V$20,'LTM data'!$C$47:$C$66&amp;'LTM data'!$A$47:$A$66,0),MATCH(Speed!$K27,'LTM data'!$D$46:$W$46,0))</f>
        <v>1685.9209668258902</v>
      </c>
      <c r="W27" s="40">
        <f t="array" ref="W27">INDEX('LTM data'!$D$47:$W$66,MATCH(Speed!$H27&amp;Speed!W$20,'LTM data'!$C$47:$C$66&amp;'LTM data'!$A$47:$A$66,0),MATCH((Speed!$K27&amp;" DKE"),'LTM data'!$D$46:$W$46,0))</f>
        <v>1008.3891115162105</v>
      </c>
      <c r="X27" s="7">
        <f t="shared" si="12"/>
        <v>677.53185530967971</v>
      </c>
      <c r="Y27" s="40">
        <f t="array" ref="Y27">INDEX('LTM data'!$D$47:$W$66,MATCH(Speed!$H27&amp;Speed!Y$20,'LTM data'!$C$47:$C$66&amp;'LTM data'!$A$47:$A$66,0),MATCH(Speed!$K27,'LTM data'!$D$46:$W$46,0))</f>
        <v>1548.8195759489208</v>
      </c>
      <c r="Z27" s="40">
        <f t="array" ref="Z27">INDEX('LTM data'!$D$47:$W$66,MATCH(Speed!$H27&amp;Speed!Z$20,'LTM data'!$C$47:$C$66&amp;'LTM data'!$A$47:$A$66,0),MATCH((Speed!$K27&amp;" DKE"),'LTM data'!$D$46:$W$46,0))</f>
        <v>926.38553456660293</v>
      </c>
      <c r="AA27" s="7">
        <f t="shared" si="13"/>
        <v>622.4340413823179</v>
      </c>
      <c r="AB27" s="23">
        <f t="shared" si="14"/>
        <v>53.929090387845093</v>
      </c>
      <c r="AC27" s="23">
        <f t="shared" si="15"/>
        <v>32.256261480312119</v>
      </c>
      <c r="AD27" s="23">
        <f t="shared" si="16"/>
        <v>21.672828907532978</v>
      </c>
      <c r="AE27" s="23">
        <f t="shared" si="17"/>
        <v>58.410124626928123</v>
      </c>
      <c r="AF27" s="23">
        <f t="shared" si="18"/>
        <v>34.93647379389995</v>
      </c>
      <c r="AG27" s="23">
        <f t="shared" si="19"/>
        <v>23.473650833028177</v>
      </c>
      <c r="AH27" s="23">
        <f t="shared" si="20"/>
        <v>60.029395838186602</v>
      </c>
      <c r="AI27" s="23">
        <f t="shared" si="21"/>
        <v>35.904998113933118</v>
      </c>
      <c r="AJ27" s="23">
        <f t="shared" si="22"/>
        <v>24.12439772425348</v>
      </c>
      <c r="AK27" s="23">
        <f t="shared" si="23"/>
        <v>53.679479871540686</v>
      </c>
      <c r="AL27" s="23">
        <f t="shared" si="24"/>
        <v>32.106963540661248</v>
      </c>
      <c r="AM27" s="23">
        <f t="shared" si="25"/>
        <v>21.572516330879438</v>
      </c>
      <c r="AN27" s="23">
        <f t="shared" si="26"/>
        <v>49.314191405025909</v>
      </c>
      <c r="AO27" s="23">
        <f t="shared" si="27"/>
        <v>29.495981504802035</v>
      </c>
      <c r="AP27" s="23">
        <f t="shared" si="28"/>
        <v>19.81820990022387</v>
      </c>
    </row>
    <row r="28" spans="3:42">
      <c r="C28" s="23" t="s">
        <v>446</v>
      </c>
      <c r="D28" s="23">
        <v>2010</v>
      </c>
      <c r="E28" s="139">
        <f>1/$R$6</f>
        <v>2.1119000817833307E-2</v>
      </c>
      <c r="F28" s="139">
        <f>1/$R$6</f>
        <v>2.1119000817833307E-2</v>
      </c>
      <c r="G28" s="23" t="s">
        <v>94</v>
      </c>
      <c r="H28" s="23" t="s">
        <v>82</v>
      </c>
      <c r="I28" s="23" t="s">
        <v>55</v>
      </c>
      <c r="K28" s="23" t="s">
        <v>71</v>
      </c>
      <c r="M28" s="40">
        <f t="array" ref="M28">INDEX('LTM data'!$D$47:$W$66,MATCH(Speed!$H28&amp;Speed!M$20,'LTM data'!$C$47:$C$66&amp;'LTM data'!$A$47:$A$66,0),MATCH(Speed!$K28,'LTM data'!$D$46:$W$46,0))</f>
        <v>486.97387171804701</v>
      </c>
      <c r="N28" s="40">
        <f t="array" ref="N28">INDEX('LTM data'!$D$47:$W$66,MATCH(Speed!$H28&amp;Speed!N$20,'LTM data'!$C$47:$C$66&amp;'LTM data'!$A$47:$A$66,0),MATCH((Speed!$K28&amp;" DKE"),'LTM data'!$D$46:$W$46,0))</f>
        <v>291.27056338702198</v>
      </c>
      <c r="O28" s="7">
        <f t="shared" si="9"/>
        <v>195.70330833102503</v>
      </c>
      <c r="P28" s="40">
        <f t="array" ref="P28">INDEX('LTM data'!$D$47:$W$66,MATCH(Speed!$H28&amp;Speed!P$20,'LTM data'!$C$47:$C$66&amp;'LTM data'!$A$47:$A$66,0),MATCH(Speed!$K28,'LTM data'!$D$46:$W$46,0))</f>
        <v>527.4371277643462</v>
      </c>
      <c r="Q28" s="40">
        <f t="array" ref="Q28">INDEX('LTM data'!$D$47:$W$66,MATCH(Speed!$H28&amp;Speed!Q$20,'LTM data'!$C$47:$C$66&amp;'LTM data'!$A$47:$A$66,0),MATCH((Speed!$K28&amp;" DKE"),'LTM data'!$D$46:$W$46,0))</f>
        <v>315.47259160569968</v>
      </c>
      <c r="R28" s="7">
        <f t="shared" si="10"/>
        <v>211.96453615864652</v>
      </c>
      <c r="S28" s="40">
        <f t="array" ref="S28">INDEX('LTM data'!$D$47:$W$66,MATCH(Speed!$H28&amp;Speed!S$20,'LTM data'!$C$47:$C$66&amp;'LTM data'!$A$47:$A$66,0),MATCH(Speed!$K28,'LTM data'!$D$46:$W$46,0))</f>
        <v>542.05897221670216</v>
      </c>
      <c r="T28" s="40">
        <f t="array" ref="T28">INDEX('LTM data'!$D$47:$W$66,MATCH(Speed!$H28&amp;Speed!T$20,'LTM data'!$C$47:$C$66&amp;'LTM data'!$A$47:$A$66,0),MATCH((Speed!$K28&amp;" DKE"),'LTM data'!$D$46:$W$46,0))</f>
        <v>324.21826179200684</v>
      </c>
      <c r="U28" s="7">
        <f t="shared" si="11"/>
        <v>217.84071042469532</v>
      </c>
      <c r="V28" s="40">
        <f t="array" ref="V28">INDEX('LTM data'!$D$47:$W$66,MATCH(Speed!$H28&amp;Speed!V$20,'LTM data'!$C$47:$C$66&amp;'LTM data'!$A$47:$A$66,0),MATCH(Speed!$K28,'LTM data'!$D$46:$W$46,0))</f>
        <v>484.71991566812824</v>
      </c>
      <c r="W28" s="40">
        <f t="array" ref="W28">INDEX('LTM data'!$D$47:$W$66,MATCH(Speed!$H28&amp;Speed!W$20,'LTM data'!$C$47:$C$66&amp;'LTM data'!$A$47:$A$66,0),MATCH((Speed!$K28&amp;" DKE"),'LTM data'!$D$46:$W$46,0))</f>
        <v>289.92241908886228</v>
      </c>
      <c r="X28" s="7">
        <f t="shared" si="12"/>
        <v>194.79749657926595</v>
      </c>
      <c r="Y28" s="40">
        <f t="array" ref="Y28">INDEX('LTM data'!$D$47:$W$66,MATCH(Speed!$H28&amp;Speed!Y$20,'LTM data'!$C$47:$C$66&amp;'LTM data'!$A$47:$A$66,0),MATCH(Speed!$K28,'LTM data'!$D$46:$W$46,0))</f>
        <v>445.30183146873367</v>
      </c>
      <c r="Z28" s="40">
        <f t="array" ref="Z28">INDEX('LTM data'!$D$47:$W$66,MATCH(Speed!$H28&amp;Speed!Z$20,'LTM data'!$C$47:$C$66&amp;'LTM data'!$A$47:$A$66,0),MATCH((Speed!$K28&amp;" DKE"),'LTM data'!$D$46:$W$46,0))</f>
        <v>266.34553281385843</v>
      </c>
      <c r="AA28" s="7">
        <f t="shared" si="13"/>
        <v>178.95629865487524</v>
      </c>
      <c r="AB28" s="23">
        <f t="shared" si="14"/>
        <v>10.284401595076886</v>
      </c>
      <c r="AC28" s="23">
        <f t="shared" si="15"/>
        <v>6.1513432663812848</v>
      </c>
      <c r="AD28" s="23">
        <f t="shared" si="16"/>
        <v>4.1330583286956015</v>
      </c>
      <c r="AE28" s="23">
        <f t="shared" si="17"/>
        <v>11.138945132610878</v>
      </c>
      <c r="AF28" s="23">
        <f t="shared" si="18"/>
        <v>6.662465920124764</v>
      </c>
      <c r="AG28" s="23">
        <f t="shared" si="19"/>
        <v>4.4764792124861135</v>
      </c>
      <c r="AH28" s="23">
        <f t="shared" si="20"/>
        <v>11.447743877558414</v>
      </c>
      <c r="AI28" s="23">
        <f t="shared" si="21"/>
        <v>6.8471657359418856</v>
      </c>
      <c r="AJ28" s="23">
        <f t="shared" si="22"/>
        <v>4.6005781416165288</v>
      </c>
      <c r="AK28" s="23">
        <f t="shared" si="23"/>
        <v>10.236800295415291</v>
      </c>
      <c r="AL28" s="23">
        <f t="shared" si="24"/>
        <v>6.1228718058458931</v>
      </c>
      <c r="AM28" s="23">
        <f t="shared" si="25"/>
        <v>4.1139284895693988</v>
      </c>
      <c r="AN28" s="23">
        <f t="shared" si="26"/>
        <v>9.4043297429708552</v>
      </c>
      <c r="AO28" s="23">
        <f t="shared" si="27"/>
        <v>5.6249515253221238</v>
      </c>
      <c r="AP28" s="23">
        <f t="shared" si="28"/>
        <v>3.7793782176487318</v>
      </c>
    </row>
    <row r="29" spans="3:42">
      <c r="C29" s="23" t="s">
        <v>446</v>
      </c>
      <c r="D29" s="23">
        <v>2010</v>
      </c>
      <c r="E29" s="139">
        <f>1/$S$6</f>
        <v>1.5404283526424128E-2</v>
      </c>
      <c r="F29" s="139">
        <f>1/$S$6</f>
        <v>1.5404283526424128E-2</v>
      </c>
      <c r="G29" s="23" t="s">
        <v>94</v>
      </c>
      <c r="H29" s="23" t="s">
        <v>79</v>
      </c>
      <c r="I29" s="23" t="s">
        <v>56</v>
      </c>
      <c r="K29" s="23" t="s">
        <v>71</v>
      </c>
      <c r="M29" s="40">
        <f t="array" ref="M29">INDEX('LTM data'!$D$47:$W$66,MATCH(Speed!$H29&amp;Speed!M$20,'LTM data'!$C$47:$C$66&amp;'LTM data'!$A$47:$A$66,0),MATCH(Speed!$K29,'LTM data'!$D$46:$W$46,0))</f>
        <v>278.55242615147404</v>
      </c>
      <c r="N29" s="40">
        <f t="array" ref="N29">INDEX('LTM data'!$D$47:$W$66,MATCH(Speed!$H29&amp;Speed!N$20,'LTM data'!$C$47:$C$66&amp;'LTM data'!$A$47:$A$66,0),MATCH((Speed!$K29&amp;" DKE"),'LTM data'!$D$46:$W$46,0))</f>
        <v>166.60877884827801</v>
      </c>
      <c r="O29" s="7">
        <f t="shared" si="9"/>
        <v>111.94364730319603</v>
      </c>
      <c r="P29" s="40">
        <f t="array" ref="P29">INDEX('LTM data'!$D$47:$W$66,MATCH(Speed!$H29&amp;Speed!P$20,'LTM data'!$C$47:$C$66&amp;'LTM data'!$A$47:$A$66,0),MATCH(Speed!$K29,'LTM data'!$D$46:$W$46,0))</f>
        <v>301.69768875441468</v>
      </c>
      <c r="Q29" s="40">
        <f t="array" ref="Q29">INDEX('LTM data'!$D$47:$W$66,MATCH(Speed!$H29&amp;Speed!Q$20,'LTM data'!$C$47:$C$66&amp;'LTM data'!$A$47:$A$66,0),MATCH((Speed!$K29&amp;" DKE"),'LTM data'!$D$46:$W$46,0))</f>
        <v>180.45250655037205</v>
      </c>
      <c r="R29" s="7">
        <f t="shared" si="10"/>
        <v>121.24518220404264</v>
      </c>
      <c r="S29" s="40">
        <f t="array" ref="S29">INDEX('LTM data'!$D$47:$W$66,MATCH(Speed!$H29&amp;Speed!S$20,'LTM data'!$C$47:$C$66&amp;'LTM data'!$A$47:$A$66,0),MATCH(Speed!$K29,'LTM data'!$D$46:$W$46,0))</f>
        <v>310.06148501445597</v>
      </c>
      <c r="T29" s="40">
        <f t="array" ref="T29">INDEX('LTM data'!$D$47:$W$66,MATCH(Speed!$H29&amp;Speed!T$20,'LTM data'!$C$47:$C$66&amp;'LTM data'!$A$47:$A$66,0),MATCH((Speed!$K29&amp;" DKE"),'LTM data'!$D$46:$W$46,0))</f>
        <v>185.45509044696144</v>
      </c>
      <c r="U29" s="7">
        <f t="shared" si="11"/>
        <v>124.60639456749453</v>
      </c>
      <c r="V29" s="40">
        <f t="array" ref="V29">INDEX('LTM data'!$D$47:$W$66,MATCH(Speed!$H29&amp;Speed!V$20,'LTM data'!$C$47:$C$66&amp;'LTM data'!$A$47:$A$66,0),MATCH(Speed!$K29,'LTM data'!$D$46:$W$46,0))</f>
        <v>277.2631476858171</v>
      </c>
      <c r="W29" s="40">
        <f t="array" ref="W29">INDEX('LTM data'!$D$47:$W$66,MATCH(Speed!$H29&amp;Speed!W$20,'LTM data'!$C$47:$C$66&amp;'LTM data'!$A$47:$A$66,0),MATCH((Speed!$K29&amp;" DKE"),'LTM data'!$D$46:$W$46,0))</f>
        <v>165.83763097595011</v>
      </c>
      <c r="X29" s="7">
        <f t="shared" si="12"/>
        <v>111.425516709867</v>
      </c>
      <c r="Y29" s="40">
        <f t="array" ref="Y29">INDEX('LTM data'!$D$47:$W$66,MATCH(Speed!$H29&amp;Speed!Y$20,'LTM data'!$C$47:$C$66&amp;'LTM data'!$A$47:$A$66,0),MATCH(Speed!$K29,'LTM data'!$D$46:$W$46,0))</f>
        <v>254.71573061547835</v>
      </c>
      <c r="Z29" s="40">
        <f t="array" ref="Z29">INDEX('LTM data'!$D$47:$W$66,MATCH(Speed!$H29&amp;Speed!Z$20,'LTM data'!$C$47:$C$66&amp;'LTM data'!$A$47:$A$66,0),MATCH((Speed!$K29&amp;" DKE"),'LTM data'!$D$46:$W$46,0))</f>
        <v>152.351488793763</v>
      </c>
      <c r="AA29" s="7">
        <f t="shared" si="13"/>
        <v>102.36424182171535</v>
      </c>
      <c r="AB29" s="23">
        <f t="shared" si="14"/>
        <v>4.2909005494106252</v>
      </c>
      <c r="AC29" s="23">
        <f t="shared" si="15"/>
        <v>2.5664888673701696</v>
      </c>
      <c r="AD29" s="23">
        <f t="shared" si="16"/>
        <v>1.7244116820404554</v>
      </c>
      <c r="AE29" s="23">
        <f t="shared" si="17"/>
        <v>4.6474367368398637</v>
      </c>
      <c r="AF29" s="23">
        <f t="shared" si="18"/>
        <v>2.779741573955838</v>
      </c>
      <c r="AG29" s="23">
        <f t="shared" si="19"/>
        <v>1.8676951628840257</v>
      </c>
      <c r="AH29" s="23">
        <f t="shared" si="20"/>
        <v>4.7762750257867852</v>
      </c>
      <c r="AI29" s="23">
        <f t="shared" si="21"/>
        <v>2.8568027946636247</v>
      </c>
      <c r="AJ29" s="23">
        <f t="shared" si="22"/>
        <v>1.9194722311231609</v>
      </c>
      <c r="AK29" s="23">
        <f t="shared" si="23"/>
        <v>4.2710401383811325</v>
      </c>
      <c r="AL29" s="23">
        <f t="shared" si="24"/>
        <v>2.5546098869040317</v>
      </c>
      <c r="AM29" s="23">
        <f t="shared" si="25"/>
        <v>1.7164302514771006</v>
      </c>
      <c r="AN29" s="23">
        <f t="shared" si="26"/>
        <v>3.9237133330410989</v>
      </c>
      <c r="AO29" s="23">
        <f t="shared" si="27"/>
        <v>2.3468655290519536</v>
      </c>
      <c r="AP29" s="23">
        <f t="shared" si="28"/>
        <v>1.5768478039891456</v>
      </c>
    </row>
    <row r="30" spans="3:42">
      <c r="C30" s="23" t="s">
        <v>446</v>
      </c>
      <c r="D30" s="23">
        <v>2010</v>
      </c>
      <c r="E30" s="139">
        <f>1/$Q$8</f>
        <v>1.6436286011908816E-2</v>
      </c>
      <c r="F30" s="139">
        <f>1/$Q$8</f>
        <v>1.6436286011908816E-2</v>
      </c>
      <c r="G30" s="23" t="s">
        <v>176</v>
      </c>
      <c r="H30" s="23" t="s">
        <v>83</v>
      </c>
      <c r="I30" s="23" t="s">
        <v>43</v>
      </c>
      <c r="K30" s="23" t="s">
        <v>69</v>
      </c>
      <c r="M30" s="40">
        <f t="array" ref="M30">INDEX('LTM data'!$D$47:$W$66,MATCH(Speed!$H30&amp;Speed!M$20,'LTM data'!$C$47:$C$66&amp;'LTM data'!$A$47:$A$66,0),MATCH(Speed!$K30,'LTM data'!$D$46:$W$46,0))</f>
        <v>413.37799421160599</v>
      </c>
      <c r="N30" s="40">
        <f t="array" ref="N30">INDEX('LTM data'!$D$47:$W$66,MATCH(Speed!$H30&amp;Speed!N$20,'LTM data'!$C$47:$C$66&amp;'LTM data'!$A$47:$A$66,0),MATCH((Speed!$K30&amp;" DKE"),'LTM data'!$D$46:$W$46,0))</f>
        <v>249.14816407726099</v>
      </c>
      <c r="O30" s="7">
        <f t="shared" si="9"/>
        <v>164.22983013434501</v>
      </c>
      <c r="P30" s="40">
        <f t="array" ref="P30">INDEX('LTM data'!$D$47:$W$66,MATCH(Speed!$H30&amp;Speed!P$20,'LTM data'!$C$47:$C$66&amp;'LTM data'!$A$47:$A$66,0),MATCH(Speed!$K30,'LTM data'!$D$46:$W$46,0))</f>
        <v>527.42105488725451</v>
      </c>
      <c r="Q30" s="40">
        <f t="array" ref="Q30">INDEX('LTM data'!$D$47:$W$66,MATCH(Speed!$H30&amp;Speed!Q$20,'LTM data'!$C$47:$C$66&amp;'LTM data'!$A$47:$A$66,0),MATCH((Speed!$K30&amp;" DKE"),'LTM data'!$D$46:$W$46,0))</f>
        <v>317.88336428374492</v>
      </c>
      <c r="R30" s="7">
        <f t="shared" si="10"/>
        <v>209.53769060350959</v>
      </c>
      <c r="S30" s="40">
        <f t="array" ref="S30">INDEX('LTM data'!$D$47:$W$66,MATCH(Speed!$H30&amp;Speed!S$20,'LTM data'!$C$47:$C$66&amp;'LTM data'!$A$47:$A$66,0),MATCH(Speed!$K30,'LTM data'!$D$46:$W$46,0))</f>
        <v>550.24186533833961</v>
      </c>
      <c r="T30" s="40">
        <f t="array" ref="T30">INDEX('LTM data'!$D$47:$W$66,MATCH(Speed!$H30&amp;Speed!T$20,'LTM data'!$C$47:$C$66&amp;'LTM data'!$A$47:$A$66,0),MATCH((Speed!$K30&amp;" DKE"),'LTM data'!$D$46:$W$46,0))</f>
        <v>331.63775640490007</v>
      </c>
      <c r="U30" s="7">
        <f t="shared" si="11"/>
        <v>218.60410893343953</v>
      </c>
      <c r="V30" s="40">
        <f t="array" ref="V30">INDEX('LTM data'!$D$47:$W$66,MATCH(Speed!$H30&amp;Speed!V$20,'LTM data'!$C$47:$C$66&amp;'LTM data'!$A$47:$A$66,0),MATCH(Speed!$K30,'LTM data'!$D$46:$W$46,0))</f>
        <v>633.99109322331378</v>
      </c>
      <c r="W30" s="40">
        <f t="array" ref="W30">INDEX('LTM data'!$D$47:$W$66,MATCH(Speed!$H30&amp;Speed!W$20,'LTM data'!$C$47:$C$66&amp;'LTM data'!$A$47:$A$66,0),MATCH((Speed!$K30&amp;" DKE"),'LTM data'!$D$46:$W$46,0))</f>
        <v>382.11447907182628</v>
      </c>
      <c r="X30" s="7">
        <f t="shared" si="12"/>
        <v>251.8766141514875</v>
      </c>
      <c r="Y30" s="40">
        <f t="array" ref="Y30">INDEX('LTM data'!$D$47:$W$66,MATCH(Speed!$H30&amp;Speed!Y$20,'LTM data'!$C$47:$C$66&amp;'LTM data'!$A$47:$A$66,0),MATCH(Speed!$K30,'LTM data'!$D$46:$W$46,0))</f>
        <v>702.42349977161382</v>
      </c>
      <c r="Z30" s="40">
        <f t="array" ref="Z30">INDEX('LTM data'!$D$47:$W$66,MATCH(Speed!$H30&amp;Speed!Z$20,'LTM data'!$C$47:$C$66&amp;'LTM data'!$A$47:$A$66,0),MATCH((Speed!$K30&amp;" DKE"),'LTM data'!$D$46:$W$46,0))</f>
        <v>423.35955910424326</v>
      </c>
      <c r="AA30" s="7">
        <f t="shared" si="13"/>
        <v>279.06394066737056</v>
      </c>
      <c r="AB30" s="23">
        <f t="shared" si="14"/>
        <v>6.7943989438911432</v>
      </c>
      <c r="AC30" s="23">
        <f t="shared" si="15"/>
        <v>4.0950704841158476</v>
      </c>
      <c r="AD30" s="23">
        <f t="shared" si="16"/>
        <v>2.6993284597752956</v>
      </c>
      <c r="AE30" s="23">
        <f t="shared" si="17"/>
        <v>8.6688433068295723</v>
      </c>
      <c r="AF30" s="23">
        <f t="shared" si="18"/>
        <v>5.2248218937954309</v>
      </c>
      <c r="AG30" s="23">
        <f t="shared" si="19"/>
        <v>3.4440214130341418</v>
      </c>
      <c r="AH30" s="23">
        <f t="shared" si="20"/>
        <v>9.0439326744271646</v>
      </c>
      <c r="AI30" s="23">
        <f t="shared" si="21"/>
        <v>5.4508930166186822</v>
      </c>
      <c r="AJ30" s="23">
        <f t="shared" si="22"/>
        <v>3.5930396578084833</v>
      </c>
      <c r="AK30" s="23">
        <f t="shared" si="23"/>
        <v>10.420458937221131</v>
      </c>
      <c r="AL30" s="23">
        <f t="shared" si="24"/>
        <v>6.2805428673160826</v>
      </c>
      <c r="AM30" s="23">
        <f t="shared" si="25"/>
        <v>4.1399160699050483</v>
      </c>
      <c r="AN30" s="23">
        <f t="shared" si="26"/>
        <v>11.545233543732211</v>
      </c>
      <c r="AO30" s="23">
        <f t="shared" si="27"/>
        <v>6.9584587993129565</v>
      </c>
      <c r="AP30" s="23">
        <f t="shared" si="28"/>
        <v>4.5867747444192544</v>
      </c>
    </row>
    <row r="31" spans="3:42">
      <c r="C31" s="23" t="s">
        <v>446</v>
      </c>
      <c r="D31" s="23">
        <v>2010</v>
      </c>
      <c r="E31" s="139">
        <f>1/$R$8</f>
        <v>1.4120401520564475E-2</v>
      </c>
      <c r="F31" s="139">
        <f>1/$R$8</f>
        <v>1.4120401520564475E-2</v>
      </c>
      <c r="G31" s="23" t="s">
        <v>176</v>
      </c>
      <c r="H31" s="23" t="s">
        <v>82</v>
      </c>
      <c r="I31" s="23" t="s">
        <v>44</v>
      </c>
      <c r="K31" s="23" t="s">
        <v>69</v>
      </c>
      <c r="M31" s="40">
        <f t="array" ref="M31">INDEX('LTM data'!$D$47:$W$66,MATCH(Speed!$H31&amp;Speed!M$20,'LTM data'!$C$47:$C$66&amp;'LTM data'!$A$47:$A$66,0),MATCH(Speed!$K31,'LTM data'!$D$46:$W$46,0))</f>
        <v>923.02188034031201</v>
      </c>
      <c r="N31" s="40">
        <f t="array" ref="N31">INDEX('LTM data'!$D$47:$W$66,MATCH(Speed!$H31&amp;Speed!N$20,'LTM data'!$C$47:$C$66&amp;'LTM data'!$A$47:$A$66,0),MATCH((Speed!$K31&amp;" DKE"),'LTM data'!$D$46:$W$46,0))</f>
        <v>556.31700310638701</v>
      </c>
      <c r="O31" s="7">
        <f t="shared" si="9"/>
        <v>366.704877233925</v>
      </c>
      <c r="P31" s="40">
        <f t="array" ref="P31">INDEX('LTM data'!$D$47:$W$66,MATCH(Speed!$H31&amp;Speed!P$20,'LTM data'!$C$47:$C$66&amp;'LTM data'!$A$47:$A$66,0),MATCH(Speed!$K31,'LTM data'!$D$46:$W$46,0))</f>
        <v>1177.6659150460325</v>
      </c>
      <c r="Q31" s="40">
        <f t="array" ref="Q31">INDEX('LTM data'!$D$47:$W$66,MATCH(Speed!$H31&amp;Speed!Q$20,'LTM data'!$C$47:$C$66&amp;'LTM data'!$A$47:$A$66,0),MATCH((Speed!$K31&amp;" DKE"),'LTM data'!$D$46:$W$46,0))</f>
        <v>709.79419499502899</v>
      </c>
      <c r="R31" s="7">
        <f t="shared" si="10"/>
        <v>467.87172005100354</v>
      </c>
      <c r="S31" s="40">
        <f t="array" ref="S31">INDEX('LTM data'!$D$47:$W$66,MATCH(Speed!$H31&amp;Speed!S$20,'LTM data'!$C$47:$C$66&amp;'LTM data'!$A$47:$A$66,0),MATCH(Speed!$K31,'LTM data'!$D$46:$W$46,0))</f>
        <v>1228.6219593164196</v>
      </c>
      <c r="T31" s="40">
        <f t="array" ref="T31">INDEX('LTM data'!$D$47:$W$66,MATCH(Speed!$H31&amp;Speed!T$20,'LTM data'!$C$47:$C$66&amp;'LTM data'!$A$47:$A$66,0),MATCH((Speed!$K31&amp;" DKE"),'LTM data'!$D$46:$W$46,0))</f>
        <v>740.50604965681293</v>
      </c>
      <c r="U31" s="7">
        <f t="shared" si="11"/>
        <v>488.1159096596067</v>
      </c>
      <c r="V31" s="40">
        <f t="array" ref="V31">INDEX('LTM data'!$D$47:$W$66,MATCH(Speed!$H31&amp;Speed!V$20,'LTM data'!$C$47:$C$66&amp;'LTM data'!$A$47:$A$66,0),MATCH(Speed!$K31,'LTM data'!$D$46:$W$46,0))</f>
        <v>1415.6236161096633</v>
      </c>
      <c r="W31" s="40">
        <f t="array" ref="W31">INDEX('LTM data'!$D$47:$W$66,MATCH(Speed!$H31&amp;Speed!W$20,'LTM data'!$C$47:$C$66&amp;'LTM data'!$A$47:$A$66,0),MATCH((Speed!$K31&amp;" DKE"),'LTM data'!$D$46:$W$46,0))</f>
        <v>853.21432179960379</v>
      </c>
      <c r="X31" s="7">
        <f t="shared" si="12"/>
        <v>562.40929431005952</v>
      </c>
      <c r="Y31" s="40">
        <f t="array" ref="Y31">INDEX('LTM data'!$D$47:$W$66,MATCH(Speed!$H31&amp;Speed!Y$20,'LTM data'!$C$47:$C$66&amp;'LTM data'!$A$47:$A$66,0),MATCH(Speed!$K31,'LTM data'!$D$46:$W$46,0))</f>
        <v>1568.4247072487601</v>
      </c>
      <c r="Z31" s="40">
        <f t="array" ref="Z31">INDEX('LTM data'!$D$47:$W$66,MATCH(Speed!$H31&amp;Speed!Z$20,'LTM data'!$C$47:$C$66&amp;'LTM data'!$A$47:$A$66,0),MATCH((Speed!$K31&amp;" DKE"),'LTM data'!$D$46:$W$46,0))</f>
        <v>945.30947891824883</v>
      </c>
      <c r="AA31" s="7">
        <f t="shared" si="13"/>
        <v>623.11522833051129</v>
      </c>
      <c r="AB31" s="23">
        <f t="shared" si="14"/>
        <v>13.033439562671623</v>
      </c>
      <c r="AC31" s="23">
        <f t="shared" si="15"/>
        <v>7.8554194565792983</v>
      </c>
      <c r="AD31" s="23">
        <f t="shared" si="16"/>
        <v>5.1780201060923234</v>
      </c>
      <c r="AE31" s="23">
        <f t="shared" si="17"/>
        <v>16.62911557753295</v>
      </c>
      <c r="AF31" s="23">
        <f t="shared" si="18"/>
        <v>10.022579030295644</v>
      </c>
      <c r="AG31" s="23">
        <f t="shared" si="19"/>
        <v>6.6065365472373063</v>
      </c>
      <c r="AH31" s="23">
        <f t="shared" si="20"/>
        <v>17.348635382530475</v>
      </c>
      <c r="AI31" s="23">
        <f t="shared" si="21"/>
        <v>10.456242749561254</v>
      </c>
      <c r="AJ31" s="23">
        <f t="shared" si="22"/>
        <v>6.892392632969222</v>
      </c>
      <c r="AK31" s="23">
        <f t="shared" si="23"/>
        <v>19.989173861461872</v>
      </c>
      <c r="AL31" s="23">
        <f t="shared" si="24"/>
        <v>12.047728806906512</v>
      </c>
      <c r="AM31" s="23">
        <f t="shared" si="25"/>
        <v>7.9414450545553574</v>
      </c>
      <c r="AN31" s="23">
        <f t="shared" si="26"/>
        <v>22.146786621126282</v>
      </c>
      <c r="AO31" s="23">
        <f t="shared" si="27"/>
        <v>13.348149403521251</v>
      </c>
      <c r="AP31" s="23">
        <f t="shared" si="28"/>
        <v>8.798637217605032</v>
      </c>
    </row>
    <row r="32" spans="3:42">
      <c r="C32" s="23" t="s">
        <v>446</v>
      </c>
      <c r="D32" s="23">
        <v>2010</v>
      </c>
      <c r="E32" s="139">
        <f>1/$S$8</f>
        <v>1.0949578284766563E-2</v>
      </c>
      <c r="F32" s="139">
        <f>1/$S$8</f>
        <v>1.0949578284766563E-2</v>
      </c>
      <c r="G32" s="23" t="s">
        <v>176</v>
      </c>
      <c r="H32" s="23" t="s">
        <v>79</v>
      </c>
      <c r="I32" s="23" t="s">
        <v>45</v>
      </c>
      <c r="K32" s="23" t="s">
        <v>69</v>
      </c>
      <c r="M32" s="40">
        <f t="array" ref="M32">INDEX('LTM data'!$D$47:$W$66,MATCH(Speed!$H32&amp;Speed!M$20,'LTM data'!$C$47:$C$66&amp;'LTM data'!$A$47:$A$66,0),MATCH(Speed!$K32,'LTM data'!$D$46:$W$46,0))</f>
        <v>3210.9001866161698</v>
      </c>
      <c r="N32" s="40">
        <f t="array" ref="N32">INDEX('LTM data'!$D$47:$W$66,MATCH(Speed!$H32&amp;Speed!N$20,'LTM data'!$C$47:$C$66&amp;'LTM data'!$A$47:$A$66,0),MATCH((Speed!$K32&amp;" DKE"),'LTM data'!$D$46:$W$46,0))</f>
        <v>1935.2502981115199</v>
      </c>
      <c r="O32" s="7">
        <f t="shared" si="9"/>
        <v>1275.6498885046499</v>
      </c>
      <c r="P32" s="40">
        <f t="array" ref="P32">INDEX('LTM data'!$D$47:$W$66,MATCH(Speed!$H32&amp;Speed!P$20,'LTM data'!$C$47:$C$66&amp;'LTM data'!$A$47:$A$66,0),MATCH(Speed!$K32,'LTM data'!$D$46:$W$46,0))</f>
        <v>4096.7259681846799</v>
      </c>
      <c r="Q32" s="40">
        <f t="array" ref="Q32">INDEX('LTM data'!$D$47:$W$66,MATCH(Speed!$H32&amp;Speed!Q$20,'LTM data'!$C$47:$C$66&amp;'LTM data'!$A$47:$A$66,0),MATCH((Speed!$K32&amp;" DKE"),'LTM data'!$D$46:$W$46,0))</f>
        <v>2469.1487403617448</v>
      </c>
      <c r="R32" s="7">
        <f t="shared" si="10"/>
        <v>1627.5772278229351</v>
      </c>
      <c r="S32" s="40">
        <f t="array" ref="S32">INDEX('LTM data'!$D$47:$W$66,MATCH(Speed!$H32&amp;Speed!S$20,'LTM data'!$C$47:$C$66&amp;'LTM data'!$A$47:$A$66,0),MATCH(Speed!$K32,'LTM data'!$D$46:$W$46,0))</f>
        <v>4273.9858745226365</v>
      </c>
      <c r="T32" s="40">
        <f t="array" ref="T32">INDEX('LTM data'!$D$47:$W$66,MATCH(Speed!$H32&amp;Speed!T$20,'LTM data'!$C$47:$C$66&amp;'LTM data'!$A$47:$A$66,0),MATCH((Speed!$K32&amp;" DKE"),'LTM data'!$D$46:$W$46,0))</f>
        <v>2575.9855358540603</v>
      </c>
      <c r="U32" s="7">
        <f t="shared" si="11"/>
        <v>1698.0003386685762</v>
      </c>
      <c r="V32" s="40">
        <f t="array" ref="V32">INDEX('LTM data'!$D$47:$W$66,MATCH(Speed!$H32&amp;Speed!V$20,'LTM data'!$C$47:$C$66&amp;'LTM data'!$A$47:$A$66,0),MATCH(Speed!$K32,'LTM data'!$D$46:$W$46,0))</f>
        <v>4924.5052906751325</v>
      </c>
      <c r="W32" s="40">
        <f t="array" ref="W32">INDEX('LTM data'!$D$47:$W$66,MATCH(Speed!$H32&amp;Speed!W$20,'LTM data'!$C$47:$C$66&amp;'LTM data'!$A$47:$A$66,0),MATCH((Speed!$K32&amp;" DKE"),'LTM data'!$D$46:$W$46,0))</f>
        <v>2968.0618449476697</v>
      </c>
      <c r="X32" s="7">
        <f t="shared" si="12"/>
        <v>1956.4434457274629</v>
      </c>
      <c r="Y32" s="40">
        <f t="array" ref="Y32">INDEX('LTM data'!$D$47:$W$66,MATCH(Speed!$H32&amp;Speed!Y$20,'LTM data'!$C$47:$C$66&amp;'LTM data'!$A$47:$A$66,0),MATCH(Speed!$K32,'LTM data'!$D$46:$W$46,0))</f>
        <v>5456.0517929885864</v>
      </c>
      <c r="Z32" s="40">
        <f t="array" ref="Z32">INDEX('LTM data'!$D$47:$W$66,MATCH(Speed!$H32&amp;Speed!Z$20,'LTM data'!$C$47:$C$66&amp;'LTM data'!$A$47:$A$66,0),MATCH((Speed!$K32&amp;" DKE"),'LTM data'!$D$46:$W$46,0))</f>
        <v>3288.4316687590799</v>
      </c>
      <c r="AA32" s="7">
        <f t="shared" si="13"/>
        <v>2167.6201242295065</v>
      </c>
      <c r="AB32" s="23">
        <f t="shared" si="14"/>
        <v>35.158002957925312</v>
      </c>
      <c r="AC32" s="23">
        <f t="shared" si="15"/>
        <v>21.190174639789916</v>
      </c>
      <c r="AD32" s="23">
        <f t="shared" si="16"/>
        <v>13.967828318135401</v>
      </c>
      <c r="AE32" s="23">
        <f t="shared" si="17"/>
        <v>44.857421699874244</v>
      </c>
      <c r="AF32" s="23">
        <f t="shared" si="18"/>
        <v>27.036137429323674</v>
      </c>
      <c r="AG32" s="23">
        <f t="shared" si="19"/>
        <v>17.821284270550571</v>
      </c>
      <c r="AH32" s="23">
        <f t="shared" si="20"/>
        <v>46.798342921072084</v>
      </c>
      <c r="AI32" s="23">
        <f t="shared" si="21"/>
        <v>28.205955285260377</v>
      </c>
      <c r="AJ32" s="23">
        <f t="shared" si="22"/>
        <v>18.592387635811711</v>
      </c>
      <c r="AK32" s="23">
        <f t="shared" si="23"/>
        <v>53.921256193994481</v>
      </c>
      <c r="AL32" s="23">
        <f t="shared" si="24"/>
        <v>32.499025525283187</v>
      </c>
      <c r="AM32" s="23">
        <f t="shared" si="25"/>
        <v>21.422230668711297</v>
      </c>
      <c r="AN32" s="23">
        <f t="shared" si="26"/>
        <v>59.741466233069495</v>
      </c>
      <c r="AO32" s="23">
        <f t="shared" si="27"/>
        <v>36.006939991183089</v>
      </c>
      <c r="AP32" s="23">
        <f t="shared" si="28"/>
        <v>23.734526241886403</v>
      </c>
    </row>
    <row r="33" spans="3:42">
      <c r="C33" s="23" t="s">
        <v>446</v>
      </c>
      <c r="D33" s="23">
        <v>2010</v>
      </c>
      <c r="E33" s="139">
        <f>1/$P$9</f>
        <v>2.7695192253100825E-2</v>
      </c>
      <c r="F33" s="139">
        <f>1/$P$9</f>
        <v>2.7695192253100825E-2</v>
      </c>
      <c r="G33" s="23" t="s">
        <v>162</v>
      </c>
      <c r="H33" s="23" t="s">
        <v>84</v>
      </c>
      <c r="I33" s="23" t="s">
        <v>449</v>
      </c>
      <c r="K33" s="23" t="s">
        <v>68</v>
      </c>
      <c r="M33" s="40">
        <f t="array" ref="M33">INDEX('LTM data'!$D$47:$W$66,MATCH(Speed!$H33&amp;Speed!M$20,'LTM data'!$C$47:$C$66&amp;'LTM data'!$A$47:$A$66,0),MATCH(Speed!$K33,'LTM data'!$D$46:$W$46,0))</f>
        <v>91.377594180506193</v>
      </c>
      <c r="N33" s="40">
        <f t="array" ref="N33">INDEX('LTM data'!$D$47:$W$66,MATCH(Speed!$H33&amp;Speed!N$20,'LTM data'!$C$47:$C$66&amp;'LTM data'!$A$47:$A$66,0),MATCH((Speed!$K33&amp;" DKE"),'LTM data'!$D$46:$W$46,0))</f>
        <v>91.377594180506193</v>
      </c>
      <c r="O33" s="7">
        <f t="shared" si="9"/>
        <v>0</v>
      </c>
      <c r="P33" s="40">
        <f t="array" ref="P33">INDEX('LTM data'!$D$47:$W$66,MATCH(Speed!$H33&amp;Speed!P$20,'LTM data'!$C$47:$C$66&amp;'LTM data'!$A$47:$A$66,0),MATCH(Speed!$K33,'LTM data'!$D$46:$W$46,0))</f>
        <v>88.762679879882455</v>
      </c>
      <c r="Q33" s="40">
        <f t="array" ref="Q33">INDEX('LTM data'!$D$47:$W$66,MATCH(Speed!$H33&amp;Speed!Q$20,'LTM data'!$C$47:$C$66&amp;'LTM data'!$A$47:$A$66,0),MATCH((Speed!$K33&amp;" DKE"),'LTM data'!$D$46:$W$46,0))</f>
        <v>88.762679879882455</v>
      </c>
      <c r="R33" s="7">
        <f t="shared" si="10"/>
        <v>0</v>
      </c>
      <c r="S33" s="40">
        <f t="array" ref="S33">INDEX('LTM data'!$D$47:$W$66,MATCH(Speed!$H33&amp;Speed!S$20,'LTM data'!$C$47:$C$66&amp;'LTM data'!$A$47:$A$66,0),MATCH(Speed!$K33,'LTM data'!$D$46:$W$46,0))</f>
        <v>92.588531248143184</v>
      </c>
      <c r="T33" s="40">
        <f t="array" ref="T33">INDEX('LTM data'!$D$47:$W$66,MATCH(Speed!$H33&amp;Speed!T$20,'LTM data'!$C$47:$C$66&amp;'LTM data'!$A$47:$A$66,0),MATCH((Speed!$K33&amp;" DKE"),'LTM data'!$D$46:$W$46,0))</f>
        <v>92.588531248143184</v>
      </c>
      <c r="U33" s="7">
        <f t="shared" si="11"/>
        <v>0</v>
      </c>
      <c r="V33" s="40">
        <f t="array" ref="V33">INDEX('LTM data'!$D$47:$W$66,MATCH(Speed!$H33&amp;Speed!V$20,'LTM data'!$C$47:$C$66&amp;'LTM data'!$A$47:$A$66,0),MATCH(Speed!$K33,'LTM data'!$D$46:$W$46,0))</f>
        <v>91.609442018766799</v>
      </c>
      <c r="W33" s="40">
        <f t="array" ref="W33">INDEX('LTM data'!$D$47:$W$66,MATCH(Speed!$H33&amp;Speed!W$20,'LTM data'!$C$47:$C$66&amp;'LTM data'!$A$47:$A$66,0),MATCH((Speed!$K33&amp;" DKE"),'LTM data'!$D$46:$W$46,0))</f>
        <v>91.609442018766799</v>
      </c>
      <c r="X33" s="7">
        <f t="shared" si="12"/>
        <v>0</v>
      </c>
      <c r="Y33" s="40">
        <f t="array" ref="Y33">INDEX('LTM data'!$D$47:$W$66,MATCH(Speed!$H33&amp;Speed!Y$20,'LTM data'!$C$47:$C$66&amp;'LTM data'!$A$47:$A$66,0),MATCH(Speed!$K33,'LTM data'!$D$46:$W$46,0))</f>
        <v>92.178665736164987</v>
      </c>
      <c r="Z33" s="40">
        <f t="array" ref="Z33">INDEX('LTM data'!$D$47:$W$66,MATCH(Speed!$H33&amp;Speed!Z$20,'LTM data'!$C$47:$C$66&amp;'LTM data'!$A$47:$A$66,0),MATCH((Speed!$K33&amp;" DKE"),'LTM data'!$D$46:$W$46,0))</f>
        <v>92.178665736164987</v>
      </c>
      <c r="AA33" s="7">
        <f t="shared" si="13"/>
        <v>0</v>
      </c>
      <c r="AB33" s="23">
        <f t="shared" si="14"/>
        <v>2.530720038454946</v>
      </c>
      <c r="AC33" s="23">
        <f t="shared" si="15"/>
        <v>2.530720038454946</v>
      </c>
      <c r="AD33" s="23">
        <f t="shared" si="16"/>
        <v>0</v>
      </c>
      <c r="AE33" s="23">
        <f t="shared" si="17"/>
        <v>2.4582994841737893</v>
      </c>
      <c r="AF33" s="23">
        <f t="shared" si="18"/>
        <v>2.4582994841737893</v>
      </c>
      <c r="AG33" s="23">
        <f t="shared" si="19"/>
        <v>0</v>
      </c>
      <c r="AH33" s="23">
        <f t="shared" si="20"/>
        <v>2.5642571733495587</v>
      </c>
      <c r="AI33" s="23">
        <f t="shared" si="21"/>
        <v>2.5642571733495587</v>
      </c>
      <c r="AJ33" s="23">
        <f t="shared" si="22"/>
        <v>0</v>
      </c>
      <c r="AK33" s="23">
        <f t="shared" si="23"/>
        <v>2.5371411089090397</v>
      </c>
      <c r="AL33" s="23">
        <f t="shared" si="24"/>
        <v>2.5371411089090397</v>
      </c>
      <c r="AM33" s="23">
        <f t="shared" si="25"/>
        <v>0</v>
      </c>
      <c r="AN33" s="23">
        <f t="shared" si="26"/>
        <v>2.5529058691974069</v>
      </c>
      <c r="AO33" s="23">
        <f t="shared" si="27"/>
        <v>2.5529058691974069</v>
      </c>
      <c r="AP33" s="23">
        <f t="shared" si="28"/>
        <v>0</v>
      </c>
    </row>
    <row r="34" spans="3:42">
      <c r="C34" s="23" t="s">
        <v>446</v>
      </c>
      <c r="D34" s="23">
        <v>2010</v>
      </c>
      <c r="E34" s="139">
        <f>1/$Q$9</f>
        <v>2.2084593825727312E-2</v>
      </c>
      <c r="F34" s="139">
        <f>1/$Q$9</f>
        <v>2.2084593825727312E-2</v>
      </c>
      <c r="G34" s="23" t="s">
        <v>162</v>
      </c>
      <c r="H34" s="23" t="s">
        <v>83</v>
      </c>
      <c r="I34" s="23" t="s">
        <v>46</v>
      </c>
      <c r="K34" s="23" t="s">
        <v>68</v>
      </c>
      <c r="M34" s="40">
        <f t="array" ref="M34">INDEX('LTM data'!$D$47:$W$66,MATCH(Speed!$H34&amp;Speed!M$20,'LTM data'!$C$47:$C$66&amp;'LTM data'!$A$47:$A$66,0),MATCH(Speed!$K34,'LTM data'!$D$46:$W$46,0))</f>
        <v>771.59001262391996</v>
      </c>
      <c r="N34" s="40">
        <f t="array" ref="N34">INDEX('LTM data'!$D$47:$W$66,MATCH(Speed!$H34&amp;Speed!N$20,'LTM data'!$C$47:$C$66&amp;'LTM data'!$A$47:$A$66,0),MATCH((Speed!$K34&amp;" DKE"),'LTM data'!$D$46:$W$46,0))</f>
        <v>771.59001262391996</v>
      </c>
      <c r="O34" s="7">
        <f t="shared" si="9"/>
        <v>0</v>
      </c>
      <c r="P34" s="40">
        <f t="array" ref="P34">INDEX('LTM data'!$D$47:$W$66,MATCH(Speed!$H34&amp;Speed!P$20,'LTM data'!$C$47:$C$66&amp;'LTM data'!$A$47:$A$66,0),MATCH(Speed!$K34,'LTM data'!$D$46:$W$46,0))</f>
        <v>749.50974473852216</v>
      </c>
      <c r="Q34" s="40">
        <f t="array" ref="Q34">INDEX('LTM data'!$D$47:$W$66,MATCH(Speed!$H34&amp;Speed!Q$20,'LTM data'!$C$47:$C$66&amp;'LTM data'!$A$47:$A$66,0),MATCH((Speed!$K34&amp;" DKE"),'LTM data'!$D$46:$W$46,0))</f>
        <v>749.50974473852216</v>
      </c>
      <c r="R34" s="7">
        <f t="shared" si="10"/>
        <v>0</v>
      </c>
      <c r="S34" s="40">
        <f t="array" ref="S34">INDEX('LTM data'!$D$47:$W$66,MATCH(Speed!$H34&amp;Speed!S$20,'LTM data'!$C$47:$C$66&amp;'LTM data'!$A$47:$A$66,0),MATCH(Speed!$K34,'LTM data'!$D$46:$W$46,0))</f>
        <v>781.81513351579963</v>
      </c>
      <c r="T34" s="40">
        <f t="array" ref="T34">INDEX('LTM data'!$D$47:$W$66,MATCH(Speed!$H34&amp;Speed!T$20,'LTM data'!$C$47:$C$66&amp;'LTM data'!$A$47:$A$66,0),MATCH((Speed!$K34&amp;" DKE"),'LTM data'!$D$46:$W$46,0))</f>
        <v>781.81513351579963</v>
      </c>
      <c r="U34" s="7">
        <f t="shared" si="11"/>
        <v>0</v>
      </c>
      <c r="V34" s="40">
        <f t="array" ref="V34">INDEX('LTM data'!$D$47:$W$66,MATCH(Speed!$H34&amp;Speed!V$20,'LTM data'!$C$47:$C$66&amp;'LTM data'!$A$47:$A$66,0),MATCH(Speed!$K34,'LTM data'!$D$46:$W$46,0))</f>
        <v>773.5477296994751</v>
      </c>
      <c r="W34" s="40">
        <f t="array" ref="W34">INDEX('LTM data'!$D$47:$W$66,MATCH(Speed!$H34&amp;Speed!W$20,'LTM data'!$C$47:$C$66&amp;'LTM data'!$A$47:$A$66,0),MATCH((Speed!$K34&amp;" DKE"),'LTM data'!$D$46:$W$46,0))</f>
        <v>773.5477296994751</v>
      </c>
      <c r="X34" s="7">
        <f t="shared" si="12"/>
        <v>0</v>
      </c>
      <c r="Y34" s="40">
        <f t="array" ref="Y34">INDEX('LTM data'!$D$47:$W$66,MATCH(Speed!$H34&amp;Speed!Y$20,'LTM data'!$C$47:$C$66&amp;'LTM data'!$A$47:$A$66,0),MATCH(Speed!$K34,'LTM data'!$D$46:$W$46,0))</f>
        <v>778.3542398645983</v>
      </c>
      <c r="Z34" s="40">
        <f t="array" ref="Z34">INDEX('LTM data'!$D$47:$W$66,MATCH(Speed!$H34&amp;Speed!Z$20,'LTM data'!$C$47:$C$66&amp;'LTM data'!$A$47:$A$66,0),MATCH((Speed!$K34&amp;" DKE"),'LTM data'!$D$46:$W$46,0))</f>
        <v>778.3542398645983</v>
      </c>
      <c r="AA34" s="7">
        <f t="shared" si="13"/>
        <v>0</v>
      </c>
      <c r="AB34" s="23">
        <f t="shared" si="14"/>
        <v>17.040252028787084</v>
      </c>
      <c r="AC34" s="23">
        <f t="shared" si="15"/>
        <v>17.040252028787084</v>
      </c>
      <c r="AD34" s="23">
        <f t="shared" si="16"/>
        <v>0</v>
      </c>
      <c r="AE34" s="23">
        <f t="shared" si="17"/>
        <v>16.552618280974819</v>
      </c>
      <c r="AF34" s="23">
        <f t="shared" si="18"/>
        <v>16.552618280974819</v>
      </c>
      <c r="AG34" s="23">
        <f t="shared" si="19"/>
        <v>0</v>
      </c>
      <c r="AH34" s="23">
        <f t="shared" si="20"/>
        <v>17.266069670503203</v>
      </c>
      <c r="AI34" s="23">
        <f t="shared" si="21"/>
        <v>17.266069670503203</v>
      </c>
      <c r="AJ34" s="23">
        <f t="shared" si="22"/>
        <v>0</v>
      </c>
      <c r="AK34" s="23">
        <f t="shared" si="23"/>
        <v>17.083487415226408</v>
      </c>
      <c r="AL34" s="23">
        <f t="shared" si="24"/>
        <v>17.083487415226408</v>
      </c>
      <c r="AM34" s="23">
        <f t="shared" si="25"/>
        <v>0</v>
      </c>
      <c r="AN34" s="23">
        <f t="shared" si="26"/>
        <v>17.189637239942382</v>
      </c>
      <c r="AO34" s="23">
        <f t="shared" si="27"/>
        <v>17.189637239942382</v>
      </c>
      <c r="AP34" s="23">
        <f t="shared" si="28"/>
        <v>0</v>
      </c>
    </row>
    <row r="35" spans="3:42">
      <c r="C35" s="23" t="s">
        <v>446</v>
      </c>
      <c r="D35" s="23">
        <v>2010</v>
      </c>
      <c r="E35" s="139">
        <f>1/$R$9</f>
        <v>1.8155332555502002E-2</v>
      </c>
      <c r="F35" s="139">
        <f>1/$R$9</f>
        <v>1.8155332555502002E-2</v>
      </c>
      <c r="G35" s="23" t="s">
        <v>162</v>
      </c>
      <c r="H35" s="23" t="s">
        <v>82</v>
      </c>
      <c r="I35" s="23" t="s">
        <v>47</v>
      </c>
      <c r="K35" s="23" t="s">
        <v>68</v>
      </c>
      <c r="M35" s="40">
        <f t="array" ref="M35">INDEX('LTM data'!$D$47:$W$66,MATCH(Speed!$H35&amp;Speed!M$20,'LTM data'!$C$47:$C$66&amp;'LTM data'!$A$47:$A$66,0),MATCH(Speed!$K35,'LTM data'!$D$46:$W$46,0))</f>
        <v>415.59740225762403</v>
      </c>
      <c r="N35" s="40">
        <f t="array" ref="N35">INDEX('LTM data'!$D$47:$W$66,MATCH(Speed!$H35&amp;Speed!N$20,'LTM data'!$C$47:$C$66&amp;'LTM data'!$A$47:$A$66,0),MATCH((Speed!$K35&amp;" DKE"),'LTM data'!$D$46:$W$46,0))</f>
        <v>415.59740225762403</v>
      </c>
      <c r="O35" s="7">
        <f t="shared" si="9"/>
        <v>0</v>
      </c>
      <c r="P35" s="40">
        <f t="array" ref="P35">INDEX('LTM data'!$D$47:$W$66,MATCH(Speed!$H35&amp;Speed!P$20,'LTM data'!$C$47:$C$66&amp;'LTM data'!$A$47:$A$66,0),MATCH(Speed!$K35,'LTM data'!$D$46:$W$46,0))</f>
        <v>403.70442564544948</v>
      </c>
      <c r="Q35" s="40">
        <f t="array" ref="Q35">INDEX('LTM data'!$D$47:$W$66,MATCH(Speed!$H35&amp;Speed!Q$20,'LTM data'!$C$47:$C$66&amp;'LTM data'!$A$47:$A$66,0),MATCH((Speed!$K35&amp;" DKE"),'LTM data'!$D$46:$W$46,0))</f>
        <v>403.70442564544948</v>
      </c>
      <c r="R35" s="7">
        <f t="shared" si="10"/>
        <v>0</v>
      </c>
      <c r="S35" s="40">
        <f t="array" ref="S35">INDEX('LTM data'!$D$47:$W$66,MATCH(Speed!$H35&amp;Speed!S$20,'LTM data'!$C$47:$C$66&amp;'LTM data'!$A$47:$A$66,0),MATCH(Speed!$K35,'LTM data'!$D$46:$W$46,0))</f>
        <v>421.10490444260455</v>
      </c>
      <c r="T35" s="40">
        <f t="array" ref="T35">INDEX('LTM data'!$D$47:$W$66,MATCH(Speed!$H35&amp;Speed!T$20,'LTM data'!$C$47:$C$66&amp;'LTM data'!$A$47:$A$66,0),MATCH((Speed!$K35&amp;" DKE"),'LTM data'!$D$46:$W$46,0))</f>
        <v>421.10490444260455</v>
      </c>
      <c r="U35" s="7">
        <f t="shared" si="11"/>
        <v>0</v>
      </c>
      <c r="V35" s="40">
        <f t="array" ref="V35">INDEX('LTM data'!$D$47:$W$66,MATCH(Speed!$H35&amp;Speed!V$20,'LTM data'!$C$47:$C$66&amp;'LTM data'!$A$47:$A$66,0),MATCH(Speed!$K35,'LTM data'!$D$46:$W$46,0))</f>
        <v>416.65187693672112</v>
      </c>
      <c r="W35" s="40">
        <f t="array" ref="W35">INDEX('LTM data'!$D$47:$W$66,MATCH(Speed!$H35&amp;Speed!W$20,'LTM data'!$C$47:$C$66&amp;'LTM data'!$A$47:$A$66,0),MATCH((Speed!$K35&amp;" DKE"),'LTM data'!$D$46:$W$46,0))</f>
        <v>416.65187693672112</v>
      </c>
      <c r="X35" s="7">
        <f t="shared" si="12"/>
        <v>0</v>
      </c>
      <c r="Y35" s="40">
        <f t="array" ref="Y35">INDEX('LTM data'!$D$47:$W$66,MATCH(Speed!$H35&amp;Speed!Y$20,'LTM data'!$C$47:$C$66&amp;'LTM data'!$A$47:$A$66,0),MATCH(Speed!$K35,'LTM data'!$D$46:$W$46,0))</f>
        <v>419.24078180312415</v>
      </c>
      <c r="Z35" s="40">
        <f t="array" ref="Z35">INDEX('LTM data'!$D$47:$W$66,MATCH(Speed!$H35&amp;Speed!Z$20,'LTM data'!$C$47:$C$66&amp;'LTM data'!$A$47:$A$66,0),MATCH((Speed!$K35&amp;" DKE"),'LTM data'!$D$46:$W$46,0))</f>
        <v>419.24078180312415</v>
      </c>
      <c r="AA35" s="7">
        <f t="shared" si="13"/>
        <v>0</v>
      </c>
      <c r="AB35" s="23">
        <f t="shared" si="14"/>
        <v>7.5453090471899023</v>
      </c>
      <c r="AC35" s="23">
        <f t="shared" si="15"/>
        <v>7.5453090471899023</v>
      </c>
      <c r="AD35" s="23">
        <f t="shared" si="16"/>
        <v>0</v>
      </c>
      <c r="AE35" s="23">
        <f t="shared" si="17"/>
        <v>7.329388101721066</v>
      </c>
      <c r="AF35" s="23">
        <f t="shared" si="18"/>
        <v>7.329388101721066</v>
      </c>
      <c r="AG35" s="23">
        <f t="shared" si="19"/>
        <v>0</v>
      </c>
      <c r="AH35" s="23">
        <f t="shared" si="20"/>
        <v>7.6452995809083779</v>
      </c>
      <c r="AI35" s="23">
        <f t="shared" si="21"/>
        <v>7.6452995809083779</v>
      </c>
      <c r="AJ35" s="23">
        <f t="shared" si="22"/>
        <v>0</v>
      </c>
      <c r="AK35" s="23">
        <f t="shared" si="23"/>
        <v>7.5644533856602667</v>
      </c>
      <c r="AL35" s="23">
        <f t="shared" si="24"/>
        <v>7.5644533856602667</v>
      </c>
      <c r="AM35" s="23">
        <f t="shared" si="25"/>
        <v>0</v>
      </c>
      <c r="AN35" s="23">
        <f t="shared" si="26"/>
        <v>7.6114558144643709</v>
      </c>
      <c r="AO35" s="23">
        <f t="shared" si="27"/>
        <v>7.6114558144643709</v>
      </c>
      <c r="AP35" s="23">
        <f t="shared" si="28"/>
        <v>0</v>
      </c>
    </row>
    <row r="36" spans="3:42">
      <c r="C36" s="23" t="s">
        <v>446</v>
      </c>
      <c r="D36" s="23">
        <v>2010</v>
      </c>
      <c r="E36" s="139">
        <f>1/$P$10</f>
        <v>3.1524199859628205E-2</v>
      </c>
      <c r="F36" s="139">
        <f>1/$P$10</f>
        <v>3.1524199859628205E-2</v>
      </c>
      <c r="G36" s="23" t="s">
        <v>170</v>
      </c>
      <c r="H36" s="23" t="s">
        <v>84</v>
      </c>
      <c r="I36" s="23" t="s">
        <v>450</v>
      </c>
      <c r="K36" s="23" t="s">
        <v>67</v>
      </c>
      <c r="M36" s="40">
        <f t="array" ref="M36">INDEX('LTM data'!$D$47:$W$66,MATCH(Speed!$H36&amp;Speed!M$20,'LTM data'!$C$47:$C$66&amp;'LTM data'!$A$47:$A$66,0),MATCH(Speed!$K36,'LTM data'!$D$46:$W$46,0))</f>
        <v>92.307668078761495</v>
      </c>
      <c r="N36" s="40">
        <f t="array" ref="N36">INDEX('LTM data'!$D$47:$W$66,MATCH(Speed!$H36&amp;Speed!N$20,'LTM data'!$C$47:$C$66&amp;'LTM data'!$A$47:$A$66,0),MATCH((Speed!$K36&amp;" DKE"),'LTM data'!$D$46:$W$46,0))</f>
        <v>92.307668078761495</v>
      </c>
      <c r="O36" s="7">
        <f t="shared" si="9"/>
        <v>0</v>
      </c>
      <c r="P36" s="40">
        <f t="array" ref="P36">INDEX('LTM data'!$D$47:$W$66,MATCH(Speed!$H36&amp;Speed!P$20,'LTM data'!$C$47:$C$66&amp;'LTM data'!$A$47:$A$66,0),MATCH(Speed!$K36,'LTM data'!$D$46:$W$46,0))</f>
        <v>199.97732779611337</v>
      </c>
      <c r="Q36" s="40">
        <f t="array" ref="Q36">INDEX('LTM data'!$D$47:$W$66,MATCH(Speed!$H36&amp;Speed!Q$20,'LTM data'!$C$47:$C$66&amp;'LTM data'!$A$47:$A$66,0),MATCH((Speed!$K36&amp;" DKE"),'LTM data'!$D$46:$W$46,0))</f>
        <v>199.97732779611337</v>
      </c>
      <c r="R36" s="7">
        <f t="shared" si="10"/>
        <v>0</v>
      </c>
      <c r="S36" s="40">
        <f t="array" ref="S36">INDEX('LTM data'!$D$47:$W$66,MATCH(Speed!$H36&amp;Speed!S$20,'LTM data'!$C$47:$C$66&amp;'LTM data'!$A$47:$A$66,0),MATCH(Speed!$K36,'LTM data'!$D$46:$W$46,0))</f>
        <v>217.38346756833559</v>
      </c>
      <c r="T36" s="40">
        <f t="array" ref="T36">INDEX('LTM data'!$D$47:$W$66,MATCH(Speed!$H36&amp;Speed!T$20,'LTM data'!$C$47:$C$66&amp;'LTM data'!$A$47:$A$66,0),MATCH((Speed!$K36&amp;" DKE"),'LTM data'!$D$46:$W$46,0))</f>
        <v>217.38346756833559</v>
      </c>
      <c r="U36" s="7">
        <f t="shared" si="11"/>
        <v>0</v>
      </c>
      <c r="V36" s="40">
        <f t="array" ref="V36">INDEX('LTM data'!$D$47:$W$66,MATCH(Speed!$H36&amp;Speed!V$20,'LTM data'!$C$47:$C$66&amp;'LTM data'!$A$47:$A$66,0),MATCH(Speed!$K36,'LTM data'!$D$46:$W$46,0))</f>
        <v>216.4922105014773</v>
      </c>
      <c r="W36" s="40">
        <f t="array" ref="W36">INDEX('LTM data'!$D$47:$W$66,MATCH(Speed!$H36&amp;Speed!W$20,'LTM data'!$C$47:$C$66&amp;'LTM data'!$A$47:$A$66,0),MATCH((Speed!$K36&amp;" DKE"),'LTM data'!$D$46:$W$46,0))</f>
        <v>216.4922105014773</v>
      </c>
      <c r="X36" s="7">
        <f t="shared" si="12"/>
        <v>0</v>
      </c>
      <c r="Y36" s="40">
        <f t="array" ref="Y36">INDEX('LTM data'!$D$47:$W$66,MATCH(Speed!$H36&amp;Speed!Y$20,'LTM data'!$C$47:$C$66&amp;'LTM data'!$A$47:$A$66,0),MATCH(Speed!$K36,'LTM data'!$D$46:$W$46,0))</f>
        <v>216.4922105014773</v>
      </c>
      <c r="Z36" s="40">
        <f t="array" ref="Z36">INDEX('LTM data'!$D$47:$W$66,MATCH(Speed!$H36&amp;Speed!Z$20,'LTM data'!$C$47:$C$66&amp;'LTM data'!$A$47:$A$66,0),MATCH((Speed!$K36&amp;" DKE"),'LTM data'!$D$46:$W$46,0))</f>
        <v>216.4922105014773</v>
      </c>
      <c r="AA36" s="7">
        <f t="shared" si="13"/>
        <v>0</v>
      </c>
      <c r="AB36" s="23">
        <f t="shared" si="14"/>
        <v>2.9099253770911</v>
      </c>
      <c r="AC36" s="23">
        <f t="shared" si="15"/>
        <v>2.9099253770911</v>
      </c>
      <c r="AD36" s="23">
        <f t="shared" si="16"/>
        <v>0</v>
      </c>
      <c r="AE36" s="23">
        <f t="shared" si="17"/>
        <v>6.3041252488390604</v>
      </c>
      <c r="AF36" s="23">
        <f t="shared" si="18"/>
        <v>6.3041252488390604</v>
      </c>
      <c r="AG36" s="23">
        <f t="shared" si="19"/>
        <v>0</v>
      </c>
      <c r="AH36" s="23">
        <f t="shared" si="20"/>
        <v>6.8528398778032171</v>
      </c>
      <c r="AI36" s="23">
        <f t="shared" si="21"/>
        <v>6.8528398778032171</v>
      </c>
      <c r="AJ36" s="23">
        <f t="shared" si="22"/>
        <v>0</v>
      </c>
      <c r="AK36" s="23">
        <f t="shared" si="23"/>
        <v>6.8247437119012702</v>
      </c>
      <c r="AL36" s="23">
        <f t="shared" si="24"/>
        <v>6.8247437119012702</v>
      </c>
      <c r="AM36" s="23">
        <f t="shared" si="25"/>
        <v>0</v>
      </c>
      <c r="AN36" s="23">
        <f t="shared" si="26"/>
        <v>6.8247437119012702</v>
      </c>
      <c r="AO36" s="23">
        <f t="shared" si="27"/>
        <v>6.8247437119012702</v>
      </c>
      <c r="AP36" s="23">
        <f t="shared" si="28"/>
        <v>0</v>
      </c>
    </row>
    <row r="37" spans="3:42">
      <c r="C37" s="23" t="s">
        <v>446</v>
      </c>
      <c r="D37" s="23">
        <v>2010</v>
      </c>
      <c r="E37" s="139">
        <f>1/$Q$10</f>
        <v>2.5217543890474491E-2</v>
      </c>
      <c r="F37" s="139">
        <f>1/$Q$10</f>
        <v>2.5217543890474491E-2</v>
      </c>
      <c r="G37" s="23" t="s">
        <v>170</v>
      </c>
      <c r="H37" s="23" t="s">
        <v>83</v>
      </c>
      <c r="I37" s="23" t="s">
        <v>48</v>
      </c>
      <c r="K37" s="23" t="s">
        <v>67</v>
      </c>
      <c r="M37" s="40">
        <f t="array" ref="M37">INDEX('LTM data'!$D$47:$W$66,MATCH(Speed!$H37&amp;Speed!M$20,'LTM data'!$C$47:$C$66&amp;'LTM data'!$A$47:$A$66,0),MATCH(Speed!$K37,'LTM data'!$D$46:$W$46,0))</f>
        <v>157.192375721144</v>
      </c>
      <c r="N37" s="40">
        <f t="array" ref="N37">INDEX('LTM data'!$D$47:$W$66,MATCH(Speed!$H37&amp;Speed!N$20,'LTM data'!$C$47:$C$66&amp;'LTM data'!$A$47:$A$66,0),MATCH((Speed!$K37&amp;" DKE"),'LTM data'!$D$46:$W$46,0))</f>
        <v>157.192375721144</v>
      </c>
      <c r="O37" s="7">
        <f t="shared" si="9"/>
        <v>0</v>
      </c>
      <c r="P37" s="40">
        <f t="array" ref="P37">INDEX('LTM data'!$D$47:$W$66,MATCH(Speed!$H37&amp;Speed!P$20,'LTM data'!$C$47:$C$66&amp;'LTM data'!$A$47:$A$66,0),MATCH(Speed!$K37,'LTM data'!$D$46:$W$46,0))</f>
        <v>340.54496122483778</v>
      </c>
      <c r="Q37" s="40">
        <f t="array" ref="Q37">INDEX('LTM data'!$D$47:$W$66,MATCH(Speed!$H37&amp;Speed!Q$20,'LTM data'!$C$47:$C$66&amp;'LTM data'!$A$47:$A$66,0),MATCH((Speed!$K37&amp;" DKE"),'LTM data'!$D$46:$W$46,0))</f>
        <v>340.54496122483778</v>
      </c>
      <c r="R37" s="7">
        <f t="shared" si="10"/>
        <v>0</v>
      </c>
      <c r="S37" s="40">
        <f t="array" ref="S37">INDEX('LTM data'!$D$47:$W$66,MATCH(Speed!$H37&amp;Speed!S$20,'LTM data'!$C$47:$C$66&amp;'LTM data'!$A$47:$A$66,0),MATCH(Speed!$K37,'LTM data'!$D$46:$W$46,0))</f>
        <v>370.18618735347656</v>
      </c>
      <c r="T37" s="40">
        <f t="array" ref="T37">INDEX('LTM data'!$D$47:$W$66,MATCH(Speed!$H37&amp;Speed!T$20,'LTM data'!$C$47:$C$66&amp;'LTM data'!$A$47:$A$66,0),MATCH((Speed!$K37&amp;" DKE"),'LTM data'!$D$46:$W$46,0))</f>
        <v>370.18618735347656</v>
      </c>
      <c r="U37" s="7">
        <f t="shared" si="11"/>
        <v>0</v>
      </c>
      <c r="V37" s="40">
        <f t="array" ref="V37">INDEX('LTM data'!$D$47:$W$66,MATCH(Speed!$H37&amp;Speed!V$20,'LTM data'!$C$47:$C$66&amp;'LTM data'!$A$47:$A$66,0),MATCH(Speed!$K37,'LTM data'!$D$46:$W$46,0))</f>
        <v>368.66844978482544</v>
      </c>
      <c r="W37" s="40">
        <f t="array" ref="W37">INDEX('LTM data'!$D$47:$W$66,MATCH(Speed!$H37&amp;Speed!W$20,'LTM data'!$C$47:$C$66&amp;'LTM data'!$A$47:$A$66,0),MATCH((Speed!$K37&amp;" DKE"),'LTM data'!$D$46:$W$46,0))</f>
        <v>368.66844978482544</v>
      </c>
      <c r="X37" s="7">
        <f t="shared" si="12"/>
        <v>0</v>
      </c>
      <c r="Y37" s="40">
        <f t="array" ref="Y37">INDEX('LTM data'!$D$47:$W$66,MATCH(Speed!$H37&amp;Speed!Y$20,'LTM data'!$C$47:$C$66&amp;'LTM data'!$A$47:$A$66,0),MATCH(Speed!$K37,'LTM data'!$D$46:$W$46,0))</f>
        <v>368.66844978482544</v>
      </c>
      <c r="Z37" s="40">
        <f t="array" ref="Z37">INDEX('LTM data'!$D$47:$W$66,MATCH(Speed!$H37&amp;Speed!Z$20,'LTM data'!$C$47:$C$66&amp;'LTM data'!$A$47:$A$66,0),MATCH((Speed!$K37&amp;" DKE"),'LTM data'!$D$46:$W$46,0))</f>
        <v>368.66844978482544</v>
      </c>
      <c r="AA37" s="7">
        <f t="shared" si="13"/>
        <v>0</v>
      </c>
      <c r="AB37" s="23">
        <f t="shared" si="14"/>
        <v>3.9640056339959058</v>
      </c>
      <c r="AC37" s="23">
        <f t="shared" si="15"/>
        <v>3.9640056339959058</v>
      </c>
      <c r="AD37" s="23">
        <f t="shared" si="16"/>
        <v>0</v>
      </c>
      <c r="AE37" s="23">
        <f t="shared" si="17"/>
        <v>8.5877075063672805</v>
      </c>
      <c r="AF37" s="23">
        <f t="shared" si="18"/>
        <v>8.5877075063672805</v>
      </c>
      <c r="AG37" s="23">
        <f t="shared" si="19"/>
        <v>0</v>
      </c>
      <c r="AH37" s="23">
        <f t="shared" si="20"/>
        <v>9.3351864272337082</v>
      </c>
      <c r="AI37" s="23">
        <f t="shared" si="21"/>
        <v>9.3351864272337082</v>
      </c>
      <c r="AJ37" s="23">
        <f t="shared" si="22"/>
        <v>0</v>
      </c>
      <c r="AK37" s="23">
        <f t="shared" si="23"/>
        <v>9.2969128134820274</v>
      </c>
      <c r="AL37" s="23">
        <f t="shared" si="24"/>
        <v>9.2969128134820274</v>
      </c>
      <c r="AM37" s="23">
        <f t="shared" si="25"/>
        <v>0</v>
      </c>
      <c r="AN37" s="23">
        <f t="shared" si="26"/>
        <v>9.2969128134820274</v>
      </c>
      <c r="AO37" s="23">
        <f t="shared" si="27"/>
        <v>9.2969128134820274</v>
      </c>
      <c r="AP37" s="23">
        <f t="shared" si="28"/>
        <v>0</v>
      </c>
    </row>
    <row r="38" spans="3:42">
      <c r="C38" s="23" t="s">
        <v>446</v>
      </c>
      <c r="D38" s="23">
        <v>2010</v>
      </c>
      <c r="E38" s="139">
        <f>1/$Q$11</f>
        <v>2.2048557980210978E-2</v>
      </c>
      <c r="F38" s="139">
        <f>1/$Q$11</f>
        <v>2.2048557980210978E-2</v>
      </c>
      <c r="G38" s="23" t="s">
        <v>142</v>
      </c>
      <c r="H38" s="23" t="s">
        <v>83</v>
      </c>
      <c r="I38" s="23" t="s">
        <v>37</v>
      </c>
      <c r="K38" s="23" t="s">
        <v>64</v>
      </c>
      <c r="M38" s="40">
        <f t="array" ref="M38">INDEX('LTM data'!$D$47:$W$66,MATCH(Speed!$H38&amp;Speed!M$20,'LTM data'!$C$47:$C$66&amp;'LTM data'!$A$47:$A$66,0),MATCH(Speed!$K38,'LTM data'!$D$46:$W$46,0))</f>
        <v>159.77971128567219</v>
      </c>
      <c r="N38" s="40">
        <f t="array" ref="N38">INDEX('LTM data'!$D$47:$W$66,MATCH(Speed!$H38&amp;Speed!N$20,'LTM data'!$C$47:$C$66&amp;'LTM data'!$A$47:$A$66,0),MATCH((Speed!$K38&amp;" DKE"),'LTM data'!$D$46:$W$46,0))</f>
        <v>58.5942785081292</v>
      </c>
      <c r="O38" s="7">
        <f t="shared" si="9"/>
        <v>101.18543277754299</v>
      </c>
      <c r="P38" s="40">
        <f t="array" ref="P38">INDEX('LTM data'!$D$47:$W$66,MATCH(Speed!$H38&amp;Speed!P$20,'LTM data'!$C$47:$C$66&amp;'LTM data'!$A$47:$A$66,0),MATCH(Speed!$K38,'LTM data'!$D$46:$W$46,0))</f>
        <v>173.92330160870648</v>
      </c>
      <c r="Q38" s="40">
        <f t="array" ref="Q38">INDEX('LTM data'!$D$47:$W$66,MATCH(Speed!$H38&amp;Speed!Q$20,'LTM data'!$C$47:$C$66&amp;'LTM data'!$A$47:$A$66,0),MATCH((Speed!$K38&amp;" DKE"),'LTM data'!$D$46:$W$46,0))</f>
        <v>63.781003805254372</v>
      </c>
      <c r="R38" s="7">
        <f t="shared" si="10"/>
        <v>110.14229780345211</v>
      </c>
      <c r="S38" s="40">
        <f t="array" ref="S38">INDEX('LTM data'!$D$47:$W$66,MATCH(Speed!$H38&amp;Speed!S$20,'LTM data'!$C$47:$C$66&amp;'LTM data'!$A$47:$A$66,0),MATCH(Speed!$K38,'LTM data'!$D$46:$W$46,0))</f>
        <v>175.37237000080944</v>
      </c>
      <c r="T38" s="40">
        <f t="array" ref="T38">INDEX('LTM data'!$D$47:$W$66,MATCH(Speed!$H38&amp;Speed!T$20,'LTM data'!$C$47:$C$66&amp;'LTM data'!$A$47:$A$66,0),MATCH((Speed!$K38&amp;" DKE"),'LTM data'!$D$46:$W$46,0))</f>
        <v>64.312404921585099</v>
      </c>
      <c r="U38" s="7">
        <f t="shared" si="11"/>
        <v>111.05996507922434</v>
      </c>
      <c r="V38" s="40">
        <f t="array" ref="V38">INDEX('LTM data'!$D$47:$W$66,MATCH(Speed!$H38&amp;Speed!V$20,'LTM data'!$C$47:$C$66&amp;'LTM data'!$A$47:$A$66,0),MATCH(Speed!$K38,'LTM data'!$D$46:$W$46,0))</f>
        <v>176.22002067117</v>
      </c>
      <c r="W38" s="40">
        <f t="array" ref="W38">INDEX('LTM data'!$D$47:$W$66,MATCH(Speed!$H38&amp;Speed!W$20,'LTM data'!$C$47:$C$66&amp;'LTM data'!$A$47:$A$66,0),MATCH((Speed!$K38&amp;" DKE"),'LTM data'!$D$46:$W$46,0))</f>
        <v>64.623254647479939</v>
      </c>
      <c r="X38" s="7">
        <f t="shared" si="12"/>
        <v>111.59676602369007</v>
      </c>
      <c r="Y38" s="40">
        <f t="array" ref="Y38">INDEX('LTM data'!$D$47:$W$66,MATCH(Speed!$H38&amp;Speed!Y$20,'LTM data'!$C$47:$C$66&amp;'LTM data'!$A$47:$A$66,0),MATCH(Speed!$K38,'LTM data'!$D$46:$W$46,0))</f>
        <v>176.8214383929124</v>
      </c>
      <c r="Z38" s="40">
        <f t="array" ref="Z38">INDEX('LTM data'!$D$47:$W$66,MATCH(Speed!$H38&amp;Speed!Z$20,'LTM data'!$C$47:$C$66&amp;'LTM data'!$A$47:$A$66,0),MATCH((Speed!$K38&amp;" DKE"),'LTM data'!$D$46:$W$46,0))</f>
        <v>64.843806037915826</v>
      </c>
      <c r="AA38" s="7">
        <f t="shared" si="13"/>
        <v>111.97763235499657</v>
      </c>
      <c r="AB38" s="23">
        <f t="shared" si="14"/>
        <v>3.5229122283435137</v>
      </c>
      <c r="AC38" s="23">
        <f t="shared" si="15"/>
        <v>1.2919193469951167</v>
      </c>
      <c r="AD38" s="23">
        <f t="shared" si="16"/>
        <v>2.230992881348397</v>
      </c>
      <c r="AE38" s="23">
        <f t="shared" si="17"/>
        <v>3.8347579996292862</v>
      </c>
      <c r="AF38" s="23">
        <f t="shared" si="18"/>
        <v>1.4062791604362082</v>
      </c>
      <c r="AG38" s="23">
        <f t="shared" si="19"/>
        <v>2.4284788391930783</v>
      </c>
      <c r="AH38" s="23">
        <f t="shared" si="20"/>
        <v>3.8667078680898594</v>
      </c>
      <c r="AI38" s="23">
        <f t="shared" si="21"/>
        <v>1.4179957887603749</v>
      </c>
      <c r="AJ38" s="23">
        <f t="shared" si="22"/>
        <v>2.4487120793294843</v>
      </c>
      <c r="AK38" s="23">
        <f t="shared" si="23"/>
        <v>3.885397343042269</v>
      </c>
      <c r="AL38" s="23">
        <f t="shared" si="24"/>
        <v>1.4248495769649001</v>
      </c>
      <c r="AM38" s="23">
        <f t="shared" si="25"/>
        <v>2.4605477660773691</v>
      </c>
      <c r="AN38" s="23">
        <f t="shared" si="26"/>
        <v>3.8986577365504327</v>
      </c>
      <c r="AO38" s="23">
        <f t="shared" si="27"/>
        <v>1.4297124170845419</v>
      </c>
      <c r="AP38" s="23">
        <f t="shared" si="28"/>
        <v>2.4689453194658908</v>
      </c>
    </row>
    <row r="39" spans="3:42">
      <c r="C39" s="23" t="s">
        <v>446</v>
      </c>
      <c r="D39" s="23">
        <v>2010</v>
      </c>
      <c r="E39" s="139">
        <f>1/$R$11</f>
        <v>1.5721594607256598E-2</v>
      </c>
      <c r="F39" s="139">
        <f>1/$R$11</f>
        <v>1.5721594607256598E-2</v>
      </c>
      <c r="G39" s="23" t="s">
        <v>142</v>
      </c>
      <c r="H39" s="23" t="s">
        <v>82</v>
      </c>
      <c r="I39" s="23" t="s">
        <v>38</v>
      </c>
      <c r="K39" s="23" t="s">
        <v>64</v>
      </c>
      <c r="M39" s="40">
        <f t="array" ref="M39">INDEX('LTM data'!$D$47:$W$66,MATCH(Speed!$H39&amp;Speed!M$20,'LTM data'!$C$47:$C$66&amp;'LTM data'!$A$47:$A$66,0),MATCH(Speed!$K39,'LTM data'!$D$46:$W$46,0))</f>
        <v>126.1130449970625</v>
      </c>
      <c r="N39" s="40">
        <f t="array" ref="N39">INDEX('LTM data'!$D$47:$W$66,MATCH(Speed!$H39&amp;Speed!N$20,'LTM data'!$C$47:$C$66&amp;'LTM data'!$A$47:$A$66,0),MATCH((Speed!$K39&amp;" DKE"),'LTM data'!$D$46:$W$46,0))</f>
        <v>46.248067558804799</v>
      </c>
      <c r="O39" s="7">
        <f t="shared" si="9"/>
        <v>79.864977438257711</v>
      </c>
      <c r="P39" s="40">
        <f t="array" ref="P39">INDEX('LTM data'!$D$47:$W$66,MATCH(Speed!$H39&amp;Speed!P$20,'LTM data'!$C$47:$C$66&amp;'LTM data'!$A$47:$A$66,0),MATCH(Speed!$K39,'LTM data'!$D$46:$W$46,0))</f>
        <v>137.27648513896986</v>
      </c>
      <c r="Q39" s="40">
        <f t="array" ref="Q39">INDEX('LTM data'!$D$47:$W$66,MATCH(Speed!$H39&amp;Speed!Q$20,'LTM data'!$C$47:$C$66&amp;'LTM data'!$A$47:$A$66,0),MATCH((Speed!$K39&amp;" DKE"),'LTM data'!$D$46:$W$46,0))</f>
        <v>50.341914740780545</v>
      </c>
      <c r="R39" s="7">
        <f t="shared" si="10"/>
        <v>86.934570398189322</v>
      </c>
      <c r="S39" s="40">
        <f t="array" ref="S39">INDEX('LTM data'!$D$47:$W$66,MATCH(Speed!$H39&amp;Speed!S$20,'LTM data'!$C$47:$C$66&amp;'LTM data'!$A$47:$A$66,0),MATCH(Speed!$K39,'LTM data'!$D$46:$W$46,0))</f>
        <v>138.4202250159957</v>
      </c>
      <c r="T39" s="40">
        <f t="array" ref="T39">INDEX('LTM data'!$D$47:$W$66,MATCH(Speed!$H39&amp;Speed!T$20,'LTM data'!$C$47:$C$66&amp;'LTM data'!$A$47:$A$66,0),MATCH((Speed!$K39&amp;" DKE"),'LTM data'!$D$46:$W$46,0))</f>
        <v>50.76134604627017</v>
      </c>
      <c r="U39" s="7">
        <f t="shared" si="11"/>
        <v>87.658878969725521</v>
      </c>
      <c r="V39" s="40">
        <f t="array" ref="V39">INDEX('LTM data'!$D$47:$W$66,MATCH(Speed!$H39&amp;Speed!V$20,'LTM data'!$C$47:$C$66&amp;'LTM data'!$A$47:$A$66,0),MATCH(Speed!$K39,'LTM data'!$D$46:$W$46,0))</f>
        <v>139.08926995463526</v>
      </c>
      <c r="W39" s="40">
        <f t="array" ref="W39">INDEX('LTM data'!$D$47:$W$66,MATCH(Speed!$H39&amp;Speed!W$20,'LTM data'!$C$47:$C$66&amp;'LTM data'!$A$47:$A$66,0),MATCH((Speed!$K39&amp;" DKE"),'LTM data'!$D$46:$W$46,0))</f>
        <v>51.00669763161013</v>
      </c>
      <c r="X39" s="7">
        <f t="shared" si="12"/>
        <v>88.082572323025119</v>
      </c>
      <c r="Y39" s="40">
        <f t="array" ref="Y39">INDEX('LTM data'!$D$47:$W$66,MATCH(Speed!$H39&amp;Speed!Y$20,'LTM data'!$C$47:$C$66&amp;'LTM data'!$A$47:$A$66,0),MATCH(Speed!$K39,'LTM data'!$D$46:$W$46,0))</f>
        <v>139.56396489302156</v>
      </c>
      <c r="Z39" s="40">
        <f t="array" ref="Z39">INDEX('LTM data'!$D$47:$W$66,MATCH(Speed!$H39&amp;Speed!Z$20,'LTM data'!$C$47:$C$66&amp;'LTM data'!$A$47:$A$66,0),MATCH((Speed!$K39&amp;" DKE"),'LTM data'!$D$46:$W$46,0))</f>
        <v>51.180777351759808</v>
      </c>
      <c r="AA39" s="7">
        <f t="shared" si="13"/>
        <v>88.383187541261748</v>
      </c>
      <c r="AB39" s="23">
        <f t="shared" si="14"/>
        <v>1.9826981681305265</v>
      </c>
      <c r="AC39" s="23">
        <f t="shared" si="15"/>
        <v>0.72709336952854431</v>
      </c>
      <c r="AD39" s="23">
        <f t="shared" si="16"/>
        <v>1.2556047986019823</v>
      </c>
      <c r="AE39" s="23">
        <f t="shared" si="17"/>
        <v>2.1582052484639691</v>
      </c>
      <c r="AF39" s="23">
        <f t="shared" si="18"/>
        <v>0.79145517530762688</v>
      </c>
      <c r="AG39" s="23">
        <f t="shared" si="19"/>
        <v>1.3667500731563422</v>
      </c>
      <c r="AH39" s="23">
        <f t="shared" si="20"/>
        <v>2.1761866631467228</v>
      </c>
      <c r="AI39" s="23">
        <f t="shared" si="21"/>
        <v>0.79804930425812715</v>
      </c>
      <c r="AJ39" s="23">
        <f t="shared" si="22"/>
        <v>1.3781373588885955</v>
      </c>
      <c r="AK39" s="23">
        <f t="shared" si="23"/>
        <v>2.1867051164460509</v>
      </c>
      <c r="AL39" s="23">
        <f t="shared" si="24"/>
        <v>0.80190662241908972</v>
      </c>
      <c r="AM39" s="23">
        <f t="shared" si="25"/>
        <v>1.3847984940269609</v>
      </c>
      <c r="AN39" s="23">
        <f t="shared" si="26"/>
        <v>2.194168077829477</v>
      </c>
      <c r="AO39" s="23">
        <f t="shared" si="27"/>
        <v>0.80464343320862763</v>
      </c>
      <c r="AP39" s="23">
        <f t="shared" si="28"/>
        <v>1.3895246446208491</v>
      </c>
    </row>
    <row r="40" spans="3:42">
      <c r="C40" s="23" t="s">
        <v>446</v>
      </c>
      <c r="D40" s="23">
        <v>2010</v>
      </c>
      <c r="E40" s="139">
        <f>1/$S$11</f>
        <v>1.3770599837923619E-2</v>
      </c>
      <c r="F40" s="139">
        <f>1/$S$11</f>
        <v>1.3770599837923619E-2</v>
      </c>
      <c r="G40" s="23" t="s">
        <v>142</v>
      </c>
      <c r="H40" s="23" t="s">
        <v>79</v>
      </c>
      <c r="I40" s="23" t="s">
        <v>39</v>
      </c>
      <c r="K40" s="23" t="s">
        <v>64</v>
      </c>
      <c r="M40" s="40">
        <f t="array" ref="M40">INDEX('LTM data'!$D$47:$W$66,MATCH(Speed!$H40&amp;Speed!M$20,'LTM data'!$C$47:$C$66&amp;'LTM data'!$A$47:$A$66,0),MATCH(Speed!$K40,'LTM data'!$D$46:$W$46,0))</f>
        <v>180.10724371726542</v>
      </c>
      <c r="N40" s="40">
        <f t="array" ref="N40">INDEX('LTM data'!$D$47:$W$66,MATCH(Speed!$H40&amp;Speed!N$20,'LTM data'!$C$47:$C$66&amp;'LTM data'!$A$47:$A$66,0),MATCH((Speed!$K40&amp;" DKE"),'LTM data'!$D$46:$W$46,0))</f>
        <v>66.048773744700398</v>
      </c>
      <c r="O40" s="7">
        <f t="shared" si="9"/>
        <v>114.05846997256502</v>
      </c>
      <c r="P40" s="40">
        <f t="array" ref="P40">INDEX('LTM data'!$D$47:$W$66,MATCH(Speed!$H40&amp;Speed!P$20,'LTM data'!$C$47:$C$66&amp;'LTM data'!$A$47:$A$66,0),MATCH(Speed!$K40,'LTM data'!$D$46:$W$46,0))</f>
        <v>196.05021325232377</v>
      </c>
      <c r="Q40" s="40">
        <f t="array" ref="Q40">INDEX('LTM data'!$D$47:$W$66,MATCH(Speed!$H40&amp;Speed!Q$20,'LTM data'!$C$47:$C$66&amp;'LTM data'!$A$47:$A$66,0),MATCH((Speed!$K40&amp;" DKE"),'LTM data'!$D$46:$W$46,0))</f>
        <v>71.895365841200174</v>
      </c>
      <c r="R40" s="7">
        <f t="shared" si="10"/>
        <v>124.1548474111236</v>
      </c>
      <c r="S40" s="40">
        <f t="array" ref="S40">INDEX('LTM data'!$D$47:$W$66,MATCH(Speed!$H40&amp;Speed!S$20,'LTM data'!$C$47:$C$66&amp;'LTM data'!$A$47:$A$66,0),MATCH(Speed!$K40,'LTM data'!$D$46:$W$46,0))</f>
        <v>197.68363536805691</v>
      </c>
      <c r="T40" s="40">
        <f t="array" ref="T40">INDEX('LTM data'!$D$47:$W$66,MATCH(Speed!$H40&amp;Speed!T$20,'LTM data'!$C$47:$C$66&amp;'LTM data'!$A$47:$A$66,0),MATCH((Speed!$K40&amp;" DKE"),'LTM data'!$D$46:$W$46,0))</f>
        <v>72.494372996742499</v>
      </c>
      <c r="U40" s="7">
        <f t="shared" si="11"/>
        <v>125.18926237131441</v>
      </c>
      <c r="V40" s="40">
        <f t="array" ref="V40">INDEX('LTM data'!$D$47:$W$66,MATCH(Speed!$H40&amp;Speed!V$20,'LTM data'!$C$47:$C$66&amp;'LTM data'!$A$47:$A$66,0),MATCH(Speed!$K40,'LTM data'!$D$46:$W$46,0))</f>
        <v>198.63912605360946</v>
      </c>
      <c r="W40" s="40">
        <f t="array" ref="W40">INDEX('LTM data'!$D$47:$W$66,MATCH(Speed!$H40&amp;Speed!W$20,'LTM data'!$C$47:$C$66&amp;'LTM data'!$A$47:$A$66,0),MATCH((Speed!$K40&amp;" DKE"),'LTM data'!$D$46:$W$46,0))</f>
        <v>72.844769720398418</v>
      </c>
      <c r="X40" s="7">
        <f t="shared" si="12"/>
        <v>125.79435633321104</v>
      </c>
      <c r="Y40" s="40">
        <f t="array" ref="Y40">INDEX('LTM data'!$D$47:$W$66,MATCH(Speed!$H40&amp;Speed!Y$20,'LTM data'!$C$47:$C$66&amp;'LTM data'!$A$47:$A$66,0),MATCH(Speed!$K40,'LTM data'!$D$46:$W$46,0))</f>
        <v>199.31705748379008</v>
      </c>
      <c r="Z40" s="40">
        <f t="array" ref="Z40">INDEX('LTM data'!$D$47:$W$66,MATCH(Speed!$H40&amp;Speed!Z$20,'LTM data'!$C$47:$C$66&amp;'LTM data'!$A$47:$A$66,0),MATCH((Speed!$K40&amp;" DKE"),'LTM data'!$D$46:$W$46,0))</f>
        <v>73.093380152284837</v>
      </c>
      <c r="AA40" s="7">
        <f t="shared" si="13"/>
        <v>126.22367733150524</v>
      </c>
      <c r="AB40" s="23">
        <f t="shared" si="14"/>
        <v>2.4801847811418449</v>
      </c>
      <c r="AC40" s="23">
        <f t="shared" si="15"/>
        <v>0.9095312330238251</v>
      </c>
      <c r="AD40" s="23">
        <f t="shared" si="16"/>
        <v>1.5706535481180199</v>
      </c>
      <c r="AE40" s="23">
        <f t="shared" si="17"/>
        <v>2.6997290348373406</v>
      </c>
      <c r="AF40" s="23">
        <f t="shared" si="18"/>
        <v>0.99004231320029046</v>
      </c>
      <c r="AG40" s="23">
        <f t="shared" si="19"/>
        <v>1.7096867216370504</v>
      </c>
      <c r="AH40" s="23">
        <f t="shared" si="20"/>
        <v>2.7222222371595164</v>
      </c>
      <c r="AI40" s="23">
        <f t="shared" si="21"/>
        <v>0.99829100103931667</v>
      </c>
      <c r="AJ40" s="23">
        <f t="shared" si="22"/>
        <v>1.7239312361201997</v>
      </c>
      <c r="AK40" s="23">
        <f t="shared" si="23"/>
        <v>2.7353799170391238</v>
      </c>
      <c r="AL40" s="23">
        <f t="shared" si="24"/>
        <v>1.0031161741053018</v>
      </c>
      <c r="AM40" s="23">
        <f t="shared" si="25"/>
        <v>1.7322637429338219</v>
      </c>
      <c r="AN40" s="23">
        <f t="shared" si="26"/>
        <v>2.7447154394816922</v>
      </c>
      <c r="AO40" s="23">
        <f t="shared" si="27"/>
        <v>1.0065396888783431</v>
      </c>
      <c r="AP40" s="23">
        <f t="shared" si="28"/>
        <v>1.7381757506033493</v>
      </c>
    </row>
    <row r="41" spans="3:42">
      <c r="C41" s="23" t="s">
        <v>446</v>
      </c>
      <c r="D41" s="23">
        <v>2010</v>
      </c>
      <c r="E41" s="139">
        <f>1/$P$12</f>
        <v>3.728505519280953E-2</v>
      </c>
      <c r="F41" s="139">
        <f>1/$P$12</f>
        <v>3.728505519280953E-2</v>
      </c>
      <c r="G41" s="23" t="s">
        <v>133</v>
      </c>
      <c r="H41" s="23" t="s">
        <v>84</v>
      </c>
      <c r="I41" s="23" t="s">
        <v>451</v>
      </c>
      <c r="K41" s="23" t="s">
        <v>63</v>
      </c>
      <c r="M41" s="40">
        <f t="array" ref="M41">INDEX('LTM data'!$D$47:$W$66,MATCH(Speed!$H41&amp;Speed!M$20,'LTM data'!$C$47:$C$66&amp;'LTM data'!$A$47:$A$66,0),MATCH(Speed!$K41,'LTM data'!$D$46:$W$46,0))</f>
        <v>15.858977542109159</v>
      </c>
      <c r="N41" s="40">
        <f t="array" ref="N41">INDEX('LTM data'!$D$47:$W$66,MATCH(Speed!$H41&amp;Speed!N$20,'LTM data'!$C$47:$C$66&amp;'LTM data'!$A$47:$A$66,0),MATCH((Speed!$K41&amp;" DKE"),'LTM data'!$D$46:$W$46,0))</f>
        <v>5.2797026381633598</v>
      </c>
      <c r="O41" s="7">
        <f t="shared" si="9"/>
        <v>10.579274903945798</v>
      </c>
      <c r="P41" s="40">
        <f t="array" ref="P41">INDEX('LTM data'!$D$47:$W$66,MATCH(Speed!$H41&amp;Speed!P$20,'LTM data'!$C$47:$C$66&amp;'LTM data'!$A$47:$A$66,0),MATCH(Speed!$K41,'LTM data'!$D$46:$W$46,0))</f>
        <v>10.547236666627084</v>
      </c>
      <c r="Q41" s="40">
        <f t="array" ref="Q41">INDEX('LTM data'!$D$47:$W$66,MATCH(Speed!$H41&amp;Speed!Q$20,'LTM data'!$C$47:$C$66&amp;'LTM data'!$A$47:$A$66,0),MATCH((Speed!$K41&amp;" DKE"),'LTM data'!$D$46:$W$46,0))</f>
        <v>3.5113406968554393</v>
      </c>
      <c r="R41" s="7">
        <f t="shared" si="10"/>
        <v>7.0358959697716443</v>
      </c>
      <c r="S41" s="40">
        <f t="array" ref="S41">INDEX('LTM data'!$D$47:$W$66,MATCH(Speed!$H41&amp;Speed!S$20,'LTM data'!$C$47:$C$66&amp;'LTM data'!$A$47:$A$66,0),MATCH(Speed!$K41,'LTM data'!$D$46:$W$46,0))</f>
        <v>9.5841898492004933</v>
      </c>
      <c r="T41" s="40">
        <f t="array" ref="T41">INDEX('LTM data'!$D$47:$W$66,MATCH(Speed!$H41&amp;Speed!T$20,'LTM data'!$C$47:$C$66&amp;'LTM data'!$A$47:$A$66,0),MATCH((Speed!$K41&amp;" DKE"),'LTM data'!$D$46:$W$46,0))</f>
        <v>3.1907272897715813</v>
      </c>
      <c r="U41" s="7">
        <f t="shared" si="11"/>
        <v>6.3934625594289116</v>
      </c>
      <c r="V41" s="40">
        <f t="array" ref="V41">INDEX('LTM data'!$D$47:$W$66,MATCH(Speed!$H41&amp;Speed!V$20,'LTM data'!$C$47:$C$66&amp;'LTM data'!$A$47:$A$66,0),MATCH(Speed!$K41,'LTM data'!$D$46:$W$46,0))</f>
        <v>9.0208435745670812</v>
      </c>
      <c r="W41" s="40">
        <f t="array" ref="W41">INDEX('LTM data'!$D$47:$W$66,MATCH(Speed!$H41&amp;Speed!W$20,'LTM data'!$C$47:$C$66&amp;'LTM data'!$A$47:$A$66,0),MATCH((Speed!$K41&amp;" DKE"),'LTM data'!$D$46:$W$46,0))</f>
        <v>3.0031804693990773</v>
      </c>
      <c r="X41" s="7">
        <f t="shared" si="12"/>
        <v>6.0176631051680038</v>
      </c>
      <c r="Y41" s="40">
        <f t="array" ref="Y41">INDEX('LTM data'!$D$47:$W$66,MATCH(Speed!$H41&amp;Speed!Y$20,'LTM data'!$C$47:$C$66&amp;'LTM data'!$A$47:$A$66,0),MATCH(Speed!$K41,'LTM data'!$D$46:$W$46,0))</f>
        <v>8.6211430317739008</v>
      </c>
      <c r="Z41" s="40">
        <f t="array" ref="Z41">INDEX('LTM data'!$D$47:$W$66,MATCH(Speed!$H41&amp;Speed!Z$20,'LTM data'!$C$47:$C$66&amp;'LTM data'!$A$47:$A$66,0),MATCH((Speed!$K41&amp;" DKE"),'LTM data'!$D$46:$W$46,0))</f>
        <v>2.8701138826877233</v>
      </c>
      <c r="AA41" s="7">
        <f t="shared" si="13"/>
        <v>5.7510291490861771</v>
      </c>
      <c r="AB41" s="23">
        <f t="shared" si="14"/>
        <v>0.59130285295906682</v>
      </c>
      <c r="AC41" s="23">
        <f t="shared" si="15"/>
        <v>0.19685400426554295</v>
      </c>
      <c r="AD41" s="23">
        <f t="shared" si="16"/>
        <v>0.39444884869352381</v>
      </c>
      <c r="AE41" s="23">
        <f t="shared" si="17"/>
        <v>0.39325430124681521</v>
      </c>
      <c r="AF41" s="23">
        <f t="shared" si="18"/>
        <v>0.13092053168301332</v>
      </c>
      <c r="AG41" s="23">
        <f t="shared" si="19"/>
        <v>0.26233376956380189</v>
      </c>
      <c r="AH41" s="23">
        <f t="shared" si="20"/>
        <v>0.35734704750580526</v>
      </c>
      <c r="AI41" s="23">
        <f t="shared" si="21"/>
        <v>0.11896644310433697</v>
      </c>
      <c r="AJ41" s="23">
        <f t="shared" si="22"/>
        <v>0.23838060440146824</v>
      </c>
      <c r="AK41" s="23">
        <f t="shared" si="23"/>
        <v>0.33634265056343482</v>
      </c>
      <c r="AL41" s="23">
        <f t="shared" si="24"/>
        <v>0.11197374955551223</v>
      </c>
      <c r="AM41" s="23">
        <f t="shared" si="25"/>
        <v>0.22436890100792259</v>
      </c>
      <c r="AN41" s="23">
        <f t="shared" si="26"/>
        <v>0.3214397937647952</v>
      </c>
      <c r="AO41" s="23">
        <f t="shared" si="27"/>
        <v>0.10701235452566062</v>
      </c>
      <c r="AP41" s="23">
        <f t="shared" si="28"/>
        <v>0.21442743923913454</v>
      </c>
    </row>
    <row r="42" spans="3:42">
      <c r="C42" s="23" t="s">
        <v>446</v>
      </c>
      <c r="D42" s="23">
        <v>2010</v>
      </c>
      <c r="E42" s="139">
        <f>1/$Q$12</f>
        <v>2.6416731487365279E-2</v>
      </c>
      <c r="F42" s="139">
        <f>1/$Q$12</f>
        <v>2.6416731487365279E-2</v>
      </c>
      <c r="G42" s="23" t="s">
        <v>133</v>
      </c>
      <c r="H42" s="23" t="s">
        <v>83</v>
      </c>
      <c r="I42" s="23" t="s">
        <v>40</v>
      </c>
      <c r="K42" s="23" t="s">
        <v>63</v>
      </c>
      <c r="M42" s="40">
        <f t="array" ref="M42">INDEX('LTM data'!$D$47:$W$66,MATCH(Speed!$H42&amp;Speed!M$20,'LTM data'!$C$47:$C$66&amp;'LTM data'!$A$47:$A$66,0),MATCH(Speed!$K42,'LTM data'!$D$46:$W$46,0))</f>
        <v>52.072422674324699</v>
      </c>
      <c r="N42" s="40">
        <f t="array" ref="N42">INDEX('LTM data'!$D$47:$W$66,MATCH(Speed!$H42&amp;Speed!N$20,'LTM data'!$C$47:$C$66&amp;'LTM data'!$A$47:$A$66,0),MATCH((Speed!$K42&amp;" DKE"),'LTM data'!$D$46:$W$46,0))</f>
        <v>17.335727138726199</v>
      </c>
      <c r="O42" s="7">
        <f t="shared" si="9"/>
        <v>34.7366955355985</v>
      </c>
      <c r="P42" s="40">
        <f t="array" ref="P42">INDEX('LTM data'!$D$47:$W$66,MATCH(Speed!$H42&amp;Speed!P$20,'LTM data'!$C$47:$C$66&amp;'LTM data'!$A$47:$A$66,0),MATCH(Speed!$K42,'LTM data'!$D$46:$W$46,0))</f>
        <v>34.631499054238382</v>
      </c>
      <c r="Q42" s="40">
        <f t="array" ref="Q42">INDEX('LTM data'!$D$47:$W$66,MATCH(Speed!$H42&amp;Speed!Q$20,'LTM data'!$C$47:$C$66&amp;'LTM data'!$A$47:$A$66,0),MATCH((Speed!$K42&amp;" DKE"),'LTM data'!$D$46:$W$46,0))</f>
        <v>11.529369811813096</v>
      </c>
      <c r="R42" s="7">
        <f t="shared" si="10"/>
        <v>23.102129242425285</v>
      </c>
      <c r="S42" s="40">
        <f t="array" ref="S42">INDEX('LTM data'!$D$47:$W$66,MATCH(Speed!$H42&amp;Speed!S$20,'LTM data'!$C$47:$C$66&amp;'LTM data'!$A$47:$A$66,0),MATCH(Speed!$K42,'LTM data'!$D$46:$W$46,0))</f>
        <v>31.4693670189892</v>
      </c>
      <c r="T42" s="40">
        <f t="array" ref="T42">INDEX('LTM data'!$D$47:$W$66,MATCH(Speed!$H42&amp;Speed!T$20,'LTM data'!$C$47:$C$66&amp;'LTM data'!$A$47:$A$66,0),MATCH((Speed!$K42&amp;" DKE"),'LTM data'!$D$46:$W$46,0))</f>
        <v>10.476646406133458</v>
      </c>
      <c r="U42" s="7">
        <f t="shared" si="11"/>
        <v>20.992720612855742</v>
      </c>
      <c r="V42" s="40">
        <f t="array" ref="V42">INDEX('LTM data'!$D$47:$W$66,MATCH(Speed!$H42&amp;Speed!V$20,'LTM data'!$C$47:$C$66&amp;'LTM data'!$A$47:$A$66,0),MATCH(Speed!$K42,'LTM data'!$D$46:$W$46,0))</f>
        <v>29.619638356039356</v>
      </c>
      <c r="W42" s="40">
        <f t="array" ref="W42">INDEX('LTM data'!$D$47:$W$66,MATCH(Speed!$H42&amp;Speed!W$20,'LTM data'!$C$47:$C$66&amp;'LTM data'!$A$47:$A$66,0),MATCH((Speed!$K42&amp;" DKE"),'LTM data'!$D$46:$W$46,0))</f>
        <v>9.8608426901794033</v>
      </c>
      <c r="X42" s="7">
        <f t="shared" si="12"/>
        <v>19.758795665859953</v>
      </c>
      <c r="Y42" s="40">
        <f t="array" ref="Y42">INDEX('LTM data'!$D$47:$W$66,MATCH(Speed!$H42&amp;Speed!Y$20,'LTM data'!$C$47:$C$66&amp;'LTM data'!$A$47:$A$66,0),MATCH(Speed!$K42,'LTM data'!$D$46:$W$46,0))</f>
        <v>28.307234983740017</v>
      </c>
      <c r="Z42" s="40">
        <f t="array" ref="Z42">INDEX('LTM data'!$D$47:$W$66,MATCH(Speed!$H42&amp;Speed!Z$20,'LTM data'!$C$47:$C$66&amp;'LTM data'!$A$47:$A$66,0),MATCH((Speed!$K42&amp;" DKE"),'LTM data'!$D$46:$W$46,0))</f>
        <v>9.4239230004538186</v>
      </c>
      <c r="AA42" s="7">
        <f t="shared" si="13"/>
        <v>18.883311983286198</v>
      </c>
      <c r="AB42" s="23">
        <f t="shared" si="14"/>
        <v>1.3755832076842269</v>
      </c>
      <c r="AC42" s="23">
        <f t="shared" si="15"/>
        <v>0.45795324896196116</v>
      </c>
      <c r="AD42" s="23">
        <f t="shared" si="16"/>
        <v>0.91762995872226583</v>
      </c>
      <c r="AE42" s="23">
        <f t="shared" si="17"/>
        <v>0.91485101152075998</v>
      </c>
      <c r="AF42" s="23">
        <f t="shared" si="18"/>
        <v>0.3045682665372017</v>
      </c>
      <c r="AG42" s="23">
        <f t="shared" si="19"/>
        <v>0.61028274498355817</v>
      </c>
      <c r="AH42" s="23">
        <f t="shared" si="20"/>
        <v>0.83131781861798637</v>
      </c>
      <c r="AI42" s="23">
        <f t="shared" si="21"/>
        <v>0.27675875499889802</v>
      </c>
      <c r="AJ42" s="23">
        <f t="shared" si="22"/>
        <v>0.55455906361908835</v>
      </c>
      <c r="AK42" s="23">
        <f t="shared" si="23"/>
        <v>0.78245403320435725</v>
      </c>
      <c r="AL42" s="23">
        <f t="shared" si="24"/>
        <v>0.26049123358561799</v>
      </c>
      <c r="AM42" s="23">
        <f t="shared" si="25"/>
        <v>0.52196279961873926</v>
      </c>
      <c r="AN42" s="23">
        <f t="shared" si="26"/>
        <v>0.74778462571521287</v>
      </c>
      <c r="AO42" s="23">
        <f t="shared" si="27"/>
        <v>0.24894924346059427</v>
      </c>
      <c r="AP42" s="23">
        <f t="shared" si="28"/>
        <v>0.4988353822546186</v>
      </c>
    </row>
    <row r="43" spans="3:42">
      <c r="C43" s="23" t="s">
        <v>446</v>
      </c>
      <c r="D43" s="23">
        <v>2010</v>
      </c>
      <c r="E43" s="139">
        <f>1/$R$12</f>
        <v>2.4305829873852158E-2</v>
      </c>
      <c r="F43" s="139">
        <f>1/$R$12</f>
        <v>2.4305829873852158E-2</v>
      </c>
      <c r="G43" s="23" t="s">
        <v>133</v>
      </c>
      <c r="H43" s="23" t="s">
        <v>82</v>
      </c>
      <c r="I43" s="23" t="s">
        <v>41</v>
      </c>
      <c r="K43" s="23" t="s">
        <v>63</v>
      </c>
      <c r="M43" s="40">
        <f t="array" ref="M43">INDEX('LTM data'!$D$47:$W$66,MATCH(Speed!$H43&amp;Speed!M$20,'LTM data'!$C$47:$C$66&amp;'LTM data'!$A$47:$A$66,0),MATCH(Speed!$K43,'LTM data'!$D$46:$W$46,0))</f>
        <v>6.78618587176204</v>
      </c>
      <c r="N43" s="40">
        <f t="array" ref="N43">INDEX('LTM data'!$D$47:$W$66,MATCH(Speed!$H43&amp;Speed!N$20,'LTM data'!$C$47:$C$66&amp;'LTM data'!$A$47:$A$66,0),MATCH((Speed!$K43&amp;" DKE"),'LTM data'!$D$46:$W$46,0))</f>
        <v>2.2592278320008301</v>
      </c>
      <c r="O43" s="7">
        <f t="shared" si="9"/>
        <v>4.5269580397612099</v>
      </c>
      <c r="P43" s="40">
        <f t="array" ref="P43">INDEX('LTM data'!$D$47:$W$66,MATCH(Speed!$H43&amp;Speed!P$20,'LTM data'!$C$47:$C$66&amp;'LTM data'!$A$47:$A$66,0),MATCH(Speed!$K43,'LTM data'!$D$46:$W$46,0))</f>
        <v>4.5132486166366128</v>
      </c>
      <c r="Q43" s="40">
        <f t="array" ref="Q43">INDEX('LTM data'!$D$47:$W$66,MATCH(Speed!$H43&amp;Speed!Q$20,'LTM data'!$C$47:$C$66&amp;'LTM data'!$A$47:$A$66,0),MATCH((Speed!$K43&amp;" DKE"),'LTM data'!$D$46:$W$46,0))</f>
        <v>1.502531330577475</v>
      </c>
      <c r="R43" s="7">
        <f t="shared" si="10"/>
        <v>3.0107172860591378</v>
      </c>
      <c r="S43" s="40">
        <f t="array" ref="S43">INDEX('LTM data'!$D$47:$W$66,MATCH(Speed!$H43&amp;Speed!S$20,'LTM data'!$C$47:$C$66&amp;'LTM data'!$A$47:$A$66,0),MATCH(Speed!$K43,'LTM data'!$D$46:$W$46,0))</f>
        <v>4.1011530266836829</v>
      </c>
      <c r="T43" s="40">
        <f t="array" ref="T43">INDEX('LTM data'!$D$47:$W$66,MATCH(Speed!$H43&amp;Speed!T$20,'LTM data'!$C$47:$C$66&amp;'LTM data'!$A$47:$A$66,0),MATCH((Speed!$K43&amp;" DKE"),'LTM data'!$D$46:$W$46,0))</f>
        <v>1.3653382380421655</v>
      </c>
      <c r="U43" s="7">
        <f t="shared" si="11"/>
        <v>2.7358147886415174</v>
      </c>
      <c r="V43" s="40">
        <f t="array" ref="V43">INDEX('LTM data'!$D$47:$W$66,MATCH(Speed!$H43&amp;Speed!V$20,'LTM data'!$C$47:$C$66&amp;'LTM data'!$A$47:$A$66,0),MATCH(Speed!$K43,'LTM data'!$D$46:$W$46,0))</f>
        <v>3.8600925598486571</v>
      </c>
      <c r="W43" s="40">
        <f t="array" ref="W43">INDEX('LTM data'!$D$47:$W$66,MATCH(Speed!$H43&amp;Speed!W$20,'LTM data'!$C$47:$C$66&amp;'LTM data'!$A$47:$A$66,0),MATCH((Speed!$K43&amp;" DKE"),'LTM data'!$D$46:$W$46,0))</f>
        <v>1.2850854235510416</v>
      </c>
      <c r="X43" s="7">
        <f t="shared" si="12"/>
        <v>2.5750071362976152</v>
      </c>
      <c r="Y43" s="40">
        <f t="array" ref="Y43">INDEX('LTM data'!$D$47:$W$66,MATCH(Speed!$H43&amp;Speed!Y$20,'LTM data'!$C$47:$C$66&amp;'LTM data'!$A$47:$A$66,0),MATCH(Speed!$K43,'LTM data'!$D$46:$W$46,0))</f>
        <v>3.6890574367307529</v>
      </c>
      <c r="Z43" s="40">
        <f t="array" ref="Z43">INDEX('LTM data'!$D$47:$W$66,MATCH(Speed!$H43&amp;Speed!Z$20,'LTM data'!$C$47:$C$66&amp;'LTM data'!$A$47:$A$66,0),MATCH((Speed!$K43&amp;" DKE"),'LTM data'!$D$46:$W$46,0))</f>
        <v>1.2281451455068557</v>
      </c>
      <c r="AA43" s="7">
        <f t="shared" si="13"/>
        <v>2.460912291223897</v>
      </c>
      <c r="AB43" s="23">
        <f t="shared" si="14"/>
        <v>0.16494387929138724</v>
      </c>
      <c r="AC43" s="23">
        <f t="shared" si="15"/>
        <v>5.4912407330884025E-2</v>
      </c>
      <c r="AD43" s="23">
        <f t="shared" si="16"/>
        <v>0.11003147196050322</v>
      </c>
      <c r="AE43" s="23">
        <f t="shared" si="17"/>
        <v>0.10969825305436812</v>
      </c>
      <c r="AF43" s="23">
        <f t="shared" si="18"/>
        <v>3.6520270901148823E-2</v>
      </c>
      <c r="AG43" s="23">
        <f t="shared" si="19"/>
        <v>7.3177982153219287E-2</v>
      </c>
      <c r="AH43" s="23">
        <f t="shared" si="20"/>
        <v>9.9681927753207458E-2</v>
      </c>
      <c r="AI43" s="23">
        <f t="shared" si="21"/>
        <v>3.3185678934117932E-2</v>
      </c>
      <c r="AJ43" s="23">
        <f t="shared" si="22"/>
        <v>6.6496248819089526E-2</v>
      </c>
      <c r="AK43" s="23">
        <f t="shared" si="23"/>
        <v>9.3822753057003938E-2</v>
      </c>
      <c r="AL43" s="23">
        <f t="shared" si="24"/>
        <v>3.123506767819886E-2</v>
      </c>
      <c r="AM43" s="23">
        <f t="shared" si="25"/>
        <v>6.2587685378805075E-2</v>
      </c>
      <c r="AN43" s="23">
        <f t="shared" si="26"/>
        <v>8.96656024520468E-2</v>
      </c>
      <c r="AO43" s="23">
        <f t="shared" si="27"/>
        <v>2.9851086967087038E-2</v>
      </c>
      <c r="AP43" s="23">
        <f t="shared" si="28"/>
        <v>5.9814515484959759E-2</v>
      </c>
    </row>
    <row r="44" spans="3:42">
      <c r="C44" s="23" t="s">
        <v>446</v>
      </c>
      <c r="D44" s="23">
        <v>2010</v>
      </c>
      <c r="E44" s="139">
        <f>1/$S$12</f>
        <v>1.6563146997929608E-2</v>
      </c>
      <c r="F44" s="139">
        <f>1/$S$12</f>
        <v>1.6563146997929608E-2</v>
      </c>
      <c r="G44" s="23" t="s">
        <v>133</v>
      </c>
      <c r="H44" s="23" t="s">
        <v>79</v>
      </c>
      <c r="I44" s="23" t="s">
        <v>42</v>
      </c>
      <c r="K44" s="23" t="s">
        <v>63</v>
      </c>
      <c r="M44" s="40">
        <f t="array" ref="M44">INDEX('LTM data'!$D$47:$W$66,MATCH(Speed!$H44&amp;Speed!M$20,'LTM data'!$C$47:$C$66&amp;'LTM data'!$A$47:$A$66,0),MATCH(Speed!$K44,'LTM data'!$D$46:$W$46,0))</f>
        <v>3.2824139118041504</v>
      </c>
      <c r="N44" s="40">
        <f t="array" ref="N44">INDEX('LTM data'!$D$47:$W$66,MATCH(Speed!$H44&amp;Speed!N$20,'LTM data'!$C$47:$C$66&amp;'LTM data'!$A$47:$A$66,0),MATCH((Speed!$K44&amp;" DKE"),'LTM data'!$D$46:$W$46,0))</f>
        <v>1.0927671310260101</v>
      </c>
      <c r="O44" s="7">
        <f t="shared" si="9"/>
        <v>2.1896467807781406</v>
      </c>
      <c r="P44" s="40">
        <f t="array" ref="P44">INDEX('LTM data'!$D$47:$W$66,MATCH(Speed!$H44&amp;Speed!P$20,'LTM data'!$C$47:$C$66&amp;'LTM data'!$A$47:$A$66,0),MATCH(Speed!$K44,'LTM data'!$D$46:$W$46,0))</f>
        <v>2.1830156624979526</v>
      </c>
      <c r="Q44" s="40">
        <f t="array" ref="Q44">INDEX('LTM data'!$D$47:$W$66,MATCH(Speed!$H44&amp;Speed!Q$20,'LTM data'!$C$47:$C$66&amp;'LTM data'!$A$47:$A$66,0),MATCH((Speed!$K44&amp;" DKE"),'LTM data'!$D$46:$W$46,0))</f>
        <v>0.72676019130736247</v>
      </c>
      <c r="R44" s="7">
        <f t="shared" si="10"/>
        <v>1.4562554711905902</v>
      </c>
      <c r="S44" s="40">
        <f t="array" ref="S44">INDEX('LTM data'!$D$47:$W$66,MATCH(Speed!$H44&amp;Speed!S$20,'LTM data'!$C$47:$C$66&amp;'LTM data'!$A$47:$A$66,0),MATCH(Speed!$K44,'LTM data'!$D$46:$W$46,0))</f>
        <v>1.9836889238827879</v>
      </c>
      <c r="T44" s="40">
        <f t="array" ref="T44">INDEX('LTM data'!$D$47:$W$66,MATCH(Speed!$H44&amp;Speed!T$20,'LTM data'!$C$47:$C$66&amp;'LTM data'!$A$47:$A$66,0),MATCH((Speed!$K44&amp;" DKE"),'LTM data'!$D$46:$W$46,0))</f>
        <v>0.66040119023502575</v>
      </c>
      <c r="U44" s="7">
        <f t="shared" si="11"/>
        <v>1.3232877336477622</v>
      </c>
      <c r="V44" s="40">
        <f t="array" ref="V44">INDEX('LTM data'!$D$47:$W$66,MATCH(Speed!$H44&amp;Speed!V$20,'LTM data'!$C$47:$C$66&amp;'LTM data'!$A$47:$A$66,0),MATCH(Speed!$K44,'LTM data'!$D$46:$W$46,0))</f>
        <v>1.8670902564018688</v>
      </c>
      <c r="W44" s="40">
        <f t="array" ref="W44">INDEX('LTM data'!$D$47:$W$66,MATCH(Speed!$H44&amp;Speed!W$20,'LTM data'!$C$47:$C$66&amp;'LTM data'!$A$47:$A$66,0),MATCH((Speed!$K44&amp;" DKE"),'LTM data'!$D$46:$W$46,0))</f>
        <v>0.62158366302239365</v>
      </c>
      <c r="X44" s="7">
        <f t="shared" si="12"/>
        <v>1.2455065933794751</v>
      </c>
      <c r="Y44" s="40">
        <f t="array" ref="Y44">INDEX('LTM data'!$D$47:$W$66,MATCH(Speed!$H44&amp;Speed!Y$20,'LTM data'!$C$47:$C$66&amp;'LTM data'!$A$47:$A$66,0),MATCH(Speed!$K44,'LTM data'!$D$46:$W$46,0))</f>
        <v>1.7843621852676232</v>
      </c>
      <c r="Z44" s="40">
        <f t="array" ref="Z44">INDEX('LTM data'!$D$47:$W$66,MATCH(Speed!$H44&amp;Speed!Z$20,'LTM data'!$C$47:$C$66&amp;'LTM data'!$A$47:$A$66,0),MATCH((Speed!$K44&amp;" DKE"),'LTM data'!$D$46:$W$46,0))</f>
        <v>0.59404218916268892</v>
      </c>
      <c r="AA44" s="7">
        <f t="shared" si="13"/>
        <v>1.1903199961049342</v>
      </c>
      <c r="AB44" s="23">
        <f t="shared" si="14"/>
        <v>5.4367104129261296E-2</v>
      </c>
      <c r="AC44" s="23">
        <f t="shared" si="15"/>
        <v>1.809966262568961E-2</v>
      </c>
      <c r="AD44" s="23">
        <f t="shared" si="16"/>
        <v>3.6267441503571689E-2</v>
      </c>
      <c r="AE44" s="23">
        <f t="shared" si="17"/>
        <v>3.6157609316736276E-2</v>
      </c>
      <c r="AF44" s="23">
        <f t="shared" si="18"/>
        <v>1.2037435880867288E-2</v>
      </c>
      <c r="AG44" s="23">
        <f t="shared" si="19"/>
        <v>2.4120173435868992E-2</v>
      </c>
      <c r="AH44" s="23">
        <f t="shared" si="20"/>
        <v>3.2856131244435413E-2</v>
      </c>
      <c r="AI44" s="23">
        <f t="shared" si="21"/>
        <v>1.0938321991470407E-2</v>
      </c>
      <c r="AJ44" s="23">
        <f t="shared" si="22"/>
        <v>2.1917809252965006E-2</v>
      </c>
      <c r="AK44" s="23">
        <f t="shared" si="23"/>
        <v>3.0924890375186233E-2</v>
      </c>
      <c r="AL44" s="23">
        <f t="shared" si="24"/>
        <v>1.0295381582151448E-2</v>
      </c>
      <c r="AM44" s="23">
        <f t="shared" si="25"/>
        <v>2.0629508793034785E-2</v>
      </c>
      <c r="AN44" s="23">
        <f t="shared" si="26"/>
        <v>2.955465317213455E-2</v>
      </c>
      <c r="AO44" s="23">
        <f t="shared" si="27"/>
        <v>9.8392081020735236E-3</v>
      </c>
      <c r="AP44" s="23">
        <f t="shared" si="28"/>
        <v>1.9715445070061025E-2</v>
      </c>
    </row>
    <row r="45" spans="3:42">
      <c r="C45" s="23" t="s">
        <v>446</v>
      </c>
      <c r="D45" s="23">
        <v>2010</v>
      </c>
      <c r="E45" s="139">
        <f>1/$P$13</f>
        <v>6.3168993489701467E-2</v>
      </c>
      <c r="F45" s="139">
        <f>1/$P$13</f>
        <v>6.3168993489701467E-2</v>
      </c>
      <c r="G45" s="23" t="s">
        <v>437</v>
      </c>
      <c r="H45" s="23" t="s">
        <v>84</v>
      </c>
      <c r="I45" s="23" t="s">
        <v>452</v>
      </c>
      <c r="K45" s="23" t="s">
        <v>66</v>
      </c>
      <c r="M45" s="40">
        <f t="array" ref="M45">INDEX('LTM data'!$D$47:$W$66,MATCH(Speed!$H45&amp;Speed!M$20,'LTM data'!$C$47:$C$66&amp;'LTM data'!$A$47:$A$66,0),MATCH(Speed!$K45,'LTM data'!$D$46:$W$46,0))</f>
        <v>1374.569890215354</v>
      </c>
      <c r="N45" s="40">
        <f t="array" ref="N45">INDEX('LTM data'!$D$47:$W$66,MATCH(Speed!$H45&amp;Speed!N$20,'LTM data'!$C$47:$C$66&amp;'LTM data'!$A$47:$A$66,0),MATCH((Speed!$K45&amp;" DKE"),'LTM data'!$D$46:$W$46,0))</f>
        <v>617.09401818322704</v>
      </c>
      <c r="O45" s="7">
        <f t="shared" si="9"/>
        <v>757.47587203212697</v>
      </c>
      <c r="P45" s="40">
        <f t="array" ref="P45">INDEX('LTM data'!$D$47:$W$66,MATCH(Speed!$H45&amp;Speed!P$20,'LTM data'!$C$47:$C$66&amp;'LTM data'!$A$47:$A$66,0),MATCH(Speed!$K45,'LTM data'!$D$46:$W$46,0))</f>
        <v>1540.4888702842877</v>
      </c>
      <c r="Q45" s="40">
        <f t="array" ref="Q45">INDEX('LTM data'!$D$47:$W$66,MATCH(Speed!$H45&amp;Speed!Q$20,'LTM data'!$C$47:$C$66&amp;'LTM data'!$A$47:$A$66,0),MATCH((Speed!$K45&amp;" DKE"),'LTM data'!$D$46:$W$46,0))</f>
        <v>691.58103469103082</v>
      </c>
      <c r="R45" s="7">
        <f t="shared" si="10"/>
        <v>848.90783559325689</v>
      </c>
      <c r="S45" s="40">
        <f t="array" ref="S45">INDEX('LTM data'!$D$47:$W$66,MATCH(Speed!$H45&amp;Speed!S$20,'LTM data'!$C$47:$C$66&amp;'LTM data'!$A$47:$A$66,0),MATCH(Speed!$K45,'LTM data'!$D$46:$W$46,0))</f>
        <v>1578.4945659023358</v>
      </c>
      <c r="T45" s="40">
        <f t="array" ref="T45">INDEX('LTM data'!$D$47:$W$66,MATCH(Speed!$H45&amp;Speed!T$20,'LTM data'!$C$47:$C$66&amp;'LTM data'!$A$47:$A$66,0),MATCH((Speed!$K45&amp;" DKE"),'LTM data'!$D$46:$W$46,0))</f>
        <v>708.64316269902577</v>
      </c>
      <c r="U45" s="7">
        <f t="shared" si="11"/>
        <v>869.85140320331004</v>
      </c>
      <c r="V45" s="40">
        <f t="array" ref="V45">INDEX('LTM data'!$D$47:$W$66,MATCH(Speed!$H45&amp;Speed!V$20,'LTM data'!$C$47:$C$66&amp;'LTM data'!$A$47:$A$66,0),MATCH(Speed!$K45,'LTM data'!$D$46:$W$46,0))</f>
        <v>1571.9874476678788</v>
      </c>
      <c r="W45" s="40">
        <f t="array" ref="W45">INDEX('LTM data'!$D$47:$W$66,MATCH(Speed!$H45&amp;Speed!W$20,'LTM data'!$C$47:$C$66&amp;'LTM data'!$A$47:$A$66,0),MATCH((Speed!$K45&amp;" DKE"),'LTM data'!$D$46:$W$46,0))</f>
        <v>705.72188254682828</v>
      </c>
      <c r="X45" s="7">
        <f t="shared" si="12"/>
        <v>866.26556512105049</v>
      </c>
      <c r="Y45" s="40">
        <f t="array" ref="Y45">INDEX('LTM data'!$D$47:$W$66,MATCH(Speed!$H45&amp;Speed!Y$20,'LTM data'!$C$47:$C$66&amp;'LTM data'!$A$47:$A$66,0),MATCH(Speed!$K45,'LTM data'!$D$46:$W$46,0))</f>
        <v>1576.5153158196238</v>
      </c>
      <c r="Z45" s="40">
        <f t="array" ref="Z45">INDEX('LTM data'!$D$47:$W$66,MATCH(Speed!$H45&amp;Speed!Z$20,'LTM data'!$C$47:$C$66&amp;'LTM data'!$A$47:$A$66,0),MATCH((Speed!$K45&amp;" DKE"),'LTM data'!$D$46:$W$46,0))</f>
        <v>707.75460592557658</v>
      </c>
      <c r="AA45" s="7">
        <f t="shared" si="13"/>
        <v>868.76070989404718</v>
      </c>
      <c r="AB45" s="23">
        <f t="shared" si="14"/>
        <v>86.830196446153352</v>
      </c>
      <c r="AC45" s="23">
        <f t="shared" si="15"/>
        <v>38.981208017149989</v>
      </c>
      <c r="AD45" s="23">
        <f t="shared" si="16"/>
        <v>47.84898842900337</v>
      </c>
      <c r="AE45" s="23">
        <f t="shared" si="17"/>
        <v>97.311131417945731</v>
      </c>
      <c r="AF45" s="23">
        <f t="shared" si="18"/>
        <v>43.686477877998733</v>
      </c>
      <c r="AG45" s="23">
        <f t="shared" si="19"/>
        <v>53.624653539947005</v>
      </c>
      <c r="AH45" s="23">
        <f t="shared" si="20"/>
        <v>99.711912957013794</v>
      </c>
      <c r="AI45" s="23">
        <f t="shared" si="21"/>
        <v>44.764275331056218</v>
      </c>
      <c r="AJ45" s="23">
        <f t="shared" si="22"/>
        <v>54.947637625957576</v>
      </c>
      <c r="AK45" s="23">
        <f t="shared" si="23"/>
        <v>99.300864847624652</v>
      </c>
      <c r="AL45" s="23">
        <f t="shared" si="24"/>
        <v>44.579741004140459</v>
      </c>
      <c r="AM45" s="23">
        <f t="shared" si="25"/>
        <v>54.7211238434842</v>
      </c>
      <c r="AN45" s="23">
        <f t="shared" si="26"/>
        <v>99.586885721424466</v>
      </c>
      <c r="AO45" s="23">
        <f t="shared" si="27"/>
        <v>44.708146094018971</v>
      </c>
      <c r="AP45" s="23">
        <f t="shared" si="28"/>
        <v>54.878739627405494</v>
      </c>
    </row>
    <row r="46" spans="3:42">
      <c r="C46" s="23" t="s">
        <v>446</v>
      </c>
      <c r="D46" s="23">
        <v>2010</v>
      </c>
      <c r="E46" s="139">
        <f>1/$Q$13</f>
        <v>5.4144365763064056E-2</v>
      </c>
      <c r="F46" s="139">
        <f>1/$Q$13</f>
        <v>5.4144365763064056E-2</v>
      </c>
      <c r="G46" s="23" t="s">
        <v>437</v>
      </c>
      <c r="H46" s="23" t="s">
        <v>83</v>
      </c>
      <c r="I46" s="23" t="s">
        <v>49</v>
      </c>
      <c r="K46" s="23" t="s">
        <v>66</v>
      </c>
      <c r="M46" s="40">
        <f t="array" ref="M46">INDEX('LTM data'!$D$47:$W$66,MATCH(Speed!$H46&amp;Speed!M$20,'LTM data'!$C$47:$C$66&amp;'LTM data'!$A$47:$A$66,0),MATCH(Speed!$K46,'LTM data'!$D$46:$W$46,0))</f>
        <v>983.81740692513608</v>
      </c>
      <c r="N46" s="40">
        <f t="array" ref="N46">INDEX('LTM data'!$D$47:$W$66,MATCH(Speed!$H46&amp;Speed!N$20,'LTM data'!$C$47:$C$66&amp;'LTM data'!$A$47:$A$66,0),MATCH((Speed!$K46&amp;" DKE"),'LTM data'!$D$46:$W$46,0))</f>
        <v>441.67113008922303</v>
      </c>
      <c r="O46" s="7">
        <f t="shared" si="9"/>
        <v>542.14627683591311</v>
      </c>
      <c r="P46" s="40">
        <f t="array" ref="P46">INDEX('LTM data'!$D$47:$W$66,MATCH(Speed!$H46&amp;Speed!P$20,'LTM data'!$C$47:$C$66&amp;'LTM data'!$A$47:$A$66,0),MATCH(Speed!$K46,'LTM data'!$D$46:$W$46,0))</f>
        <v>1102.5701759862334</v>
      </c>
      <c r="Q46" s="40">
        <f t="array" ref="Q46">INDEX('LTM data'!$D$47:$W$66,MATCH(Speed!$H46&amp;Speed!Q$20,'LTM data'!$C$47:$C$66&amp;'LTM data'!$A$47:$A$66,0),MATCH((Speed!$K46&amp;" DKE"),'LTM data'!$D$46:$W$46,0))</f>
        <v>494.98353271926771</v>
      </c>
      <c r="R46" s="7">
        <f t="shared" si="10"/>
        <v>607.58664326696567</v>
      </c>
      <c r="S46" s="40">
        <f t="array" ref="S46">INDEX('LTM data'!$D$47:$W$66,MATCH(Speed!$H46&amp;Speed!S$20,'LTM data'!$C$47:$C$66&amp;'LTM data'!$A$47:$A$66,0),MATCH(Speed!$K46,'LTM data'!$D$46:$W$46,0))</f>
        <v>1129.7718957223437</v>
      </c>
      <c r="T46" s="40">
        <f t="array" ref="T46">INDEX('LTM data'!$D$47:$W$66,MATCH(Speed!$H46&amp;Speed!T$20,'LTM data'!$C$47:$C$66&amp;'LTM data'!$A$47:$A$66,0),MATCH((Speed!$K46&amp;" DKE"),'LTM data'!$D$46:$W$46,0))</f>
        <v>507.19536614653737</v>
      </c>
      <c r="U46" s="7">
        <f t="shared" si="11"/>
        <v>622.57652957580638</v>
      </c>
      <c r="V46" s="40">
        <f t="array" ref="V46">INDEX('LTM data'!$D$47:$W$66,MATCH(Speed!$H46&amp;Speed!V$20,'LTM data'!$C$47:$C$66&amp;'LTM data'!$A$47:$A$66,0),MATCH(Speed!$K46,'LTM data'!$D$46:$W$46,0))</f>
        <v>1125.1145725599863</v>
      </c>
      <c r="W46" s="40">
        <f t="array" ref="W46">INDEX('LTM data'!$D$47:$W$66,MATCH(Speed!$H46&amp;Speed!W$20,'LTM data'!$C$47:$C$66&amp;'LTM data'!$A$47:$A$66,0),MATCH((Speed!$K46&amp;" DKE"),'LTM data'!$D$46:$W$46,0))</f>
        <v>505.10452574278997</v>
      </c>
      <c r="X46" s="7">
        <f t="shared" si="12"/>
        <v>620.01004681719633</v>
      </c>
      <c r="Y46" s="40">
        <f t="array" ref="Y46">INDEX('LTM data'!$D$47:$W$66,MATCH(Speed!$H46&amp;Speed!Y$20,'LTM data'!$C$47:$C$66&amp;'LTM data'!$A$47:$A$66,0),MATCH(Speed!$K46,'LTM data'!$D$46:$W$46,0))</f>
        <v>1128.3552921011737</v>
      </c>
      <c r="Z46" s="40">
        <f t="array" ref="Z46">INDEX('LTM data'!$D$47:$W$66,MATCH(Speed!$H46&amp;Speed!Z$20,'LTM data'!$C$47:$C$66&amp;'LTM data'!$A$47:$A$66,0),MATCH((Speed!$K46&amp;" DKE"),'LTM data'!$D$46:$W$46,0))</f>
        <v>506.55940166995208</v>
      </c>
      <c r="AA46" s="7">
        <f t="shared" si="13"/>
        <v>621.79589043122166</v>
      </c>
      <c r="AB46" s="23">
        <f t="shared" si="14"/>
        <v>53.268169524623794</v>
      </c>
      <c r="AC46" s="23">
        <f t="shared" si="15"/>
        <v>23.914003214536738</v>
      </c>
      <c r="AD46" s="23">
        <f t="shared" si="16"/>
        <v>29.354166310087063</v>
      </c>
      <c r="AE46" s="23">
        <f t="shared" si="17"/>
        <v>59.697962888044529</v>
      </c>
      <c r="AF46" s="23">
        <f t="shared" si="18"/>
        <v>26.800569442245617</v>
      </c>
      <c r="AG46" s="23">
        <f t="shared" si="19"/>
        <v>32.897393445798912</v>
      </c>
      <c r="AH46" s="23">
        <f t="shared" si="20"/>
        <v>61.170782750820841</v>
      </c>
      <c r="AI46" s="23">
        <f t="shared" si="21"/>
        <v>27.461771417969317</v>
      </c>
      <c r="AJ46" s="23">
        <f t="shared" si="22"/>
        <v>33.709011332851524</v>
      </c>
      <c r="AK46" s="23">
        <f t="shared" si="23"/>
        <v>60.918614942041373</v>
      </c>
      <c r="AL46" s="23">
        <f t="shared" si="24"/>
        <v>27.348564190396626</v>
      </c>
      <c r="AM46" s="23">
        <f t="shared" si="25"/>
        <v>33.57005075164475</v>
      </c>
      <c r="AN46" s="23">
        <f t="shared" si="26"/>
        <v>61.094081646214931</v>
      </c>
      <c r="AO46" s="23">
        <f t="shared" si="27"/>
        <v>27.427337524736767</v>
      </c>
      <c r="AP46" s="23">
        <f t="shared" si="28"/>
        <v>33.666744121478168</v>
      </c>
    </row>
    <row r="47" spans="3:42">
      <c r="C47" s="23" t="s">
        <v>446</v>
      </c>
      <c r="D47" s="23">
        <v>2010</v>
      </c>
      <c r="E47" s="139">
        <f>1/$P$14</f>
        <v>5.7142857142857141E-2</v>
      </c>
      <c r="F47" s="139">
        <f>1/$P$14</f>
        <v>5.7142857142857141E-2</v>
      </c>
      <c r="G47" s="23" t="s">
        <v>453</v>
      </c>
      <c r="H47" s="23" t="s">
        <v>84</v>
      </c>
      <c r="I47" s="23" t="s">
        <v>452</v>
      </c>
      <c r="K47" s="23" t="s">
        <v>454</v>
      </c>
      <c r="M47" s="40" t="e">
        <f t="array" ref="M47">INDEX('LTM data'!$D$47:$W$66,MATCH(Speed!$H47&amp;Speed!M$20,'LTM data'!$C$47:$C$66&amp;'LTM data'!$A$47:$A$66,0),MATCH(Speed!$K47,'LTM data'!$D$46:$W$46,0))</f>
        <v>#N/A</v>
      </c>
      <c r="N47" s="40" t="e">
        <f t="array" ref="N47">INDEX('LTM data'!$D$47:$W$66,MATCH(Speed!$H47&amp;Speed!N$20,'LTM data'!$C$47:$C$66&amp;'LTM data'!$A$47:$A$66,0),MATCH((Speed!$K47&amp;" DKE"),'LTM data'!$D$46:$W$46,0))</f>
        <v>#N/A</v>
      </c>
      <c r="O47" s="7" t="e">
        <f t="shared" si="9"/>
        <v>#N/A</v>
      </c>
      <c r="P47" s="40" t="e">
        <f t="array" ref="P47">INDEX('LTM data'!$D$47:$W$66,MATCH(Speed!$H47&amp;Speed!P$20,'LTM data'!$C$47:$C$66&amp;'LTM data'!$A$47:$A$66,0),MATCH(Speed!$K47,'LTM data'!$D$46:$W$46,0))</f>
        <v>#N/A</v>
      </c>
      <c r="Q47" s="40" t="e">
        <f t="array" ref="Q47">INDEX('LTM data'!$D$47:$W$66,MATCH(Speed!$H47&amp;Speed!Q$20,'LTM data'!$C$47:$C$66&amp;'LTM data'!$A$47:$A$66,0),MATCH((Speed!$K47&amp;" DKE"),'LTM data'!$D$46:$W$46,0))</f>
        <v>#N/A</v>
      </c>
      <c r="R47" s="7" t="e">
        <f t="shared" si="10"/>
        <v>#N/A</v>
      </c>
      <c r="S47" s="40" t="e">
        <f t="array" ref="S47">INDEX('LTM data'!$D$47:$W$66,MATCH(Speed!$H47&amp;Speed!S$20,'LTM data'!$C$47:$C$66&amp;'LTM data'!$A$47:$A$66,0),MATCH(Speed!$K47,'LTM data'!$D$46:$W$46,0))</f>
        <v>#N/A</v>
      </c>
      <c r="T47" s="40" t="e">
        <f t="array" ref="T47">INDEX('LTM data'!$D$47:$W$66,MATCH(Speed!$H47&amp;Speed!T$20,'LTM data'!$C$47:$C$66&amp;'LTM data'!$A$47:$A$66,0),MATCH((Speed!$K47&amp;" DKE"),'LTM data'!$D$46:$W$46,0))</f>
        <v>#N/A</v>
      </c>
      <c r="U47" s="7" t="e">
        <f t="shared" si="11"/>
        <v>#N/A</v>
      </c>
      <c r="V47" s="40" t="e">
        <f t="array" ref="V47">INDEX('LTM data'!$D$47:$W$66,MATCH(Speed!$H47&amp;Speed!V$20,'LTM data'!$C$47:$C$66&amp;'LTM data'!$A$47:$A$66,0),MATCH(Speed!$K47,'LTM data'!$D$46:$W$46,0))</f>
        <v>#N/A</v>
      </c>
      <c r="W47" s="40" t="e">
        <f t="array" ref="W47">INDEX('LTM data'!$D$47:$W$66,MATCH(Speed!$H47&amp;Speed!W$20,'LTM data'!$C$47:$C$66&amp;'LTM data'!$A$47:$A$66,0),MATCH((Speed!$K47&amp;" DKE"),'LTM data'!$D$46:$W$46,0))</f>
        <v>#N/A</v>
      </c>
      <c r="X47" s="7" t="e">
        <f t="shared" si="12"/>
        <v>#N/A</v>
      </c>
      <c r="Y47" s="40" t="e">
        <f t="array" ref="Y47">INDEX('LTM data'!$D$47:$W$66,MATCH(Speed!$H47&amp;Speed!Y$20,'LTM data'!$C$47:$C$66&amp;'LTM data'!$A$47:$A$66,0),MATCH(Speed!$K47,'LTM data'!$D$46:$W$46,0))</f>
        <v>#N/A</v>
      </c>
      <c r="Z47" s="40" t="e">
        <f t="array" ref="Z47">INDEX('LTM data'!$D$47:$W$66,MATCH(Speed!$H47&amp;Speed!Z$20,'LTM data'!$C$47:$C$66&amp;'LTM data'!$A$47:$A$66,0),MATCH((Speed!$K47&amp;" DKE"),'LTM data'!$D$46:$W$46,0))</f>
        <v>#N/A</v>
      </c>
      <c r="AA47" s="7" t="e">
        <f t="shared" si="13"/>
        <v>#N/A</v>
      </c>
    </row>
    <row r="48" spans="3:42">
      <c r="C48" s="23" t="s">
        <v>446</v>
      </c>
      <c r="D48" s="23">
        <v>2010</v>
      </c>
      <c r="E48" s="139">
        <f>1/$Q$14</f>
        <v>5.3333333333333337E-2</v>
      </c>
      <c r="F48" s="139">
        <f>1/$Q$14</f>
        <v>5.3333333333333337E-2</v>
      </c>
      <c r="G48" s="23" t="s">
        <v>453</v>
      </c>
      <c r="H48" s="23" t="s">
        <v>83</v>
      </c>
      <c r="I48" s="23" t="s">
        <v>49</v>
      </c>
      <c r="K48" s="23" t="s">
        <v>454</v>
      </c>
      <c r="M48" s="40" t="e">
        <f t="array" ref="M48">INDEX('LTM data'!$D$47:$W$66,MATCH(Speed!$H48&amp;Speed!M$20,'LTM data'!$C$47:$C$66&amp;'LTM data'!$A$47:$A$66,0),MATCH(Speed!$K48,'LTM data'!$D$46:$W$46,0))</f>
        <v>#N/A</v>
      </c>
      <c r="N48" s="40" t="e">
        <f t="array" ref="N48">INDEX('LTM data'!$D$47:$W$66,MATCH(Speed!$H48&amp;Speed!N$20,'LTM data'!$C$47:$C$66&amp;'LTM data'!$A$47:$A$66,0),MATCH((Speed!$K48&amp;" DKE"),'LTM data'!$D$46:$W$46,0))</f>
        <v>#N/A</v>
      </c>
      <c r="O48" s="7" t="e">
        <f t="shared" si="9"/>
        <v>#N/A</v>
      </c>
      <c r="P48" s="40" t="e">
        <f t="array" ref="P48">INDEX('LTM data'!$D$47:$W$66,MATCH(Speed!$H48&amp;Speed!P$20,'LTM data'!$C$47:$C$66&amp;'LTM data'!$A$47:$A$66,0),MATCH(Speed!$K48,'LTM data'!$D$46:$W$46,0))</f>
        <v>#N/A</v>
      </c>
      <c r="Q48" s="40" t="e">
        <f t="array" ref="Q48">INDEX('LTM data'!$D$47:$W$66,MATCH(Speed!$H48&amp;Speed!Q$20,'LTM data'!$C$47:$C$66&amp;'LTM data'!$A$47:$A$66,0),MATCH((Speed!$K48&amp;" DKE"),'LTM data'!$D$46:$W$46,0))</f>
        <v>#N/A</v>
      </c>
      <c r="R48" s="7" t="e">
        <f t="shared" si="10"/>
        <v>#N/A</v>
      </c>
      <c r="S48" s="40" t="e">
        <f t="array" ref="S48">INDEX('LTM data'!$D$47:$W$66,MATCH(Speed!$H48&amp;Speed!S$20,'LTM data'!$C$47:$C$66&amp;'LTM data'!$A$47:$A$66,0),MATCH(Speed!$K48,'LTM data'!$D$46:$W$46,0))</f>
        <v>#N/A</v>
      </c>
      <c r="T48" s="40" t="e">
        <f t="array" ref="T48">INDEX('LTM data'!$D$47:$W$66,MATCH(Speed!$H48&amp;Speed!T$20,'LTM data'!$C$47:$C$66&amp;'LTM data'!$A$47:$A$66,0),MATCH((Speed!$K48&amp;" DKE"),'LTM data'!$D$46:$W$46,0))</f>
        <v>#N/A</v>
      </c>
      <c r="U48" s="7" t="e">
        <f t="shared" si="11"/>
        <v>#N/A</v>
      </c>
      <c r="V48" s="40" t="e">
        <f t="array" ref="V48">INDEX('LTM data'!$D$47:$W$66,MATCH(Speed!$H48&amp;Speed!V$20,'LTM data'!$C$47:$C$66&amp;'LTM data'!$A$47:$A$66,0),MATCH(Speed!$K48,'LTM data'!$D$46:$W$46,0))</f>
        <v>#N/A</v>
      </c>
      <c r="W48" s="40" t="e">
        <f t="array" ref="W48">INDEX('LTM data'!$D$47:$W$66,MATCH(Speed!$H48&amp;Speed!W$20,'LTM data'!$C$47:$C$66&amp;'LTM data'!$A$47:$A$66,0),MATCH((Speed!$K48&amp;" DKE"),'LTM data'!$D$46:$W$46,0))</f>
        <v>#N/A</v>
      </c>
      <c r="X48" s="7" t="e">
        <f t="shared" si="12"/>
        <v>#N/A</v>
      </c>
      <c r="Y48" s="40" t="e">
        <f t="array" ref="Y48">INDEX('LTM data'!$D$47:$W$66,MATCH(Speed!$H48&amp;Speed!Y$20,'LTM data'!$C$47:$C$66&amp;'LTM data'!$A$47:$A$66,0),MATCH(Speed!$K48,'LTM data'!$D$46:$W$46,0))</f>
        <v>#N/A</v>
      </c>
      <c r="Z48" s="40" t="e">
        <f t="array" ref="Z48">INDEX('LTM data'!$D$47:$W$66,MATCH(Speed!$H48&amp;Speed!Z$20,'LTM data'!$C$47:$C$66&amp;'LTM data'!$A$47:$A$66,0),MATCH((Speed!$K48&amp;" DKE"),'LTM data'!$D$46:$W$46,0))</f>
        <v>#N/A</v>
      </c>
      <c r="AA48" s="7" t="e">
        <f t="shared" si="13"/>
        <v>#N/A</v>
      </c>
    </row>
    <row r="49" spans="3:42">
      <c r="C49" s="23" t="s">
        <v>446</v>
      </c>
      <c r="D49" s="23">
        <v>2010</v>
      </c>
      <c r="E49" s="139">
        <f>1/$R$14</f>
        <v>0.05</v>
      </c>
      <c r="F49" s="139">
        <f>1/$R$14</f>
        <v>0.05</v>
      </c>
      <c r="G49" s="23" t="s">
        <v>453</v>
      </c>
      <c r="H49" s="23" t="s">
        <v>82</v>
      </c>
      <c r="I49" s="23" t="s">
        <v>455</v>
      </c>
      <c r="K49" s="23" t="s">
        <v>454</v>
      </c>
      <c r="M49" s="40" t="e">
        <f t="array" ref="M49">INDEX('LTM data'!$D$47:$W$66,MATCH(Speed!$H49&amp;Speed!M$20,'LTM data'!$C$47:$C$66&amp;'LTM data'!$A$47:$A$66,0),MATCH(Speed!$K49,'LTM data'!$D$46:$W$46,0))</f>
        <v>#N/A</v>
      </c>
      <c r="N49" s="40" t="e">
        <f t="array" ref="N49">INDEX('LTM data'!$D$47:$W$66,MATCH(Speed!$H49&amp;Speed!N$20,'LTM data'!$C$47:$C$66&amp;'LTM data'!$A$47:$A$66,0),MATCH((Speed!$K49&amp;" DKE"),'LTM data'!$D$46:$W$46,0))</f>
        <v>#N/A</v>
      </c>
      <c r="O49" s="7" t="e">
        <f t="shared" si="9"/>
        <v>#N/A</v>
      </c>
      <c r="P49" s="40" t="e">
        <f t="array" ref="P49">INDEX('LTM data'!$D$47:$W$66,MATCH(Speed!$H49&amp;Speed!P$20,'LTM data'!$C$47:$C$66&amp;'LTM data'!$A$47:$A$66,0),MATCH(Speed!$K49,'LTM data'!$D$46:$W$46,0))</f>
        <v>#N/A</v>
      </c>
      <c r="Q49" s="40" t="e">
        <f t="array" ref="Q49">INDEX('LTM data'!$D$47:$W$66,MATCH(Speed!$H49&amp;Speed!Q$20,'LTM data'!$C$47:$C$66&amp;'LTM data'!$A$47:$A$66,0),MATCH((Speed!$K49&amp;" DKE"),'LTM data'!$D$46:$W$46,0))</f>
        <v>#N/A</v>
      </c>
      <c r="R49" s="7" t="e">
        <f t="shared" si="10"/>
        <v>#N/A</v>
      </c>
      <c r="S49" s="40" t="e">
        <f t="array" ref="S49">INDEX('LTM data'!$D$47:$W$66,MATCH(Speed!$H49&amp;Speed!S$20,'LTM data'!$C$47:$C$66&amp;'LTM data'!$A$47:$A$66,0),MATCH(Speed!$K49,'LTM data'!$D$46:$W$46,0))</f>
        <v>#N/A</v>
      </c>
      <c r="T49" s="40" t="e">
        <f t="array" ref="T49">INDEX('LTM data'!$D$47:$W$66,MATCH(Speed!$H49&amp;Speed!T$20,'LTM data'!$C$47:$C$66&amp;'LTM data'!$A$47:$A$66,0),MATCH((Speed!$K49&amp;" DKE"),'LTM data'!$D$46:$W$46,0))</f>
        <v>#N/A</v>
      </c>
      <c r="U49" s="7" t="e">
        <f t="shared" si="11"/>
        <v>#N/A</v>
      </c>
      <c r="V49" s="40" t="e">
        <f t="array" ref="V49">INDEX('LTM data'!$D$47:$W$66,MATCH(Speed!$H49&amp;Speed!V$20,'LTM data'!$C$47:$C$66&amp;'LTM data'!$A$47:$A$66,0),MATCH(Speed!$K49,'LTM data'!$D$46:$W$46,0))</f>
        <v>#N/A</v>
      </c>
      <c r="W49" s="40" t="e">
        <f t="array" ref="W49">INDEX('LTM data'!$D$47:$W$66,MATCH(Speed!$H49&amp;Speed!W$20,'LTM data'!$C$47:$C$66&amp;'LTM data'!$A$47:$A$66,0),MATCH((Speed!$K49&amp;" DKE"),'LTM data'!$D$46:$W$46,0))</f>
        <v>#N/A</v>
      </c>
      <c r="X49" s="7" t="e">
        <f t="shared" si="12"/>
        <v>#N/A</v>
      </c>
      <c r="Y49" s="40" t="e">
        <f t="array" ref="Y49">INDEX('LTM data'!$D$47:$W$66,MATCH(Speed!$H49&amp;Speed!Y$20,'LTM data'!$C$47:$C$66&amp;'LTM data'!$A$47:$A$66,0),MATCH(Speed!$K49,'LTM data'!$D$46:$W$46,0))</f>
        <v>#N/A</v>
      </c>
      <c r="Z49" s="40" t="e">
        <f t="array" ref="Z49">INDEX('LTM data'!$D$47:$W$66,MATCH(Speed!$H49&amp;Speed!Z$20,'LTM data'!$C$47:$C$66&amp;'LTM data'!$A$47:$A$66,0),MATCH((Speed!$K49&amp;" DKE"),'LTM data'!$D$46:$W$46,0))</f>
        <v>#N/A</v>
      </c>
      <c r="AA49" s="7" t="e">
        <f t="shared" si="13"/>
        <v>#N/A</v>
      </c>
    </row>
    <row r="50" spans="3:42">
      <c r="C50" s="23" t="s">
        <v>446</v>
      </c>
      <c r="D50" s="23">
        <v>2010</v>
      </c>
      <c r="E50" s="139">
        <f>1/$P$15</f>
        <v>0.16717433611811228</v>
      </c>
      <c r="F50" s="139">
        <f>1/$P$15</f>
        <v>0.16717433611811228</v>
      </c>
      <c r="G50" s="23" t="s">
        <v>155</v>
      </c>
      <c r="H50" s="23" t="s">
        <v>84</v>
      </c>
      <c r="I50" s="23" t="s">
        <v>456</v>
      </c>
      <c r="K50" s="23" t="s">
        <v>65</v>
      </c>
      <c r="M50" s="40">
        <f t="array" ref="M50">INDEX('LTM data'!$D$47:$W$66,MATCH(Speed!$H50&amp;Speed!M$20,'LTM data'!$C$47:$C$66&amp;'LTM data'!$A$47:$A$66,0),MATCH(Speed!$K50,'LTM data'!$D$46:$W$46,0))</f>
        <v>538.26410683322797</v>
      </c>
      <c r="N50" s="40">
        <f t="array" ref="N50">INDEX('LTM data'!$D$47:$W$66,MATCH(Speed!$H50&amp;Speed!N$20,'LTM data'!$C$47:$C$66&amp;'LTM data'!$A$47:$A$66,0),MATCH((Speed!$K50&amp;" DKE"),'LTM data'!$D$46:$W$46,0))</f>
        <v>316.33898005988499</v>
      </c>
      <c r="O50" s="7">
        <f t="shared" si="9"/>
        <v>221.92512677334298</v>
      </c>
      <c r="P50" s="40">
        <f t="array" ref="P50">INDEX('LTM data'!$D$47:$W$66,MATCH(Speed!$H50&amp;Speed!P$20,'LTM data'!$C$47:$C$66&amp;'LTM data'!$A$47:$A$66,0),MATCH(Speed!$K50,'LTM data'!$D$46:$W$46,0))</f>
        <v>568.84274385244737</v>
      </c>
      <c r="Q50" s="40">
        <f t="array" ref="Q50">INDEX('LTM data'!$D$47:$W$66,MATCH(Speed!$H50&amp;Speed!Q$20,'LTM data'!$C$47:$C$66&amp;'LTM data'!$A$47:$A$66,0),MATCH((Speed!$K50&amp;" DKE"),'LTM data'!$D$46:$W$46,0))</f>
        <v>334.31011118953018</v>
      </c>
      <c r="R50" s="7">
        <f t="shared" si="10"/>
        <v>234.53263266291719</v>
      </c>
      <c r="S50" s="40">
        <f t="array" ref="S50">INDEX('LTM data'!$D$47:$W$66,MATCH(Speed!$H50&amp;Speed!S$20,'LTM data'!$C$47:$C$66&amp;'LTM data'!$A$47:$A$66,0),MATCH(Speed!$K50,'LTM data'!$D$46:$W$46,0))</f>
        <v>607.88098656458271</v>
      </c>
      <c r="T50" s="40">
        <f t="array" ref="T50">INDEX('LTM data'!$D$47:$W$66,MATCH(Speed!$H50&amp;Speed!T$20,'LTM data'!$C$47:$C$66&amp;'LTM data'!$A$47:$A$66,0),MATCH((Speed!$K50&amp;" DKE"),'LTM data'!$D$46:$W$46,0))</f>
        <v>357.25297088630981</v>
      </c>
      <c r="U50" s="7">
        <f t="shared" si="11"/>
        <v>250.6280156782729</v>
      </c>
      <c r="V50" s="40">
        <f t="array" ref="V50">INDEX('LTM data'!$D$47:$W$66,MATCH(Speed!$H50&amp;Speed!V$20,'LTM data'!$C$47:$C$66&amp;'LTM data'!$A$47:$A$66,0),MATCH(Speed!$K50,'LTM data'!$D$46:$W$46,0))</f>
        <v>641.10626135548523</v>
      </c>
      <c r="W50" s="40">
        <f t="array" ref="W50">INDEX('LTM data'!$D$47:$W$66,MATCH(Speed!$H50&amp;Speed!W$20,'LTM data'!$C$47:$C$66&amp;'LTM data'!$A$47:$A$66,0),MATCH((Speed!$K50&amp;" DKE"),'LTM data'!$D$46:$W$46,0))</f>
        <v>376.77953676007701</v>
      </c>
      <c r="X50" s="7">
        <f t="shared" si="12"/>
        <v>264.32672459540822</v>
      </c>
      <c r="Y50" s="40">
        <f t="array" ref="Y50">INDEX('LTM data'!$D$47:$W$66,MATCH(Speed!$H50&amp;Speed!Y$20,'LTM data'!$C$47:$C$66&amp;'LTM data'!$A$47:$A$66,0),MATCH(Speed!$K50,'LTM data'!$D$46:$W$46,0))</f>
        <v>675.91406779916952</v>
      </c>
      <c r="Z50" s="40">
        <f t="array" ref="Z50">INDEX('LTM data'!$D$47:$W$66,MATCH(Speed!$H50&amp;Speed!Z$20,'LTM data'!$C$47:$C$66&amp;'LTM data'!$A$47:$A$66,0),MATCH((Speed!$K50&amp;" DKE"),'LTM data'!$D$46:$W$46,0))</f>
        <v>397.23615990981381</v>
      </c>
      <c r="AA50" s="7">
        <f t="shared" si="13"/>
        <v>278.67790788935571</v>
      </c>
      <c r="AB50" s="23">
        <f t="shared" si="14"/>
        <v>89.983944716053543</v>
      </c>
      <c r="AC50" s="23">
        <f>$E50*N50</f>
        <v>52.883758979792027</v>
      </c>
      <c r="AD50" s="23">
        <f>$F50*O50</f>
        <v>37.100185736261516</v>
      </c>
      <c r="AE50" s="23">
        <f t="shared" ref="AE50:AE54" si="29">P50*$F50</f>
        <v>95.095908059138281</v>
      </c>
      <c r="AF50" s="23">
        <f>$E50*Q50</f>
        <v>55.888070895682006</v>
      </c>
      <c r="AG50" s="23">
        <f>$F50*R50</f>
        <v>39.207837163456276</v>
      </c>
      <c r="AH50" s="23">
        <f t="shared" ref="AH50:AH54" si="30">S50*$F50</f>
        <v>101.62210036775724</v>
      </c>
      <c r="AI50" s="23">
        <f>$E50*T50</f>
        <v>59.723528234142137</v>
      </c>
      <c r="AJ50" s="23">
        <f>$F50*U50</f>
        <v>41.898572133615104</v>
      </c>
      <c r="AK50" s="23">
        <f t="shared" ref="AK50:AK54" si="31">V50*$F50</f>
        <v>107.17651362326822</v>
      </c>
      <c r="AL50" s="23">
        <f>$E50*W50</f>
        <v>62.987868920755751</v>
      </c>
      <c r="AM50" s="23">
        <f>$F50*X50</f>
        <v>44.18864470251247</v>
      </c>
      <c r="AN50" s="23">
        <f t="shared" ref="AN50:AN54" si="32">Y50*$F50</f>
        <v>112.9954855572189</v>
      </c>
      <c r="AO50" s="23">
        <f>$E50*Z50</f>
        <v>66.407691315031414</v>
      </c>
      <c r="AP50" s="23">
        <f>$F50*AA50</f>
        <v>46.587794242187485</v>
      </c>
    </row>
    <row r="51" spans="3:42">
      <c r="C51" s="23" t="s">
        <v>446</v>
      </c>
      <c r="D51" s="23">
        <v>2010</v>
      </c>
      <c r="E51" s="139">
        <f>1/$Q$15</f>
        <v>0.16717433611811228</v>
      </c>
      <c r="F51" s="139">
        <f>1/$Q$15</f>
        <v>0.16717433611811228</v>
      </c>
      <c r="G51" s="23" t="s">
        <v>155</v>
      </c>
      <c r="H51" s="23" t="s">
        <v>83</v>
      </c>
      <c r="I51" s="23" t="s">
        <v>50</v>
      </c>
      <c r="K51" s="23" t="s">
        <v>65</v>
      </c>
      <c r="M51" s="40">
        <f t="array" ref="M51">INDEX('LTM data'!$D$47:$W$66,MATCH(Speed!$H51&amp;Speed!M$20,'LTM data'!$C$47:$C$66&amp;'LTM data'!$A$47:$A$66,0),MATCH(Speed!$K51,'LTM data'!$D$46:$W$46,0))</f>
        <v>41.693641878562104</v>
      </c>
      <c r="N51" s="40">
        <f t="array" ref="N51">INDEX('LTM data'!$D$47:$W$66,MATCH(Speed!$H51&amp;Speed!N$20,'LTM data'!$C$47:$C$66&amp;'LTM data'!$A$47:$A$66,0),MATCH((Speed!$K51&amp;" DKE"),'LTM data'!$D$46:$W$46,0))</f>
        <v>24.5034435315468</v>
      </c>
      <c r="O51" s="7">
        <f t="shared" si="9"/>
        <v>17.190198347015304</v>
      </c>
      <c r="P51" s="40">
        <f t="array" ref="P51">INDEX('LTM data'!$D$47:$W$66,MATCH(Speed!$H51&amp;Speed!P$20,'LTM data'!$C$47:$C$66&amp;'LTM data'!$A$47:$A$66,0),MATCH(Speed!$K51,'LTM data'!$D$46:$W$46,0))</f>
        <v>44.062246295666377</v>
      </c>
      <c r="Q51" s="40">
        <f t="array" ref="Q51">INDEX('LTM data'!$D$47:$W$66,MATCH(Speed!$H51&amp;Speed!Q$20,'LTM data'!$C$47:$C$66&amp;'LTM data'!$A$47:$A$66,0),MATCH((Speed!$K51&amp;" DKE"),'LTM data'!$D$46:$W$46,0))</f>
        <v>25.895477471688864</v>
      </c>
      <c r="R51" s="7">
        <f t="shared" si="10"/>
        <v>18.166768823977513</v>
      </c>
      <c r="S51" s="40">
        <f t="array" ref="S51">INDEX('LTM data'!$D$47:$W$66,MATCH(Speed!$H51&amp;Speed!S$20,'LTM data'!$C$47:$C$66&amp;'LTM data'!$A$47:$A$66,0),MATCH(Speed!$K51,'LTM data'!$D$46:$W$46,0))</f>
        <v>47.086127120237983</v>
      </c>
      <c r="T51" s="40">
        <f t="array" ref="T51">INDEX('LTM data'!$D$47:$W$66,MATCH(Speed!$H51&amp;Speed!T$20,'LTM data'!$C$47:$C$66&amp;'LTM data'!$A$47:$A$66,0),MATCH((Speed!$K51&amp;" DKE"),'LTM data'!$D$46:$W$46,0))</f>
        <v>27.672618774116458</v>
      </c>
      <c r="U51" s="7">
        <f t="shared" si="11"/>
        <v>19.413508346121525</v>
      </c>
      <c r="V51" s="40">
        <f t="array" ref="V51">INDEX('LTM data'!$D$47:$W$66,MATCH(Speed!$H51&amp;Speed!V$20,'LTM data'!$C$47:$C$66&amp;'LTM data'!$A$47:$A$66,0),MATCH(Speed!$K51,'LTM data'!$D$46:$W$46,0))</f>
        <v>49.659738644511336</v>
      </c>
      <c r="W51" s="40">
        <f t="array" ref="W51">INDEX('LTM data'!$D$47:$W$66,MATCH(Speed!$H51&amp;Speed!W$20,'LTM data'!$C$47:$C$66&amp;'LTM data'!$A$47:$A$66,0),MATCH((Speed!$K51&amp;" DKE"),'LTM data'!$D$46:$W$46,0))</f>
        <v>29.185135834651664</v>
      </c>
      <c r="X51" s="7">
        <f t="shared" si="12"/>
        <v>20.474602809859672</v>
      </c>
      <c r="Y51" s="40">
        <f t="array" ref="Y51">INDEX('LTM data'!$D$47:$W$66,MATCH(Speed!$H51&amp;Speed!Y$20,'LTM data'!$C$47:$C$66&amp;'LTM data'!$A$47:$A$66,0),MATCH(Speed!$K51,'LTM data'!$D$46:$W$46,0))</f>
        <v>52.355932200829841</v>
      </c>
      <c r="Z51" s="40">
        <f t="array" ref="Z51">INDEX('LTM data'!$D$47:$W$66,MATCH(Speed!$H51&amp;Speed!Z$20,'LTM data'!$C$47:$C$66&amp;'LTM data'!$A$47:$A$66,0),MATCH((Speed!$K51&amp;" DKE"),'LTM data'!$D$46:$W$46,0))</f>
        <v>30.769694620612274</v>
      </c>
      <c r="AA51" s="7">
        <f t="shared" si="13"/>
        <v>21.586237580217567</v>
      </c>
      <c r="AB51" s="23">
        <f t="shared" si="14"/>
        <v>6.970106901394943</v>
      </c>
      <c r="AC51" s="23">
        <f>$E51*N51</f>
        <v>4.0963469049939887</v>
      </c>
      <c r="AD51" s="23">
        <f>$F51*O51</f>
        <v>2.8737599964009544</v>
      </c>
      <c r="AE51" s="23">
        <f t="shared" si="29"/>
        <v>7.3660767723507785</v>
      </c>
      <c r="AF51" s="23">
        <f>$E51*Q51</f>
        <v>4.329059254791118</v>
      </c>
      <c r="AG51" s="23">
        <f>$F51*R51</f>
        <v>3.0370175175596601</v>
      </c>
      <c r="AH51" s="23">
        <f t="shared" si="30"/>
        <v>7.8715920416988263</v>
      </c>
      <c r="AI51" s="23">
        <f>$E51*T51</f>
        <v>4.6261516722125284</v>
      </c>
      <c r="AJ51" s="23">
        <f>$F51*U51</f>
        <v>3.2454403694862979</v>
      </c>
      <c r="AK51" s="23">
        <f t="shared" si="31"/>
        <v>8.3018338396951474</v>
      </c>
      <c r="AL51" s="23">
        <f>$E51*W51</f>
        <v>4.8790057076748203</v>
      </c>
      <c r="AM51" s="23">
        <f>$F51*X51</f>
        <v>3.4228281320203267</v>
      </c>
      <c r="AN51" s="23">
        <f t="shared" si="32"/>
        <v>8.7525682075186264</v>
      </c>
      <c r="AO51" s="23">
        <f>$E51*Z51</f>
        <v>5.1439032707579075</v>
      </c>
      <c r="AP51" s="23">
        <f>$F51*AA51</f>
        <v>3.608664936760718</v>
      </c>
    </row>
    <row r="52" spans="3:42">
      <c r="C52" s="23" t="s">
        <v>446</v>
      </c>
      <c r="D52" s="23">
        <v>2010</v>
      </c>
      <c r="E52" s="139">
        <f>1/$Q$7</f>
        <v>2.7186888650983676E-2</v>
      </c>
      <c r="F52" s="139">
        <f>1/$Q$7</f>
        <v>2.7186888650983676E-2</v>
      </c>
      <c r="G52" s="23" t="s">
        <v>93</v>
      </c>
      <c r="H52" s="23" t="s">
        <v>83</v>
      </c>
      <c r="I52" s="23" t="s">
        <v>54</v>
      </c>
      <c r="K52" s="23" t="s">
        <v>70</v>
      </c>
      <c r="M52" s="40">
        <f t="array" ref="M52">INDEX('LTM data'!$D$47:$W$66,MATCH(Speed!$H52&amp;Speed!M$20,'LTM data'!$C$47:$C$66&amp;'LTM data'!$A$47:$A$66,0),MATCH(Speed!$K52,'LTM data'!$D$46:$W$46,0))</f>
        <v>394.54088138829201</v>
      </c>
      <c r="N52" s="40">
        <f t="array" ref="N52">INDEX('LTM data'!$D$47:$W$66,MATCH(Speed!$H52&amp;Speed!N$20,'LTM data'!$C$47:$C$66&amp;'LTM data'!$A$47:$A$66,0),MATCH((Speed!$K52&amp;" DKE"),'LTM data'!$D$46:$W$46,0))</f>
        <v>235.984210807344</v>
      </c>
      <c r="O52" s="7">
        <f t="shared" si="9"/>
        <v>158.55667058094801</v>
      </c>
      <c r="P52" s="40">
        <f t="array" ref="P52">INDEX('LTM data'!$D$47:$W$66,MATCH(Speed!$H52&amp;Speed!P$20,'LTM data'!$C$47:$C$66&amp;'LTM data'!$A$47:$A$66,0),MATCH(Speed!$K52,'LTM data'!$D$46:$W$46,0))</f>
        <v>427.32376694234546</v>
      </c>
      <c r="Q52" s="40">
        <f t="array" ref="Q52">INDEX('LTM data'!$D$47:$W$66,MATCH(Speed!$H52&amp;Speed!Q$20,'LTM data'!$C$47:$C$66&amp;'LTM data'!$A$47:$A$66,0),MATCH((Speed!$K52&amp;" DKE"),'LTM data'!$D$46:$W$46,0))</f>
        <v>255.59242820737325</v>
      </c>
      <c r="R52" s="7">
        <f t="shared" si="10"/>
        <v>171.73133873497221</v>
      </c>
      <c r="S52" s="40">
        <f t="array" ref="S52">INDEX('LTM data'!$D$47:$W$66,MATCH(Speed!$H52&amp;Speed!S$20,'LTM data'!$C$47:$C$66&amp;'LTM data'!$A$47:$A$66,0),MATCH(Speed!$K52,'LTM data'!$D$46:$W$46,0))</f>
        <v>439.17022469459039</v>
      </c>
      <c r="T52" s="40">
        <f t="array" ref="T52">INDEX('LTM data'!$D$47:$W$66,MATCH(Speed!$H52&amp;Speed!T$20,'LTM data'!$C$47:$C$66&amp;'LTM data'!$A$47:$A$66,0),MATCH((Speed!$K52&amp;" DKE"),'LTM data'!$D$46:$W$46,0))</f>
        <v>262.67807411988076</v>
      </c>
      <c r="U52" s="7">
        <f t="shared" si="11"/>
        <v>176.49215057470963</v>
      </c>
      <c r="V52" s="40">
        <f t="array" ref="V52">INDEX('LTM data'!$D$47:$W$66,MATCH(Speed!$H52&amp;Speed!V$20,'LTM data'!$C$47:$C$66&amp;'LTM data'!$A$47:$A$66,0),MATCH(Speed!$K52,'LTM data'!$D$46:$W$46,0))</f>
        <v>392.71475095667762</v>
      </c>
      <c r="W52" s="40">
        <f t="array" ref="W52">INDEX('LTM data'!$D$47:$W$66,MATCH(Speed!$H52&amp;Speed!W$20,'LTM data'!$C$47:$C$66&amp;'LTM data'!$A$47:$A$66,0),MATCH((Speed!$K52&amp;" DKE"),'LTM data'!$D$46:$W$46,0))</f>
        <v>234.89195910653308</v>
      </c>
      <c r="X52" s="7">
        <f t="shared" si="12"/>
        <v>157.82279185014454</v>
      </c>
      <c r="Y52" s="40">
        <f t="array" ref="Y52">INDEX('LTM data'!$D$47:$W$66,MATCH(Speed!$H52&amp;Speed!Y$20,'LTM data'!$C$47:$C$66&amp;'LTM data'!$A$47:$A$66,0),MATCH(Speed!$K52,'LTM data'!$D$46:$W$46,0))</f>
        <v>360.77865215162404</v>
      </c>
      <c r="Z52" s="40">
        <f t="array" ref="Z52">INDEX('LTM data'!$D$47:$W$66,MATCH(Speed!$H52&amp;Speed!Z$20,'LTM data'!$C$47:$C$66&amp;'LTM data'!$A$47:$A$66,0),MATCH((Speed!$K52&amp;" DKE"),'LTM data'!$D$46:$W$46,0))</f>
        <v>215.79022484199464</v>
      </c>
      <c r="AA52" s="7">
        <f t="shared" si="13"/>
        <v>144.9884273096294</v>
      </c>
      <c r="AB52" s="23">
        <f t="shared" si="14"/>
        <v>10.726339010564452</v>
      </c>
      <c r="AC52" s="23">
        <f t="shared" ref="AC52:AC54" si="33">$E52*N52</f>
        <v>6.41567646260952</v>
      </c>
      <c r="AD52" s="23">
        <f t="shared" ref="AD52:AD54" si="34">$F52*O52</f>
        <v>4.3106625479549328</v>
      </c>
      <c r="AE52" s="23">
        <f t="shared" si="29"/>
        <v>11.617603669780445</v>
      </c>
      <c r="AF52" s="23">
        <f t="shared" ref="AF52:AF54" si="35">$E52*Q52</f>
        <v>6.9487628857083958</v>
      </c>
      <c r="AG52" s="23">
        <f t="shared" ref="AG52:AG54" si="36">$F52*R52</f>
        <v>4.6688407840720494</v>
      </c>
      <c r="AH52" s="23">
        <f t="shared" si="30"/>
        <v>11.93967199759931</v>
      </c>
      <c r="AI52" s="23">
        <f t="shared" ref="AI52:AI54" si="37">$E52*T52</f>
        <v>7.141399552152035</v>
      </c>
      <c r="AJ52" s="23">
        <f t="shared" ref="AJ52:AJ54" si="38">$F52*U52</f>
        <v>4.7982724454472754</v>
      </c>
      <c r="AK52" s="23">
        <f t="shared" si="31"/>
        <v>10.676692205857979</v>
      </c>
      <c r="AL52" s="23">
        <f t="shared" ref="AL52:AL54" si="39">$E52*W52</f>
        <v>6.3859815372407258</v>
      </c>
      <c r="AM52" s="23">
        <f t="shared" ref="AM52:AM54" si="40">$F52*X52</f>
        <v>4.2907106686172538</v>
      </c>
      <c r="AN52" s="23">
        <f t="shared" si="32"/>
        <v>9.8084490436981753</v>
      </c>
      <c r="AO52" s="23">
        <f t="shared" ref="AO52:AO54" si="41">$E52*Z52</f>
        <v>5.86666481475004</v>
      </c>
      <c r="AP52" s="23">
        <f t="shared" ref="AP52:AP54" si="42">$F52*AA52</f>
        <v>3.9417842289481353</v>
      </c>
    </row>
    <row r="53" spans="3:42">
      <c r="C53" s="23" t="s">
        <v>446</v>
      </c>
      <c r="D53" s="23">
        <v>2010</v>
      </c>
      <c r="E53" s="139">
        <f>1/$R$7</f>
        <v>1.7066928173877154E-2</v>
      </c>
      <c r="F53" s="139">
        <f>1/$R$7</f>
        <v>1.7066928173877154E-2</v>
      </c>
      <c r="G53" s="23" t="s">
        <v>93</v>
      </c>
      <c r="H53" s="23" t="s">
        <v>82</v>
      </c>
      <c r="I53" s="23" t="s">
        <v>55</v>
      </c>
      <c r="K53" s="23" t="s">
        <v>70</v>
      </c>
      <c r="M53" s="40">
        <f t="array" ref="M53">INDEX('LTM data'!$D$47:$W$66,MATCH(Speed!$H53&amp;Speed!M$20,'LTM data'!$C$47:$C$66&amp;'LTM data'!$A$47:$A$66,0),MATCH(Speed!$K53,'LTM data'!$D$46:$W$46,0))</f>
        <v>389.46786627833899</v>
      </c>
      <c r="N53" s="40">
        <f t="array" ref="N53">INDEX('LTM data'!$D$47:$W$66,MATCH(Speed!$H53&amp;Speed!N$20,'LTM data'!$C$47:$C$66&amp;'LTM data'!$A$47:$A$66,0),MATCH((Speed!$K53&amp;" DKE"),'LTM data'!$D$46:$W$46,0))</f>
        <v>232.949920766415</v>
      </c>
      <c r="O53" s="7">
        <f t="shared" si="9"/>
        <v>156.51794551192398</v>
      </c>
      <c r="P53" s="40">
        <f t="array" ref="P53">INDEX('LTM data'!$D$47:$W$66,MATCH(Speed!$H53&amp;Speed!P$20,'LTM data'!$C$47:$C$66&amp;'LTM data'!$A$47:$A$66,0),MATCH(Speed!$K53,'LTM data'!$D$46:$W$46,0))</f>
        <v>421.82922878723076</v>
      </c>
      <c r="Q53" s="40">
        <f t="array" ref="Q53">INDEX('LTM data'!$D$47:$W$66,MATCH(Speed!$H53&amp;Speed!Q$20,'LTM data'!$C$47:$C$66&amp;'LTM data'!$A$47:$A$66,0),MATCH((Speed!$K53&amp;" DKE"),'LTM data'!$D$46:$W$46,0))</f>
        <v>252.30601528680864</v>
      </c>
      <c r="R53" s="7">
        <f t="shared" si="10"/>
        <v>169.52321350042212</v>
      </c>
      <c r="S53" s="40">
        <f t="array" ref="S53">INDEX('LTM data'!$D$47:$W$66,MATCH(Speed!$H53&amp;Speed!S$20,'LTM data'!$C$47:$C$66&amp;'LTM data'!$A$47:$A$66,0),MATCH(Speed!$K53,'LTM data'!$D$46:$W$46,0))</f>
        <v>433.52336453176622</v>
      </c>
      <c r="T53" s="40">
        <f t="array" ref="T53">INDEX('LTM data'!$D$47:$W$66,MATCH(Speed!$H53&amp;Speed!T$20,'LTM data'!$C$47:$C$66&amp;'LTM data'!$A$47:$A$66,0),MATCH((Speed!$K53&amp;" DKE"),'LTM data'!$D$46:$W$46,0))</f>
        <v>259.30055381229096</v>
      </c>
      <c r="U53" s="7">
        <f t="shared" si="11"/>
        <v>174.22281071947526</v>
      </c>
      <c r="V53" s="40">
        <f t="array" ref="V53">INDEX('LTM data'!$D$47:$W$66,MATCH(Speed!$H53&amp;Speed!V$20,'LTM data'!$C$47:$C$66&amp;'LTM data'!$A$47:$A$66,0),MATCH(Speed!$K53,'LTM data'!$D$46:$W$46,0))</f>
        <v>387.66521627095779</v>
      </c>
      <c r="W53" s="40">
        <f t="array" ref="W53">INDEX('LTM data'!$D$47:$W$66,MATCH(Speed!$H53&amp;Speed!W$20,'LTM data'!$C$47:$C$66&amp;'LTM data'!$A$47:$A$66,0),MATCH((Speed!$K53&amp;" DKE"),'LTM data'!$D$46:$W$46,0))</f>
        <v>231.87171326138576</v>
      </c>
      <c r="X53" s="7">
        <f t="shared" si="12"/>
        <v>155.79350300957202</v>
      </c>
      <c r="Y53" s="40">
        <f t="array" ref="Y53">INDEX('LTM data'!$D$47:$W$66,MATCH(Speed!$H53&amp;Speed!Y$20,'LTM data'!$C$47:$C$66&amp;'LTM data'!$A$47:$A$66,0),MATCH(Speed!$K53,'LTM data'!$D$46:$W$46,0))</f>
        <v>356.13975250889621</v>
      </c>
      <c r="Z53" s="40">
        <f t="array" ref="Z53">INDEX('LTM data'!$D$47:$W$66,MATCH(Speed!$H53&amp;Speed!Z$20,'LTM data'!$C$47:$C$66&amp;'LTM data'!$A$47:$A$66,0),MATCH((Speed!$K53&amp;" DKE"),'LTM data'!$D$46:$W$46,0))</f>
        <v>213.01558950547022</v>
      </c>
      <c r="AA53" s="7">
        <f t="shared" si="13"/>
        <v>143.12416300342599</v>
      </c>
      <c r="AB53" s="23">
        <f t="shared" si="14"/>
        <v>6.6470200998056042</v>
      </c>
      <c r="AC53" s="23">
        <f t="shared" si="33"/>
        <v>3.975739565830779</v>
      </c>
      <c r="AD53" s="23">
        <f t="shared" si="34"/>
        <v>2.6712805339748247</v>
      </c>
      <c r="AE53" s="23">
        <f t="shared" si="29"/>
        <v>7.1993291493536606</v>
      </c>
      <c r="AF53" s="23">
        <f t="shared" si="35"/>
        <v>4.3060886407371148</v>
      </c>
      <c r="AG53" s="23">
        <f t="shared" si="36"/>
        <v>2.8932405086165462</v>
      </c>
      <c r="AH53" s="23">
        <f t="shared" si="30"/>
        <v>7.3989121241612166</v>
      </c>
      <c r="AI53" s="23">
        <f t="shared" si="37"/>
        <v>4.425463927360938</v>
      </c>
      <c r="AJ53" s="23">
        <f t="shared" si="38"/>
        <v>2.9734481968002791</v>
      </c>
      <c r="AK53" s="23">
        <f t="shared" si="31"/>
        <v>6.61625440160699</v>
      </c>
      <c r="AL53" s="23">
        <f t="shared" si="39"/>
        <v>3.9573378757859099</v>
      </c>
      <c r="AM53" s="23">
        <f t="shared" si="40"/>
        <v>2.6589165258210801</v>
      </c>
      <c r="AN53" s="23">
        <f t="shared" si="32"/>
        <v>6.0782115759317179</v>
      </c>
      <c r="AO53" s="23">
        <f t="shared" si="41"/>
        <v>3.6355217660059602</v>
      </c>
      <c r="AP53" s="23">
        <f t="shared" si="42"/>
        <v>2.4426898099257572</v>
      </c>
    </row>
    <row r="54" spans="3:42">
      <c r="C54" s="23" t="s">
        <v>446</v>
      </c>
      <c r="D54" s="23">
        <v>2010</v>
      </c>
      <c r="E54" s="139">
        <f>1/$S$7</f>
        <v>1.4146904875287827E-2</v>
      </c>
      <c r="F54" s="139">
        <f>1/$S$7</f>
        <v>1.4146904875287827E-2</v>
      </c>
      <c r="G54" s="23" t="s">
        <v>93</v>
      </c>
      <c r="H54" s="23" t="s">
        <v>79</v>
      </c>
      <c r="I54" s="23" t="s">
        <v>56</v>
      </c>
      <c r="K54" s="23" t="s">
        <v>70</v>
      </c>
      <c r="M54" s="40">
        <f t="array" ref="M54">INDEX('LTM data'!$D$47:$W$66,MATCH(Speed!$H54&amp;Speed!M$20,'LTM data'!$C$47:$C$66&amp;'LTM data'!$A$47:$A$66,0),MATCH(Speed!$K54,'LTM data'!$D$46:$W$46,0))</f>
        <v>3050.9912523333701</v>
      </c>
      <c r="N54" s="40">
        <f t="array" ref="N54">INDEX('LTM data'!$D$47:$W$66,MATCH(Speed!$H54&amp;Speed!N$20,'LTM data'!$C$47:$C$66&amp;'LTM data'!$A$47:$A$66,0),MATCH((Speed!$K54&amp;" DKE"),'LTM data'!$D$46:$W$46,0))</f>
        <v>1824.8698596924801</v>
      </c>
      <c r="O54" s="7">
        <f t="shared" si="9"/>
        <v>1226.12139264089</v>
      </c>
      <c r="P54" s="40">
        <f t="array" ref="P54">INDEX('LTM data'!$D$47:$W$66,MATCH(Speed!$H54&amp;Speed!P$20,'LTM data'!$C$47:$C$66&amp;'LTM data'!$A$47:$A$66,0),MATCH(Speed!$K54,'LTM data'!$D$46:$W$46,0))</f>
        <v>3304.5018561007573</v>
      </c>
      <c r="Q54" s="40">
        <f t="array" ref="Q54">INDEX('LTM data'!$D$47:$W$66,MATCH(Speed!$H54&amp;Speed!Q$20,'LTM data'!$C$47:$C$66&amp;'LTM data'!$A$47:$A$66,0),MATCH((Speed!$K54&amp;" DKE"),'LTM data'!$D$46:$W$46,0))</f>
        <v>1976.5005336820359</v>
      </c>
      <c r="R54" s="7">
        <f t="shared" si="10"/>
        <v>1328.0013224187214</v>
      </c>
      <c r="S54" s="40">
        <f t="array" ref="S54">INDEX('LTM data'!$D$47:$W$66,MATCH(Speed!$H54&amp;Speed!S$20,'LTM data'!$C$47:$C$66&amp;'LTM data'!$A$47:$A$66,0),MATCH(Speed!$K54,'LTM data'!$D$46:$W$46,0))</f>
        <v>3396.1107125671806</v>
      </c>
      <c r="T54" s="40">
        <f t="array" ref="T54">INDEX('LTM data'!$D$47:$W$66,MATCH(Speed!$H54&amp;Speed!T$20,'LTM data'!$C$47:$C$66&amp;'LTM data'!$A$47:$A$66,0),MATCH((Speed!$K54&amp;" DKE"),'LTM data'!$D$46:$W$46,0))</f>
        <v>2031.2939523516625</v>
      </c>
      <c r="U54" s="7">
        <f t="shared" si="11"/>
        <v>1364.8167602155181</v>
      </c>
      <c r="V54" s="40">
        <f t="array" ref="V54">INDEX('LTM data'!$D$47:$W$66,MATCH(Speed!$H54&amp;Speed!V$20,'LTM data'!$C$47:$C$66&amp;'LTM data'!$A$47:$A$66,0),MATCH(Speed!$K54,'LTM data'!$D$46:$W$46,0))</f>
        <v>3036.8697550809929</v>
      </c>
      <c r="W54" s="40">
        <f t="array" ref="W54">INDEX('LTM data'!$D$47:$W$66,MATCH(Speed!$H54&amp;Speed!W$20,'LTM data'!$C$47:$C$66&amp;'LTM data'!$A$47:$A$66,0),MATCH((Speed!$K54&amp;" DKE"),'LTM data'!$D$46:$W$46,0))</f>
        <v>1816.4234589727516</v>
      </c>
      <c r="X54" s="7">
        <f t="shared" si="12"/>
        <v>1220.4462961082413</v>
      </c>
      <c r="Y54" s="40">
        <f t="array" ref="Y54">INDEX('LTM data'!$D$47:$W$66,MATCH(Speed!$H54&amp;Speed!Y$20,'LTM data'!$C$47:$C$66&amp;'LTM data'!$A$47:$A$66,0),MATCH(Speed!$K54,'LTM data'!$D$46:$W$46,0))</f>
        <v>2789.9073674444649</v>
      </c>
      <c r="Z54" s="40">
        <f t="array" ref="Z54">INDEX('LTM data'!$D$47:$W$66,MATCH(Speed!$H54&amp;Speed!Z$20,'LTM data'!$C$47:$C$66&amp;'LTM data'!$A$47:$A$66,0),MATCH((Speed!$K54&amp;" DKE"),'LTM data'!$D$46:$W$46,0))</f>
        <v>1668.7094275638058</v>
      </c>
      <c r="AA54" s="7">
        <f t="shared" si="13"/>
        <v>1121.1979398806591</v>
      </c>
      <c r="AB54" s="23">
        <f t="shared" si="14"/>
        <v>43.162083022095466</v>
      </c>
      <c r="AC54" s="23">
        <f t="shared" si="33"/>
        <v>25.816260314849359</v>
      </c>
      <c r="AD54" s="23">
        <f t="shared" si="34"/>
        <v>17.345822707246107</v>
      </c>
      <c r="AE54" s="23">
        <f t="shared" si="29"/>
        <v>46.748473418469473</v>
      </c>
      <c r="AF54" s="23">
        <f t="shared" si="35"/>
        <v>27.961365035955385</v>
      </c>
      <c r="AG54" s="23">
        <f t="shared" si="36"/>
        <v>18.787108382514091</v>
      </c>
      <c r="AH54" s="23">
        <f t="shared" si="30"/>
        <v>48.044455196633862</v>
      </c>
      <c r="AI54" s="23">
        <f t="shared" si="37"/>
        <v>28.736522317666413</v>
      </c>
      <c r="AJ54" s="23">
        <f t="shared" si="38"/>
        <v>19.307932878967449</v>
      </c>
      <c r="AK54" s="23">
        <f t="shared" si="31"/>
        <v>42.962307543769448</v>
      </c>
      <c r="AL54" s="23">
        <f t="shared" si="39"/>
        <v>25.696769887328799</v>
      </c>
      <c r="AM54" s="23">
        <f t="shared" si="40"/>
        <v>17.26553765644065</v>
      </c>
      <c r="AN54" s="23">
        <f t="shared" si="32"/>
        <v>39.468554138101524</v>
      </c>
      <c r="AO54" s="23">
        <f t="shared" si="41"/>
        <v>23.607073536241163</v>
      </c>
      <c r="AP54" s="23">
        <f t="shared" si="42"/>
        <v>15.861480601860363</v>
      </c>
    </row>
    <row r="55" spans="3:42">
      <c r="AB55" s="23">
        <f>SUM(AB22:AB54)</f>
        <v>1389.87143154673</v>
      </c>
      <c r="AC55" s="23">
        <f>SUM(AC22:AC54)</f>
        <v>642.09525480011598</v>
      </c>
      <c r="AD55" s="23">
        <f>SUM(AD22:AD54)</f>
        <v>747.77617674661383</v>
      </c>
      <c r="AE55" s="23">
        <f>SUM(AE22:AE54)</f>
        <v>1646.9826415751256</v>
      </c>
      <c r="AF55" s="23">
        <f>SUM(AF21:AF54)</f>
        <v>756.57385326696362</v>
      </c>
      <c r="AG55" s="23">
        <f>SUM(AG22:AG54)</f>
        <v>890.408788308162</v>
      </c>
      <c r="AH55" s="23">
        <f>SUM(AH22:AH54)</f>
        <v>1714.8190285394021</v>
      </c>
      <c r="AI55" s="23">
        <f>SUM(AI21:AI54)</f>
        <v>788.17232331356286</v>
      </c>
      <c r="AJ55" s="23">
        <f>SUM(AJ22:AJ54)</f>
        <v>926.64670522583924</v>
      </c>
      <c r="AK55" s="23">
        <f>SUM(AK22:AK54)</f>
        <v>1797.9976263657511</v>
      </c>
      <c r="AL55" s="23">
        <f>SUM(AL21:AL54)</f>
        <v>820.80477024579272</v>
      </c>
      <c r="AM55" s="23">
        <f>SUM(AM22:AM54)</f>
        <v>977.19285611995838</v>
      </c>
      <c r="AN55" s="23">
        <f>SUM(AN22:AN54)</f>
        <v>1877.126094468272</v>
      </c>
      <c r="AO55" s="23">
        <f>SUM(AO21:AO54)</f>
        <v>852.9855954213682</v>
      </c>
      <c r="AP55" s="23">
        <f>SUM(AP22:AP54)</f>
        <v>1024.1404990469039</v>
      </c>
    </row>
  </sheetData>
  <mergeCells count="3">
    <mergeCell ref="O3:S3"/>
    <mergeCell ref="AB19:AP19"/>
    <mergeCell ref="M19:AA19"/>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L23" sqref="L23"/>
    </sheetView>
  </sheetViews>
  <sheetFormatPr defaultColWidth="9.109375" defaultRowHeight="14.4"/>
  <cols>
    <col min="1" max="16384" width="9.109375" style="23"/>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B126"/>
  <sheetViews>
    <sheetView topLeftCell="A49" workbookViewId="0">
      <selection activeCell="G56" sqref="G56"/>
    </sheetView>
  </sheetViews>
  <sheetFormatPr defaultColWidth="9.109375" defaultRowHeight="14.4"/>
  <cols>
    <col min="1" max="1" width="9.109375" style="39"/>
    <col min="2" max="2" width="29" style="39" bestFit="1" customWidth="1"/>
    <col min="3" max="3" width="12.109375" style="39" bestFit="1" customWidth="1"/>
    <col min="4" max="8" width="9.109375" style="39"/>
    <col min="9" max="9" width="10.44140625" style="39" bestFit="1" customWidth="1"/>
    <col min="10" max="10" width="12.5546875" style="39" bestFit="1" customWidth="1"/>
    <col min="11" max="11" width="64.6640625" style="39" bestFit="1" customWidth="1"/>
    <col min="12" max="19" width="9.109375" style="39"/>
    <col min="20" max="20" width="12" style="39" bestFit="1" customWidth="1"/>
    <col min="21" max="16384" width="9.109375" style="39"/>
  </cols>
  <sheetData>
    <row r="1" spans="1:11">
      <c r="A1" s="39" t="s">
        <v>108</v>
      </c>
    </row>
    <row r="2" spans="1:11">
      <c r="B2" s="48" t="s">
        <v>107</v>
      </c>
    </row>
    <row r="3" spans="1:11">
      <c r="B3" s="48" t="s">
        <v>106</v>
      </c>
    </row>
    <row r="4" spans="1:11">
      <c r="B4" s="48"/>
    </row>
    <row r="5" spans="1:11">
      <c r="B5" s="48"/>
    </row>
    <row r="7" spans="1:11">
      <c r="G7" s="39" t="s">
        <v>99</v>
      </c>
    </row>
    <row r="8" spans="1:11">
      <c r="B8" s="43" t="s">
        <v>92</v>
      </c>
      <c r="C8" s="47" t="s">
        <v>1</v>
      </c>
      <c r="D8" s="47" t="s">
        <v>91</v>
      </c>
      <c r="E8" s="46" t="s">
        <v>90</v>
      </c>
      <c r="F8" s="46" t="s">
        <v>89</v>
      </c>
      <c r="G8" s="46" t="s">
        <v>0</v>
      </c>
      <c r="H8" s="45" t="s">
        <v>88</v>
      </c>
      <c r="I8" s="44" t="s">
        <v>87</v>
      </c>
      <c r="J8" s="44" t="s">
        <v>86</v>
      </c>
      <c r="K8" s="43" t="s">
        <v>85</v>
      </c>
    </row>
    <row r="9" spans="1:11">
      <c r="B9" s="39" t="s">
        <v>105</v>
      </c>
      <c r="C9" s="39" t="s">
        <v>96</v>
      </c>
      <c r="D9" s="39" t="s">
        <v>80</v>
      </c>
      <c r="E9" s="39" t="s">
        <v>84</v>
      </c>
      <c r="F9" s="39" t="s">
        <v>95</v>
      </c>
      <c r="G9" s="39">
        <v>2020</v>
      </c>
      <c r="H9" s="39">
        <v>1</v>
      </c>
      <c r="I9" s="40">
        <v>440.64075704891013</v>
      </c>
      <c r="J9" s="39">
        <v>15</v>
      </c>
      <c r="K9" s="39" t="s">
        <v>104</v>
      </c>
    </row>
    <row r="10" spans="1:11">
      <c r="C10" s="39" t="s">
        <v>96</v>
      </c>
      <c r="D10" s="39" t="s">
        <v>80</v>
      </c>
      <c r="E10" s="39" t="s">
        <v>84</v>
      </c>
      <c r="F10" s="39" t="s">
        <v>95</v>
      </c>
      <c r="G10" s="39">
        <v>2030</v>
      </c>
      <c r="H10" s="39">
        <v>1</v>
      </c>
      <c r="I10" s="40">
        <v>458.78048826872038</v>
      </c>
    </row>
    <row r="11" spans="1:11">
      <c r="C11" s="39" t="s">
        <v>96</v>
      </c>
      <c r="D11" s="39" t="s">
        <v>80</v>
      </c>
      <c r="E11" s="39" t="s">
        <v>84</v>
      </c>
      <c r="F11" s="39" t="s">
        <v>95</v>
      </c>
      <c r="G11" s="39">
        <v>2040</v>
      </c>
      <c r="H11" s="39">
        <v>1</v>
      </c>
      <c r="I11" s="40">
        <v>476.46595172171556</v>
      </c>
    </row>
    <row r="12" spans="1:11">
      <c r="C12" s="39" t="s">
        <v>96</v>
      </c>
      <c r="D12" s="39" t="s">
        <v>80</v>
      </c>
      <c r="E12" s="39" t="s">
        <v>84</v>
      </c>
      <c r="F12" s="39" t="s">
        <v>95</v>
      </c>
      <c r="G12" s="39">
        <v>2050</v>
      </c>
      <c r="H12" s="39">
        <v>1</v>
      </c>
      <c r="I12" s="40">
        <v>494.04490349913863</v>
      </c>
    </row>
    <row r="13" spans="1:11">
      <c r="I13" s="40"/>
    </row>
    <row r="15" spans="1:11">
      <c r="G15" s="39" t="s">
        <v>99</v>
      </c>
    </row>
    <row r="16" spans="1:11">
      <c r="B16" s="43" t="s">
        <v>92</v>
      </c>
      <c r="C16" s="47" t="s">
        <v>1</v>
      </c>
      <c r="D16" s="47" t="s">
        <v>91</v>
      </c>
      <c r="E16" s="46" t="s">
        <v>90</v>
      </c>
      <c r="F16" s="46" t="s">
        <v>89</v>
      </c>
      <c r="G16" s="46" t="s">
        <v>0</v>
      </c>
      <c r="H16" s="45" t="s">
        <v>88</v>
      </c>
      <c r="I16" s="44" t="s">
        <v>87</v>
      </c>
      <c r="J16" s="44" t="s">
        <v>86</v>
      </c>
      <c r="K16" s="43" t="s">
        <v>85</v>
      </c>
    </row>
    <row r="17" spans="2:11">
      <c r="B17" s="39" t="s">
        <v>103</v>
      </c>
      <c r="C17" s="39" t="s">
        <v>96</v>
      </c>
      <c r="D17" s="39" t="s">
        <v>80</v>
      </c>
      <c r="E17" s="39" t="s">
        <v>83</v>
      </c>
      <c r="F17" s="39" t="s">
        <v>95</v>
      </c>
      <c r="G17" s="39">
        <v>2020</v>
      </c>
      <c r="H17" s="39">
        <v>1</v>
      </c>
      <c r="I17" s="40">
        <v>1529.912938236738</v>
      </c>
      <c r="J17" s="39">
        <v>15</v>
      </c>
      <c r="K17" s="39" t="s">
        <v>102</v>
      </c>
    </row>
    <row r="18" spans="2:11">
      <c r="C18" s="39" t="s">
        <v>96</v>
      </c>
      <c r="D18" s="39" t="s">
        <v>80</v>
      </c>
      <c r="E18" s="39" t="s">
        <v>83</v>
      </c>
      <c r="F18" s="39" t="s">
        <v>95</v>
      </c>
      <c r="G18" s="39">
        <v>2030</v>
      </c>
      <c r="H18" s="39">
        <v>1</v>
      </c>
      <c r="I18" s="40">
        <v>1592.6173462031261</v>
      </c>
    </row>
    <row r="19" spans="2:11">
      <c r="C19" s="39" t="s">
        <v>96</v>
      </c>
      <c r="D19" s="39" t="s">
        <v>80</v>
      </c>
      <c r="E19" s="39" t="s">
        <v>83</v>
      </c>
      <c r="F19" s="39" t="s">
        <v>95</v>
      </c>
      <c r="G19" s="39">
        <v>2040</v>
      </c>
      <c r="H19" s="39">
        <v>1</v>
      </c>
      <c r="I19" s="40">
        <v>1678.8300691731747</v>
      </c>
    </row>
    <row r="20" spans="2:11">
      <c r="C20" s="39" t="s">
        <v>96</v>
      </c>
      <c r="D20" s="39" t="s">
        <v>80</v>
      </c>
      <c r="E20" s="39" t="s">
        <v>83</v>
      </c>
      <c r="F20" s="39" t="s">
        <v>95</v>
      </c>
      <c r="G20" s="39">
        <v>2050</v>
      </c>
      <c r="H20" s="39">
        <v>1</v>
      </c>
      <c r="I20" s="40">
        <v>1758.9087393061718</v>
      </c>
    </row>
    <row r="23" spans="2:11">
      <c r="G23" s="39" t="s">
        <v>99</v>
      </c>
    </row>
    <row r="24" spans="2:11">
      <c r="B24" s="43" t="s">
        <v>92</v>
      </c>
      <c r="C24" s="47" t="s">
        <v>1</v>
      </c>
      <c r="D24" s="47" t="s">
        <v>91</v>
      </c>
      <c r="E24" s="46" t="s">
        <v>90</v>
      </c>
      <c r="F24" s="46" t="s">
        <v>89</v>
      </c>
      <c r="G24" s="46" t="s">
        <v>0</v>
      </c>
      <c r="H24" s="45" t="s">
        <v>88</v>
      </c>
      <c r="I24" s="44" t="s">
        <v>87</v>
      </c>
      <c r="J24" s="44" t="s">
        <v>86</v>
      </c>
      <c r="K24" s="43" t="s">
        <v>85</v>
      </c>
    </row>
    <row r="25" spans="2:11">
      <c r="B25" s="39" t="s">
        <v>101</v>
      </c>
      <c r="C25" s="39" t="s">
        <v>96</v>
      </c>
      <c r="D25" s="39" t="s">
        <v>80</v>
      </c>
      <c r="E25" s="39" t="s">
        <v>82</v>
      </c>
      <c r="F25" s="39" t="s">
        <v>95</v>
      </c>
      <c r="G25" s="39">
        <v>2020</v>
      </c>
      <c r="H25" s="39">
        <v>1</v>
      </c>
      <c r="I25" s="40">
        <v>1045.149503594811</v>
      </c>
      <c r="J25" s="39">
        <v>15</v>
      </c>
      <c r="K25" s="39" t="s">
        <v>100</v>
      </c>
    </row>
    <row r="26" spans="2:11">
      <c r="C26" s="39" t="s">
        <v>96</v>
      </c>
      <c r="D26" s="39" t="s">
        <v>80</v>
      </c>
      <c r="E26" s="39" t="s">
        <v>82</v>
      </c>
      <c r="F26" s="39" t="s">
        <v>95</v>
      </c>
      <c r="G26" s="39">
        <v>2030</v>
      </c>
      <c r="H26" s="39">
        <v>1</v>
      </c>
      <c r="I26" s="40">
        <v>1088.7199072037458</v>
      </c>
    </row>
    <row r="27" spans="2:11">
      <c r="C27" s="39" t="s">
        <v>96</v>
      </c>
      <c r="D27" s="39" t="s">
        <v>80</v>
      </c>
      <c r="E27" s="39" t="s">
        <v>82</v>
      </c>
      <c r="F27" s="39" t="s">
        <v>95</v>
      </c>
      <c r="G27" s="39">
        <v>2040</v>
      </c>
      <c r="H27" s="39">
        <v>1</v>
      </c>
      <c r="I27" s="40">
        <v>1164.1305897547618</v>
      </c>
    </row>
    <row r="28" spans="2:11">
      <c r="C28" s="39" t="s">
        <v>96</v>
      </c>
      <c r="D28" s="39" t="s">
        <v>80</v>
      </c>
      <c r="E28" s="39" t="s">
        <v>82</v>
      </c>
      <c r="F28" s="39" t="s">
        <v>95</v>
      </c>
      <c r="G28" s="39">
        <v>2050</v>
      </c>
      <c r="H28" s="39">
        <v>1</v>
      </c>
      <c r="I28" s="40">
        <v>1231.6272859176472</v>
      </c>
    </row>
    <row r="31" spans="2:11">
      <c r="G31" s="39" t="s">
        <v>99</v>
      </c>
    </row>
    <row r="32" spans="2:11">
      <c r="B32" s="43" t="s">
        <v>92</v>
      </c>
      <c r="C32" s="47" t="s">
        <v>1</v>
      </c>
      <c r="D32" s="47" t="s">
        <v>91</v>
      </c>
      <c r="E32" s="46" t="s">
        <v>90</v>
      </c>
      <c r="F32" s="46" t="s">
        <v>89</v>
      </c>
      <c r="G32" s="46" t="s">
        <v>0</v>
      </c>
      <c r="H32" s="45" t="s">
        <v>88</v>
      </c>
      <c r="I32" s="44" t="s">
        <v>87</v>
      </c>
      <c r="J32" s="44" t="s">
        <v>86</v>
      </c>
      <c r="K32" s="43" t="s">
        <v>85</v>
      </c>
    </row>
    <row r="33" spans="2:11">
      <c r="B33" s="39" t="s">
        <v>98</v>
      </c>
      <c r="C33" s="39" t="s">
        <v>96</v>
      </c>
      <c r="D33" s="39" t="s">
        <v>80</v>
      </c>
      <c r="E33" s="39" t="s">
        <v>79</v>
      </c>
      <c r="F33" s="39" t="s">
        <v>95</v>
      </c>
      <c r="G33" s="39">
        <v>2020</v>
      </c>
      <c r="H33" s="39">
        <v>1</v>
      </c>
      <c r="I33" s="40">
        <v>2167.744776618933</v>
      </c>
      <c r="J33" s="39">
        <v>15</v>
      </c>
      <c r="K33" s="39" t="s">
        <v>97</v>
      </c>
    </row>
    <row r="34" spans="2:11">
      <c r="C34" s="39" t="s">
        <v>96</v>
      </c>
      <c r="D34" s="39" t="s">
        <v>80</v>
      </c>
      <c r="E34" s="39" t="s">
        <v>79</v>
      </c>
      <c r="F34" s="39" t="s">
        <v>95</v>
      </c>
      <c r="G34" s="39">
        <v>2030</v>
      </c>
      <c r="H34" s="39">
        <v>1</v>
      </c>
      <c r="I34" s="40">
        <v>2257.0994128593479</v>
      </c>
      <c r="J34" s="40"/>
    </row>
    <row r="35" spans="2:11">
      <c r="C35" s="39" t="s">
        <v>96</v>
      </c>
      <c r="D35" s="39" t="s">
        <v>80</v>
      </c>
      <c r="E35" s="39" t="s">
        <v>79</v>
      </c>
      <c r="F35" s="39" t="s">
        <v>95</v>
      </c>
      <c r="G35" s="39">
        <v>2040</v>
      </c>
      <c r="H35" s="39">
        <v>1</v>
      </c>
      <c r="I35" s="40">
        <v>2411.8043437381029</v>
      </c>
    </row>
    <row r="36" spans="2:11">
      <c r="C36" s="39" t="s">
        <v>96</v>
      </c>
      <c r="D36" s="39" t="s">
        <v>80</v>
      </c>
      <c r="E36" s="39" t="s">
        <v>79</v>
      </c>
      <c r="F36" s="39" t="s">
        <v>95</v>
      </c>
      <c r="G36" s="39">
        <v>2050</v>
      </c>
      <c r="H36" s="39">
        <v>1</v>
      </c>
      <c r="I36" s="40">
        <v>2550.0145437030892</v>
      </c>
    </row>
    <row r="37" spans="2:11">
      <c r="I37" s="40"/>
    </row>
    <row r="38" spans="2:11">
      <c r="G38" s="39" t="s">
        <v>99</v>
      </c>
    </row>
    <row r="39" spans="2:11">
      <c r="B39" s="43" t="s">
        <v>92</v>
      </c>
      <c r="C39" s="47" t="s">
        <v>1</v>
      </c>
      <c r="D39" s="47" t="s">
        <v>91</v>
      </c>
      <c r="E39" s="46" t="s">
        <v>90</v>
      </c>
      <c r="F39" s="46" t="s">
        <v>89</v>
      </c>
      <c r="G39" s="46" t="s">
        <v>0</v>
      </c>
      <c r="H39" s="45" t="s">
        <v>88</v>
      </c>
      <c r="I39" s="44" t="s">
        <v>87</v>
      </c>
      <c r="J39" s="44" t="s">
        <v>86</v>
      </c>
      <c r="K39" s="43" t="s">
        <v>85</v>
      </c>
    </row>
    <row r="40" spans="2:11">
      <c r="B40" s="39" t="s">
        <v>367</v>
      </c>
      <c r="C40" s="39" t="s">
        <v>94</v>
      </c>
      <c r="D40" s="39" t="s">
        <v>80</v>
      </c>
      <c r="E40" s="39" t="s">
        <v>84</v>
      </c>
      <c r="F40" s="39" t="s">
        <v>95</v>
      </c>
      <c r="G40" s="39">
        <v>2020</v>
      </c>
      <c r="H40" s="39">
        <v>1</v>
      </c>
      <c r="I40" s="40">
        <f>'LTM data'!E51*0.9</f>
        <v>574.84184763126132</v>
      </c>
      <c r="J40" s="39">
        <v>15</v>
      </c>
      <c r="K40" s="39" t="s">
        <v>104</v>
      </c>
    </row>
    <row r="41" spans="2:11">
      <c r="C41" s="39" t="s">
        <v>94</v>
      </c>
      <c r="D41" s="39" t="s">
        <v>80</v>
      </c>
      <c r="E41" s="39" t="s">
        <v>84</v>
      </c>
      <c r="F41" s="39" t="s">
        <v>95</v>
      </c>
      <c r="G41" s="39">
        <v>2030</v>
      </c>
      <c r="H41" s="39">
        <v>1</v>
      </c>
      <c r="I41" s="40">
        <f>'LTM data'!E55*0.9</f>
        <v>590.77786661497714</v>
      </c>
    </row>
    <row r="42" spans="2:11">
      <c r="C42" s="39" t="s">
        <v>94</v>
      </c>
      <c r="D42" s="39" t="s">
        <v>80</v>
      </c>
      <c r="E42" s="39" t="s">
        <v>84</v>
      </c>
      <c r="F42" s="39" t="s">
        <v>95</v>
      </c>
      <c r="G42" s="39">
        <v>2040</v>
      </c>
      <c r="H42" s="39">
        <v>1</v>
      </c>
      <c r="I42" s="40">
        <f>'LTM data'!E59*0.9</f>
        <v>528.28532016204304</v>
      </c>
    </row>
    <row r="43" spans="2:11">
      <c r="C43" s="39" t="s">
        <v>94</v>
      </c>
      <c r="D43" s="39" t="s">
        <v>80</v>
      </c>
      <c r="E43" s="39" t="s">
        <v>84</v>
      </c>
      <c r="F43" s="39" t="s">
        <v>95</v>
      </c>
      <c r="G43" s="39">
        <v>2050</v>
      </c>
      <c r="H43" s="39">
        <v>1</v>
      </c>
      <c r="I43" s="40">
        <f>'LTM data'!E63*0.9</f>
        <v>485.32443789099347</v>
      </c>
    </row>
    <row r="44" spans="2:11">
      <c r="I44" s="40"/>
    </row>
    <row r="46" spans="2:11">
      <c r="G46" s="39" t="s">
        <v>99</v>
      </c>
    </row>
    <row r="47" spans="2:11">
      <c r="B47" s="43" t="s">
        <v>92</v>
      </c>
      <c r="C47" s="47" t="s">
        <v>1</v>
      </c>
      <c r="D47" s="47" t="s">
        <v>91</v>
      </c>
      <c r="E47" s="46" t="s">
        <v>90</v>
      </c>
      <c r="F47" s="46" t="s">
        <v>89</v>
      </c>
      <c r="G47" s="46" t="s">
        <v>0</v>
      </c>
      <c r="H47" s="45" t="s">
        <v>88</v>
      </c>
      <c r="I47" s="44" t="s">
        <v>87</v>
      </c>
      <c r="J47" s="44" t="s">
        <v>86</v>
      </c>
      <c r="K47" s="43" t="s">
        <v>85</v>
      </c>
    </row>
    <row r="48" spans="2:11">
      <c r="B48" s="39" t="s">
        <v>369</v>
      </c>
      <c r="C48" s="39" t="s">
        <v>94</v>
      </c>
      <c r="D48" s="39" t="s">
        <v>80</v>
      </c>
      <c r="E48" s="39" t="s">
        <v>83</v>
      </c>
      <c r="F48" s="39" t="s">
        <v>95</v>
      </c>
      <c r="G48" s="39">
        <v>2020</v>
      </c>
      <c r="H48" s="39">
        <v>1</v>
      </c>
      <c r="I48" s="40">
        <f>'LTM data'!E52*0.9</f>
        <v>1651.0474508545665</v>
      </c>
      <c r="J48" s="39">
        <v>15</v>
      </c>
      <c r="K48" s="39" t="s">
        <v>102</v>
      </c>
    </row>
    <row r="49" spans="2:11">
      <c r="C49" s="39" t="s">
        <v>94</v>
      </c>
      <c r="D49" s="39" t="s">
        <v>80</v>
      </c>
      <c r="E49" s="39" t="s">
        <v>83</v>
      </c>
      <c r="F49" s="39" t="s">
        <v>95</v>
      </c>
      <c r="G49" s="39">
        <v>2030</v>
      </c>
      <c r="H49" s="39">
        <v>1</v>
      </c>
      <c r="I49" s="40">
        <f>'LTM data'!E56*0.9</f>
        <v>1696.8185157626863</v>
      </c>
    </row>
    <row r="50" spans="2:11">
      <c r="C50" s="39" t="s">
        <v>94</v>
      </c>
      <c r="D50" s="39" t="s">
        <v>80</v>
      </c>
      <c r="E50" s="39" t="s">
        <v>83</v>
      </c>
      <c r="F50" s="39" t="s">
        <v>95</v>
      </c>
      <c r="G50" s="39">
        <v>2040</v>
      </c>
      <c r="H50" s="39">
        <v>1</v>
      </c>
      <c r="I50" s="40">
        <f>'LTM data'!E60*0.9</f>
        <v>1517.3288701433012</v>
      </c>
    </row>
    <row r="51" spans="2:11">
      <c r="C51" s="39" t="s">
        <v>94</v>
      </c>
      <c r="D51" s="39" t="s">
        <v>80</v>
      </c>
      <c r="E51" s="39" t="s">
        <v>83</v>
      </c>
      <c r="F51" s="39" t="s">
        <v>95</v>
      </c>
      <c r="G51" s="39">
        <v>2050</v>
      </c>
      <c r="H51" s="39">
        <v>1</v>
      </c>
      <c r="I51" s="40">
        <f>'LTM data'!E64*0.9</f>
        <v>1393.9376183540287</v>
      </c>
    </row>
    <row r="54" spans="2:11">
      <c r="G54" s="39" t="s">
        <v>99</v>
      </c>
    </row>
    <row r="55" spans="2:11">
      <c r="B55" s="43" t="s">
        <v>92</v>
      </c>
      <c r="C55" s="47" t="s">
        <v>1</v>
      </c>
      <c r="D55" s="47" t="s">
        <v>91</v>
      </c>
      <c r="E55" s="46" t="s">
        <v>90</v>
      </c>
      <c r="F55" s="46" t="s">
        <v>89</v>
      </c>
      <c r="G55" s="46" t="s">
        <v>0</v>
      </c>
      <c r="H55" s="45" t="s">
        <v>88</v>
      </c>
      <c r="I55" s="44" t="s">
        <v>87</v>
      </c>
      <c r="J55" s="44" t="s">
        <v>86</v>
      </c>
      <c r="K55" s="43" t="s">
        <v>85</v>
      </c>
    </row>
    <row r="56" spans="2:11">
      <c r="B56" s="39" t="s">
        <v>368</v>
      </c>
      <c r="C56" s="39" t="s">
        <v>94</v>
      </c>
      <c r="D56" s="39" t="s">
        <v>80</v>
      </c>
      <c r="E56" s="39" t="s">
        <v>82</v>
      </c>
      <c r="F56" s="39" t="s">
        <v>95</v>
      </c>
      <c r="G56" s="39">
        <v>2020</v>
      </c>
      <c r="H56" s="39">
        <v>1</v>
      </c>
      <c r="I56" s="40">
        <f>'LTM data'!E53*0.9</f>
        <v>474.69341498791158</v>
      </c>
      <c r="J56" s="39">
        <v>15</v>
      </c>
      <c r="K56" s="39" t="s">
        <v>100</v>
      </c>
    </row>
    <row r="57" spans="2:11">
      <c r="C57" s="39" t="s">
        <v>94</v>
      </c>
      <c r="D57" s="39" t="s">
        <v>80</v>
      </c>
      <c r="E57" s="39" t="s">
        <v>82</v>
      </c>
      <c r="F57" s="39" t="s">
        <v>95</v>
      </c>
      <c r="G57" s="39">
        <v>2030</v>
      </c>
      <c r="H57" s="39">
        <v>1</v>
      </c>
      <c r="I57" s="40">
        <f>'LTM data'!E57*0.9</f>
        <v>487.85307499503193</v>
      </c>
    </row>
    <row r="58" spans="2:11">
      <c r="C58" s="39" t="s">
        <v>94</v>
      </c>
      <c r="D58" s="39" t="s">
        <v>80</v>
      </c>
      <c r="E58" s="39" t="s">
        <v>82</v>
      </c>
      <c r="F58" s="39" t="s">
        <v>95</v>
      </c>
      <c r="G58" s="39">
        <v>2040</v>
      </c>
      <c r="H58" s="39">
        <v>1</v>
      </c>
      <c r="I58" s="40">
        <f>'LTM data'!E61*0.9</f>
        <v>436.24792410131545</v>
      </c>
    </row>
    <row r="59" spans="2:11">
      <c r="C59" s="39" t="s">
        <v>94</v>
      </c>
      <c r="D59" s="39" t="s">
        <v>80</v>
      </c>
      <c r="E59" s="39" t="s">
        <v>82</v>
      </c>
      <c r="F59" s="39" t="s">
        <v>95</v>
      </c>
      <c r="G59" s="39">
        <v>2050</v>
      </c>
      <c r="H59" s="39">
        <v>1</v>
      </c>
      <c r="I59" s="40">
        <f>'LTM data'!E65*0.9</f>
        <v>400.77164832186031</v>
      </c>
    </row>
    <row r="62" spans="2:11">
      <c r="G62" s="39" t="s">
        <v>99</v>
      </c>
    </row>
    <row r="63" spans="2:11">
      <c r="B63" s="43" t="s">
        <v>92</v>
      </c>
      <c r="C63" s="47" t="s">
        <v>1</v>
      </c>
      <c r="D63" s="47" t="s">
        <v>91</v>
      </c>
      <c r="E63" s="46" t="s">
        <v>90</v>
      </c>
      <c r="F63" s="46" t="s">
        <v>89</v>
      </c>
      <c r="G63" s="46" t="s">
        <v>0</v>
      </c>
      <c r="H63" s="45" t="s">
        <v>88</v>
      </c>
      <c r="I63" s="44" t="s">
        <v>87</v>
      </c>
      <c r="J63" s="44" t="s">
        <v>86</v>
      </c>
      <c r="K63" s="43" t="s">
        <v>85</v>
      </c>
    </row>
    <row r="64" spans="2:11">
      <c r="B64" s="39" t="s">
        <v>370</v>
      </c>
      <c r="C64" s="39" t="s">
        <v>94</v>
      </c>
      <c r="D64" s="39" t="s">
        <v>80</v>
      </c>
      <c r="E64" s="39" t="s">
        <v>79</v>
      </c>
      <c r="F64" s="39" t="s">
        <v>95</v>
      </c>
      <c r="G64" s="39">
        <v>2020</v>
      </c>
      <c r="H64" s="39">
        <v>1</v>
      </c>
      <c r="I64" s="40">
        <f>'LTM data'!E54*0.9</f>
        <v>271.52791987897325</v>
      </c>
      <c r="J64" s="39">
        <v>15</v>
      </c>
      <c r="K64" s="39" t="s">
        <v>97</v>
      </c>
    </row>
    <row r="65" spans="1:28">
      <c r="C65" s="39" t="s">
        <v>94</v>
      </c>
      <c r="D65" s="39" t="s">
        <v>80</v>
      </c>
      <c r="E65" s="39" t="s">
        <v>79</v>
      </c>
      <c r="F65" s="39" t="s">
        <v>95</v>
      </c>
      <c r="G65" s="39">
        <v>2030</v>
      </c>
      <c r="H65" s="39">
        <v>1</v>
      </c>
      <c r="I65" s="40">
        <f>'LTM data'!E58*0.9</f>
        <v>279.05533651301039</v>
      </c>
      <c r="J65" s="40"/>
    </row>
    <row r="66" spans="1:28">
      <c r="C66" s="39" t="s">
        <v>94</v>
      </c>
      <c r="D66" s="39" t="s">
        <v>80</v>
      </c>
      <c r="E66" s="39" t="s">
        <v>79</v>
      </c>
      <c r="F66" s="39" t="s">
        <v>95</v>
      </c>
      <c r="G66" s="39">
        <v>2040</v>
      </c>
      <c r="H66" s="39">
        <v>1</v>
      </c>
      <c r="I66" s="40">
        <f>'LTM data'!E62*0.9</f>
        <v>249.53683291723539</v>
      </c>
    </row>
    <row r="67" spans="1:28">
      <c r="C67" s="39" t="s">
        <v>94</v>
      </c>
      <c r="D67" s="39" t="s">
        <v>80</v>
      </c>
      <c r="E67" s="39" t="s">
        <v>79</v>
      </c>
      <c r="F67" s="39" t="s">
        <v>95</v>
      </c>
      <c r="G67" s="39">
        <v>2050</v>
      </c>
      <c r="H67" s="39">
        <v>1</v>
      </c>
      <c r="I67" s="40">
        <f>'LTM data'!E66*0.9</f>
        <v>229.24415755393051</v>
      </c>
    </row>
    <row r="75" spans="1:28">
      <c r="B75" s="39" t="s">
        <v>77</v>
      </c>
    </row>
    <row r="76" spans="1:28">
      <c r="D76" s="23" t="s">
        <v>72</v>
      </c>
      <c r="E76" s="23" t="s">
        <v>71</v>
      </c>
      <c r="F76" s="23" t="s">
        <v>69</v>
      </c>
      <c r="G76" s="23" t="s">
        <v>70</v>
      </c>
      <c r="H76" s="23" t="s">
        <v>68</v>
      </c>
      <c r="I76" s="23" t="s">
        <v>67</v>
      </c>
      <c r="J76" s="23" t="s">
        <v>66</v>
      </c>
      <c r="K76" s="23" t="s">
        <v>65</v>
      </c>
      <c r="L76" s="95" t="s">
        <v>64</v>
      </c>
      <c r="M76" s="95" t="s">
        <v>63</v>
      </c>
      <c r="N76" s="23"/>
      <c r="O76" s="96" t="s">
        <v>10</v>
      </c>
      <c r="S76" s="39" t="str">
        <f>D76</f>
        <v>Car</v>
      </c>
      <c r="T76" s="39" t="str">
        <f>E76</f>
        <v>Public bus</v>
      </c>
      <c r="U76" s="39" t="str">
        <f>G76</f>
        <v>Coach</v>
      </c>
      <c r="V76" s="39" t="str">
        <f>F76</f>
        <v>Train</v>
      </c>
      <c r="W76" s="39" t="str">
        <f t="shared" ref="W76:AB76" si="0">H76</f>
        <v>S-train</v>
      </c>
      <c r="X76" s="39" t="str">
        <f t="shared" si="0"/>
        <v>Metro</v>
      </c>
      <c r="Y76" s="39" t="str">
        <f t="shared" si="0"/>
        <v>Bike</v>
      </c>
      <c r="Z76" s="39" t="str">
        <f t="shared" si="0"/>
        <v>Walk</v>
      </c>
      <c r="AA76" s="39" t="str">
        <f t="shared" si="0"/>
        <v>Moto</v>
      </c>
      <c r="AB76" s="39" t="str">
        <f t="shared" si="0"/>
        <v>Moped</v>
      </c>
    </row>
    <row r="77" spans="1:28">
      <c r="A77" s="151">
        <v>2010</v>
      </c>
      <c r="B77" s="151" t="s">
        <v>5</v>
      </c>
      <c r="C77" s="39" t="s">
        <v>76</v>
      </c>
      <c r="D77" s="7">
        <f>'LTM data'!D3</f>
        <v>1315.3945644862199</v>
      </c>
      <c r="E77" s="7">
        <f>'LTM data'!E3</f>
        <v>352.72136400345499</v>
      </c>
      <c r="F77" s="23">
        <f>'LTM data'!G3</f>
        <v>0</v>
      </c>
      <c r="G77" s="23">
        <f>'LTM data'!F3</f>
        <v>0</v>
      </c>
      <c r="H77" s="7">
        <f>'LTM data'!H3</f>
        <v>91.377594180506193</v>
      </c>
      <c r="I77" s="7">
        <f>'LTM data'!I3</f>
        <v>92.307668078761495</v>
      </c>
      <c r="J77" s="7">
        <f>'LTM data'!J3</f>
        <v>617.09401818322704</v>
      </c>
      <c r="K77" s="7">
        <f>'LTM data'!K3</f>
        <v>316.33898005988499</v>
      </c>
      <c r="L77" s="23">
        <f>'LTM data'!L3</f>
        <v>0</v>
      </c>
      <c r="M77" s="7">
        <f>'LTM data'!M3</f>
        <v>5.2797026381633598</v>
      </c>
      <c r="N77" s="23">
        <f>'LTM data'!N3</f>
        <v>0</v>
      </c>
      <c r="O77" s="92">
        <f>'LTM data'!O3</f>
        <v>2790.5138916302176</v>
      </c>
      <c r="P77" s="40">
        <f>SUM(D77:N77)+SUM(D81:N81)</f>
        <v>6001.3338763276115</v>
      </c>
      <c r="Q77" s="40">
        <f>O77+O81</f>
        <v>6001.3338763276115</v>
      </c>
      <c r="R77" s="39">
        <f>Q77/$Q$81</f>
        <v>8.7096823493601649E-2</v>
      </c>
      <c r="S77" s="40">
        <f t="shared" ref="S77:T80" si="1">(D77+D81)</f>
        <v>3299.24246603142</v>
      </c>
      <c r="T77" s="40">
        <f t="shared" si="1"/>
        <v>589.71317344623299</v>
      </c>
      <c r="U77" s="40">
        <f>(G77+G81)</f>
        <v>0</v>
      </c>
      <c r="V77" s="40">
        <f>(F77+F81)</f>
        <v>0</v>
      </c>
      <c r="W77" s="40">
        <f t="shared" ref="W77:AB80" si="2">(H77+H81)</f>
        <v>91.377594180506193</v>
      </c>
      <c r="X77" s="40">
        <f t="shared" si="2"/>
        <v>92.307668078761495</v>
      </c>
      <c r="Y77" s="40">
        <f t="shared" si="2"/>
        <v>1374.569890215354</v>
      </c>
      <c r="Z77" s="40">
        <f t="shared" si="2"/>
        <v>538.26410683322797</v>
      </c>
      <c r="AA77" s="40">
        <f t="shared" si="2"/>
        <v>0</v>
      </c>
      <c r="AB77" s="40">
        <f t="shared" si="2"/>
        <v>15.858977542109159</v>
      </c>
    </row>
    <row r="78" spans="1:28">
      <c r="A78" s="151"/>
      <c r="B78" s="151"/>
      <c r="C78" s="39" t="s">
        <v>75</v>
      </c>
      <c r="D78" s="7">
        <f>'LTM data'!D4</f>
        <v>6311.3791236512097</v>
      </c>
      <c r="E78" s="7">
        <f>'LTM data'!E4</f>
        <v>1013.07813844724</v>
      </c>
      <c r="F78" s="7">
        <f>'LTM data'!G4</f>
        <v>249.14816407726099</v>
      </c>
      <c r="G78" s="7">
        <f>'LTM data'!F4</f>
        <v>235.984210807344</v>
      </c>
      <c r="H78" s="7">
        <f>'LTM data'!H4</f>
        <v>771.59001262391996</v>
      </c>
      <c r="I78" s="7">
        <f>'LTM data'!I4</f>
        <v>157.192375721144</v>
      </c>
      <c r="J78" s="7">
        <f>'LTM data'!J4</f>
        <v>441.67113008922303</v>
      </c>
      <c r="K78" s="7">
        <f>'LTM data'!K4</f>
        <v>24.5034435315468</v>
      </c>
      <c r="L78" s="7">
        <f>'LTM data'!L4</f>
        <v>58.5942785081292</v>
      </c>
      <c r="M78" s="7">
        <f>'LTM data'!M4</f>
        <v>17.335727138726199</v>
      </c>
      <c r="N78" s="23">
        <f>'LTM data'!N4</f>
        <v>0</v>
      </c>
      <c r="O78" s="92">
        <f>'LTM data'!O4</f>
        <v>9280.4766045957458</v>
      </c>
      <c r="P78" s="40">
        <f>SUM(D78:N78)+SUM(D82:N82)</f>
        <v>20497.912375706648</v>
      </c>
      <c r="Q78" s="40">
        <f>O78+O82</f>
        <v>20497.912375706648</v>
      </c>
      <c r="R78" s="39">
        <f>Q78/$Q$81</f>
        <v>0.29748437480147544</v>
      </c>
      <c r="S78" s="40">
        <f t="shared" si="1"/>
        <v>15830.087400313731</v>
      </c>
      <c r="T78" s="40">
        <f t="shared" si="1"/>
        <v>1693.7605286842559</v>
      </c>
      <c r="U78" s="40">
        <f>(G78+G82)</f>
        <v>394.54088138829201</v>
      </c>
      <c r="V78" s="40">
        <f>(F78+F82)</f>
        <v>413.37799421160599</v>
      </c>
      <c r="W78" s="40">
        <f t="shared" si="2"/>
        <v>771.59001262391996</v>
      </c>
      <c r="X78" s="40">
        <f t="shared" si="2"/>
        <v>157.192375721144</v>
      </c>
      <c r="Y78" s="40">
        <f t="shared" si="2"/>
        <v>983.81740692513608</v>
      </c>
      <c r="Z78" s="40">
        <f t="shared" si="2"/>
        <v>41.693641878562104</v>
      </c>
      <c r="AA78" s="40">
        <f t="shared" si="2"/>
        <v>159.77971128567219</v>
      </c>
      <c r="AB78" s="40">
        <f t="shared" si="2"/>
        <v>52.072422674324699</v>
      </c>
    </row>
    <row r="79" spans="1:28">
      <c r="A79" s="151"/>
      <c r="B79" s="151"/>
      <c r="C79" s="39" t="s">
        <v>74</v>
      </c>
      <c r="D79" s="7">
        <f>'LTM data'!D5</f>
        <v>4558.75601767836</v>
      </c>
      <c r="E79" s="7">
        <f>'LTM data'!E5</f>
        <v>291.27056338702198</v>
      </c>
      <c r="F79" s="7">
        <f>'LTM data'!G5</f>
        <v>556.31700310638701</v>
      </c>
      <c r="G79" s="7">
        <f>'LTM data'!F5</f>
        <v>232.949920766415</v>
      </c>
      <c r="H79" s="7">
        <f>'LTM data'!H5</f>
        <v>415.59740225762403</v>
      </c>
      <c r="I79" s="7">
        <f>'LTM data'!I5</f>
        <v>0</v>
      </c>
      <c r="J79" s="23">
        <f>'LTM data'!J5</f>
        <v>0</v>
      </c>
      <c r="K79" s="23">
        <f>'LTM data'!K5</f>
        <v>0</v>
      </c>
      <c r="L79" s="7">
        <f>'LTM data'!L5</f>
        <v>46.248067558804799</v>
      </c>
      <c r="M79" s="7">
        <f>'LTM data'!M5</f>
        <v>2.2592278320008301</v>
      </c>
      <c r="N79" s="23">
        <f>'LTM data'!N5</f>
        <v>0</v>
      </c>
      <c r="O79" s="92">
        <f>'LTM data'!O5</f>
        <v>6103.3982025866135</v>
      </c>
      <c r="P79" s="40">
        <f>SUM(D79:N79)+SUM(D83:N83)</f>
        <v>13782.106682952786</v>
      </c>
      <c r="Q79" s="40">
        <f>O79+O83</f>
        <v>13782.106682952786</v>
      </c>
      <c r="R79" s="39">
        <f>Q79/$Q$81</f>
        <v>0.20001848553536436</v>
      </c>
      <c r="S79" s="40">
        <f t="shared" si="1"/>
        <v>11434.14643148964</v>
      </c>
      <c r="T79" s="40">
        <f t="shared" si="1"/>
        <v>486.97387171804701</v>
      </c>
      <c r="U79" s="40">
        <f>(G79+G83)</f>
        <v>389.46786627833899</v>
      </c>
      <c r="V79" s="40">
        <f>(F79+F83)</f>
        <v>923.02188034031201</v>
      </c>
      <c r="W79" s="40">
        <f t="shared" si="2"/>
        <v>415.59740225762403</v>
      </c>
      <c r="X79" s="40">
        <f t="shared" si="2"/>
        <v>0</v>
      </c>
      <c r="Y79" s="40">
        <f t="shared" si="2"/>
        <v>0</v>
      </c>
      <c r="Z79" s="40">
        <f t="shared" si="2"/>
        <v>0</v>
      </c>
      <c r="AA79" s="40">
        <f t="shared" si="2"/>
        <v>126.1130449970625</v>
      </c>
      <c r="AB79" s="40">
        <f t="shared" si="2"/>
        <v>6.78618587176204</v>
      </c>
    </row>
    <row r="80" spans="1:28">
      <c r="A80" s="151"/>
      <c r="B80" s="151"/>
      <c r="C80" s="39" t="s">
        <v>73</v>
      </c>
      <c r="D80" s="7">
        <f>'LTM data'!D6</f>
        <v>8730.9460989267209</v>
      </c>
      <c r="E80" s="7">
        <f>'LTM data'!E6</f>
        <v>166.60877884827801</v>
      </c>
      <c r="F80" s="7">
        <f>'LTM data'!G6</f>
        <v>1935.2502981115199</v>
      </c>
      <c r="G80" s="7">
        <f>'LTM data'!F6</f>
        <v>1824.8698596924801</v>
      </c>
      <c r="H80" s="7">
        <f>'LTM data'!H6</f>
        <v>0</v>
      </c>
      <c r="I80" s="7">
        <f>'LTM data'!I6</f>
        <v>0</v>
      </c>
      <c r="J80" s="23">
        <f>'LTM data'!J6</f>
        <v>0</v>
      </c>
      <c r="K80" s="23">
        <f>'LTM data'!K6</f>
        <v>0</v>
      </c>
      <c r="L80" s="7">
        <f>'LTM data'!L6</f>
        <v>66.048773744700398</v>
      </c>
      <c r="M80" s="7">
        <f>'LTM data'!M6</f>
        <v>1.0927671310260101</v>
      </c>
      <c r="N80" s="23">
        <f>'LTM data'!N6</f>
        <v>0</v>
      </c>
      <c r="O80" s="92">
        <f>'LTM data'!O6</f>
        <v>12724.816576454725</v>
      </c>
      <c r="P80" s="40">
        <f>SUM(D80:N80)+SUM(D84:N84)</f>
        <v>28622.811827904505</v>
      </c>
      <c r="Q80" s="40">
        <f>O80+O84</f>
        <v>28622.811827904505</v>
      </c>
      <c r="R80" s="39">
        <f>Q80/$Q$81</f>
        <v>0.41540031616955853</v>
      </c>
      <c r="S80" s="40">
        <f t="shared" si="1"/>
        <v>21898.978305174423</v>
      </c>
      <c r="T80" s="40">
        <f t="shared" si="1"/>
        <v>278.55242615147404</v>
      </c>
      <c r="U80" s="40">
        <f>(G80+G84)</f>
        <v>3050.9912523333701</v>
      </c>
      <c r="V80" s="40">
        <f>(F80+F84)</f>
        <v>3210.9001866161698</v>
      </c>
      <c r="W80" s="40">
        <f t="shared" si="2"/>
        <v>0</v>
      </c>
      <c r="X80" s="40">
        <f t="shared" si="2"/>
        <v>0</v>
      </c>
      <c r="Y80" s="40">
        <f t="shared" si="2"/>
        <v>0</v>
      </c>
      <c r="Z80" s="40">
        <f t="shared" si="2"/>
        <v>0</v>
      </c>
      <c r="AA80" s="40">
        <f t="shared" si="2"/>
        <v>180.10724371726542</v>
      </c>
      <c r="AB80" s="40">
        <f t="shared" si="2"/>
        <v>3.2824139118041504</v>
      </c>
    </row>
    <row r="81" spans="1:28">
      <c r="A81" s="151"/>
      <c r="B81" s="151" t="s">
        <v>4</v>
      </c>
      <c r="C81" s="39" t="s">
        <v>76</v>
      </c>
      <c r="D81" s="7">
        <f>'LTM data'!D7</f>
        <v>1983.8479015452001</v>
      </c>
      <c r="E81" s="7">
        <f>'LTM data'!E7</f>
        <v>236.99180944277799</v>
      </c>
      <c r="F81" s="23">
        <f>'LTM data'!G7</f>
        <v>0</v>
      </c>
      <c r="G81" s="23">
        <f>'LTM data'!F7</f>
        <v>0</v>
      </c>
      <c r="H81" s="23">
        <f>'LTM data'!H7</f>
        <v>0</v>
      </c>
      <c r="I81" s="23">
        <f>'LTM data'!I7</f>
        <v>0</v>
      </c>
      <c r="J81" s="7">
        <f>'LTM data'!J7</f>
        <v>757.47587203212697</v>
      </c>
      <c r="K81" s="7">
        <f>'LTM data'!K7</f>
        <v>221.92512677334301</v>
      </c>
      <c r="L81" s="23">
        <f>'LTM data'!L7</f>
        <v>0</v>
      </c>
      <c r="M81" s="7">
        <f>'LTM data'!M7</f>
        <v>10.5792749039458</v>
      </c>
      <c r="N81" s="23">
        <f>'LTM data'!N7</f>
        <v>0</v>
      </c>
      <c r="O81" s="92">
        <f>'LTM data'!O7</f>
        <v>3210.8199846973935</v>
      </c>
      <c r="Q81" s="40">
        <f>SUM(Q77:Q80)</f>
        <v>68904.164762891553</v>
      </c>
    </row>
    <row r="82" spans="1:28">
      <c r="A82" s="151"/>
      <c r="B82" s="151"/>
      <c r="C82" s="39" t="s">
        <v>75</v>
      </c>
      <c r="D82" s="7">
        <f>'LTM data'!D8</f>
        <v>9518.7082766625208</v>
      </c>
      <c r="E82" s="7">
        <f>'LTM data'!E8</f>
        <v>680.68239023701597</v>
      </c>
      <c r="F82" s="7">
        <f>'LTM data'!G8</f>
        <v>164.22983013434501</v>
      </c>
      <c r="G82" s="7">
        <f>'LTM data'!F8</f>
        <v>158.55667058094801</v>
      </c>
      <c r="H82" s="23">
        <f>'LTM data'!H8</f>
        <v>0</v>
      </c>
      <c r="I82" s="23">
        <f>'LTM data'!I8</f>
        <v>0</v>
      </c>
      <c r="J82" s="7">
        <f>'LTM data'!J8</f>
        <v>542.146276835913</v>
      </c>
      <c r="K82" s="7">
        <f>'LTM data'!K8</f>
        <v>17.190198347015301</v>
      </c>
      <c r="L82" s="7">
        <f>'LTM data'!L8</f>
        <v>101.185432777543</v>
      </c>
      <c r="M82" s="7">
        <f>'LTM data'!M8</f>
        <v>34.7366955355985</v>
      </c>
      <c r="N82" s="23">
        <f>'LTM data'!N8</f>
        <v>0</v>
      </c>
      <c r="O82" s="92">
        <f>'LTM data'!O8</f>
        <v>11217.435771110902</v>
      </c>
    </row>
    <row r="83" spans="1:28">
      <c r="A83" s="151"/>
      <c r="B83" s="151"/>
      <c r="C83" s="39" t="s">
        <v>74</v>
      </c>
      <c r="D83" s="7">
        <f>'LTM data'!D9</f>
        <v>6875.3904138112803</v>
      </c>
      <c r="E83" s="7">
        <f>'LTM data'!E9</f>
        <v>195.703308331025</v>
      </c>
      <c r="F83" s="7">
        <f>'LTM data'!G9</f>
        <v>366.704877233925</v>
      </c>
      <c r="G83" s="7">
        <f>'LTM data'!F9</f>
        <v>156.51794551192401</v>
      </c>
      <c r="H83" s="23">
        <f>'LTM data'!H9</f>
        <v>0</v>
      </c>
      <c r="I83" s="23">
        <f>'LTM data'!I9</f>
        <v>0</v>
      </c>
      <c r="J83" s="23">
        <f>'LTM data'!J9</f>
        <v>0</v>
      </c>
      <c r="K83" s="23">
        <f>'LTM data'!K9</f>
        <v>0</v>
      </c>
      <c r="L83" s="7">
        <f>'LTM data'!L9</f>
        <v>79.864977438257696</v>
      </c>
      <c r="M83" s="7">
        <f>'LTM data'!M9</f>
        <v>4.5269580397612099</v>
      </c>
      <c r="N83" s="23">
        <f>'LTM data'!N9</f>
        <v>0</v>
      </c>
      <c r="O83" s="92">
        <f>'LTM data'!O9</f>
        <v>7678.7084803661728</v>
      </c>
    </row>
    <row r="84" spans="1:28">
      <c r="A84" s="151"/>
      <c r="B84" s="151"/>
      <c r="C84" s="41" t="s">
        <v>73</v>
      </c>
      <c r="D84" s="50">
        <f>'LTM data'!D10</f>
        <v>13168.032206247701</v>
      </c>
      <c r="E84" s="50">
        <f>'LTM data'!E10</f>
        <v>111.943647303196</v>
      </c>
      <c r="F84" s="50">
        <f>'LTM data'!G10</f>
        <v>1275.6498885046501</v>
      </c>
      <c r="G84" s="50">
        <f>'LTM data'!F10</f>
        <v>1226.12139264089</v>
      </c>
      <c r="H84" s="12">
        <f>'LTM data'!H10</f>
        <v>0</v>
      </c>
      <c r="I84" s="12">
        <f>'LTM data'!I10</f>
        <v>0</v>
      </c>
      <c r="J84" s="12">
        <f>'LTM data'!J10</f>
        <v>0</v>
      </c>
      <c r="K84" s="12">
        <f>'LTM data'!K10</f>
        <v>0</v>
      </c>
      <c r="L84" s="50">
        <f>'LTM data'!L10</f>
        <v>114.05846997256501</v>
      </c>
      <c r="M84" s="50">
        <f>'LTM data'!M10</f>
        <v>2.1896467807781401</v>
      </c>
      <c r="N84" s="12">
        <f>'LTM data'!N10</f>
        <v>0</v>
      </c>
      <c r="O84" s="91">
        <f>'LTM data'!O10</f>
        <v>15897.99525144978</v>
      </c>
      <c r="S84" s="39" t="str">
        <f t="shared" ref="S84:AB84" si="3">S76</f>
        <v>Car</v>
      </c>
      <c r="T84" s="39" t="str">
        <f t="shared" si="3"/>
        <v>Public bus</v>
      </c>
      <c r="U84" s="39" t="str">
        <f t="shared" si="3"/>
        <v>Coach</v>
      </c>
      <c r="V84" s="39" t="str">
        <f t="shared" si="3"/>
        <v>Train</v>
      </c>
      <c r="W84" s="39" t="str">
        <f t="shared" si="3"/>
        <v>S-train</v>
      </c>
      <c r="X84" s="39" t="str">
        <f t="shared" si="3"/>
        <v>Metro</v>
      </c>
      <c r="Y84" s="39" t="str">
        <f t="shared" si="3"/>
        <v>Bike</v>
      </c>
      <c r="Z84" s="39" t="str">
        <f t="shared" si="3"/>
        <v>Walk</v>
      </c>
      <c r="AA84" s="39" t="str">
        <f t="shared" si="3"/>
        <v>Moto</v>
      </c>
      <c r="AB84" s="39" t="str">
        <f t="shared" si="3"/>
        <v>Moped</v>
      </c>
    </row>
    <row r="85" spans="1:28">
      <c r="A85" s="151">
        <v>2020</v>
      </c>
      <c r="B85" s="151" t="s">
        <v>5</v>
      </c>
      <c r="C85" s="39" t="s">
        <v>76</v>
      </c>
      <c r="D85" s="7">
        <f>'LTM data'!D11</f>
        <v>1607.7359233521399</v>
      </c>
      <c r="E85" s="7">
        <f>'LTM data'!E11</f>
        <v>382.02941458596183</v>
      </c>
      <c r="F85" s="7">
        <f>'LTM data'!G11</f>
        <v>0</v>
      </c>
      <c r="G85" s="7">
        <f>'LTM data'!F11</f>
        <v>0</v>
      </c>
      <c r="H85" s="7">
        <f>'LTM data'!H11</f>
        <v>88.762679879882455</v>
      </c>
      <c r="I85" s="7">
        <f>'LTM data'!I11</f>
        <v>199.97732779611337</v>
      </c>
      <c r="J85" s="7">
        <f>'LTM data'!J11</f>
        <v>691.58103469103082</v>
      </c>
      <c r="K85" s="7">
        <f>'LTM data'!K11</f>
        <v>334.31011118953018</v>
      </c>
      <c r="L85" s="7">
        <f>'LTM data'!L11</f>
        <v>0</v>
      </c>
      <c r="M85" s="7">
        <f>'LTM data'!M11</f>
        <v>3.5113406968554393</v>
      </c>
      <c r="N85" s="23">
        <f>'LTM data'!N11</f>
        <v>0</v>
      </c>
      <c r="O85" s="92">
        <f>'LTM data'!O11</f>
        <v>3307.907832191514</v>
      </c>
      <c r="P85" s="40">
        <f>SUM(D85:N85)+SUM(D89:N89)</f>
        <v>7079.81837732842</v>
      </c>
      <c r="Q85" s="40">
        <f>O85+O89</f>
        <v>7079.81837732842</v>
      </c>
      <c r="R85" s="39">
        <f>Q85/$Q$89</f>
        <v>8.5322214449048972E-2</v>
      </c>
      <c r="S85" s="40">
        <f t="shared" ref="S85:T88" si="4">(D85+D89)</f>
        <v>4032.4863548143267</v>
      </c>
      <c r="T85" s="40">
        <f t="shared" si="4"/>
        <v>638.71316403473475</v>
      </c>
      <c r="U85" s="40">
        <f>(G85+G89)</f>
        <v>0</v>
      </c>
      <c r="V85" s="40">
        <f>(F85+F89)</f>
        <v>0</v>
      </c>
      <c r="W85" s="40">
        <f t="shared" ref="W85:AB88" si="5">(H85+H89)</f>
        <v>88.762679879882455</v>
      </c>
      <c r="X85" s="40">
        <f t="shared" si="5"/>
        <v>199.97732779611337</v>
      </c>
      <c r="Y85" s="40">
        <f t="shared" si="5"/>
        <v>1540.4888702842877</v>
      </c>
      <c r="Z85" s="40">
        <f t="shared" si="5"/>
        <v>568.84274385244737</v>
      </c>
      <c r="AA85" s="40">
        <f t="shared" si="5"/>
        <v>0</v>
      </c>
      <c r="AB85" s="40">
        <f t="shared" si="5"/>
        <v>10.547236666627084</v>
      </c>
    </row>
    <row r="86" spans="1:28">
      <c r="A86" s="151"/>
      <c r="B86" s="151"/>
      <c r="C86" s="39" t="s">
        <v>75</v>
      </c>
      <c r="D86" s="7">
        <f>'LTM data'!D12</f>
        <v>7714.0587447631178</v>
      </c>
      <c r="E86" s="7">
        <f>'LTM data'!E12</f>
        <v>1097.2560430364067</v>
      </c>
      <c r="F86" s="7">
        <f>'LTM data'!G12</f>
        <v>317.88336428374492</v>
      </c>
      <c r="G86" s="7">
        <f>'LTM data'!F12</f>
        <v>255.59242820737325</v>
      </c>
      <c r="H86" s="7">
        <f>'LTM data'!H12</f>
        <v>749.50974473852216</v>
      </c>
      <c r="I86" s="7">
        <f>'LTM data'!I12</f>
        <v>340.54496122483778</v>
      </c>
      <c r="J86" s="7">
        <f>'LTM data'!J12</f>
        <v>494.98353271926771</v>
      </c>
      <c r="K86" s="7">
        <f>'LTM data'!K12</f>
        <v>25.895477471688864</v>
      </c>
      <c r="L86" s="7">
        <f>'LTM data'!L12</f>
        <v>63.781003805254372</v>
      </c>
      <c r="M86" s="7">
        <f>'LTM data'!M12</f>
        <v>11.529369811813096</v>
      </c>
      <c r="N86" s="23">
        <f>'LTM data'!N12</f>
        <v>0</v>
      </c>
      <c r="O86" s="92">
        <f>'LTM data'!O12</f>
        <v>11071.034670062027</v>
      </c>
      <c r="P86" s="40">
        <f>SUM(D86:N86)+SUM(D90:N90)</f>
        <v>24582.747071037171</v>
      </c>
      <c r="Q86" s="40">
        <f>O86+O90</f>
        <v>24582.747071037171</v>
      </c>
      <c r="R86" s="39">
        <f>Q86/$Q$89</f>
        <v>0.29625822380675837</v>
      </c>
      <c r="S86" s="40">
        <f t="shared" si="4"/>
        <v>19348.263152683183</v>
      </c>
      <c r="T86" s="40">
        <f t="shared" si="4"/>
        <v>1834.4971676161849</v>
      </c>
      <c r="U86" s="40">
        <f>(G86+G90)</f>
        <v>427.32376694234546</v>
      </c>
      <c r="V86" s="40">
        <f>(F86+F90)</f>
        <v>527.42105488725451</v>
      </c>
      <c r="W86" s="40">
        <f t="shared" si="5"/>
        <v>749.50974473852216</v>
      </c>
      <c r="X86" s="40">
        <f t="shared" si="5"/>
        <v>340.54496122483778</v>
      </c>
      <c r="Y86" s="40">
        <f t="shared" si="5"/>
        <v>1102.5701759862334</v>
      </c>
      <c r="Z86" s="40">
        <f t="shared" si="5"/>
        <v>44.062246295666377</v>
      </c>
      <c r="AA86" s="40">
        <f t="shared" si="5"/>
        <v>173.92330160870648</v>
      </c>
      <c r="AB86" s="40">
        <f t="shared" si="5"/>
        <v>34.631499054238382</v>
      </c>
    </row>
    <row r="87" spans="1:28">
      <c r="A87" s="151"/>
      <c r="B87" s="151"/>
      <c r="C87" s="39" t="s">
        <v>74</v>
      </c>
      <c r="D87" s="7">
        <f>'LTM data'!D13</f>
        <v>5571.9219261651615</v>
      </c>
      <c r="E87" s="7">
        <f>'LTM data'!E13</f>
        <v>315.47259160569968</v>
      </c>
      <c r="F87" s="7">
        <f>'LTM data'!G13</f>
        <v>709.79419499502899</v>
      </c>
      <c r="G87" s="7">
        <f>'LTM data'!F13</f>
        <v>252.30601528680864</v>
      </c>
      <c r="H87" s="7">
        <f>'LTM data'!H13</f>
        <v>403.70442564544948</v>
      </c>
      <c r="I87" s="7">
        <f>'LTM data'!I13</f>
        <v>0</v>
      </c>
      <c r="J87" s="7">
        <f>'LTM data'!J13</f>
        <v>0</v>
      </c>
      <c r="K87" s="7">
        <f>'LTM data'!K13</f>
        <v>0</v>
      </c>
      <c r="L87" s="7">
        <f>'LTM data'!L13</f>
        <v>50.341914740780545</v>
      </c>
      <c r="M87" s="7">
        <f>'LTM data'!M13</f>
        <v>1.502531330577475</v>
      </c>
      <c r="N87" s="23">
        <f>'LTM data'!N13</f>
        <v>0</v>
      </c>
      <c r="O87" s="92">
        <f>'LTM data'!O13</f>
        <v>7305.0435997695058</v>
      </c>
      <c r="P87" s="40">
        <f>SUM(D87:N87)+SUM(D91:N91)</f>
        <v>16647.767721811149</v>
      </c>
      <c r="Q87" s="40">
        <f>O87+O91</f>
        <v>16647.767721811149</v>
      </c>
      <c r="R87" s="39">
        <f>Q87/$Q$89</f>
        <v>0.20063006308282241</v>
      </c>
      <c r="S87" s="40">
        <f t="shared" si="4"/>
        <v>13975.341290812483</v>
      </c>
      <c r="T87" s="40">
        <f t="shared" si="4"/>
        <v>527.4371277643462</v>
      </c>
      <c r="U87" s="40">
        <f>(G87+G91)</f>
        <v>421.82922878723076</v>
      </c>
      <c r="V87" s="40">
        <f>(F87+F91)</f>
        <v>1177.6659150460325</v>
      </c>
      <c r="W87" s="40">
        <f t="shared" si="5"/>
        <v>403.70442564544948</v>
      </c>
      <c r="X87" s="40">
        <f t="shared" si="5"/>
        <v>0</v>
      </c>
      <c r="Y87" s="40">
        <f t="shared" si="5"/>
        <v>0</v>
      </c>
      <c r="Z87" s="40">
        <f t="shared" si="5"/>
        <v>0</v>
      </c>
      <c r="AA87" s="40">
        <f t="shared" si="5"/>
        <v>137.27648513896986</v>
      </c>
      <c r="AB87" s="40">
        <f t="shared" si="5"/>
        <v>4.5132486166366128</v>
      </c>
    </row>
    <row r="88" spans="1:28">
      <c r="A88" s="151"/>
      <c r="B88" s="151"/>
      <c r="C88" s="39" t="s">
        <v>73</v>
      </c>
      <c r="D88" s="7">
        <f>'LTM data'!D14</f>
        <v>10671.365130339011</v>
      </c>
      <c r="E88" s="7">
        <f>'LTM data'!E14</f>
        <v>180.45250655037205</v>
      </c>
      <c r="F88" s="7">
        <f>'LTM data'!G14</f>
        <v>2469.1487403617448</v>
      </c>
      <c r="G88" s="7">
        <f>'LTM data'!F14</f>
        <v>1976.5005336820359</v>
      </c>
      <c r="H88" s="7">
        <f>'LTM data'!H14</f>
        <v>0</v>
      </c>
      <c r="I88" s="7">
        <f>'LTM data'!I14</f>
        <v>0</v>
      </c>
      <c r="J88" s="7">
        <f>'LTM data'!J14</f>
        <v>0</v>
      </c>
      <c r="K88" s="7">
        <f>'LTM data'!K14</f>
        <v>0</v>
      </c>
      <c r="L88" s="7">
        <f>'LTM data'!L14</f>
        <v>71.895365841200174</v>
      </c>
      <c r="M88" s="7">
        <f>'LTM data'!M14</f>
        <v>0.72676019130736247</v>
      </c>
      <c r="N88" s="23">
        <f>'LTM data'!N14</f>
        <v>0</v>
      </c>
      <c r="O88" s="92">
        <f>'LTM data'!O14</f>
        <v>15370.089036965672</v>
      </c>
      <c r="P88" s="40">
        <f>SUM(D88:N88)+SUM(D92:N92)</f>
        <v>34667.100351033689</v>
      </c>
      <c r="Q88" s="40">
        <f>O88+O92</f>
        <v>34667.100351033689</v>
      </c>
      <c r="R88" s="39">
        <f>Q88/$Q$89</f>
        <v>0.41778949866137038</v>
      </c>
      <c r="S88" s="40">
        <f t="shared" si="4"/>
        <v>26765.941609079011</v>
      </c>
      <c r="T88" s="40">
        <f t="shared" si="4"/>
        <v>301.69768875441468</v>
      </c>
      <c r="U88" s="40">
        <f>(G88+G92)</f>
        <v>3304.5018561007573</v>
      </c>
      <c r="V88" s="40">
        <f>(F88+F92)</f>
        <v>4096.7259681846799</v>
      </c>
      <c r="W88" s="40">
        <f t="shared" si="5"/>
        <v>0</v>
      </c>
      <c r="X88" s="40">
        <f t="shared" si="5"/>
        <v>0</v>
      </c>
      <c r="Y88" s="40">
        <f t="shared" si="5"/>
        <v>0</v>
      </c>
      <c r="Z88" s="40">
        <f t="shared" si="5"/>
        <v>0</v>
      </c>
      <c r="AA88" s="40">
        <f t="shared" si="5"/>
        <v>196.05021325232377</v>
      </c>
      <c r="AB88" s="40">
        <f t="shared" si="5"/>
        <v>2.1830156624979526</v>
      </c>
    </row>
    <row r="89" spans="1:28">
      <c r="A89" s="151"/>
      <c r="B89" s="151" t="s">
        <v>4</v>
      </c>
      <c r="C89" s="39" t="s">
        <v>76</v>
      </c>
      <c r="D89" s="7">
        <f>'LTM data'!D15</f>
        <v>2424.750431462187</v>
      </c>
      <c r="E89" s="7">
        <f>'LTM data'!E15</f>
        <v>256.68374944877297</v>
      </c>
      <c r="F89" s="7">
        <f>'LTM data'!G15</f>
        <v>0</v>
      </c>
      <c r="G89" s="7">
        <f>'LTM data'!F15</f>
        <v>0</v>
      </c>
      <c r="H89" s="7">
        <f>'LTM data'!H15</f>
        <v>0</v>
      </c>
      <c r="I89" s="7">
        <f>'LTM data'!I15</f>
        <v>0</v>
      </c>
      <c r="J89" s="7">
        <f>'LTM data'!J15</f>
        <v>848.907835593257</v>
      </c>
      <c r="K89" s="7">
        <f>'LTM data'!K15</f>
        <v>234.53263266291717</v>
      </c>
      <c r="L89" s="7">
        <f>'LTM data'!L15</f>
        <v>0</v>
      </c>
      <c r="M89" s="7">
        <f>'LTM data'!M15</f>
        <v>7.0358959697716452</v>
      </c>
      <c r="N89" s="23">
        <f>'LTM data'!N15</f>
        <v>0</v>
      </c>
      <c r="O89" s="92">
        <f>'LTM data'!O15</f>
        <v>3771.9105451369055</v>
      </c>
      <c r="Q89" s="40">
        <f>SUM(Q85:Q88)</f>
        <v>82977.43352121042</v>
      </c>
      <c r="S89" s="39">
        <v>23429</v>
      </c>
      <c r="T89" s="39">
        <v>3190</v>
      </c>
      <c r="V89" s="39">
        <v>4023</v>
      </c>
    </row>
    <row r="90" spans="1:28">
      <c r="A90" s="151"/>
      <c r="B90" s="151"/>
      <c r="C90" s="39" t="s">
        <v>75</v>
      </c>
      <c r="D90" s="7">
        <f>'LTM data'!D16</f>
        <v>11634.204407920066</v>
      </c>
      <c r="E90" s="7">
        <f>'LTM data'!E16</f>
        <v>737.2411245797781</v>
      </c>
      <c r="F90" s="7">
        <f>'LTM data'!G16</f>
        <v>209.53769060350953</v>
      </c>
      <c r="G90" s="7">
        <f>'LTM data'!F16</f>
        <v>171.73133873497221</v>
      </c>
      <c r="H90" s="7">
        <f>'LTM data'!H16</f>
        <v>0</v>
      </c>
      <c r="I90" s="7">
        <f>'LTM data'!I16</f>
        <v>0</v>
      </c>
      <c r="J90" s="7">
        <f>'LTM data'!J16</f>
        <v>607.58664326696567</v>
      </c>
      <c r="K90" s="7">
        <f>'LTM data'!K16</f>
        <v>18.166768823977513</v>
      </c>
      <c r="L90" s="7">
        <f>'LTM data'!L16</f>
        <v>110.14229780345212</v>
      </c>
      <c r="M90" s="7">
        <f>'LTM data'!M16</f>
        <v>23.102129242425285</v>
      </c>
      <c r="N90" s="23">
        <f>'LTM data'!N16</f>
        <v>0</v>
      </c>
      <c r="O90" s="92">
        <f>'LTM data'!O16</f>
        <v>13511.712400975144</v>
      </c>
    </row>
    <row r="91" spans="1:28">
      <c r="A91" s="151"/>
      <c r="B91" s="151"/>
      <c r="C91" s="39" t="s">
        <v>74</v>
      </c>
      <c r="D91" s="7">
        <f>'LTM data'!D17</f>
        <v>8403.4193646473213</v>
      </c>
      <c r="E91" s="7">
        <f>'LTM data'!E17</f>
        <v>211.96453615864655</v>
      </c>
      <c r="F91" s="7">
        <f>'LTM data'!G17</f>
        <v>467.87172005100354</v>
      </c>
      <c r="G91" s="7">
        <f>'LTM data'!F17</f>
        <v>169.52321350042212</v>
      </c>
      <c r="H91" s="7">
        <f>'LTM data'!H17</f>
        <v>0</v>
      </c>
      <c r="I91" s="7">
        <f>'LTM data'!I17</f>
        <v>0</v>
      </c>
      <c r="J91" s="7">
        <f>'LTM data'!J17</f>
        <v>0</v>
      </c>
      <c r="K91" s="7">
        <f>'LTM data'!K17</f>
        <v>0</v>
      </c>
      <c r="L91" s="7">
        <f>'LTM data'!L17</f>
        <v>86.934570398189308</v>
      </c>
      <c r="M91" s="7">
        <f>'LTM data'!M17</f>
        <v>3.0107172860591378</v>
      </c>
      <c r="N91" s="23">
        <f>'LTM data'!N17</f>
        <v>0</v>
      </c>
      <c r="O91" s="92">
        <f>'LTM data'!O17</f>
        <v>9342.7241220416417</v>
      </c>
    </row>
    <row r="92" spans="1:28">
      <c r="A92" s="151"/>
      <c r="B92" s="151"/>
      <c r="C92" s="41" t="s">
        <v>73</v>
      </c>
      <c r="D92" s="50">
        <f>'LTM data'!D18</f>
        <v>16094.576478740002</v>
      </c>
      <c r="E92" s="50">
        <f>'LTM data'!E18</f>
        <v>121.24518220404265</v>
      </c>
      <c r="F92" s="50">
        <f>'LTM data'!G18</f>
        <v>1627.5772278229354</v>
      </c>
      <c r="G92" s="50">
        <f>'LTM data'!F18</f>
        <v>1328.0013224187214</v>
      </c>
      <c r="H92" s="50">
        <f>'LTM data'!H18</f>
        <v>0</v>
      </c>
      <c r="I92" s="50">
        <f>'LTM data'!I18</f>
        <v>0</v>
      </c>
      <c r="J92" s="50">
        <f>'LTM data'!J18</f>
        <v>0</v>
      </c>
      <c r="K92" s="50">
        <f>'LTM data'!K18</f>
        <v>0</v>
      </c>
      <c r="L92" s="50">
        <f>'LTM data'!L18</f>
        <v>124.15484741112361</v>
      </c>
      <c r="M92" s="50">
        <f>'LTM data'!M18</f>
        <v>1.45625547119059</v>
      </c>
      <c r="N92" s="12">
        <f>'LTM data'!N18</f>
        <v>0</v>
      </c>
      <c r="O92" s="91">
        <f>'LTM data'!O18</f>
        <v>19297.011314068015</v>
      </c>
      <c r="S92" s="39" t="str">
        <f t="shared" ref="S92:AB92" si="6">S84</f>
        <v>Car</v>
      </c>
      <c r="T92" s="39" t="str">
        <f t="shared" si="6"/>
        <v>Public bus</v>
      </c>
      <c r="U92" s="39" t="str">
        <f t="shared" si="6"/>
        <v>Coach</v>
      </c>
      <c r="V92" s="39" t="str">
        <f t="shared" si="6"/>
        <v>Train</v>
      </c>
      <c r="W92" s="39" t="str">
        <f t="shared" si="6"/>
        <v>S-train</v>
      </c>
      <c r="X92" s="39" t="str">
        <f t="shared" si="6"/>
        <v>Metro</v>
      </c>
      <c r="Y92" s="39" t="str">
        <f t="shared" si="6"/>
        <v>Bike</v>
      </c>
      <c r="Z92" s="39" t="str">
        <f t="shared" si="6"/>
        <v>Walk</v>
      </c>
      <c r="AA92" s="39" t="str">
        <f t="shared" si="6"/>
        <v>Moto</v>
      </c>
      <c r="AB92" s="39" t="str">
        <f t="shared" si="6"/>
        <v>Moped</v>
      </c>
    </row>
    <row r="93" spans="1:28">
      <c r="A93" s="151">
        <v>2030</v>
      </c>
      <c r="B93" s="151" t="s">
        <v>5</v>
      </c>
      <c r="C93" s="39" t="s">
        <v>76</v>
      </c>
      <c r="D93" s="7">
        <f>'LTM data'!D19</f>
        <v>1676.4102997290195</v>
      </c>
      <c r="E93" s="7">
        <f>'LTM data'!E19</f>
        <v>392.62020234483248</v>
      </c>
      <c r="F93" s="7">
        <f>'LTM data'!G19</f>
        <v>0</v>
      </c>
      <c r="G93" s="7">
        <f>'LTM data'!F19</f>
        <v>0</v>
      </c>
      <c r="H93" s="7">
        <f>'LTM data'!H19</f>
        <v>92.588531248143184</v>
      </c>
      <c r="I93" s="7">
        <f>'LTM data'!I19</f>
        <v>217.38346756833559</v>
      </c>
      <c r="J93" s="7">
        <f>'LTM data'!J19</f>
        <v>708.64316269902577</v>
      </c>
      <c r="K93" s="7">
        <f>'LTM data'!K19</f>
        <v>357.25297088630981</v>
      </c>
      <c r="L93" s="7">
        <f>'LTM data'!L19</f>
        <v>0</v>
      </c>
      <c r="M93" s="7">
        <f>'LTM data'!M19</f>
        <v>3.1907272897715813</v>
      </c>
      <c r="N93" s="23">
        <f>'LTM data'!N19</f>
        <v>0</v>
      </c>
      <c r="O93" s="92">
        <f>'LTM data'!O19</f>
        <v>3448.0893617654378</v>
      </c>
      <c r="P93" s="40">
        <f>SUM(D93:N93)+SUM(D97:N97)</f>
        <v>7367.0854428944976</v>
      </c>
      <c r="Q93" s="40">
        <f>O93+O97</f>
        <v>7367.0854428944976</v>
      </c>
      <c r="R93" s="39">
        <f>Q93/$Q$97</f>
        <v>8.5285476558355972E-2</v>
      </c>
      <c r="S93" s="40">
        <f t="shared" ref="S93:T96" si="7">(D93+D97)</f>
        <v>4204.7338499674815</v>
      </c>
      <c r="T93" s="40">
        <f t="shared" si="7"/>
        <v>656.41985179441906</v>
      </c>
      <c r="U93" s="40">
        <f>(G93+G97)</f>
        <v>0</v>
      </c>
      <c r="V93" s="40">
        <f>(F93+F97)</f>
        <v>0</v>
      </c>
      <c r="W93" s="40">
        <f t="shared" ref="W93:AB96" si="8">(H93+H97)</f>
        <v>92.588531248143184</v>
      </c>
      <c r="X93" s="40">
        <f t="shared" si="8"/>
        <v>217.38346756833559</v>
      </c>
      <c r="Y93" s="40">
        <f t="shared" si="8"/>
        <v>1578.4945659023358</v>
      </c>
      <c r="Z93" s="40">
        <f t="shared" si="8"/>
        <v>607.88098656458271</v>
      </c>
      <c r="AA93" s="40">
        <f t="shared" si="8"/>
        <v>0</v>
      </c>
      <c r="AB93" s="40">
        <f t="shared" si="8"/>
        <v>9.5841898492004933</v>
      </c>
    </row>
    <row r="94" spans="1:28">
      <c r="A94" s="151"/>
      <c r="B94" s="151"/>
      <c r="C94" s="39" t="s">
        <v>75</v>
      </c>
      <c r="D94" s="7">
        <f>'LTM data'!D20</f>
        <v>8043.5644589395306</v>
      </c>
      <c r="E94" s="7">
        <f>'LTM data'!E20</f>
        <v>1127.6746585284395</v>
      </c>
      <c r="F94" s="7">
        <f>'LTM data'!G20</f>
        <v>331.63775640490007</v>
      </c>
      <c r="G94" s="7">
        <f>'LTM data'!F20</f>
        <v>262.67807411988076</v>
      </c>
      <c r="H94" s="7">
        <f>'LTM data'!H20</f>
        <v>781.81513351579963</v>
      </c>
      <c r="I94" s="7">
        <f>'LTM data'!I20</f>
        <v>370.18618735347656</v>
      </c>
      <c r="J94" s="7">
        <f>'LTM data'!J20</f>
        <v>507.19536614653737</v>
      </c>
      <c r="K94" s="7">
        <f>'LTM data'!K20</f>
        <v>27.672618774116458</v>
      </c>
      <c r="L94" s="7">
        <f>'LTM data'!L20</f>
        <v>64.312404921585099</v>
      </c>
      <c r="M94" s="7">
        <f>'LTM data'!M20</f>
        <v>10.476646406133458</v>
      </c>
      <c r="N94" s="23">
        <f>'LTM data'!N20</f>
        <v>0</v>
      </c>
      <c r="O94" s="92">
        <f>'LTM data'!O20</f>
        <v>11527.213305110401</v>
      </c>
      <c r="P94" s="40">
        <f>SUM(D94:N94)+SUM(D98:N98)</f>
        <v>25585.190525155886</v>
      </c>
      <c r="Q94" s="40">
        <f>O94+O98</f>
        <v>25585.190525155886</v>
      </c>
      <c r="R94" s="39">
        <f>Q94/$Q$97</f>
        <v>0.29618838870381514</v>
      </c>
      <c r="S94" s="40">
        <f t="shared" si="7"/>
        <v>20174.723447988312</v>
      </c>
      <c r="T94" s="40">
        <f t="shared" si="7"/>
        <v>1885.3539064029846</v>
      </c>
      <c r="U94" s="40">
        <f>(G94+G98)</f>
        <v>439.17022469459039</v>
      </c>
      <c r="V94" s="40">
        <f>(F94+F98)</f>
        <v>550.24186533833961</v>
      </c>
      <c r="W94" s="40">
        <f t="shared" si="8"/>
        <v>781.81513351579963</v>
      </c>
      <c r="X94" s="40">
        <f t="shared" si="8"/>
        <v>370.18618735347656</v>
      </c>
      <c r="Y94" s="40">
        <f t="shared" si="8"/>
        <v>1129.7718957223437</v>
      </c>
      <c r="Z94" s="40">
        <f t="shared" si="8"/>
        <v>47.086127120237983</v>
      </c>
      <c r="AA94" s="40">
        <f t="shared" si="8"/>
        <v>175.37237000080944</v>
      </c>
      <c r="AB94" s="40">
        <f t="shared" si="8"/>
        <v>31.4693670189892</v>
      </c>
    </row>
    <row r="95" spans="1:28">
      <c r="A95" s="151"/>
      <c r="B95" s="151"/>
      <c r="C95" s="39" t="s">
        <v>74</v>
      </c>
      <c r="D95" s="7">
        <f>'LTM data'!D21</f>
        <v>5809.9263508608728</v>
      </c>
      <c r="E95" s="7">
        <f>'LTM data'!E21</f>
        <v>324.21826179200684</v>
      </c>
      <c r="F95" s="7">
        <f>'LTM data'!G21</f>
        <v>740.50604965681293</v>
      </c>
      <c r="G95" s="7">
        <f>'LTM data'!F21</f>
        <v>259.30055381229096</v>
      </c>
      <c r="H95" s="7">
        <f>'LTM data'!H21</f>
        <v>421.10490444260455</v>
      </c>
      <c r="I95" s="7">
        <f>'LTM data'!I21</f>
        <v>0</v>
      </c>
      <c r="J95" s="7">
        <f>'LTM data'!J21</f>
        <v>0</v>
      </c>
      <c r="K95" s="7">
        <f>'LTM data'!K21</f>
        <v>0</v>
      </c>
      <c r="L95" s="7">
        <f>'LTM data'!L21</f>
        <v>50.76134604627017</v>
      </c>
      <c r="M95" s="7">
        <f>'LTM data'!M21</f>
        <v>1.3653382380421655</v>
      </c>
      <c r="N95" s="23">
        <f>'LTM data'!N21</f>
        <v>0</v>
      </c>
      <c r="O95" s="92">
        <f>'LTM data'!O21</f>
        <v>7607.1828048489006</v>
      </c>
      <c r="P95" s="40">
        <f>SUM(D95:N95)+SUM(D99:N99)</f>
        <v>17340.128019847565</v>
      </c>
      <c r="Q95" s="40">
        <f>O95+O99</f>
        <v>17340.128019847565</v>
      </c>
      <c r="R95" s="39">
        <f>Q95/$Q$97</f>
        <v>0.2007389615905639</v>
      </c>
      <c r="S95" s="40">
        <f t="shared" si="7"/>
        <v>14572.297441297396</v>
      </c>
      <c r="T95" s="40">
        <f t="shared" si="7"/>
        <v>542.05897221670216</v>
      </c>
      <c r="U95" s="40">
        <f>(G95+G99)</f>
        <v>433.52336453176622</v>
      </c>
      <c r="V95" s="40">
        <f>(F95+F99)</f>
        <v>1228.6219593164196</v>
      </c>
      <c r="W95" s="40">
        <f t="shared" si="8"/>
        <v>421.10490444260455</v>
      </c>
      <c r="X95" s="40">
        <f t="shared" si="8"/>
        <v>0</v>
      </c>
      <c r="Y95" s="40">
        <f t="shared" si="8"/>
        <v>0</v>
      </c>
      <c r="Z95" s="40">
        <f t="shared" si="8"/>
        <v>0</v>
      </c>
      <c r="AA95" s="40">
        <f t="shared" si="8"/>
        <v>138.4202250159957</v>
      </c>
      <c r="AB95" s="40">
        <f t="shared" si="8"/>
        <v>4.1011530266836829</v>
      </c>
    </row>
    <row r="96" spans="1:28">
      <c r="A96" s="151"/>
      <c r="B96" s="151"/>
      <c r="C96" s="39" t="s">
        <v>73</v>
      </c>
      <c r="D96" s="7">
        <f>'LTM data'!D22</f>
        <v>11127.192069808034</v>
      </c>
      <c r="E96" s="7">
        <f>'LTM data'!E22</f>
        <v>185.45509044696144</v>
      </c>
      <c r="F96" s="7">
        <f>'LTM data'!G22</f>
        <v>2575.9855358540603</v>
      </c>
      <c r="G96" s="7">
        <f>'LTM data'!F22</f>
        <v>2031.2939523516625</v>
      </c>
      <c r="H96" s="7">
        <f>'LTM data'!H22</f>
        <v>0</v>
      </c>
      <c r="I96" s="7">
        <f>'LTM data'!I22</f>
        <v>0</v>
      </c>
      <c r="J96" s="7">
        <f>'LTM data'!J22</f>
        <v>0</v>
      </c>
      <c r="K96" s="7">
        <f>'LTM data'!K22</f>
        <v>0</v>
      </c>
      <c r="L96" s="7">
        <f>'LTM data'!L22</f>
        <v>72.494372996742499</v>
      </c>
      <c r="M96" s="7">
        <f>'LTM data'!M22</f>
        <v>0.66040119023502575</v>
      </c>
      <c r="N96" s="23">
        <f>'LTM data'!N22</f>
        <v>0</v>
      </c>
      <c r="O96" s="92">
        <f>'LTM data'!O22</f>
        <v>15993.081422647696</v>
      </c>
      <c r="P96" s="40">
        <f>SUM(D96:N96)+SUM(D100:N100)</f>
        <v>36089.073142661582</v>
      </c>
      <c r="Q96" s="40">
        <f>O96+O100</f>
        <v>36089.073142661582</v>
      </c>
      <c r="R96" s="39">
        <f>Q96/$Q$97</f>
        <v>0.41778717314726493</v>
      </c>
      <c r="S96" s="40">
        <f t="shared" si="7"/>
        <v>27909.24774626537</v>
      </c>
      <c r="T96" s="40">
        <f t="shared" si="7"/>
        <v>310.06148501445597</v>
      </c>
      <c r="U96" s="40">
        <f>(G96+G100)</f>
        <v>3396.1107125671806</v>
      </c>
      <c r="V96" s="40">
        <f>(F96+F100)</f>
        <v>4273.9858745226365</v>
      </c>
      <c r="W96" s="40">
        <f t="shared" si="8"/>
        <v>0</v>
      </c>
      <c r="X96" s="40">
        <f t="shared" si="8"/>
        <v>0</v>
      </c>
      <c r="Y96" s="40">
        <f t="shared" si="8"/>
        <v>0</v>
      </c>
      <c r="Z96" s="40">
        <f t="shared" si="8"/>
        <v>0</v>
      </c>
      <c r="AA96" s="40">
        <f t="shared" si="8"/>
        <v>197.68363536805691</v>
      </c>
      <c r="AB96" s="40">
        <f t="shared" si="8"/>
        <v>1.9836889238827879</v>
      </c>
    </row>
    <row r="97" spans="1:28">
      <c r="A97" s="151"/>
      <c r="B97" s="151" t="s">
        <v>4</v>
      </c>
      <c r="C97" s="39" t="s">
        <v>76</v>
      </c>
      <c r="D97" s="7">
        <f>'LTM data'!D23</f>
        <v>2528.3235502384618</v>
      </c>
      <c r="E97" s="7">
        <f>'LTM data'!E23</f>
        <v>263.79964944958658</v>
      </c>
      <c r="F97" s="7">
        <f>'LTM data'!G23</f>
        <v>0</v>
      </c>
      <c r="G97" s="7">
        <f>'LTM data'!F23</f>
        <v>0</v>
      </c>
      <c r="H97" s="7">
        <f>'LTM data'!H23</f>
        <v>0</v>
      </c>
      <c r="I97" s="7">
        <f>'LTM data'!I23</f>
        <v>0</v>
      </c>
      <c r="J97" s="7">
        <f>'LTM data'!J23</f>
        <v>869.85140320331004</v>
      </c>
      <c r="K97" s="7">
        <f>'LTM data'!K23</f>
        <v>250.62801567827293</v>
      </c>
      <c r="L97" s="7">
        <f>'LTM data'!L23</f>
        <v>0</v>
      </c>
      <c r="M97" s="7">
        <f>'LTM data'!M23</f>
        <v>6.3934625594289116</v>
      </c>
      <c r="N97" s="23">
        <f>'LTM data'!N23</f>
        <v>0</v>
      </c>
      <c r="O97" s="92">
        <f>'LTM data'!O23</f>
        <v>3918.9960811290598</v>
      </c>
      <c r="Q97" s="40">
        <f>SUM(Q93:Q96)</f>
        <v>86381.477130559535</v>
      </c>
      <c r="T97" s="42"/>
    </row>
    <row r="98" spans="1:28">
      <c r="A98" s="151"/>
      <c r="B98" s="151"/>
      <c r="C98" s="39" t="s">
        <v>75</v>
      </c>
      <c r="D98" s="7">
        <f>'LTM data'!D24</f>
        <v>12131.158989048783</v>
      </c>
      <c r="E98" s="7">
        <f>'LTM data'!E24</f>
        <v>757.67924787454501</v>
      </c>
      <c r="F98" s="7">
        <f>'LTM data'!G24</f>
        <v>218.60410893343951</v>
      </c>
      <c r="G98" s="7">
        <f>'LTM data'!F24</f>
        <v>176.49215057470965</v>
      </c>
      <c r="H98" s="7">
        <f>'LTM data'!H24</f>
        <v>0</v>
      </c>
      <c r="I98" s="7">
        <f>'LTM data'!I24</f>
        <v>0</v>
      </c>
      <c r="J98" s="7">
        <f>'LTM data'!J24</f>
        <v>622.57652957580626</v>
      </c>
      <c r="K98" s="7">
        <f>'LTM data'!K24</f>
        <v>19.413508346121525</v>
      </c>
      <c r="L98" s="7">
        <f>'LTM data'!L24</f>
        <v>111.05996507922434</v>
      </c>
      <c r="M98" s="7">
        <f>'LTM data'!M24</f>
        <v>20.992720612855742</v>
      </c>
      <c r="N98" s="23">
        <f>'LTM data'!N24</f>
        <v>0</v>
      </c>
      <c r="O98" s="92">
        <f>'LTM data'!O24</f>
        <v>14057.977220045486</v>
      </c>
      <c r="T98" s="42"/>
    </row>
    <row r="99" spans="1:28">
      <c r="A99" s="151"/>
      <c r="B99" s="151"/>
      <c r="C99" s="39" t="s">
        <v>74</v>
      </c>
      <c r="D99" s="7">
        <f>'LTM data'!D25</f>
        <v>8762.3710904365234</v>
      </c>
      <c r="E99" s="7">
        <f>'LTM data'!E25</f>
        <v>217.84071042469526</v>
      </c>
      <c r="F99" s="7">
        <f>'LTM data'!G25</f>
        <v>488.11590965960676</v>
      </c>
      <c r="G99" s="7">
        <f>'LTM data'!F25</f>
        <v>174.22281071947523</v>
      </c>
      <c r="H99" s="7">
        <f>'LTM data'!H25</f>
        <v>0</v>
      </c>
      <c r="I99" s="7">
        <f>'LTM data'!I25</f>
        <v>0</v>
      </c>
      <c r="J99" s="7">
        <f>'LTM data'!J25</f>
        <v>0</v>
      </c>
      <c r="K99" s="7">
        <f>'LTM data'!K25</f>
        <v>0</v>
      </c>
      <c r="L99" s="7">
        <f>'LTM data'!L25</f>
        <v>87.658878969725521</v>
      </c>
      <c r="M99" s="7">
        <f>'LTM data'!M25</f>
        <v>2.7358147886415178</v>
      </c>
      <c r="N99" s="23">
        <f>'LTM data'!N25</f>
        <v>0</v>
      </c>
      <c r="O99" s="92">
        <f>'LTM data'!O25</f>
        <v>9732.9452149986664</v>
      </c>
      <c r="T99" s="42"/>
    </row>
    <row r="100" spans="1:28">
      <c r="A100" s="151"/>
      <c r="B100" s="151"/>
      <c r="C100" s="41" t="s">
        <v>73</v>
      </c>
      <c r="D100" s="50">
        <f>'LTM data'!D26</f>
        <v>16782.055676457334</v>
      </c>
      <c r="E100" s="50">
        <f>'LTM data'!E26</f>
        <v>124.60639456749452</v>
      </c>
      <c r="F100" s="50">
        <f>'LTM data'!G26</f>
        <v>1698.000338668576</v>
      </c>
      <c r="G100" s="50">
        <f>'LTM data'!F26</f>
        <v>1364.8167602155183</v>
      </c>
      <c r="H100" s="50">
        <f>'LTM data'!H26</f>
        <v>0</v>
      </c>
      <c r="I100" s="50">
        <f>'LTM data'!I26</f>
        <v>0</v>
      </c>
      <c r="J100" s="50">
        <f>'LTM data'!J26</f>
        <v>0</v>
      </c>
      <c r="K100" s="50">
        <f>'LTM data'!K26</f>
        <v>0</v>
      </c>
      <c r="L100" s="50">
        <f>'LTM data'!L26</f>
        <v>125.18926237131441</v>
      </c>
      <c r="M100" s="50">
        <f>'LTM data'!M26</f>
        <v>1.3232877336477622</v>
      </c>
      <c r="N100" s="12">
        <f>'LTM data'!N26</f>
        <v>0</v>
      </c>
      <c r="O100" s="91">
        <f>'LTM data'!O26</f>
        <v>20095.991720013884</v>
      </c>
      <c r="S100" s="39" t="str">
        <f t="shared" ref="S100:AB100" si="9">S92</f>
        <v>Car</v>
      </c>
      <c r="T100" s="42" t="str">
        <f t="shared" si="9"/>
        <v>Public bus</v>
      </c>
      <c r="U100" s="39" t="str">
        <f t="shared" si="9"/>
        <v>Coach</v>
      </c>
      <c r="V100" s="39" t="str">
        <f t="shared" si="9"/>
        <v>Train</v>
      </c>
      <c r="W100" s="39" t="str">
        <f t="shared" si="9"/>
        <v>S-train</v>
      </c>
      <c r="X100" s="39" t="str">
        <f t="shared" si="9"/>
        <v>Metro</v>
      </c>
      <c r="Y100" s="39" t="str">
        <f t="shared" si="9"/>
        <v>Bike</v>
      </c>
      <c r="Z100" s="39" t="str">
        <f t="shared" si="9"/>
        <v>Walk</v>
      </c>
      <c r="AA100" s="39" t="str">
        <f t="shared" si="9"/>
        <v>Moto</v>
      </c>
      <c r="AB100" s="39" t="str">
        <f t="shared" si="9"/>
        <v>Moped</v>
      </c>
    </row>
    <row r="101" spans="1:28">
      <c r="A101" s="151">
        <v>2040</v>
      </c>
      <c r="B101" s="151" t="s">
        <v>5</v>
      </c>
      <c r="C101" s="39" t="s">
        <v>76</v>
      </c>
      <c r="D101" s="7">
        <f>'LTM data'!D27</f>
        <v>1802.0229722913609</v>
      </c>
      <c r="E101" s="7">
        <f>'LTM data'!E27</f>
        <v>351.08879499204926</v>
      </c>
      <c r="F101" s="7">
        <f>'LTM data'!G27</f>
        <v>0</v>
      </c>
      <c r="G101" s="7">
        <f>'LTM data'!F27</f>
        <v>0</v>
      </c>
      <c r="H101" s="7">
        <f>'LTM data'!H27</f>
        <v>91.609442018766799</v>
      </c>
      <c r="I101" s="7">
        <f>'LTM data'!I27</f>
        <v>216.4922105014773</v>
      </c>
      <c r="J101" s="7">
        <f>'LTM data'!J27</f>
        <v>705.72188254682828</v>
      </c>
      <c r="K101" s="7">
        <f>'LTM data'!K27</f>
        <v>376.77953676007701</v>
      </c>
      <c r="L101" s="7">
        <f>'LTM data'!L27</f>
        <v>0</v>
      </c>
      <c r="M101" s="7">
        <f>'LTM data'!M27</f>
        <v>3.0031804693990773</v>
      </c>
      <c r="N101" s="23">
        <f>'LTM data'!N27</f>
        <v>0</v>
      </c>
      <c r="O101" s="92">
        <f>'LTM data'!O27</f>
        <v>3546.7180195799588</v>
      </c>
      <c r="P101" s="40">
        <f>SUM(D101:N101)+SUM(D105:N105)</f>
        <v>7636.9925673991975</v>
      </c>
      <c r="Q101" s="40">
        <f>O101+O105</f>
        <v>7636.9925673991975</v>
      </c>
      <c r="R101" s="39">
        <f>Q101/$Q$105</f>
        <v>8.3455024685997206E-2</v>
      </c>
      <c r="S101" s="40">
        <f t="shared" ref="S101:T104" si="10">(D101+D105)</f>
        <v>4519.792673212085</v>
      </c>
      <c r="T101" s="40">
        <f t="shared" si="10"/>
        <v>586.98368906893666</v>
      </c>
      <c r="U101" s="40">
        <f>(G101+G105)</f>
        <v>0</v>
      </c>
      <c r="V101" s="40">
        <f>(F101+F105)</f>
        <v>0</v>
      </c>
      <c r="W101" s="40">
        <f t="shared" ref="W101:AB104" si="11">(H101+H105)</f>
        <v>91.609442018766799</v>
      </c>
      <c r="X101" s="40">
        <f t="shared" si="11"/>
        <v>216.4922105014773</v>
      </c>
      <c r="Y101" s="40">
        <f t="shared" si="11"/>
        <v>1571.9874476678788</v>
      </c>
      <c r="Z101" s="40">
        <f t="shared" si="11"/>
        <v>641.10626135548523</v>
      </c>
      <c r="AA101" s="40">
        <f t="shared" si="11"/>
        <v>0</v>
      </c>
      <c r="AB101" s="40">
        <f t="shared" si="11"/>
        <v>9.0208435745670812</v>
      </c>
    </row>
    <row r="102" spans="1:28">
      <c r="A102" s="151"/>
      <c r="B102" s="151"/>
      <c r="C102" s="39" t="s">
        <v>75</v>
      </c>
      <c r="D102" s="7">
        <f>'LTM data'!D28</f>
        <v>8646.265139541516</v>
      </c>
      <c r="E102" s="7">
        <f>'LTM data'!E28</f>
        <v>1008.3891115162105</v>
      </c>
      <c r="F102" s="7">
        <f>'LTM data'!G28</f>
        <v>382.11447907182628</v>
      </c>
      <c r="G102" s="7">
        <f>'LTM data'!F28</f>
        <v>234.89195910653308</v>
      </c>
      <c r="H102" s="7">
        <f>'LTM data'!H28</f>
        <v>773.5477296994751</v>
      </c>
      <c r="I102" s="7">
        <f>'LTM data'!I28</f>
        <v>368.66844978482544</v>
      </c>
      <c r="J102" s="7">
        <f>'LTM data'!J28</f>
        <v>505.10452574278997</v>
      </c>
      <c r="K102" s="7">
        <f>'LTM data'!K28</f>
        <v>29.185135834651664</v>
      </c>
      <c r="L102" s="7">
        <f>'LTM data'!L28</f>
        <v>64.623254647479939</v>
      </c>
      <c r="M102" s="7">
        <f>'LTM data'!M28</f>
        <v>9.8608426901794033</v>
      </c>
      <c r="N102" s="23">
        <f>'LTM data'!N28</f>
        <v>0</v>
      </c>
      <c r="O102" s="92">
        <f>'LTM data'!O28</f>
        <v>12022.65062763549</v>
      </c>
      <c r="P102" s="40">
        <f>SUM(D102:N102)+SUM(D106:N106)</f>
        <v>26921.863396411718</v>
      </c>
      <c r="Q102" s="40">
        <f>O102+O106</f>
        <v>26921.863396411718</v>
      </c>
      <c r="R102" s="39">
        <f>Q102/$Q$105</f>
        <v>0.29419496673750561</v>
      </c>
      <c r="S102" s="40">
        <f t="shared" si="10"/>
        <v>21686.406435689823</v>
      </c>
      <c r="T102" s="40">
        <f t="shared" si="10"/>
        <v>1685.9209668258902</v>
      </c>
      <c r="U102" s="40">
        <f>(G102+G106)</f>
        <v>392.71475095667762</v>
      </c>
      <c r="V102" s="40">
        <f>(F102+F106)</f>
        <v>633.99109322331378</v>
      </c>
      <c r="W102" s="40">
        <f t="shared" si="11"/>
        <v>773.5477296994751</v>
      </c>
      <c r="X102" s="40">
        <f t="shared" si="11"/>
        <v>368.66844978482544</v>
      </c>
      <c r="Y102" s="40">
        <f t="shared" si="11"/>
        <v>1125.1145725599863</v>
      </c>
      <c r="Z102" s="40">
        <f t="shared" si="11"/>
        <v>49.659738644511336</v>
      </c>
      <c r="AA102" s="40">
        <f t="shared" si="11"/>
        <v>176.22002067117</v>
      </c>
      <c r="AB102" s="40">
        <f t="shared" si="11"/>
        <v>29.619638356039356</v>
      </c>
    </row>
    <row r="103" spans="1:28">
      <c r="A103" s="151"/>
      <c r="B103" s="151"/>
      <c r="C103" s="39" t="s">
        <v>74</v>
      </c>
      <c r="D103" s="7">
        <f>'LTM data'!D29</f>
        <v>6245.2615289136284</v>
      </c>
      <c r="E103" s="7">
        <f>'LTM data'!E29</f>
        <v>289.92241908886228</v>
      </c>
      <c r="F103" s="7">
        <f>'LTM data'!G29</f>
        <v>853.21432179960379</v>
      </c>
      <c r="G103" s="7">
        <f>'LTM data'!F29</f>
        <v>231.87171326138576</v>
      </c>
      <c r="H103" s="7">
        <f>'LTM data'!H29</f>
        <v>416.65187693672112</v>
      </c>
      <c r="I103" s="7">
        <f>'LTM data'!I29</f>
        <v>0</v>
      </c>
      <c r="J103" s="7">
        <f>'LTM data'!J29</f>
        <v>0</v>
      </c>
      <c r="K103" s="7">
        <f>'LTM data'!K29</f>
        <v>0</v>
      </c>
      <c r="L103" s="7">
        <f>'LTM data'!L29</f>
        <v>51.00669763161013</v>
      </c>
      <c r="M103" s="7">
        <f>'LTM data'!M29</f>
        <v>1.2850854235510416</v>
      </c>
      <c r="N103" s="23">
        <f>'LTM data'!N29</f>
        <v>0</v>
      </c>
      <c r="O103" s="92">
        <f>'LTM data'!O29</f>
        <v>8089.2136430553628</v>
      </c>
      <c r="P103" s="40">
        <f>SUM(D103:N103)+SUM(D107:N107)</f>
        <v>18511.803146254239</v>
      </c>
      <c r="Q103" s="40">
        <f>O103+O107</f>
        <v>18511.803146254239</v>
      </c>
      <c r="R103" s="39">
        <f>Q103/$Q$105</f>
        <v>0.20229206391372592</v>
      </c>
      <c r="S103" s="40">
        <f t="shared" si="10"/>
        <v>15664.193158754286</v>
      </c>
      <c r="T103" s="40">
        <f t="shared" si="10"/>
        <v>484.71991566812824</v>
      </c>
      <c r="U103" s="40">
        <f>(G103+G107)</f>
        <v>387.66521627095779</v>
      </c>
      <c r="V103" s="40">
        <f>(F103+F107)</f>
        <v>1415.6236161096633</v>
      </c>
      <c r="W103" s="40">
        <f t="shared" si="11"/>
        <v>416.65187693672112</v>
      </c>
      <c r="X103" s="40">
        <f t="shared" si="11"/>
        <v>0</v>
      </c>
      <c r="Y103" s="40">
        <f t="shared" si="11"/>
        <v>0</v>
      </c>
      <c r="Z103" s="40">
        <f t="shared" si="11"/>
        <v>0</v>
      </c>
      <c r="AA103" s="40">
        <f t="shared" si="11"/>
        <v>139.08926995463526</v>
      </c>
      <c r="AB103" s="40">
        <f t="shared" si="11"/>
        <v>3.8600925598486571</v>
      </c>
    </row>
    <row r="104" spans="1:28">
      <c r="A104" s="151"/>
      <c r="B104" s="151"/>
      <c r="C104" s="39" t="s">
        <v>73</v>
      </c>
      <c r="D104" s="7">
        <f>'LTM data'!D30</f>
        <v>11960.947585524569</v>
      </c>
      <c r="E104" s="7">
        <f>'LTM data'!E30</f>
        <v>165.83763097595011</v>
      </c>
      <c r="F104" s="7">
        <f>'LTM data'!G30</f>
        <v>2968.0618449476697</v>
      </c>
      <c r="G104" s="7">
        <f>'LTM data'!F30</f>
        <v>1816.4234589727516</v>
      </c>
      <c r="H104" s="7">
        <f>'LTM data'!H30</f>
        <v>0</v>
      </c>
      <c r="I104" s="7">
        <f>'LTM data'!I30</f>
        <v>0</v>
      </c>
      <c r="J104" s="7">
        <f>'LTM data'!J30</f>
        <v>0</v>
      </c>
      <c r="K104" s="7">
        <f>'LTM data'!K30</f>
        <v>0</v>
      </c>
      <c r="L104" s="7">
        <f>'LTM data'!L30</f>
        <v>72.844769720398418</v>
      </c>
      <c r="M104" s="7">
        <f>'LTM data'!M30</f>
        <v>0.62158366302239365</v>
      </c>
      <c r="N104" s="23">
        <f>'LTM data'!N30</f>
        <v>0</v>
      </c>
      <c r="O104" s="92">
        <f>'LTM data'!O30</f>
        <v>16984.736873804362</v>
      </c>
      <c r="P104" s="40">
        <f>SUM(D104:N104)+SUM(D108:N108)</f>
        <v>38439.6195835627</v>
      </c>
      <c r="Q104" s="40">
        <f>O104+O108</f>
        <v>38439.6195835627</v>
      </c>
      <c r="R104" s="39">
        <f>Q104/$Q$105</f>
        <v>0.42005794466277119</v>
      </c>
      <c r="S104" s="40">
        <f t="shared" si="10"/>
        <v>30000.475173810748</v>
      </c>
      <c r="T104" s="40">
        <f t="shared" si="10"/>
        <v>277.2631476858171</v>
      </c>
      <c r="U104" s="40">
        <f>(G104+G108)</f>
        <v>3036.8697550809929</v>
      </c>
      <c r="V104" s="40">
        <f>(F104+F108)</f>
        <v>4924.5052906751325</v>
      </c>
      <c r="W104" s="40">
        <f t="shared" si="11"/>
        <v>0</v>
      </c>
      <c r="X104" s="40">
        <f t="shared" si="11"/>
        <v>0</v>
      </c>
      <c r="Y104" s="40">
        <f t="shared" si="11"/>
        <v>0</v>
      </c>
      <c r="Z104" s="40">
        <f t="shared" si="11"/>
        <v>0</v>
      </c>
      <c r="AA104" s="40">
        <f t="shared" si="11"/>
        <v>198.63912605360946</v>
      </c>
      <c r="AB104" s="40">
        <f t="shared" si="11"/>
        <v>1.8670902564018688</v>
      </c>
    </row>
    <row r="105" spans="1:28">
      <c r="A105" s="151"/>
      <c r="B105" s="151" t="s">
        <v>4</v>
      </c>
      <c r="C105" s="39" t="s">
        <v>76</v>
      </c>
      <c r="D105" s="7">
        <f>'LTM data'!D31</f>
        <v>2717.7697009207245</v>
      </c>
      <c r="E105" s="7">
        <f>'LTM data'!E31</f>
        <v>235.8948940768874</v>
      </c>
      <c r="F105" s="7">
        <f>'LTM data'!G31</f>
        <v>0</v>
      </c>
      <c r="G105" s="7">
        <f>'LTM data'!F31</f>
        <v>0</v>
      </c>
      <c r="H105" s="7">
        <f>'LTM data'!H31</f>
        <v>0</v>
      </c>
      <c r="I105" s="7">
        <f>'LTM data'!I31</f>
        <v>0</v>
      </c>
      <c r="J105" s="7">
        <f>'LTM data'!J31</f>
        <v>866.26556512105049</v>
      </c>
      <c r="K105" s="7">
        <f>'LTM data'!K31</f>
        <v>264.32672459540817</v>
      </c>
      <c r="L105" s="7">
        <f>'LTM data'!L31</f>
        <v>0</v>
      </c>
      <c r="M105" s="7">
        <f>'LTM data'!M31</f>
        <v>6.0176631051680047</v>
      </c>
      <c r="N105" s="23">
        <f>'LTM data'!N31</f>
        <v>0</v>
      </c>
      <c r="O105" s="92">
        <f>'LTM data'!O31</f>
        <v>4090.2745478192387</v>
      </c>
      <c r="Q105" s="40">
        <f>SUM(Q101:Q104)</f>
        <v>91510.278693627857</v>
      </c>
    </row>
    <row r="106" spans="1:28">
      <c r="A106" s="151"/>
      <c r="B106" s="151"/>
      <c r="C106" s="39" t="s">
        <v>75</v>
      </c>
      <c r="D106" s="7">
        <f>'LTM data'!D32</f>
        <v>13040.141296148307</v>
      </c>
      <c r="E106" s="7">
        <f>'LTM data'!E32</f>
        <v>677.53185530967971</v>
      </c>
      <c r="F106" s="7">
        <f>'LTM data'!G32</f>
        <v>251.87661415148747</v>
      </c>
      <c r="G106" s="7">
        <f>'LTM data'!F32</f>
        <v>157.82279185014454</v>
      </c>
      <c r="H106" s="7">
        <f>'LTM data'!H32</f>
        <v>0</v>
      </c>
      <c r="I106" s="7">
        <f>'LTM data'!I32</f>
        <v>0</v>
      </c>
      <c r="J106" s="7">
        <f>'LTM data'!J32</f>
        <v>620.01004681719644</v>
      </c>
      <c r="K106" s="7">
        <f>'LTM data'!K32</f>
        <v>20.474602809859675</v>
      </c>
      <c r="L106" s="7">
        <f>'LTM data'!L32</f>
        <v>111.59676602369005</v>
      </c>
      <c r="M106" s="7">
        <f>'LTM data'!M32</f>
        <v>19.758795665859953</v>
      </c>
      <c r="N106" s="23">
        <f>'LTM data'!N32</f>
        <v>0</v>
      </c>
      <c r="O106" s="92">
        <f>'LTM data'!O32</f>
        <v>14899.212768776228</v>
      </c>
    </row>
    <row r="107" spans="1:28">
      <c r="A107" s="151"/>
      <c r="B107" s="151"/>
      <c r="C107" s="39" t="s">
        <v>74</v>
      </c>
      <c r="D107" s="7">
        <f>'LTM data'!D33</f>
        <v>9418.9316298406575</v>
      </c>
      <c r="E107" s="7">
        <f>'LTM data'!E33</f>
        <v>194.79749657926592</v>
      </c>
      <c r="F107" s="7">
        <f>'LTM data'!G33</f>
        <v>562.40929431005952</v>
      </c>
      <c r="G107" s="7">
        <f>'LTM data'!F33</f>
        <v>155.79350300957202</v>
      </c>
      <c r="H107" s="7">
        <f>'LTM data'!H33</f>
        <v>0</v>
      </c>
      <c r="I107" s="7">
        <f>'LTM data'!I33</f>
        <v>0</v>
      </c>
      <c r="J107" s="7">
        <f>'LTM data'!J33</f>
        <v>0</v>
      </c>
      <c r="K107" s="7">
        <f>'LTM data'!K33</f>
        <v>0</v>
      </c>
      <c r="L107" s="7">
        <f>'LTM data'!L33</f>
        <v>88.082572323025133</v>
      </c>
      <c r="M107" s="7">
        <f>'LTM data'!M33</f>
        <v>2.5750071362976152</v>
      </c>
      <c r="N107" s="23">
        <f>'LTM data'!N33</f>
        <v>0</v>
      </c>
      <c r="O107" s="92">
        <f>'LTM data'!O33</f>
        <v>10422.589503198877</v>
      </c>
    </row>
    <row r="108" spans="1:28">
      <c r="A108" s="151"/>
      <c r="B108" s="151"/>
      <c r="C108" s="41" t="s">
        <v>73</v>
      </c>
      <c r="D108" s="50">
        <f>'LTM data'!D34</f>
        <v>18039.527588286179</v>
      </c>
      <c r="E108" s="50">
        <f>'LTM data'!E34</f>
        <v>111.42551670986697</v>
      </c>
      <c r="F108" s="50">
        <f>'LTM data'!G34</f>
        <v>1956.4434457274626</v>
      </c>
      <c r="G108" s="50">
        <f>'LTM data'!F34</f>
        <v>1220.4462961082411</v>
      </c>
      <c r="H108" s="50">
        <f>'LTM data'!H34</f>
        <v>0</v>
      </c>
      <c r="I108" s="50">
        <f>'LTM data'!I34</f>
        <v>0</v>
      </c>
      <c r="J108" s="50">
        <f>'LTM data'!J34</f>
        <v>0</v>
      </c>
      <c r="K108" s="50">
        <f>'LTM data'!K34</f>
        <v>0</v>
      </c>
      <c r="L108" s="50">
        <f>'LTM data'!L34</f>
        <v>125.79435633321103</v>
      </c>
      <c r="M108" s="50">
        <f>'LTM data'!M34</f>
        <v>1.2455065933794751</v>
      </c>
      <c r="N108" s="12">
        <f>'LTM data'!N34</f>
        <v>0</v>
      </c>
      <c r="O108" s="91">
        <f>'LTM data'!O34</f>
        <v>21454.882709758342</v>
      </c>
      <c r="S108" s="39" t="str">
        <f t="shared" ref="S108:AB108" si="12">S100</f>
        <v>Car</v>
      </c>
      <c r="T108" s="39" t="str">
        <f t="shared" si="12"/>
        <v>Public bus</v>
      </c>
      <c r="U108" s="39" t="str">
        <f t="shared" si="12"/>
        <v>Coach</v>
      </c>
      <c r="V108" s="39" t="str">
        <f t="shared" si="12"/>
        <v>Train</v>
      </c>
      <c r="W108" s="39" t="str">
        <f t="shared" si="12"/>
        <v>S-train</v>
      </c>
      <c r="X108" s="39" t="str">
        <f t="shared" si="12"/>
        <v>Metro</v>
      </c>
      <c r="Y108" s="39" t="str">
        <f t="shared" si="12"/>
        <v>Bike</v>
      </c>
      <c r="Z108" s="39" t="str">
        <f t="shared" si="12"/>
        <v>Walk</v>
      </c>
      <c r="AA108" s="39" t="str">
        <f t="shared" si="12"/>
        <v>Moto</v>
      </c>
      <c r="AB108" s="39" t="str">
        <f t="shared" si="12"/>
        <v>Moped</v>
      </c>
    </row>
    <row r="109" spans="1:28">
      <c r="A109" s="151">
        <v>2050</v>
      </c>
      <c r="B109" s="151" t="s">
        <v>5</v>
      </c>
      <c r="C109" s="39" t="s">
        <v>76</v>
      </c>
      <c r="D109" s="7">
        <f>'LTM data'!D35</f>
        <v>1913.3424054185152</v>
      </c>
      <c r="E109" s="7">
        <f>'LTM data'!E35</f>
        <v>322.53777566084472</v>
      </c>
      <c r="F109" s="7">
        <f>'LTM data'!G35</f>
        <v>0</v>
      </c>
      <c r="G109" s="7">
        <f>'LTM data'!F35</f>
        <v>0</v>
      </c>
      <c r="H109" s="7">
        <f>'LTM data'!H35</f>
        <v>92.178665736164987</v>
      </c>
      <c r="I109" s="7">
        <f>'LTM data'!I35</f>
        <v>216.4922105014773</v>
      </c>
      <c r="J109" s="7">
        <f>'LTM data'!J35</f>
        <v>707.75460592557658</v>
      </c>
      <c r="K109" s="7">
        <f>'LTM data'!K35</f>
        <v>397.23615990981381</v>
      </c>
      <c r="L109" s="7">
        <f>'LTM data'!L35</f>
        <v>0</v>
      </c>
      <c r="M109" s="7">
        <f>'LTM data'!M35</f>
        <v>2.8701138826877233</v>
      </c>
      <c r="N109" s="23">
        <f>'LTM data'!N35</f>
        <v>0</v>
      </c>
      <c r="O109" s="92">
        <f>'LTM data'!O35</f>
        <v>3652.4119370350804</v>
      </c>
      <c r="P109" s="40">
        <f>SUM(D109:N109)+SUM(D113:N113)</f>
        <v>7907.9722995742595</v>
      </c>
      <c r="Q109" s="40">
        <f>O109+O113</f>
        <v>7907.9722995742595</v>
      </c>
      <c r="R109" s="39">
        <f>Q109/$Q$113</f>
        <v>8.2204598969135567E-2</v>
      </c>
      <c r="S109" s="40">
        <f t="shared" ref="S109:T112" si="13">(D109+D113)</f>
        <v>4799.0015212516118</v>
      </c>
      <c r="T109" s="40">
        <f t="shared" si="13"/>
        <v>539.24937543443718</v>
      </c>
      <c r="U109" s="40">
        <f>(G109+G113)</f>
        <v>0</v>
      </c>
      <c r="V109" s="40">
        <f>(F109+F113)</f>
        <v>0</v>
      </c>
      <c r="W109" s="40">
        <f t="shared" ref="W109:AB112" si="14">(H109+H113)</f>
        <v>92.178665736164987</v>
      </c>
      <c r="X109" s="40">
        <f t="shared" si="14"/>
        <v>216.4922105014773</v>
      </c>
      <c r="Y109" s="40">
        <f t="shared" si="14"/>
        <v>1576.5153158196238</v>
      </c>
      <c r="Z109" s="40">
        <f t="shared" si="14"/>
        <v>675.91406779916952</v>
      </c>
      <c r="AA109" s="40">
        <f t="shared" si="14"/>
        <v>0</v>
      </c>
      <c r="AB109" s="40">
        <f t="shared" si="14"/>
        <v>8.6211430317739008</v>
      </c>
    </row>
    <row r="110" spans="1:28">
      <c r="A110" s="151"/>
      <c r="B110" s="151"/>
      <c r="C110" s="39" t="s">
        <v>75</v>
      </c>
      <c r="D110" s="7">
        <f>'LTM data'!D36</f>
        <v>9180.385596827904</v>
      </c>
      <c r="E110" s="7">
        <f>'LTM data'!E36</f>
        <v>926.38553456660293</v>
      </c>
      <c r="F110" s="7">
        <f>'LTM data'!G36</f>
        <v>423.35955910424326</v>
      </c>
      <c r="G110" s="7">
        <f>'LTM data'!F36</f>
        <v>215.79022484199464</v>
      </c>
      <c r="H110" s="7">
        <f>'LTM data'!H36</f>
        <v>778.3542398645983</v>
      </c>
      <c r="I110" s="7">
        <f>'LTM data'!I36</f>
        <v>368.66844978482544</v>
      </c>
      <c r="J110" s="7">
        <f>'LTM data'!J36</f>
        <v>506.55940166995208</v>
      </c>
      <c r="K110" s="7">
        <f>'LTM data'!K36</f>
        <v>30.769694620612274</v>
      </c>
      <c r="L110" s="7">
        <f>'LTM data'!L36</f>
        <v>64.843806037915826</v>
      </c>
      <c r="M110" s="7">
        <f>'LTM data'!M36</f>
        <v>9.4239230004538186</v>
      </c>
      <c r="N110" s="23">
        <f>'LTM data'!N36</f>
        <v>0</v>
      </c>
      <c r="O110" s="92">
        <f>'LTM data'!O36</f>
        <v>12504.540430319103</v>
      </c>
      <c r="P110" s="40">
        <f>SUM(D110:N110)+SUM(D114:N114)</f>
        <v>28170.962058141151</v>
      </c>
      <c r="Q110" s="40">
        <f>O110+O114</f>
        <v>28170.962058141151</v>
      </c>
      <c r="R110" s="39">
        <f>Q110/$Q$113</f>
        <v>0.29284152129477004</v>
      </c>
      <c r="S110" s="40">
        <f t="shared" si="13"/>
        <v>23026.077742940914</v>
      </c>
      <c r="T110" s="40">
        <f t="shared" si="13"/>
        <v>1548.8195759489208</v>
      </c>
      <c r="U110" s="40">
        <f>(G110+G114)</f>
        <v>360.77865215162404</v>
      </c>
      <c r="V110" s="40">
        <f>(F110+F114)</f>
        <v>702.42349977161382</v>
      </c>
      <c r="W110" s="40">
        <f t="shared" si="14"/>
        <v>778.3542398645983</v>
      </c>
      <c r="X110" s="40">
        <f t="shared" si="14"/>
        <v>368.66844978482544</v>
      </c>
      <c r="Y110" s="40">
        <f t="shared" si="14"/>
        <v>1128.3552921011737</v>
      </c>
      <c r="Z110" s="40">
        <f t="shared" si="14"/>
        <v>52.355932200829841</v>
      </c>
      <c r="AA110" s="40">
        <f t="shared" si="14"/>
        <v>176.8214383929124</v>
      </c>
      <c r="AB110" s="40">
        <f t="shared" si="14"/>
        <v>28.307234983740017</v>
      </c>
    </row>
    <row r="111" spans="1:28">
      <c r="A111" s="151"/>
      <c r="B111" s="151"/>
      <c r="C111" s="39" t="s">
        <v>74</v>
      </c>
      <c r="D111" s="7">
        <f>'LTM data'!D37</f>
        <v>6631.0607022979084</v>
      </c>
      <c r="E111" s="7">
        <f>'LTM data'!E37</f>
        <v>266.34553281385843</v>
      </c>
      <c r="F111" s="7">
        <f>'LTM data'!G37</f>
        <v>945.30947891824883</v>
      </c>
      <c r="G111" s="7">
        <f>'LTM data'!F37</f>
        <v>213.01558950547022</v>
      </c>
      <c r="H111" s="7">
        <f>'LTM data'!H37</f>
        <v>419.24078180312415</v>
      </c>
      <c r="I111" s="7">
        <f>'LTM data'!I37</f>
        <v>0</v>
      </c>
      <c r="J111" s="7">
        <f>'LTM data'!J37</f>
        <v>0</v>
      </c>
      <c r="K111" s="7">
        <f>'LTM data'!K37</f>
        <v>0</v>
      </c>
      <c r="L111" s="7">
        <f>'LTM data'!L37</f>
        <v>51.180777351759808</v>
      </c>
      <c r="M111" s="7">
        <f>'LTM data'!M37</f>
        <v>1.2281451455068557</v>
      </c>
      <c r="N111" s="23">
        <f>'LTM data'!N37</f>
        <v>0</v>
      </c>
      <c r="O111" s="92">
        <f>'LTM data'!O37</f>
        <v>8527.3810078358765</v>
      </c>
      <c r="P111" s="40">
        <f>SUM(D111:N111)+SUM(D115:N115)</f>
        <v>19564.204127403773</v>
      </c>
      <c r="Q111" s="40">
        <f>O111+O115</f>
        <v>19564.204127403773</v>
      </c>
      <c r="R111" s="39">
        <f>Q111/$Q$113</f>
        <v>0.20337293727370773</v>
      </c>
      <c r="S111" s="40">
        <f t="shared" si="13"/>
        <v>16631.844032044508</v>
      </c>
      <c r="T111" s="40">
        <f t="shared" si="13"/>
        <v>445.30183146873367</v>
      </c>
      <c r="U111" s="40">
        <f>(G111+G115)</f>
        <v>356.13975250889621</v>
      </c>
      <c r="V111" s="40">
        <f>(F111+F115)</f>
        <v>1568.4247072487601</v>
      </c>
      <c r="W111" s="40">
        <f t="shared" si="14"/>
        <v>419.24078180312415</v>
      </c>
      <c r="X111" s="40">
        <f t="shared" si="14"/>
        <v>0</v>
      </c>
      <c r="Y111" s="40">
        <f t="shared" si="14"/>
        <v>0</v>
      </c>
      <c r="Z111" s="40">
        <f t="shared" si="14"/>
        <v>0</v>
      </c>
      <c r="AA111" s="40">
        <f t="shared" si="14"/>
        <v>139.56396489302156</v>
      </c>
      <c r="AB111" s="40">
        <f t="shared" si="14"/>
        <v>3.6890574367307529</v>
      </c>
    </row>
    <row r="112" spans="1:28">
      <c r="A112" s="151"/>
      <c r="B112" s="151"/>
      <c r="C112" s="39" t="s">
        <v>73</v>
      </c>
      <c r="D112" s="7">
        <f>'LTM data'!D38</f>
        <v>12699.831565006334</v>
      </c>
      <c r="E112" s="7">
        <f>'LTM data'!E38</f>
        <v>152.351488793763</v>
      </c>
      <c r="F112" s="7">
        <f>'LTM data'!G38</f>
        <v>3288.4316687590799</v>
      </c>
      <c r="G112" s="7">
        <f>'LTM data'!F38</f>
        <v>1668.7094275638058</v>
      </c>
      <c r="H112" s="7">
        <f>'LTM data'!H38</f>
        <v>0</v>
      </c>
      <c r="I112" s="7">
        <f>'LTM data'!I38</f>
        <v>0</v>
      </c>
      <c r="J112" s="7">
        <f>'LTM data'!J38</f>
        <v>0</v>
      </c>
      <c r="K112" s="7">
        <f>'LTM data'!K38</f>
        <v>0</v>
      </c>
      <c r="L112" s="7">
        <f>'LTM data'!L38</f>
        <v>73.093380152284837</v>
      </c>
      <c r="M112" s="7">
        <f>'LTM data'!M38</f>
        <v>0.59404218916268892</v>
      </c>
      <c r="N112" s="23">
        <f>'LTM data'!N38</f>
        <v>0</v>
      </c>
      <c r="O112" s="92">
        <f>'LTM data'!O38</f>
        <v>17883.011572464431</v>
      </c>
      <c r="P112" s="40">
        <f>SUM(D112:N112)+SUM(D116:N116)</f>
        <v>40555.521915175152</v>
      </c>
      <c r="Q112" s="40">
        <f>O112+O116</f>
        <v>40555.521915175159</v>
      </c>
      <c r="R112" s="39">
        <f>Q112/$Q$113</f>
        <v>0.42158094246238659</v>
      </c>
      <c r="S112" s="40">
        <f t="shared" si="13"/>
        <v>31853.74560445757</v>
      </c>
      <c r="T112" s="40">
        <f t="shared" si="13"/>
        <v>254.71573061547835</v>
      </c>
      <c r="U112" s="40">
        <f>(G112+G116)</f>
        <v>2789.9073674444649</v>
      </c>
      <c r="V112" s="40">
        <f>(F112+F116)</f>
        <v>5456.0517929885864</v>
      </c>
      <c r="W112" s="40">
        <f t="shared" si="14"/>
        <v>0</v>
      </c>
      <c r="X112" s="40">
        <f t="shared" si="14"/>
        <v>0</v>
      </c>
      <c r="Y112" s="40">
        <f t="shared" si="14"/>
        <v>0</v>
      </c>
      <c r="Z112" s="40">
        <f t="shared" si="14"/>
        <v>0</v>
      </c>
      <c r="AA112" s="40">
        <f t="shared" si="14"/>
        <v>199.31705748379008</v>
      </c>
      <c r="AB112" s="40">
        <f t="shared" si="14"/>
        <v>1.7843621852676232</v>
      </c>
    </row>
    <row r="113" spans="1:17">
      <c r="A113" s="151"/>
      <c r="B113" s="151" t="s">
        <v>4</v>
      </c>
      <c r="C113" s="39" t="s">
        <v>76</v>
      </c>
      <c r="D113" s="7">
        <f>'LTM data'!D39</f>
        <v>2885.6591158330971</v>
      </c>
      <c r="E113" s="7">
        <f>'LTM data'!E39</f>
        <v>216.71159977359247</v>
      </c>
      <c r="F113" s="7">
        <f>'LTM data'!G39</f>
        <v>0</v>
      </c>
      <c r="G113" s="7">
        <f>'LTM data'!F39</f>
        <v>0</v>
      </c>
      <c r="H113" s="7">
        <f>'LTM data'!H39</f>
        <v>0</v>
      </c>
      <c r="I113" s="7">
        <f>'LTM data'!I39</f>
        <v>0</v>
      </c>
      <c r="J113" s="7">
        <f>'LTM data'!J39</f>
        <v>868.76070989404718</v>
      </c>
      <c r="K113" s="7">
        <f>'LTM data'!K39</f>
        <v>278.67790788935577</v>
      </c>
      <c r="L113" s="7">
        <f>'LTM data'!L39</f>
        <v>0</v>
      </c>
      <c r="M113" s="7">
        <f>'LTM data'!M39</f>
        <v>5.7510291490861771</v>
      </c>
      <c r="N113" s="23">
        <f>'LTM data'!N39</f>
        <v>0</v>
      </c>
      <c r="O113" s="92">
        <f>'LTM data'!O39</f>
        <v>4255.5603625391786</v>
      </c>
      <c r="Q113" s="40">
        <f>SUM(Q109:Q112)</f>
        <v>96198.66040029435</v>
      </c>
    </row>
    <row r="114" spans="1:17">
      <c r="A114" s="151"/>
      <c r="B114" s="151"/>
      <c r="C114" s="39" t="s">
        <v>75</v>
      </c>
      <c r="D114" s="7">
        <f>'LTM data'!D40</f>
        <v>13845.69214611301</v>
      </c>
      <c r="E114" s="7">
        <f>'LTM data'!E40</f>
        <v>622.43404138231801</v>
      </c>
      <c r="F114" s="7">
        <f>'LTM data'!G40</f>
        <v>279.06394066737056</v>
      </c>
      <c r="G114" s="7">
        <f>'LTM data'!F40</f>
        <v>144.9884273096294</v>
      </c>
      <c r="H114" s="7">
        <f>'LTM data'!H40</f>
        <v>0</v>
      </c>
      <c r="I114" s="7">
        <f>'LTM data'!I40</f>
        <v>0</v>
      </c>
      <c r="J114" s="7">
        <f>'LTM data'!J40</f>
        <v>621.79589043122166</v>
      </c>
      <c r="K114" s="7">
        <f>'LTM data'!K40</f>
        <v>21.586237580217567</v>
      </c>
      <c r="L114" s="7">
        <f>'LTM data'!L40</f>
        <v>111.97763235499659</v>
      </c>
      <c r="M114" s="7">
        <f>'LTM data'!M40</f>
        <v>18.883311983286198</v>
      </c>
      <c r="N114" s="23">
        <f>'LTM data'!N40</f>
        <v>0</v>
      </c>
      <c r="O114" s="92">
        <f>'LTM data'!O40</f>
        <v>15666.421627822048</v>
      </c>
    </row>
    <row r="115" spans="1:17">
      <c r="A115" s="151"/>
      <c r="B115" s="151"/>
      <c r="C115" s="39" t="s">
        <v>74</v>
      </c>
      <c r="D115" s="7">
        <f>'LTM data'!D41</f>
        <v>10000.783329746599</v>
      </c>
      <c r="E115" s="7">
        <f>'LTM data'!E41</f>
        <v>178.95629865487524</v>
      </c>
      <c r="F115" s="7">
        <f>'LTM data'!G41</f>
        <v>623.11522833051117</v>
      </c>
      <c r="G115" s="7">
        <f>'LTM data'!F41</f>
        <v>143.12416300342602</v>
      </c>
      <c r="H115" s="7">
        <f>'LTM data'!H41</f>
        <v>0</v>
      </c>
      <c r="I115" s="7">
        <f>'LTM data'!I41</f>
        <v>0</v>
      </c>
      <c r="J115" s="7">
        <f>'LTM data'!J41</f>
        <v>0</v>
      </c>
      <c r="K115" s="7">
        <f>'LTM data'!K41</f>
        <v>0</v>
      </c>
      <c r="L115" s="7">
        <f>'LTM data'!L41</f>
        <v>88.383187541261762</v>
      </c>
      <c r="M115" s="7">
        <f>'LTM data'!M41</f>
        <v>2.4609122912238974</v>
      </c>
      <c r="N115" s="23">
        <f>'LTM data'!N41</f>
        <v>0</v>
      </c>
      <c r="O115" s="92">
        <f>'LTM data'!O41</f>
        <v>11036.823119567896</v>
      </c>
    </row>
    <row r="116" spans="1:17">
      <c r="A116" s="151"/>
      <c r="B116" s="151"/>
      <c r="C116" s="41" t="s">
        <v>73</v>
      </c>
      <c r="D116" s="50">
        <f>'LTM data'!D42</f>
        <v>19153.914039451236</v>
      </c>
      <c r="E116" s="50">
        <f>'LTM data'!E42</f>
        <v>102.36424182171535</v>
      </c>
      <c r="F116" s="50">
        <f>'LTM data'!G42</f>
        <v>2167.620124229506</v>
      </c>
      <c r="G116" s="50">
        <f>'LTM data'!F42</f>
        <v>1121.1979398806591</v>
      </c>
      <c r="H116" s="50">
        <f>'LTM data'!H42</f>
        <v>0</v>
      </c>
      <c r="I116" s="50">
        <f>'LTM data'!I42</f>
        <v>0</v>
      </c>
      <c r="J116" s="50">
        <f>'LTM data'!J42</f>
        <v>0</v>
      </c>
      <c r="K116" s="50">
        <f>'LTM data'!K42</f>
        <v>0</v>
      </c>
      <c r="L116" s="50">
        <f>'LTM data'!L42</f>
        <v>126.22367733150524</v>
      </c>
      <c r="M116" s="50">
        <f>'LTM data'!M42</f>
        <v>1.1903199961049342</v>
      </c>
      <c r="N116" s="12">
        <f>'LTM data'!N42</f>
        <v>0</v>
      </c>
      <c r="O116" s="91">
        <f>'LTM data'!O42</f>
        <v>22672.510342710728</v>
      </c>
    </row>
    <row r="118" spans="1:17">
      <c r="C118" s="39">
        <f>D118*1000000/1.55/15000</f>
        <v>2256449.6603444819</v>
      </c>
      <c r="D118" s="40">
        <f t="shared" ref="D118:M118" si="15">SUM(D77:D84)</f>
        <v>52462.45460300921</v>
      </c>
      <c r="E118" s="40">
        <f t="shared" si="15"/>
        <v>3049.0000000000095</v>
      </c>
      <c r="F118" s="40">
        <f>SUM(F77:F84)</f>
        <v>4547.3000611680873</v>
      </c>
      <c r="G118" s="40">
        <f t="shared" si="15"/>
        <v>3835.0000000000009</v>
      </c>
      <c r="H118" s="40">
        <f t="shared" si="15"/>
        <v>1278.5650090620502</v>
      </c>
      <c r="I118" s="40">
        <f t="shared" si="15"/>
        <v>249.50004379990548</v>
      </c>
      <c r="J118" s="40">
        <f t="shared" si="15"/>
        <v>2358.3872971404899</v>
      </c>
      <c r="K118" s="40">
        <f t="shared" si="15"/>
        <v>579.95774871179015</v>
      </c>
      <c r="L118" s="40">
        <f t="shared" si="15"/>
        <v>466.00000000000011</v>
      </c>
      <c r="M118" s="40">
        <f t="shared" si="15"/>
        <v>78.000000000000043</v>
      </c>
    </row>
    <row r="119" spans="1:17">
      <c r="C119" s="39">
        <f>D119*1000000/1.55/15000</f>
        <v>2757936.8777371617</v>
      </c>
      <c r="D119" s="40">
        <f t="shared" ref="D119:M119" si="16">SUM(D85:D92)</f>
        <v>64122.032407389008</v>
      </c>
      <c r="E119" s="40">
        <f t="shared" si="16"/>
        <v>3302.3451481696807</v>
      </c>
      <c r="F119" s="40">
        <f>SUM(F85:F92)</f>
        <v>5801.812938117967</v>
      </c>
      <c r="G119" s="40">
        <f t="shared" si="16"/>
        <v>4153.6548518303334</v>
      </c>
      <c r="H119" s="40">
        <f t="shared" si="16"/>
        <v>1241.976850263854</v>
      </c>
      <c r="I119" s="40">
        <f t="shared" si="16"/>
        <v>540.52228902095112</v>
      </c>
      <c r="J119" s="40">
        <f t="shared" si="16"/>
        <v>2643.0590462705213</v>
      </c>
      <c r="K119" s="40">
        <f t="shared" si="16"/>
        <v>612.90499014811371</v>
      </c>
      <c r="L119" s="40">
        <f t="shared" si="16"/>
        <v>507.25000000000017</v>
      </c>
      <c r="M119" s="40">
        <f t="shared" si="16"/>
        <v>51.875000000000036</v>
      </c>
    </row>
    <row r="120" spans="1:17">
      <c r="C120" s="39">
        <f>D120*1000000/1.55/15000</f>
        <v>2875742.0423878944</v>
      </c>
      <c r="D120" s="40">
        <f t="shared" ref="D120:M120" si="17">SUM(D93:D100)</f>
        <v>66861.002485518547</v>
      </c>
      <c r="E120" s="40">
        <f t="shared" si="17"/>
        <v>3393.8942154285619</v>
      </c>
      <c r="F120" s="40">
        <f>SUM(F93:F100)</f>
        <v>6052.8496991773955</v>
      </c>
      <c r="G120" s="40">
        <f t="shared" si="17"/>
        <v>4268.804301793537</v>
      </c>
      <c r="H120" s="40">
        <f t="shared" si="17"/>
        <v>1295.5085692065475</v>
      </c>
      <c r="I120" s="40">
        <f t="shared" si="17"/>
        <v>587.56965492181212</v>
      </c>
      <c r="J120" s="40">
        <f t="shared" si="17"/>
        <v>2708.2664616246793</v>
      </c>
      <c r="K120" s="40">
        <f t="shared" si="17"/>
        <v>654.96711368482067</v>
      </c>
      <c r="L120" s="40">
        <f t="shared" si="17"/>
        <v>511.47623038486199</v>
      </c>
      <c r="M120" s="40">
        <f t="shared" si="17"/>
        <v>47.138398818756166</v>
      </c>
    </row>
    <row r="121" spans="1:17">
      <c r="C121" s="39">
        <f>D121*1000000/1.55/15000</f>
        <v>3091220.1050093304</v>
      </c>
      <c r="D121" s="40">
        <f t="shared" ref="D121:M121" si="18">SUM(D101:D108)</f>
        <v>71870.867441466937</v>
      </c>
      <c r="E121" s="40">
        <f t="shared" si="18"/>
        <v>3034.8877192487716</v>
      </c>
      <c r="F121" s="40">
        <f>SUM(F101:F108)</f>
        <v>6974.1200000081089</v>
      </c>
      <c r="G121" s="40">
        <f t="shared" si="18"/>
        <v>3817.2497223086284</v>
      </c>
      <c r="H121" s="40">
        <f t="shared" si="18"/>
        <v>1281.8090486549631</v>
      </c>
      <c r="I121" s="40">
        <f t="shared" si="18"/>
        <v>585.1606602863028</v>
      </c>
      <c r="J121" s="40">
        <f t="shared" si="18"/>
        <v>2697.1020202278651</v>
      </c>
      <c r="K121" s="40">
        <f t="shared" si="18"/>
        <v>690.76599999999655</v>
      </c>
      <c r="L121" s="40">
        <f t="shared" si="18"/>
        <v>513.94841667941478</v>
      </c>
      <c r="M121" s="40">
        <f t="shared" si="18"/>
        <v>44.36766474685696</v>
      </c>
    </row>
    <row r="122" spans="1:17">
      <c r="C122" s="39">
        <f>D122*1000000/1.55/15000</f>
        <v>3282179.3075567572</v>
      </c>
      <c r="D122" s="40">
        <f t="shared" ref="D122:M122" si="19">SUM(D109:D116)</f>
        <v>76310.668900694611</v>
      </c>
      <c r="E122" s="40">
        <f t="shared" si="19"/>
        <v>2788.0865134675705</v>
      </c>
      <c r="F122" s="40">
        <f>SUM(F109:F116)</f>
        <v>7726.90000000896</v>
      </c>
      <c r="G122" s="40">
        <f t="shared" si="19"/>
        <v>3506.8257721049849</v>
      </c>
      <c r="H122" s="40">
        <f t="shared" si="19"/>
        <v>1289.7736874038874</v>
      </c>
      <c r="I122" s="40">
        <f t="shared" si="19"/>
        <v>585.1606602863028</v>
      </c>
      <c r="J122" s="40">
        <f t="shared" si="19"/>
        <v>2704.8706079207977</v>
      </c>
      <c r="K122" s="40">
        <f t="shared" si="19"/>
        <v>728.26999999999941</v>
      </c>
      <c r="L122" s="40">
        <f t="shared" si="19"/>
        <v>515.7024607697241</v>
      </c>
      <c r="M122" s="40">
        <f t="shared" si="19"/>
        <v>42.401797637512296</v>
      </c>
    </row>
    <row r="123" spans="1:17">
      <c r="D123" s="39" t="s">
        <v>72</v>
      </c>
      <c r="E123" s="39" t="s">
        <v>71</v>
      </c>
      <c r="F123" s="39" t="s">
        <v>69</v>
      </c>
      <c r="G123" s="39" t="s">
        <v>70</v>
      </c>
      <c r="H123" s="39" t="s">
        <v>68</v>
      </c>
      <c r="I123" s="39" t="s">
        <v>67</v>
      </c>
      <c r="J123" s="39" t="s">
        <v>66</v>
      </c>
      <c r="K123" s="39" t="s">
        <v>65</v>
      </c>
      <c r="L123" s="39" t="s">
        <v>64</v>
      </c>
      <c r="M123" s="39" t="s">
        <v>63</v>
      </c>
    </row>
    <row r="126" spans="1:17">
      <c r="D126" s="39">
        <f t="shared" ref="D126:M126" si="20">D122/SUM($D$122:$M$122)</f>
        <v>0.79326124275698451</v>
      </c>
      <c r="E126" s="39">
        <f t="shared" si="20"/>
        <v>2.8982591876706005E-2</v>
      </c>
      <c r="F126" s="39">
        <f t="shared" si="20"/>
        <v>8.0322324321943653E-2</v>
      </c>
      <c r="G126" s="39">
        <f t="shared" si="20"/>
        <v>3.645399798201613E-2</v>
      </c>
      <c r="H126" s="39">
        <f t="shared" si="20"/>
        <v>1.3407397587835235E-2</v>
      </c>
      <c r="I126" s="39">
        <f t="shared" si="20"/>
        <v>6.0828358508463421E-3</v>
      </c>
      <c r="J126" s="39">
        <f t="shared" si="20"/>
        <v>2.8117549627671545E-2</v>
      </c>
      <c r="K126" s="39">
        <f t="shared" si="20"/>
        <v>7.5704796404604717E-3</v>
      </c>
      <c r="L126" s="39">
        <f t="shared" si="20"/>
        <v>5.360807090491939E-3</v>
      </c>
      <c r="M126" s="39">
        <f t="shared" si="20"/>
        <v>4.4077326504416223E-4</v>
      </c>
    </row>
  </sheetData>
  <mergeCells count="15">
    <mergeCell ref="A109:A116"/>
    <mergeCell ref="B109:B112"/>
    <mergeCell ref="B113:B116"/>
    <mergeCell ref="A93:A100"/>
    <mergeCell ref="B93:B96"/>
    <mergeCell ref="B97:B100"/>
    <mergeCell ref="A101:A108"/>
    <mergeCell ref="B101:B104"/>
    <mergeCell ref="B105:B108"/>
    <mergeCell ref="A77:A84"/>
    <mergeCell ref="B77:B80"/>
    <mergeCell ref="B81:B84"/>
    <mergeCell ref="A85:A92"/>
    <mergeCell ref="B85:B88"/>
    <mergeCell ref="B89:B92"/>
  </mergeCells>
  <pageMargins left="0.7" right="0.7" top="0.75" bottom="0.75" header="0.3" footer="0.3"/>
  <pageSetup orientation="portrait" verticalDpi="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O44"/>
  <sheetViews>
    <sheetView workbookViewId="0">
      <selection activeCell="D20" sqref="D20"/>
    </sheetView>
  </sheetViews>
  <sheetFormatPr defaultColWidth="9.109375" defaultRowHeight="14.4"/>
  <cols>
    <col min="1" max="1" width="9.109375" style="23"/>
    <col min="2" max="2" width="25.6640625" style="23" bestFit="1" customWidth="1"/>
    <col min="3" max="3" width="15.109375" style="23" bestFit="1" customWidth="1"/>
    <col min="4" max="4" width="13.44140625" style="23" bestFit="1" customWidth="1"/>
    <col min="5" max="5" width="9.44140625" style="23" bestFit="1" customWidth="1"/>
    <col min="6" max="6" width="8.109375" style="23" bestFit="1" customWidth="1"/>
    <col min="7" max="7" width="6.44140625" style="23" bestFit="1" customWidth="1"/>
    <col min="8" max="8" width="7.5546875" style="23" bestFit="1" customWidth="1"/>
    <col min="9" max="9" width="11.109375" style="23" customWidth="1"/>
    <col min="10" max="10" width="11.5546875" style="23" bestFit="1" customWidth="1"/>
    <col min="11" max="11" width="49.88671875" style="23" bestFit="1" customWidth="1"/>
    <col min="12" max="16384" width="9.109375" style="23"/>
  </cols>
  <sheetData>
    <row r="1" spans="1:15">
      <c r="A1" s="23" t="s">
        <v>108</v>
      </c>
    </row>
    <row r="2" spans="1:15">
      <c r="B2" s="72" t="s">
        <v>107</v>
      </c>
    </row>
    <row r="3" spans="1:15">
      <c r="B3" s="72" t="s">
        <v>106</v>
      </c>
    </row>
    <row r="4" spans="1:15">
      <c r="B4" s="72"/>
      <c r="M4" s="23" t="s">
        <v>141</v>
      </c>
      <c r="O4" s="23" t="s">
        <v>140</v>
      </c>
    </row>
    <row r="5" spans="1:15">
      <c r="G5" s="23" t="s">
        <v>99</v>
      </c>
      <c r="M5" s="23" t="s">
        <v>161</v>
      </c>
      <c r="N5" s="23">
        <v>675.91406779916952</v>
      </c>
      <c r="O5" s="38">
        <v>0.37016500000000002</v>
      </c>
    </row>
    <row r="6" spans="1:15">
      <c r="B6" s="63" t="s">
        <v>92</v>
      </c>
      <c r="C6" s="68" t="s">
        <v>1</v>
      </c>
      <c r="D6" s="68" t="s">
        <v>91</v>
      </c>
      <c r="E6" s="67" t="s">
        <v>90</v>
      </c>
      <c r="F6" s="66" t="s">
        <v>89</v>
      </c>
      <c r="G6" s="66" t="s">
        <v>0</v>
      </c>
      <c r="H6" s="65" t="s">
        <v>88</v>
      </c>
      <c r="I6" s="65" t="s">
        <v>87</v>
      </c>
      <c r="J6" s="64" t="s">
        <v>86</v>
      </c>
      <c r="K6" s="63" t="s">
        <v>85</v>
      </c>
      <c r="M6" s="23" t="s">
        <v>160</v>
      </c>
      <c r="N6" s="23">
        <v>52.355932200829841</v>
      </c>
      <c r="O6" s="38">
        <v>0.56679400000000002</v>
      </c>
    </row>
    <row r="7" spans="1:15">
      <c r="B7" s="23" t="s">
        <v>159</v>
      </c>
      <c r="C7" s="23" t="s">
        <v>155</v>
      </c>
      <c r="D7" s="23" t="s">
        <v>154</v>
      </c>
      <c r="E7" s="23" t="s">
        <v>84</v>
      </c>
      <c r="F7" s="29" t="s">
        <v>95</v>
      </c>
      <c r="G7" s="23">
        <v>2010</v>
      </c>
      <c r="H7" s="23">
        <v>1</v>
      </c>
      <c r="I7" s="31">
        <f>0.99*538.264106833228</f>
        <v>532.88146576489567</v>
      </c>
      <c r="J7" s="29">
        <v>15</v>
      </c>
      <c r="K7" s="23" t="s">
        <v>158</v>
      </c>
    </row>
    <row r="8" spans="1:15">
      <c r="C8" s="23" t="s">
        <v>155</v>
      </c>
      <c r="D8" s="23" t="s">
        <v>154</v>
      </c>
      <c r="E8" s="23" t="s">
        <v>84</v>
      </c>
      <c r="F8" s="29" t="s">
        <v>95</v>
      </c>
      <c r="G8" s="23">
        <v>2050</v>
      </c>
      <c r="H8" s="23">
        <v>1</v>
      </c>
      <c r="I8" s="53">
        <f>N5*O5</f>
        <v>250.19973090687961</v>
      </c>
      <c r="J8" s="29"/>
    </row>
    <row r="9" spans="1:15">
      <c r="F9" s="29"/>
      <c r="I9" s="7"/>
    </row>
    <row r="11" spans="1:15">
      <c r="G11" s="23" t="s">
        <v>99</v>
      </c>
    </row>
    <row r="12" spans="1:15">
      <c r="B12" s="63" t="s">
        <v>92</v>
      </c>
      <c r="C12" s="68" t="s">
        <v>1</v>
      </c>
      <c r="D12" s="68" t="s">
        <v>91</v>
      </c>
      <c r="E12" s="67" t="s">
        <v>90</v>
      </c>
      <c r="F12" s="66" t="s">
        <v>89</v>
      </c>
      <c r="G12" s="66" t="s">
        <v>0</v>
      </c>
      <c r="H12" s="65" t="s">
        <v>88</v>
      </c>
      <c r="I12" s="65" t="s">
        <v>87</v>
      </c>
      <c r="J12" s="64" t="s">
        <v>86</v>
      </c>
      <c r="K12" s="63" t="s">
        <v>85</v>
      </c>
    </row>
    <row r="13" spans="1:15">
      <c r="B13" s="23" t="s">
        <v>157</v>
      </c>
      <c r="C13" s="23" t="s">
        <v>155</v>
      </c>
      <c r="D13" s="23" t="s">
        <v>154</v>
      </c>
      <c r="E13" s="23" t="s">
        <v>83</v>
      </c>
      <c r="F13" s="29" t="s">
        <v>95</v>
      </c>
      <c r="G13" s="23">
        <v>2010</v>
      </c>
      <c r="H13" s="23">
        <v>1</v>
      </c>
      <c r="I13" s="31">
        <f>0.99*41.6936418785621</f>
        <v>41.276705459776473</v>
      </c>
      <c r="J13" s="29">
        <v>15</v>
      </c>
      <c r="K13" s="23" t="s">
        <v>156</v>
      </c>
    </row>
    <row r="14" spans="1:15">
      <c r="C14" s="23" t="s">
        <v>155</v>
      </c>
      <c r="D14" s="23" t="s">
        <v>154</v>
      </c>
      <c r="E14" s="23" t="s">
        <v>83</v>
      </c>
      <c r="F14" s="29" t="s">
        <v>95</v>
      </c>
      <c r="G14" s="23">
        <v>2050</v>
      </c>
      <c r="H14" s="23">
        <v>1</v>
      </c>
      <c r="I14" s="53">
        <f>N6*O6</f>
        <v>29.67502823583715</v>
      </c>
      <c r="J14" s="29"/>
    </row>
    <row r="17" spans="2:15">
      <c r="G17" s="29" t="s">
        <v>99</v>
      </c>
      <c r="M17" s="23" t="s">
        <v>141</v>
      </c>
      <c r="O17" s="23" t="s">
        <v>140</v>
      </c>
    </row>
    <row r="18" spans="2:15">
      <c r="B18" s="63" t="s">
        <v>92</v>
      </c>
      <c r="C18" s="68" t="s">
        <v>1</v>
      </c>
      <c r="D18" s="68" t="s">
        <v>91</v>
      </c>
      <c r="E18" s="67" t="s">
        <v>90</v>
      </c>
      <c r="F18" s="66" t="s">
        <v>89</v>
      </c>
      <c r="G18" s="66" t="s">
        <v>0</v>
      </c>
      <c r="H18" s="64" t="s">
        <v>88</v>
      </c>
      <c r="I18" s="65" t="s">
        <v>87</v>
      </c>
      <c r="J18" s="64" t="s">
        <v>86</v>
      </c>
      <c r="K18" s="63" t="s">
        <v>85</v>
      </c>
      <c r="M18" s="23" t="s">
        <v>153</v>
      </c>
      <c r="N18" s="23">
        <v>1380.7670882837242</v>
      </c>
      <c r="O18" s="71">
        <v>5.2203483454811919E-2</v>
      </c>
    </row>
    <row r="19" spans="2:15">
      <c r="B19" s="23" t="s">
        <v>152</v>
      </c>
      <c r="C19" s="23" t="s">
        <v>147</v>
      </c>
      <c r="D19" s="23" t="s">
        <v>146</v>
      </c>
      <c r="E19" s="23" t="s">
        <v>84</v>
      </c>
      <c r="F19" s="23" t="s">
        <v>95</v>
      </c>
      <c r="G19" s="23">
        <v>2010</v>
      </c>
      <c r="H19" s="23">
        <v>1</v>
      </c>
      <c r="I19" s="31">
        <f>1374.56989021535*0.99</f>
        <v>1360.8241913131965</v>
      </c>
      <c r="J19" s="29">
        <v>15</v>
      </c>
      <c r="K19" s="23" t="s">
        <v>151</v>
      </c>
      <c r="M19" s="23" t="s">
        <v>150</v>
      </c>
      <c r="N19" s="23">
        <v>988.25291171628965</v>
      </c>
      <c r="O19" s="70">
        <v>0.18707499999999999</v>
      </c>
    </row>
    <row r="20" spans="2:15">
      <c r="C20" s="23" t="s">
        <v>147</v>
      </c>
      <c r="D20" s="23" t="s">
        <v>146</v>
      </c>
      <c r="E20" s="23" t="s">
        <v>84</v>
      </c>
      <c r="F20" s="23" t="s">
        <v>95</v>
      </c>
      <c r="G20" s="23">
        <v>2050</v>
      </c>
      <c r="H20" s="23">
        <v>1</v>
      </c>
      <c r="I20" s="53">
        <f>N18*O18</f>
        <v>72.080851848168223</v>
      </c>
    </row>
    <row r="21" spans="2:15">
      <c r="I21" s="53"/>
    </row>
    <row r="23" spans="2:15">
      <c r="G23" s="29" t="s">
        <v>99</v>
      </c>
    </row>
    <row r="24" spans="2:15">
      <c r="B24" s="63" t="s">
        <v>92</v>
      </c>
      <c r="C24" s="68" t="s">
        <v>1</v>
      </c>
      <c r="D24" s="68" t="s">
        <v>91</v>
      </c>
      <c r="E24" s="67" t="s">
        <v>90</v>
      </c>
      <c r="F24" s="66" t="s">
        <v>89</v>
      </c>
      <c r="G24" s="66" t="s">
        <v>0</v>
      </c>
      <c r="H24" s="64" t="s">
        <v>88</v>
      </c>
      <c r="I24" s="65" t="s">
        <v>87</v>
      </c>
      <c r="J24" s="64" t="s">
        <v>86</v>
      </c>
      <c r="K24" s="63" t="s">
        <v>85</v>
      </c>
    </row>
    <row r="25" spans="2:15">
      <c r="B25" s="23" t="s">
        <v>149</v>
      </c>
      <c r="C25" s="23" t="s">
        <v>147</v>
      </c>
      <c r="D25" s="23" t="s">
        <v>146</v>
      </c>
      <c r="E25" s="23" t="s">
        <v>83</v>
      </c>
      <c r="F25" s="23" t="s">
        <v>95</v>
      </c>
      <c r="G25" s="23">
        <v>2010</v>
      </c>
      <c r="H25" s="23">
        <v>1</v>
      </c>
      <c r="I25" s="31">
        <f>983.817406925136*0.99</f>
        <v>973.97923285588456</v>
      </c>
      <c r="J25" s="29">
        <v>15</v>
      </c>
      <c r="K25" s="23" t="s">
        <v>148</v>
      </c>
    </row>
    <row r="26" spans="2:15">
      <c r="C26" s="23" t="s">
        <v>147</v>
      </c>
      <c r="D26" s="23" t="s">
        <v>146</v>
      </c>
      <c r="E26" s="23" t="s">
        <v>83</v>
      </c>
      <c r="F26" s="23" t="s">
        <v>95</v>
      </c>
      <c r="G26" s="23">
        <v>2050</v>
      </c>
      <c r="H26" s="23">
        <v>1</v>
      </c>
      <c r="I26" s="53">
        <f>N19*O19</f>
        <v>184.87741345932488</v>
      </c>
    </row>
    <row r="27" spans="2:15">
      <c r="I27" s="53"/>
    </row>
    <row r="29" spans="2:15">
      <c r="G29" s="23" t="s">
        <v>99</v>
      </c>
      <c r="M29" s="23" t="s">
        <v>141</v>
      </c>
      <c r="O29" s="23" t="s">
        <v>140</v>
      </c>
    </row>
    <row r="30" spans="2:15">
      <c r="B30" s="63" t="s">
        <v>92</v>
      </c>
      <c r="C30" s="68" t="s">
        <v>1</v>
      </c>
      <c r="D30" s="68" t="s">
        <v>91</v>
      </c>
      <c r="E30" s="67" t="s">
        <v>90</v>
      </c>
      <c r="F30" s="66" t="s">
        <v>89</v>
      </c>
      <c r="G30" s="66" t="s">
        <v>0</v>
      </c>
      <c r="H30" s="64" t="s">
        <v>88</v>
      </c>
      <c r="I30" s="65" t="s">
        <v>87</v>
      </c>
      <c r="J30" s="64" t="s">
        <v>86</v>
      </c>
      <c r="K30" s="63" t="s">
        <v>85</v>
      </c>
      <c r="M30" s="23" t="s">
        <v>145</v>
      </c>
      <c r="N30" s="23">
        <v>166.81</v>
      </c>
      <c r="O30" s="69">
        <v>0.10001523631494398</v>
      </c>
    </row>
    <row r="31" spans="2:15">
      <c r="B31" s="23" t="s">
        <v>144</v>
      </c>
      <c r="C31" s="23" t="s">
        <v>142</v>
      </c>
      <c r="D31" s="23" t="s">
        <v>80</v>
      </c>
      <c r="E31" s="23" t="s">
        <v>83</v>
      </c>
      <c r="F31" s="29" t="s">
        <v>95</v>
      </c>
      <c r="G31" s="23">
        <v>2010</v>
      </c>
      <c r="H31" s="23">
        <v>1</v>
      </c>
      <c r="I31" s="31">
        <f>159.779711285673*0.99</f>
        <v>158.18191417281625</v>
      </c>
      <c r="J31" s="29">
        <v>15</v>
      </c>
      <c r="K31" s="23" t="s">
        <v>143</v>
      </c>
    </row>
    <row r="32" spans="2:15">
      <c r="C32" s="23" t="s">
        <v>142</v>
      </c>
      <c r="D32" s="23" t="s">
        <v>80</v>
      </c>
      <c r="E32" s="23" t="s">
        <v>83</v>
      </c>
      <c r="F32" s="29" t="s">
        <v>95</v>
      </c>
      <c r="G32" s="23">
        <v>2050</v>
      </c>
      <c r="H32" s="23">
        <v>1</v>
      </c>
      <c r="I32" s="53">
        <f>N30*O30</f>
        <v>16.683541569695805</v>
      </c>
    </row>
    <row r="33" spans="2:15">
      <c r="F33" s="29"/>
      <c r="I33" s="53"/>
    </row>
    <row r="34" spans="2:15">
      <c r="I34" s="7"/>
    </row>
    <row r="35" spans="2:15">
      <c r="G35" s="23" t="s">
        <v>99</v>
      </c>
    </row>
    <row r="36" spans="2:15">
      <c r="B36" s="63" t="s">
        <v>92</v>
      </c>
      <c r="C36" s="68" t="s">
        <v>1</v>
      </c>
      <c r="D36" s="68" t="s">
        <v>91</v>
      </c>
      <c r="E36" s="67" t="s">
        <v>90</v>
      </c>
      <c r="F36" s="66" t="s">
        <v>89</v>
      </c>
      <c r="G36" s="66" t="s">
        <v>0</v>
      </c>
      <c r="H36" s="64" t="s">
        <v>88</v>
      </c>
      <c r="I36" s="65" t="s">
        <v>87</v>
      </c>
      <c r="J36" s="64" t="s">
        <v>86</v>
      </c>
      <c r="K36" s="63" t="s">
        <v>85</v>
      </c>
      <c r="M36" s="23" t="s">
        <v>141</v>
      </c>
      <c r="O36" s="23" t="s">
        <v>140</v>
      </c>
    </row>
    <row r="37" spans="2:15">
      <c r="B37" s="23" t="s">
        <v>139</v>
      </c>
      <c r="C37" s="23" t="s">
        <v>133</v>
      </c>
      <c r="D37" s="23" t="s">
        <v>80</v>
      </c>
      <c r="E37" s="23" t="s">
        <v>84</v>
      </c>
      <c r="F37" s="23" t="s">
        <v>95</v>
      </c>
      <c r="G37" s="23">
        <v>2010</v>
      </c>
      <c r="H37" s="23">
        <v>1</v>
      </c>
      <c r="I37" s="31">
        <f>15.86*0.99</f>
        <v>15.7014</v>
      </c>
      <c r="J37" s="29">
        <v>15</v>
      </c>
      <c r="K37" s="23" t="s">
        <v>138</v>
      </c>
      <c r="M37" s="23" t="s">
        <v>137</v>
      </c>
      <c r="N37" s="23">
        <v>10.02</v>
      </c>
      <c r="O37" s="38">
        <v>9.1590000000000005E-3</v>
      </c>
    </row>
    <row r="38" spans="2:15">
      <c r="C38" s="23" t="s">
        <v>133</v>
      </c>
      <c r="D38" s="23" t="s">
        <v>80</v>
      </c>
      <c r="E38" s="23" t="s">
        <v>84</v>
      </c>
      <c r="F38" s="23" t="s">
        <v>95</v>
      </c>
      <c r="G38" s="23">
        <v>2050</v>
      </c>
      <c r="H38" s="23">
        <v>1</v>
      </c>
      <c r="I38" s="31">
        <f>N37*O37</f>
        <v>9.1773179999999996E-2</v>
      </c>
      <c r="M38" s="23" t="s">
        <v>136</v>
      </c>
      <c r="N38" s="23">
        <v>32.909999999999997</v>
      </c>
      <c r="O38" s="38">
        <v>1.2494E-2</v>
      </c>
    </row>
    <row r="39" spans="2:15">
      <c r="I39" s="53"/>
    </row>
    <row r="41" spans="2:15">
      <c r="G41" s="23" t="s">
        <v>99</v>
      </c>
    </row>
    <row r="42" spans="2:15">
      <c r="B42" s="63" t="s">
        <v>92</v>
      </c>
      <c r="C42" s="68" t="s">
        <v>1</v>
      </c>
      <c r="D42" s="68" t="s">
        <v>91</v>
      </c>
      <c r="E42" s="67" t="s">
        <v>90</v>
      </c>
      <c r="F42" s="66" t="s">
        <v>89</v>
      </c>
      <c r="G42" s="66" t="s">
        <v>0</v>
      </c>
      <c r="H42" s="64" t="s">
        <v>88</v>
      </c>
      <c r="I42" s="65" t="s">
        <v>87</v>
      </c>
      <c r="J42" s="64" t="s">
        <v>86</v>
      </c>
      <c r="K42" s="63" t="s">
        <v>85</v>
      </c>
    </row>
    <row r="43" spans="2:15">
      <c r="B43" s="23" t="s">
        <v>135</v>
      </c>
      <c r="C43" s="23" t="s">
        <v>133</v>
      </c>
      <c r="D43" s="23" t="s">
        <v>80</v>
      </c>
      <c r="E43" s="23" t="s">
        <v>83</v>
      </c>
      <c r="F43" s="23" t="s">
        <v>95</v>
      </c>
      <c r="G43" s="23">
        <v>2010</v>
      </c>
      <c r="H43" s="23">
        <v>1</v>
      </c>
      <c r="I43" s="31">
        <f>52.07*0.99</f>
        <v>51.549300000000002</v>
      </c>
      <c r="J43" s="29">
        <v>15</v>
      </c>
      <c r="K43" s="23" t="s">
        <v>134</v>
      </c>
    </row>
    <row r="44" spans="2:15">
      <c r="C44" s="23" t="s">
        <v>133</v>
      </c>
      <c r="D44" s="23" t="s">
        <v>80</v>
      </c>
      <c r="E44" s="23" t="s">
        <v>83</v>
      </c>
      <c r="F44" s="23" t="s">
        <v>95</v>
      </c>
      <c r="G44" s="23">
        <v>2050</v>
      </c>
      <c r="H44" s="23">
        <v>1</v>
      </c>
      <c r="I44" s="62">
        <f>N38*O38</f>
        <v>0.41117753999999995</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B3" sqref="B3"/>
    </sheetView>
  </sheetViews>
  <sheetFormatPr defaultColWidth="9.109375" defaultRowHeight="14.4"/>
  <cols>
    <col min="1" max="16384" width="9.109375" style="23"/>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Q179"/>
  <sheetViews>
    <sheetView zoomScale="80" zoomScaleNormal="80" workbookViewId="0">
      <selection activeCell="E69" sqref="E69"/>
    </sheetView>
  </sheetViews>
  <sheetFormatPr defaultColWidth="9.109375" defaultRowHeight="14.4"/>
  <cols>
    <col min="1" max="1" width="9.109375" style="23"/>
    <col min="2" max="2" width="24.33203125" style="23" bestFit="1" customWidth="1"/>
    <col min="3" max="3" width="23" style="23" bestFit="1" customWidth="1"/>
    <col min="4" max="4" width="13.44140625" style="23" bestFit="1" customWidth="1"/>
    <col min="5" max="5" width="11.6640625" style="23" bestFit="1" customWidth="1"/>
    <col min="6" max="8" width="9.109375" style="23"/>
    <col min="9" max="9" width="14.6640625" style="23" bestFit="1" customWidth="1"/>
    <col min="10" max="10" width="13.88671875" style="23" customWidth="1"/>
    <col min="11" max="11" width="54" style="23" customWidth="1"/>
    <col min="12" max="16" width="9.109375" style="23"/>
    <col min="17" max="17" width="10.33203125" style="23" bestFit="1" customWidth="1"/>
    <col min="18" max="16384" width="9.109375" style="23"/>
  </cols>
  <sheetData>
    <row r="1" spans="1:11">
      <c r="A1" s="23" t="s">
        <v>108</v>
      </c>
      <c r="E1" s="74" t="s">
        <v>175</v>
      </c>
    </row>
    <row r="2" spans="1:11">
      <c r="B2" s="72" t="s">
        <v>107</v>
      </c>
      <c r="H2" s="23" t="s">
        <v>371</v>
      </c>
    </row>
    <row r="3" spans="1:11">
      <c r="B3" s="72" t="s">
        <v>106</v>
      </c>
    </row>
    <row r="5" spans="1:11">
      <c r="G5" s="23" t="s">
        <v>99</v>
      </c>
    </row>
    <row r="6" spans="1:11">
      <c r="B6" s="63" t="s">
        <v>92</v>
      </c>
      <c r="C6" s="68" t="s">
        <v>1</v>
      </c>
      <c r="D6" s="68" t="s">
        <v>91</v>
      </c>
      <c r="E6" s="67" t="s">
        <v>90</v>
      </c>
      <c r="F6" s="66" t="s">
        <v>89</v>
      </c>
      <c r="G6" s="66" t="s">
        <v>0</v>
      </c>
      <c r="H6" s="65" t="s">
        <v>88</v>
      </c>
      <c r="I6" s="65" t="s">
        <v>87</v>
      </c>
      <c r="J6" s="64" t="s">
        <v>86</v>
      </c>
      <c r="K6" s="63" t="s">
        <v>85</v>
      </c>
    </row>
    <row r="7" spans="1:11">
      <c r="B7" s="23" t="s">
        <v>216</v>
      </c>
      <c r="C7" s="23" t="s">
        <v>155</v>
      </c>
      <c r="D7" s="23" t="s">
        <v>154</v>
      </c>
      <c r="E7" s="23" t="s">
        <v>84</v>
      </c>
      <c r="F7" s="29" t="s">
        <v>78</v>
      </c>
      <c r="G7" s="23">
        <v>2010</v>
      </c>
      <c r="H7" s="23">
        <v>1</v>
      </c>
      <c r="I7" s="53">
        <f>'BY,2050 demands'!L11*1.01</f>
        <v>543.64674790156027</v>
      </c>
      <c r="J7" s="23">
        <v>15</v>
      </c>
      <c r="K7" s="23" t="s">
        <v>215</v>
      </c>
    </row>
    <row r="8" spans="1:11">
      <c r="C8" s="23" t="s">
        <v>155</v>
      </c>
      <c r="D8" s="23" t="s">
        <v>154</v>
      </c>
      <c r="E8" s="23" t="s">
        <v>84</v>
      </c>
      <c r="F8" s="29" t="s">
        <v>78</v>
      </c>
      <c r="G8" s="23">
        <v>2050</v>
      </c>
      <c r="H8" s="23">
        <v>1</v>
      </c>
      <c r="I8" s="53">
        <f>'BY,2050 demands'!M11*1.5</f>
        <v>1013.8711016987543</v>
      </c>
    </row>
    <row r="11" spans="1:11">
      <c r="G11" s="29" t="s">
        <v>99</v>
      </c>
    </row>
    <row r="12" spans="1:11">
      <c r="B12" s="63" t="s">
        <v>92</v>
      </c>
      <c r="C12" s="68" t="s">
        <v>1</v>
      </c>
      <c r="D12" s="68" t="s">
        <v>91</v>
      </c>
      <c r="E12" s="67" t="s">
        <v>90</v>
      </c>
      <c r="F12" s="66" t="s">
        <v>89</v>
      </c>
      <c r="G12" s="66" t="s">
        <v>0</v>
      </c>
      <c r="H12" s="64" t="s">
        <v>88</v>
      </c>
      <c r="I12" s="65" t="s">
        <v>87</v>
      </c>
      <c r="J12" s="64" t="s">
        <v>86</v>
      </c>
      <c r="K12" s="63" t="s">
        <v>85</v>
      </c>
    </row>
    <row r="13" spans="1:11">
      <c r="B13" s="23" t="s">
        <v>214</v>
      </c>
      <c r="C13" s="23" t="s">
        <v>147</v>
      </c>
      <c r="D13" s="23" t="s">
        <v>146</v>
      </c>
      <c r="E13" s="23" t="s">
        <v>84</v>
      </c>
      <c r="F13" s="23" t="s">
        <v>78</v>
      </c>
      <c r="G13" s="23">
        <v>2010</v>
      </c>
      <c r="H13" s="23">
        <v>1</v>
      </c>
      <c r="I13" s="53">
        <f>'BY,2050 demands'!L9*1.01</f>
        <v>1388.3155891175077</v>
      </c>
      <c r="J13" s="23">
        <v>15</v>
      </c>
      <c r="K13" s="23" t="s">
        <v>213</v>
      </c>
    </row>
    <row r="14" spans="1:11">
      <c r="C14" s="23" t="s">
        <v>147</v>
      </c>
      <c r="D14" s="23" t="s">
        <v>146</v>
      </c>
      <c r="E14" s="23" t="s">
        <v>84</v>
      </c>
      <c r="F14" s="23" t="s">
        <v>78</v>
      </c>
      <c r="G14" s="23">
        <v>2050</v>
      </c>
      <c r="H14" s="23">
        <v>1</v>
      </c>
      <c r="I14" s="53">
        <f>'BY,2050 demands'!M9*1.5</f>
        <v>2364.7729737294358</v>
      </c>
    </row>
    <row r="17" spans="2:11">
      <c r="G17" s="29" t="s">
        <v>99</v>
      </c>
    </row>
    <row r="18" spans="2:11">
      <c r="B18" s="63" t="s">
        <v>92</v>
      </c>
      <c r="C18" s="68" t="s">
        <v>1</v>
      </c>
      <c r="D18" s="68" t="s">
        <v>91</v>
      </c>
      <c r="E18" s="67" t="s">
        <v>90</v>
      </c>
      <c r="F18" s="66" t="s">
        <v>89</v>
      </c>
      <c r="G18" s="66" t="s">
        <v>0</v>
      </c>
      <c r="H18" s="64" t="s">
        <v>88</v>
      </c>
      <c r="I18" s="65" t="s">
        <v>87</v>
      </c>
      <c r="J18" s="64" t="s">
        <v>86</v>
      </c>
      <c r="K18" s="63" t="s">
        <v>85</v>
      </c>
    </row>
    <row r="19" spans="2:11">
      <c r="B19" s="23" t="s">
        <v>212</v>
      </c>
      <c r="C19" s="23" t="s">
        <v>147</v>
      </c>
      <c r="D19" s="23" t="s">
        <v>146</v>
      </c>
      <c r="E19" s="23" t="s">
        <v>83</v>
      </c>
      <c r="F19" s="23" t="s">
        <v>78</v>
      </c>
      <c r="G19" s="23">
        <v>2010</v>
      </c>
      <c r="H19" s="23">
        <v>1</v>
      </c>
      <c r="I19" s="53">
        <f>'BY,2050 demands'!L10*1.01</f>
        <v>993.65558099438726</v>
      </c>
      <c r="J19" s="23">
        <v>15</v>
      </c>
      <c r="K19" s="23" t="s">
        <v>211</v>
      </c>
    </row>
    <row r="20" spans="2:11">
      <c r="C20" s="23" t="s">
        <v>147</v>
      </c>
      <c r="D20" s="23" t="s">
        <v>146</v>
      </c>
      <c r="E20" s="23" t="s">
        <v>83</v>
      </c>
      <c r="F20" s="23" t="s">
        <v>78</v>
      </c>
      <c r="G20" s="23">
        <v>2050</v>
      </c>
      <c r="H20" s="23">
        <v>1</v>
      </c>
      <c r="I20" s="53">
        <f>'BY,2050 demands'!M10*1.5</f>
        <v>1692.5329381517606</v>
      </c>
    </row>
    <row r="21" spans="2:11">
      <c r="I21" s="53"/>
    </row>
    <row r="23" spans="2:11">
      <c r="G23" s="29" t="s">
        <v>99</v>
      </c>
    </row>
    <row r="24" spans="2:11">
      <c r="B24" s="63" t="s">
        <v>92</v>
      </c>
      <c r="C24" s="68" t="s">
        <v>1</v>
      </c>
      <c r="D24" s="68" t="s">
        <v>91</v>
      </c>
      <c r="E24" s="67" t="s">
        <v>90</v>
      </c>
      <c r="F24" s="66" t="s">
        <v>89</v>
      </c>
      <c r="G24" s="66" t="s">
        <v>0</v>
      </c>
      <c r="H24" s="64" t="s">
        <v>88</v>
      </c>
      <c r="I24" s="65" t="s">
        <v>87</v>
      </c>
      <c r="J24" s="64" t="s">
        <v>86</v>
      </c>
      <c r="K24" s="63" t="s">
        <v>85</v>
      </c>
    </row>
    <row r="25" spans="2:11">
      <c r="B25" s="23" t="s">
        <v>364</v>
      </c>
      <c r="C25" s="23" t="s">
        <v>366</v>
      </c>
      <c r="D25" s="23" t="s">
        <v>146</v>
      </c>
      <c r="E25" s="23" t="s">
        <v>84</v>
      </c>
      <c r="F25" s="23" t="s">
        <v>78</v>
      </c>
      <c r="G25" s="23">
        <v>2010</v>
      </c>
      <c r="H25" s="23">
        <v>1</v>
      </c>
      <c r="I25" s="53">
        <f>I13*0.1</f>
        <v>138.83155891175076</v>
      </c>
      <c r="J25" s="23">
        <v>15</v>
      </c>
      <c r="K25" s="23" t="s">
        <v>213</v>
      </c>
    </row>
    <row r="26" spans="2:11">
      <c r="C26" s="23" t="s">
        <v>366</v>
      </c>
      <c r="D26" s="23" t="s">
        <v>146</v>
      </c>
      <c r="E26" s="23" t="s">
        <v>84</v>
      </c>
      <c r="F26" s="23" t="s">
        <v>78</v>
      </c>
      <c r="G26" s="23">
        <v>2050</v>
      </c>
      <c r="H26" s="23">
        <v>1</v>
      </c>
      <c r="I26" s="53">
        <f>I14*0.1</f>
        <v>236.47729737294358</v>
      </c>
    </row>
    <row r="29" spans="2:11">
      <c r="G29" s="29" t="s">
        <v>99</v>
      </c>
    </row>
    <row r="30" spans="2:11">
      <c r="B30" s="63" t="s">
        <v>92</v>
      </c>
      <c r="C30" s="68" t="s">
        <v>1</v>
      </c>
      <c r="D30" s="68" t="s">
        <v>91</v>
      </c>
      <c r="E30" s="67" t="s">
        <v>90</v>
      </c>
      <c r="F30" s="66" t="s">
        <v>89</v>
      </c>
      <c r="G30" s="66" t="s">
        <v>0</v>
      </c>
      <c r="H30" s="64" t="s">
        <v>88</v>
      </c>
      <c r="I30" s="65" t="s">
        <v>87</v>
      </c>
      <c r="J30" s="64" t="s">
        <v>86</v>
      </c>
      <c r="K30" s="63" t="s">
        <v>85</v>
      </c>
    </row>
    <row r="31" spans="2:11">
      <c r="B31" s="23" t="s">
        <v>365</v>
      </c>
      <c r="C31" s="23" t="s">
        <v>366</v>
      </c>
      <c r="D31" s="23" t="s">
        <v>146</v>
      </c>
      <c r="E31" s="23" t="s">
        <v>83</v>
      </c>
      <c r="F31" s="23" t="s">
        <v>78</v>
      </c>
      <c r="G31" s="23">
        <v>2010</v>
      </c>
      <c r="H31" s="23">
        <v>1</v>
      </c>
      <c r="I31" s="53">
        <f>I19*0.1</f>
        <v>99.365558099438729</v>
      </c>
      <c r="J31" s="23">
        <v>15</v>
      </c>
      <c r="K31" s="23" t="s">
        <v>211</v>
      </c>
    </row>
    <row r="32" spans="2:11">
      <c r="C32" s="23" t="s">
        <v>366</v>
      </c>
      <c r="D32" s="23" t="s">
        <v>146</v>
      </c>
      <c r="E32" s="23" t="s">
        <v>83</v>
      </c>
      <c r="F32" s="23" t="s">
        <v>78</v>
      </c>
      <c r="G32" s="23">
        <v>2050</v>
      </c>
      <c r="H32" s="23">
        <v>1</v>
      </c>
      <c r="I32" s="53">
        <f>I20*0.1</f>
        <v>169.25329381517608</v>
      </c>
    </row>
    <row r="33" spans="2:11">
      <c r="I33" s="53"/>
    </row>
    <row r="35" spans="2:11">
      <c r="G35" s="29" t="s">
        <v>99</v>
      </c>
    </row>
    <row r="36" spans="2:11">
      <c r="B36" s="63" t="s">
        <v>92</v>
      </c>
      <c r="C36" s="68" t="s">
        <v>1</v>
      </c>
      <c r="D36" s="68" t="s">
        <v>91</v>
      </c>
      <c r="E36" s="67" t="s">
        <v>90</v>
      </c>
      <c r="F36" s="66" t="s">
        <v>89</v>
      </c>
      <c r="G36" s="66" t="s">
        <v>0</v>
      </c>
      <c r="H36" s="64" t="s">
        <v>88</v>
      </c>
      <c r="I36" s="65" t="s">
        <v>87</v>
      </c>
      <c r="J36" s="64" t="s">
        <v>86</v>
      </c>
      <c r="K36" s="63" t="s">
        <v>85</v>
      </c>
    </row>
    <row r="37" spans="2:11">
      <c r="B37" s="23" t="s">
        <v>210</v>
      </c>
      <c r="C37" s="23" t="s">
        <v>94</v>
      </c>
      <c r="D37" s="23" t="s">
        <v>80</v>
      </c>
      <c r="E37" s="23" t="s">
        <v>84</v>
      </c>
      <c r="F37" s="23" t="s">
        <v>78</v>
      </c>
      <c r="G37" s="23">
        <v>2010</v>
      </c>
      <c r="H37" s="23">
        <v>1</v>
      </c>
      <c r="I37" s="53">
        <f>'BY,2050 demands'!L20*1.01</f>
        <v>595.61030518069538</v>
      </c>
      <c r="J37" s="23">
        <v>15</v>
      </c>
      <c r="K37" s="23" t="s">
        <v>209</v>
      </c>
    </row>
    <row r="38" spans="2:11">
      <c r="C38" s="23" t="s">
        <v>94</v>
      </c>
      <c r="D38" s="23" t="s">
        <v>80</v>
      </c>
      <c r="E38" s="23" t="s">
        <v>84</v>
      </c>
      <c r="F38" s="23" t="s">
        <v>78</v>
      </c>
      <c r="G38" s="23">
        <v>2050</v>
      </c>
      <c r="H38" s="23">
        <v>1</v>
      </c>
      <c r="I38" s="53">
        <f>'BY,2050 demands'!M20*1.5</f>
        <v>808.87406315165572</v>
      </c>
    </row>
    <row r="41" spans="2:11">
      <c r="G41" s="29" t="s">
        <v>99</v>
      </c>
    </row>
    <row r="42" spans="2:11">
      <c r="B42" s="63" t="s">
        <v>92</v>
      </c>
      <c r="C42" s="68" t="s">
        <v>1</v>
      </c>
      <c r="D42" s="68" t="s">
        <v>91</v>
      </c>
      <c r="E42" s="67" t="s">
        <v>90</v>
      </c>
      <c r="F42" s="66" t="s">
        <v>89</v>
      </c>
      <c r="G42" s="66" t="s">
        <v>0</v>
      </c>
      <c r="H42" s="64" t="s">
        <v>88</v>
      </c>
      <c r="I42" s="65" t="s">
        <v>87</v>
      </c>
      <c r="J42" s="64" t="s">
        <v>86</v>
      </c>
      <c r="K42" s="63" t="s">
        <v>85</v>
      </c>
    </row>
    <row r="43" spans="2:11">
      <c r="B43" s="23" t="s">
        <v>208</v>
      </c>
      <c r="C43" s="23" t="s">
        <v>94</v>
      </c>
      <c r="D43" s="23" t="s">
        <v>80</v>
      </c>
      <c r="E43" s="23" t="s">
        <v>83</v>
      </c>
      <c r="F43" s="23" t="s">
        <v>78</v>
      </c>
      <c r="G43" s="23">
        <v>2010</v>
      </c>
      <c r="H43" s="23">
        <v>1</v>
      </c>
      <c r="I43" s="53">
        <f>'BY,2050 demands'!L21*1.01</f>
        <v>1710.6981339710985</v>
      </c>
      <c r="J43" s="23">
        <v>15</v>
      </c>
      <c r="K43" s="23" t="s">
        <v>207</v>
      </c>
    </row>
    <row r="44" spans="2:11">
      <c r="C44" s="23" t="s">
        <v>94</v>
      </c>
      <c r="D44" s="23" t="s">
        <v>80</v>
      </c>
      <c r="E44" s="23" t="s">
        <v>83</v>
      </c>
      <c r="F44" s="23" t="s">
        <v>78</v>
      </c>
      <c r="G44" s="23">
        <v>2050</v>
      </c>
      <c r="H44" s="23">
        <v>1</v>
      </c>
      <c r="I44" s="53">
        <f>'BY,2050 demands'!M21*1.5</f>
        <v>2323.2293639233812</v>
      </c>
    </row>
    <row r="47" spans="2:11">
      <c r="G47" s="29" t="s">
        <v>99</v>
      </c>
    </row>
    <row r="48" spans="2:11">
      <c r="B48" s="63" t="s">
        <v>92</v>
      </c>
      <c r="C48" s="68" t="s">
        <v>1</v>
      </c>
      <c r="D48" s="68" t="s">
        <v>91</v>
      </c>
      <c r="E48" s="67" t="s">
        <v>90</v>
      </c>
      <c r="F48" s="66" t="s">
        <v>89</v>
      </c>
      <c r="G48" s="66" t="s">
        <v>0</v>
      </c>
      <c r="H48" s="64" t="s">
        <v>88</v>
      </c>
      <c r="I48" s="65" t="s">
        <v>87</v>
      </c>
      <c r="J48" s="64" t="s">
        <v>86</v>
      </c>
      <c r="K48" s="63" t="s">
        <v>85</v>
      </c>
    </row>
    <row r="49" spans="2:11">
      <c r="B49" s="23" t="s">
        <v>206</v>
      </c>
      <c r="C49" s="23" t="s">
        <v>93</v>
      </c>
      <c r="D49" s="23" t="s">
        <v>80</v>
      </c>
      <c r="E49" s="23" t="s">
        <v>83</v>
      </c>
      <c r="F49" s="23" t="s">
        <v>78</v>
      </c>
      <c r="G49" s="23">
        <v>2010</v>
      </c>
      <c r="H49" s="23">
        <v>1</v>
      </c>
      <c r="I49" s="53">
        <f>'BY,2050 demands'!L24*1.01</f>
        <v>398.48629020217493</v>
      </c>
      <c r="J49" s="23">
        <v>15</v>
      </c>
      <c r="K49" s="23" t="s">
        <v>205</v>
      </c>
    </row>
    <row r="50" spans="2:11">
      <c r="C50" s="23" t="s">
        <v>93</v>
      </c>
      <c r="D50" s="23" t="s">
        <v>80</v>
      </c>
      <c r="E50" s="23" t="s">
        <v>83</v>
      </c>
      <c r="F50" s="23" t="s">
        <v>78</v>
      </c>
      <c r="G50" s="23">
        <v>2050</v>
      </c>
      <c r="H50" s="23">
        <v>1</v>
      </c>
      <c r="I50" s="53">
        <f>'BY,2050 demands'!M24*1.5</f>
        <v>541.16797822743604</v>
      </c>
    </row>
    <row r="53" spans="2:11">
      <c r="G53" s="29" t="s">
        <v>99</v>
      </c>
    </row>
    <row r="54" spans="2:11">
      <c r="B54" s="63" t="s">
        <v>92</v>
      </c>
      <c r="C54" s="68" t="s">
        <v>1</v>
      </c>
      <c r="D54" s="68" t="s">
        <v>91</v>
      </c>
      <c r="E54" s="67" t="s">
        <v>90</v>
      </c>
      <c r="F54" s="66" t="s">
        <v>89</v>
      </c>
      <c r="G54" s="66" t="s">
        <v>0</v>
      </c>
      <c r="H54" s="64" t="s">
        <v>88</v>
      </c>
      <c r="I54" s="65" t="s">
        <v>87</v>
      </c>
      <c r="J54" s="64" t="s">
        <v>86</v>
      </c>
      <c r="K54" s="63" t="s">
        <v>85</v>
      </c>
    </row>
    <row r="55" spans="2:11">
      <c r="B55" s="23" t="s">
        <v>204</v>
      </c>
      <c r="C55" s="23" t="s">
        <v>93</v>
      </c>
      <c r="D55" s="23" t="s">
        <v>80</v>
      </c>
      <c r="E55" s="23" t="s">
        <v>82</v>
      </c>
      <c r="F55" s="23" t="s">
        <v>78</v>
      </c>
      <c r="G55" s="23">
        <v>2010</v>
      </c>
      <c r="H55" s="23">
        <v>1</v>
      </c>
      <c r="I55" s="53">
        <f>'BY,2050 demands'!L25*1.01</f>
        <v>393.36254494112239</v>
      </c>
      <c r="J55" s="23">
        <v>15</v>
      </c>
      <c r="K55" s="23" t="s">
        <v>203</v>
      </c>
    </row>
    <row r="56" spans="2:11">
      <c r="C56" s="23" t="s">
        <v>93</v>
      </c>
      <c r="D56" s="23" t="s">
        <v>80</v>
      </c>
      <c r="E56" s="23" t="s">
        <v>82</v>
      </c>
      <c r="F56" s="23" t="s">
        <v>78</v>
      </c>
      <c r="G56" s="23">
        <v>2050</v>
      </c>
      <c r="H56" s="23">
        <v>1</v>
      </c>
      <c r="I56" s="76">
        <f>'BY,2050 demands'!M25*1.5</f>
        <v>534.20962876334431</v>
      </c>
    </row>
    <row r="59" spans="2:11">
      <c r="G59" s="29" t="s">
        <v>99</v>
      </c>
    </row>
    <row r="60" spans="2:11">
      <c r="B60" s="63" t="s">
        <v>92</v>
      </c>
      <c r="C60" s="68" t="s">
        <v>1</v>
      </c>
      <c r="D60" s="68" t="s">
        <v>91</v>
      </c>
      <c r="E60" s="67" t="s">
        <v>90</v>
      </c>
      <c r="F60" s="66" t="s">
        <v>89</v>
      </c>
      <c r="G60" s="66" t="s">
        <v>0</v>
      </c>
      <c r="H60" s="64" t="s">
        <v>88</v>
      </c>
      <c r="I60" s="65" t="s">
        <v>87</v>
      </c>
      <c r="J60" s="64" t="s">
        <v>86</v>
      </c>
      <c r="K60" s="63" t="s">
        <v>85</v>
      </c>
    </row>
    <row r="61" spans="2:11">
      <c r="B61" s="23" t="s">
        <v>202</v>
      </c>
      <c r="C61" s="23" t="s">
        <v>93</v>
      </c>
      <c r="D61" s="23" t="s">
        <v>80</v>
      </c>
      <c r="E61" s="23" t="s">
        <v>79</v>
      </c>
      <c r="F61" s="23" t="s">
        <v>78</v>
      </c>
      <c r="G61" s="23">
        <v>2010</v>
      </c>
      <c r="H61" s="23">
        <v>1</v>
      </c>
      <c r="I61" s="53">
        <f>'BY,2050 demands'!L26*1.01</f>
        <v>3081.5011648567038</v>
      </c>
      <c r="J61" s="23">
        <v>15</v>
      </c>
      <c r="K61" s="23" t="s">
        <v>201</v>
      </c>
    </row>
    <row r="62" spans="2:11">
      <c r="C62" s="23" t="s">
        <v>93</v>
      </c>
      <c r="D62" s="23" t="s">
        <v>80</v>
      </c>
      <c r="E62" s="23" t="s">
        <v>79</v>
      </c>
      <c r="F62" s="23" t="s">
        <v>78</v>
      </c>
      <c r="G62" s="23">
        <v>2050</v>
      </c>
      <c r="H62" s="23">
        <v>1</v>
      </c>
      <c r="I62" s="76">
        <f>'BY,2050 demands'!M26*1.5</f>
        <v>4184.8610511666975</v>
      </c>
    </row>
    <row r="63" spans="2:11">
      <c r="I63" s="53"/>
    </row>
    <row r="64" spans="2:11">
      <c r="I64" s="53"/>
    </row>
    <row r="65" spans="2:11">
      <c r="G65" s="23" t="s">
        <v>99</v>
      </c>
    </row>
    <row r="66" spans="2:11">
      <c r="B66" s="63" t="s">
        <v>92</v>
      </c>
      <c r="C66" s="68" t="s">
        <v>1</v>
      </c>
      <c r="D66" s="68" t="s">
        <v>91</v>
      </c>
      <c r="E66" s="67" t="s">
        <v>90</v>
      </c>
      <c r="F66" s="66" t="s">
        <v>89</v>
      </c>
      <c r="G66" s="66" t="s">
        <v>0</v>
      </c>
      <c r="H66" s="64" t="s">
        <v>88</v>
      </c>
      <c r="I66" s="65" t="s">
        <v>87</v>
      </c>
      <c r="J66" s="64" t="s">
        <v>86</v>
      </c>
      <c r="K66" s="63" t="s">
        <v>85</v>
      </c>
    </row>
    <row r="67" spans="2:11">
      <c r="B67" s="23" t="s">
        <v>200</v>
      </c>
      <c r="C67" s="23" t="s">
        <v>81</v>
      </c>
      <c r="D67" s="23" t="s">
        <v>80</v>
      </c>
      <c r="E67" s="23" t="s">
        <v>84</v>
      </c>
      <c r="F67" s="23" t="s">
        <v>78</v>
      </c>
      <c r="G67" s="23">
        <v>2010</v>
      </c>
      <c r="H67" s="23">
        <v>1</v>
      </c>
      <c r="I67" s="7">
        <f>SUMIFS('LTM data'!$D$3:$D$42,'LTM data'!$C$3:$C$42,'1mode Allreg'!E67,'LTM data'!$A$3:$A$42,'1mode Allreg'!G67)*1.01</f>
        <v>3332.2348906917341</v>
      </c>
      <c r="J67" s="23">
        <v>15</v>
      </c>
      <c r="K67" s="23" t="s">
        <v>199</v>
      </c>
    </row>
    <row r="68" spans="2:11">
      <c r="C68" s="23" t="s">
        <v>81</v>
      </c>
      <c r="D68" s="23" t="s">
        <v>80</v>
      </c>
      <c r="E68" s="23" t="s">
        <v>84</v>
      </c>
      <c r="F68" s="23" t="s">
        <v>78</v>
      </c>
      <c r="G68" s="23">
        <v>2020</v>
      </c>
      <c r="H68" s="23">
        <v>1</v>
      </c>
      <c r="I68" s="7">
        <f>SUMIFS('LTM data'!$D$3:$D$42,'LTM data'!$C$3:$C$42,'1mode Allreg'!E68,'LTM data'!$A$3:$A$42,'1mode Allreg'!G68)*1.01</f>
        <v>4072.8112183624698</v>
      </c>
    </row>
    <row r="69" spans="2:11">
      <c r="C69" s="23" t="s">
        <v>81</v>
      </c>
      <c r="D69" s="23" t="s">
        <v>80</v>
      </c>
      <c r="E69" s="23" t="s">
        <v>84</v>
      </c>
      <c r="F69" s="23" t="s">
        <v>78</v>
      </c>
      <c r="G69" s="23">
        <v>2030</v>
      </c>
      <c r="H69" s="23">
        <v>1</v>
      </c>
      <c r="I69" s="7">
        <f>SUMIFS('LTM data'!$D$3:$D$42,'LTM data'!$C$3:$C$42,'1mode Allreg'!E69,'LTM data'!$A$3:$A$42,'1mode Allreg'!G69)*1.01</f>
        <v>4246.7811884671564</v>
      </c>
    </row>
    <row r="70" spans="2:11">
      <c r="C70" s="23" t="s">
        <v>81</v>
      </c>
      <c r="D70" s="23" t="s">
        <v>80</v>
      </c>
      <c r="E70" s="23" t="s">
        <v>84</v>
      </c>
      <c r="F70" s="23" t="s">
        <v>78</v>
      </c>
      <c r="G70" s="23">
        <v>2040</v>
      </c>
      <c r="H70" s="23">
        <v>1</v>
      </c>
      <c r="I70" s="7">
        <f>SUMIFS('LTM data'!$D$3:$D$42,'LTM data'!$C$3:$C$42,'1mode Allreg'!E70,'LTM data'!$A$3:$A$42,'1mode Allreg'!G70)*1.01</f>
        <v>4564.9905999442062</v>
      </c>
    </row>
    <row r="71" spans="2:11">
      <c r="C71" s="23" t="s">
        <v>81</v>
      </c>
      <c r="D71" s="23" t="s">
        <v>80</v>
      </c>
      <c r="E71" s="23" t="s">
        <v>84</v>
      </c>
      <c r="F71" s="23" t="s">
        <v>78</v>
      </c>
      <c r="G71" s="23">
        <v>2050</v>
      </c>
      <c r="H71" s="23">
        <v>1</v>
      </c>
      <c r="I71" s="7">
        <f>SUMIFS('LTM data'!$D$3:$D$42,'LTM data'!$C$3:$C$42,'1mode Allreg'!E71,'LTM data'!$A$3:$A$42,'1mode Allreg'!G71)*1.01</f>
        <v>4846.9915364641283</v>
      </c>
    </row>
    <row r="74" spans="2:11">
      <c r="G74" s="23" t="s">
        <v>99</v>
      </c>
    </row>
    <row r="75" spans="2:11">
      <c r="B75" s="63" t="s">
        <v>92</v>
      </c>
      <c r="C75" s="68" t="s">
        <v>1</v>
      </c>
      <c r="D75" s="68" t="s">
        <v>91</v>
      </c>
      <c r="E75" s="67" t="s">
        <v>90</v>
      </c>
      <c r="F75" s="66" t="s">
        <v>89</v>
      </c>
      <c r="G75" s="66" t="s">
        <v>0</v>
      </c>
      <c r="H75" s="64" t="s">
        <v>88</v>
      </c>
      <c r="I75" s="65" t="s">
        <v>87</v>
      </c>
      <c r="J75" s="64" t="s">
        <v>86</v>
      </c>
      <c r="K75" s="63" t="s">
        <v>85</v>
      </c>
    </row>
    <row r="76" spans="2:11">
      <c r="B76" s="23" t="s">
        <v>198</v>
      </c>
      <c r="C76" s="23" t="s">
        <v>81</v>
      </c>
      <c r="D76" s="23" t="s">
        <v>80</v>
      </c>
      <c r="E76" s="23" t="s">
        <v>83</v>
      </c>
      <c r="F76" s="23" t="s">
        <v>78</v>
      </c>
      <c r="G76" s="23">
        <v>2010</v>
      </c>
      <c r="H76" s="23">
        <v>1</v>
      </c>
      <c r="I76" s="7">
        <f>SUMIFS('LTM data'!$D$3:$D$42,'LTM data'!$C$3:$C$42,'1mode Allreg'!E76,'LTM data'!$A$3:$A$42,'1mode Allreg'!G76)*1.01</f>
        <v>15988.388274316869</v>
      </c>
      <c r="J76" s="23">
        <v>15</v>
      </c>
      <c r="K76" s="23" t="s">
        <v>197</v>
      </c>
    </row>
    <row r="77" spans="2:11">
      <c r="C77" s="23" t="s">
        <v>81</v>
      </c>
      <c r="D77" s="23" t="s">
        <v>80</v>
      </c>
      <c r="E77" s="23" t="s">
        <v>83</v>
      </c>
      <c r="F77" s="23" t="s">
        <v>78</v>
      </c>
      <c r="G77" s="23">
        <v>2020</v>
      </c>
      <c r="H77" s="23">
        <v>1</v>
      </c>
      <c r="I77" s="7">
        <f>SUMIFS('LTM data'!$D$3:$D$42,'LTM data'!$C$3:$C$42,'1mode Allreg'!E77,'LTM data'!$A$3:$A$42,'1mode Allreg'!G77)*1.01</f>
        <v>19541.745784210016</v>
      </c>
    </row>
    <row r="78" spans="2:11">
      <c r="C78" s="23" t="s">
        <v>81</v>
      </c>
      <c r="D78" s="23" t="s">
        <v>80</v>
      </c>
      <c r="E78" s="23" t="s">
        <v>83</v>
      </c>
      <c r="F78" s="23" t="s">
        <v>78</v>
      </c>
      <c r="G78" s="23">
        <v>2030</v>
      </c>
      <c r="H78" s="23">
        <v>1</v>
      </c>
      <c r="I78" s="7">
        <f>SUMIFS('LTM data'!$D$3:$D$42,'LTM data'!$C$3:$C$42,'1mode Allreg'!E78,'LTM data'!$A$3:$A$42,'1mode Allreg'!G78)*1.01</f>
        <v>20376.470682468196</v>
      </c>
    </row>
    <row r="79" spans="2:11">
      <c r="C79" s="23" t="s">
        <v>81</v>
      </c>
      <c r="D79" s="23" t="s">
        <v>80</v>
      </c>
      <c r="E79" s="23" t="s">
        <v>83</v>
      </c>
      <c r="F79" s="23" t="s">
        <v>78</v>
      </c>
      <c r="G79" s="23">
        <v>2040</v>
      </c>
      <c r="H79" s="23">
        <v>1</v>
      </c>
      <c r="I79" s="7">
        <f>SUMIFS('LTM data'!$D$3:$D$42,'LTM data'!$C$3:$C$42,'1mode Allreg'!E79,'LTM data'!$A$3:$A$42,'1mode Allreg'!G79)*1.01</f>
        <v>21903.270500046721</v>
      </c>
    </row>
    <row r="80" spans="2:11">
      <c r="C80" s="23" t="s">
        <v>81</v>
      </c>
      <c r="D80" s="23" t="s">
        <v>80</v>
      </c>
      <c r="E80" s="23" t="s">
        <v>83</v>
      </c>
      <c r="F80" s="23" t="s">
        <v>78</v>
      </c>
      <c r="G80" s="23">
        <v>2050</v>
      </c>
      <c r="H80" s="23">
        <v>1</v>
      </c>
      <c r="I80" s="7">
        <f>SUMIFS('LTM data'!$D$3:$D$42,'LTM data'!$C$3:$C$42,'1mode Allreg'!E80,'LTM data'!$A$3:$A$42,'1mode Allreg'!G80)*1.01</f>
        <v>23256.338520370322</v>
      </c>
    </row>
    <row r="83" spans="2:11">
      <c r="G83" s="23" t="s">
        <v>99</v>
      </c>
    </row>
    <row r="84" spans="2:11">
      <c r="B84" s="63" t="s">
        <v>92</v>
      </c>
      <c r="C84" s="68" t="s">
        <v>1</v>
      </c>
      <c r="D84" s="68" t="s">
        <v>91</v>
      </c>
      <c r="E84" s="67" t="s">
        <v>90</v>
      </c>
      <c r="F84" s="66" t="s">
        <v>89</v>
      </c>
      <c r="G84" s="66" t="s">
        <v>0</v>
      </c>
      <c r="H84" s="64" t="s">
        <v>88</v>
      </c>
      <c r="I84" s="65" t="s">
        <v>87</v>
      </c>
      <c r="J84" s="64" t="s">
        <v>86</v>
      </c>
      <c r="K84" s="63" t="s">
        <v>85</v>
      </c>
    </row>
    <row r="85" spans="2:11">
      <c r="B85" s="23" t="s">
        <v>196</v>
      </c>
      <c r="C85" s="23" t="s">
        <v>81</v>
      </c>
      <c r="D85" s="23" t="s">
        <v>80</v>
      </c>
      <c r="E85" s="23" t="s">
        <v>82</v>
      </c>
      <c r="F85" s="23" t="s">
        <v>78</v>
      </c>
      <c r="G85" s="23">
        <v>2010</v>
      </c>
      <c r="H85" s="23">
        <v>1</v>
      </c>
      <c r="I85" s="7">
        <f>SUMIFS('LTM data'!$D$3:$D$42,'LTM data'!$C$3:$C$42,'1mode Allreg'!E85,'LTM data'!$A$3:$A$42,'1mode Allreg'!G85)*1.01</f>
        <v>11548.487895804537</v>
      </c>
      <c r="J85" s="23">
        <v>15</v>
      </c>
      <c r="K85" s="23" t="s">
        <v>195</v>
      </c>
    </row>
    <row r="86" spans="2:11">
      <c r="C86" s="23" t="s">
        <v>81</v>
      </c>
      <c r="D86" s="23" t="s">
        <v>80</v>
      </c>
      <c r="E86" s="23" t="s">
        <v>82</v>
      </c>
      <c r="F86" s="23" t="s">
        <v>78</v>
      </c>
      <c r="G86" s="23">
        <v>2020</v>
      </c>
      <c r="H86" s="23">
        <v>1</v>
      </c>
      <c r="I86" s="7">
        <f>SUMIFS('LTM data'!$D$3:$D$42,'LTM data'!$C$3:$C$42,'1mode Allreg'!E86,'LTM data'!$A$3:$A$42,'1mode Allreg'!G86)*1.01</f>
        <v>14115.094703720608</v>
      </c>
    </row>
    <row r="87" spans="2:11">
      <c r="C87" s="23" t="s">
        <v>81</v>
      </c>
      <c r="D87" s="23" t="s">
        <v>80</v>
      </c>
      <c r="E87" s="23" t="s">
        <v>82</v>
      </c>
      <c r="F87" s="23" t="s">
        <v>78</v>
      </c>
      <c r="G87" s="23">
        <v>2030</v>
      </c>
      <c r="H87" s="23">
        <v>1</v>
      </c>
      <c r="I87" s="7">
        <f>SUMIFS('LTM data'!$D$3:$D$42,'LTM data'!$C$3:$C$42,'1mode Allreg'!E87,'LTM data'!$A$3:$A$42,'1mode Allreg'!G87)*1.01</f>
        <v>14718.020415710371</v>
      </c>
    </row>
    <row r="88" spans="2:11">
      <c r="C88" s="23" t="s">
        <v>81</v>
      </c>
      <c r="D88" s="23" t="s">
        <v>80</v>
      </c>
      <c r="E88" s="23" t="s">
        <v>82</v>
      </c>
      <c r="F88" s="23" t="s">
        <v>78</v>
      </c>
      <c r="G88" s="23">
        <v>2040</v>
      </c>
      <c r="H88" s="23">
        <v>1</v>
      </c>
      <c r="I88" s="7">
        <f>SUMIFS('LTM data'!$D$3:$D$42,'LTM data'!$C$3:$C$42,'1mode Allreg'!E88,'LTM data'!$A$3:$A$42,'1mode Allreg'!G88)*1.01</f>
        <v>15820.835090341829</v>
      </c>
    </row>
    <row r="89" spans="2:11">
      <c r="C89" s="23" t="s">
        <v>81</v>
      </c>
      <c r="D89" s="23" t="s">
        <v>80</v>
      </c>
      <c r="E89" s="23" t="s">
        <v>82</v>
      </c>
      <c r="F89" s="23" t="s">
        <v>78</v>
      </c>
      <c r="G89" s="23">
        <v>2050</v>
      </c>
      <c r="H89" s="23">
        <v>1</v>
      </c>
      <c r="I89" s="7">
        <f>SUMIFS('LTM data'!$D$3:$D$42,'LTM data'!$C$3:$C$42,'1mode Allreg'!E89,'LTM data'!$A$3:$A$42,'1mode Allreg'!G89)*1.01</f>
        <v>16798.162472364955</v>
      </c>
    </row>
    <row r="92" spans="2:11">
      <c r="G92" s="29" t="s">
        <v>99</v>
      </c>
    </row>
    <row r="93" spans="2:11">
      <c r="B93" s="63" t="s">
        <v>92</v>
      </c>
      <c r="C93" s="68" t="s">
        <v>1</v>
      </c>
      <c r="D93" s="68" t="s">
        <v>91</v>
      </c>
      <c r="E93" s="67" t="s">
        <v>90</v>
      </c>
      <c r="F93" s="66" t="s">
        <v>89</v>
      </c>
      <c r="G93" s="66" t="s">
        <v>0</v>
      </c>
      <c r="H93" s="64" t="s">
        <v>88</v>
      </c>
      <c r="I93" s="65" t="s">
        <v>87</v>
      </c>
      <c r="J93" s="64" t="s">
        <v>86</v>
      </c>
      <c r="K93" s="63" t="s">
        <v>85</v>
      </c>
    </row>
    <row r="94" spans="2:11">
      <c r="B94" s="23" t="s">
        <v>194</v>
      </c>
      <c r="C94" s="23" t="s">
        <v>81</v>
      </c>
      <c r="D94" s="23" t="s">
        <v>80</v>
      </c>
      <c r="E94" s="23" t="s">
        <v>79</v>
      </c>
      <c r="F94" s="23" t="s">
        <v>78</v>
      </c>
      <c r="G94" s="23">
        <v>2010</v>
      </c>
      <c r="H94" s="23">
        <v>1</v>
      </c>
      <c r="I94" s="7">
        <f>SUMIFS('LTM data'!$D$3:$D$42,'LTM data'!$C$3:$C$42,'1mode Allreg'!E94,'LTM data'!$A$3:$A$42,'1mode Allreg'!G94)*1.01</f>
        <v>22117.968088226167</v>
      </c>
      <c r="J94" s="23">
        <v>15</v>
      </c>
      <c r="K94" s="23" t="s">
        <v>193</v>
      </c>
    </row>
    <row r="95" spans="2:11">
      <c r="C95" s="23" t="s">
        <v>81</v>
      </c>
      <c r="D95" s="23" t="s">
        <v>80</v>
      </c>
      <c r="E95" s="23" t="s">
        <v>79</v>
      </c>
      <c r="F95" s="23" t="s">
        <v>78</v>
      </c>
      <c r="G95" s="23">
        <v>2020</v>
      </c>
      <c r="H95" s="23">
        <v>1</v>
      </c>
      <c r="I95" s="7">
        <f>SUMIFS('LTM data'!$D$3:$D$42,'LTM data'!$C$3:$C$42,'1mode Allreg'!E95,'LTM data'!$A$3:$A$42,'1mode Allreg'!G95)*1.01</f>
        <v>27033.601025169803</v>
      </c>
    </row>
    <row r="96" spans="2:11">
      <c r="C96" s="23" t="s">
        <v>81</v>
      </c>
      <c r="D96" s="23" t="s">
        <v>80</v>
      </c>
      <c r="E96" s="23" t="s">
        <v>79</v>
      </c>
      <c r="F96" s="23" t="s">
        <v>78</v>
      </c>
      <c r="G96" s="23">
        <v>2030</v>
      </c>
      <c r="H96" s="23">
        <v>1</v>
      </c>
      <c r="I96" s="7">
        <f>SUMIFS('LTM data'!$D$3:$D$42,'LTM data'!$C$3:$C$42,'1mode Allreg'!E96,'LTM data'!$A$3:$A$42,'1mode Allreg'!G96)*1.01</f>
        <v>28188.340223728024</v>
      </c>
    </row>
    <row r="97" spans="2:11">
      <c r="C97" s="23" t="s">
        <v>81</v>
      </c>
      <c r="D97" s="23" t="s">
        <v>80</v>
      </c>
      <c r="E97" s="23" t="s">
        <v>79</v>
      </c>
      <c r="F97" s="23" t="s">
        <v>78</v>
      </c>
      <c r="G97" s="23">
        <v>2040</v>
      </c>
      <c r="H97" s="23">
        <v>1</v>
      </c>
      <c r="I97" s="7">
        <f>SUMIFS('LTM data'!$D$3:$D$42,'LTM data'!$C$3:$C$42,'1mode Allreg'!E97,'LTM data'!$A$3:$A$42,'1mode Allreg'!G97)*1.01</f>
        <v>30300.479925548854</v>
      </c>
    </row>
    <row r="98" spans="2:11">
      <c r="C98" s="23" t="s">
        <v>81</v>
      </c>
      <c r="D98" s="23" t="s">
        <v>80</v>
      </c>
      <c r="E98" s="23" t="s">
        <v>79</v>
      </c>
      <c r="F98" s="23" t="s">
        <v>78</v>
      </c>
      <c r="G98" s="23">
        <v>2050</v>
      </c>
      <c r="H98" s="23">
        <v>1</v>
      </c>
      <c r="I98" s="7">
        <f>SUMIFS('LTM data'!$D$3:$D$42,'LTM data'!$C$3:$C$42,'1mode Allreg'!E98,'LTM data'!$A$3:$A$42,'1mode Allreg'!G98)*1.01</f>
        <v>32172.283060502145</v>
      </c>
    </row>
    <row r="101" spans="2:11">
      <c r="G101" s="23" t="s">
        <v>99</v>
      </c>
    </row>
    <row r="102" spans="2:11">
      <c r="B102" s="63" t="s">
        <v>92</v>
      </c>
      <c r="C102" s="68" t="s">
        <v>1</v>
      </c>
      <c r="D102" s="68" t="s">
        <v>91</v>
      </c>
      <c r="E102" s="67" t="s">
        <v>90</v>
      </c>
      <c r="F102" s="66" t="s">
        <v>89</v>
      </c>
      <c r="G102" s="66" t="s">
        <v>0</v>
      </c>
      <c r="H102" s="64" t="s">
        <v>88</v>
      </c>
      <c r="I102" s="65" t="s">
        <v>87</v>
      </c>
      <c r="J102" s="64" t="s">
        <v>86</v>
      </c>
      <c r="K102" s="63" t="s">
        <v>85</v>
      </c>
    </row>
    <row r="103" spans="2:11">
      <c r="B103" s="23" t="s">
        <v>192</v>
      </c>
      <c r="C103" s="23" t="s">
        <v>133</v>
      </c>
      <c r="D103" s="23" t="s">
        <v>80</v>
      </c>
      <c r="E103" s="23" t="s">
        <v>84</v>
      </c>
      <c r="F103" s="23" t="s">
        <v>78</v>
      </c>
      <c r="G103" s="23">
        <v>2010</v>
      </c>
      <c r="H103" s="23">
        <v>1</v>
      </c>
      <c r="I103" s="7">
        <f>'BY,2050 demands'!L16*1.01</f>
        <v>16.017567317530251</v>
      </c>
      <c r="J103" s="23">
        <v>15</v>
      </c>
      <c r="K103" s="23" t="s">
        <v>191</v>
      </c>
    </row>
    <row r="104" spans="2:11">
      <c r="C104" s="23" t="s">
        <v>133</v>
      </c>
      <c r="D104" s="23" t="s">
        <v>80</v>
      </c>
      <c r="E104" s="23" t="s">
        <v>84</v>
      </c>
      <c r="F104" s="23" t="s">
        <v>78</v>
      </c>
      <c r="G104" s="23">
        <v>2050</v>
      </c>
      <c r="H104" s="23">
        <v>1</v>
      </c>
      <c r="I104" s="7">
        <f>'BY,2050 demands'!M16*1.5</f>
        <v>12.931714547660851</v>
      </c>
    </row>
    <row r="107" spans="2:11">
      <c r="G107" s="23" t="s">
        <v>99</v>
      </c>
    </row>
    <row r="108" spans="2:11">
      <c r="B108" s="63" t="s">
        <v>92</v>
      </c>
      <c r="C108" s="68" t="s">
        <v>1</v>
      </c>
      <c r="D108" s="68" t="s">
        <v>91</v>
      </c>
      <c r="E108" s="67" t="s">
        <v>90</v>
      </c>
      <c r="F108" s="66" t="s">
        <v>89</v>
      </c>
      <c r="G108" s="66" t="s">
        <v>0</v>
      </c>
      <c r="H108" s="64" t="s">
        <v>88</v>
      </c>
      <c r="I108" s="65" t="s">
        <v>87</v>
      </c>
      <c r="J108" s="64" t="s">
        <v>86</v>
      </c>
      <c r="K108" s="63" t="s">
        <v>85</v>
      </c>
    </row>
    <row r="109" spans="2:11">
      <c r="B109" s="23" t="s">
        <v>190</v>
      </c>
      <c r="C109" s="23" t="s">
        <v>133</v>
      </c>
      <c r="D109" s="23" t="s">
        <v>80</v>
      </c>
      <c r="E109" s="23" t="s">
        <v>83</v>
      </c>
      <c r="F109" s="23" t="s">
        <v>78</v>
      </c>
      <c r="G109" s="23">
        <v>2010</v>
      </c>
      <c r="H109" s="23">
        <v>1</v>
      </c>
      <c r="I109" s="7">
        <f>'BY,2050 demands'!L17*1.01</f>
        <v>52.593146901067946</v>
      </c>
      <c r="J109" s="23">
        <v>15</v>
      </c>
      <c r="K109" s="23" t="s">
        <v>189</v>
      </c>
    </row>
    <row r="110" spans="2:11">
      <c r="C110" s="23" t="s">
        <v>133</v>
      </c>
      <c r="D110" s="23" t="s">
        <v>80</v>
      </c>
      <c r="E110" s="23" t="s">
        <v>83</v>
      </c>
      <c r="F110" s="23" t="s">
        <v>78</v>
      </c>
      <c r="G110" s="23">
        <v>2050</v>
      </c>
      <c r="H110" s="23">
        <v>1</v>
      </c>
      <c r="I110" s="7">
        <f>'BY,2050 demands'!M17*1.5</f>
        <v>42.460852475610025</v>
      </c>
    </row>
    <row r="113" spans="2:11">
      <c r="G113" s="23" t="s">
        <v>99</v>
      </c>
    </row>
    <row r="114" spans="2:11">
      <c r="B114" s="63" t="s">
        <v>92</v>
      </c>
      <c r="C114" s="68" t="s">
        <v>1</v>
      </c>
      <c r="D114" s="68" t="s">
        <v>91</v>
      </c>
      <c r="E114" s="67" t="s">
        <v>90</v>
      </c>
      <c r="F114" s="66" t="s">
        <v>89</v>
      </c>
      <c r="G114" s="66" t="s">
        <v>0</v>
      </c>
      <c r="H114" s="64" t="s">
        <v>88</v>
      </c>
      <c r="I114" s="65" t="s">
        <v>87</v>
      </c>
      <c r="J114" s="64" t="s">
        <v>86</v>
      </c>
      <c r="K114" s="63" t="s">
        <v>85</v>
      </c>
    </row>
    <row r="115" spans="2:11">
      <c r="B115" s="23" t="s">
        <v>188</v>
      </c>
      <c r="C115" s="23" t="s">
        <v>142</v>
      </c>
      <c r="D115" s="23" t="s">
        <v>80</v>
      </c>
      <c r="E115" s="23" t="s">
        <v>83</v>
      </c>
      <c r="F115" s="29" t="s">
        <v>78</v>
      </c>
      <c r="G115" s="23">
        <v>2010</v>
      </c>
      <c r="H115" s="23">
        <v>1</v>
      </c>
      <c r="I115" s="7">
        <f>'BY,2050 demands'!L13*1.01</f>
        <v>161.3775083985289</v>
      </c>
      <c r="J115" s="23">
        <v>15</v>
      </c>
      <c r="K115" s="23" t="s">
        <v>187</v>
      </c>
    </row>
    <row r="116" spans="2:11">
      <c r="C116" s="23" t="s">
        <v>142</v>
      </c>
      <c r="D116" s="23" t="s">
        <v>80</v>
      </c>
      <c r="E116" s="23" t="s">
        <v>83</v>
      </c>
      <c r="F116" s="29" t="s">
        <v>78</v>
      </c>
      <c r="G116" s="23">
        <v>2050</v>
      </c>
      <c r="H116" s="23">
        <v>1</v>
      </c>
      <c r="I116" s="7">
        <f>'BY,2050 demands'!M13*1.5</f>
        <v>265.23215758936863</v>
      </c>
    </row>
    <row r="119" spans="2:11">
      <c r="G119" s="23" t="s">
        <v>99</v>
      </c>
    </row>
    <row r="120" spans="2:11">
      <c r="B120" s="63" t="s">
        <v>92</v>
      </c>
      <c r="C120" s="68" t="s">
        <v>1</v>
      </c>
      <c r="D120" s="68" t="s">
        <v>91</v>
      </c>
      <c r="E120" s="67" t="s">
        <v>90</v>
      </c>
      <c r="F120" s="66" t="s">
        <v>89</v>
      </c>
      <c r="G120" s="66" t="s">
        <v>0</v>
      </c>
      <c r="H120" s="64" t="s">
        <v>88</v>
      </c>
      <c r="I120" s="65" t="s">
        <v>87</v>
      </c>
      <c r="J120" s="64" t="s">
        <v>86</v>
      </c>
      <c r="K120" s="63" t="s">
        <v>85</v>
      </c>
    </row>
    <row r="121" spans="2:11">
      <c r="B121" s="23" t="s">
        <v>186</v>
      </c>
      <c r="C121" s="23" t="s">
        <v>142</v>
      </c>
      <c r="D121" s="23" t="s">
        <v>80</v>
      </c>
      <c r="E121" s="23" t="s">
        <v>82</v>
      </c>
      <c r="F121" s="29" t="s">
        <v>78</v>
      </c>
      <c r="G121" s="23">
        <v>2010</v>
      </c>
      <c r="H121" s="23">
        <v>1</v>
      </c>
      <c r="I121" s="7">
        <f>'BY,2050 demands'!L14*1.01</f>
        <v>127.37417544703312</v>
      </c>
      <c r="J121" s="23">
        <v>15</v>
      </c>
      <c r="K121" s="23" t="s">
        <v>185</v>
      </c>
    </row>
    <row r="122" spans="2:11">
      <c r="C122" s="23" t="s">
        <v>142</v>
      </c>
      <c r="D122" s="23" t="s">
        <v>80</v>
      </c>
      <c r="E122" s="23" t="s">
        <v>82</v>
      </c>
      <c r="F122" s="29" t="s">
        <v>78</v>
      </c>
      <c r="G122" s="23">
        <v>2050</v>
      </c>
      <c r="H122" s="23">
        <v>1</v>
      </c>
      <c r="I122" s="7">
        <f>'BY,2050 demands'!M14*1.5</f>
        <v>209.34594733953236</v>
      </c>
    </row>
    <row r="125" spans="2:11">
      <c r="G125" s="23" t="s">
        <v>99</v>
      </c>
    </row>
    <row r="126" spans="2:11">
      <c r="B126" s="63" t="s">
        <v>92</v>
      </c>
      <c r="C126" s="68" t="s">
        <v>1</v>
      </c>
      <c r="D126" s="68" t="s">
        <v>91</v>
      </c>
      <c r="E126" s="67" t="s">
        <v>90</v>
      </c>
      <c r="F126" s="66" t="s">
        <v>89</v>
      </c>
      <c r="G126" s="66" t="s">
        <v>0</v>
      </c>
      <c r="H126" s="64" t="s">
        <v>88</v>
      </c>
      <c r="I126" s="65" t="s">
        <v>87</v>
      </c>
      <c r="J126" s="64" t="s">
        <v>86</v>
      </c>
      <c r="K126" s="63" t="s">
        <v>85</v>
      </c>
    </row>
    <row r="127" spans="2:11">
      <c r="B127" s="23" t="s">
        <v>184</v>
      </c>
      <c r="C127" s="23" t="s">
        <v>142</v>
      </c>
      <c r="D127" s="23" t="s">
        <v>80</v>
      </c>
      <c r="E127" s="23" t="s">
        <v>79</v>
      </c>
      <c r="F127" s="29" t="s">
        <v>78</v>
      </c>
      <c r="G127" s="23">
        <v>2010</v>
      </c>
      <c r="H127" s="23">
        <v>1</v>
      </c>
      <c r="I127" s="7">
        <f>'BY,2050 demands'!L15*1.01</f>
        <v>181.90831615443807</v>
      </c>
      <c r="J127" s="23">
        <v>15</v>
      </c>
      <c r="K127" s="23" t="s">
        <v>183</v>
      </c>
    </row>
    <row r="128" spans="2:11">
      <c r="C128" s="23" t="s">
        <v>142</v>
      </c>
      <c r="D128" s="23" t="s">
        <v>80</v>
      </c>
      <c r="E128" s="23" t="s">
        <v>79</v>
      </c>
      <c r="F128" s="29" t="s">
        <v>78</v>
      </c>
      <c r="G128" s="23">
        <v>2050</v>
      </c>
      <c r="H128" s="23">
        <v>1</v>
      </c>
      <c r="I128" s="7">
        <f>'BY,2050 demands'!M15*1.5</f>
        <v>298.97558622568511</v>
      </c>
    </row>
    <row r="131" spans="2:11">
      <c r="G131" s="75" t="s">
        <v>99</v>
      </c>
    </row>
    <row r="132" spans="2:11">
      <c r="B132" s="63" t="s">
        <v>92</v>
      </c>
      <c r="C132" s="68" t="s">
        <v>1</v>
      </c>
      <c r="D132" s="68" t="s">
        <v>91</v>
      </c>
      <c r="E132" s="67" t="s">
        <v>90</v>
      </c>
      <c r="F132" s="66" t="s">
        <v>89</v>
      </c>
      <c r="G132" s="66" t="s">
        <v>0</v>
      </c>
      <c r="H132" s="64" t="s">
        <v>88</v>
      </c>
      <c r="I132" s="65" t="s">
        <v>87</v>
      </c>
      <c r="J132" s="64" t="s">
        <v>86</v>
      </c>
      <c r="K132" s="63" t="s">
        <v>85</v>
      </c>
    </row>
    <row r="133" spans="2:11">
      <c r="B133" s="23" t="s">
        <v>182</v>
      </c>
      <c r="C133" s="23" t="s">
        <v>176</v>
      </c>
      <c r="D133" s="23" t="s">
        <v>80</v>
      </c>
      <c r="E133" s="23" t="s">
        <v>83</v>
      </c>
      <c r="F133" s="23" t="s">
        <v>78</v>
      </c>
      <c r="G133" s="23">
        <v>2010</v>
      </c>
      <c r="H133" s="23">
        <v>1</v>
      </c>
      <c r="I133" s="7">
        <f>'BY,2050 demands'!L32*1.01</f>
        <v>417.51177415372155</v>
      </c>
      <c r="J133" s="23">
        <v>15</v>
      </c>
      <c r="K133" s="23" t="s">
        <v>181</v>
      </c>
    </row>
    <row r="134" spans="2:11">
      <c r="C134" s="23" t="s">
        <v>176</v>
      </c>
      <c r="D134" s="23" t="s">
        <v>80</v>
      </c>
      <c r="E134" s="23" t="s">
        <v>83</v>
      </c>
      <c r="F134" s="23" t="s">
        <v>78</v>
      </c>
      <c r="G134" s="23">
        <v>2050</v>
      </c>
      <c r="H134" s="23">
        <v>1</v>
      </c>
      <c r="I134" s="7">
        <f>'BY,2050 demands'!M32*1.5</f>
        <v>1053.6352496574207</v>
      </c>
    </row>
    <row r="137" spans="2:11">
      <c r="G137" s="75" t="s">
        <v>99</v>
      </c>
    </row>
    <row r="138" spans="2:11">
      <c r="B138" s="63" t="s">
        <v>92</v>
      </c>
      <c r="C138" s="68" t="s">
        <v>1</v>
      </c>
      <c r="D138" s="68" t="s">
        <v>91</v>
      </c>
      <c r="E138" s="67" t="s">
        <v>90</v>
      </c>
      <c r="F138" s="66" t="s">
        <v>89</v>
      </c>
      <c r="G138" s="66" t="s">
        <v>0</v>
      </c>
      <c r="H138" s="64" t="s">
        <v>88</v>
      </c>
      <c r="I138" s="65" t="s">
        <v>87</v>
      </c>
      <c r="J138" s="64" t="s">
        <v>86</v>
      </c>
      <c r="K138" s="63" t="s">
        <v>85</v>
      </c>
    </row>
    <row r="139" spans="2:11">
      <c r="B139" s="23" t="s">
        <v>180</v>
      </c>
      <c r="C139" s="23" t="s">
        <v>176</v>
      </c>
      <c r="D139" s="23" t="s">
        <v>80</v>
      </c>
      <c r="E139" s="23" t="s">
        <v>82</v>
      </c>
      <c r="F139" s="23" t="s">
        <v>78</v>
      </c>
      <c r="G139" s="23">
        <v>2010</v>
      </c>
      <c r="H139" s="23">
        <v>1</v>
      </c>
      <c r="I139" s="7">
        <f>'BY,2050 demands'!L33*1.01</f>
        <v>932.25209914371499</v>
      </c>
      <c r="J139" s="23">
        <v>15</v>
      </c>
      <c r="K139" s="23" t="s">
        <v>179</v>
      </c>
    </row>
    <row r="140" spans="2:11">
      <c r="C140" s="23" t="s">
        <v>176</v>
      </c>
      <c r="D140" s="23" t="s">
        <v>80</v>
      </c>
      <c r="E140" s="23" t="s">
        <v>82</v>
      </c>
      <c r="F140" s="23" t="s">
        <v>78</v>
      </c>
      <c r="G140" s="23">
        <v>2050</v>
      </c>
      <c r="H140" s="23">
        <v>1</v>
      </c>
      <c r="I140" s="7">
        <f>'BY,2050 demands'!M33*1.5</f>
        <v>2352.6370608731404</v>
      </c>
    </row>
    <row r="143" spans="2:11">
      <c r="G143" s="75" t="s">
        <v>99</v>
      </c>
    </row>
    <row r="144" spans="2:11">
      <c r="B144" s="63" t="s">
        <v>92</v>
      </c>
      <c r="C144" s="68" t="s">
        <v>1</v>
      </c>
      <c r="D144" s="68" t="s">
        <v>91</v>
      </c>
      <c r="E144" s="67" t="s">
        <v>90</v>
      </c>
      <c r="F144" s="66" t="s">
        <v>89</v>
      </c>
      <c r="G144" s="66" t="s">
        <v>0</v>
      </c>
      <c r="H144" s="64" t="s">
        <v>88</v>
      </c>
      <c r="I144" s="65" t="s">
        <v>87</v>
      </c>
      <c r="J144" s="64" t="s">
        <v>86</v>
      </c>
      <c r="K144" s="63" t="s">
        <v>85</v>
      </c>
    </row>
    <row r="145" spans="2:11">
      <c r="B145" s="23" t="s">
        <v>178</v>
      </c>
      <c r="C145" s="23" t="s">
        <v>176</v>
      </c>
      <c r="D145" s="23" t="s">
        <v>80</v>
      </c>
      <c r="E145" s="23" t="s">
        <v>79</v>
      </c>
      <c r="F145" s="23" t="s">
        <v>78</v>
      </c>
      <c r="G145" s="23">
        <v>2010</v>
      </c>
      <c r="H145" s="23">
        <v>1</v>
      </c>
      <c r="I145" s="7">
        <f>'BY,2050 demands'!L34*1.01</f>
        <v>3243.0091884823341</v>
      </c>
      <c r="J145" s="23">
        <v>15</v>
      </c>
      <c r="K145" s="23" t="s">
        <v>177</v>
      </c>
    </row>
    <row r="146" spans="2:11">
      <c r="C146" s="23" t="s">
        <v>176</v>
      </c>
      <c r="D146" s="23" t="s">
        <v>80</v>
      </c>
      <c r="E146" s="23" t="s">
        <v>79</v>
      </c>
      <c r="F146" s="23" t="s">
        <v>78</v>
      </c>
      <c r="G146" s="23">
        <v>2050</v>
      </c>
      <c r="H146" s="23">
        <v>1</v>
      </c>
      <c r="I146" s="7">
        <f>'BY,2050 demands'!M34*1.5</f>
        <v>8184.0776894828796</v>
      </c>
    </row>
    <row r="149" spans="2:11">
      <c r="G149" s="23" t="s">
        <v>166</v>
      </c>
    </row>
    <row r="150" spans="2:11">
      <c r="B150" s="63" t="s">
        <v>92</v>
      </c>
      <c r="C150" s="68" t="s">
        <v>1</v>
      </c>
      <c r="D150" s="68" t="s">
        <v>91</v>
      </c>
      <c r="E150" s="67" t="s">
        <v>90</v>
      </c>
      <c r="F150" s="66" t="s">
        <v>89</v>
      </c>
      <c r="G150" s="66" t="s">
        <v>0</v>
      </c>
      <c r="H150" s="64" t="s">
        <v>88</v>
      </c>
      <c r="I150" s="65" t="s">
        <v>87</v>
      </c>
      <c r="J150" s="64" t="s">
        <v>165</v>
      </c>
      <c r="K150" s="63" t="s">
        <v>85</v>
      </c>
    </row>
    <row r="151" spans="2:11">
      <c r="B151" s="23" t="s">
        <v>169</v>
      </c>
      <c r="C151" s="23" t="s">
        <v>162</v>
      </c>
      <c r="D151" s="23" t="s">
        <v>80</v>
      </c>
      <c r="E151" s="23" t="s">
        <v>84</v>
      </c>
      <c r="F151" s="23" t="s">
        <v>78</v>
      </c>
      <c r="G151" s="23">
        <v>2010</v>
      </c>
      <c r="H151" s="23">
        <v>1</v>
      </c>
      <c r="I151" s="31">
        <f>'BY,2050 demands'!L29*1.01</f>
        <v>92.291370122311235</v>
      </c>
      <c r="J151" s="23">
        <v>15</v>
      </c>
      <c r="K151" s="23" t="s">
        <v>167</v>
      </c>
    </row>
    <row r="152" spans="2:11">
      <c r="C152" s="23" t="s">
        <v>162</v>
      </c>
      <c r="D152" s="23" t="s">
        <v>80</v>
      </c>
      <c r="E152" s="23" t="s">
        <v>84</v>
      </c>
      <c r="F152" s="23" t="s">
        <v>78</v>
      </c>
      <c r="G152" s="23">
        <v>2020</v>
      </c>
      <c r="H152" s="23">
        <v>1</v>
      </c>
      <c r="I152" s="31">
        <f>I151+130/1445*I151</f>
        <v>100.59439996030463</v>
      </c>
    </row>
    <row r="153" spans="2:11">
      <c r="C153" s="23" t="s">
        <v>162</v>
      </c>
      <c r="D153" s="23" t="s">
        <v>80</v>
      </c>
      <c r="E153" s="23" t="s">
        <v>84</v>
      </c>
      <c r="F153" s="23" t="s">
        <v>78</v>
      </c>
      <c r="G153" s="23">
        <v>2050</v>
      </c>
      <c r="H153" s="23">
        <v>1</v>
      </c>
      <c r="I153" s="31">
        <f>('BY,2050 demands'!M29+I152-I151)*1.5</f>
        <v>150.72254336123757</v>
      </c>
    </row>
    <row r="156" spans="2:11">
      <c r="G156" s="23" t="s">
        <v>166</v>
      </c>
    </row>
    <row r="157" spans="2:11">
      <c r="B157" s="63" t="s">
        <v>92</v>
      </c>
      <c r="C157" s="68" t="s">
        <v>1</v>
      </c>
      <c r="D157" s="68" t="s">
        <v>91</v>
      </c>
      <c r="E157" s="67" t="s">
        <v>90</v>
      </c>
      <c r="F157" s="66" t="s">
        <v>89</v>
      </c>
      <c r="G157" s="66" t="s">
        <v>0</v>
      </c>
      <c r="H157" s="64" t="s">
        <v>88</v>
      </c>
      <c r="I157" s="65" t="s">
        <v>87</v>
      </c>
      <c r="J157" s="64" t="s">
        <v>165</v>
      </c>
      <c r="K157" s="63" t="s">
        <v>85</v>
      </c>
    </row>
    <row r="158" spans="2:11">
      <c r="B158" s="23" t="s">
        <v>168</v>
      </c>
      <c r="C158" s="23" t="s">
        <v>162</v>
      </c>
      <c r="D158" s="23" t="s">
        <v>80</v>
      </c>
      <c r="E158" s="23" t="s">
        <v>83</v>
      </c>
      <c r="F158" s="23" t="s">
        <v>78</v>
      </c>
      <c r="G158" s="23">
        <v>2010</v>
      </c>
      <c r="H158" s="23">
        <v>1</v>
      </c>
      <c r="I158" s="31">
        <f>'BY,2050 demands'!L30*1.01</f>
        <v>779.30591275015911</v>
      </c>
      <c r="J158" s="23">
        <v>15</v>
      </c>
      <c r="K158" s="23" t="s">
        <v>167</v>
      </c>
    </row>
    <row r="159" spans="2:11">
      <c r="C159" s="23" t="s">
        <v>162</v>
      </c>
      <c r="D159" s="23" t="s">
        <v>80</v>
      </c>
      <c r="E159" s="23" t="s">
        <v>83</v>
      </c>
      <c r="F159" s="23" t="s">
        <v>78</v>
      </c>
      <c r="G159" s="23">
        <v>2020</v>
      </c>
      <c r="H159" s="23">
        <v>1</v>
      </c>
      <c r="I159" s="31">
        <f>I158+130/1445*I158</f>
        <v>849.41647929515614</v>
      </c>
    </row>
    <row r="160" spans="2:11">
      <c r="C160" s="23" t="s">
        <v>162</v>
      </c>
      <c r="D160" s="23" t="s">
        <v>80</v>
      </c>
      <c r="E160" s="23" t="s">
        <v>83</v>
      </c>
      <c r="F160" s="23" t="s">
        <v>78</v>
      </c>
      <c r="G160" s="23">
        <v>2050</v>
      </c>
      <c r="H160" s="23">
        <v>1</v>
      </c>
      <c r="I160" s="31">
        <f>('BY,2050 demands'!M30+I159-I158)*1.5</f>
        <v>1272.6972096143929</v>
      </c>
    </row>
    <row r="163" spans="2:17">
      <c r="G163" s="23" t="s">
        <v>166</v>
      </c>
    </row>
    <row r="164" spans="2:17">
      <c r="B164" s="63" t="s">
        <v>92</v>
      </c>
      <c r="C164" s="68" t="s">
        <v>1</v>
      </c>
      <c r="D164" s="68" t="s">
        <v>91</v>
      </c>
      <c r="E164" s="67" t="s">
        <v>90</v>
      </c>
      <c r="F164" s="66" t="s">
        <v>89</v>
      </c>
      <c r="G164" s="66" t="s">
        <v>0</v>
      </c>
      <c r="H164" s="64" t="s">
        <v>88</v>
      </c>
      <c r="I164" s="65" t="s">
        <v>87</v>
      </c>
      <c r="J164" s="64" t="s">
        <v>165</v>
      </c>
      <c r="K164" s="63" t="s">
        <v>85</v>
      </c>
    </row>
    <row r="165" spans="2:17">
      <c r="B165" s="23" t="s">
        <v>164</v>
      </c>
      <c r="C165" s="23" t="s">
        <v>162</v>
      </c>
      <c r="D165" s="23" t="s">
        <v>80</v>
      </c>
      <c r="E165" s="23" t="s">
        <v>82</v>
      </c>
      <c r="F165" s="23" t="s">
        <v>78</v>
      </c>
      <c r="G165" s="23">
        <v>2010</v>
      </c>
      <c r="H165" s="23">
        <v>1</v>
      </c>
      <c r="I165" s="31">
        <f>'BY,2050 demands'!L31*1.01</f>
        <v>419.75337628020031</v>
      </c>
      <c r="J165" s="23">
        <v>15</v>
      </c>
      <c r="K165" s="23" t="s">
        <v>163</v>
      </c>
    </row>
    <row r="166" spans="2:17">
      <c r="C166" s="23" t="s">
        <v>162</v>
      </c>
      <c r="D166" s="23" t="s">
        <v>80</v>
      </c>
      <c r="E166" s="23" t="s">
        <v>82</v>
      </c>
      <c r="F166" s="23" t="s">
        <v>78</v>
      </c>
      <c r="G166" s="23">
        <v>2020</v>
      </c>
      <c r="H166" s="23">
        <v>1</v>
      </c>
      <c r="I166" s="31">
        <f>I165+130/1445*I165</f>
        <v>457.51665580713876</v>
      </c>
    </row>
    <row r="167" spans="2:17">
      <c r="C167" s="23" t="s">
        <v>162</v>
      </c>
      <c r="D167" s="23" t="s">
        <v>80</v>
      </c>
      <c r="E167" s="23" t="s">
        <v>82</v>
      </c>
      <c r="F167" s="23" t="s">
        <v>78</v>
      </c>
      <c r="G167" s="23">
        <v>2050</v>
      </c>
      <c r="H167" s="23">
        <v>1</v>
      </c>
      <c r="I167" s="31">
        <f>('BY,2050 demands'!M31+I166-I165)*1.5</f>
        <v>685.50609199509404</v>
      </c>
    </row>
    <row r="170" spans="2:17">
      <c r="G170" s="23" t="s">
        <v>166</v>
      </c>
    </row>
    <row r="171" spans="2:17">
      <c r="B171" s="63" t="s">
        <v>92</v>
      </c>
      <c r="C171" s="68" t="s">
        <v>1</v>
      </c>
      <c r="D171" s="68" t="s">
        <v>91</v>
      </c>
      <c r="E171" s="67" t="s">
        <v>90</v>
      </c>
      <c r="F171" s="66" t="s">
        <v>89</v>
      </c>
      <c r="G171" s="66" t="s">
        <v>0</v>
      </c>
      <c r="H171" s="64" t="s">
        <v>88</v>
      </c>
      <c r="I171" s="73" t="s">
        <v>5</v>
      </c>
      <c r="J171" s="64" t="s">
        <v>165</v>
      </c>
      <c r="K171" s="63" t="s">
        <v>85</v>
      </c>
    </row>
    <row r="172" spans="2:17">
      <c r="B172" s="23" t="s">
        <v>174</v>
      </c>
      <c r="C172" s="23" t="s">
        <v>170</v>
      </c>
      <c r="D172" s="23" t="s">
        <v>80</v>
      </c>
      <c r="E172" s="23" t="s">
        <v>84</v>
      </c>
      <c r="F172" s="23" t="s">
        <v>78</v>
      </c>
      <c r="G172" s="23">
        <v>2010</v>
      </c>
      <c r="H172" s="23">
        <v>1</v>
      </c>
      <c r="I172" s="31">
        <f>'BY,2050 demands'!L27*1.01</f>
        <v>93.23074475954914</v>
      </c>
      <c r="J172" s="23">
        <v>15</v>
      </c>
      <c r="K172" s="23" t="s">
        <v>173</v>
      </c>
    </row>
    <row r="173" spans="2:17">
      <c r="C173" s="23" t="s">
        <v>170</v>
      </c>
      <c r="D173" s="23" t="s">
        <v>80</v>
      </c>
      <c r="E173" s="23" t="s">
        <v>84</v>
      </c>
      <c r="F173" s="23" t="s">
        <v>78</v>
      </c>
      <c r="G173" s="23">
        <v>2050</v>
      </c>
      <c r="H173" s="23">
        <v>1</v>
      </c>
      <c r="I173" s="31">
        <f>'BY,2050 demands'!M27*1.5</f>
        <v>324.73831575221595</v>
      </c>
    </row>
    <row r="176" spans="2:17">
      <c r="G176" s="23" t="s">
        <v>166</v>
      </c>
      <c r="P176" s="7"/>
      <c r="Q176" s="70"/>
    </row>
    <row r="177" spans="2:11">
      <c r="B177" s="63" t="s">
        <v>92</v>
      </c>
      <c r="C177" s="68" t="s">
        <v>1</v>
      </c>
      <c r="D177" s="68" t="s">
        <v>91</v>
      </c>
      <c r="E177" s="67" t="s">
        <v>90</v>
      </c>
      <c r="F177" s="66" t="s">
        <v>89</v>
      </c>
      <c r="G177" s="66" t="s">
        <v>0</v>
      </c>
      <c r="H177" s="64" t="s">
        <v>88</v>
      </c>
      <c r="I177" s="73" t="s">
        <v>5</v>
      </c>
      <c r="J177" s="64" t="s">
        <v>165</v>
      </c>
      <c r="K177" s="63" t="s">
        <v>85</v>
      </c>
    </row>
    <row r="178" spans="2:11">
      <c r="B178" s="23" t="s">
        <v>172</v>
      </c>
      <c r="C178" s="23" t="s">
        <v>170</v>
      </c>
      <c r="D178" s="23" t="s">
        <v>80</v>
      </c>
      <c r="E178" s="23" t="s">
        <v>83</v>
      </c>
      <c r="F178" s="23" t="s">
        <v>78</v>
      </c>
      <c r="G178" s="23">
        <v>2010</v>
      </c>
      <c r="H178" s="23">
        <v>1</v>
      </c>
      <c r="I178" s="31">
        <f>'BY,2050 demands'!L28*1.01</f>
        <v>158.76429947835496</v>
      </c>
      <c r="J178" s="23">
        <v>15</v>
      </c>
      <c r="K178" s="23" t="s">
        <v>171</v>
      </c>
    </row>
    <row r="179" spans="2:11">
      <c r="C179" s="23" t="s">
        <v>170</v>
      </c>
      <c r="D179" s="23" t="s">
        <v>80</v>
      </c>
      <c r="E179" s="23" t="s">
        <v>83</v>
      </c>
      <c r="F179" s="23" t="s">
        <v>78</v>
      </c>
      <c r="G179" s="23">
        <v>2050</v>
      </c>
      <c r="H179" s="23">
        <v>1</v>
      </c>
      <c r="I179" s="7">
        <f>'BY,2050 demands'!M28*1.5</f>
        <v>553.00267467723813</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V202"/>
  <sheetViews>
    <sheetView tabSelected="1" topLeftCell="A6" zoomScaleNormal="100" workbookViewId="0">
      <selection activeCell="B10" sqref="B10"/>
    </sheetView>
  </sheetViews>
  <sheetFormatPr defaultColWidth="9.109375" defaultRowHeight="14.4"/>
  <cols>
    <col min="1" max="1" width="9.109375" style="39"/>
    <col min="2" max="2" width="29.88671875" style="39" bestFit="1" customWidth="1"/>
    <col min="3" max="3" width="16.33203125" style="39" bestFit="1" customWidth="1"/>
    <col min="4" max="4" width="13.6640625" style="39" bestFit="1" customWidth="1"/>
    <col min="5" max="5" width="16.33203125" style="39" bestFit="1" customWidth="1"/>
    <col min="6" max="8" width="9.109375" style="39"/>
    <col min="9" max="10" width="12.5546875" style="39" bestFit="1" customWidth="1"/>
    <col min="11" max="11" width="11.88671875" style="39" bestFit="1" customWidth="1"/>
    <col min="12" max="19" width="9.109375" style="39"/>
    <col min="20" max="20" width="8.88671875"/>
    <col min="21" max="21" width="10" style="39" bestFit="1" customWidth="1"/>
    <col min="22" max="22" width="9.109375" style="39" customWidth="1"/>
    <col min="23" max="26" width="9.109375" style="39"/>
    <col min="27" max="27" width="14" style="39" bestFit="1" customWidth="1"/>
    <col min="28" max="28" width="10" style="39" bestFit="1" customWidth="1"/>
    <col min="29" max="29" width="9.109375" style="39"/>
    <col min="30" max="30" width="26.44140625" style="39" customWidth="1"/>
    <col min="31" max="35" width="9.109375" style="39"/>
    <col min="36" max="48" width="9.109375" style="39" customWidth="1"/>
    <col min="49" max="16384" width="9.109375" style="39"/>
  </cols>
  <sheetData>
    <row r="1" spans="1:48">
      <c r="A1" s="23" t="s">
        <v>108</v>
      </c>
      <c r="B1" s="23"/>
      <c r="AG1" s="99" t="s">
        <v>351</v>
      </c>
      <c r="AR1" s="99" t="s">
        <v>334</v>
      </c>
    </row>
    <row r="2" spans="1:48">
      <c r="A2" s="23"/>
      <c r="B2" s="72" t="s">
        <v>107</v>
      </c>
      <c r="AD2" s="39" t="s">
        <v>345</v>
      </c>
      <c r="AO2" s="39" t="s">
        <v>346</v>
      </c>
    </row>
    <row r="3" spans="1:48">
      <c r="A3" s="23"/>
      <c r="B3" s="72" t="s">
        <v>106</v>
      </c>
    </row>
    <row r="4" spans="1:48">
      <c r="A4" s="23"/>
      <c r="B4" s="72"/>
      <c r="T4" s="23"/>
    </row>
    <row r="5" spans="1:48">
      <c r="A5" s="23"/>
      <c r="B5" s="23"/>
      <c r="C5" s="23"/>
      <c r="D5" s="23"/>
      <c r="E5" s="23"/>
      <c r="F5" s="23"/>
      <c r="G5" s="23" t="s">
        <v>99</v>
      </c>
      <c r="H5" s="23"/>
      <c r="I5" s="23"/>
      <c r="J5" s="23"/>
      <c r="K5" s="23"/>
      <c r="L5" s="23"/>
      <c r="M5" s="23"/>
      <c r="N5" s="23"/>
      <c r="O5" s="23"/>
      <c r="P5" s="23"/>
      <c r="Q5" s="23"/>
      <c r="R5" s="23"/>
    </row>
    <row r="6" spans="1:48">
      <c r="B6" s="84" t="s">
        <v>92</v>
      </c>
      <c r="C6" s="88" t="s">
        <v>1</v>
      </c>
      <c r="D6" s="88" t="s">
        <v>91</v>
      </c>
      <c r="E6" s="87" t="s">
        <v>90</v>
      </c>
      <c r="F6" s="86" t="s">
        <v>89</v>
      </c>
      <c r="G6" s="86" t="s">
        <v>0</v>
      </c>
      <c r="H6" s="85" t="s">
        <v>88</v>
      </c>
      <c r="I6" s="85" t="s">
        <v>363</v>
      </c>
      <c r="J6" s="85" t="s">
        <v>352</v>
      </c>
      <c r="K6" s="85" t="s">
        <v>86</v>
      </c>
      <c r="L6" s="84" t="s">
        <v>85</v>
      </c>
      <c r="M6" s="84"/>
      <c r="N6" s="84"/>
      <c r="O6" s="84"/>
      <c r="P6" s="84"/>
      <c r="Q6" s="84"/>
      <c r="R6" s="84"/>
      <c r="AE6" s="39" t="s">
        <v>84</v>
      </c>
      <c r="AF6" s="39" t="s">
        <v>83</v>
      </c>
      <c r="AG6" s="39" t="s">
        <v>82</v>
      </c>
      <c r="AH6" s="39" t="s">
        <v>79</v>
      </c>
      <c r="AK6" s="39" t="s">
        <v>350</v>
      </c>
      <c r="AP6" s="39" t="s">
        <v>84</v>
      </c>
      <c r="AQ6" s="39" t="s">
        <v>83</v>
      </c>
      <c r="AR6" s="39" t="s">
        <v>82</v>
      </c>
      <c r="AS6" s="39" t="s">
        <v>79</v>
      </c>
    </row>
    <row r="7" spans="1:48">
      <c r="B7" s="23" t="str">
        <f>IF(I7=99999,"*","UC_Up_"&amp;V7&amp;"-"&amp;W7&amp;"_"&amp;X7)</f>
        <v>UC_Up_Walk-Bike_TPXS</v>
      </c>
      <c r="C7" s="39" t="str">
        <f>VLOOKUP(U7,$AU$7:$AV$16,2,FALSE)&amp;","&amp;VLOOKUP(W7,$AU$7:$AV$16,2,FALSE)</f>
        <v>TPWALK,TPBI*</v>
      </c>
      <c r="D7" s="39" t="str">
        <f>IF(U7="Bike","BIKEcom,TRA*",IF(W7="Bike","BIKEcom,TRA*",IF(U7="Gang","BIKEcom,TRA*",IF(W7="Gang","BIKEcom,TRA*","TRA*"))))</f>
        <v>BIKEcom,TRA*</v>
      </c>
      <c r="E7" s="39" t="str">
        <f t="shared" ref="E7:E8" si="0">X7</f>
        <v>TPXS</v>
      </c>
      <c r="F7" s="39" t="s">
        <v>78</v>
      </c>
      <c r="G7" s="39">
        <v>2010</v>
      </c>
      <c r="H7" s="39">
        <v>1</v>
      </c>
      <c r="I7" s="39">
        <f t="array" ref="I7">INDEX($AE$7:$AH$63,MATCH($V7&amp;$W7,$AA$7:$AA$63&amp;$AB$7:$AB$63,0),MATCH($E7,$AE$6:$AH$6,0))+INDEX('LTM data'!$D$47:$W$66,MATCH(RIGHT(I$6,4)&amp;'Couple Potential'!$X7,'LTM data'!$A$47:$A$66&amp;'LTM data'!$C$47:$C$66,0),MATCH('Couple Potential'!$W7,'LTM data'!$D$46:$W$46,0))+INDEX('LTM data'!$D$47:$W$66,MATCH(RIGHT(I$6,4)&amp;'Couple Potential'!$X7,'LTM data'!$A$47:$A$66&amp;'LTM data'!$C$47:$C$66,0),MATCH('Couple Potential'!$V7,'LTM data'!$D$46:$W$46,0))</f>
        <v>5061.6707847999996</v>
      </c>
      <c r="J7" s="39">
        <f t="array" ref="J7">INDEX($AE$7:$AH$63,MATCH($V7&amp;$W7,$AA$7:$AA$63&amp;$AB$7:$AB$63,0),MATCH($E7,$AE$6:$AH$6,0))+INDEX('LTM data'!$D$47:$W$66,MATCH(RIGHT(J$6,4)&amp;'Couple Potential'!$X7,'LTM data'!$A$47:$A$66&amp;'LTM data'!$C$47:$C$66,0),MATCH('Couple Potential'!$W7,'LTM data'!$D$46:$W$46,0))+INDEX('LTM data'!$D$47:$W$66,MATCH(RIGHT(J$6,4)&amp;'Couple Potential'!$X7,'LTM data'!$A$47:$A$66&amp;'LTM data'!$C$47:$C$66,0),MATCH('Couple Potential'!$V7,'LTM data'!$D$46:$W$46,0))</f>
        <v>5401.2661713702109</v>
      </c>
      <c r="K7" s="39">
        <v>15</v>
      </c>
      <c r="L7" s="23" t="str">
        <f t="array" ref="L7">"Max production of "&amp;E7&amp;" travel demand by "&amp;V7&amp;" and "&amp;W7</f>
        <v>Max production of TPXS travel demand by Walk and Bike</v>
      </c>
      <c r="M7" s="23"/>
      <c r="N7" s="23"/>
      <c r="O7" s="23"/>
      <c r="P7" s="23"/>
      <c r="Q7" s="23"/>
      <c r="R7" s="23"/>
      <c r="U7" s="39" t="s">
        <v>349</v>
      </c>
      <c r="V7" s="40" t="s">
        <v>65</v>
      </c>
      <c r="W7" s="39" t="s">
        <v>66</v>
      </c>
      <c r="X7" s="39" t="s">
        <v>84</v>
      </c>
      <c r="AA7" s="39" t="s">
        <v>65</v>
      </c>
      <c r="AB7" s="39" t="s">
        <v>66</v>
      </c>
      <c r="AD7" s="39" t="s">
        <v>333</v>
      </c>
      <c r="AE7" s="40">
        <f t="array" ref="AE7">IF(AP7=0,99999,AP7-(INDEX($AK$8:$AK$67,MATCH($AB7&amp;AE$6,$AM$8:$AM$67&amp;$AL$8:$AL$67,0))+INDEX($AK$8:$AK$67,MATCH($AA7&amp;AE$6,$AM$8:$AM$67&amp;$AL$8:$AL$67,0))))</f>
        <v>3148.8367877514174</v>
      </c>
      <c r="AF7" s="40">
        <f t="array" ref="AF7">IF(AQ7=0,99999,AQ7-(INDEX($AK$8:$AK$67,MATCH($AB7&amp;AF$6,$AM$8:$AM$67&amp;$AL$8:$AL$67,0))+INDEX($AK$8:$AK$67,MATCH($AA7&amp;AF$6,$AM$8:$AM$67&amp;$AL$8:$AL$67,0))))</f>
        <v>6053.7444654963019</v>
      </c>
      <c r="AG7" s="104">
        <f t="array" ref="AG7">IF(AR7=0,99999,AR7-(INDEX($AK$8:$AK$67,MATCH($AB7&amp;AG$6,$AM$8:$AM$67&amp;$AL$8:$AL$67,0))+INDEX($AK$8:$AK$67,MATCH($AA7&amp;AG$6,$AM$8:$AM$67&amp;$AL$8:$AL$67,0))))</f>
        <v>99999</v>
      </c>
      <c r="AH7" s="104">
        <f t="array" ref="AH7">IF(AS7=0,99999,AS7-(INDEX($AK$8:$AK$67,MATCH($AB7&amp;AH$6,$AM$8:$AM$67&amp;$AL$8:$AL$67,0))+INDEX($AK$8:$AK$67,MATCH($AA7&amp;AH$6,$AM$8:$AM$67&amp;$AL$8:$AL$67,0))))</f>
        <v>99999</v>
      </c>
      <c r="AK7" s="39">
        <v>2010</v>
      </c>
      <c r="AO7" s="39" t="s">
        <v>333</v>
      </c>
      <c r="AP7" s="40">
        <v>5061.6707847999996</v>
      </c>
      <c r="AQ7" s="40">
        <v>7079.2555143</v>
      </c>
      <c r="AR7" s="40">
        <v>0</v>
      </c>
      <c r="AS7" s="40">
        <v>0</v>
      </c>
      <c r="AT7" s="40"/>
      <c r="AU7" s="40" t="s">
        <v>72</v>
      </c>
      <c r="AV7" s="40" t="s">
        <v>81</v>
      </c>
    </row>
    <row r="8" spans="1:48">
      <c r="B8" s="23" t="str">
        <f t="shared" ref="B8:B71" si="1">IF(I8=99999,"*","UC_Up_"&amp;V8&amp;"-"&amp;W8&amp;"_"&amp;X8)</f>
        <v>UC_Up_Walk-Public bus_TPXS</v>
      </c>
      <c r="C8" s="39" t="str">
        <f t="shared" ref="C8:C71" si="2">VLOOKUP(U8,$AU$7:$AV$16,2,FALSE)&amp;","&amp;VLOOKUP(W8,$AU$7:$AV$16,2,FALSE)</f>
        <v>TPWALK,TPBU*</v>
      </c>
      <c r="D8" s="39" t="str">
        <f t="shared" ref="D8:D71" si="3">IF(U8="Bike","BIKEcom,TRA*",IF(W8="Bike","BIKEcom,TRA*",IF(U8="Gang","BIKEcom,TRA*",IF(W8="Gang","BIKEcom,TRA*","TRA*"))))</f>
        <v>BIKEcom,TRA*</v>
      </c>
      <c r="E8" s="39" t="str">
        <f t="shared" si="0"/>
        <v>TPXS</v>
      </c>
      <c r="F8" s="39" t="s">
        <v>78</v>
      </c>
      <c r="G8" s="39">
        <v>2010</v>
      </c>
      <c r="H8" s="39">
        <v>1</v>
      </c>
      <c r="I8" s="140" cm="1">
        <f t="array" ref="I8">INDEX($AE$7:$AH$63,MATCH($V8&amp;$W8,$AA$7:$AA$63&amp;$AB$7:$AB$63,0),MATCH($E8,$AE$6:$AH$6,0))+INDEX('LTM data'!$D$47:$W$66,MATCH(RIGHT(I$6,4)&amp;'Couple Potential'!$X8,'LTM data'!$A$47:$A$66&amp;'LTM data'!$C$47:$C$66,0),MATCH('Couple Potential'!$W8,'LTM data'!$D$46:$W$46,0))+INDEX('LTM data'!$D$47:$W$66,MATCH(RIGHT(I$6,4)&amp;'Couple Potential'!$X8,'LTM data'!$A$47:$A$66&amp;'LTM data'!$C$47:$C$66,0),MATCH('Couple Potential'!$V8,'LTM data'!$D$46:$W$46,0))</f>
        <v>6178.3132096999989</v>
      </c>
      <c r="J8" s="39">
        <f t="array" ref="J8">INDEX($AE$7:$AH$63,MATCH($V8&amp;$W8,$AA$7:$AA$63&amp;$AB$7:$AB$63,0),MATCH($E8,$AE$6:$AH$6,0))+INDEX('LTM data'!$D$47:$W$66,MATCH(RIGHT(J$6,4)&amp;'Couple Potential'!$X8,'LTM data'!$A$47:$A$66&amp;'LTM data'!$C$47:$C$66,0),MATCH('Couple Potential'!$W8,'LTM data'!$D$46:$W$46,0))+INDEX('LTM data'!$D$47:$W$66,MATCH(RIGHT(J$6,4)&amp;'Couple Potential'!$X8,'LTM data'!$A$47:$A$66&amp;'LTM data'!$C$47:$C$66,0),MATCH('Couple Potential'!$V8,'LTM data'!$D$46:$W$46,0))</f>
        <v>6265.4993726541452</v>
      </c>
      <c r="K8" s="39">
        <v>15</v>
      </c>
      <c r="L8" s="23" t="str">
        <f t="array" ref="L8">"Max production of "&amp;E8&amp;" travel demand by "&amp;V8&amp;" and "&amp;W8</f>
        <v>Max production of TPXS travel demand by Walk and Public bus</v>
      </c>
      <c r="M8" s="23"/>
      <c r="N8" s="23"/>
      <c r="O8" s="23"/>
      <c r="P8" s="23"/>
      <c r="Q8" s="23"/>
      <c r="R8" s="23"/>
      <c r="U8" s="39" t="s">
        <v>349</v>
      </c>
      <c r="V8" s="40" t="s">
        <v>65</v>
      </c>
      <c r="W8" s="39" t="s">
        <v>71</v>
      </c>
      <c r="X8" s="39" t="s">
        <v>84</v>
      </c>
      <c r="AA8" s="39" t="s">
        <v>65</v>
      </c>
      <c r="AB8" s="39" t="s">
        <v>71</v>
      </c>
      <c r="AD8" s="39" t="s">
        <v>332</v>
      </c>
      <c r="AE8" s="40">
        <f t="array" ref="AE8">IF(AP8=0,99999,AP8-(INDEX($AK$8:$AK$67,MATCH($AB8&amp;AE$6,$AM$8:$AM$67&amp;$AL$8:$AL$67,0))+INDEX($AK$8:$AK$67,MATCH($AA8&amp;AE$6,$AM$8:$AM$67&amp;$AL$8:$AL$67,0))))</f>
        <v>5050.3359294205384</v>
      </c>
      <c r="AF8" s="40">
        <f t="array" ref="AF8">IF(AQ8=0,99999,AQ8-(INDEX($AK$8:$AK$67,MATCH($AB8&amp;AF$6,$AM$8:$AM$67&amp;$AL$8:$AL$67,0))+INDEX($AK$8:$AK$67,MATCH($AA8&amp;AF$6,$AM$8:$AM$67&amp;$AL$8:$AL$67,0))))</f>
        <v>21829.228706037182</v>
      </c>
      <c r="AG8" s="104">
        <f t="array" ref="AG8">IF(AR8=0,99999,AR8-(INDEX($AK$8:$AK$67,MATCH($AB8&amp;AG$6,$AM$8:$AM$67&amp;$AL$8:$AL$67,0))+INDEX($AK$8:$AK$67,MATCH($AA8&amp;AG$6,$AM$8:$AM$67&amp;$AL$8:$AL$67,0))))</f>
        <v>99999</v>
      </c>
      <c r="AH8" s="104">
        <f t="array" ref="AH8">IF(AS8=0,99999,AS8-(INDEX($AK$8:$AK$67,MATCH($AB8&amp;AH$6,$AM$8:$AM$67&amp;$AL$8:$AL$67,0))+INDEX($AK$8:$AK$67,MATCH($AA8&amp;AH$6,$AM$8:$AM$67&amp;$AL$8:$AL$67,0))))</f>
        <v>99999</v>
      </c>
      <c r="AJ8" s="39" t="s">
        <v>273</v>
      </c>
      <c r="AK8" s="39">
        <v>3299.2424660314218</v>
      </c>
      <c r="AL8" s="39" t="s">
        <v>84</v>
      </c>
      <c r="AM8" s="39" t="s">
        <v>72</v>
      </c>
      <c r="AO8" s="39" t="s">
        <v>332</v>
      </c>
      <c r="AP8" s="40">
        <v>6178.3132096999998</v>
      </c>
      <c r="AQ8" s="40">
        <v>23564.6828766</v>
      </c>
      <c r="AR8" s="40">
        <v>0</v>
      </c>
      <c r="AS8" s="40">
        <v>0</v>
      </c>
      <c r="AT8" s="40"/>
      <c r="AU8" s="40" t="s">
        <v>66</v>
      </c>
      <c r="AV8" s="40" t="s">
        <v>147</v>
      </c>
    </row>
    <row r="9" spans="1:48">
      <c r="B9" s="23" t="s">
        <v>467</v>
      </c>
      <c r="C9" s="39" t="str">
        <f t="shared" si="2"/>
        <v>TPWALK,TPRO*</v>
      </c>
      <c r="D9" s="39" t="str">
        <f t="shared" si="3"/>
        <v>BIKEcom,TRA*</v>
      </c>
      <c r="E9" s="39" t="str">
        <f t="shared" ref="E9:E40" si="4">X9</f>
        <v>TPXS</v>
      </c>
      <c r="F9" s="39" t="s">
        <v>78</v>
      </c>
      <c r="G9" s="39">
        <v>2010</v>
      </c>
      <c r="H9" s="39">
        <v>1</v>
      </c>
      <c r="I9" s="39">
        <f t="array" ref="I9">INDEX($AE$7:$AH$63,MATCH($V9&amp;$W9,$AA$7:$AA$63&amp;$AB$7:$AB$63,0),MATCH($E9,$AE$6:$AH$6,0))+INDEX('LTM data'!$D$47:$W$66,MATCH(RIGHT(I$6,4)&amp;'Couple Potential'!$X9,'LTM data'!$A$47:$A$66&amp;'LTM data'!$C$47:$C$66,0),MATCH('Couple Potential'!$W9,'LTM data'!$D$46:$W$46,0))+INDEX('LTM data'!$D$47:$W$66,MATCH(RIGHT(I$6,4)&amp;'Couple Potential'!$X9,'LTM data'!$A$47:$A$66&amp;'LTM data'!$C$47:$C$66,0),MATCH('Couple Potential'!$V9,'LTM data'!$D$46:$W$46,0))</f>
        <v>100537.26410683323</v>
      </c>
      <c r="J9" s="39">
        <f t="array" ref="J9">INDEX($AE$7:$AH$63,MATCH($V9&amp;$W9,$AA$7:$AA$63&amp;$AB$7:$AB$63,0),MATCH($E9,$AE$6:$AH$6,0))+INDEX('LTM data'!$D$47:$W$66,MATCH(RIGHT(J$6,4)&amp;'Couple Potential'!$X9,'LTM data'!$A$47:$A$66&amp;'LTM data'!$C$47:$C$66,0),MATCH('Couple Potential'!$W9,'LTM data'!$D$46:$W$46,0))+INDEX('LTM data'!$D$47:$W$66,MATCH(RIGHT(J$6,4)&amp;'Couple Potential'!$X9,'LTM data'!$A$47:$A$66&amp;'LTM data'!$C$47:$C$66,0),MATCH('Couple Potential'!$V9,'LTM data'!$D$46:$W$46,0))</f>
        <v>100674.91406779917</v>
      </c>
      <c r="K9" s="39">
        <v>15</v>
      </c>
      <c r="L9" s="23" t="str">
        <f t="array" ref="L9">"Max production of "&amp;E9&amp;" travel demand by "&amp;V9&amp;" and "&amp;W9</f>
        <v>Max production of TPXS travel demand by Walk and Train</v>
      </c>
      <c r="M9" s="23"/>
      <c r="N9" s="23"/>
      <c r="O9" s="23"/>
      <c r="P9" s="23"/>
      <c r="Q9" s="23"/>
      <c r="R9" s="23"/>
      <c r="U9" s="39" t="s">
        <v>349</v>
      </c>
      <c r="V9" s="40" t="s">
        <v>65</v>
      </c>
      <c r="W9" s="39" t="s">
        <v>69</v>
      </c>
      <c r="X9" s="39" t="s">
        <v>84</v>
      </c>
      <c r="AA9" s="39" t="s">
        <v>362</v>
      </c>
      <c r="AB9" s="39" t="s">
        <v>353</v>
      </c>
      <c r="AD9" s="39" t="s">
        <v>331</v>
      </c>
      <c r="AE9" s="40">
        <f t="array" ref="AE9">IF(AP9=0,99999,AP9-(INDEX($AK$8:$AK$67,MATCH($AB9&amp;AE$6,$AM$8:$AM$67&amp;$AL$8:$AL$67,0))+INDEX($AK$8:$AK$67,MATCH($AA9&amp;AE$6,$AM$8:$AM$67&amp;$AL$8:$AL$67,0))))</f>
        <v>2451.0010133596088</v>
      </c>
      <c r="AF9" s="40">
        <f t="array" ref="AF9">IF(AQ9=0,99999,AQ9-(INDEX($AK$8:$AK$67,MATCH($AB9&amp;AF$6,$AM$8:$AM$67&amp;$AL$8:$AL$67,0))+INDEX($AK$8:$AK$67,MATCH($AA9&amp;AF$6,$AM$8:$AM$67&amp;$AL$8:$AL$67,0))))</f>
        <v>9460.4725924445338</v>
      </c>
      <c r="AG9" s="104">
        <f t="array" ref="AG9">IF(AR9=0,99999,AR9-(INDEX($AK$8:$AK$67,MATCH($AB9&amp;AG$6,$AM$8:$AM$67&amp;$AL$8:$AL$67,0))+INDEX($AK$8:$AK$67,MATCH($AA9&amp;AG$6,$AM$8:$AM$67&amp;$AL$8:$AL$67,0))))</f>
        <v>99999</v>
      </c>
      <c r="AH9" s="104">
        <f t="array" ref="AH9">IF(AS9=0,99999,AS9-(INDEX($AK$8:$AK$67,MATCH($AB9&amp;AH$6,$AM$8:$AM$67&amp;$AL$8:$AL$67,0))+INDEX($AK$8:$AK$67,MATCH($AA9&amp;AH$6,$AM$8:$AM$67&amp;$AL$8:$AL$67,0))))</f>
        <v>99999</v>
      </c>
      <c r="AJ9" s="39" t="s">
        <v>22</v>
      </c>
      <c r="AK9" s="39">
        <v>15830.087400313731</v>
      </c>
      <c r="AL9" s="39" t="s">
        <v>83</v>
      </c>
      <c r="AM9" s="39" t="s">
        <v>72</v>
      </c>
      <c r="AO9" s="39" t="s">
        <v>331</v>
      </c>
      <c r="AP9" s="40">
        <v>2858.7175876000001</v>
      </c>
      <c r="AQ9" s="40">
        <v>10256.5660486</v>
      </c>
      <c r="AR9" s="100">
        <v>0</v>
      </c>
      <c r="AS9" s="40">
        <v>0</v>
      </c>
      <c r="AT9" s="40"/>
      <c r="AU9" s="39" t="s">
        <v>349</v>
      </c>
      <c r="AV9" s="40" t="s">
        <v>348</v>
      </c>
    </row>
    <row r="10" spans="1:48">
      <c r="B10" s="23" t="s">
        <v>466</v>
      </c>
      <c r="C10" s="39" t="str">
        <f t="shared" si="2"/>
        <v>TPWALK,TPCO*</v>
      </c>
      <c r="D10" s="39" t="str">
        <f t="shared" si="3"/>
        <v>BIKEcom,TRA*</v>
      </c>
      <c r="E10" s="39" t="str">
        <f t="shared" si="4"/>
        <v>TPXS</v>
      </c>
      <c r="F10" s="39" t="s">
        <v>78</v>
      </c>
      <c r="G10" s="39">
        <v>2010</v>
      </c>
      <c r="H10" s="39">
        <v>1</v>
      </c>
      <c r="I10" s="39">
        <f t="array" ref="I10">INDEX($AE$7:$AH$63,MATCH($V10&amp;$W10,$AA$7:$AA$63&amp;$AB$7:$AB$63,0),MATCH($E10,$AE$6:$AH$6,0))+INDEX('LTM data'!$D$47:$W$66,MATCH(RIGHT(I$6,4)&amp;'Couple Potential'!$X10,'LTM data'!$A$47:$A$66&amp;'LTM data'!$C$47:$C$66,0),MATCH('Couple Potential'!$W10,'LTM data'!$D$46:$W$46,0))+INDEX('LTM data'!$D$47:$W$66,MATCH(RIGHT(I$6,4)&amp;'Couple Potential'!$X10,'LTM data'!$A$47:$A$66&amp;'LTM data'!$C$47:$C$66,0),MATCH('Couple Potential'!$V10,'LTM data'!$D$46:$W$46,0))</f>
        <v>100537.26410683323</v>
      </c>
      <c r="J10" s="39">
        <f t="array" ref="J10">INDEX($AE$7:$AH$63,MATCH($V10&amp;$W10,$AA$7:$AA$63&amp;$AB$7:$AB$63,0),MATCH($E10,$AE$6:$AH$6,0))+INDEX('LTM data'!$D$47:$W$66,MATCH(RIGHT(J$6,4)&amp;'Couple Potential'!$X10,'LTM data'!$A$47:$A$66&amp;'LTM data'!$C$47:$C$66,0),MATCH('Couple Potential'!$W10,'LTM data'!$D$46:$W$46,0))+INDEX('LTM data'!$D$47:$W$66,MATCH(RIGHT(J$6,4)&amp;'Couple Potential'!$X10,'LTM data'!$A$47:$A$66&amp;'LTM data'!$C$47:$C$66,0),MATCH('Couple Potential'!$V10,'LTM data'!$D$46:$W$46,0))</f>
        <v>100674.91406779917</v>
      </c>
      <c r="K10" s="39">
        <v>15</v>
      </c>
      <c r="L10" s="23" t="str">
        <f t="array" ref="L10">"Max production of "&amp;E10&amp;" travel demand by "&amp;V10&amp;" and "&amp;W10</f>
        <v>Max production of TPXS travel demand by Walk and Coach</v>
      </c>
      <c r="M10" s="23"/>
      <c r="N10" s="23"/>
      <c r="O10" s="23"/>
      <c r="P10" s="23"/>
      <c r="Q10" s="23"/>
      <c r="R10" s="23"/>
      <c r="U10" s="39" t="s">
        <v>349</v>
      </c>
      <c r="V10" s="40" t="s">
        <v>65</v>
      </c>
      <c r="W10" s="39" t="s">
        <v>70</v>
      </c>
      <c r="X10" s="39" t="s">
        <v>84</v>
      </c>
      <c r="AA10" s="39" t="s">
        <v>362</v>
      </c>
      <c r="AB10" s="39" t="s">
        <v>355</v>
      </c>
      <c r="AD10" s="39" t="s">
        <v>330</v>
      </c>
      <c r="AE10" s="40">
        <f t="array" ref="AE10">IF(AP10=0,99999,AP10-(INDEX($AK$8:$AK$67,MATCH($AB10&amp;AE$6,$AM$8:$AM$67&amp;$AL$8:$AL$67,0))+INDEX($AK$8:$AK$67,MATCH($AA10&amp;AE$6,$AM$8:$AM$67&amp;$AL$8:$AL$67,0))))</f>
        <v>2404.9615737613535</v>
      </c>
      <c r="AF10" s="40">
        <f t="array" ref="AF10">IF(AQ10=0,99999,AQ10-(INDEX($AK$8:$AK$67,MATCH($AB10&amp;AF$6,$AM$8:$AM$67&amp;$AL$8:$AL$67,0))+INDEX($AK$8:$AK$67,MATCH($AA10&amp;AF$6,$AM$8:$AM$67&amp;$AL$8:$AL$67,0))))</f>
        <v>5744.2887507473088</v>
      </c>
      <c r="AG10" s="104">
        <f t="array" ref="AG10">IF(AR10=0,99999,AR10-(INDEX($AK$8:$AK$67,MATCH($AB10&amp;AG$6,$AM$8:$AM$67&amp;$AL$8:$AL$67,0))+INDEX($AK$8:$AK$67,MATCH($AA10&amp;AG$6,$AM$8:$AM$67&amp;$AL$8:$AL$67,0))))</f>
        <v>99999</v>
      </c>
      <c r="AH10" s="104">
        <f t="array" ref="AH10">IF(AS10=0,99999,AS10-(INDEX($AK$8:$AK$67,MATCH($AB10&amp;AH$6,$AM$8:$AM$67&amp;$AL$8:$AL$67,0))+INDEX($AK$8:$AK$67,MATCH($AA10&amp;AH$6,$AM$8:$AM$67&amp;$AL$8:$AL$67,0))))</f>
        <v>99999</v>
      </c>
      <c r="AJ10" s="39" t="s">
        <v>25</v>
      </c>
      <c r="AK10" s="39">
        <v>11434.146431489642</v>
      </c>
      <c r="AL10" s="39" t="s">
        <v>82</v>
      </c>
      <c r="AM10" s="39" t="s">
        <v>72</v>
      </c>
      <c r="AO10" s="39" t="s">
        <v>330</v>
      </c>
      <c r="AP10" s="40">
        <v>2813.6082219</v>
      </c>
      <c r="AQ10" s="40">
        <v>5925.9845699999996</v>
      </c>
      <c r="AR10" s="40">
        <v>0</v>
      </c>
      <c r="AS10" s="40">
        <v>0</v>
      </c>
      <c r="AT10" s="40"/>
      <c r="AU10" s="40" t="s">
        <v>64</v>
      </c>
      <c r="AV10" s="40" t="s">
        <v>142</v>
      </c>
    </row>
    <row r="11" spans="1:48">
      <c r="B11" s="23" t="s">
        <v>465</v>
      </c>
      <c r="C11" s="39" t="str">
        <f t="shared" si="2"/>
        <v>TPWALK,TPMT*</v>
      </c>
      <c r="D11" s="39" t="str">
        <f t="shared" si="3"/>
        <v>BIKEcom,TRA*</v>
      </c>
      <c r="E11" s="39" t="str">
        <f t="shared" si="4"/>
        <v>TPXS</v>
      </c>
      <c r="F11" s="39" t="s">
        <v>78</v>
      </c>
      <c r="G11" s="39">
        <v>2010</v>
      </c>
      <c r="H11" s="39">
        <v>1</v>
      </c>
      <c r="I11" s="39">
        <f t="array" ref="I11">INDEX($AE$7:$AH$63,MATCH($V11&amp;$W11,$AA$7:$AA$63&amp;$AB$7:$AB$63,0),MATCH($E11,$AE$6:$AH$6,0))+INDEX('LTM data'!$D$47:$W$66,MATCH(RIGHT(I$6,4)&amp;'Couple Potential'!$X11,'LTM data'!$A$47:$A$66&amp;'LTM data'!$C$47:$C$66,0),MATCH('Couple Potential'!$W11,'LTM data'!$D$46:$W$46,0))+INDEX('LTM data'!$D$47:$W$66,MATCH(RIGHT(I$6,4)&amp;'Couple Potential'!$X11,'LTM data'!$A$47:$A$66&amp;'LTM data'!$C$47:$C$66,0),MATCH('Couple Potential'!$V11,'LTM data'!$D$46:$W$46,0))</f>
        <v>100537.26410683323</v>
      </c>
      <c r="J11" s="39">
        <f t="array" ref="J11">INDEX($AE$7:$AH$63,MATCH($V11&amp;$W11,$AA$7:$AA$63&amp;$AB$7:$AB$63,0),MATCH($E11,$AE$6:$AH$6,0))+INDEX('LTM data'!$D$47:$W$66,MATCH(RIGHT(J$6,4)&amp;'Couple Potential'!$X11,'LTM data'!$A$47:$A$66&amp;'LTM data'!$C$47:$C$66,0),MATCH('Couple Potential'!$W11,'LTM data'!$D$46:$W$46,0))+INDEX('LTM data'!$D$47:$W$66,MATCH(RIGHT(J$6,4)&amp;'Couple Potential'!$X11,'LTM data'!$A$47:$A$66&amp;'LTM data'!$C$47:$C$66,0),MATCH('Couple Potential'!$V11,'LTM data'!$D$46:$W$46,0))</f>
        <v>100674.91406779917</v>
      </c>
      <c r="K11" s="39">
        <v>15</v>
      </c>
      <c r="L11" s="23" t="str">
        <f t="array" ref="L11">"Max production of "&amp;E11&amp;" travel demand by "&amp;V11&amp;" and "&amp;W11</f>
        <v>Max production of TPXS travel demand by Walk and Moto</v>
      </c>
      <c r="M11" s="23"/>
      <c r="N11" s="23"/>
      <c r="O11" s="23"/>
      <c r="P11" s="23"/>
      <c r="Q11" s="23"/>
      <c r="R11" s="23"/>
      <c r="U11" s="39" t="s">
        <v>349</v>
      </c>
      <c r="V11" s="40" t="s">
        <v>65</v>
      </c>
      <c r="W11" s="39" t="s">
        <v>64</v>
      </c>
      <c r="X11" s="39" t="s">
        <v>84</v>
      </c>
      <c r="AA11" s="39" t="s">
        <v>65</v>
      </c>
      <c r="AB11" s="39" t="s">
        <v>69</v>
      </c>
      <c r="AD11" s="39" t="s">
        <v>329</v>
      </c>
      <c r="AE11" s="104">
        <f t="array" ref="AE11">IF(AP11=0,99999,AP11-(INDEX($AK$8:$AK$67,MATCH($AB11&amp;AE$6,$AM$8:$AM$67&amp;$AL$8:$AL$67,0))+INDEX($AK$8:$AK$67,MATCH($AA11&amp;AE$6,$AM$8:$AM$67&amp;$AL$8:$AL$67,0))))</f>
        <v>99999</v>
      </c>
      <c r="AF11" s="40">
        <f t="array" ref="AF11">IF(AQ11=0,99999,AQ11-(INDEX($AK$8:$AK$67,MATCH($AB11&amp;AF$6,$AM$8:$AM$67&amp;$AL$8:$AL$67,0))+INDEX($AK$8:$AK$67,MATCH($AA11&amp;AF$6,$AM$8:$AM$67&amp;$AL$8:$AL$67,0))))</f>
        <v>23638.419168309832</v>
      </c>
      <c r="AG11" s="104">
        <f t="array" ref="AG11">IF(AR11=0,99999,AR11-(INDEX($AK$8:$AK$67,MATCH($AB11&amp;AG$6,$AM$8:$AM$67&amp;$AL$8:$AL$67,0))+INDEX($AK$8:$AK$67,MATCH($AA11&amp;AG$6,$AM$8:$AM$67&amp;$AL$8:$AL$67,0))))</f>
        <v>99999</v>
      </c>
      <c r="AH11" s="104">
        <f t="array" ref="AH11">IF(AS11=0,99999,AS11-(INDEX($AK$8:$AK$67,MATCH($AB11&amp;AH$6,$AM$8:$AM$67&amp;$AL$8:$AL$67,0))+INDEX($AK$8:$AK$67,MATCH($AA11&amp;AH$6,$AM$8:$AM$67&amp;$AL$8:$AL$67,0))))</f>
        <v>99999</v>
      </c>
      <c r="AJ11" s="39" t="s">
        <v>14</v>
      </c>
      <c r="AK11" s="39">
        <v>21898.978305174383</v>
      </c>
      <c r="AL11" s="39" t="s">
        <v>79</v>
      </c>
      <c r="AM11" s="39" t="s">
        <v>72</v>
      </c>
      <c r="AO11" s="39" t="s">
        <v>329</v>
      </c>
      <c r="AP11" s="100">
        <v>0</v>
      </c>
      <c r="AQ11" s="40">
        <v>24093.4908044</v>
      </c>
      <c r="AR11" s="100">
        <v>0</v>
      </c>
      <c r="AS11" s="100">
        <v>0</v>
      </c>
      <c r="AT11" s="40"/>
      <c r="AU11" s="40" t="s">
        <v>63</v>
      </c>
      <c r="AV11" s="40" t="s">
        <v>133</v>
      </c>
    </row>
    <row r="12" spans="1:48">
      <c r="B12" s="23" t="str">
        <f t="shared" si="1"/>
        <v>UC_Up_Walk-Moped_TPXS</v>
      </c>
      <c r="C12" s="39" t="str">
        <f t="shared" si="2"/>
        <v>TPWALK,TPMP*</v>
      </c>
      <c r="D12" s="39" t="str">
        <f t="shared" si="3"/>
        <v>BIKEcom,TRA*</v>
      </c>
      <c r="E12" s="39" t="str">
        <f t="shared" si="4"/>
        <v>TPXS</v>
      </c>
      <c r="F12" s="39" t="s">
        <v>78</v>
      </c>
      <c r="G12" s="39">
        <v>2010</v>
      </c>
      <c r="H12" s="39">
        <v>1</v>
      </c>
      <c r="I12" s="39">
        <f t="array" ref="I12">INDEX($AE$7:$AH$63,MATCH($V12&amp;$W12,$AA$7:$AA$63&amp;$AB$7:$AB$63,0),MATCH($E12,$AE$6:$AH$6,0))+INDEX('LTM data'!$D$47:$W$66,MATCH(RIGHT(I$6,4)&amp;'Couple Potential'!$X12,'LTM data'!$A$47:$A$66&amp;'LTM data'!$C$47:$C$66,0),MATCH('Couple Potential'!$W12,'LTM data'!$D$46:$W$46,0))+INDEX('LTM data'!$D$47:$W$66,MATCH(RIGHT(I$6,4)&amp;'Couple Potential'!$X12,'LTM data'!$A$47:$A$66&amp;'LTM data'!$C$47:$C$66,0),MATCH('Couple Potential'!$V12,'LTM data'!$D$46:$W$46,0))</f>
        <v>6748.5567726999989</v>
      </c>
      <c r="J12" s="39">
        <f t="array" ref="J12">INDEX($AE$7:$AH$63,MATCH($V12&amp;$W12,$AA$7:$AA$63&amp;$AB$7:$AB$63,0),MATCH($E12,$AE$6:$AH$6,0))+INDEX('LTM data'!$D$47:$W$66,MATCH(RIGHT(J$6,4)&amp;'Couple Potential'!$X12,'LTM data'!$A$47:$A$66&amp;'LTM data'!$C$47:$C$66,0),MATCH('Couple Potential'!$W12,'LTM data'!$D$46:$W$46,0))+INDEX('LTM data'!$D$47:$W$66,MATCH(RIGHT(J$6,4)&amp;'Couple Potential'!$X12,'LTM data'!$A$47:$A$66&amp;'LTM data'!$C$47:$C$66,0),MATCH('Couple Potential'!$V12,'LTM data'!$D$46:$W$46,0))</f>
        <v>6878.968899155605</v>
      </c>
      <c r="K12" s="39">
        <v>15</v>
      </c>
      <c r="L12" s="23" t="str">
        <f t="array" ref="L12">"Max production of "&amp;E12&amp;" travel demand by "&amp;V12&amp;" and "&amp;W12</f>
        <v>Max production of TPXS travel demand by Walk and Moped</v>
      </c>
      <c r="M12" s="23"/>
      <c r="N12" s="23"/>
      <c r="O12" s="23"/>
      <c r="P12" s="23"/>
      <c r="Q12" s="23"/>
      <c r="R12" s="23"/>
      <c r="U12" s="39" t="s">
        <v>349</v>
      </c>
      <c r="V12" s="40" t="s">
        <v>65</v>
      </c>
      <c r="W12" s="39" t="s">
        <v>63</v>
      </c>
      <c r="X12" s="39" t="s">
        <v>84</v>
      </c>
      <c r="AA12" s="39" t="s">
        <v>65</v>
      </c>
      <c r="AB12" s="39" t="s">
        <v>70</v>
      </c>
      <c r="AD12" s="39" t="s">
        <v>328</v>
      </c>
      <c r="AE12" s="104">
        <f t="array" ref="AE12">IF(AP12=0,99999,AP12-(INDEX($AK$8:$AK$67,MATCH($AB12&amp;AE$6,$AM$8:$AM$67&amp;$AL$8:$AL$67,0))+INDEX($AK$8:$AK$67,MATCH($AA12&amp;AE$6,$AM$8:$AM$67&amp;$AL$8:$AL$67,0))))</f>
        <v>99999</v>
      </c>
      <c r="AF12" s="40">
        <f t="array" ref="AF12">IF(AQ12=0,99999,AQ12-(INDEX($AK$8:$AK$67,MATCH($AB12&amp;AF$6,$AM$8:$AM$67&amp;$AL$8:$AL$67,0))+INDEX($AK$8:$AK$67,MATCH($AA12&amp;AF$6,$AM$8:$AM$67&amp;$AL$8:$AL$67,0))))</f>
        <v>24088.223342733145</v>
      </c>
      <c r="AG12" s="104">
        <f t="array" ref="AG12">IF(AR12=0,99999,AR12-(INDEX($AK$8:$AK$67,MATCH($AB12&amp;AG$6,$AM$8:$AM$67&amp;$AL$8:$AL$67,0))+INDEX($AK$8:$AK$67,MATCH($AA12&amp;AG$6,$AM$8:$AM$67&amp;$AL$8:$AL$67,0))))</f>
        <v>99999</v>
      </c>
      <c r="AH12" s="104">
        <f t="array" ref="AH12">IF(AS12=0,99999,AS12-(INDEX($AK$8:$AK$67,MATCH($AB12&amp;AH$6,$AM$8:$AM$67&amp;$AL$8:$AL$67,0))+INDEX($AK$8:$AK$67,MATCH($AA12&amp;AH$6,$AM$8:$AM$67&amp;$AL$8:$AL$67,0))))</f>
        <v>99999</v>
      </c>
      <c r="AJ12" s="39" t="s">
        <v>153</v>
      </c>
      <c r="AK12" s="39">
        <v>1374.569890215354</v>
      </c>
      <c r="AL12" s="39" t="s">
        <v>84</v>
      </c>
      <c r="AM12" s="39" t="s">
        <v>66</v>
      </c>
      <c r="AO12" s="39" t="s">
        <v>328</v>
      </c>
      <c r="AP12" s="100">
        <v>0</v>
      </c>
      <c r="AQ12" s="40">
        <v>24524.457866000001</v>
      </c>
      <c r="AR12" s="100">
        <v>0</v>
      </c>
      <c r="AS12" s="100">
        <v>0</v>
      </c>
      <c r="AT12" s="40"/>
      <c r="AU12" s="40" t="s">
        <v>71</v>
      </c>
      <c r="AV12" s="40" t="s">
        <v>94</v>
      </c>
    </row>
    <row r="13" spans="1:48">
      <c r="B13" s="23" t="str">
        <f t="shared" si="1"/>
        <v>UC_Up_Walk-Car_TPXS</v>
      </c>
      <c r="C13" s="39" t="str">
        <f t="shared" si="2"/>
        <v>TPWALK,TPCA*</v>
      </c>
      <c r="D13" s="39" t="str">
        <f t="shared" si="3"/>
        <v>BIKEcom,TRA*</v>
      </c>
      <c r="E13" s="39" t="str">
        <f t="shared" si="4"/>
        <v>TPXS</v>
      </c>
      <c r="F13" s="39" t="s">
        <v>78</v>
      </c>
      <c r="G13" s="39">
        <v>2010</v>
      </c>
      <c r="H13" s="39">
        <v>1</v>
      </c>
      <c r="I13" s="39">
        <f t="array" ref="I13">INDEX($AE$7:$AH$63,MATCH($V13&amp;$W13,$AA$7:$AA$63&amp;$AB$7:$AB$63,0),MATCH($E13,$AE$6:$AH$6,0))+INDEX('LTM data'!$D$47:$W$66,MATCH(RIGHT(I$6,4)&amp;'Couple Potential'!$X13,'LTM data'!$A$47:$A$66&amp;'LTM data'!$C$47:$C$66,0),MATCH('Couple Potential'!$W13,'LTM data'!$D$46:$W$46,0))+INDEX('LTM data'!$D$47:$W$66,MATCH(RIGHT(I$6,4)&amp;'Couple Potential'!$X13,'LTM data'!$A$47:$A$66&amp;'LTM data'!$C$47:$C$66,0),MATCH('Couple Potential'!$V13,'LTM data'!$D$46:$W$46,0))</f>
        <v>5083.5544876999984</v>
      </c>
      <c r="J13" s="39">
        <f t="array" ref="J13">INDEX($AE$7:$AH$63,MATCH($V13&amp;$W13,$AA$7:$AA$63&amp;$AB$7:$AB$63,0),MATCH($E13,$AE$6:$AH$6,0))+INDEX('LTM data'!$D$47:$W$66,MATCH(RIGHT(J$6,4)&amp;'Couple Potential'!$X13,'LTM data'!$A$47:$A$66&amp;'LTM data'!$C$47:$C$66,0),MATCH('Couple Potential'!$W13,'LTM data'!$D$46:$W$46,0))+INDEX('LTM data'!$D$47:$W$66,MATCH(RIGHT(J$6,4)&amp;'Couple Potential'!$X13,'LTM data'!$A$47:$A$66&amp;'LTM data'!$C$47:$C$66,0),MATCH('Couple Potential'!$V13,'LTM data'!$D$46:$W$46,0))</f>
        <v>6720.9635038861325</v>
      </c>
      <c r="K13" s="39">
        <v>15</v>
      </c>
      <c r="L13" s="23" t="str">
        <f t="array" ref="L13">"Max production of "&amp;E13&amp;" travel demand by "&amp;V13&amp;" and "&amp;W13</f>
        <v>Max production of TPXS travel demand by Walk and Car</v>
      </c>
      <c r="M13" s="23"/>
      <c r="N13" s="23"/>
      <c r="O13" s="23"/>
      <c r="P13" s="23"/>
      <c r="Q13" s="23"/>
      <c r="R13" s="23"/>
      <c r="U13" s="39" t="s">
        <v>349</v>
      </c>
      <c r="V13" s="40" t="s">
        <v>65</v>
      </c>
      <c r="W13" s="39" t="s">
        <v>72</v>
      </c>
      <c r="X13" s="39" t="s">
        <v>84</v>
      </c>
      <c r="AA13" s="39" t="s">
        <v>65</v>
      </c>
      <c r="AB13" s="39" t="s">
        <v>64</v>
      </c>
      <c r="AD13" s="39" t="s">
        <v>327</v>
      </c>
      <c r="AE13" s="104">
        <f t="array" ref="AE13">IF(AP13=0,99999,AP13-(INDEX($AK$8:$AK$67,MATCH($AB13&amp;AE$6,$AM$8:$AM$67&amp;$AL$8:$AL$67,0))+INDEX($AK$8:$AK$67,MATCH($AA13&amp;AE$6,$AM$8:$AM$67&amp;$AL$8:$AL$67,0))))</f>
        <v>99999</v>
      </c>
      <c r="AF13" s="40">
        <f t="array" ref="AF13">IF(AQ13=0,99999,AQ13-(INDEX($AK$8:$AK$67,MATCH($AB13&amp;AF$6,$AM$8:$AM$67&amp;$AL$8:$AL$67,0))+INDEX($AK$8:$AK$67,MATCH($AA13&amp;AF$6,$AM$8:$AM$67&amp;$AL$8:$AL$67,0))))</f>
        <v>24439.990991235765</v>
      </c>
      <c r="AG13" s="104">
        <f t="array" ref="AG13">IF(AR13=0,99999,AR13-(INDEX($AK$8:$AK$67,MATCH($AB13&amp;AG$6,$AM$8:$AM$67&amp;$AL$8:$AL$67,0))+INDEX($AK$8:$AK$67,MATCH($AA13&amp;AG$6,$AM$8:$AM$67&amp;$AL$8:$AL$67,0))))</f>
        <v>99999</v>
      </c>
      <c r="AH13" s="104">
        <f t="array" ref="AH13">IF(AS13=0,99999,AS13-(INDEX($AK$8:$AK$67,MATCH($AB13&amp;AH$6,$AM$8:$AM$67&amp;$AL$8:$AL$67,0))+INDEX($AK$8:$AK$67,MATCH($AA13&amp;AH$6,$AM$8:$AM$67&amp;$AL$8:$AL$67,0))))</f>
        <v>99999</v>
      </c>
      <c r="AJ13" s="39" t="s">
        <v>150</v>
      </c>
      <c r="AK13" s="39">
        <v>983.81740692513586</v>
      </c>
      <c r="AL13" s="39" t="s">
        <v>83</v>
      </c>
      <c r="AM13" s="39" t="s">
        <v>347</v>
      </c>
      <c r="AO13" s="39" t="s">
        <v>327</v>
      </c>
      <c r="AP13" s="100">
        <v>0</v>
      </c>
      <c r="AQ13" s="40">
        <v>24641.464344399999</v>
      </c>
      <c r="AR13" s="100">
        <v>0</v>
      </c>
      <c r="AS13" s="100">
        <v>0</v>
      </c>
      <c r="AT13" s="40"/>
      <c r="AU13" s="40" t="s">
        <v>70</v>
      </c>
      <c r="AV13" s="40" t="s">
        <v>93</v>
      </c>
    </row>
    <row r="14" spans="1:48">
      <c r="B14" s="23" t="str">
        <f t="shared" si="1"/>
        <v>UC_Up_Bike-Moped_TPXS</v>
      </c>
      <c r="C14" s="39" t="str">
        <f t="shared" si="2"/>
        <v>TPBI*,TPMP*</v>
      </c>
      <c r="D14" s="39" t="str">
        <f t="shared" si="3"/>
        <v>BIKEcom,TRA*</v>
      </c>
      <c r="E14" s="39" t="str">
        <f t="shared" si="4"/>
        <v>TPXS</v>
      </c>
      <c r="F14" s="39" t="s">
        <v>78</v>
      </c>
      <c r="G14" s="39">
        <v>2010</v>
      </c>
      <c r="H14" s="39">
        <v>1</v>
      </c>
      <c r="I14" s="39">
        <f t="array" ref="I14">INDEX($AE$7:$AH$63,MATCH($V14&amp;$W14,$AA$7:$AA$63&amp;$AB$7:$AB$63,0),MATCH($E14,$AE$6:$AH$6,0))+INDEX('LTM data'!$D$47:$W$66,MATCH(RIGHT(I$6,4)&amp;'Couple Potential'!$X14,'LTM data'!$A$47:$A$66&amp;'LTM data'!$C$47:$C$66,0),MATCH('Couple Potential'!$W14,'LTM data'!$D$46:$W$46,0))+INDEX('LTM data'!$D$47:$W$66,MATCH(RIGHT(I$6,4)&amp;'Couple Potential'!$X14,'LTM data'!$A$47:$A$66&amp;'LTM data'!$C$47:$C$66,0),MATCH('Couple Potential'!$V14,'LTM data'!$D$46:$W$46,0))</f>
        <v>6742.3514187000001</v>
      </c>
      <c r="J14" s="39">
        <f t="array" ref="J14">INDEX($AE$7:$AH$63,MATCH($V14&amp;$W14,$AA$7:$AA$63&amp;$AB$7:$AB$63,0),MATCH($E14,$AE$6:$AH$6,0))+INDEX('LTM data'!$D$47:$W$66,MATCH(RIGHT(J$6,4)&amp;'Couple Potential'!$X14,'LTM data'!$A$47:$A$66&amp;'LTM data'!$C$47:$C$66,0),MATCH('Couple Potential'!$W14,'LTM data'!$D$46:$W$46,0))+INDEX('LTM data'!$D$47:$W$66,MATCH(RIGHT(J$6,4)&amp;'Couple Potential'!$X14,'LTM data'!$A$47:$A$66&amp;'LTM data'!$C$47:$C$66,0),MATCH('Couple Potential'!$V14,'LTM data'!$D$46:$W$46,0))</f>
        <v>6937.0590097939339</v>
      </c>
      <c r="K14" s="39">
        <v>15</v>
      </c>
      <c r="L14" s="23" t="str">
        <f t="array" ref="L14">"Max production of "&amp;E14&amp;" travel demand by "&amp;V14&amp;" and "&amp;W14</f>
        <v>Max production of TPXS travel demand by Bike and Moped</v>
      </c>
      <c r="M14" s="23"/>
      <c r="N14" s="23"/>
      <c r="O14" s="23"/>
      <c r="P14" s="23"/>
      <c r="Q14" s="23"/>
      <c r="R14" s="23"/>
      <c r="U14" s="39" t="s">
        <v>66</v>
      </c>
      <c r="V14" s="39" t="s">
        <v>66</v>
      </c>
      <c r="W14" s="39" t="s">
        <v>63</v>
      </c>
      <c r="X14" s="39" t="s">
        <v>84</v>
      </c>
      <c r="AA14" s="39" t="s">
        <v>65</v>
      </c>
      <c r="AB14" s="39" t="s">
        <v>63</v>
      </c>
      <c r="AD14" s="39" t="s">
        <v>326</v>
      </c>
      <c r="AE14" s="40">
        <f t="array" ref="AE14">IF(AP14=0,99999,AP14-(INDEX($AK$8:$AK$67,MATCH($AB14&amp;AE$6,$AM$8:$AM$67&amp;$AL$8:$AL$67,0))+INDEX($AK$8:$AK$67,MATCH($AA14&amp;AE$6,$AM$8:$AM$67&amp;$AL$8:$AL$67,0))))</f>
        <v>6194.4336883246624</v>
      </c>
      <c r="AF14" s="40">
        <f t="array" ref="AF14">IF(AQ14=0,99999,AQ14-(INDEX($AK$8:$AK$67,MATCH($AB14&amp;AF$6,$AM$8:$AM$67&amp;$AL$8:$AL$67,0))+INDEX($AK$8:$AK$67,MATCH($AA14&amp;AF$6,$AM$8:$AM$67&amp;$AL$8:$AL$67,0))))</f>
        <v>31401.725863747113</v>
      </c>
      <c r="AG14" s="104">
        <f t="array" ref="AG14">IF(AR14=0,99999,AR14-(INDEX($AK$8:$AK$67,MATCH($AB14&amp;AG$6,$AM$8:$AM$67&amp;$AL$8:$AL$67,0))+INDEX($AK$8:$AK$67,MATCH($AA14&amp;AG$6,$AM$8:$AM$67&amp;$AL$8:$AL$67,0))))</f>
        <v>99999</v>
      </c>
      <c r="AH14" s="104">
        <f t="array" ref="AH14">IF(AS14=0,99999,AS14-(INDEX($AK$8:$AK$67,MATCH($AB14&amp;AH$6,$AM$8:$AM$67&amp;$AL$8:$AL$67,0))+INDEX($AK$8:$AK$67,MATCH($AA14&amp;AH$6,$AM$8:$AM$67&amp;$AL$8:$AL$67,0))))</f>
        <v>99999</v>
      </c>
      <c r="AJ14" s="39" t="s">
        <v>161</v>
      </c>
      <c r="AK14" s="39">
        <v>538.26410683322797</v>
      </c>
      <c r="AL14" s="39" t="s">
        <v>84</v>
      </c>
      <c r="AM14" s="39" t="s">
        <v>65</v>
      </c>
      <c r="AO14" s="39" t="s">
        <v>326</v>
      </c>
      <c r="AP14" s="40">
        <v>6748.5567726999998</v>
      </c>
      <c r="AQ14" s="40">
        <v>31495.491928300002</v>
      </c>
      <c r="AR14" s="40">
        <v>0</v>
      </c>
      <c r="AS14" s="40">
        <v>0</v>
      </c>
      <c r="AT14" s="40"/>
      <c r="AU14" s="40" t="s">
        <v>67</v>
      </c>
      <c r="AV14" s="40" t="s">
        <v>170</v>
      </c>
    </row>
    <row r="15" spans="1:48">
      <c r="B15" s="23" t="str">
        <f t="shared" si="1"/>
        <v>UC_Up_Bike-Moto_TPXS</v>
      </c>
      <c r="C15" s="39" t="str">
        <f t="shared" si="2"/>
        <v>TPBI*,TPMT*</v>
      </c>
      <c r="D15" s="39" t="str">
        <f t="shared" si="3"/>
        <v>BIKEcom,TRA*</v>
      </c>
      <c r="E15" s="39" t="str">
        <f t="shared" si="4"/>
        <v>TPXS</v>
      </c>
      <c r="F15" s="39" t="s">
        <v>78</v>
      </c>
      <c r="G15" s="39">
        <v>2010</v>
      </c>
      <c r="H15" s="39">
        <v>1</v>
      </c>
      <c r="I15" s="39">
        <f t="array" ref="I15">INDEX($AE$7:$AH$63,MATCH($V15&amp;$W15,$AA$7:$AA$63&amp;$AB$7:$AB$63,0),MATCH($E15,$AE$6:$AH$6,0))+INDEX('LTM data'!$D$47:$W$66,MATCH(RIGHT(I$6,4)&amp;'Couple Potential'!$X15,'LTM data'!$A$47:$A$66&amp;'LTM data'!$C$47:$C$66,0),MATCH('Couple Potential'!$W15,'LTM data'!$D$46:$W$46,0))+INDEX('LTM data'!$D$47:$W$66,MATCH(RIGHT(I$6,4)&amp;'Couple Potential'!$X15,'LTM data'!$A$47:$A$66&amp;'LTM data'!$C$47:$C$66,0),MATCH('Couple Potential'!$V15,'LTM data'!$D$46:$W$46,0))</f>
        <v>101373.56989021535</v>
      </c>
      <c r="J15" s="39">
        <f t="array" ref="J15">INDEX($AE$7:$AH$63,MATCH($V15&amp;$W15,$AA$7:$AA$63&amp;$AB$7:$AB$63,0),MATCH($E15,$AE$6:$AH$6,0))+INDEX('LTM data'!$D$47:$W$66,MATCH(RIGHT(J$6,4)&amp;'Couple Potential'!$X15,'LTM data'!$A$47:$A$66&amp;'LTM data'!$C$47:$C$66,0),MATCH('Couple Potential'!$W15,'LTM data'!$D$46:$W$46,0))+INDEX('LTM data'!$D$47:$W$66,MATCH(RIGHT(J$6,4)&amp;'Couple Potential'!$X15,'LTM data'!$A$47:$A$66&amp;'LTM data'!$C$47:$C$66,0),MATCH('Couple Potential'!$V15,'LTM data'!$D$46:$W$46,0))</f>
        <v>101575.51531581962</v>
      </c>
      <c r="K15" s="39">
        <v>15</v>
      </c>
      <c r="L15" s="23" t="str">
        <f t="array" ref="L15">"Max production of "&amp;E15&amp;" travel demand by "&amp;V15&amp;" and "&amp;W15</f>
        <v>Max production of TPXS travel demand by Bike and Moto</v>
      </c>
      <c r="M15" s="23"/>
      <c r="N15" s="23"/>
      <c r="O15" s="23"/>
      <c r="P15" s="23"/>
      <c r="Q15" s="23"/>
      <c r="R15" s="23"/>
      <c r="U15" s="39" t="s">
        <v>66</v>
      </c>
      <c r="V15" s="39" t="s">
        <v>66</v>
      </c>
      <c r="W15" s="39" t="s">
        <v>64</v>
      </c>
      <c r="X15" s="39" t="s">
        <v>84</v>
      </c>
      <c r="AA15" s="39" t="s">
        <v>65</v>
      </c>
      <c r="AB15" s="39" t="s">
        <v>72</v>
      </c>
      <c r="AD15" s="101" t="s">
        <v>325</v>
      </c>
      <c r="AE15" s="102">
        <f t="array" ref="AE15">IF(AP15=0,99999,AP15-(INDEX($AK$8:$AK$67,MATCH($AB15&amp;AE$6,$AM$8:$AM$67&amp;$AL$8:$AL$67,0))+INDEX($AK$8:$AK$67,MATCH($AA15&amp;AE$6,$AM$8:$AM$67&amp;$AL$8:$AL$67,0))))</f>
        <v>1246.0479148353506</v>
      </c>
      <c r="AF15" s="102">
        <f t="array" ref="AF15">IF(AQ15=0,99999,AQ15-(INDEX($AK$8:$AK$67,MATCH($AB15&amp;AF$6,$AM$8:$AM$67&amp;$AL$8:$AL$67,0))+INDEX($AK$8:$AK$67,MATCH($AA15&amp;AF$6,$AM$8:$AM$67&amp;$AL$8:$AL$67,0))))</f>
        <v>99999</v>
      </c>
      <c r="AG15" s="105">
        <f t="array" ref="AG15">IF(AR15=0,99999,AR15-(INDEX($AK$8:$AK$67,MATCH($AB15&amp;AG$6,$AM$8:$AM$67&amp;$AL$8:$AL$67,0))+INDEX($AK$8:$AK$67,MATCH($AA15&amp;AG$6,$AM$8:$AM$67&amp;$AL$8:$AL$67,0))))</f>
        <v>99999</v>
      </c>
      <c r="AH15" s="105">
        <f t="array" ref="AH15">IF(AS15=0,99999,AS15-(INDEX($AK$8:$AK$67,MATCH($AB15&amp;AH$6,$AM$8:$AM$67&amp;$AL$8:$AL$67,0))+INDEX($AK$8:$AK$67,MATCH($AA15&amp;AH$6,$AM$8:$AM$67&amp;$AL$8:$AL$67,0))))</f>
        <v>99999</v>
      </c>
      <c r="AJ15" s="39" t="s">
        <v>160</v>
      </c>
      <c r="AK15" s="39">
        <v>41.693641878562104</v>
      </c>
      <c r="AL15" s="39" t="s">
        <v>83</v>
      </c>
      <c r="AM15" s="39" t="s">
        <v>65</v>
      </c>
      <c r="AO15" s="101" t="s">
        <v>325</v>
      </c>
      <c r="AP15" s="102">
        <v>5083.5544877000002</v>
      </c>
      <c r="AQ15" s="102"/>
      <c r="AR15" s="102"/>
      <c r="AS15" s="102"/>
      <c r="AT15" s="40"/>
      <c r="AU15" s="40" t="s">
        <v>343</v>
      </c>
      <c r="AV15" s="40" t="s">
        <v>162</v>
      </c>
    </row>
    <row r="16" spans="1:48">
      <c r="B16" s="23" t="str">
        <f t="shared" si="1"/>
        <v>UC_Up_Bike-Public bus_TPXS</v>
      </c>
      <c r="C16" s="39" t="str">
        <f t="shared" si="2"/>
        <v>TPBI*,TPBU*</v>
      </c>
      <c r="D16" s="39" t="str">
        <f t="shared" si="3"/>
        <v>BIKEcom,TRA*</v>
      </c>
      <c r="E16" s="39" t="str">
        <f t="shared" si="4"/>
        <v>TPXS</v>
      </c>
      <c r="F16" s="39" t="s">
        <v>78</v>
      </c>
      <c r="G16" s="39">
        <v>2010</v>
      </c>
      <c r="H16" s="39">
        <v>1</v>
      </c>
      <c r="I16" s="39">
        <f t="array" ref="I16">INDEX($AE$7:$AH$63,MATCH($V16&amp;$W16,$AA$7:$AA$63&amp;$AB$7:$AB$63,0),MATCH($E16,$AE$6:$AH$6,0))+INDEX('LTM data'!$D$47:$W$66,MATCH(RIGHT(I$6,4)&amp;'Couple Potential'!$X16,'LTM data'!$A$47:$A$66&amp;'LTM data'!$C$47:$C$66,0),MATCH('Couple Potential'!$W16,'LTM data'!$D$46:$W$46,0))+INDEX('LTM data'!$D$47:$W$66,MATCH(RIGHT(I$6,4)&amp;'Couple Potential'!$X16,'LTM data'!$A$47:$A$66&amp;'LTM data'!$C$47:$C$66,0),MATCH('Couple Potential'!$V16,'LTM data'!$D$46:$W$46,0))</f>
        <v>5916.3386403999993</v>
      </c>
      <c r="J16" s="39">
        <f t="array" ref="J16">INDEX($AE$7:$AH$63,MATCH($V16&amp;$W16,$AA$7:$AA$63&amp;$AB$7:$AB$63,0),MATCH($E16,$AE$6:$AH$6,0))+INDEX('LTM data'!$D$47:$W$66,MATCH(RIGHT(J$6,4)&amp;'Couple Potential'!$X16,'LTM data'!$A$47:$A$66&amp;'LTM data'!$C$47:$C$66,0),MATCH('Couple Potential'!$W16,'LTM data'!$D$46:$W$46,0))+INDEX('LTM data'!$D$47:$W$66,MATCH(RIGHT(J$6,4)&amp;'Couple Potential'!$X16,'LTM data'!$A$47:$A$66&amp;'LTM data'!$C$47:$C$66,0),MATCH('Couple Potential'!$V16,'LTM data'!$D$46:$W$46,0))</f>
        <v>6067.8202679924734</v>
      </c>
      <c r="K16" s="39">
        <v>15</v>
      </c>
      <c r="L16" s="23" t="str">
        <f t="array" ref="L16">"Max production of "&amp;E16&amp;" travel demand by "&amp;V16&amp;" and "&amp;W16</f>
        <v>Max production of TPXS travel demand by Bike and Public bus</v>
      </c>
      <c r="M16" s="23"/>
      <c r="N16" s="23"/>
      <c r="O16" s="23"/>
      <c r="P16" s="23"/>
      <c r="Q16" s="23"/>
      <c r="R16" s="23"/>
      <c r="U16" s="39" t="s">
        <v>66</v>
      </c>
      <c r="V16" s="39" t="s">
        <v>66</v>
      </c>
      <c r="W16" s="39" t="s">
        <v>71</v>
      </c>
      <c r="X16" s="39" t="s">
        <v>84</v>
      </c>
      <c r="AA16" s="39" t="s">
        <v>66</v>
      </c>
      <c r="AB16" s="39" t="s">
        <v>63</v>
      </c>
      <c r="AD16" s="39" t="s">
        <v>324</v>
      </c>
      <c r="AE16" s="40">
        <f t="array" ref="AE16">IF(AP16=0,99999,AP16-(INDEX($AK$8:$AK$67,MATCH($AB16&amp;AE$6,$AM$8:$AM$67&amp;$AL$8:$AL$67,0))+INDEX($AK$8:$AK$67,MATCH($AA16&amp;AE$6,$AM$8:$AM$67&amp;$AL$8:$AL$67,0))))</f>
        <v>5351.9225509425369</v>
      </c>
      <c r="AF16" s="40">
        <f t="array" ref="AF16">IF(AQ16=0,99999,AQ16-(INDEX($AK$8:$AK$67,MATCH($AB16&amp;AF$6,$AM$8:$AM$67&amp;$AL$8:$AL$67,0))+INDEX($AK$8:$AK$67,MATCH($AA16&amp;AF$6,$AM$8:$AM$67&amp;$AL$8:$AL$67,0))))</f>
        <v>23695.998169600538</v>
      </c>
      <c r="AG16" s="104">
        <f t="array" ref="AG16">IF(AR16=0,99999,AR16-(INDEX($AK$8:$AK$67,MATCH($AB16&amp;AG$6,$AM$8:$AM$67&amp;$AL$8:$AL$67,0))+INDEX($AK$8:$AK$67,MATCH($AA16&amp;AG$6,$AM$8:$AM$67&amp;$AL$8:$AL$67,0))))</f>
        <v>99999</v>
      </c>
      <c r="AH16" s="104">
        <f t="array" ref="AH16">IF(AS16=0,99999,AS16-(INDEX($AK$8:$AK$67,MATCH($AB16&amp;AH$6,$AM$8:$AM$67&amp;$AL$8:$AL$67,0))+INDEX($AK$8:$AK$67,MATCH($AA16&amp;AH$6,$AM$8:$AM$67&amp;$AL$8:$AL$67,0))))</f>
        <v>99999</v>
      </c>
      <c r="AJ16" s="39" t="s">
        <v>145</v>
      </c>
      <c r="AK16" s="39">
        <v>159.77971128567219</v>
      </c>
      <c r="AL16" s="39" t="s">
        <v>83</v>
      </c>
      <c r="AM16" s="39" t="s">
        <v>64</v>
      </c>
      <c r="AO16" s="39" t="s">
        <v>324</v>
      </c>
      <c r="AP16" s="40">
        <v>6742.3514187000001</v>
      </c>
      <c r="AQ16" s="40">
        <v>24731.8879992</v>
      </c>
      <c r="AR16" s="40">
        <v>0</v>
      </c>
      <c r="AS16" s="40">
        <v>0</v>
      </c>
      <c r="AT16" s="40"/>
      <c r="AU16" s="40" t="s">
        <v>69</v>
      </c>
      <c r="AV16" s="40" t="s">
        <v>176</v>
      </c>
    </row>
    <row r="17" spans="2:48">
      <c r="B17" s="23" t="str">
        <f t="shared" si="1"/>
        <v>UC_Up_Bike-S-Train_TPXS</v>
      </c>
      <c r="C17" s="39" t="str">
        <f t="shared" si="2"/>
        <v>TPBI*,TPRS*</v>
      </c>
      <c r="D17" s="39" t="str">
        <f t="shared" si="3"/>
        <v>BIKEcom,TRA*</v>
      </c>
      <c r="E17" s="39" t="str">
        <f t="shared" si="4"/>
        <v>TPXS</v>
      </c>
      <c r="F17" s="39" t="s">
        <v>78</v>
      </c>
      <c r="G17" s="39">
        <v>2010</v>
      </c>
      <c r="H17" s="39">
        <v>1</v>
      </c>
      <c r="I17" s="39">
        <f t="array" ref="I17">INDEX($AE$7:$AH$63,MATCH($V17&amp;$W17,$AA$7:$AA$63&amp;$AB$7:$AB$63,0),MATCH($E17,$AE$6:$AH$6,0))+INDEX('LTM data'!$D$47:$W$66,MATCH(RIGHT(I$6,4)&amp;'Couple Potential'!$X17,'LTM data'!$A$47:$A$66&amp;'LTM data'!$C$47:$C$66,0),MATCH('Couple Potential'!$W17,'LTM data'!$D$46:$W$46,0))+INDEX('LTM data'!$D$47:$W$66,MATCH(RIGHT(I$6,4)&amp;'Couple Potential'!$X17,'LTM data'!$A$47:$A$66&amp;'LTM data'!$C$47:$C$66,0),MATCH('Couple Potential'!$V17,'LTM data'!$D$46:$W$46,0))</f>
        <v>4865.7686020000001</v>
      </c>
      <c r="J17" s="39">
        <f t="array" ref="J17">INDEX($AE$7:$AH$63,MATCH($V17&amp;$W17,$AA$7:$AA$63&amp;$AB$7:$AB$63,0),MATCH($E17,$AE$6:$AH$6,0))+INDEX('LTM data'!$D$47:$W$66,MATCH(RIGHT(J$6,4)&amp;'Couple Potential'!$X17,'LTM data'!$A$47:$A$66&amp;'LTM data'!$C$47:$C$66,0),MATCH('Couple Potential'!$W17,'LTM data'!$D$46:$W$46,0))+INDEX('LTM data'!$D$47:$W$66,MATCH(RIGHT(J$6,4)&amp;'Couple Potential'!$X17,'LTM data'!$A$47:$A$66&amp;'LTM data'!$C$47:$C$66,0),MATCH('Couple Potential'!$V17,'LTM data'!$D$46:$W$46,0))</f>
        <v>5068.5150991599285</v>
      </c>
      <c r="K17" s="39">
        <v>15</v>
      </c>
      <c r="L17" s="23" t="str">
        <f t="array" ref="L17">"Max production of "&amp;E17&amp;" travel demand by "&amp;V17&amp;" and "&amp;W17</f>
        <v>Max production of TPXS travel demand by Bike and S-Train</v>
      </c>
      <c r="M17" s="23"/>
      <c r="N17" s="23"/>
      <c r="O17" s="23"/>
      <c r="P17" s="23"/>
      <c r="Q17" s="23"/>
      <c r="R17" s="23"/>
      <c r="U17" s="39" t="s">
        <v>66</v>
      </c>
      <c r="V17" s="39" t="s">
        <v>66</v>
      </c>
      <c r="W17" s="39" t="s">
        <v>343</v>
      </c>
      <c r="X17" s="39" t="s">
        <v>84</v>
      </c>
      <c r="AA17" s="39" t="s">
        <v>66</v>
      </c>
      <c r="AB17" s="39" t="s">
        <v>64</v>
      </c>
      <c r="AD17" s="39" t="s">
        <v>323</v>
      </c>
      <c r="AE17" s="104">
        <f t="array" ref="AE17">IF(AP17=0,99999,AP17-(INDEX($AK$8:$AK$67,MATCH($AB17&amp;AE$6,$AM$8:$AM$67&amp;$AL$8:$AL$67,0))+INDEX($AK$8:$AK$67,MATCH($AA17&amp;AE$6,$AM$8:$AM$67&amp;$AL$8:$AL$67,0))))</f>
        <v>99999</v>
      </c>
      <c r="AF17" s="40">
        <f t="array" ref="AF17">IF(AQ17=0,99999,AQ17-(INDEX($AK$8:$AK$67,MATCH($AB17&amp;AF$6,$AM$8:$AM$67&amp;$AL$8:$AL$67,0))+INDEX($AK$8:$AK$67,MATCH($AA17&amp;AF$6,$AM$8:$AM$67&amp;$AL$8:$AL$67,0))))</f>
        <v>23469.201542489191</v>
      </c>
      <c r="AG17" s="104">
        <f t="array" ref="AG17">IF(AR17=0,99999,AR17-(INDEX($AK$8:$AK$67,MATCH($AB17&amp;AG$6,$AM$8:$AM$67&amp;$AL$8:$AL$67,0))+INDEX($AK$8:$AK$67,MATCH($AA17&amp;AG$6,$AM$8:$AM$67&amp;$AL$8:$AL$67,0))))</f>
        <v>99999</v>
      </c>
      <c r="AH17" s="104">
        <f t="array" ref="AH17">IF(AS17=0,99999,AS17-(INDEX($AK$8:$AK$67,MATCH($AB17&amp;AH$6,$AM$8:$AM$67&amp;$AL$8:$AL$67,0))+INDEX($AK$8:$AK$67,MATCH($AA17&amp;AH$6,$AM$8:$AM$67&amp;$AL$8:$AL$67,0))))</f>
        <v>99999</v>
      </c>
      <c r="AJ17" s="39" t="s">
        <v>272</v>
      </c>
      <c r="AK17" s="39">
        <v>126.1130449970625</v>
      </c>
      <c r="AL17" s="39" t="s">
        <v>82</v>
      </c>
      <c r="AM17" s="39" t="s">
        <v>64</v>
      </c>
      <c r="AO17" s="39" t="s">
        <v>323</v>
      </c>
      <c r="AP17" s="100">
        <v>0</v>
      </c>
      <c r="AQ17" s="40">
        <v>24612.798660699998</v>
      </c>
      <c r="AR17" s="100">
        <v>0</v>
      </c>
      <c r="AS17" s="100">
        <v>0</v>
      </c>
      <c r="AT17" s="40"/>
      <c r="AU17" s="40"/>
      <c r="AV17" s="40"/>
    </row>
    <row r="18" spans="2:48">
      <c r="B18" s="23" t="str">
        <f t="shared" si="1"/>
        <v>UC_Up_Bike-Metro_TPXS</v>
      </c>
      <c r="C18" s="39" t="str">
        <f t="shared" si="2"/>
        <v>TPBI*,TPRM*</v>
      </c>
      <c r="D18" s="39" t="str">
        <f t="shared" si="3"/>
        <v>BIKEcom,TRA*</v>
      </c>
      <c r="E18" s="39" t="str">
        <f t="shared" si="4"/>
        <v>TPXS</v>
      </c>
      <c r="F18" s="39" t="s">
        <v>78</v>
      </c>
      <c r="G18" s="39">
        <v>2010</v>
      </c>
      <c r="H18" s="39">
        <v>1</v>
      </c>
      <c r="I18" s="39">
        <f t="array" ref="I18">INDEX($AE$7:$AH$63,MATCH($V18&amp;$W18,$AA$7:$AA$63&amp;$AB$7:$AB$63,0),MATCH($E18,$AE$6:$AH$6,0))+INDEX('LTM data'!$D$47:$W$66,MATCH(RIGHT(I$6,4)&amp;'Couple Potential'!$X18,'LTM data'!$A$47:$A$66&amp;'LTM data'!$C$47:$C$66,0),MATCH('Couple Potential'!$W18,'LTM data'!$D$46:$W$46,0))+INDEX('LTM data'!$D$47:$W$66,MATCH(RIGHT(I$6,4)&amp;'Couple Potential'!$X18,'LTM data'!$A$47:$A$66&amp;'LTM data'!$C$47:$C$66,0),MATCH('Couple Potential'!$V18,'LTM data'!$D$46:$W$46,0))</f>
        <v>4865.7686020000001</v>
      </c>
      <c r="J18" s="39">
        <f t="array" ref="J18">INDEX($AE$7:$AH$63,MATCH($V18&amp;$W18,$AA$7:$AA$63&amp;$AB$7:$AB$63,0),MATCH($E18,$AE$6:$AH$6,0))+INDEX('LTM data'!$D$47:$W$66,MATCH(RIGHT(J$6,4)&amp;'Couple Potential'!$X18,'LTM data'!$A$47:$A$66&amp;'LTM data'!$C$47:$C$66,0),MATCH('Couple Potential'!$W18,'LTM data'!$D$46:$W$46,0))+INDEX('LTM data'!$D$47:$W$66,MATCH(RIGHT(J$6,4)&amp;'Couple Potential'!$X18,'LTM data'!$A$47:$A$66&amp;'LTM data'!$C$47:$C$66,0),MATCH('Couple Potential'!$V18,'LTM data'!$D$46:$W$46,0))</f>
        <v>5191.8985700269859</v>
      </c>
      <c r="K18" s="39">
        <v>15</v>
      </c>
      <c r="L18" s="23" t="str">
        <f t="array" ref="L18">"Max production of "&amp;E18&amp;" travel demand by "&amp;V18&amp;" and "&amp;W18</f>
        <v>Max production of TPXS travel demand by Bike and Metro</v>
      </c>
      <c r="M18" s="23"/>
      <c r="N18" s="23"/>
      <c r="O18" s="23"/>
      <c r="P18" s="23"/>
      <c r="Q18" s="23"/>
      <c r="R18" s="23"/>
      <c r="U18" s="39" t="s">
        <v>66</v>
      </c>
      <c r="V18" s="39" t="s">
        <v>66</v>
      </c>
      <c r="W18" s="39" t="s">
        <v>67</v>
      </c>
      <c r="X18" s="39" t="s">
        <v>84</v>
      </c>
      <c r="AA18" s="39" t="s">
        <v>66</v>
      </c>
      <c r="AB18" s="39" t="s">
        <v>71</v>
      </c>
      <c r="AD18" s="39" t="s">
        <v>322</v>
      </c>
      <c r="AE18" s="40">
        <f t="array" ref="AE18">IF(AP18=0,99999,AP18-(INDEX($AK$8:$AK$67,MATCH($AB18&amp;AE$6,$AM$8:$AM$67&amp;$AL$8:$AL$67,0))+INDEX($AK$8:$AK$67,MATCH($AA18&amp;AE$6,$AM$8:$AM$67&amp;$AL$8:$AL$67,0))))</f>
        <v>3952.055576738413</v>
      </c>
      <c r="AF18" s="40">
        <f t="array" ref="AF18">IF(AQ18=0,99999,AQ18-(INDEX($AK$8:$AK$67,MATCH($AB18&amp;AF$6,$AM$8:$AM$67&amp;$AL$8:$AL$67,0))+INDEX($AK$8:$AK$67,MATCH($AA18&amp;AF$6,$AM$8:$AM$67&amp;$AL$8:$AL$67,0))))</f>
        <v>20515.08034509061</v>
      </c>
      <c r="AG18" s="104">
        <f t="array" ref="AG18">IF(AR18=0,99999,AR18-(INDEX($AK$8:$AK$67,MATCH($AB18&amp;AG$6,$AM$8:$AM$67&amp;$AL$8:$AL$67,0))+INDEX($AK$8:$AK$67,MATCH($AA18&amp;AG$6,$AM$8:$AM$67&amp;$AL$8:$AL$67,0))))</f>
        <v>99999</v>
      </c>
      <c r="AH18" s="104">
        <f t="array" ref="AH18">IF(AS18=0,99999,AS18-(INDEX($AK$8:$AK$67,MATCH($AB18&amp;AH$6,$AM$8:$AM$67&amp;$AL$8:$AL$67,0))+INDEX($AK$8:$AK$67,MATCH($AA18&amp;AH$6,$AM$8:$AM$67&amp;$AL$8:$AL$67,0))))</f>
        <v>99999</v>
      </c>
      <c r="AJ18" s="39" t="s">
        <v>271</v>
      </c>
      <c r="AK18" s="39">
        <v>180.10724371726542</v>
      </c>
      <c r="AL18" s="39" t="s">
        <v>79</v>
      </c>
      <c r="AM18" s="39" t="s">
        <v>64</v>
      </c>
      <c r="AO18" s="39" t="s">
        <v>322</v>
      </c>
      <c r="AP18" s="40">
        <v>5916.3386404000003</v>
      </c>
      <c r="AQ18" s="40">
        <v>23192.658280700001</v>
      </c>
      <c r="AR18" s="40">
        <v>0</v>
      </c>
      <c r="AS18" s="40">
        <v>0</v>
      </c>
      <c r="AT18" s="40"/>
      <c r="AU18" s="40"/>
      <c r="AV18" s="40"/>
    </row>
    <row r="19" spans="2:48">
      <c r="B19" s="23" t="str">
        <f t="shared" si="1"/>
        <v>UC_Up_Bike-Train_TPXS</v>
      </c>
      <c r="C19" s="39" t="str">
        <f t="shared" si="2"/>
        <v>TPBI*,TPRO*</v>
      </c>
      <c r="D19" s="39" t="str">
        <f t="shared" si="3"/>
        <v>BIKEcom,TRA*</v>
      </c>
      <c r="E19" s="39" t="str">
        <f t="shared" si="4"/>
        <v>TPXS</v>
      </c>
      <c r="F19" s="39" t="s">
        <v>78</v>
      </c>
      <c r="G19" s="39">
        <v>2010</v>
      </c>
      <c r="H19" s="39">
        <v>1</v>
      </c>
      <c r="I19" s="39">
        <f t="array" ref="I19">INDEX($AE$7:$AH$63,MATCH($V19&amp;$W19,$AA$7:$AA$63&amp;$AB$7:$AB$63,0),MATCH($E19,$AE$6:$AH$6,0))+INDEX('LTM data'!$D$47:$W$66,MATCH(RIGHT(I$6,4)&amp;'Couple Potential'!$X19,'LTM data'!$A$47:$A$66&amp;'LTM data'!$C$47:$C$66,0),MATCH('Couple Potential'!$W19,'LTM data'!$D$46:$W$46,0))+INDEX('LTM data'!$D$47:$W$66,MATCH(RIGHT(I$6,4)&amp;'Couple Potential'!$X19,'LTM data'!$A$47:$A$66&amp;'LTM data'!$C$47:$C$66,0),MATCH('Couple Potential'!$V19,'LTM data'!$D$46:$W$46,0))</f>
        <v>101373.56989021535</v>
      </c>
      <c r="J19" s="39">
        <f t="array" ref="J19">INDEX($AE$7:$AH$63,MATCH($V19&amp;$W19,$AA$7:$AA$63&amp;$AB$7:$AB$63,0),MATCH($E19,$AE$6:$AH$6,0))+INDEX('LTM data'!$D$47:$W$66,MATCH(RIGHT(J$6,4)&amp;'Couple Potential'!$X19,'LTM data'!$A$47:$A$66&amp;'LTM data'!$C$47:$C$66,0),MATCH('Couple Potential'!$W19,'LTM data'!$D$46:$W$46,0))+INDEX('LTM data'!$D$47:$W$66,MATCH(RIGHT(J$6,4)&amp;'Couple Potential'!$X19,'LTM data'!$A$47:$A$66&amp;'LTM data'!$C$47:$C$66,0),MATCH('Couple Potential'!$V19,'LTM data'!$D$46:$W$46,0))</f>
        <v>101575.51531581962</v>
      </c>
      <c r="K19" s="39">
        <v>15</v>
      </c>
      <c r="L19" s="23" t="str">
        <f t="array" ref="L19">"Max production of "&amp;E19&amp;" travel demand by "&amp;V19&amp;" and "&amp;W19</f>
        <v>Max production of TPXS travel demand by Bike and Train</v>
      </c>
      <c r="M19" s="23"/>
      <c r="N19" s="23"/>
      <c r="O19" s="23"/>
      <c r="P19" s="23"/>
      <c r="Q19" s="23"/>
      <c r="R19" s="23"/>
      <c r="U19" s="39" t="s">
        <v>66</v>
      </c>
      <c r="V19" s="39" t="s">
        <v>66</v>
      </c>
      <c r="W19" s="39" t="s">
        <v>69</v>
      </c>
      <c r="X19" s="39" t="s">
        <v>84</v>
      </c>
      <c r="AA19" s="39" t="s">
        <v>361</v>
      </c>
      <c r="AB19" s="39" t="s">
        <v>358</v>
      </c>
      <c r="AD19" s="39" t="s">
        <v>321</v>
      </c>
      <c r="AE19" s="40">
        <f t="array" ref="AE19">IF(AP19=0,99999,AP19-(INDEX($AK$8:$AK$67,MATCH($AB19&amp;AE$6,$AM$8:$AM$67&amp;$AL$8:$AL$67,0))+INDEX($AK$8:$AK$67,MATCH($AA19&amp;AE$6,$AM$8:$AM$67&amp;$AL$8:$AL$67,0))))</f>
        <v>1957.687213113318</v>
      </c>
      <c r="AF19" s="40">
        <f t="array" ref="AF19">IF(AQ19=0,99999,AQ19-(INDEX($AK$8:$AK$67,MATCH($AB19&amp;AF$6,$AM$8:$AM$67&amp;$AL$8:$AL$67,0))+INDEX($AK$8:$AK$67,MATCH($AA19&amp;AF$6,$AM$8:$AM$67&amp;$AL$8:$AL$67,0))))</f>
        <v>8594.1573982635364</v>
      </c>
      <c r="AG19" s="104">
        <f t="array" ref="AG19">IF(AR19=0,99999,AR19-(INDEX($AK$8:$AK$67,MATCH($AB19&amp;AG$6,$AM$8:$AM$67&amp;$AL$8:$AL$67,0))+INDEX($AK$8:$AK$67,MATCH($AA19&amp;AG$6,$AM$8:$AM$67&amp;$AL$8:$AL$67,0))))</f>
        <v>99999</v>
      </c>
      <c r="AH19" s="104">
        <f t="array" ref="AH19">IF(AS19=0,99999,AS19-(INDEX($AK$8:$AK$67,MATCH($AB19&amp;AH$6,$AM$8:$AM$67&amp;$AL$8:$AL$67,0))+INDEX($AK$8:$AK$67,MATCH($AA19&amp;AH$6,$AM$8:$AM$67&amp;$AL$8:$AL$67,0))))</f>
        <v>99999</v>
      </c>
      <c r="AJ19" s="39" t="s">
        <v>137</v>
      </c>
      <c r="AK19" s="39">
        <v>15.858977542109159</v>
      </c>
      <c r="AL19" s="39" t="s">
        <v>84</v>
      </c>
      <c r="AM19" s="39" t="s">
        <v>63</v>
      </c>
      <c r="AO19" s="39" t="s">
        <v>321</v>
      </c>
      <c r="AP19" s="40">
        <v>2927.5025952999999</v>
      </c>
      <c r="AQ19" s="40">
        <v>10048.9066668</v>
      </c>
      <c r="AR19" s="100">
        <v>0</v>
      </c>
      <c r="AS19" s="40">
        <v>0</v>
      </c>
      <c r="AT19" s="40"/>
      <c r="AU19" s="40"/>
      <c r="AV19" s="40"/>
    </row>
    <row r="20" spans="2:48">
      <c r="B20" s="23" t="str">
        <f t="shared" si="1"/>
        <v>UC_Up_Bike-Coach_TPXS</v>
      </c>
      <c r="C20" s="39" t="str">
        <f t="shared" si="2"/>
        <v>TPBI*,TPCO*</v>
      </c>
      <c r="D20" s="39" t="str">
        <f t="shared" si="3"/>
        <v>BIKEcom,TRA*</v>
      </c>
      <c r="E20" s="39" t="str">
        <f t="shared" si="4"/>
        <v>TPXS</v>
      </c>
      <c r="F20" s="39" t="s">
        <v>78</v>
      </c>
      <c r="G20" s="39">
        <v>2010</v>
      </c>
      <c r="H20" s="39">
        <v>1</v>
      </c>
      <c r="I20" s="39">
        <f t="array" ref="I20">INDEX($AE$7:$AH$63,MATCH($V20&amp;$W20,$AA$7:$AA$63&amp;$AB$7:$AB$63,0),MATCH($E20,$AE$6:$AH$6,0))+INDEX('LTM data'!$D$47:$W$66,MATCH(RIGHT(I$6,4)&amp;'Couple Potential'!$X20,'LTM data'!$A$47:$A$66&amp;'LTM data'!$C$47:$C$66,0),MATCH('Couple Potential'!$W20,'LTM data'!$D$46:$W$46,0))+INDEX('LTM data'!$D$47:$W$66,MATCH(RIGHT(I$6,4)&amp;'Couple Potential'!$X20,'LTM data'!$A$47:$A$66&amp;'LTM data'!$C$47:$C$66,0),MATCH('Couple Potential'!$V20,'LTM data'!$D$46:$W$46,0))</f>
        <v>101373.56989021535</v>
      </c>
      <c r="J20" s="39">
        <f t="array" ref="J20">INDEX($AE$7:$AH$63,MATCH($V20&amp;$W20,$AA$7:$AA$63&amp;$AB$7:$AB$63,0),MATCH($E20,$AE$6:$AH$6,0))+INDEX('LTM data'!$D$47:$W$66,MATCH(RIGHT(J$6,4)&amp;'Couple Potential'!$X20,'LTM data'!$A$47:$A$66&amp;'LTM data'!$C$47:$C$66,0),MATCH('Couple Potential'!$W20,'LTM data'!$D$46:$W$46,0))+INDEX('LTM data'!$D$47:$W$66,MATCH(RIGHT(J$6,4)&amp;'Couple Potential'!$X20,'LTM data'!$A$47:$A$66&amp;'LTM data'!$C$47:$C$66,0),MATCH('Couple Potential'!$V20,'LTM data'!$D$46:$W$46,0))</f>
        <v>101575.51531581962</v>
      </c>
      <c r="K20" s="39">
        <v>15</v>
      </c>
      <c r="L20" s="23" t="str">
        <f t="array" ref="L20">"Max production of "&amp;E20&amp;" travel demand by "&amp;V20&amp;" and "&amp;W20</f>
        <v>Max production of TPXS travel demand by Bike and Coach</v>
      </c>
      <c r="M20" s="23"/>
      <c r="N20" s="23"/>
      <c r="O20" s="23"/>
      <c r="P20" s="23"/>
      <c r="Q20" s="23"/>
      <c r="R20" s="23"/>
      <c r="U20" s="39" t="s">
        <v>66</v>
      </c>
      <c r="V20" s="39" t="s">
        <v>66</v>
      </c>
      <c r="W20" s="39" t="s">
        <v>70</v>
      </c>
      <c r="X20" s="39" t="s">
        <v>84</v>
      </c>
      <c r="AA20" s="39" t="s">
        <v>66</v>
      </c>
      <c r="AB20" s="39" t="s">
        <v>343</v>
      </c>
      <c r="AD20" s="39" t="s">
        <v>320</v>
      </c>
      <c r="AE20" s="40">
        <f t="array" ref="AE20">IF(AP20=0,99999,AP20-(INDEX($AK$8:$AK$67,MATCH($AB20&amp;AE$6,$AM$8:$AM$67&amp;$AL$8:$AL$67,0))+INDEX($AK$8:$AK$67,MATCH($AA20&amp;AE$6,$AM$8:$AM$67&amp;$AL$8:$AL$67,0))))</f>
        <v>3399.82111760414</v>
      </c>
      <c r="AF20" s="40">
        <f t="array" ref="AF20">IF(AQ20=0,99999,AQ20-(INDEX($AK$8:$AK$67,MATCH($AB20&amp;AF$6,$AM$8:$AM$67&amp;$AL$8:$AL$67,0))+INDEX($AK$8:$AK$67,MATCH($AA20&amp;AF$6,$AM$8:$AM$67&amp;$AL$8:$AL$67,0))))</f>
        <v>8293.4992472509439</v>
      </c>
      <c r="AG20" s="104">
        <f t="array" ref="AG20">IF(AR20=0,99999,AR20-(INDEX($AK$8:$AK$67,MATCH($AB20&amp;AG$6,$AM$8:$AM$67&amp;$AL$8:$AL$67,0))+INDEX($AK$8:$AK$67,MATCH($AA20&amp;AG$6,$AM$8:$AM$67&amp;$AL$8:$AL$67,0))))</f>
        <v>99999</v>
      </c>
      <c r="AH20" s="104">
        <f t="array" ref="AH20">IF(AS20=0,99999,AS20-(INDEX($AK$8:$AK$67,MATCH($AB20&amp;AH$6,$AM$8:$AM$67&amp;$AL$8:$AL$67,0))+INDEX($AK$8:$AK$67,MATCH($AA20&amp;AH$6,$AM$8:$AM$67&amp;$AL$8:$AL$67,0))))</f>
        <v>99999</v>
      </c>
      <c r="AJ20" s="39" t="s">
        <v>136</v>
      </c>
      <c r="AK20" s="39">
        <v>52.072422674324699</v>
      </c>
      <c r="AL20" s="39" t="s">
        <v>83</v>
      </c>
      <c r="AM20" s="39" t="s">
        <v>63</v>
      </c>
      <c r="AO20" s="39" t="s">
        <v>320</v>
      </c>
      <c r="AP20" s="40">
        <v>4865.7686020000001</v>
      </c>
      <c r="AQ20" s="40">
        <v>10048.9066668</v>
      </c>
      <c r="AR20" s="100">
        <v>0</v>
      </c>
      <c r="AS20" s="40"/>
      <c r="AT20" s="40"/>
      <c r="AU20" s="40"/>
      <c r="AV20" s="40"/>
    </row>
    <row r="21" spans="2:48">
      <c r="B21" s="23" t="str">
        <f t="shared" si="1"/>
        <v>UC_Up_Bike-Car_TPXS</v>
      </c>
      <c r="C21" s="39" t="str">
        <f t="shared" si="2"/>
        <v>TPBI*,TPCA*</v>
      </c>
      <c r="D21" s="39" t="str">
        <f t="shared" si="3"/>
        <v>BIKEcom,TRA*</v>
      </c>
      <c r="E21" s="39" t="str">
        <f t="shared" si="4"/>
        <v>TPXS</v>
      </c>
      <c r="F21" s="39" t="s">
        <v>78</v>
      </c>
      <c r="G21" s="39">
        <v>2010</v>
      </c>
      <c r="H21" s="39">
        <v>1</v>
      </c>
      <c r="I21" s="39">
        <f t="array" ref="I21">INDEX($AE$7:$AH$63,MATCH($V21&amp;$W21,$AA$7:$AA$63&amp;$AB$7:$AB$63,0),MATCH($E21,$AE$6:$AH$6,0))+INDEX('LTM data'!$D$47:$W$66,MATCH(RIGHT(I$6,4)&amp;'Couple Potential'!$X21,'LTM data'!$A$47:$A$66&amp;'LTM data'!$C$47:$C$66,0),MATCH('Couple Potential'!$W21,'LTM data'!$D$46:$W$46,0))+INDEX('LTM data'!$D$47:$W$66,MATCH(RIGHT(I$6,4)&amp;'Couple Potential'!$X21,'LTM data'!$A$47:$A$66&amp;'LTM data'!$C$47:$C$66,0),MATCH('Couple Potential'!$V21,'LTM data'!$D$46:$W$46,0))</f>
        <v>5120.5842825999989</v>
      </c>
      <c r="J21" s="39">
        <f t="array" ref="J21">INDEX($AE$7:$AH$63,MATCH($V21&amp;$W21,$AA$7:$AA$63&amp;$AB$7:$AB$63,0),MATCH($E21,$AE$6:$AH$6,0))+INDEX('LTM data'!$D$47:$W$66,MATCH(RIGHT(J$6,4)&amp;'Couple Potential'!$X21,'LTM data'!$A$47:$A$66&amp;'LTM data'!$C$47:$C$66,0),MATCH('Couple Potential'!$W21,'LTM data'!$D$46:$W$46,0))+INDEX('LTM data'!$D$47:$W$66,MATCH(RIGHT(J$6,4)&amp;'Couple Potential'!$X21,'LTM data'!$A$47:$A$66&amp;'LTM data'!$C$47:$C$66,0),MATCH('Couple Potential'!$V21,'LTM data'!$D$46:$W$46,0))</f>
        <v>6822.2887634244598</v>
      </c>
      <c r="K21" s="39">
        <v>15</v>
      </c>
      <c r="L21" s="23" t="str">
        <f t="array" ref="L21">"Max production of "&amp;E21&amp;" travel demand by "&amp;V21&amp;" and "&amp;W21</f>
        <v>Max production of TPXS travel demand by Bike and Car</v>
      </c>
      <c r="M21" s="23"/>
      <c r="N21" s="23"/>
      <c r="O21" s="23"/>
      <c r="P21" s="23"/>
      <c r="Q21" s="23"/>
      <c r="R21" s="23"/>
      <c r="U21" s="39" t="s">
        <v>66</v>
      </c>
      <c r="V21" s="39" t="s">
        <v>66</v>
      </c>
      <c r="W21" s="39" t="s">
        <v>72</v>
      </c>
      <c r="X21" s="39" t="s">
        <v>84</v>
      </c>
      <c r="AA21" s="39" t="s">
        <v>361</v>
      </c>
      <c r="AB21" s="39" t="s">
        <v>353</v>
      </c>
      <c r="AD21" s="39" t="s">
        <v>319</v>
      </c>
      <c r="AE21" s="40">
        <f t="array" ref="AE21">IF(AP21=0,99999,AP21-(INDEX($AK$8:$AK$67,MATCH($AB21&amp;AE$6,$AM$8:$AM$67&amp;$AL$8:$AL$67,0))+INDEX($AK$8:$AK$67,MATCH($AA21&amp;AE$6,$AM$8:$AM$67&amp;$AL$8:$AL$67,0))))</f>
        <v>1970.4044266362671</v>
      </c>
      <c r="AF21" s="40">
        <f t="array" ref="AF21">IF(AQ21=0,99999,AQ21-(INDEX($AK$8:$AK$67,MATCH($AB21&amp;AF$6,$AM$8:$AM$67&amp;$AL$8:$AL$67,0))+INDEX($AK$8:$AK$67,MATCH($AA21&amp;AF$6,$AM$8:$AM$67&amp;$AL$8:$AL$67,0))))</f>
        <v>4412.5148769868565</v>
      </c>
      <c r="AG21" s="104">
        <f t="array" ref="AG21">IF(AR21=0,99999,AR21-(INDEX($AK$8:$AK$67,MATCH($AB21&amp;AG$6,$AM$8:$AM$67&amp;$AL$8:$AL$67,0))+INDEX($AK$8:$AK$67,MATCH($AA21&amp;AG$6,$AM$8:$AM$67&amp;$AL$8:$AL$67,0))))</f>
        <v>99999</v>
      </c>
      <c r="AH21" s="104">
        <f t="array" ref="AH21">IF(AS21=0,99999,AS21-(INDEX($AK$8:$AK$67,MATCH($AB21&amp;AH$6,$AM$8:$AM$67&amp;$AL$8:$AL$67,0))+INDEX($AK$8:$AK$67,MATCH($AA21&amp;AH$6,$AM$8:$AM$67&amp;$AL$8:$AL$67,0))))</f>
        <v>99999</v>
      </c>
      <c r="AJ21" s="39" t="s">
        <v>270</v>
      </c>
      <c r="AK21" s="39">
        <v>6.78618587176204</v>
      </c>
      <c r="AL21" s="39" t="s">
        <v>82</v>
      </c>
      <c r="AM21" s="39" t="s">
        <v>63</v>
      </c>
      <c r="AO21" s="39" t="s">
        <v>319</v>
      </c>
      <c r="AP21" s="40">
        <v>2678.8760390000002</v>
      </c>
      <c r="AQ21" s="40">
        <v>5625.7760196999998</v>
      </c>
      <c r="AR21" s="40">
        <v>0</v>
      </c>
      <c r="AS21" s="40">
        <v>0</v>
      </c>
      <c r="AT21" s="40"/>
      <c r="AU21" s="40"/>
      <c r="AV21" s="40"/>
    </row>
    <row r="22" spans="2:48">
      <c r="B22" s="23" t="str">
        <f t="shared" si="1"/>
        <v>UC_Up_Public bus-Coach_TPXS</v>
      </c>
      <c r="C22" s="39" t="str">
        <f t="shared" si="2"/>
        <v>TPBU*,TPCO*</v>
      </c>
      <c r="D22" s="39" t="str">
        <f t="shared" si="3"/>
        <v>TRA*</v>
      </c>
      <c r="E22" s="39" t="str">
        <f t="shared" si="4"/>
        <v>TPXS</v>
      </c>
      <c r="F22" s="39" t="s">
        <v>78</v>
      </c>
      <c r="G22" s="39">
        <v>2010</v>
      </c>
      <c r="H22" s="39">
        <v>1</v>
      </c>
      <c r="I22" s="39">
        <f t="array" ref="I22">INDEX($AE$7:$AH$63,MATCH($V22&amp;$W22,$AA$7:$AA$63&amp;$AB$7:$AB$63,0),MATCH($E22,$AE$6:$AH$6,0))+INDEX('LTM data'!$D$47:$W$66,MATCH(RIGHT(I$6,4)&amp;'Couple Potential'!$X22,'LTM data'!$A$47:$A$66&amp;'LTM data'!$C$47:$C$66,0),MATCH('Couple Potential'!$W22,'LTM data'!$D$46:$W$46,0))+INDEX('LTM data'!$D$47:$W$66,MATCH(RIGHT(I$6,4)&amp;'Couple Potential'!$X22,'LTM data'!$A$47:$A$66&amp;'LTM data'!$C$47:$C$66,0),MATCH('Couple Potential'!$V22,'LTM data'!$D$46:$W$46,0))</f>
        <v>100588.71317344623</v>
      </c>
      <c r="J22" s="39">
        <f t="array" ref="J22">INDEX($AE$7:$AH$63,MATCH($V22&amp;$W22,$AA$7:$AA$63&amp;$AB$7:$AB$63,0),MATCH($E22,$AE$6:$AH$6,0))+INDEX('LTM data'!$D$47:$W$66,MATCH(RIGHT(J$6,4)&amp;'Couple Potential'!$X22,'LTM data'!$A$47:$A$66&amp;'LTM data'!$C$47:$C$66,0),MATCH('Couple Potential'!$W22,'LTM data'!$D$46:$W$46,0))+INDEX('LTM data'!$D$47:$W$66,MATCH(RIGHT(J$6,4)&amp;'Couple Potential'!$X22,'LTM data'!$A$47:$A$66&amp;'LTM data'!$C$47:$C$66,0),MATCH('Couple Potential'!$V22,'LTM data'!$D$46:$W$46,0))</f>
        <v>100538.24937543443</v>
      </c>
      <c r="K22" s="39">
        <v>15</v>
      </c>
      <c r="L22" s="23" t="str">
        <f t="array" ref="L22">"Max production of "&amp;E22&amp;" travel demand by "&amp;V22&amp;" and "&amp;W22</f>
        <v>Max production of TPXS travel demand by Public bus and Coach</v>
      </c>
      <c r="M22" s="23"/>
      <c r="N22" s="23"/>
      <c r="O22" s="23"/>
      <c r="P22" s="23"/>
      <c r="Q22" s="23"/>
      <c r="R22" s="23"/>
      <c r="U22" s="39" t="s">
        <v>71</v>
      </c>
      <c r="V22" s="39" t="s">
        <v>71</v>
      </c>
      <c r="W22" s="39" t="s">
        <v>70</v>
      </c>
      <c r="X22" s="39" t="s">
        <v>84</v>
      </c>
      <c r="AA22" s="39" t="s">
        <v>66</v>
      </c>
      <c r="AB22" s="39" t="s">
        <v>67</v>
      </c>
      <c r="AD22" s="39" t="s">
        <v>318</v>
      </c>
      <c r="AE22" s="40">
        <f t="array" ref="AE22">IF(AP22=0,99999,AP22-(INDEX($AK$8:$AK$67,MATCH($AB22&amp;AE$6,$AM$8:$AM$67&amp;$AL$8:$AL$67,0))+INDEX($AK$8:$AK$67,MATCH($AA22&amp;AE$6,$AM$8:$AM$67&amp;$AL$8:$AL$67,0))))</f>
        <v>3398.8910437058848</v>
      </c>
      <c r="AF22" s="40">
        <f t="array" ref="AF22">IF(AQ22=0,99999,AQ22-(INDEX($AK$8:$AK$67,MATCH($AB22&amp;AF$6,$AM$8:$AM$67&amp;$AL$8:$AL$67,0))+INDEX($AK$8:$AK$67,MATCH($AA22&amp;AF$6,$AM$8:$AM$67&amp;$AL$8:$AL$67,0))))</f>
        <v>4484.76623705372</v>
      </c>
      <c r="AG22" s="104">
        <f t="array" ref="AG22">IF(AR22=0,99999,AR22-(INDEX($AK$8:$AK$67,MATCH($AB22&amp;AG$6,$AM$8:$AM$67&amp;$AL$8:$AL$67,0))+INDEX($AK$8:$AK$67,MATCH($AA22&amp;AG$6,$AM$8:$AM$67&amp;$AL$8:$AL$67,0))))</f>
        <v>99999</v>
      </c>
      <c r="AH22" s="104">
        <f t="array" ref="AH22">IF(AS22=0,99999,AS22-(INDEX($AK$8:$AK$67,MATCH($AB22&amp;AH$6,$AM$8:$AM$67&amp;$AL$8:$AL$67,0))+INDEX($AK$8:$AK$67,MATCH($AA22&amp;AH$6,$AM$8:$AM$67&amp;$AL$8:$AL$67,0))))</f>
        <v>99999</v>
      </c>
      <c r="AJ22" s="39" t="s">
        <v>269</v>
      </c>
      <c r="AK22" s="39">
        <v>3.2824139118041504</v>
      </c>
      <c r="AL22" s="39" t="s">
        <v>79</v>
      </c>
      <c r="AM22" s="39" t="s">
        <v>63</v>
      </c>
      <c r="AO22" s="39" t="s">
        <v>318</v>
      </c>
      <c r="AP22" s="40">
        <v>4865.7686020000001</v>
      </c>
      <c r="AQ22" s="40">
        <v>5625.7760196999998</v>
      </c>
      <c r="AR22" s="40"/>
      <c r="AS22" s="40"/>
      <c r="AT22" s="40"/>
      <c r="AU22" s="40"/>
      <c r="AV22" s="40"/>
    </row>
    <row r="23" spans="2:48">
      <c r="B23" s="23" t="str">
        <f t="shared" si="1"/>
        <v>UC_Up_Public bus-Train_TPXS</v>
      </c>
      <c r="C23" s="39" t="str">
        <f t="shared" si="2"/>
        <v>TPBU*,TPRO*</v>
      </c>
      <c r="D23" s="39" t="str">
        <f t="shared" si="3"/>
        <v>TRA*</v>
      </c>
      <c r="E23" s="39" t="str">
        <f t="shared" si="4"/>
        <v>TPXS</v>
      </c>
      <c r="F23" s="39" t="s">
        <v>78</v>
      </c>
      <c r="G23" s="39">
        <v>2010</v>
      </c>
      <c r="H23" s="39">
        <v>1</v>
      </c>
      <c r="I23" s="39">
        <f t="array" ref="I23">INDEX($AE$7:$AH$63,MATCH($V23&amp;$W23,$AA$7:$AA$63&amp;$AB$7:$AB$63,0),MATCH($E23,$AE$6:$AH$6,0))+INDEX('LTM data'!$D$47:$W$66,MATCH(RIGHT(I$6,4)&amp;'Couple Potential'!$X23,'LTM data'!$A$47:$A$66&amp;'LTM data'!$C$47:$C$66,0),MATCH('Couple Potential'!$W23,'LTM data'!$D$46:$W$46,0))+INDEX('LTM data'!$D$47:$W$66,MATCH(RIGHT(I$6,4)&amp;'Couple Potential'!$X23,'LTM data'!$A$47:$A$66&amp;'LTM data'!$C$47:$C$66,0),MATCH('Couple Potential'!$V23,'LTM data'!$D$46:$W$46,0))</f>
        <v>100588.71317344623</v>
      </c>
      <c r="J23" s="39">
        <f t="array" ref="J23">INDEX($AE$7:$AH$63,MATCH($V23&amp;$W23,$AA$7:$AA$63&amp;$AB$7:$AB$63,0),MATCH($E23,$AE$6:$AH$6,0))+INDEX('LTM data'!$D$47:$W$66,MATCH(RIGHT(J$6,4)&amp;'Couple Potential'!$X23,'LTM data'!$A$47:$A$66&amp;'LTM data'!$C$47:$C$66,0),MATCH('Couple Potential'!$W23,'LTM data'!$D$46:$W$46,0))+INDEX('LTM data'!$D$47:$W$66,MATCH(RIGHT(J$6,4)&amp;'Couple Potential'!$X23,'LTM data'!$A$47:$A$66&amp;'LTM data'!$C$47:$C$66,0),MATCH('Couple Potential'!$V23,'LTM data'!$D$46:$W$46,0))</f>
        <v>100538.24937543443</v>
      </c>
      <c r="K23" s="39">
        <v>15</v>
      </c>
      <c r="L23" s="23" t="str">
        <f t="array" ref="L23">"Max production of "&amp;E23&amp;" travel demand by "&amp;V23&amp;" and "&amp;W23</f>
        <v>Max production of TPXS travel demand by Public bus and Train</v>
      </c>
      <c r="M23" s="23"/>
      <c r="N23" s="23"/>
      <c r="O23" s="23"/>
      <c r="P23" s="23"/>
      <c r="Q23" s="23"/>
      <c r="R23" s="23"/>
      <c r="U23" s="39" t="s">
        <v>71</v>
      </c>
      <c r="V23" s="39" t="s">
        <v>71</v>
      </c>
      <c r="W23" s="39" t="s">
        <v>69</v>
      </c>
      <c r="X23" s="39" t="s">
        <v>84</v>
      </c>
      <c r="AA23" s="39" t="s">
        <v>66</v>
      </c>
      <c r="AB23" s="39" t="s">
        <v>69</v>
      </c>
      <c r="AD23" s="39" t="s">
        <v>317</v>
      </c>
      <c r="AE23" s="104">
        <f t="array" ref="AE23">IF(AP23=0,99999,AP23-(INDEX($AK$8:$AK$67,MATCH($AB23&amp;AE$6,$AM$8:$AM$67&amp;$AL$8:$AL$67,0))+INDEX($AK$8:$AK$67,MATCH($AA23&amp;AE$6,$AM$8:$AM$67&amp;$AL$8:$AL$67,0))))</f>
        <v>99999</v>
      </c>
      <c r="AF23" s="40">
        <f t="array" ref="AF23">IF(AQ23=0,99999,AQ23-(INDEX($AK$8:$AK$67,MATCH($AB23&amp;AF$6,$AM$8:$AM$67&amp;$AL$8:$AL$67,0))+INDEX($AK$8:$AK$67,MATCH($AA23&amp;AF$6,$AM$8:$AM$67&amp;$AL$8:$AL$67,0))))</f>
        <v>22612.11819796326</v>
      </c>
      <c r="AG23" s="104">
        <f t="array" ref="AG23">IF(AR23=0,99999,AR23-(INDEX($AK$8:$AK$67,MATCH($AB23&amp;AG$6,$AM$8:$AM$67&amp;$AL$8:$AL$67,0))+INDEX($AK$8:$AK$67,MATCH($AA23&amp;AG$6,$AM$8:$AM$67&amp;$AL$8:$AL$67,0))))</f>
        <v>99999</v>
      </c>
      <c r="AH23" s="104">
        <f t="array" ref="AH23">IF(AS23=0,99999,AS23-(INDEX($AK$8:$AK$67,MATCH($AB23&amp;AH$6,$AM$8:$AM$67&amp;$AL$8:$AL$67,0))+INDEX($AK$8:$AK$67,MATCH($AA23&amp;AH$6,$AM$8:$AM$67&amp;$AL$8:$AL$67,0))))</f>
        <v>99999</v>
      </c>
      <c r="AJ23" s="39" t="s">
        <v>268</v>
      </c>
      <c r="AK23" s="39">
        <v>589.71317344623299</v>
      </c>
      <c r="AL23" s="39" t="s">
        <v>84</v>
      </c>
      <c r="AM23" s="39" t="s">
        <v>71</v>
      </c>
      <c r="AO23" s="39" t="s">
        <v>317</v>
      </c>
      <c r="AP23" s="100">
        <v>0</v>
      </c>
      <c r="AQ23" s="40">
        <v>24009.313599100002</v>
      </c>
      <c r="AR23" s="100">
        <v>0</v>
      </c>
      <c r="AS23" s="100">
        <v>0</v>
      </c>
      <c r="AT23" s="40"/>
      <c r="AU23" s="40"/>
      <c r="AV23" s="40"/>
    </row>
    <row r="24" spans="2:48">
      <c r="B24" s="23" t="str">
        <f t="shared" si="1"/>
        <v>UC_Up_Public bus-Metro_TPXS</v>
      </c>
      <c r="C24" s="39" t="str">
        <f t="shared" si="2"/>
        <v>TPBU*,TPRM*</v>
      </c>
      <c r="D24" s="39" t="str">
        <f t="shared" si="3"/>
        <v>TRA*</v>
      </c>
      <c r="E24" s="39" t="str">
        <f t="shared" si="4"/>
        <v>TPXS</v>
      </c>
      <c r="F24" s="39" t="s">
        <v>78</v>
      </c>
      <c r="G24" s="39">
        <v>2010</v>
      </c>
      <c r="H24" s="39">
        <v>1</v>
      </c>
      <c r="I24" s="39">
        <f t="array" ref="I24">INDEX($AE$7:$AH$63,MATCH($V24&amp;$W24,$AA$7:$AA$63&amp;$AB$7:$AB$63,0),MATCH($E24,$AE$6:$AH$6,0))+INDEX('LTM data'!$D$47:$W$66,MATCH(RIGHT(I$6,4)&amp;'Couple Potential'!$X24,'LTM data'!$A$47:$A$66&amp;'LTM data'!$C$47:$C$66,0),MATCH('Couple Potential'!$W24,'LTM data'!$D$46:$W$46,0))+INDEX('LTM data'!$D$47:$W$66,MATCH(RIGHT(I$6,4)&amp;'Couple Potential'!$X24,'LTM data'!$A$47:$A$66&amp;'LTM data'!$C$47:$C$66,0),MATCH('Couple Potential'!$V24,'LTM data'!$D$46:$W$46,0))</f>
        <v>6086.2940157000003</v>
      </c>
      <c r="J24" s="39">
        <f t="array" ref="J24">INDEX($AE$7:$AH$63,MATCH($V24&amp;$W24,$AA$7:$AA$63&amp;$AB$7:$AB$63,0),MATCH($E24,$AE$6:$AH$6,0))+INDEX('LTM data'!$D$47:$W$66,MATCH(RIGHT(J$6,4)&amp;'Couple Potential'!$X24,'LTM data'!$A$47:$A$66&amp;'LTM data'!$C$47:$C$66,0),MATCH('Couple Potential'!$W24,'LTM data'!$D$46:$W$46,0))+INDEX('LTM data'!$D$47:$W$66,MATCH(RIGHT(J$6,4)&amp;'Couple Potential'!$X24,'LTM data'!$A$47:$A$66&amp;'LTM data'!$C$47:$C$66,0),MATCH('Couple Potential'!$V24,'LTM data'!$D$46:$W$46,0))</f>
        <v>6160.0147601109202</v>
      </c>
      <c r="K24" s="39">
        <v>15</v>
      </c>
      <c r="L24" s="23" t="str">
        <f t="array" ref="L24">"Max production of "&amp;E24&amp;" travel demand by "&amp;V24&amp;" and "&amp;W24</f>
        <v>Max production of TPXS travel demand by Public bus and Metro</v>
      </c>
      <c r="M24" s="23"/>
      <c r="N24" s="23"/>
      <c r="O24" s="23"/>
      <c r="P24" s="23"/>
      <c r="Q24" s="23"/>
      <c r="R24" s="23"/>
      <c r="U24" s="39" t="s">
        <v>71</v>
      </c>
      <c r="V24" s="39" t="s">
        <v>71</v>
      </c>
      <c r="W24" s="39" t="s">
        <v>67</v>
      </c>
      <c r="X24" s="39" t="s">
        <v>84</v>
      </c>
      <c r="AA24" s="39" t="s">
        <v>66</v>
      </c>
      <c r="AB24" s="39" t="s">
        <v>70</v>
      </c>
      <c r="AD24" s="39" t="s">
        <v>316</v>
      </c>
      <c r="AE24" s="104">
        <f t="array" ref="AE24">IF(AP24=0,99999,AP24-(INDEX($AK$8:$AK$67,MATCH($AB24&amp;AE$6,$AM$8:$AM$67&amp;$AL$8:$AL$67,0))+INDEX($AK$8:$AK$67,MATCH($AA24&amp;AE$6,$AM$8:$AM$67&amp;$AL$8:$AL$67,0))))</f>
        <v>99999</v>
      </c>
      <c r="AF24" s="40">
        <f t="array" ref="AF24">IF(AQ24=0,99999,AQ24-(INDEX($AK$8:$AK$67,MATCH($AB24&amp;AF$6,$AM$8:$AM$67&amp;$AL$8:$AL$67,0))+INDEX($AK$8:$AK$67,MATCH($AA24&amp;AF$6,$AM$8:$AM$67&amp;$AL$8:$AL$67,0))))</f>
        <v>23071.59502968657</v>
      </c>
      <c r="AG24" s="104">
        <f t="array" ref="AG24">IF(AR24=0,99999,AR24-(INDEX($AK$8:$AK$67,MATCH($AB24&amp;AG$6,$AM$8:$AM$67&amp;$AL$8:$AL$67,0))+INDEX($AK$8:$AK$67,MATCH($AA24&amp;AG$6,$AM$8:$AM$67&amp;$AL$8:$AL$67,0))))</f>
        <v>99999</v>
      </c>
      <c r="AH24" s="104">
        <f t="array" ref="AH24">IF(AS24=0,99999,AS24-(INDEX($AK$8:$AK$67,MATCH($AB24&amp;AH$6,$AM$8:$AM$67&amp;$AL$8:$AL$67,0))+INDEX($AK$8:$AK$67,MATCH($AA24&amp;AH$6,$AM$8:$AM$67&amp;$AL$8:$AL$67,0))))</f>
        <v>99999</v>
      </c>
      <c r="AJ24" s="39" t="s">
        <v>267</v>
      </c>
      <c r="AK24" s="39">
        <v>1693.7605286842559</v>
      </c>
      <c r="AL24" s="39" t="s">
        <v>83</v>
      </c>
      <c r="AM24" s="39" t="s">
        <v>71</v>
      </c>
      <c r="AO24" s="39" t="s">
        <v>316</v>
      </c>
      <c r="AP24" s="100">
        <v>0</v>
      </c>
      <c r="AQ24" s="40">
        <v>24449.953318</v>
      </c>
      <c r="AR24" s="100">
        <v>0</v>
      </c>
      <c r="AS24" s="100">
        <v>0</v>
      </c>
      <c r="AT24" s="40"/>
      <c r="AU24" s="40"/>
      <c r="AV24" s="40"/>
    </row>
    <row r="25" spans="2:48">
      <c r="B25" s="23" t="str">
        <f t="shared" si="1"/>
        <v>UC_Up_Public bus-S-Train_TPXS</v>
      </c>
      <c r="C25" s="39" t="str">
        <f t="shared" si="2"/>
        <v>TPBU*,TPRS*</v>
      </c>
      <c r="D25" s="39" t="str">
        <f t="shared" si="3"/>
        <v>TRA*</v>
      </c>
      <c r="E25" s="39" t="str">
        <f t="shared" si="4"/>
        <v>TPXS</v>
      </c>
      <c r="F25" s="39" t="s">
        <v>78</v>
      </c>
      <c r="G25" s="39">
        <v>2010</v>
      </c>
      <c r="H25" s="39">
        <v>1</v>
      </c>
      <c r="I25" s="39">
        <f t="array" ref="I25">INDEX($AE$7:$AH$63,MATCH($V25&amp;$W25,$AA$7:$AA$63&amp;$AB$7:$AB$63,0),MATCH($E25,$AE$6:$AH$6,0))+INDEX('LTM data'!$D$47:$W$66,MATCH(RIGHT(I$6,4)&amp;'Couple Potential'!$X25,'LTM data'!$A$47:$A$66&amp;'LTM data'!$C$47:$C$66,0),MATCH('Couple Potential'!$W25,'LTM data'!$D$46:$W$46,0))+INDEX('LTM data'!$D$47:$W$66,MATCH(RIGHT(I$6,4)&amp;'Couple Potential'!$X25,'LTM data'!$A$47:$A$66&amp;'LTM data'!$C$47:$C$66,0),MATCH('Couple Potential'!$V25,'LTM data'!$D$46:$W$46,0))</f>
        <v>6086.2940157000003</v>
      </c>
      <c r="J25" s="39">
        <f t="array" ref="J25">INDEX($AE$7:$AH$63,MATCH($V25&amp;$W25,$AA$7:$AA$63&amp;$AB$7:$AB$63,0),MATCH($E25,$AE$6:$AH$6,0))+INDEX('LTM data'!$D$47:$W$66,MATCH(RIGHT(J$6,4)&amp;'Couple Potential'!$X25,'LTM data'!$A$47:$A$66&amp;'LTM data'!$C$47:$C$66,0),MATCH('Couple Potential'!$W25,'LTM data'!$D$46:$W$46,0))+INDEX('LTM data'!$D$47:$W$66,MATCH(RIGHT(J$6,4)&amp;'Couple Potential'!$X25,'LTM data'!$A$47:$A$66&amp;'LTM data'!$C$47:$C$66,0),MATCH('Couple Potential'!$V25,'LTM data'!$D$46:$W$46,0))</f>
        <v>6036.6312892438636</v>
      </c>
      <c r="K25" s="39">
        <v>15</v>
      </c>
      <c r="L25" s="23" t="str">
        <f t="array" ref="L25">"Max production of "&amp;E25&amp;" travel demand by "&amp;V25&amp;" and "&amp;W25</f>
        <v>Max production of TPXS travel demand by Public bus and S-Train</v>
      </c>
      <c r="M25" s="23"/>
      <c r="N25" s="23"/>
      <c r="O25" s="23"/>
      <c r="P25" s="23"/>
      <c r="Q25" s="23"/>
      <c r="R25" s="23"/>
      <c r="U25" s="39" t="s">
        <v>71</v>
      </c>
      <c r="V25" s="39" t="s">
        <v>71</v>
      </c>
      <c r="W25" s="39" t="s">
        <v>343</v>
      </c>
      <c r="X25" s="39" t="s">
        <v>84</v>
      </c>
      <c r="AA25" s="39" t="s">
        <v>66</v>
      </c>
      <c r="AB25" s="39" t="s">
        <v>72</v>
      </c>
      <c r="AD25" s="101" t="s">
        <v>315</v>
      </c>
      <c r="AE25" s="102">
        <f t="array" ref="AE25">IF(AP25=0,99999,AP25-(INDEX($AK$8:$AK$67,MATCH($AB25&amp;AE$6,$AM$8:$AM$67&amp;$AL$8:$AL$67,0))+INDEX($AK$8:$AK$67,MATCH($AA25&amp;AE$6,$AM$8:$AM$67&amp;$AL$8:$AL$67,0))))</f>
        <v>446.77192635322444</v>
      </c>
      <c r="AF25" s="102">
        <f t="array" ref="AF25">IF(AQ25=0,99999,AQ25-(INDEX($AK$8:$AK$67,MATCH($AB25&amp;AF$6,$AM$8:$AM$67&amp;$AL$8:$AL$67,0))+INDEX($AK$8:$AK$67,MATCH($AA25&amp;AF$6,$AM$8:$AM$67&amp;$AL$8:$AL$67,0))))</f>
        <v>3388.6050525611354</v>
      </c>
      <c r="AG25" s="105">
        <f t="array" ref="AG25">IF(AR25=0,99999,AR25-(INDEX($AK$8:$AK$67,MATCH($AB25&amp;AG$6,$AM$8:$AM$67&amp;$AL$8:$AL$67,0))+INDEX($AK$8:$AK$67,MATCH($AA25&amp;AG$6,$AM$8:$AM$67&amp;$AL$8:$AL$67,0))))</f>
        <v>99999</v>
      </c>
      <c r="AH25" s="105">
        <f t="array" ref="AH25">IF(AS25=0,99999,AS25-(INDEX($AK$8:$AK$67,MATCH($AB25&amp;AH$6,$AM$8:$AM$67&amp;$AL$8:$AL$67,0))+INDEX($AK$8:$AK$67,MATCH($AA25&amp;AH$6,$AM$8:$AM$67&amp;$AL$8:$AL$67,0))))</f>
        <v>99999</v>
      </c>
      <c r="AJ25" s="39" t="s">
        <v>266</v>
      </c>
      <c r="AK25" s="39">
        <v>486.97387171804701</v>
      </c>
      <c r="AL25" s="39" t="s">
        <v>82</v>
      </c>
      <c r="AM25" s="39" t="s">
        <v>71</v>
      </c>
      <c r="AO25" s="101" t="s">
        <v>315</v>
      </c>
      <c r="AP25" s="102">
        <v>5120.5842825999998</v>
      </c>
      <c r="AQ25" s="102">
        <v>20202.5098598</v>
      </c>
      <c r="AR25" s="103"/>
      <c r="AS25" s="103"/>
      <c r="AT25" s="40"/>
      <c r="AU25" s="40"/>
      <c r="AV25" s="40"/>
    </row>
    <row r="26" spans="2:48">
      <c r="B26" s="23" t="str">
        <f t="shared" si="1"/>
        <v>UC_Up_Public bus-Moto_TPXS</v>
      </c>
      <c r="C26" s="39" t="str">
        <f t="shared" si="2"/>
        <v>TPBU*,TPMT*</v>
      </c>
      <c r="D26" s="39" t="str">
        <f t="shared" si="3"/>
        <v>TRA*</v>
      </c>
      <c r="E26" s="39" t="str">
        <f t="shared" si="4"/>
        <v>TPXS</v>
      </c>
      <c r="F26" s="39" t="s">
        <v>78</v>
      </c>
      <c r="G26" s="39">
        <v>2010</v>
      </c>
      <c r="H26" s="39">
        <v>1</v>
      </c>
      <c r="I26" s="39">
        <f t="array" ref="I26">INDEX($AE$7:$AH$63,MATCH($V26&amp;$W26,$AA$7:$AA$63&amp;$AB$7:$AB$63,0),MATCH($E26,$AE$6:$AH$6,0))+INDEX('LTM data'!$D$47:$W$66,MATCH(RIGHT(I$6,4)&amp;'Couple Potential'!$X26,'LTM data'!$A$47:$A$66&amp;'LTM data'!$C$47:$C$66,0),MATCH('Couple Potential'!$W26,'LTM data'!$D$46:$W$46,0))+INDEX('LTM data'!$D$47:$W$66,MATCH(RIGHT(I$6,4)&amp;'Couple Potential'!$X26,'LTM data'!$A$47:$A$66&amp;'LTM data'!$C$47:$C$66,0),MATCH('Couple Potential'!$V26,'LTM data'!$D$46:$W$46,0))</f>
        <v>100588.71317344623</v>
      </c>
      <c r="J26" s="39">
        <f t="array" ref="J26">INDEX($AE$7:$AH$63,MATCH($V26&amp;$W26,$AA$7:$AA$63&amp;$AB$7:$AB$63,0),MATCH($E26,$AE$6:$AH$6,0))+INDEX('LTM data'!$D$47:$W$66,MATCH(RIGHT(J$6,4)&amp;'Couple Potential'!$X26,'LTM data'!$A$47:$A$66&amp;'LTM data'!$C$47:$C$66,0),MATCH('Couple Potential'!$W26,'LTM data'!$D$46:$W$46,0))+INDEX('LTM data'!$D$47:$W$66,MATCH(RIGHT(J$6,4)&amp;'Couple Potential'!$X26,'LTM data'!$A$47:$A$66&amp;'LTM data'!$C$47:$C$66,0),MATCH('Couple Potential'!$V26,'LTM data'!$D$46:$W$46,0))</f>
        <v>100538.24937543443</v>
      </c>
      <c r="K26" s="39">
        <v>15</v>
      </c>
      <c r="L26" s="23" t="str">
        <f t="array" ref="L26">"Max production of "&amp;E26&amp;" travel demand by "&amp;V26&amp;" and "&amp;W26</f>
        <v>Max production of TPXS travel demand by Public bus and Moto</v>
      </c>
      <c r="M26" s="23"/>
      <c r="N26" s="23"/>
      <c r="O26" s="23"/>
      <c r="P26" s="23"/>
      <c r="Q26" s="23"/>
      <c r="R26" s="23"/>
      <c r="U26" s="39" t="s">
        <v>71</v>
      </c>
      <c r="V26" s="39" t="s">
        <v>71</v>
      </c>
      <c r="W26" s="39" t="s">
        <v>64</v>
      </c>
      <c r="X26" s="39" t="s">
        <v>84</v>
      </c>
      <c r="AA26" s="39" t="s">
        <v>71</v>
      </c>
      <c r="AB26" s="39" t="s">
        <v>70</v>
      </c>
      <c r="AD26" s="39" t="s">
        <v>314</v>
      </c>
      <c r="AE26" s="104">
        <f t="array" ref="AE26">IF(AP26=0,99999,AP26-(INDEX($AK$8:$AK$67,MATCH($AB26&amp;AE$6,$AM$8:$AM$67&amp;$AL$8:$AL$67,0))+INDEX($AK$8:$AK$67,MATCH($AA26&amp;AE$6,$AM$8:$AM$67&amp;$AL$8:$AL$67,0))))</f>
        <v>99999</v>
      </c>
      <c r="AF26" s="40">
        <f t="array" ref="AF26">IF(AQ26=0,99999,AQ26-(INDEX($AK$8:$AK$67,MATCH($AB26&amp;AF$6,$AM$8:$AM$67&amp;$AL$8:$AL$67,0))+INDEX($AK$8:$AK$67,MATCH($AA26&amp;AF$6,$AM$8:$AM$67&amp;$AL$8:$AL$67,0))))</f>
        <v>22181.177948927452</v>
      </c>
      <c r="AG26" s="40">
        <f t="array" ref="AG26">IF(AR26=0,99999,AR26-(INDEX($AK$8:$AK$67,MATCH($AB26&amp;AG$6,$AM$8:$AM$67&amp;$AL$8:$AL$67,0))+INDEX($AK$8:$AK$67,MATCH($AA26&amp;AG$6,$AM$8:$AM$67&amp;$AL$8:$AL$67,0))))</f>
        <v>16422.865875903615</v>
      </c>
      <c r="AH26" s="40">
        <f t="array" ref="AH26">IF(AS26=0,99999,AS26-(INDEX($AK$8:$AK$67,MATCH($AB26&amp;AH$6,$AM$8:$AM$67&amp;$AL$8:$AL$67,0))+INDEX($AK$8:$AK$67,MATCH($AA26&amp;AH$6,$AM$8:$AM$67&amp;$AL$8:$AL$67,0))))</f>
        <v>25105.478833215158</v>
      </c>
      <c r="AJ26" s="39" t="s">
        <v>265</v>
      </c>
      <c r="AK26" s="39">
        <v>278.55242615147404</v>
      </c>
      <c r="AL26" s="39" t="s">
        <v>79</v>
      </c>
      <c r="AM26" s="39" t="s">
        <v>71</v>
      </c>
      <c r="AO26" s="39" t="s">
        <v>314</v>
      </c>
      <c r="AP26" s="100">
        <v>0</v>
      </c>
      <c r="AQ26" s="40">
        <v>24269.479359000001</v>
      </c>
      <c r="AR26" s="40">
        <v>17299.3076139</v>
      </c>
      <c r="AS26" s="40">
        <v>28435.022511700001</v>
      </c>
      <c r="AT26" s="40"/>
      <c r="AU26" s="40"/>
      <c r="AV26" s="40"/>
    </row>
    <row r="27" spans="2:48">
      <c r="B27" s="23" t="str">
        <f t="shared" si="1"/>
        <v>UC_Up_Public bus-Moped_TPXS</v>
      </c>
      <c r="C27" s="39" t="str">
        <f t="shared" si="2"/>
        <v>TPBU*,TPMP*</v>
      </c>
      <c r="D27" s="39" t="str">
        <f t="shared" si="3"/>
        <v>TRA*</v>
      </c>
      <c r="E27" s="39" t="str">
        <f t="shared" si="4"/>
        <v>TPXS</v>
      </c>
      <c r="F27" s="39" t="s">
        <v>78</v>
      </c>
      <c r="G27" s="39">
        <v>2010</v>
      </c>
      <c r="H27" s="39">
        <v>1</v>
      </c>
      <c r="I27" s="39">
        <f t="array" ref="I27">INDEX($AE$7:$AH$63,MATCH($V27&amp;$W27,$AA$7:$AA$63&amp;$AB$7:$AB$63,0),MATCH($E27,$AE$6:$AH$6,0))+INDEX('LTM data'!$D$47:$W$66,MATCH(RIGHT(I$6,4)&amp;'Couple Potential'!$X27,'LTM data'!$A$47:$A$66&amp;'LTM data'!$C$47:$C$66,0),MATCH('Couple Potential'!$W27,'LTM data'!$D$46:$W$46,0))+INDEX('LTM data'!$D$47:$W$66,MATCH(RIGHT(I$6,4)&amp;'Couple Potential'!$X27,'LTM data'!$A$47:$A$66&amp;'LTM data'!$C$47:$C$66,0),MATCH('Couple Potential'!$V27,'LTM data'!$D$46:$W$46,0))</f>
        <v>6742.3514186999992</v>
      </c>
      <c r="J27" s="39">
        <f t="array" ref="J27">INDEX($AE$7:$AH$63,MATCH($V27&amp;$W27,$AA$7:$AA$63&amp;$AB$7:$AB$63,0),MATCH($E27,$AE$6:$AH$6,0))+INDEX('LTM data'!$D$47:$W$66,MATCH(RIGHT(J$6,4)&amp;'Couple Potential'!$X27,'LTM data'!$A$47:$A$66&amp;'LTM data'!$C$47:$C$66,0),MATCH('Couple Potential'!$W27,'LTM data'!$D$46:$W$46,0))+INDEX('LTM data'!$D$47:$W$66,MATCH(RIGHT(J$6,4)&amp;'Couple Potential'!$X27,'LTM data'!$A$47:$A$66&amp;'LTM data'!$C$47:$C$66,0),MATCH('Couple Potential'!$V27,'LTM data'!$D$46:$W$46,0))</f>
        <v>6684.649786177868</v>
      </c>
      <c r="K27" s="39">
        <v>15</v>
      </c>
      <c r="L27" s="23" t="str">
        <f t="array" ref="L27">"Max production of "&amp;E27&amp;" travel demand by "&amp;V27&amp;" and "&amp;W27</f>
        <v>Max production of TPXS travel demand by Public bus and Moped</v>
      </c>
      <c r="M27" s="23"/>
      <c r="N27" s="23"/>
      <c r="O27" s="23"/>
      <c r="P27" s="23"/>
      <c r="Q27" s="23"/>
      <c r="R27" s="23"/>
      <c r="U27" s="39" t="s">
        <v>71</v>
      </c>
      <c r="V27" s="39" t="s">
        <v>71</v>
      </c>
      <c r="W27" s="39" t="s">
        <v>63</v>
      </c>
      <c r="X27" s="39" t="s">
        <v>84</v>
      </c>
      <c r="AA27" s="39" t="s">
        <v>71</v>
      </c>
      <c r="AB27" s="39" t="s">
        <v>69</v>
      </c>
      <c r="AD27" s="39" t="s">
        <v>313</v>
      </c>
      <c r="AE27" s="104">
        <f t="array" ref="AE27">IF(AP27=0,99999,AP27-(INDEX($AK$8:$AK$67,MATCH($AB27&amp;AE$6,$AM$8:$AM$67&amp;$AL$8:$AL$67,0))+INDEX($AK$8:$AK$67,MATCH($AA27&amp;AE$6,$AM$8:$AM$67&amp;$AL$8:$AL$67,0))))</f>
        <v>99999</v>
      </c>
      <c r="AF27" s="40">
        <f t="array" ref="AF27">IF(AQ27=0,99999,AQ27-(INDEX($AK$8:$AK$67,MATCH($AB27&amp;AF$6,$AM$8:$AM$67&amp;$AL$8:$AL$67,0))+INDEX($AK$8:$AK$67,MATCH($AA27&amp;AF$6,$AM$8:$AM$67&amp;$AL$8:$AL$67,0))))</f>
        <v>21731.37377450414</v>
      </c>
      <c r="AG27" s="40">
        <f t="array" ref="AG27">IF(AR27=0,99999,AR27-(INDEX($AK$8:$AK$67,MATCH($AB27&amp;AG$6,$AM$8:$AM$67&amp;$AL$8:$AL$67,0))+INDEX($AK$8:$AK$67,MATCH($AA27&amp;AG$6,$AM$8:$AM$67&amp;$AL$8:$AL$67,0))))</f>
        <v>14600.207890241642</v>
      </c>
      <c r="AH27" s="40">
        <f t="array" ref="AH27">IF(AS27=0,99999,AS27-(INDEX($AK$8:$AK$67,MATCH($AB27&amp;AH$6,$AM$8:$AM$67&amp;$AL$8:$AL$67,0))+INDEX($AK$8:$AK$67,MATCH($AA27&amp;AH$6,$AM$8:$AM$67&amp;$AL$8:$AL$67,0))))</f>
        <v>22789.141898732352</v>
      </c>
      <c r="AJ27" s="39" t="s">
        <v>264</v>
      </c>
      <c r="AK27" s="39">
        <v>394.54088138829201</v>
      </c>
      <c r="AL27" s="39" t="s">
        <v>83</v>
      </c>
      <c r="AM27" s="39" t="s">
        <v>70</v>
      </c>
      <c r="AO27" s="39" t="s">
        <v>313</v>
      </c>
      <c r="AP27" s="100">
        <v>0</v>
      </c>
      <c r="AQ27" s="40">
        <v>23838.512297400001</v>
      </c>
      <c r="AR27" s="40">
        <v>16010.203642300001</v>
      </c>
      <c r="AS27" s="40">
        <v>26278.594511499999</v>
      </c>
      <c r="AT27" s="40"/>
      <c r="AU27" s="40"/>
      <c r="AV27" s="40"/>
    </row>
    <row r="28" spans="2:48">
      <c r="B28" s="23" t="str">
        <f t="shared" si="1"/>
        <v>UC_Up_Public bus-Car_TPXS</v>
      </c>
      <c r="C28" s="39" t="str">
        <f t="shared" si="2"/>
        <v>TPBU*,TPCA*</v>
      </c>
      <c r="D28" s="39" t="str">
        <f t="shared" si="3"/>
        <v>TRA*</v>
      </c>
      <c r="E28" s="39" t="str">
        <f t="shared" si="4"/>
        <v>TPXS</v>
      </c>
      <c r="F28" s="39" t="s">
        <v>78</v>
      </c>
      <c r="G28" s="39">
        <v>2010</v>
      </c>
      <c r="H28" s="39">
        <v>1</v>
      </c>
      <c r="I28" s="39">
        <f t="array" ref="I28">INDEX($AE$7:$AH$63,MATCH($V28&amp;$W28,$AA$7:$AA$63&amp;$AB$7:$AB$63,0),MATCH($E28,$AE$6:$AH$6,0))+INDEX('LTM data'!$D$47:$W$66,MATCH(RIGHT(I$6,4)&amp;'Couple Potential'!$X28,'LTM data'!$A$47:$A$66&amp;'LTM data'!$C$47:$C$66,0),MATCH('Couple Potential'!$W28,'LTM data'!$D$46:$W$46,0))+INDEX('LTM data'!$D$47:$W$66,MATCH(RIGHT(I$6,4)&amp;'Couple Potential'!$X28,'LTM data'!$A$47:$A$66&amp;'LTM data'!$C$47:$C$66,0),MATCH('Couple Potential'!$V28,'LTM data'!$D$46:$W$46,0))</f>
        <v>6006.3212056999982</v>
      </c>
      <c r="J28" s="39">
        <f t="array" ref="J28">INDEX($AE$7:$AH$63,MATCH($V28&amp;$W28,$AA$7:$AA$63&amp;$AB$7:$AB$63,0),MATCH($E28,$AE$6:$AH$6,0))+INDEX('LTM data'!$D$47:$W$66,MATCH(RIGHT(J$6,4)&amp;'Couple Potential'!$X28,'LTM data'!$A$47:$A$66&amp;'LTM data'!$C$47:$C$66,0),MATCH('Couple Potential'!$W28,'LTM data'!$D$46:$W$46,0))+INDEX('LTM data'!$D$47:$W$66,MATCH(RIGHT(J$6,4)&amp;'Couple Potential'!$X28,'LTM data'!$A$47:$A$66&amp;'LTM data'!$C$47:$C$66,0),MATCH('Couple Potential'!$V28,'LTM data'!$D$46:$W$46,0))</f>
        <v>7455.6164629083942</v>
      </c>
      <c r="K28" s="39">
        <v>15</v>
      </c>
      <c r="L28" s="23" t="str">
        <f t="array" ref="L28">"Max production of "&amp;E28&amp;" travel demand by "&amp;V28&amp;" and "&amp;W28</f>
        <v>Max production of TPXS travel demand by Public bus and Car</v>
      </c>
      <c r="M28" s="23"/>
      <c r="N28" s="23"/>
      <c r="O28" s="23"/>
      <c r="P28" s="23"/>
      <c r="Q28" s="23"/>
      <c r="R28" s="23"/>
      <c r="U28" s="39" t="s">
        <v>71</v>
      </c>
      <c r="V28" s="39" t="s">
        <v>71</v>
      </c>
      <c r="W28" s="39" t="s">
        <v>72</v>
      </c>
      <c r="X28" s="39" t="s">
        <v>84</v>
      </c>
      <c r="AA28" s="39" t="s">
        <v>358</v>
      </c>
      <c r="AB28" s="39" t="s">
        <v>355</v>
      </c>
      <c r="AD28" s="39" t="s">
        <v>312</v>
      </c>
      <c r="AE28" s="40">
        <f t="array" ref="AE28">IF(AP28=0,99999,AP28-(INDEX($AK$8:$AK$67,MATCH($AB28&amp;AE$6,$AM$8:$AM$67&amp;$AL$8:$AL$67,0))+INDEX($AK$8:$AK$67,MATCH($AA28&amp;AE$6,$AM$8:$AM$67&amp;$AL$8:$AL$67,0))))</f>
        <v>2233.8470069177838</v>
      </c>
      <c r="AF28" s="40">
        <f t="array" ref="AF28">IF(AQ28=0,99999,AQ28-(INDEX($AK$8:$AK$67,MATCH($AB28&amp;AF$6,$AM$8:$AM$67&amp;$AL$8:$AL$67,0))+INDEX($AK$8:$AK$67,MATCH($AA28&amp;AF$6,$AM$8:$AM$67&amp;$AL$8:$AL$67,0))))</f>
        <v>4387.0460221316152</v>
      </c>
      <c r="AG28" s="104">
        <f t="array" ref="AG28">IF(AR28=0,99999,AR28-(INDEX($AK$8:$AK$67,MATCH($AB28&amp;AG$6,$AM$8:$AM$67&amp;$AL$8:$AL$67,0))+INDEX($AK$8:$AK$67,MATCH($AA28&amp;AG$6,$AM$8:$AM$67&amp;$AL$8:$AL$67,0))))</f>
        <v>99999</v>
      </c>
      <c r="AH28" s="104">
        <f t="array" ref="AH28">IF(AS28=0,99999,AS28-(INDEX($AK$8:$AK$67,MATCH($AB28&amp;AH$6,$AM$8:$AM$67&amp;$AL$8:$AL$67,0))+INDEX($AK$8:$AK$67,MATCH($AA28&amp;AH$6,$AM$8:$AM$67&amp;$AL$8:$AL$67,0))))</f>
        <v>99999</v>
      </c>
      <c r="AJ28" s="39" t="s">
        <v>263</v>
      </c>
      <c r="AK28" s="39">
        <v>389.46786627833899</v>
      </c>
      <c r="AL28" s="39" t="s">
        <v>82</v>
      </c>
      <c r="AM28" s="39" t="s">
        <v>70</v>
      </c>
      <c r="AO28" s="39" t="s">
        <v>312</v>
      </c>
      <c r="AP28" s="40">
        <v>2678.8760390000002</v>
      </c>
      <c r="AQ28" s="40">
        <v>5557.3165362999998</v>
      </c>
      <c r="AR28" s="40">
        <v>0</v>
      </c>
      <c r="AS28" s="40">
        <v>0</v>
      </c>
      <c r="AT28" s="40"/>
      <c r="AU28" s="40"/>
      <c r="AV28" s="40"/>
    </row>
    <row r="29" spans="2:48">
      <c r="B29" s="23" t="str">
        <f t="shared" si="1"/>
        <v>*</v>
      </c>
      <c r="C29" s="39" t="str">
        <f t="shared" si="2"/>
        <v>TPCO*,TPRO*</v>
      </c>
      <c r="D29" s="39" t="str">
        <f t="shared" si="3"/>
        <v>TRA*</v>
      </c>
      <c r="E29" s="39" t="str">
        <f t="shared" si="4"/>
        <v>TPXS</v>
      </c>
      <c r="F29" s="39" t="s">
        <v>78</v>
      </c>
      <c r="G29" s="39">
        <v>2010</v>
      </c>
      <c r="H29" s="39">
        <v>1</v>
      </c>
      <c r="I29" s="39">
        <f t="array" ref="I29">INDEX($AE$7:$AH$63,MATCH($V29&amp;$W29,$AA$7:$AA$63&amp;$AB$7:$AB$63,0),MATCH($E29,$AE$6:$AH$6,0))+INDEX('LTM data'!$D$47:$W$66,MATCH(RIGHT(I$6,4)&amp;'Couple Potential'!$X29,'LTM data'!$A$47:$A$66&amp;'LTM data'!$C$47:$C$66,0),MATCH('Couple Potential'!$W29,'LTM data'!$D$46:$W$46,0))+INDEX('LTM data'!$D$47:$W$66,MATCH(RIGHT(I$6,4)&amp;'Couple Potential'!$X29,'LTM data'!$A$47:$A$66&amp;'LTM data'!$C$47:$C$66,0),MATCH('Couple Potential'!$V29,'LTM data'!$D$46:$W$46,0))</f>
        <v>99999</v>
      </c>
      <c r="J29" s="39">
        <f t="array" ref="J29">INDEX($AE$7:$AH$63,MATCH($V29&amp;$W29,$AA$7:$AA$63&amp;$AB$7:$AB$63,0),MATCH($E29,$AE$6:$AH$6,0))+INDEX('LTM data'!$D$47:$W$66,MATCH(RIGHT(J$6,4)&amp;'Couple Potential'!$X29,'LTM data'!$A$47:$A$66&amp;'LTM data'!$C$47:$C$66,0),MATCH('Couple Potential'!$W29,'LTM data'!$D$46:$W$46,0))+INDEX('LTM data'!$D$47:$W$66,MATCH(RIGHT(J$6,4)&amp;'Couple Potential'!$X29,'LTM data'!$A$47:$A$66&amp;'LTM data'!$C$47:$C$66,0),MATCH('Couple Potential'!$V29,'LTM data'!$D$46:$W$46,0))</f>
        <v>99999</v>
      </c>
      <c r="K29" s="39">
        <v>15</v>
      </c>
      <c r="L29" s="23" t="str">
        <f t="array" ref="L29">"Max production of "&amp;E29&amp;" travel demand by "&amp;V29&amp;" and "&amp;W29</f>
        <v>Max production of TPXS travel demand by Coach and Train</v>
      </c>
      <c r="M29" s="23"/>
      <c r="N29" s="23"/>
      <c r="O29" s="23"/>
      <c r="P29" s="23"/>
      <c r="Q29" s="23"/>
      <c r="R29" s="23"/>
      <c r="U29" s="39" t="s">
        <v>70</v>
      </c>
      <c r="V29" s="39" t="s">
        <v>70</v>
      </c>
      <c r="W29" s="39" t="s">
        <v>69</v>
      </c>
      <c r="X29" s="39" t="s">
        <v>84</v>
      </c>
      <c r="AA29" s="39" t="s">
        <v>71</v>
      </c>
      <c r="AB29" s="39" t="s">
        <v>67</v>
      </c>
      <c r="AD29" s="39" t="s">
        <v>311</v>
      </c>
      <c r="AE29" s="40">
        <f t="array" ref="AE29">IF(AP29=0,99999,AP29-(INDEX($AK$8:$AK$67,MATCH($AB29&amp;AE$6,$AM$8:$AM$67&amp;$AL$8:$AL$67,0))+INDEX($AK$8:$AK$67,MATCH($AA29&amp;AE$6,$AM$8:$AM$67&amp;$AL$8:$AL$67,0))))</f>
        <v>5404.2731741750058</v>
      </c>
      <c r="AF29" s="40">
        <f t="array" ref="AF29">IF(AQ29=0,99999,AQ29-(INDEX($AK$8:$AK$67,MATCH($AB29&amp;AF$6,$AM$8:$AM$67&amp;$AL$8:$AL$67,0))+INDEX($AK$8:$AK$67,MATCH($AA29&amp;AF$6,$AM$8:$AM$67&amp;$AL$8:$AL$67,0))))</f>
        <v>14224.5106683946</v>
      </c>
      <c r="AG29" s="104">
        <f t="array" ref="AG29">IF(AR29=0,99999,AR29-(INDEX($AK$8:$AK$67,MATCH($AB29&amp;AG$6,$AM$8:$AM$67&amp;$AL$8:$AL$67,0))+INDEX($AK$8:$AK$67,MATCH($AA29&amp;AG$6,$AM$8:$AM$67&amp;$AL$8:$AL$67,0))))</f>
        <v>99999</v>
      </c>
      <c r="AH29" s="104">
        <f t="array" ref="AH29">IF(AS29=0,99999,AS29-(INDEX($AK$8:$AK$67,MATCH($AB29&amp;AH$6,$AM$8:$AM$67&amp;$AL$8:$AL$67,0))+INDEX($AK$8:$AK$67,MATCH($AA29&amp;AH$6,$AM$8:$AM$67&amp;$AL$8:$AL$67,0))))</f>
        <v>99999</v>
      </c>
      <c r="AJ29" s="39" t="s">
        <v>262</v>
      </c>
      <c r="AK29" s="39">
        <v>3050.9912523333701</v>
      </c>
      <c r="AL29" s="39" t="s">
        <v>79</v>
      </c>
      <c r="AM29" s="39" t="s">
        <v>70</v>
      </c>
      <c r="AO29" s="39" t="s">
        <v>311</v>
      </c>
      <c r="AP29" s="40">
        <v>6086.2940157000003</v>
      </c>
      <c r="AQ29" s="40">
        <v>16075.463572799999</v>
      </c>
      <c r="AR29" s="40"/>
      <c r="AS29" s="40"/>
      <c r="AT29" s="40"/>
      <c r="AU29" s="40"/>
      <c r="AV29" s="40"/>
    </row>
    <row r="30" spans="2:48">
      <c r="B30" s="23" t="str">
        <f t="shared" si="1"/>
        <v>UC_Up_Coach-Metro_TPXS</v>
      </c>
      <c r="C30" s="39" t="str">
        <f t="shared" si="2"/>
        <v>TPCO*,TPRM*</v>
      </c>
      <c r="D30" s="39" t="str">
        <f t="shared" si="3"/>
        <v>TRA*</v>
      </c>
      <c r="E30" s="39" t="str">
        <f t="shared" si="4"/>
        <v>TPXS</v>
      </c>
      <c r="F30" s="39" t="s">
        <v>78</v>
      </c>
      <c r="G30" s="39">
        <v>2010</v>
      </c>
      <c r="H30" s="39">
        <v>1</v>
      </c>
      <c r="I30" s="39">
        <f t="array" ref="I30">INDEX($AE$7:$AH$63,MATCH($V30&amp;$W30,$AA$7:$AA$63&amp;$AB$7:$AB$63,0),MATCH($E30,$AE$6:$AH$6,0))+INDEX('LTM data'!$D$47:$W$66,MATCH(RIGHT(I$6,4)&amp;'Couple Potential'!$X30,'LTM data'!$A$47:$A$66&amp;'LTM data'!$C$47:$C$66,0),MATCH('Couple Potential'!$W30,'LTM data'!$D$46:$W$46,0))+INDEX('LTM data'!$D$47:$W$66,MATCH(RIGHT(I$6,4)&amp;'Couple Potential'!$X30,'LTM data'!$A$47:$A$66&amp;'LTM data'!$C$47:$C$66,0),MATCH('Couple Potential'!$V30,'LTM data'!$D$46:$W$46,0))</f>
        <v>100091.30766807876</v>
      </c>
      <c r="J30" s="39">
        <f t="array" ref="J30">INDEX($AE$7:$AH$63,MATCH($V30&amp;$W30,$AA$7:$AA$63&amp;$AB$7:$AB$63,0),MATCH($E30,$AE$6:$AH$6,0))+INDEX('LTM data'!$D$47:$W$66,MATCH(RIGHT(J$6,4)&amp;'Couple Potential'!$X30,'LTM data'!$A$47:$A$66&amp;'LTM data'!$C$47:$C$66,0),MATCH('Couple Potential'!$W30,'LTM data'!$D$46:$W$46,0))+INDEX('LTM data'!$D$47:$W$66,MATCH(RIGHT(J$6,4)&amp;'Couple Potential'!$X30,'LTM data'!$A$47:$A$66&amp;'LTM data'!$C$47:$C$66,0),MATCH('Couple Potential'!$V30,'LTM data'!$D$46:$W$46,0))</f>
        <v>100215.49221050147</v>
      </c>
      <c r="K30" s="39">
        <v>15</v>
      </c>
      <c r="L30" s="23" t="str">
        <f t="array" ref="L30">"Max production of "&amp;E30&amp;" travel demand by "&amp;V30&amp;" and "&amp;W30</f>
        <v>Max production of TPXS travel demand by Coach and Metro</v>
      </c>
      <c r="M30" s="23"/>
      <c r="N30" s="23"/>
      <c r="O30" s="23"/>
      <c r="P30" s="23"/>
      <c r="Q30" s="23"/>
      <c r="R30" s="23"/>
      <c r="U30" s="39" t="s">
        <v>70</v>
      </c>
      <c r="V30" s="39" t="s">
        <v>70</v>
      </c>
      <c r="W30" s="39" t="s">
        <v>67</v>
      </c>
      <c r="X30" s="39" t="s">
        <v>84</v>
      </c>
      <c r="AA30" s="39" t="s">
        <v>358</v>
      </c>
      <c r="AB30" s="39" t="s">
        <v>353</v>
      </c>
      <c r="AD30" s="39" t="s">
        <v>310</v>
      </c>
      <c r="AE30" s="40">
        <f t="array" ref="AE30">IF(AP30=0,99999,AP30-(INDEX($AK$8:$AK$67,MATCH($AB30&amp;AE$6,$AM$8:$AM$67&amp;$AL$8:$AL$67,0))+INDEX($AK$8:$AK$67,MATCH($AA30&amp;AE$6,$AM$8:$AM$67&amp;$AL$8:$AL$67,0))))</f>
        <v>2483.4036371160387</v>
      </c>
      <c r="AF30" s="40">
        <f t="array" ref="AF30">IF(AQ30=0,99999,AQ30-(INDEX($AK$8:$AK$67,MATCH($AB30&amp;AF$6,$AM$8:$AM$67&amp;$AL$8:$AL$67,0))+INDEX($AK$8:$AK$67,MATCH($AA30&amp;AF$6,$AM$8:$AM$67&amp;$AL$8:$AL$67,0))))</f>
        <v>7693.5434690288403</v>
      </c>
      <c r="AG30" s="40">
        <f t="array" ref="AG30">IF(AR30=0,99999,AR30-(INDEX($AK$8:$AK$67,MATCH($AB30&amp;AG$6,$AM$8:$AM$67&amp;$AL$8:$AL$67,0))+INDEX($AK$8:$AK$67,MATCH($AA30&amp;AG$6,$AM$8:$AM$67&amp;$AL$8:$AL$67,0))))</f>
        <v>6580.5153547553546</v>
      </c>
      <c r="AH30" s="104">
        <f t="array" ref="AH30">IF(AS30=0,99999,AS30-(INDEX($AK$8:$AK$67,MATCH($AB30&amp;AH$6,$AM$8:$AM$67&amp;$AL$8:$AL$67,0))+INDEX($AK$8:$AK$67,MATCH($AA30&amp;AH$6,$AM$8:$AM$67&amp;$AL$8:$AL$67,0))))</f>
        <v>99999</v>
      </c>
      <c r="AJ30" s="39" t="s">
        <v>261</v>
      </c>
      <c r="AK30" s="39">
        <v>92.307668078761523</v>
      </c>
      <c r="AL30" s="39" t="s">
        <v>84</v>
      </c>
      <c r="AM30" s="39" t="s">
        <v>67</v>
      </c>
      <c r="AO30" s="39" t="s">
        <v>310</v>
      </c>
      <c r="AP30" s="40">
        <v>2927.5025952999999</v>
      </c>
      <c r="AQ30" s="40">
        <v>9478.2116201000008</v>
      </c>
      <c r="AR30" s="40">
        <v>7287.3833204000002</v>
      </c>
      <c r="AS30" s="40"/>
      <c r="AT30" s="40"/>
      <c r="AU30" s="40"/>
      <c r="AV30" s="40"/>
    </row>
    <row r="31" spans="2:48">
      <c r="B31" s="23" t="str">
        <f t="shared" si="1"/>
        <v>UC_Up_Coach-S-Train_TPXS</v>
      </c>
      <c r="C31" s="39" t="str">
        <f t="shared" si="2"/>
        <v>TPCO*,TPRS*</v>
      </c>
      <c r="D31" s="39" t="str">
        <f t="shared" si="3"/>
        <v>TRA*</v>
      </c>
      <c r="E31" s="39" t="str">
        <f t="shared" si="4"/>
        <v>TPXS</v>
      </c>
      <c r="F31" s="39" t="s">
        <v>78</v>
      </c>
      <c r="G31" s="39">
        <v>2010</v>
      </c>
      <c r="H31" s="39">
        <v>1</v>
      </c>
      <c r="I31" s="39">
        <f t="array" ref="I31">INDEX($AE$7:$AH$63,MATCH($V31&amp;$W31,$AA$7:$AA$63&amp;$AB$7:$AB$63,0),MATCH($E31,$AE$6:$AH$6,0))+INDEX('LTM data'!$D$47:$W$66,MATCH(RIGHT(I$6,4)&amp;'Couple Potential'!$X31,'LTM data'!$A$47:$A$66&amp;'LTM data'!$C$47:$C$66,0),MATCH('Couple Potential'!$W31,'LTM data'!$D$46:$W$46,0))+INDEX('LTM data'!$D$47:$W$66,MATCH(RIGHT(I$6,4)&amp;'Couple Potential'!$X31,'LTM data'!$A$47:$A$66&amp;'LTM data'!$C$47:$C$66,0),MATCH('Couple Potential'!$V31,'LTM data'!$D$46:$W$46,0))</f>
        <v>100090.37759418051</v>
      </c>
      <c r="J31" s="39">
        <f t="array" ref="J31">INDEX($AE$7:$AH$63,MATCH($V31&amp;$W31,$AA$7:$AA$63&amp;$AB$7:$AB$63,0),MATCH($E31,$AE$6:$AH$6,0))+INDEX('LTM data'!$D$47:$W$66,MATCH(RIGHT(J$6,4)&amp;'Couple Potential'!$X31,'LTM data'!$A$47:$A$66&amp;'LTM data'!$C$47:$C$66,0),MATCH('Couple Potential'!$W31,'LTM data'!$D$46:$W$46,0))+INDEX('LTM data'!$D$47:$W$66,MATCH(RIGHT(J$6,4)&amp;'Couple Potential'!$X31,'LTM data'!$A$47:$A$66&amp;'LTM data'!$C$47:$C$66,0),MATCH('Couple Potential'!$V31,'LTM data'!$D$46:$W$46,0))</f>
        <v>100091.17866573617</v>
      </c>
      <c r="K31" s="39">
        <v>15</v>
      </c>
      <c r="L31" s="23" t="str">
        <f t="array" ref="L31">"Max production of "&amp;E31&amp;" travel demand by "&amp;V31&amp;" and "&amp;W31</f>
        <v>Max production of TPXS travel demand by Coach and S-Train</v>
      </c>
      <c r="M31" s="23"/>
      <c r="N31" s="23"/>
      <c r="O31" s="23"/>
      <c r="P31" s="23"/>
      <c r="Q31" s="23"/>
      <c r="R31" s="23"/>
      <c r="U31" s="39" t="s">
        <v>70</v>
      </c>
      <c r="V31" s="39" t="s">
        <v>70</v>
      </c>
      <c r="W31" s="39" t="s">
        <v>343</v>
      </c>
      <c r="X31" s="39" t="s">
        <v>84</v>
      </c>
      <c r="AA31" s="39" t="s">
        <v>71</v>
      </c>
      <c r="AB31" s="39" t="s">
        <v>343</v>
      </c>
      <c r="AD31" s="39" t="s">
        <v>309</v>
      </c>
      <c r="AE31" s="40">
        <f t="array" ref="AE31">IF(AP31=0,99999,AP31-(INDEX($AK$8:$AK$67,MATCH($AB31&amp;AE$6,$AM$8:$AM$67&amp;$AL$8:$AL$67,0))+INDEX($AK$8:$AK$67,MATCH($AA31&amp;AE$6,$AM$8:$AM$67&amp;$AL$8:$AL$67,0))))</f>
        <v>5405.2032480732614</v>
      </c>
      <c r="AF31" s="40">
        <f t="array" ref="AF31">IF(AQ31=0,99999,AQ31-(INDEX($AK$8:$AK$67,MATCH($AB31&amp;AF$6,$AM$8:$AM$67&amp;$AL$8:$AL$67,0))+INDEX($AK$8:$AK$67,MATCH($AA31&amp;AF$6,$AM$8:$AM$67&amp;$AL$8:$AL$67,0))))</f>
        <v>20372.720734191822</v>
      </c>
      <c r="AG31" s="40">
        <f t="array" ref="AG31">IF(AR31=0,99999,AR31-(INDEX($AK$8:$AK$67,MATCH($AB31&amp;AG$6,$AM$8:$AM$67&amp;$AL$8:$AL$67,0))+INDEX($AK$8:$AK$67,MATCH($AA31&amp;AG$6,$AM$8:$AM$67&amp;$AL$8:$AL$67,0))))</f>
        <v>6384.8120464243293</v>
      </c>
      <c r="AH31" s="104">
        <f t="array" ref="AH31">IF(AS31=0,99999,AS31-(INDEX($AK$8:$AK$67,MATCH($AB31&amp;AH$6,$AM$8:$AM$67&amp;$AL$8:$AL$67,0))+INDEX($AK$8:$AK$67,MATCH($AA31&amp;AH$6,$AM$8:$AM$67&amp;$AL$8:$AL$67,0))))</f>
        <v>99999</v>
      </c>
      <c r="AJ31" s="39" t="s">
        <v>260</v>
      </c>
      <c r="AK31" s="39">
        <v>157.19237572114352</v>
      </c>
      <c r="AL31" s="39" t="s">
        <v>83</v>
      </c>
      <c r="AM31" s="39" t="s">
        <v>67</v>
      </c>
      <c r="AO31" s="39" t="s">
        <v>309</v>
      </c>
      <c r="AP31" s="40">
        <v>6086.2940157000003</v>
      </c>
      <c r="AQ31" s="40">
        <v>22838.071275499999</v>
      </c>
      <c r="AR31" s="40">
        <v>7287.3833204000002</v>
      </c>
      <c r="AS31" s="40">
        <v>0</v>
      </c>
      <c r="AT31" s="40"/>
      <c r="AU31" s="40"/>
      <c r="AV31" s="40"/>
    </row>
    <row r="32" spans="2:48">
      <c r="B32" s="23" t="str">
        <f t="shared" si="1"/>
        <v>*</v>
      </c>
      <c r="C32" s="39" t="str">
        <f t="shared" si="2"/>
        <v>TPCO*,TPMT*</v>
      </c>
      <c r="D32" s="39" t="str">
        <f t="shared" si="3"/>
        <v>TRA*</v>
      </c>
      <c r="E32" s="39" t="str">
        <f t="shared" si="4"/>
        <v>TPXS</v>
      </c>
      <c r="F32" s="39" t="s">
        <v>78</v>
      </c>
      <c r="G32" s="39">
        <v>2010</v>
      </c>
      <c r="H32" s="39">
        <v>1</v>
      </c>
      <c r="I32" s="39">
        <f t="array" ref="I32">INDEX($AE$7:$AH$63,MATCH($V32&amp;$W32,$AA$7:$AA$63&amp;$AB$7:$AB$63,0),MATCH($E32,$AE$6:$AH$6,0))+INDEX('LTM data'!$D$47:$W$66,MATCH(RIGHT(I$6,4)&amp;'Couple Potential'!$X32,'LTM data'!$A$47:$A$66&amp;'LTM data'!$C$47:$C$66,0),MATCH('Couple Potential'!$W32,'LTM data'!$D$46:$W$46,0))+INDEX('LTM data'!$D$47:$W$66,MATCH(RIGHT(I$6,4)&amp;'Couple Potential'!$X32,'LTM data'!$A$47:$A$66&amp;'LTM data'!$C$47:$C$66,0),MATCH('Couple Potential'!$V32,'LTM data'!$D$46:$W$46,0))</f>
        <v>99999</v>
      </c>
      <c r="J32" s="39">
        <f t="array" ref="J32">INDEX($AE$7:$AH$63,MATCH($V32&amp;$W32,$AA$7:$AA$63&amp;$AB$7:$AB$63,0),MATCH($E32,$AE$6:$AH$6,0))+INDEX('LTM data'!$D$47:$W$66,MATCH(RIGHT(J$6,4)&amp;'Couple Potential'!$X32,'LTM data'!$A$47:$A$66&amp;'LTM data'!$C$47:$C$66,0),MATCH('Couple Potential'!$W32,'LTM data'!$D$46:$W$46,0))+INDEX('LTM data'!$D$47:$W$66,MATCH(RIGHT(J$6,4)&amp;'Couple Potential'!$X32,'LTM data'!$A$47:$A$66&amp;'LTM data'!$C$47:$C$66,0),MATCH('Couple Potential'!$V32,'LTM data'!$D$46:$W$46,0))</f>
        <v>99999</v>
      </c>
      <c r="K32" s="39">
        <v>15</v>
      </c>
      <c r="L32" s="23" t="str">
        <f t="array" ref="L32">"Max production of "&amp;E32&amp;" travel demand by "&amp;V32&amp;" and "&amp;W32</f>
        <v>Max production of TPXS travel demand by Coach and Moto</v>
      </c>
      <c r="M32" s="23"/>
      <c r="N32" s="23"/>
      <c r="O32" s="23"/>
      <c r="P32" s="23"/>
      <c r="Q32" s="23"/>
      <c r="R32" s="23"/>
      <c r="U32" s="39" t="s">
        <v>70</v>
      </c>
      <c r="V32" s="39" t="s">
        <v>70</v>
      </c>
      <c r="W32" s="39" t="s">
        <v>64</v>
      </c>
      <c r="X32" s="39" t="s">
        <v>84</v>
      </c>
      <c r="AA32" s="39" t="s">
        <v>71</v>
      </c>
      <c r="AB32" s="39" t="s">
        <v>64</v>
      </c>
      <c r="AD32" s="39" t="s">
        <v>308</v>
      </c>
      <c r="AE32" s="104">
        <f t="array" ref="AE32">IF(AP32=0,99999,AP32-(INDEX($AK$8:$AK$67,MATCH($AB32&amp;AE$6,$AM$8:$AM$67&amp;$AL$8:$AL$67,0))+INDEX($AK$8:$AK$67,MATCH($AA32&amp;AE$6,$AM$8:$AM$67&amp;$AL$8:$AL$67,0))))</f>
        <v>99999</v>
      </c>
      <c r="AF32" s="40">
        <f t="array" ref="AF32">IF(AQ32=0,99999,AQ32-(INDEX($AK$8:$AK$67,MATCH($AB32&amp;AF$6,$AM$8:$AM$67&amp;$AL$8:$AL$67,0))+INDEX($AK$8:$AK$67,MATCH($AA32&amp;AF$6,$AM$8:$AM$67&amp;$AL$8:$AL$67,0))))</f>
        <v>22649.952075830071</v>
      </c>
      <c r="AG32" s="40">
        <f t="array" ref="AG32">IF(AR32=0,99999,AR32-(INDEX($AK$8:$AK$67,MATCH($AB32&amp;AG$6,$AM$8:$AM$67&amp;$AL$8:$AL$67,0))+INDEX($AK$8:$AK$67,MATCH($AA32&amp;AG$6,$AM$8:$AM$67&amp;$AL$8:$AL$67,0))))</f>
        <v>16850.41595468489</v>
      </c>
      <c r="AH32" s="40">
        <f t="array" ref="AH32">IF(AS32=0,99999,AS32-(INDEX($AK$8:$AK$67,MATCH($AB32&amp;AH$6,$AM$8:$AM$67&amp;$AL$8:$AL$67,0))+INDEX($AK$8:$AK$67,MATCH($AA32&amp;AH$6,$AM$8:$AM$67&amp;$AL$8:$AL$67,0))))</f>
        <v>7735.8865322312613</v>
      </c>
      <c r="AJ32" s="39" t="s">
        <v>259</v>
      </c>
      <c r="AK32" s="39">
        <v>91.377594180506179</v>
      </c>
      <c r="AL32" s="39" t="s">
        <v>84</v>
      </c>
      <c r="AM32" s="39" t="s">
        <v>343</v>
      </c>
      <c r="AO32" s="39" t="s">
        <v>308</v>
      </c>
      <c r="AP32" s="100">
        <v>0</v>
      </c>
      <c r="AQ32" s="40">
        <v>24503.492315799998</v>
      </c>
      <c r="AR32" s="40">
        <v>17463.5028714</v>
      </c>
      <c r="AS32" s="40">
        <v>8194.5462021000003</v>
      </c>
      <c r="AT32" s="40"/>
      <c r="AU32" s="40"/>
      <c r="AV32" s="40"/>
    </row>
    <row r="33" spans="2:48">
      <c r="B33" s="23" t="str">
        <f t="shared" si="1"/>
        <v>UC_Up_Coach-Moped_TPXS</v>
      </c>
      <c r="C33" s="39" t="str">
        <f t="shared" si="2"/>
        <v>TPCO*,TPMP*</v>
      </c>
      <c r="D33" s="39" t="str">
        <f t="shared" si="3"/>
        <v>TRA*</v>
      </c>
      <c r="E33" s="39" t="str">
        <f t="shared" si="4"/>
        <v>TPXS</v>
      </c>
      <c r="F33" s="39" t="s">
        <v>78</v>
      </c>
      <c r="G33" s="39">
        <v>2010</v>
      </c>
      <c r="H33" s="39">
        <v>1</v>
      </c>
      <c r="I33" s="39">
        <f t="array" ref="I33">INDEX($AE$7:$AH$63,MATCH($V33&amp;$W33,$AA$7:$AA$63&amp;$AB$7:$AB$63,0),MATCH($E33,$AE$6:$AH$6,0))+INDEX('LTM data'!$D$47:$W$66,MATCH(RIGHT(I$6,4)&amp;'Couple Potential'!$X33,'LTM data'!$A$47:$A$66&amp;'LTM data'!$C$47:$C$66,0),MATCH('Couple Potential'!$W33,'LTM data'!$D$46:$W$46,0))+INDEX('LTM data'!$D$47:$W$66,MATCH(RIGHT(I$6,4)&amp;'Couple Potential'!$X33,'LTM data'!$A$47:$A$66&amp;'LTM data'!$C$47:$C$66,0),MATCH('Couple Potential'!$V33,'LTM data'!$D$46:$W$46,0))</f>
        <v>100014.85897754211</v>
      </c>
      <c r="J33" s="39">
        <f t="array" ref="J33">INDEX($AE$7:$AH$63,MATCH($V33&amp;$W33,$AA$7:$AA$63&amp;$AB$7:$AB$63,0),MATCH($E33,$AE$6:$AH$6,0))+INDEX('LTM data'!$D$47:$W$66,MATCH(RIGHT(J$6,4)&amp;'Couple Potential'!$X33,'LTM data'!$A$47:$A$66&amp;'LTM data'!$C$47:$C$66,0),MATCH('Couple Potential'!$W33,'LTM data'!$D$46:$W$46,0))+INDEX('LTM data'!$D$47:$W$66,MATCH(RIGHT(J$6,4)&amp;'Couple Potential'!$X33,'LTM data'!$A$47:$A$66&amp;'LTM data'!$C$47:$C$66,0),MATCH('Couple Potential'!$V33,'LTM data'!$D$46:$W$46,0))</f>
        <v>100007.62114303178</v>
      </c>
      <c r="K33" s="39">
        <v>15</v>
      </c>
      <c r="L33" s="23" t="str">
        <f t="array" ref="L33">"Max production of "&amp;E33&amp;" travel demand by "&amp;V33&amp;" and "&amp;W33</f>
        <v>Max production of TPXS travel demand by Coach and Moped</v>
      </c>
      <c r="M33" s="23"/>
      <c r="N33" s="23"/>
      <c r="O33" s="23"/>
      <c r="P33" s="23"/>
      <c r="Q33" s="23"/>
      <c r="R33" s="23"/>
      <c r="U33" s="39" t="s">
        <v>70</v>
      </c>
      <c r="V33" s="39" t="s">
        <v>70</v>
      </c>
      <c r="W33" s="39" t="s">
        <v>63</v>
      </c>
      <c r="X33" s="39" t="s">
        <v>84</v>
      </c>
      <c r="AA33" s="39" t="s">
        <v>71</v>
      </c>
      <c r="AB33" s="39" t="s">
        <v>63</v>
      </c>
      <c r="AD33" s="39" t="s">
        <v>307</v>
      </c>
      <c r="AE33" s="40">
        <f t="array" ref="AE33">IF(AP33=0,99999,AP33-(INDEX($AK$8:$AK$67,MATCH($AB33&amp;AE$6,$AM$8:$AM$67&amp;$AL$8:$AL$67,0))+INDEX($AK$8:$AK$67,MATCH($AA33&amp;AE$6,$AM$8:$AM$67&amp;$AL$8:$AL$67,0))))</f>
        <v>6136.7792677116577</v>
      </c>
      <c r="AF33" s="40">
        <f t="array" ref="AF33">IF(AQ33=0,99999,AQ33-(INDEX($AK$8:$AK$67,MATCH($AB33&amp;AF$6,$AM$8:$AM$67&amp;$AL$8:$AL$67,0))+INDEX($AK$8:$AK$67,MATCH($AA33&amp;AF$6,$AM$8:$AM$67&amp;$AL$8:$AL$67,0))))</f>
        <v>22968.600986741418</v>
      </c>
      <c r="AG33" s="104">
        <f t="array" ref="AG33">IF(AR33=0,99999,AR33-(INDEX($AK$8:$AK$67,MATCH($AB33&amp;AG$6,$AM$8:$AM$67&amp;$AL$8:$AL$67,0))+INDEX($AK$8:$AK$67,MATCH($AA33&amp;AG$6,$AM$8:$AM$67&amp;$AL$8:$AL$67,0))))</f>
        <v>99999</v>
      </c>
      <c r="AH33" s="104">
        <f t="array" ref="AH33">IF(AS33=0,99999,AS33-(INDEX($AK$8:$AK$67,MATCH($AB33&amp;AH$6,$AM$8:$AM$67&amp;$AL$8:$AL$67,0))+INDEX($AK$8:$AK$67,MATCH($AA33&amp;AH$6,$AM$8:$AM$67&amp;$AL$8:$AL$67,0))))</f>
        <v>99999</v>
      </c>
      <c r="AJ33" s="39" t="s">
        <v>258</v>
      </c>
      <c r="AK33" s="39">
        <v>771.59001262391985</v>
      </c>
      <c r="AL33" s="39" t="s">
        <v>83</v>
      </c>
      <c r="AM33" s="39" t="s">
        <v>343</v>
      </c>
      <c r="AO33" s="39" t="s">
        <v>307</v>
      </c>
      <c r="AP33" s="40">
        <v>6742.3514187000001</v>
      </c>
      <c r="AQ33" s="40">
        <v>24714.433938099999</v>
      </c>
      <c r="AR33" s="40">
        <v>0</v>
      </c>
      <c r="AS33" s="40">
        <v>0</v>
      </c>
      <c r="AT33" s="40"/>
      <c r="AU33" s="40"/>
      <c r="AV33" s="40"/>
    </row>
    <row r="34" spans="2:48">
      <c r="B34" s="23" t="str">
        <f t="shared" si="1"/>
        <v>UC_Up_Coach-Car_TPXS</v>
      </c>
      <c r="C34" s="39" t="str">
        <f t="shared" si="2"/>
        <v>TPCO*,TPCA*</v>
      </c>
      <c r="D34" s="39" t="str">
        <f t="shared" si="3"/>
        <v>TRA*</v>
      </c>
      <c r="E34" s="39" t="str">
        <f t="shared" si="4"/>
        <v>TPXS</v>
      </c>
      <c r="F34" s="39" t="s">
        <v>78</v>
      </c>
      <c r="G34" s="39">
        <v>2010</v>
      </c>
      <c r="H34" s="39">
        <v>1</v>
      </c>
      <c r="I34" s="39">
        <f t="array" ref="I34">INDEX($AE$7:$AH$63,MATCH($V34&amp;$W34,$AA$7:$AA$63&amp;$AB$7:$AB$63,0),MATCH($E34,$AE$6:$AH$6,0))+INDEX('LTM data'!$D$47:$W$66,MATCH(RIGHT(I$6,4)&amp;'Couple Potential'!$X34,'LTM data'!$A$47:$A$66&amp;'LTM data'!$C$47:$C$66,0),MATCH('Couple Potential'!$W34,'LTM data'!$D$46:$W$46,0))+INDEX('LTM data'!$D$47:$W$66,MATCH(RIGHT(I$6,4)&amp;'Couple Potential'!$X34,'LTM data'!$A$47:$A$66&amp;'LTM data'!$C$47:$C$66,0),MATCH('Couple Potential'!$V34,'LTM data'!$D$46:$W$46,0))</f>
        <v>103298.24246603141</v>
      </c>
      <c r="J34" s="39">
        <f t="array" ref="J34">INDEX($AE$7:$AH$63,MATCH($V34&amp;$W34,$AA$7:$AA$63&amp;$AB$7:$AB$63,0),MATCH($E34,$AE$6:$AH$6,0))+INDEX('LTM data'!$D$47:$W$66,MATCH(RIGHT(J$6,4)&amp;'Couple Potential'!$X34,'LTM data'!$A$47:$A$66&amp;'LTM data'!$C$47:$C$66,0),MATCH('Couple Potential'!$W34,'LTM data'!$D$46:$W$46,0))+INDEX('LTM data'!$D$47:$W$66,MATCH(RIGHT(J$6,4)&amp;'Couple Potential'!$X34,'LTM data'!$A$47:$A$66&amp;'LTM data'!$C$47:$C$66,0),MATCH('Couple Potential'!$V34,'LTM data'!$D$46:$W$46,0))</f>
        <v>104798.00152125162</v>
      </c>
      <c r="K34" s="39">
        <v>15</v>
      </c>
      <c r="L34" s="23" t="str">
        <f t="array" ref="L34">"Max production of "&amp;E34&amp;" travel demand by "&amp;V34&amp;" and "&amp;W34</f>
        <v>Max production of TPXS travel demand by Coach and Car</v>
      </c>
      <c r="M34" s="23"/>
      <c r="N34" s="23"/>
      <c r="O34" s="23"/>
      <c r="P34" s="23"/>
      <c r="Q34" s="23"/>
      <c r="R34" s="23"/>
      <c r="U34" s="39" t="s">
        <v>70</v>
      </c>
      <c r="V34" s="39" t="s">
        <v>70</v>
      </c>
      <c r="W34" s="39" t="s">
        <v>72</v>
      </c>
      <c r="X34" s="39" t="s">
        <v>84</v>
      </c>
      <c r="AA34" s="39" t="s">
        <v>71</v>
      </c>
      <c r="AB34" s="39" t="s">
        <v>72</v>
      </c>
      <c r="AD34" s="101" t="s">
        <v>306</v>
      </c>
      <c r="AE34" s="102">
        <f t="array" ref="AE34">IF(AP34=0,99999,AP34-(INDEX($AK$8:$AK$67,MATCH($AB34&amp;AE$6,$AM$8:$AM$67&amp;$AL$8:$AL$67,0))+INDEX($AK$8:$AK$67,MATCH($AA34&amp;AE$6,$AM$8:$AM$67&amp;$AL$8:$AL$67,0))))</f>
        <v>2117.3655662223455</v>
      </c>
      <c r="AF34" s="102">
        <f t="array" ref="AF34">IF(AQ34=0,99999,AQ34-(INDEX($AK$8:$AK$67,MATCH($AB34&amp;AF$6,$AM$8:$AM$67&amp;$AL$8:$AL$67,0))+INDEX($AK$8:$AK$67,MATCH($AA34&amp;AF$6,$AM$8:$AM$67&amp;$AL$8:$AL$67,0))))</f>
        <v>4419.1301091020105</v>
      </c>
      <c r="AG34" s="105">
        <f t="array" ref="AG34">IF(AR34=0,99999,AR34-(INDEX($AK$8:$AK$67,MATCH($AB34&amp;AG$6,$AM$8:$AM$67&amp;$AL$8:$AL$67,0))+INDEX($AK$8:$AK$67,MATCH($AA34&amp;AG$6,$AM$8:$AM$67&amp;$AL$8:$AL$67,0))))</f>
        <v>99999</v>
      </c>
      <c r="AH34" s="105">
        <f t="array" ref="AH34">IF(AS34=0,99999,AS34-(INDEX($AK$8:$AK$67,MATCH($AB34&amp;AH$6,$AM$8:$AM$67&amp;$AL$8:$AL$67,0))+INDEX($AK$8:$AK$67,MATCH($AA34&amp;AH$6,$AM$8:$AM$67&amp;$AL$8:$AL$67,0))))</f>
        <v>99999</v>
      </c>
      <c r="AJ34" s="39" t="s">
        <v>257</v>
      </c>
      <c r="AK34" s="39">
        <v>415.59740225762408</v>
      </c>
      <c r="AL34" s="39" t="s">
        <v>82</v>
      </c>
      <c r="AM34" s="39" t="s">
        <v>343</v>
      </c>
      <c r="AO34" s="101" t="s">
        <v>306</v>
      </c>
      <c r="AP34" s="102">
        <v>6006.3212057000001</v>
      </c>
      <c r="AQ34" s="102">
        <v>21942.978038099998</v>
      </c>
      <c r="AR34" s="102"/>
      <c r="AS34" s="102"/>
      <c r="AT34" s="40"/>
      <c r="AU34" s="40"/>
      <c r="AV34" s="40"/>
    </row>
    <row r="35" spans="2:48">
      <c r="B35" s="23" t="str">
        <f t="shared" si="1"/>
        <v>UC_Up_Train-Metro_TPXS</v>
      </c>
      <c r="C35" s="39" t="str">
        <f t="shared" si="2"/>
        <v>TPRO*,TPRM*</v>
      </c>
      <c r="D35" s="39" t="str">
        <f t="shared" si="3"/>
        <v>TRA*</v>
      </c>
      <c r="E35" s="39" t="str">
        <f t="shared" si="4"/>
        <v>TPXS</v>
      </c>
      <c r="F35" s="39" t="s">
        <v>78</v>
      </c>
      <c r="G35" s="39">
        <v>2010</v>
      </c>
      <c r="H35" s="39">
        <v>1</v>
      </c>
      <c r="I35" s="39">
        <f t="array" ref="I35">INDEX($AE$7:$AH$63,MATCH($V35&amp;$W35,$AA$7:$AA$63&amp;$AB$7:$AB$63,0),MATCH($E35,$AE$6:$AH$6,0))+INDEX('LTM data'!$D$47:$W$66,MATCH(RIGHT(I$6,4)&amp;'Couple Potential'!$X35,'LTM data'!$A$47:$A$66&amp;'LTM data'!$C$47:$C$66,0),MATCH('Couple Potential'!$W35,'LTM data'!$D$46:$W$46,0))+INDEX('LTM data'!$D$47:$W$66,MATCH(RIGHT(I$6,4)&amp;'Couple Potential'!$X35,'LTM data'!$A$47:$A$66&amp;'LTM data'!$C$47:$C$66,0),MATCH('Couple Potential'!$V35,'LTM data'!$D$46:$W$46,0))</f>
        <v>100091.30766807876</v>
      </c>
      <c r="J35" s="39">
        <f t="array" ref="J35">INDEX($AE$7:$AH$63,MATCH($V35&amp;$W35,$AA$7:$AA$63&amp;$AB$7:$AB$63,0),MATCH($E35,$AE$6:$AH$6,0))+INDEX('LTM data'!$D$47:$W$66,MATCH(RIGHT(J$6,4)&amp;'Couple Potential'!$X35,'LTM data'!$A$47:$A$66&amp;'LTM data'!$C$47:$C$66,0),MATCH('Couple Potential'!$W35,'LTM data'!$D$46:$W$46,0))+INDEX('LTM data'!$D$47:$W$66,MATCH(RIGHT(J$6,4)&amp;'Couple Potential'!$X35,'LTM data'!$A$47:$A$66&amp;'LTM data'!$C$47:$C$66,0),MATCH('Couple Potential'!$V35,'LTM data'!$D$46:$W$46,0))</f>
        <v>100215.49221050147</v>
      </c>
      <c r="K35" s="39">
        <v>15</v>
      </c>
      <c r="L35" s="23" t="str">
        <f t="array" ref="L35">"Max production of "&amp;E35&amp;" travel demand by "&amp;V35&amp;" and "&amp;W35</f>
        <v>Max production of TPXS travel demand by Train and Metro</v>
      </c>
      <c r="M35" s="23"/>
      <c r="N35" s="23"/>
      <c r="O35" s="23"/>
      <c r="P35" s="23"/>
      <c r="Q35" s="23"/>
      <c r="R35" s="23"/>
      <c r="U35" s="39" t="s">
        <v>69</v>
      </c>
      <c r="V35" s="39" t="s">
        <v>69</v>
      </c>
      <c r="W35" s="39" t="s">
        <v>67</v>
      </c>
      <c r="X35" s="39" t="s">
        <v>84</v>
      </c>
      <c r="AA35" s="39" t="s">
        <v>70</v>
      </c>
      <c r="AB35" s="39" t="s">
        <v>69</v>
      </c>
      <c r="AD35" s="39" t="s">
        <v>305</v>
      </c>
      <c r="AE35" s="104">
        <f t="array" ref="AE35">IF(AP35=0,99999,AP35-(INDEX($AK$8:$AK$67,MATCH($AB35&amp;AE$6,$AM$8:$AM$67&amp;$AL$8:$AL$67,0))+INDEX($AK$8:$AK$67,MATCH($AA35&amp;AE$6,$AM$8:$AM$67&amp;$AL$8:$AL$67,0))))</f>
        <v>99999</v>
      </c>
      <c r="AF35" s="40">
        <f t="array" ref="AF35">IF(AQ35=0,99999,AQ35-(INDEX($AK$8:$AK$67,MATCH($AB35&amp;AF$6,$AM$8:$AM$67&amp;$AL$8:$AL$67,0))+INDEX($AK$8:$AK$67,MATCH($AA35&amp;AF$6,$AM$8:$AM$67&amp;$AL$8:$AL$67,0))))</f>
        <v>23442.215169000101</v>
      </c>
      <c r="AG35" s="40">
        <f t="array" ref="AG35">IF(AR35=0,99999,AR35-(INDEX($AK$8:$AK$67,MATCH($AB35&amp;AG$6,$AM$8:$AM$67&amp;$AL$8:$AL$67,0))+INDEX($AK$8:$AK$67,MATCH($AA35&amp;AG$6,$AM$8:$AM$67&amp;$AL$8:$AL$67,0))))</f>
        <v>15707.494154081351</v>
      </c>
      <c r="AH35" s="40">
        <f t="array" ref="AH35">IF(AS35=0,99999,AS35-(INDEX($AK$8:$AK$67,MATCH($AB35&amp;AH$6,$AM$8:$AM$67&amp;$AL$8:$AL$67,0))+INDEX($AK$8:$AK$67,MATCH($AA35&amp;AH$6,$AM$8:$AM$67&amp;$AL$8:$AL$67,0))))</f>
        <v>19749.903852950461</v>
      </c>
      <c r="AJ35" s="39" t="s">
        <v>256</v>
      </c>
      <c r="AK35" s="39">
        <v>413.37799421160548</v>
      </c>
      <c r="AL35" s="39" t="s">
        <v>83</v>
      </c>
      <c r="AM35" s="39" t="s">
        <v>69</v>
      </c>
      <c r="AO35" s="39" t="s">
        <v>305</v>
      </c>
      <c r="AP35" s="40">
        <v>0</v>
      </c>
      <c r="AQ35" s="40">
        <v>24250.134044599999</v>
      </c>
      <c r="AR35" s="40">
        <v>17019.983900700001</v>
      </c>
      <c r="AS35" s="40">
        <v>26011.795291900002</v>
      </c>
      <c r="AT35" s="40"/>
      <c r="AU35" s="40"/>
      <c r="AV35" s="40"/>
    </row>
    <row r="36" spans="2:48">
      <c r="B36" s="23" t="str">
        <f t="shared" si="1"/>
        <v>UC_Up_Train-S-Train_TPXS</v>
      </c>
      <c r="C36" s="39" t="str">
        <f t="shared" si="2"/>
        <v>TPRO*,TPRS*</v>
      </c>
      <c r="D36" s="39" t="str">
        <f t="shared" si="3"/>
        <v>TRA*</v>
      </c>
      <c r="E36" s="39" t="str">
        <f t="shared" si="4"/>
        <v>TPXS</v>
      </c>
      <c r="F36" s="39" t="s">
        <v>78</v>
      </c>
      <c r="G36" s="39">
        <v>2010</v>
      </c>
      <c r="H36" s="39">
        <v>1</v>
      </c>
      <c r="I36" s="39">
        <f t="array" ref="I36">INDEX($AE$7:$AH$63,MATCH($V36&amp;$W36,$AA$7:$AA$63&amp;$AB$7:$AB$63,0),MATCH($E36,$AE$6:$AH$6,0))+INDEX('LTM data'!$D$47:$W$66,MATCH(RIGHT(I$6,4)&amp;'Couple Potential'!$X36,'LTM data'!$A$47:$A$66&amp;'LTM data'!$C$47:$C$66,0),MATCH('Couple Potential'!$W36,'LTM data'!$D$46:$W$46,0))+INDEX('LTM data'!$D$47:$W$66,MATCH(RIGHT(I$6,4)&amp;'Couple Potential'!$X36,'LTM data'!$A$47:$A$66&amp;'LTM data'!$C$47:$C$66,0),MATCH('Couple Potential'!$V36,'LTM data'!$D$46:$W$46,0))</f>
        <v>100090.37759418051</v>
      </c>
      <c r="J36" s="39">
        <f t="array" ref="J36">INDEX($AE$7:$AH$63,MATCH($V36&amp;$W36,$AA$7:$AA$63&amp;$AB$7:$AB$63,0),MATCH($E36,$AE$6:$AH$6,0))+INDEX('LTM data'!$D$47:$W$66,MATCH(RIGHT(J$6,4)&amp;'Couple Potential'!$X36,'LTM data'!$A$47:$A$66&amp;'LTM data'!$C$47:$C$66,0),MATCH('Couple Potential'!$W36,'LTM data'!$D$46:$W$46,0))+INDEX('LTM data'!$D$47:$W$66,MATCH(RIGHT(J$6,4)&amp;'Couple Potential'!$X36,'LTM data'!$A$47:$A$66&amp;'LTM data'!$C$47:$C$66,0),MATCH('Couple Potential'!$V36,'LTM data'!$D$46:$W$46,0))</f>
        <v>100091.17866573617</v>
      </c>
      <c r="K36" s="39">
        <v>15</v>
      </c>
      <c r="L36" s="23" t="str">
        <f t="array" ref="L36">"Max production of "&amp;E36&amp;" travel demand by "&amp;V36&amp;" and "&amp;W36</f>
        <v>Max production of TPXS travel demand by Train and S-Train</v>
      </c>
      <c r="M36" s="23"/>
      <c r="N36" s="23"/>
      <c r="O36" s="23"/>
      <c r="P36" s="23"/>
      <c r="Q36" s="23"/>
      <c r="R36" s="23"/>
      <c r="U36" s="39" t="s">
        <v>69</v>
      </c>
      <c r="V36" s="39" t="s">
        <v>69</v>
      </c>
      <c r="W36" s="39" t="s">
        <v>343</v>
      </c>
      <c r="X36" s="39" t="s">
        <v>84</v>
      </c>
      <c r="AA36" s="39" t="s">
        <v>359</v>
      </c>
      <c r="AB36" s="39" t="s">
        <v>355</v>
      </c>
      <c r="AD36" s="39" t="s">
        <v>304</v>
      </c>
      <c r="AE36" s="104">
        <f t="array" ref="AE36">IF(AP36=0,99999,AP36-(INDEX($AK$8:$AK$67,MATCH($AB36&amp;AE$6,$AM$8:$AM$67&amp;$AL$8:$AL$67,0))+INDEX($AK$8:$AK$67,MATCH($AA36&amp;AE$6,$AM$8:$AM$67&amp;$AL$8:$AL$67,0))))</f>
        <v>99999</v>
      </c>
      <c r="AF36" s="40">
        <f t="array" ref="AF36">IF(AQ36=0,99999,AQ36-(INDEX($AK$8:$AK$67,MATCH($AB36&amp;AF$6,$AM$8:$AM$67&amp;$AL$8:$AL$67,0))+INDEX($AK$8:$AK$67,MATCH($AA36&amp;AF$6,$AM$8:$AM$67&amp;$AL$8:$AL$67,0))))</f>
        <v>24061.228637371514</v>
      </c>
      <c r="AG36" s="104">
        <f t="array" ref="AG36">IF(AR36=0,99999,AR36-(INDEX($AK$8:$AK$67,MATCH($AB36&amp;AG$6,$AM$8:$AM$67&amp;$AL$8:$AL$67,0))+INDEX($AK$8:$AK$67,MATCH($AA36&amp;AG$6,$AM$8:$AM$67&amp;$AL$8:$AL$67,0))))</f>
        <v>99999</v>
      </c>
      <c r="AH36" s="104">
        <f t="array" ref="AH36">IF(AS36=0,99999,AS36-(INDEX($AK$8:$AK$67,MATCH($AB36&amp;AH$6,$AM$8:$AM$67&amp;$AL$8:$AL$67,0))+INDEX($AK$8:$AK$67,MATCH($AA36&amp;AH$6,$AM$8:$AM$67&amp;$AL$8:$AL$67,0))))</f>
        <v>99999</v>
      </c>
      <c r="AJ36" s="39" t="s">
        <v>255</v>
      </c>
      <c r="AK36" s="39">
        <v>923.0218803403119</v>
      </c>
      <c r="AL36" s="39" t="s">
        <v>82</v>
      </c>
      <c r="AM36" s="39" t="s">
        <v>69</v>
      </c>
      <c r="AO36" s="39" t="s">
        <v>304</v>
      </c>
      <c r="AP36" s="100">
        <v>0</v>
      </c>
      <c r="AQ36" s="40">
        <v>24454.405223900001</v>
      </c>
      <c r="AR36" s="100">
        <v>0</v>
      </c>
      <c r="AS36" s="100">
        <v>0</v>
      </c>
      <c r="AT36" s="40"/>
      <c r="AU36" s="40"/>
      <c r="AV36" s="40"/>
    </row>
    <row r="37" spans="2:48">
      <c r="B37" s="23" t="str">
        <f t="shared" si="1"/>
        <v>*</v>
      </c>
      <c r="C37" s="39" t="str">
        <f t="shared" si="2"/>
        <v>TPRO*,TPMT*</v>
      </c>
      <c r="D37" s="39" t="str">
        <f t="shared" si="3"/>
        <v>TRA*</v>
      </c>
      <c r="E37" s="39" t="str">
        <f t="shared" si="4"/>
        <v>TPXS</v>
      </c>
      <c r="F37" s="39" t="s">
        <v>78</v>
      </c>
      <c r="G37" s="39">
        <v>2010</v>
      </c>
      <c r="H37" s="39">
        <v>1</v>
      </c>
      <c r="I37" s="39">
        <f t="array" ref="I37">INDEX($AE$7:$AH$63,MATCH($V37&amp;$W37,$AA$7:$AA$63&amp;$AB$7:$AB$63,0),MATCH($E37,$AE$6:$AH$6,0))+INDEX('LTM data'!$D$47:$W$66,MATCH(RIGHT(I$6,4)&amp;'Couple Potential'!$X37,'LTM data'!$A$47:$A$66&amp;'LTM data'!$C$47:$C$66,0),MATCH('Couple Potential'!$W37,'LTM data'!$D$46:$W$46,0))+INDEX('LTM data'!$D$47:$W$66,MATCH(RIGHT(I$6,4)&amp;'Couple Potential'!$X37,'LTM data'!$A$47:$A$66&amp;'LTM data'!$C$47:$C$66,0),MATCH('Couple Potential'!$V37,'LTM data'!$D$46:$W$46,0))</f>
        <v>99999</v>
      </c>
      <c r="J37" s="39">
        <f t="array" ref="J37">INDEX($AE$7:$AH$63,MATCH($V37&amp;$W37,$AA$7:$AA$63&amp;$AB$7:$AB$63,0),MATCH($E37,$AE$6:$AH$6,0))+INDEX('LTM data'!$D$47:$W$66,MATCH(RIGHT(J$6,4)&amp;'Couple Potential'!$X37,'LTM data'!$A$47:$A$66&amp;'LTM data'!$C$47:$C$66,0),MATCH('Couple Potential'!$W37,'LTM data'!$D$46:$W$46,0))+INDEX('LTM data'!$D$47:$W$66,MATCH(RIGHT(J$6,4)&amp;'Couple Potential'!$X37,'LTM data'!$A$47:$A$66&amp;'LTM data'!$C$47:$C$66,0),MATCH('Couple Potential'!$V37,'LTM data'!$D$46:$W$46,0))</f>
        <v>99999</v>
      </c>
      <c r="K37" s="39">
        <v>15</v>
      </c>
      <c r="L37" s="23" t="str">
        <f t="array" ref="L37">"Max production of "&amp;E37&amp;" travel demand by "&amp;V37&amp;" and "&amp;W37</f>
        <v>Max production of TPXS travel demand by Train and Moto</v>
      </c>
      <c r="M37" s="23"/>
      <c r="N37" s="23"/>
      <c r="O37" s="23"/>
      <c r="P37" s="23"/>
      <c r="Q37" s="23"/>
      <c r="R37" s="23"/>
      <c r="U37" s="39" t="s">
        <v>69</v>
      </c>
      <c r="V37" s="39" t="s">
        <v>69</v>
      </c>
      <c r="W37" s="39" t="s">
        <v>64</v>
      </c>
      <c r="X37" s="39" t="s">
        <v>84</v>
      </c>
      <c r="AA37" s="39" t="s">
        <v>70</v>
      </c>
      <c r="AB37" s="39" t="s">
        <v>67</v>
      </c>
      <c r="AD37" s="39" t="s">
        <v>303</v>
      </c>
      <c r="AE37" s="104">
        <f t="array" ref="AE37">IF(AP37=0,99999,AP37-(INDEX($AK$8:$AK$67,MATCH($AB37&amp;AE$6,$AM$8:$AM$67&amp;$AL$8:$AL$67,0))+INDEX($AK$8:$AK$67,MATCH($AA37&amp;AE$6,$AM$8:$AM$67&amp;$AL$8:$AL$67,0))))</f>
        <v>99999</v>
      </c>
      <c r="AF37" s="40">
        <f t="array" ref="AF37">IF(AQ37=0,99999,AQ37-(INDEX($AK$8:$AK$67,MATCH($AB37&amp;AF$6,$AM$8:$AM$67&amp;$AL$8:$AL$67,0))+INDEX($AK$8:$AK$67,MATCH($AA37&amp;AF$6,$AM$8:$AM$67&amp;$AL$8:$AL$67,0))))</f>
        <v>5005.5832791905641</v>
      </c>
      <c r="AG37" s="104">
        <f t="array" ref="AG37">IF(AR37=0,99999,AR37-(INDEX($AK$8:$AK$67,MATCH($AB37&amp;AG$6,$AM$8:$AM$67&amp;$AL$8:$AL$67,0))+INDEX($AK$8:$AK$67,MATCH($AA37&amp;AG$6,$AM$8:$AM$67&amp;$AL$8:$AL$67,0))))</f>
        <v>99999</v>
      </c>
      <c r="AH37" s="104">
        <f t="array" ref="AH37">IF(AS37=0,99999,AS37-(INDEX($AK$8:$AK$67,MATCH($AB37&amp;AH$6,$AM$8:$AM$67&amp;$AL$8:$AL$67,0))+INDEX($AK$8:$AK$67,MATCH($AA37&amp;AH$6,$AM$8:$AM$67&amp;$AL$8:$AL$67,0))))</f>
        <v>99999</v>
      </c>
      <c r="AJ37" s="39" t="s">
        <v>254</v>
      </c>
      <c r="AK37" s="39">
        <v>3210.9001866161725</v>
      </c>
      <c r="AL37" s="39" t="s">
        <v>79</v>
      </c>
      <c r="AM37" s="39" t="s">
        <v>69</v>
      </c>
      <c r="AO37" s="39" t="s">
        <v>303</v>
      </c>
      <c r="AP37" s="100">
        <v>0</v>
      </c>
      <c r="AQ37" s="40">
        <v>5557.3165362999998</v>
      </c>
      <c r="AR37" s="100"/>
      <c r="AS37" s="100"/>
      <c r="AT37" s="40"/>
      <c r="AU37" s="40"/>
      <c r="AV37" s="40"/>
    </row>
    <row r="38" spans="2:48">
      <c r="B38" s="23" t="str">
        <f t="shared" si="1"/>
        <v>UC_Up_Train-Moped_TPXS</v>
      </c>
      <c r="C38" s="39" t="str">
        <f t="shared" si="2"/>
        <v>TPRO*,TPMP*</v>
      </c>
      <c r="D38" s="39" t="str">
        <f t="shared" si="3"/>
        <v>TRA*</v>
      </c>
      <c r="E38" s="39" t="str">
        <f t="shared" si="4"/>
        <v>TPXS</v>
      </c>
      <c r="F38" s="39" t="s">
        <v>78</v>
      </c>
      <c r="G38" s="39">
        <v>2010</v>
      </c>
      <c r="H38" s="39">
        <v>1</v>
      </c>
      <c r="I38" s="39">
        <f t="array" ref="I38">INDEX($AE$7:$AH$63,MATCH($V38&amp;$W38,$AA$7:$AA$63&amp;$AB$7:$AB$63,0),MATCH($E38,$AE$6:$AH$6,0))+INDEX('LTM data'!$D$47:$W$66,MATCH(RIGHT(I$6,4)&amp;'Couple Potential'!$X38,'LTM data'!$A$47:$A$66&amp;'LTM data'!$C$47:$C$66,0),MATCH('Couple Potential'!$W38,'LTM data'!$D$46:$W$46,0))+INDEX('LTM data'!$D$47:$W$66,MATCH(RIGHT(I$6,4)&amp;'Couple Potential'!$X38,'LTM data'!$A$47:$A$66&amp;'LTM data'!$C$47:$C$66,0),MATCH('Couple Potential'!$V38,'LTM data'!$D$46:$W$46,0))</f>
        <v>100014.85897754211</v>
      </c>
      <c r="J38" s="39">
        <f t="array" ref="J38">INDEX($AE$7:$AH$63,MATCH($V38&amp;$W38,$AA$7:$AA$63&amp;$AB$7:$AB$63,0),MATCH($E38,$AE$6:$AH$6,0))+INDEX('LTM data'!$D$47:$W$66,MATCH(RIGHT(J$6,4)&amp;'Couple Potential'!$X38,'LTM data'!$A$47:$A$66&amp;'LTM data'!$C$47:$C$66,0),MATCH('Couple Potential'!$W38,'LTM data'!$D$46:$W$46,0))+INDEX('LTM data'!$D$47:$W$66,MATCH(RIGHT(J$6,4)&amp;'Couple Potential'!$X38,'LTM data'!$A$47:$A$66&amp;'LTM data'!$C$47:$C$66,0),MATCH('Couple Potential'!$V38,'LTM data'!$D$46:$W$46,0))</f>
        <v>100007.62114303178</v>
      </c>
      <c r="K38" s="39">
        <v>15</v>
      </c>
      <c r="L38" s="23" t="str">
        <f t="array" ref="L38">"Max production of "&amp;E38&amp;" travel demand by "&amp;V38&amp;" and "&amp;W38</f>
        <v>Max production of TPXS travel demand by Train and Moped</v>
      </c>
      <c r="M38" s="23"/>
      <c r="N38" s="23"/>
      <c r="O38" s="23"/>
      <c r="P38" s="23"/>
      <c r="Q38" s="23"/>
      <c r="R38" s="23"/>
      <c r="U38" s="39" t="s">
        <v>69</v>
      </c>
      <c r="V38" s="39" t="s">
        <v>69</v>
      </c>
      <c r="W38" s="39" t="s">
        <v>63</v>
      </c>
      <c r="X38" s="39" t="s">
        <v>84</v>
      </c>
      <c r="AA38" s="39" t="s">
        <v>359</v>
      </c>
      <c r="AB38" s="39" t="s">
        <v>353</v>
      </c>
      <c r="AD38" s="39" t="s">
        <v>302</v>
      </c>
      <c r="AE38" s="104">
        <f t="array" ref="AE38">IF(AP38=0,99999,AP38-(INDEX($AK$8:$AK$67,MATCH($AB38&amp;AE$6,$AM$8:$AM$67&amp;$AL$8:$AL$67,0))+INDEX($AK$8:$AK$67,MATCH($AA38&amp;AE$6,$AM$8:$AM$67&amp;$AL$8:$AL$67,0))))</f>
        <v>99999</v>
      </c>
      <c r="AF38" s="40">
        <f t="array" ref="AF38">IF(AQ38=0,99999,AQ38-(INDEX($AK$8:$AK$67,MATCH($AB38&amp;AF$6,$AM$8:$AM$67&amp;$AL$8:$AL$67,0))+INDEX($AK$8:$AK$67,MATCH($AA38&amp;AF$6,$AM$8:$AM$67&amp;$AL$8:$AL$67,0))))</f>
        <v>23364.384313768736</v>
      </c>
      <c r="AG38" s="40">
        <f t="array" ref="AG38">IF(AR38=0,99999,AR38-(INDEX($AK$8:$AK$67,MATCH($AB38&amp;AG$6,$AM$8:$AM$67&amp;$AL$8:$AL$67,0))+INDEX($AK$8:$AK$67,MATCH($AA38&amp;AG$6,$AM$8:$AM$67&amp;$AL$8:$AL$67,0))))</f>
        <v>16650.760290875962</v>
      </c>
      <c r="AH38" s="104">
        <f t="array" ref="AH38">IF(AS38=0,99999,AS38-(INDEX($AK$8:$AK$67,MATCH($AB38&amp;AH$6,$AM$8:$AM$67&amp;$AL$8:$AL$67,0))+INDEX($AK$8:$AK$67,MATCH($AA38&amp;AH$6,$AM$8:$AM$67&amp;$AL$8:$AL$67,0))))</f>
        <v>99999</v>
      </c>
      <c r="AJ38" s="39" t="str">
        <f>AJ8</f>
        <v>TPCXS</v>
      </c>
      <c r="AK38" s="40">
        <f>'LTM data'!N47</f>
        <v>1315.3945644862199</v>
      </c>
      <c r="AL38" s="39" t="str">
        <f>AL8</f>
        <v>TPXS</v>
      </c>
      <c r="AM38" s="39" t="str">
        <f>AM8&amp;" DKE"</f>
        <v>Car DKE</v>
      </c>
      <c r="AO38" s="39" t="s">
        <v>302</v>
      </c>
      <c r="AP38" s="100">
        <v>0</v>
      </c>
      <c r="AQ38" s="40">
        <v>24371.9585372</v>
      </c>
      <c r="AR38" s="40">
        <v>17299.3076139</v>
      </c>
      <c r="AS38" s="100">
        <v>0</v>
      </c>
      <c r="AT38" s="40"/>
      <c r="AU38" s="40"/>
      <c r="AV38" s="40"/>
    </row>
    <row r="39" spans="2:48">
      <c r="B39" s="23" t="str">
        <f t="shared" si="1"/>
        <v>UC_Up_Train-Car_TPXS</v>
      </c>
      <c r="C39" s="39" t="str">
        <f t="shared" si="2"/>
        <v>TPRO*,TPCA*</v>
      </c>
      <c r="D39" s="39" t="str">
        <f t="shared" si="3"/>
        <v>TRA*</v>
      </c>
      <c r="E39" s="39" t="str">
        <f t="shared" si="4"/>
        <v>TPXS</v>
      </c>
      <c r="F39" s="39" t="s">
        <v>78</v>
      </c>
      <c r="G39" s="39">
        <v>2010</v>
      </c>
      <c r="H39" s="39">
        <v>1</v>
      </c>
      <c r="I39" s="39">
        <f t="array" ref="I39">INDEX($AE$7:$AH$63,MATCH($V39&amp;$W39,$AA$7:$AA$63&amp;$AB$7:$AB$63,0),MATCH($E39,$AE$6:$AH$6,0))+INDEX('LTM data'!$D$47:$W$66,MATCH(RIGHT(I$6,4)&amp;'Couple Potential'!$X39,'LTM data'!$A$47:$A$66&amp;'LTM data'!$C$47:$C$66,0),MATCH('Couple Potential'!$W39,'LTM data'!$D$46:$W$46,0))+INDEX('LTM data'!$D$47:$W$66,MATCH(RIGHT(I$6,4)&amp;'Couple Potential'!$X39,'LTM data'!$A$47:$A$66&amp;'LTM data'!$C$47:$C$66,0),MATCH('Couple Potential'!$V39,'LTM data'!$D$46:$W$46,0))</f>
        <v>103298.24246603141</v>
      </c>
      <c r="J39" s="39">
        <f t="array" ref="J39">INDEX($AE$7:$AH$63,MATCH($V39&amp;$W39,$AA$7:$AA$63&amp;$AB$7:$AB$63,0),MATCH($E39,$AE$6:$AH$6,0))+INDEX('LTM data'!$D$47:$W$66,MATCH(RIGHT(J$6,4)&amp;'Couple Potential'!$X39,'LTM data'!$A$47:$A$66&amp;'LTM data'!$C$47:$C$66,0),MATCH('Couple Potential'!$W39,'LTM data'!$D$46:$W$46,0))+INDEX('LTM data'!$D$47:$W$66,MATCH(RIGHT(J$6,4)&amp;'Couple Potential'!$X39,'LTM data'!$A$47:$A$66&amp;'LTM data'!$C$47:$C$66,0),MATCH('Couple Potential'!$V39,'LTM data'!$D$46:$W$46,0))</f>
        <v>104798.00152125162</v>
      </c>
      <c r="K39" s="39">
        <v>15</v>
      </c>
      <c r="L39" s="23" t="str">
        <f t="array" ref="L39">"Max production of "&amp;E39&amp;" travel demand by "&amp;V39&amp;" and "&amp;W39</f>
        <v>Max production of TPXS travel demand by Train and Car</v>
      </c>
      <c r="M39" s="23"/>
      <c r="N39" s="23"/>
      <c r="O39" s="23"/>
      <c r="P39" s="23"/>
      <c r="Q39" s="23"/>
      <c r="R39" s="23"/>
      <c r="U39" s="39" t="s">
        <v>69</v>
      </c>
      <c r="V39" s="39" t="s">
        <v>69</v>
      </c>
      <c r="W39" s="39" t="s">
        <v>72</v>
      </c>
      <c r="X39" s="39" t="s">
        <v>84</v>
      </c>
      <c r="AA39" s="39" t="s">
        <v>70</v>
      </c>
      <c r="AB39" s="39" t="s">
        <v>343</v>
      </c>
      <c r="AD39" s="39" t="s">
        <v>301</v>
      </c>
      <c r="AE39" s="104">
        <f t="array" ref="AE39">IF(AP39=0,99999,AP39-(INDEX($AK$8:$AK$67,MATCH($AB39&amp;AE$6,$AM$8:$AM$67&amp;$AL$8:$AL$67,0))+INDEX($AK$8:$AK$67,MATCH($AA39&amp;AE$6,$AM$8:$AM$67&amp;$AL$8:$AL$67,0))))</f>
        <v>99999</v>
      </c>
      <c r="AF39" s="40">
        <f t="array" ref="AF39">IF(AQ39=0,99999,AQ39-(INDEX($AK$8:$AK$67,MATCH($AB39&amp;AF$6,$AM$8:$AM$67&amp;$AL$8:$AL$67,0))+INDEX($AK$8:$AK$67,MATCH($AA39&amp;AF$6,$AM$8:$AM$67&amp;$AL$8:$AL$67,0))))</f>
        <v>8312.0807260877882</v>
      </c>
      <c r="AG39" s="40">
        <f t="array" ref="AG39">IF(AR39=0,99999,AR39-(INDEX($AK$8:$AK$67,MATCH($AB39&amp;AG$6,$AM$8:$AM$67&amp;$AL$8:$AL$67,0))+INDEX($AK$8:$AK$67,MATCH($AA39&amp;AG$6,$AM$8:$AM$67&amp;$AL$8:$AL$67,0))))</f>
        <v>6482.3180518640374</v>
      </c>
      <c r="AH39" s="104">
        <f t="array" ref="AH39">IF(AS39=0,99999,AS39-(INDEX($AK$8:$AK$67,MATCH($AB39&amp;AH$6,$AM$8:$AM$67&amp;$AL$8:$AL$67,0))+INDEX($AK$8:$AK$67,MATCH($AA39&amp;AH$6,$AM$8:$AM$67&amp;$AL$8:$AL$67,0))))</f>
        <v>99999</v>
      </c>
      <c r="AJ39" s="39" t="str">
        <f>AJ9</f>
        <v>TPCS</v>
      </c>
      <c r="AK39" s="40">
        <f>'LTM data'!N48</f>
        <v>6311.3791236512097</v>
      </c>
      <c r="AL39" s="39" t="str">
        <f>AL9</f>
        <v>TPS</v>
      </c>
      <c r="AM39" s="39" t="str">
        <f>AM9&amp;" DKE"</f>
        <v>Car DKE</v>
      </c>
      <c r="AO39" s="39" t="s">
        <v>301</v>
      </c>
      <c r="AP39" s="100">
        <v>0</v>
      </c>
      <c r="AQ39" s="40">
        <v>9478.2116201000008</v>
      </c>
      <c r="AR39" s="40">
        <v>7287.3833204000002</v>
      </c>
      <c r="AS39" s="100"/>
      <c r="AT39" s="40"/>
      <c r="AU39" s="40"/>
      <c r="AV39" s="40"/>
    </row>
    <row r="40" spans="2:48">
      <c r="B40" s="23" t="str">
        <f t="shared" si="1"/>
        <v>UC_Up_Metro-S-Train_TPXS</v>
      </c>
      <c r="C40" s="39" t="str">
        <f t="shared" si="2"/>
        <v>TPRM*,TPRS*</v>
      </c>
      <c r="D40" s="39" t="str">
        <f t="shared" si="3"/>
        <v>TRA*</v>
      </c>
      <c r="E40" s="39" t="str">
        <f t="shared" si="4"/>
        <v>TPXS</v>
      </c>
      <c r="F40" s="39" t="s">
        <v>78</v>
      </c>
      <c r="G40" s="39">
        <v>2010</v>
      </c>
      <c r="H40" s="39">
        <v>1</v>
      </c>
      <c r="I40" s="39">
        <f t="array" ref="I40">INDEX($AE$7:$AH$63,MATCH($V40&amp;$W40,$AA$7:$AA$63&amp;$AB$7:$AB$63,0),MATCH($E40,$AE$6:$AH$6,0))+INDEX('LTM data'!$D$47:$W$66,MATCH(RIGHT(I$6,4)&amp;'Couple Potential'!$X40,'LTM data'!$A$47:$A$66&amp;'LTM data'!$C$47:$C$66,0),MATCH('Couple Potential'!$W40,'LTM data'!$D$46:$W$46,0))+INDEX('LTM data'!$D$47:$W$66,MATCH(RIGHT(I$6,4)&amp;'Couple Potential'!$X40,'LTM data'!$A$47:$A$66&amp;'LTM data'!$C$47:$C$66,0),MATCH('Couple Potential'!$V40,'LTM data'!$D$46:$W$46,0))</f>
        <v>2927.5025952999999</v>
      </c>
      <c r="J40" s="39">
        <f t="array" ref="J40">INDEX($AE$7:$AH$63,MATCH($V40&amp;$W40,$AA$7:$AA$63&amp;$AB$7:$AB$63,0),MATCH($E40,$AE$6:$AH$6,0))+INDEX('LTM data'!$D$47:$W$66,MATCH(RIGHT(J$6,4)&amp;'Couple Potential'!$X40,'LTM data'!$A$47:$A$66&amp;'LTM data'!$C$47:$C$66,0),MATCH('Couple Potential'!$W40,'LTM data'!$D$46:$W$46,0))+INDEX('LTM data'!$D$47:$W$66,MATCH(RIGHT(J$6,4)&amp;'Couple Potential'!$X40,'LTM data'!$A$47:$A$66&amp;'LTM data'!$C$47:$C$66,0),MATCH('Couple Potential'!$V40,'LTM data'!$D$46:$W$46,0))</f>
        <v>3052.4882092783746</v>
      </c>
      <c r="K40" s="39">
        <v>15</v>
      </c>
      <c r="L40" s="23" t="str">
        <f t="array" ref="L40">"Max production of "&amp;E40&amp;" travel demand by "&amp;V40&amp;" and "&amp;W40</f>
        <v>Max production of TPXS travel demand by Metro and S-Train</v>
      </c>
      <c r="M40" s="23"/>
      <c r="N40" s="23"/>
      <c r="O40" s="23"/>
      <c r="P40" s="23"/>
      <c r="Q40" s="23"/>
      <c r="R40" s="23"/>
      <c r="U40" s="39" t="s">
        <v>67</v>
      </c>
      <c r="V40" s="39" t="s">
        <v>67</v>
      </c>
      <c r="W40" s="39" t="s">
        <v>343</v>
      </c>
      <c r="X40" s="39" t="s">
        <v>84</v>
      </c>
      <c r="AA40" s="39" t="s">
        <v>70</v>
      </c>
      <c r="AB40" s="39" t="s">
        <v>64</v>
      </c>
      <c r="AD40" s="39" t="s">
        <v>300</v>
      </c>
      <c r="AE40" s="104">
        <f t="array" ref="AE40">IF(AP40=0,99999,AP40-(INDEX($AK$8:$AK$67,MATCH($AB40&amp;AE$6,$AM$8:$AM$67&amp;$AL$8:$AL$67,0))+INDEX($AK$8:$AK$67,MATCH($AA40&amp;AE$6,$AM$8:$AM$67&amp;$AL$8:$AL$67,0))))</f>
        <v>99999</v>
      </c>
      <c r="AF40" s="40">
        <f t="array" ref="AF40">IF(AQ40=0,99999,AQ40-(INDEX($AK$8:$AK$67,MATCH($AB40&amp;AF$6,$AM$8:$AM$67&amp;$AL$8:$AL$67,0))+INDEX($AK$8:$AK$67,MATCH($AA40&amp;AF$6,$AM$8:$AM$67&amp;$AL$8:$AL$67,0))))</f>
        <v>23949.171723126034</v>
      </c>
      <c r="AG40" s="40">
        <f t="array" ref="AG40">IF(AR40=0,99999,AR40-(INDEX($AK$8:$AK$67,MATCH($AB40&amp;AG$6,$AM$8:$AM$67&amp;$AL$8:$AL$67,0))+INDEX($AK$8:$AK$67,MATCH($AA40&amp;AG$6,$AM$8:$AM$67&amp;$AL$8:$AL$67,0))))</f>
        <v>6656.6739533245982</v>
      </c>
      <c r="AH40" s="40">
        <f t="array" ref="AH40">IF(AS40=0,99999,AS40-(INDEX($AK$8:$AK$67,MATCH($AB40&amp;AH$6,$AM$8:$AM$67&amp;$AL$8:$AL$67,0))+INDEX($AK$8:$AK$67,MATCH($AA40&amp;AH$6,$AM$8:$AM$67&amp;$AL$8:$AL$67,0))))</f>
        <v>25310.595803749366</v>
      </c>
      <c r="AJ40" s="39" t="str">
        <f>AJ10</f>
        <v>TPCM</v>
      </c>
      <c r="AK40" s="40">
        <f>'LTM data'!N49</f>
        <v>4558.75601767836</v>
      </c>
      <c r="AL40" s="39" t="str">
        <f>AL10</f>
        <v>TPM</v>
      </c>
      <c r="AM40" s="39" t="str">
        <f>AM10&amp;" DKE"</f>
        <v>Car DKE</v>
      </c>
      <c r="AO40" s="39" t="s">
        <v>300</v>
      </c>
      <c r="AP40" s="40">
        <v>0</v>
      </c>
      <c r="AQ40" s="40">
        <v>24503.492315799998</v>
      </c>
      <c r="AR40" s="40">
        <v>7172.2548645999996</v>
      </c>
      <c r="AS40" s="40">
        <v>28541.694299800001</v>
      </c>
      <c r="AT40" s="40"/>
      <c r="AU40" s="40"/>
      <c r="AV40" s="40"/>
    </row>
    <row r="41" spans="2:48">
      <c r="B41" s="23" t="str">
        <f t="shared" si="1"/>
        <v>UC_Up_Metro-Moto_TPXS</v>
      </c>
      <c r="C41" s="39" t="str">
        <f t="shared" si="2"/>
        <v>TPRM*,TPMT*</v>
      </c>
      <c r="D41" s="39" t="str">
        <f t="shared" si="3"/>
        <v>TRA*</v>
      </c>
      <c r="E41" s="39" t="str">
        <f t="shared" ref="E41:E72" si="5">X41</f>
        <v>TPXS</v>
      </c>
      <c r="F41" s="39" t="s">
        <v>78</v>
      </c>
      <c r="G41" s="39">
        <v>2010</v>
      </c>
      <c r="H41" s="39">
        <v>1</v>
      </c>
      <c r="I41" s="39">
        <f t="array" ref="I41">INDEX($AE$7:$AH$63,MATCH($V41&amp;$W41,$AA$7:$AA$63&amp;$AB$7:$AB$63,0),MATCH($E41,$AE$6:$AH$6,0))+INDEX('LTM data'!$D$47:$W$66,MATCH(RIGHT(I$6,4)&amp;'Couple Potential'!$X41,'LTM data'!$A$47:$A$66&amp;'LTM data'!$C$47:$C$66,0),MATCH('Couple Potential'!$W41,'LTM data'!$D$46:$W$46,0))+INDEX('LTM data'!$D$47:$W$66,MATCH(RIGHT(I$6,4)&amp;'Couple Potential'!$X41,'LTM data'!$A$47:$A$66&amp;'LTM data'!$C$47:$C$66,0),MATCH('Couple Potential'!$V41,'LTM data'!$D$46:$W$46,0))</f>
        <v>100091.30766807876</v>
      </c>
      <c r="J41" s="39">
        <f t="array" ref="J41">INDEX($AE$7:$AH$63,MATCH($V41&amp;$W41,$AA$7:$AA$63&amp;$AB$7:$AB$63,0),MATCH($E41,$AE$6:$AH$6,0))+INDEX('LTM data'!$D$47:$W$66,MATCH(RIGHT(J$6,4)&amp;'Couple Potential'!$X41,'LTM data'!$A$47:$A$66&amp;'LTM data'!$C$47:$C$66,0),MATCH('Couple Potential'!$W41,'LTM data'!$D$46:$W$46,0))+INDEX('LTM data'!$D$47:$W$66,MATCH(RIGHT(J$6,4)&amp;'Couple Potential'!$X41,'LTM data'!$A$47:$A$66&amp;'LTM data'!$C$47:$C$66,0),MATCH('Couple Potential'!$V41,'LTM data'!$D$46:$W$46,0))</f>
        <v>100215.49221050147</v>
      </c>
      <c r="K41" s="39">
        <v>15</v>
      </c>
      <c r="L41" s="23" t="str">
        <f t="array" ref="L41">"Max production of "&amp;E41&amp;" travel demand by "&amp;V41&amp;" and "&amp;W41</f>
        <v>Max production of TPXS travel demand by Metro and Moto</v>
      </c>
      <c r="M41" s="23"/>
      <c r="N41" s="23"/>
      <c r="O41" s="23"/>
      <c r="P41" s="23"/>
      <c r="Q41" s="23"/>
      <c r="R41" s="23"/>
      <c r="U41" s="39" t="s">
        <v>67</v>
      </c>
      <c r="V41" s="39" t="s">
        <v>67</v>
      </c>
      <c r="W41" s="39" t="s">
        <v>64</v>
      </c>
      <c r="X41" s="39" t="s">
        <v>84</v>
      </c>
      <c r="AA41" s="39" t="s">
        <v>70</v>
      </c>
      <c r="AB41" s="39" t="s">
        <v>63</v>
      </c>
      <c r="AD41" s="39" t="s">
        <v>299</v>
      </c>
      <c r="AE41" s="104">
        <f t="array" ref="AE41">IF(AP41=0,99999,AP41-(INDEX($AK$8:$AK$67,MATCH($AB41&amp;AE$6,$AM$8:$AM$67&amp;$AL$8:$AL$67,0))+INDEX($AK$8:$AK$67,MATCH($AA41&amp;AE$6,$AM$8:$AM$67&amp;$AL$8:$AL$67,0))))</f>
        <v>99999</v>
      </c>
      <c r="AF41" s="40">
        <f t="array" ref="AF41">IF(AQ41=0,99999,AQ41-(INDEX($AK$8:$AK$67,MATCH($AB41&amp;AF$6,$AM$8:$AM$67&amp;$AL$8:$AL$67,0))+INDEX($AK$8:$AK$67,MATCH($AA41&amp;AF$6,$AM$8:$AM$67&amp;$AL$8:$AL$67,0))))</f>
        <v>24267.820634037384</v>
      </c>
      <c r="AG41" s="40">
        <f t="array" ref="AG41">IF(AR41=0,99999,AR41-(INDEX($AK$8:$AK$67,MATCH($AB41&amp;AG$6,$AM$8:$AM$67&amp;$AL$8:$AL$67,0))+INDEX($AK$8:$AK$67,MATCH($AA41&amp;AG$6,$AM$8:$AM$67&amp;$AL$8:$AL$67,0))))</f>
        <v>16903.053561749901</v>
      </c>
      <c r="AH41" s="40">
        <f t="array" ref="AH41">IF(AS41=0,99999,AS41-(INDEX($AK$8:$AK$67,MATCH($AB41&amp;AH$6,$AM$8:$AM$67&amp;$AL$8:$AL$67,0))+INDEX($AK$8:$AK$67,MATCH($AA41&amp;AH$6,$AM$8:$AM$67&amp;$AL$8:$AL$67,0))))</f>
        <v>25380.748845454826</v>
      </c>
      <c r="AJ41" s="39" t="str">
        <f>AJ11</f>
        <v>TPCL</v>
      </c>
      <c r="AK41" s="40">
        <f>'LTM data'!N50</f>
        <v>8730.9460989267209</v>
      </c>
      <c r="AL41" s="39" t="str">
        <f>AL11</f>
        <v>TPL</v>
      </c>
      <c r="AM41" s="39" t="str">
        <f>AM11&amp;" DKE"</f>
        <v>Car DKE</v>
      </c>
      <c r="AO41" s="39" t="s">
        <v>299</v>
      </c>
      <c r="AP41" s="100">
        <v>0</v>
      </c>
      <c r="AQ41" s="40">
        <v>24714.433938099999</v>
      </c>
      <c r="AR41" s="40">
        <v>17299.3076139</v>
      </c>
      <c r="AS41" s="40">
        <v>28435.022511700001</v>
      </c>
      <c r="AT41" s="40"/>
      <c r="AU41" s="40"/>
      <c r="AV41" s="40"/>
    </row>
    <row r="42" spans="2:48">
      <c r="B42" s="23" t="str">
        <f t="shared" si="1"/>
        <v>UC_Up_Metro-Moped_TPXS</v>
      </c>
      <c r="C42" s="39" t="str">
        <f t="shared" si="2"/>
        <v>TPRM*,TPMP*</v>
      </c>
      <c r="D42" s="39" t="str">
        <f t="shared" si="3"/>
        <v>TRA*</v>
      </c>
      <c r="E42" s="39" t="str">
        <f t="shared" si="5"/>
        <v>TPXS</v>
      </c>
      <c r="F42" s="39" t="s">
        <v>78</v>
      </c>
      <c r="G42" s="39">
        <v>2010</v>
      </c>
      <c r="H42" s="39">
        <v>1</v>
      </c>
      <c r="I42" s="39">
        <f t="array" ref="I42">INDEX($AE$7:$AH$63,MATCH($V42&amp;$W42,$AA$7:$AA$63&amp;$AB$7:$AB$63,0),MATCH($E42,$AE$6:$AH$6,0))+INDEX('LTM data'!$D$47:$W$66,MATCH(RIGHT(I$6,4)&amp;'Couple Potential'!$X42,'LTM data'!$A$47:$A$66&amp;'LTM data'!$C$47:$C$66,0),MATCH('Couple Potential'!$W42,'LTM data'!$D$46:$W$46,0))+INDEX('LTM data'!$D$47:$W$66,MATCH(RIGHT(I$6,4)&amp;'Couple Potential'!$X42,'LTM data'!$A$47:$A$66&amp;'LTM data'!$C$47:$C$66,0),MATCH('Couple Potential'!$V42,'LTM data'!$D$46:$W$46,0))</f>
        <v>6748.9768941000002</v>
      </c>
      <c r="J42" s="39">
        <f t="array" ref="J42">INDEX($AE$7:$AH$63,MATCH($V42&amp;$W42,$AA$7:$AA$63&amp;$AB$7:$AB$63,0),MATCH($E42,$AE$6:$AH$6,0))+INDEX('LTM data'!$D$47:$W$66,MATCH(RIGHT(J$6,4)&amp;'Couple Potential'!$X42,'LTM data'!$A$47:$A$66&amp;'LTM data'!$C$47:$C$66,0),MATCH('Couple Potential'!$W42,'LTM data'!$D$46:$W$46,0))+INDEX('LTM data'!$D$47:$W$66,MATCH(RIGHT(J$6,4)&amp;'Couple Potential'!$X42,'LTM data'!$A$47:$A$66&amp;'LTM data'!$C$47:$C$66,0),MATCH('Couple Potential'!$V42,'LTM data'!$D$46:$W$46,0))</f>
        <v>6865.9236020123808</v>
      </c>
      <c r="K42" s="39">
        <v>15</v>
      </c>
      <c r="L42" s="23" t="str">
        <f t="array" ref="L42">"Max production of "&amp;E42&amp;" travel demand by "&amp;V42&amp;" and "&amp;W42</f>
        <v>Max production of TPXS travel demand by Metro and Moped</v>
      </c>
      <c r="M42" s="23"/>
      <c r="N42" s="23"/>
      <c r="O42" s="23"/>
      <c r="P42" s="23"/>
      <c r="Q42" s="23"/>
      <c r="R42" s="23"/>
      <c r="U42" s="39" t="s">
        <v>67</v>
      </c>
      <c r="V42" s="39" t="s">
        <v>67</v>
      </c>
      <c r="W42" s="39" t="s">
        <v>63</v>
      </c>
      <c r="X42" s="39" t="s">
        <v>84</v>
      </c>
      <c r="AA42" s="39" t="s">
        <v>70</v>
      </c>
      <c r="AB42" s="39" t="s">
        <v>72</v>
      </c>
      <c r="AD42" s="101" t="s">
        <v>298</v>
      </c>
      <c r="AE42" s="105">
        <f t="array" ref="AE42">IF(AP42=0,99999,AP42-(INDEX($AK$8:$AK$67,MATCH($AB42&amp;AE$6,$AM$8:$AM$67&amp;$AL$8:$AL$67,0))+INDEX($AK$8:$AK$67,MATCH($AA42&amp;AE$6,$AM$8:$AM$67&amp;$AL$8:$AL$67,0))))</f>
        <v>99999</v>
      </c>
      <c r="AF42" s="102">
        <f t="array" ref="AF42">IF(AQ42=0,99999,AQ42-(INDEX($AK$8:$AK$67,MATCH($AB42&amp;AF$6,$AM$8:$AM$67&amp;$AL$8:$AL$67,0))+INDEX($AK$8:$AK$67,MATCH($AA42&amp;AF$6,$AM$8:$AM$67&amp;$AL$8:$AL$67,0))))</f>
        <v>6678.1247458979778</v>
      </c>
      <c r="AG42" s="102">
        <f t="array" ref="AG42">IF(AR42=0,99999,AR42-(INDEX($AK$8:$AK$67,MATCH($AB42&amp;AG$6,$AM$8:$AM$67&amp;$AL$8:$AL$67,0))+INDEX($AK$8:$AK$67,MATCH($AA42&amp;AG$6,$AM$8:$AM$67&amp;$AL$8:$AL$67,0))))</f>
        <v>4322.1623884320197</v>
      </c>
      <c r="AH42" s="102">
        <f t="array" ref="AH42">IF(AS42=0,99999,AS42-(INDEX($AK$8:$AK$67,MATCH($AB42&amp;AH$6,$AM$8:$AM$67&amp;$AL$8:$AL$67,0))+INDEX($AK$8:$AK$67,MATCH($AA42&amp;AH$6,$AM$8:$AM$67&amp;$AL$8:$AL$67,0))))</f>
        <v>5477.3577365922465</v>
      </c>
      <c r="AJ42" s="39" t="str">
        <f>AJ12</f>
        <v>TPBIXS</v>
      </c>
      <c r="AK42" s="107">
        <f>'LTM data'!T47</f>
        <v>617.09401818322704</v>
      </c>
      <c r="AL42" s="39" t="str">
        <f>AL12</f>
        <v>TPXS</v>
      </c>
      <c r="AM42" s="39" t="str">
        <f>AM12&amp;" DKE"</f>
        <v>Bike DKE</v>
      </c>
      <c r="AO42" s="101" t="s">
        <v>298</v>
      </c>
      <c r="AP42" s="103">
        <v>0</v>
      </c>
      <c r="AQ42" s="102">
        <v>22902.7530276</v>
      </c>
      <c r="AR42" s="102">
        <v>16145.776686200001</v>
      </c>
      <c r="AS42" s="102">
        <v>30427.3272941</v>
      </c>
      <c r="AT42" s="40"/>
      <c r="AU42" s="40"/>
      <c r="AV42" s="40"/>
    </row>
    <row r="43" spans="2:48">
      <c r="B43" s="23" t="str">
        <f t="shared" si="1"/>
        <v>UC_Up_S-Train-Moto_TPXS</v>
      </c>
      <c r="C43" s="39" t="str">
        <f t="shared" si="2"/>
        <v>TPRS*,TPMT*</v>
      </c>
      <c r="D43" s="39" t="str">
        <f t="shared" si="3"/>
        <v>TRA*</v>
      </c>
      <c r="E43" s="39" t="str">
        <f t="shared" si="5"/>
        <v>TPXS</v>
      </c>
      <c r="F43" s="39" t="s">
        <v>78</v>
      </c>
      <c r="G43" s="39">
        <v>2010</v>
      </c>
      <c r="H43" s="39">
        <v>1</v>
      </c>
      <c r="I43" s="39">
        <f t="array" ref="I43">INDEX($AE$7:$AH$63,MATCH($V43&amp;$W43,$AA$7:$AA$63&amp;$AB$7:$AB$63,0),MATCH($E43,$AE$6:$AH$6,0))+INDEX('LTM data'!$D$47:$W$66,MATCH(RIGHT(I$6,4)&amp;'Couple Potential'!$X43,'LTM data'!$A$47:$A$66&amp;'LTM data'!$C$47:$C$66,0),MATCH('Couple Potential'!$W43,'LTM data'!$D$46:$W$46,0))+INDEX('LTM data'!$D$47:$W$66,MATCH(RIGHT(I$6,4)&amp;'Couple Potential'!$X43,'LTM data'!$A$47:$A$66&amp;'LTM data'!$C$47:$C$66,0),MATCH('Couple Potential'!$V43,'LTM data'!$D$46:$W$46,0))</f>
        <v>100090.37759418051</v>
      </c>
      <c r="J43" s="39">
        <f t="array" ref="J43">INDEX($AE$7:$AH$63,MATCH($V43&amp;$W43,$AA$7:$AA$63&amp;$AB$7:$AB$63,0),MATCH($E43,$AE$6:$AH$6,0))+INDEX('LTM data'!$D$47:$W$66,MATCH(RIGHT(J$6,4)&amp;'Couple Potential'!$X43,'LTM data'!$A$47:$A$66&amp;'LTM data'!$C$47:$C$66,0),MATCH('Couple Potential'!$W43,'LTM data'!$D$46:$W$46,0))+INDEX('LTM data'!$D$47:$W$66,MATCH(RIGHT(J$6,4)&amp;'Couple Potential'!$X43,'LTM data'!$A$47:$A$66&amp;'LTM data'!$C$47:$C$66,0),MATCH('Couple Potential'!$V43,'LTM data'!$D$46:$W$46,0))</f>
        <v>100091.17866573617</v>
      </c>
      <c r="K43" s="39">
        <v>15</v>
      </c>
      <c r="L43" s="23" t="str">
        <f t="array" ref="L43">"Max production of "&amp;E43&amp;" travel demand by "&amp;V43&amp;" and "&amp;W43</f>
        <v>Max production of TPXS travel demand by S-Train and Moto</v>
      </c>
      <c r="M43" s="23"/>
      <c r="N43" s="23"/>
      <c r="O43" s="23"/>
      <c r="P43" s="23"/>
      <c r="Q43" s="23"/>
      <c r="R43" s="23"/>
      <c r="U43" s="39" t="s">
        <v>343</v>
      </c>
      <c r="V43" s="39" t="s">
        <v>343</v>
      </c>
      <c r="W43" s="39" t="s">
        <v>64</v>
      </c>
      <c r="X43" s="39" t="s">
        <v>84</v>
      </c>
      <c r="AA43" s="39" t="s">
        <v>360</v>
      </c>
      <c r="AB43" s="39" t="s">
        <v>355</v>
      </c>
      <c r="AD43" s="39" t="s">
        <v>297</v>
      </c>
      <c r="AE43" s="104">
        <f t="array" ref="AE43">IF(AP43=0,99999,AP43-(INDEX($AK$8:$AK$67,MATCH($AB43&amp;AE$6,$AM$8:$AM$67&amp;$AL$8:$AL$67,0))+INDEX($AK$8:$AK$67,MATCH($AA43&amp;AE$6,$AM$8:$AM$67&amp;$AL$8:$AL$67,0))))</f>
        <v>99999</v>
      </c>
      <c r="AF43" s="40">
        <f t="array" ref="AF43">IF(AQ43=0,99999,AQ43-(INDEX($AK$8:$AK$67,MATCH($AB43&amp;AF$6,$AM$8:$AM$67&amp;$AL$8:$AL$67,0))+INDEX($AK$8:$AK$67,MATCH($AA43&amp;AF$6,$AM$8:$AM$67&amp;$AL$8:$AL$67,0))))</f>
        <v>5150.9759965015946</v>
      </c>
      <c r="AG43" s="104">
        <f t="array" ref="AG43">IF(AR43=0,99999,AR43-(INDEX($AK$8:$AK$67,MATCH($AB43&amp;AG$6,$AM$8:$AM$67&amp;$AL$8:$AL$67,0))+INDEX($AK$8:$AK$67,MATCH($AA43&amp;AG$6,$AM$8:$AM$67&amp;$AL$8:$AL$67,0))))</f>
        <v>99999</v>
      </c>
      <c r="AH43" s="104">
        <f t="array" ref="AH43">IF(AS43=0,99999,AS43-(INDEX($AK$8:$AK$67,MATCH($AB43&amp;AH$6,$AM$8:$AM$67&amp;$AL$8:$AL$67,0))+INDEX($AK$8:$AK$67,MATCH($AA43&amp;AH$6,$AM$8:$AM$67&amp;$AL$8:$AL$67,0))))</f>
        <v>99999</v>
      </c>
      <c r="AJ43" s="39" t="str">
        <f t="shared" ref="AJ43:AL60" si="6">AJ13</f>
        <v>TPBIS</v>
      </c>
      <c r="AK43" s="107">
        <f>'LTM data'!T48</f>
        <v>441.67113008922303</v>
      </c>
      <c r="AL43" s="39" t="str">
        <f t="shared" si="6"/>
        <v>TPS</v>
      </c>
      <c r="AM43" s="39" t="str">
        <f t="shared" ref="AM43:AM60" si="7">AM13&amp;" DKE"</f>
        <v>BIke DKE</v>
      </c>
      <c r="AO43" s="39" t="s">
        <v>297</v>
      </c>
      <c r="AP43" s="100">
        <v>0</v>
      </c>
      <c r="AQ43" s="40">
        <v>5557.3165362999998</v>
      </c>
      <c r="AR43" s="100">
        <v>0</v>
      </c>
      <c r="AS43" s="100">
        <v>0</v>
      </c>
      <c r="AT43" s="40"/>
      <c r="AU43" s="40"/>
      <c r="AV43" s="40"/>
    </row>
    <row r="44" spans="2:48">
      <c r="B44" s="23" t="str">
        <f t="shared" si="1"/>
        <v>UC_Up_S-Train-Moped_TPXS</v>
      </c>
      <c r="C44" s="39" t="str">
        <f t="shared" si="2"/>
        <v>TPRS*,TPMP*</v>
      </c>
      <c r="D44" s="39" t="str">
        <f t="shared" si="3"/>
        <v>TRA*</v>
      </c>
      <c r="E44" s="39" t="str">
        <f t="shared" si="5"/>
        <v>TPXS</v>
      </c>
      <c r="F44" s="39" t="s">
        <v>78</v>
      </c>
      <c r="G44" s="39">
        <v>2010</v>
      </c>
      <c r="H44" s="39">
        <v>1</v>
      </c>
      <c r="I44" s="39">
        <f t="array" ref="I44">INDEX($AE$7:$AH$63,MATCH($V44&amp;$W44,$AA$7:$AA$63&amp;$AB$7:$AB$63,0),MATCH($E44,$AE$6:$AH$6,0))+INDEX('LTM data'!$D$47:$W$66,MATCH(RIGHT(I$6,4)&amp;'Couple Potential'!$X44,'LTM data'!$A$47:$A$66&amp;'LTM data'!$C$47:$C$66,0),MATCH('Couple Potential'!$W44,'LTM data'!$D$46:$W$46,0))+INDEX('LTM data'!$D$47:$W$66,MATCH(RIGHT(I$6,4)&amp;'Couple Potential'!$X44,'LTM data'!$A$47:$A$66&amp;'LTM data'!$C$47:$C$66,0),MATCH('Couple Potential'!$V44,'LTM data'!$D$46:$W$46,0))</f>
        <v>6748.9768940999993</v>
      </c>
      <c r="J44" s="39">
        <f t="array" ref="J44">INDEX($AE$7:$AH$63,MATCH($V44&amp;$W44,$AA$7:$AA$63&amp;$AB$7:$AB$63,0),MATCH($E44,$AE$6:$AH$6,0))+INDEX('LTM data'!$D$47:$W$66,MATCH(RIGHT(J$6,4)&amp;'Couple Potential'!$X44,'LTM data'!$A$47:$A$66&amp;'LTM data'!$C$47:$C$66,0),MATCH('Couple Potential'!$W44,'LTM data'!$D$46:$W$46,0))+INDEX('LTM data'!$D$47:$W$66,MATCH(RIGHT(J$6,4)&amp;'Couple Potential'!$X44,'LTM data'!$A$47:$A$66&amp;'LTM data'!$C$47:$C$66,0),MATCH('Couple Potential'!$V44,'LTM data'!$D$46:$W$46,0))</f>
        <v>6742.5401311453234</v>
      </c>
      <c r="K44" s="39">
        <v>15</v>
      </c>
      <c r="L44" s="23" t="str">
        <f t="array" ref="L44">"Max production of "&amp;E44&amp;" travel demand by "&amp;V44&amp;" and "&amp;W44</f>
        <v>Max production of TPXS travel demand by S-Train and Moped</v>
      </c>
      <c r="M44" s="23"/>
      <c r="N44" s="23"/>
      <c r="O44" s="23"/>
      <c r="P44" s="23"/>
      <c r="Q44" s="23"/>
      <c r="R44" s="23"/>
      <c r="U44" s="39" t="s">
        <v>343</v>
      </c>
      <c r="V44" s="39" t="s">
        <v>343</v>
      </c>
      <c r="W44" s="39" t="s">
        <v>63</v>
      </c>
      <c r="X44" s="39" t="s">
        <v>84</v>
      </c>
      <c r="AA44" s="39" t="s">
        <v>69</v>
      </c>
      <c r="AB44" s="39" t="s">
        <v>67</v>
      </c>
      <c r="AD44" s="39" t="s">
        <v>296</v>
      </c>
      <c r="AE44" s="104">
        <f t="array" ref="AE44">IF(AP44=0,99999,AP44-(INDEX($AK$8:$AK$67,MATCH($AB44&amp;AE$6,$AM$8:$AM$67&amp;$AL$8:$AL$67,0))+INDEX($AK$8:$AK$67,MATCH($AA44&amp;AE$6,$AM$8:$AM$67&amp;$AL$8:$AL$67,0))))</f>
        <v>99999</v>
      </c>
      <c r="AF44" s="40">
        <f t="array" ref="AF44">IF(AQ44=0,99999,AQ44-(INDEX($AK$8:$AK$67,MATCH($AB44&amp;AF$6,$AM$8:$AM$67&amp;$AL$8:$AL$67,0))+INDEX($AK$8:$AK$67,MATCH($AA44&amp;AF$6,$AM$8:$AM$67&amp;$AL$8:$AL$67,0))))</f>
        <v>19961.09449756725</v>
      </c>
      <c r="AG44" s="104">
        <f t="array" ref="AG44">IF(AR44=0,99999,AR44-(INDEX($AK$8:$AK$67,MATCH($AB44&amp;AG$6,$AM$8:$AM$67&amp;$AL$8:$AL$67,0))+INDEX($AK$8:$AK$67,MATCH($AA44&amp;AG$6,$AM$8:$AM$67&amp;$AL$8:$AL$67,0))))</f>
        <v>99999</v>
      </c>
      <c r="AH44" s="104">
        <f t="array" ref="AH44">IF(AS44=0,99999,AS44-(INDEX($AK$8:$AK$67,MATCH($AB44&amp;AH$6,$AM$8:$AM$67&amp;$AL$8:$AL$67,0))+INDEX($AK$8:$AK$67,MATCH($AA44&amp;AH$6,$AM$8:$AM$67&amp;$AL$8:$AL$67,0))))</f>
        <v>99999</v>
      </c>
      <c r="AJ44" s="39" t="str">
        <f>AJ14</f>
        <v>TPWXS</v>
      </c>
      <c r="AK44" s="40">
        <f>'LTM data'!U47</f>
        <v>316.33898005988499</v>
      </c>
      <c r="AL44" s="39" t="str">
        <f>AL14</f>
        <v>TPXS</v>
      </c>
      <c r="AM44" s="39" t="str">
        <f>AM14&amp;" DKE"</f>
        <v>Walk DKE</v>
      </c>
      <c r="AO44" s="39" t="s">
        <v>296</v>
      </c>
      <c r="AP44" s="100"/>
      <c r="AQ44" s="40">
        <v>20531.6648675</v>
      </c>
      <c r="AR44" s="100"/>
      <c r="AS44" s="100"/>
      <c r="AT44" s="40"/>
      <c r="AU44" s="40"/>
      <c r="AV44" s="40"/>
    </row>
    <row r="45" spans="2:48">
      <c r="B45" s="23" t="str">
        <f t="shared" si="1"/>
        <v>UC_Up_Moto-Moped_TPXS</v>
      </c>
      <c r="C45" s="39" t="str">
        <f t="shared" si="2"/>
        <v>TPMT*,TPMP*</v>
      </c>
      <c r="D45" s="39" t="str">
        <f t="shared" si="3"/>
        <v>TRA*</v>
      </c>
      <c r="E45" s="39" t="str">
        <f t="shared" si="5"/>
        <v>TPXS</v>
      </c>
      <c r="F45" s="39" t="s">
        <v>78</v>
      </c>
      <c r="G45" s="39">
        <v>2010</v>
      </c>
      <c r="H45" s="39">
        <v>1</v>
      </c>
      <c r="I45" s="39">
        <f t="array" ref="I45">INDEX($AE$7:$AH$63,MATCH($V45&amp;$W45,$AA$7:$AA$63&amp;$AB$7:$AB$63,0),MATCH($E45,$AE$6:$AH$6,0))+INDEX('LTM data'!$D$47:$W$66,MATCH(RIGHT(I$6,4)&amp;'Couple Potential'!$X45,'LTM data'!$A$47:$A$66&amp;'LTM data'!$C$47:$C$66,0),MATCH('Couple Potential'!$W45,'LTM data'!$D$46:$W$46,0))+INDEX('LTM data'!$D$47:$W$66,MATCH(RIGHT(I$6,4)&amp;'Couple Potential'!$X45,'LTM data'!$A$47:$A$66&amp;'LTM data'!$C$47:$C$66,0),MATCH('Couple Potential'!$V45,'LTM data'!$D$46:$W$46,0))</f>
        <v>100014.85897754211</v>
      </c>
      <c r="J45" s="39">
        <f t="array" ref="J45">INDEX($AE$7:$AH$63,MATCH($V45&amp;$W45,$AA$7:$AA$63&amp;$AB$7:$AB$63,0),MATCH($E45,$AE$6:$AH$6,0))+INDEX('LTM data'!$D$47:$W$66,MATCH(RIGHT(J$6,4)&amp;'Couple Potential'!$X45,'LTM data'!$A$47:$A$66&amp;'LTM data'!$C$47:$C$66,0),MATCH('Couple Potential'!$W45,'LTM data'!$D$46:$W$46,0))+INDEX('LTM data'!$D$47:$W$66,MATCH(RIGHT(J$6,4)&amp;'Couple Potential'!$X45,'LTM data'!$A$47:$A$66&amp;'LTM data'!$C$47:$C$66,0),MATCH('Couple Potential'!$V45,'LTM data'!$D$46:$W$46,0))</f>
        <v>100007.62114303178</v>
      </c>
      <c r="K45" s="39">
        <v>15</v>
      </c>
      <c r="L45" s="23" t="str">
        <f t="array" ref="L45">"Max production of "&amp;E45&amp;" travel demand by "&amp;V45&amp;" and "&amp;W45</f>
        <v>Max production of TPXS travel demand by Moto and Moped</v>
      </c>
      <c r="M45" s="23"/>
      <c r="N45" s="23"/>
      <c r="O45" s="23"/>
      <c r="P45" s="23"/>
      <c r="Q45" s="23"/>
      <c r="R45" s="23"/>
      <c r="U45" s="39" t="s">
        <v>64</v>
      </c>
      <c r="V45" s="39" t="s">
        <v>64</v>
      </c>
      <c r="W45" s="39" t="s">
        <v>63</v>
      </c>
      <c r="X45" s="39" t="s">
        <v>84</v>
      </c>
      <c r="AA45" s="39" t="s">
        <v>360</v>
      </c>
      <c r="AB45" s="39" t="s">
        <v>353</v>
      </c>
      <c r="AD45" s="39" t="s">
        <v>295</v>
      </c>
      <c r="AE45" s="104">
        <f t="array" ref="AE45">IF(AP45=0,99999,AP45-(INDEX($AK$8:$AK$67,MATCH($AB45&amp;AE$6,$AM$8:$AM$67&amp;$AL$8:$AL$67,0))+INDEX($AK$8:$AK$67,MATCH($AA45&amp;AE$6,$AM$8:$AM$67&amp;$AL$8:$AL$67,0))))</f>
        <v>99999</v>
      </c>
      <c r="AF45" s="40">
        <f t="array" ref="AF45">IF(AQ45=0,99999,AQ45-(INDEX($AK$8:$AK$67,MATCH($AB45&amp;AF$6,$AM$8:$AM$67&amp;$AL$8:$AL$67,0))+INDEX($AK$8:$AK$67,MATCH($AA45&amp;AF$6,$AM$8:$AM$67&amp;$AL$8:$AL$67,0))))</f>
        <v>8457.4734433988197</v>
      </c>
      <c r="AG45" s="40">
        <f t="array" ref="AG45">IF(AR45=0,99999,AR45-(INDEX($AK$8:$AK$67,MATCH($AB45&amp;AG$6,$AM$8:$AM$67&amp;$AL$8:$AL$67,0))+INDEX($AK$8:$AK$67,MATCH($AA45&amp;AG$6,$AM$8:$AM$67&amp;$AL$8:$AL$67,0))))</f>
        <v>5907.7459308359885</v>
      </c>
      <c r="AH45" s="104">
        <f t="array" ref="AH45">IF(AS45=0,99999,AS45-(INDEX($AK$8:$AK$67,MATCH($AB45&amp;AH$6,$AM$8:$AM$67&amp;$AL$8:$AL$67,0))+INDEX($AK$8:$AK$67,MATCH($AA45&amp;AH$6,$AM$8:$AM$67&amp;$AL$8:$AL$67,0))))</f>
        <v>99999</v>
      </c>
      <c r="AJ45" s="39" t="str">
        <f t="shared" si="6"/>
        <v>TPWS</v>
      </c>
      <c r="AK45" s="40">
        <f>'LTM data'!U48</f>
        <v>24.5034435315468</v>
      </c>
      <c r="AL45" s="39" t="str">
        <f t="shared" si="6"/>
        <v>TPS</v>
      </c>
      <c r="AM45" s="39" t="str">
        <f t="shared" si="7"/>
        <v>Walk DKE</v>
      </c>
      <c r="AO45" s="39" t="s">
        <v>295</v>
      </c>
      <c r="AP45" s="100">
        <v>0</v>
      </c>
      <c r="AQ45" s="40">
        <v>9478.2116201000008</v>
      </c>
      <c r="AR45" s="40">
        <v>6879.6603361999996</v>
      </c>
      <c r="AS45" s="100">
        <v>0</v>
      </c>
      <c r="AT45" s="40"/>
      <c r="AU45" s="40"/>
      <c r="AV45" s="40"/>
    </row>
    <row r="46" spans="2:48">
      <c r="B46" s="23" t="str">
        <f t="shared" si="1"/>
        <v>UC_Up_Moto-Car_TPXS</v>
      </c>
      <c r="C46" s="39" t="str">
        <f t="shared" si="2"/>
        <v>TPMT*,TPCA*</v>
      </c>
      <c r="D46" s="39" t="str">
        <f t="shared" si="3"/>
        <v>TRA*</v>
      </c>
      <c r="E46" s="39" t="str">
        <f t="shared" si="5"/>
        <v>TPXS</v>
      </c>
      <c r="F46" s="39" t="s">
        <v>78</v>
      </c>
      <c r="G46" s="39">
        <v>2010</v>
      </c>
      <c r="H46" s="39">
        <v>1</v>
      </c>
      <c r="I46" s="39">
        <f t="array" ref="I46">INDEX($AE$7:$AH$63,MATCH($V46&amp;$W46,$AA$7:$AA$63&amp;$AB$7:$AB$63,0),MATCH($E46,$AE$6:$AH$6,0))+INDEX('LTM data'!$D$47:$W$66,MATCH(RIGHT(I$6,4)&amp;'Couple Potential'!$X46,'LTM data'!$A$47:$A$66&amp;'LTM data'!$C$47:$C$66,0),MATCH('Couple Potential'!$W46,'LTM data'!$D$46:$W$46,0))+INDEX('LTM data'!$D$47:$W$66,MATCH(RIGHT(I$6,4)&amp;'Couple Potential'!$X46,'LTM data'!$A$47:$A$66&amp;'LTM data'!$C$47:$C$66,0),MATCH('Couple Potential'!$V46,'LTM data'!$D$46:$W$46,0))</f>
        <v>103298.24246603141</v>
      </c>
      <c r="J46" s="39">
        <f t="array" ref="J46">INDEX($AE$7:$AH$63,MATCH($V46&amp;$W46,$AA$7:$AA$63&amp;$AB$7:$AB$63,0),MATCH($E46,$AE$6:$AH$6,0))+INDEX('LTM data'!$D$47:$W$66,MATCH(RIGHT(J$6,4)&amp;'Couple Potential'!$X46,'LTM data'!$A$47:$A$66&amp;'LTM data'!$C$47:$C$66,0),MATCH('Couple Potential'!$W46,'LTM data'!$D$46:$W$46,0))+INDEX('LTM data'!$D$47:$W$66,MATCH(RIGHT(J$6,4)&amp;'Couple Potential'!$X46,'LTM data'!$A$47:$A$66&amp;'LTM data'!$C$47:$C$66,0),MATCH('Couple Potential'!$V46,'LTM data'!$D$46:$W$46,0))</f>
        <v>104798.00152125162</v>
      </c>
      <c r="K46" s="39">
        <v>15</v>
      </c>
      <c r="L46" s="23" t="str">
        <f t="array" ref="L46">"Max production of "&amp;E46&amp;" travel demand by "&amp;V46&amp;" and "&amp;W46</f>
        <v>Max production of TPXS travel demand by Moto and Car</v>
      </c>
      <c r="M46" s="23"/>
      <c r="N46" s="23"/>
      <c r="O46" s="23"/>
      <c r="P46" s="23"/>
      <c r="Q46" s="23"/>
      <c r="R46" s="23"/>
      <c r="U46" s="39" t="s">
        <v>64</v>
      </c>
      <c r="V46" s="39" t="s">
        <v>64</v>
      </c>
      <c r="W46" s="39" t="s">
        <v>72</v>
      </c>
      <c r="X46" s="39" t="s">
        <v>84</v>
      </c>
      <c r="AA46" s="39" t="s">
        <v>69</v>
      </c>
      <c r="AB46" s="39" t="s">
        <v>343</v>
      </c>
      <c r="AD46" s="39" t="s">
        <v>294</v>
      </c>
      <c r="AE46" s="104">
        <f t="array" ref="AE46">IF(AP46=0,99999,AP46-(INDEX($AK$8:$AK$67,MATCH($AB46&amp;AE$6,$AM$8:$AM$67&amp;$AL$8:$AL$67,0))+INDEX($AK$8:$AK$67,MATCH($AA46&amp;AE$6,$AM$8:$AM$67&amp;$AL$8:$AL$67,0))))</f>
        <v>99999</v>
      </c>
      <c r="AF46" s="40">
        <f t="array" ref="AF46">IF(AQ46=0,99999,AQ46-(INDEX($AK$8:$AK$67,MATCH($AB46&amp;AF$6,$AM$8:$AM$67&amp;$AL$8:$AL$67,0))+INDEX($AK$8:$AK$67,MATCH($AA46&amp;AF$6,$AM$8:$AM$67&amp;$AL$8:$AL$67,0))))</f>
        <v>22495.103636864475</v>
      </c>
      <c r="AG46" s="40">
        <f t="array" ref="AG46">IF(AR46=0,99999,AR46-(INDEX($AK$8:$AK$67,MATCH($AB46&amp;AG$6,$AM$8:$AM$67&amp;$AL$8:$AL$67,0))+INDEX($AK$8:$AK$67,MATCH($AA46&amp;AG$6,$AM$8:$AM$67&amp;$AL$8:$AL$67,0))))</f>
        <v>13726.293527902064</v>
      </c>
      <c r="AH46" s="104">
        <f t="array" ref="AH46">IF(AS46=0,99999,AS46-(INDEX($AK$8:$AK$67,MATCH($AB46&amp;AH$6,$AM$8:$AM$67&amp;$AL$8:$AL$67,0))+INDEX($AK$8:$AK$67,MATCH($AA46&amp;AH$6,$AM$8:$AM$67&amp;$AL$8:$AL$67,0))))</f>
        <v>99999</v>
      </c>
      <c r="AJ46" s="39" t="str">
        <f>AJ16</f>
        <v>TPMTS</v>
      </c>
      <c r="AK46" s="40">
        <f>'LTM data'!V48</f>
        <v>58.5942785081292</v>
      </c>
      <c r="AL46" s="39" t="str">
        <f>AL16</f>
        <v>TPS</v>
      </c>
      <c r="AM46" s="39" t="str">
        <f>AM16&amp;" DKE"</f>
        <v>Moto DKE</v>
      </c>
      <c r="AO46" s="39" t="s">
        <v>294</v>
      </c>
      <c r="AP46" s="100"/>
      <c r="AQ46" s="40">
        <v>23680.071643700001</v>
      </c>
      <c r="AR46" s="40">
        <v>15064.9128105</v>
      </c>
      <c r="AS46" s="40"/>
      <c r="AT46" s="40"/>
      <c r="AU46" s="40"/>
      <c r="AV46" s="40"/>
    </row>
    <row r="47" spans="2:48">
      <c r="B47" s="23" t="str">
        <f t="shared" si="1"/>
        <v>UC_Up_Moped-Car_TPXS</v>
      </c>
      <c r="C47" s="39" t="str">
        <f t="shared" si="2"/>
        <v>TPMP*,TPCA*</v>
      </c>
      <c r="D47" s="39" t="str">
        <f t="shared" si="3"/>
        <v>TRA*</v>
      </c>
      <c r="E47" s="39" t="str">
        <f t="shared" si="5"/>
        <v>TPXS</v>
      </c>
      <c r="F47" s="39" t="s">
        <v>78</v>
      </c>
      <c r="G47" s="39">
        <v>2010</v>
      </c>
      <c r="H47" s="39">
        <v>1</v>
      </c>
      <c r="I47" s="39">
        <f t="array" ref="I47">INDEX($AE$7:$AH$63,MATCH($V47&amp;$W47,$AA$7:$AA$63&amp;$AB$7:$AB$63,0),MATCH($E47,$AE$6:$AH$6,0))+INDEX('LTM data'!$D$47:$W$66,MATCH(RIGHT(I$6,4)&amp;'Couple Potential'!$X47,'LTM data'!$A$47:$A$66&amp;'LTM data'!$C$47:$C$66,0),MATCH('Couple Potential'!$W47,'LTM data'!$D$46:$W$46,0))+INDEX('LTM data'!$D$47:$W$66,MATCH(RIGHT(I$6,4)&amp;'Couple Potential'!$X47,'LTM data'!$A$47:$A$66&amp;'LTM data'!$C$47:$C$66,0),MATCH('Couple Potential'!$V47,'LTM data'!$D$46:$W$46,0))</f>
        <v>6419.3275947999982</v>
      </c>
      <c r="J47" s="39">
        <f t="array" ref="J47">INDEX($AE$7:$AH$63,MATCH($V47&amp;$W47,$AA$7:$AA$63&amp;$AB$7:$AB$63,0),MATCH($E47,$AE$6:$AH$6,0))+INDEX('LTM data'!$D$47:$W$66,MATCH(RIGHT(J$6,4)&amp;'Couple Potential'!$X47,'LTM data'!$A$47:$A$66&amp;'LTM data'!$C$47:$C$66,0),MATCH('Couple Potential'!$W47,'LTM data'!$D$46:$W$46,0))+INDEX('LTM data'!$D$47:$W$66,MATCH(RIGHT(J$6,4)&amp;'Couple Potential'!$X47,'LTM data'!$A$47:$A$66&amp;'LTM data'!$C$47:$C$66,0),MATCH('Couple Potential'!$V47,'LTM data'!$D$46:$W$46,0))</f>
        <v>7911.8488155098539</v>
      </c>
      <c r="K47" s="39">
        <v>15</v>
      </c>
      <c r="L47" s="23" t="str">
        <f t="array" ref="L47">"Max production of "&amp;E47&amp;" travel demand by "&amp;V47&amp;" and "&amp;W47</f>
        <v>Max production of TPXS travel demand by Moped and Car</v>
      </c>
      <c r="M47" s="23"/>
      <c r="N47" s="23"/>
      <c r="O47" s="23"/>
      <c r="P47" s="23"/>
      <c r="Q47" s="23"/>
      <c r="R47" s="23"/>
      <c r="U47" s="39" t="s">
        <v>63</v>
      </c>
      <c r="V47" s="39" t="s">
        <v>63</v>
      </c>
      <c r="W47" s="39" t="s">
        <v>72</v>
      </c>
      <c r="X47" s="39" t="s">
        <v>84</v>
      </c>
      <c r="AA47" s="39" t="s">
        <v>69</v>
      </c>
      <c r="AB47" s="39" t="s">
        <v>64</v>
      </c>
      <c r="AD47" s="39" t="s">
        <v>293</v>
      </c>
      <c r="AE47" s="104">
        <f t="array" ref="AE47">IF(AP47=0,99999,AP47-(INDEX($AK$8:$AK$67,MATCH($AB47&amp;AE$6,$AM$8:$AM$67&amp;$AL$8:$AL$67,0))+INDEX($AK$8:$AK$67,MATCH($AA47&amp;AE$6,$AM$8:$AM$67&amp;$AL$8:$AL$67,0))))</f>
        <v>99999</v>
      </c>
      <c r="AF47" s="40">
        <f t="array" ref="AF47">IF(AQ47=0,99999,AQ47-(INDEX($AK$8:$AK$67,MATCH($AB47&amp;AF$6,$AM$8:$AM$67&amp;$AL$8:$AL$67,0))+INDEX($AK$8:$AK$67,MATCH($AA47&amp;AF$6,$AM$8:$AM$67&amp;$AL$8:$AL$67,0))))</f>
        <v>23930.334610302722</v>
      </c>
      <c r="AG47" s="40">
        <f t="array" ref="AG47">IF(AR47=0,99999,AR47-(INDEX($AK$8:$AK$67,MATCH($AB47&amp;AG$6,$AM$8:$AM$67&amp;$AL$8:$AL$67,0))+INDEX($AK$8:$AK$67,MATCH($AA47&amp;AG$6,$AM$8:$AM$67&amp;$AL$8:$AL$67,0))))</f>
        <v>16006.644961862625</v>
      </c>
      <c r="AH47" s="40">
        <f t="array" ref="AH47">IF(AS47=0,99999,AS47-(INDEX($AK$8:$AK$67,MATCH($AB47&amp;AH$6,$AM$8:$AM$67&amp;$AL$8:$AL$67,0))+INDEX($AK$8:$AK$67,MATCH($AA47&amp;AH$6,$AM$8:$AM$67&amp;$AL$8:$AL$67,0))))</f>
        <v>23689.045969966563</v>
      </c>
      <c r="AJ47" s="39" t="str">
        <f>AJ17</f>
        <v>TPMTM</v>
      </c>
      <c r="AK47" s="40">
        <f>'LTM data'!V49</f>
        <v>46.248067558804799</v>
      </c>
      <c r="AL47" s="39" t="str">
        <f>AL17</f>
        <v>TPM</v>
      </c>
      <c r="AM47" s="39" t="str">
        <f>AM17&amp;" DKE"</f>
        <v>Moto DKE</v>
      </c>
      <c r="AO47" s="39" t="s">
        <v>293</v>
      </c>
      <c r="AP47" s="40">
        <v>0</v>
      </c>
      <c r="AQ47" s="40">
        <v>24503.492315799998</v>
      </c>
      <c r="AR47" s="40">
        <v>17055.779887199998</v>
      </c>
      <c r="AS47" s="40">
        <v>27080.053400299999</v>
      </c>
      <c r="AT47" s="40"/>
      <c r="AU47" s="40"/>
      <c r="AV47" s="40"/>
    </row>
    <row r="48" spans="2:48">
      <c r="B48" s="23" t="str">
        <f t="shared" si="1"/>
        <v>UC_Up_Walk-Bike_TPS</v>
      </c>
      <c r="C48" s="39" t="str">
        <f t="shared" si="2"/>
        <v>TPWALK,TPBI*</v>
      </c>
      <c r="D48" s="39" t="str">
        <f t="shared" si="3"/>
        <v>BIKEcom,TRA*</v>
      </c>
      <c r="E48" s="39" t="str">
        <f t="shared" si="5"/>
        <v>TPS</v>
      </c>
      <c r="F48" s="39" t="s">
        <v>78</v>
      </c>
      <c r="G48" s="39">
        <v>2010</v>
      </c>
      <c r="H48" s="39">
        <v>1</v>
      </c>
      <c r="I48" s="39">
        <f t="array" ref="I48">INDEX($AE$7:$AH$63,MATCH($V48&amp;$W48,$AA$7:$AA$63&amp;$AB$7:$AB$63,0),MATCH($E48,$AE$6:$AH$6,0))+INDEX('LTM data'!$D$47:$W$66,MATCH(RIGHT(I$6,4)&amp;'Couple Potential'!$X48,'LTM data'!$A$47:$A$66&amp;'LTM data'!$C$47:$C$66,0),MATCH('Couple Potential'!$W48,'LTM data'!$D$46:$W$46,0))+INDEX('LTM data'!$D$47:$W$66,MATCH(RIGHT(I$6,4)&amp;'Couple Potential'!$X48,'LTM data'!$A$47:$A$66&amp;'LTM data'!$C$47:$C$66,0),MATCH('Couple Potential'!$V48,'LTM data'!$D$46:$W$46,0))</f>
        <v>7079.2555143</v>
      </c>
      <c r="J48" s="39">
        <f t="array" ref="J48">INDEX($AE$7:$AH$63,MATCH($V48&amp;$W48,$AA$7:$AA$63&amp;$AB$7:$AB$63,0),MATCH($E48,$AE$6:$AH$6,0))+INDEX('LTM data'!$D$47:$W$66,MATCH(RIGHT(J$6,4)&amp;'Couple Potential'!$X48,'LTM data'!$A$47:$A$66&amp;'LTM data'!$C$47:$C$66,0),MATCH('Couple Potential'!$W48,'LTM data'!$D$46:$W$46,0))+INDEX('LTM data'!$D$47:$W$66,MATCH(RIGHT(J$6,4)&amp;'Couple Potential'!$X48,'LTM data'!$A$47:$A$66&amp;'LTM data'!$C$47:$C$66,0),MATCH('Couple Potential'!$V48,'LTM data'!$D$46:$W$46,0))</f>
        <v>7234.4556897983057</v>
      </c>
      <c r="K48" s="39">
        <v>15</v>
      </c>
      <c r="L48" s="23" t="str">
        <f t="array" ref="L48">"Max production of "&amp;E48&amp;" travel demand by "&amp;V48&amp;" and "&amp;W48</f>
        <v>Max production of TPS travel demand by Walk and Bike</v>
      </c>
      <c r="M48" s="23"/>
      <c r="N48" s="23"/>
      <c r="O48" s="23"/>
      <c r="P48" s="23"/>
      <c r="Q48" s="23"/>
      <c r="R48" s="23"/>
      <c r="U48" s="39" t="s">
        <v>349</v>
      </c>
      <c r="V48" s="40" t="s">
        <v>65</v>
      </c>
      <c r="W48" s="39" t="s">
        <v>66</v>
      </c>
      <c r="X48" s="39" t="s">
        <v>83</v>
      </c>
      <c r="AA48" s="39" t="s">
        <v>69</v>
      </c>
      <c r="AB48" s="39" t="s">
        <v>63</v>
      </c>
      <c r="AD48" s="39" t="s">
        <v>292</v>
      </c>
      <c r="AE48" s="104">
        <f t="array" ref="AE48">IF(AP48=0,99999,AP48-(INDEX($AK$8:$AK$67,MATCH($AB48&amp;AE$6,$AM$8:$AM$67&amp;$AL$8:$AL$67,0))+INDEX($AK$8:$AK$67,MATCH($AA48&amp;AE$6,$AM$8:$AM$67&amp;$AL$8:$AL$67,0))))</f>
        <v>99999</v>
      </c>
      <c r="AF48" s="40">
        <f t="array" ref="AF48">IF(AQ48=0,99999,AQ48-(INDEX($AK$8:$AK$67,MATCH($AB48&amp;AF$6,$AM$8:$AM$67&amp;$AL$8:$AL$67,0))+INDEX($AK$8:$AK$67,MATCH($AA48&amp;AF$6,$AM$8:$AM$67&amp;$AL$8:$AL$67,0))))</f>
        <v>24248.983521214068</v>
      </c>
      <c r="AG48" s="40">
        <f t="array" ref="AG48">IF(AR48=0,99999,AR48-(INDEX($AK$8:$AK$67,MATCH($AB48&amp;AG$6,$AM$8:$AM$67&amp;$AL$8:$AL$67,0))+INDEX($AK$8:$AK$67,MATCH($AA48&amp;AG$6,$AM$8:$AM$67&amp;$AL$8:$AL$67,0))))</f>
        <v>15080.395576087927</v>
      </c>
      <c r="AH48" s="40">
        <f t="array" ref="AH48">IF(AS48=0,99999,AS48-(INDEX($AK$8:$AK$67,MATCH($AB48&amp;AH$6,$AM$8:$AM$67&amp;$AL$8:$AL$67,0))+INDEX($AK$8:$AK$67,MATCH($AA48&amp;AH$6,$AM$8:$AM$67&amp;$AL$8:$AL$67,0))))</f>
        <v>25220.839911172025</v>
      </c>
      <c r="AJ48" s="39" t="str">
        <f>AJ18</f>
        <v>TPMTL</v>
      </c>
      <c r="AK48" s="40">
        <f>'LTM data'!V50</f>
        <v>66.048773744700398</v>
      </c>
      <c r="AL48" s="39" t="str">
        <f>AL18</f>
        <v>TPL</v>
      </c>
      <c r="AM48" s="39" t="str">
        <f>AM18&amp;" DKE"</f>
        <v>Moto DKE</v>
      </c>
      <c r="AO48" s="39" t="s">
        <v>292</v>
      </c>
      <c r="AP48" s="100">
        <v>0</v>
      </c>
      <c r="AQ48" s="40">
        <v>24714.433938099999</v>
      </c>
      <c r="AR48" s="40">
        <v>16010.203642300001</v>
      </c>
      <c r="AS48" s="40">
        <v>28435.022511700001</v>
      </c>
      <c r="AT48" s="40"/>
      <c r="AU48" s="40"/>
      <c r="AV48" s="40"/>
    </row>
    <row r="49" spans="2:48">
      <c r="B49" s="23" t="str">
        <f t="shared" si="1"/>
        <v>UC_Up_Walk-Public bus_TPS</v>
      </c>
      <c r="C49" s="39" t="str">
        <f t="shared" si="2"/>
        <v>TPWALK,TPBU*</v>
      </c>
      <c r="D49" s="39" t="str">
        <f t="shared" si="3"/>
        <v>BIKEcom,TRA*</v>
      </c>
      <c r="E49" s="39" t="str">
        <f t="shared" si="5"/>
        <v>TPS</v>
      </c>
      <c r="F49" s="39" t="s">
        <v>78</v>
      </c>
      <c r="G49" s="39">
        <v>2010</v>
      </c>
      <c r="H49" s="39">
        <v>1</v>
      </c>
      <c r="I49" s="39">
        <f t="array" ref="I49">INDEX($AE$7:$AH$63,MATCH($V49&amp;$W49,$AA$7:$AA$63&amp;$AB$7:$AB$63,0),MATCH($E49,$AE$6:$AH$6,0))+INDEX('LTM data'!$D$47:$W$66,MATCH(RIGHT(I$6,4)&amp;'Couple Potential'!$X49,'LTM data'!$A$47:$A$66&amp;'LTM data'!$C$47:$C$66,0),MATCH('Couple Potential'!$W49,'LTM data'!$D$46:$W$46,0))+INDEX('LTM data'!$D$47:$W$66,MATCH(RIGHT(I$6,4)&amp;'Couple Potential'!$X49,'LTM data'!$A$47:$A$66&amp;'LTM data'!$C$47:$C$66,0),MATCH('Couple Potential'!$V49,'LTM data'!$D$46:$W$46,0))</f>
        <v>23564.6828766</v>
      </c>
      <c r="J49" s="39">
        <f t="array" ref="J49">INDEX($AE$7:$AH$63,MATCH($V49&amp;$W49,$AA$7:$AA$63&amp;$AB$7:$AB$63,0),MATCH($E49,$AE$6:$AH$6,0))+INDEX('LTM data'!$D$47:$W$66,MATCH(RIGHT(J$6,4)&amp;'Couple Potential'!$X49,'LTM data'!$A$47:$A$66&amp;'LTM data'!$C$47:$C$66,0),MATCH('Couple Potential'!$W49,'LTM data'!$D$46:$W$46,0))+INDEX('LTM data'!$D$47:$W$66,MATCH(RIGHT(J$6,4)&amp;'Couple Potential'!$X49,'LTM data'!$A$47:$A$66&amp;'LTM data'!$C$47:$C$66,0),MATCH('Couple Potential'!$V49,'LTM data'!$D$46:$W$46,0))</f>
        <v>23430.404214186932</v>
      </c>
      <c r="K49" s="39">
        <v>15</v>
      </c>
      <c r="L49" s="23" t="str">
        <f t="array" ref="L49">"Max production of "&amp;E49&amp;" travel demand by "&amp;V49&amp;" and "&amp;W49</f>
        <v>Max production of TPS travel demand by Walk and Public bus</v>
      </c>
      <c r="M49" s="23"/>
      <c r="N49" s="23"/>
      <c r="O49" s="23"/>
      <c r="P49" s="23"/>
      <c r="Q49" s="23"/>
      <c r="R49" s="23"/>
      <c r="U49" s="39" t="s">
        <v>349</v>
      </c>
      <c r="V49" s="40" t="s">
        <v>65</v>
      </c>
      <c r="W49" s="39" t="s">
        <v>71</v>
      </c>
      <c r="X49" s="39" t="s">
        <v>83</v>
      </c>
      <c r="AA49" s="39" t="s">
        <v>69</v>
      </c>
      <c r="AB49" s="39" t="s">
        <v>72</v>
      </c>
      <c r="AD49" s="101" t="s">
        <v>291</v>
      </c>
      <c r="AE49" s="105">
        <f t="array" ref="AE49">IF(AP49=0,99999,AP49-(INDEX($AK$8:$AK$67,MATCH($AB49&amp;AE$6,$AM$8:$AM$67&amp;$AL$8:$AL$67,0))+INDEX($AK$8:$AK$67,MATCH($AA49&amp;AE$6,$AM$8:$AM$67&amp;$AL$8:$AL$67,0))))</f>
        <v>99999</v>
      </c>
      <c r="AF49" s="102">
        <f t="array" ref="AF49">IF(AQ49=0,99999,AQ49-(INDEX($AK$8:$AK$67,MATCH($AB49&amp;AF$6,$AM$8:$AM$67&amp;$AL$8:$AL$67,0))+INDEX($AK$8:$AK$67,MATCH($AA49&amp;AF$6,$AM$8:$AM$67&amp;$AL$8:$AL$67,0))))</f>
        <v>6228.3205713746629</v>
      </c>
      <c r="AG49" s="102">
        <f t="array" ref="AG49">IF(AR49=0,99999,AR49-(INDEX($AK$8:$AK$67,MATCH($AB49&amp;AG$6,$AM$8:$AM$67&amp;$AL$8:$AL$67,0))+INDEX($AK$8:$AK$67,MATCH($AA49&amp;AG$6,$AM$8:$AM$67&amp;$AL$8:$AL$67,0))))</f>
        <v>2499.504402770046</v>
      </c>
      <c r="AH49" s="102">
        <f t="array" ref="AH49">IF(AS49=0,99999,AS49-(INDEX($AK$8:$AK$67,MATCH($AB49&amp;AH$6,$AM$8:$AM$67&amp;$AL$8:$AL$67,0))+INDEX($AK$8:$AK$67,MATCH($AA49&amp;AH$6,$AM$8:$AM$67&amp;$AL$8:$AL$67,0))))</f>
        <v>3161.020802109444</v>
      </c>
      <c r="AJ49" s="39" t="str">
        <f>AJ19</f>
        <v>TPMPXS</v>
      </c>
      <c r="AK49" s="40">
        <f>'LTM data'!W47</f>
        <v>5.2797026381633598</v>
      </c>
      <c r="AL49" s="39" t="str">
        <f>AL19</f>
        <v>TPXS</v>
      </c>
      <c r="AM49" s="39" t="str">
        <f>AM19&amp;" DKE"</f>
        <v>Moped DKE</v>
      </c>
      <c r="AO49" s="101" t="s">
        <v>291</v>
      </c>
      <c r="AP49" s="103"/>
      <c r="AQ49" s="102">
        <v>22471.785965899999</v>
      </c>
      <c r="AR49" s="102">
        <v>14856.672714599999</v>
      </c>
      <c r="AS49" s="102">
        <v>28270.899293900002</v>
      </c>
      <c r="AT49" s="40"/>
      <c r="AU49" s="40"/>
      <c r="AV49" s="40"/>
    </row>
    <row r="50" spans="2:48">
      <c r="B50" s="23" t="str">
        <f t="shared" si="1"/>
        <v>UC_Up_Walk-Train_TPS</v>
      </c>
      <c r="C50" s="39" t="str">
        <f t="shared" si="2"/>
        <v>TPWALK,TPRO*</v>
      </c>
      <c r="D50" s="39" t="str">
        <f t="shared" si="3"/>
        <v>BIKEcom,TRA*</v>
      </c>
      <c r="E50" s="39" t="str">
        <f t="shared" si="5"/>
        <v>TPS</v>
      </c>
      <c r="F50" s="39" t="s">
        <v>78</v>
      </c>
      <c r="G50" s="39">
        <v>2010</v>
      </c>
      <c r="H50" s="39">
        <v>1</v>
      </c>
      <c r="I50" s="39">
        <f t="array" ref="I50">INDEX($AE$7:$AH$63,MATCH($V50&amp;$W50,$AA$7:$AA$63&amp;$AB$7:$AB$63,0),MATCH($E50,$AE$6:$AH$6,0))+INDEX('LTM data'!$D$47:$W$66,MATCH(RIGHT(I$6,4)&amp;'Couple Potential'!$X50,'LTM data'!$A$47:$A$66&amp;'LTM data'!$C$47:$C$66,0),MATCH('Couple Potential'!$W50,'LTM data'!$D$46:$W$46,0))+INDEX('LTM data'!$D$47:$W$66,MATCH(RIGHT(I$6,4)&amp;'Couple Potential'!$X50,'LTM data'!$A$47:$A$66&amp;'LTM data'!$C$47:$C$66,0),MATCH('Couple Potential'!$V50,'LTM data'!$D$46:$W$46,0))</f>
        <v>24093.4908044</v>
      </c>
      <c r="J50" s="39">
        <f t="array" ref="J50">INDEX($AE$7:$AH$63,MATCH(V50&amp;W50,$AA$7:$AA$63&amp;$AB$7:$AB$63,0),MATCH(E50,$AE$6:$AH$6,0))+INDEX('LTM data'!$D$47:$W$66,MATCH(RIGHT($J$6,4)&amp;'Couple Potential'!X50,'LTM data'!$A$47:$A$66&amp;'LTM data'!$C$47:$C$66,0),MATCH('Couple Potential'!W50,'LTM data'!$D$46:$W$46,0))+INDEX('LTM data'!$D$47:$W$66,MATCH(RIGHT($J$6,4)&amp;'Couple Potential'!X50,'LTM data'!$A$47:$A$66&amp;'LTM data'!$C$47:$C$66,0),MATCH('Couple Potential'!V50,'LTM data'!$D$46:$W$46,0))</f>
        <v>24393.198600282274</v>
      </c>
      <c r="K50" s="39">
        <v>15</v>
      </c>
      <c r="L50" s="23" t="str">
        <f t="array" ref="L50">"Max production of "&amp;E50&amp;" travel demand by "&amp;V50&amp;" and "&amp;W50</f>
        <v>Max production of TPS travel demand by Walk and Train</v>
      </c>
      <c r="M50" s="23"/>
      <c r="N50" s="23"/>
      <c r="O50" s="23"/>
      <c r="P50" s="23"/>
      <c r="Q50" s="23"/>
      <c r="R50" s="23"/>
      <c r="U50" s="39" t="s">
        <v>349</v>
      </c>
      <c r="V50" s="40" t="s">
        <v>65</v>
      </c>
      <c r="W50" s="39" t="s">
        <v>69</v>
      </c>
      <c r="X50" s="39" t="s">
        <v>83</v>
      </c>
      <c r="AA50" s="39" t="s">
        <v>67</v>
      </c>
      <c r="AB50" s="39" t="s">
        <v>343</v>
      </c>
      <c r="AD50" s="39" t="s">
        <v>290</v>
      </c>
      <c r="AE50" s="40">
        <f t="array" ref="AE50">IF(AP50=0,99999,AP50-(INDEX($AK$8:$AK$67,MATCH($AB50&amp;AE$6,$AM$8:$AM$67&amp;$AL$8:$AL$67,0))+INDEX($AK$8:$AK$67,MATCH($AA50&amp;AE$6,$AM$8:$AM$67&amp;$AL$8:$AL$67,0))))</f>
        <v>2743.8173330407321</v>
      </c>
      <c r="AF50" s="40">
        <f t="array" ref="AF50">IF(AQ50=0,99999,AQ50-(INDEX($AK$8:$AK$67,MATCH($AB50&amp;AF$6,$AM$8:$AM$67&amp;$AL$8:$AL$67,0))+INDEX($AK$8:$AK$67,MATCH($AA50&amp;AF$6,$AM$8:$AM$67&amp;$AL$8:$AL$67,0))))</f>
        <v>9039.8941224549362</v>
      </c>
      <c r="AG50" s="104">
        <f t="array" ref="AG50">IF(AR50=0,99999,AR50-(INDEX($AK$8:$AK$67,MATCH($AB50&amp;AG$6,$AM$8:$AM$67&amp;$AL$8:$AL$67,0))+INDEX($AK$8:$AK$67,MATCH($AA50&amp;AG$6,$AM$8:$AM$67&amp;$AL$8:$AL$67,0))))</f>
        <v>99999</v>
      </c>
      <c r="AH50" s="104">
        <f t="array" ref="AH50">IF(AS50=0,99999,AS50-(INDEX($AK$8:$AK$67,MATCH($AB50&amp;AH$6,$AM$8:$AM$67&amp;$AL$8:$AL$67,0))+INDEX($AK$8:$AK$67,MATCH($AA50&amp;AH$6,$AM$8:$AM$67&amp;$AL$8:$AL$67,0))))</f>
        <v>99999</v>
      </c>
      <c r="AJ50" s="39" t="str">
        <f>AJ20</f>
        <v>TPMPS</v>
      </c>
      <c r="AK50" s="40">
        <f>'LTM data'!W48</f>
        <v>17.335727138726199</v>
      </c>
      <c r="AL50" s="39" t="str">
        <f>AL20</f>
        <v>TPS</v>
      </c>
      <c r="AM50" s="39" t="str">
        <f>AM20&amp;" DKE"</f>
        <v>Moped DKE</v>
      </c>
      <c r="AO50" s="39" t="s">
        <v>290</v>
      </c>
      <c r="AP50" s="40">
        <v>2927.5025952999999</v>
      </c>
      <c r="AQ50" s="40">
        <v>9968.6765108</v>
      </c>
      <c r="AR50" s="40">
        <v>0</v>
      </c>
      <c r="AS50" s="40">
        <v>0</v>
      </c>
      <c r="AT50" s="40"/>
      <c r="AU50" s="40"/>
      <c r="AV50" s="40"/>
    </row>
    <row r="51" spans="2:48">
      <c r="B51" s="23" t="str">
        <f t="shared" si="1"/>
        <v>UC_Up_Walk-Coach_TPS</v>
      </c>
      <c r="C51" s="39" t="str">
        <f t="shared" si="2"/>
        <v>TPWALK,TPCO*</v>
      </c>
      <c r="D51" s="39" t="str">
        <f t="shared" si="3"/>
        <v>BIKEcom,TRA*</v>
      </c>
      <c r="E51" s="39" t="str">
        <f t="shared" si="5"/>
        <v>TPS</v>
      </c>
      <c r="F51" s="39" t="s">
        <v>78</v>
      </c>
      <c r="G51" s="39">
        <v>2010</v>
      </c>
      <c r="H51" s="39">
        <v>1</v>
      </c>
      <c r="I51" s="39">
        <f t="array" ref="I51">INDEX($AE$7:$AH$63,MATCH($V51&amp;$W51,$AA$7:$AA$63&amp;$AB$7:$AB$63,0),MATCH($E51,$AE$6:$AH$6,0))+INDEX('LTM data'!$D$47:$W$66,MATCH(RIGHT(I$6,4)&amp;'Couple Potential'!$X51,'LTM data'!$A$47:$A$66&amp;'LTM data'!$C$47:$C$66,0),MATCH('Couple Potential'!$W51,'LTM data'!$D$46:$W$46,0))+INDEX('LTM data'!$D$47:$W$66,MATCH(RIGHT(I$6,4)&amp;'Couple Potential'!$X51,'LTM data'!$A$47:$A$66&amp;'LTM data'!$C$47:$C$66,0),MATCH('Couple Potential'!$V51,'LTM data'!$D$46:$W$46,0))</f>
        <v>24524.457866000001</v>
      </c>
      <c r="J51" s="39">
        <f t="array" ref="J51">INDEX($AE$7:$AH$63,MATCH(V51&amp;W51,$AA$7:$AA$63&amp;$AB$7:$AB$63,0),MATCH(E51,$AE$6:$AH$6,0))+INDEX('LTM data'!$D$47:$W$66,MATCH(RIGHT($J$6,4)&amp;'Couple Potential'!X51,'LTM data'!$A$47:$A$66&amp;'LTM data'!$C$47:$C$66,0),MATCH('Couple Potential'!W51,'LTM data'!$D$46:$W$46,0))+INDEX('LTM data'!$D$47:$W$66,MATCH(RIGHT($J$6,4)&amp;'Couple Potential'!X51,'LTM data'!$A$47:$A$66&amp;'LTM data'!$C$47:$C$66,0),MATCH('Couple Potential'!V51,'LTM data'!$D$46:$W$46,0))</f>
        <v>24501.357927085599</v>
      </c>
      <c r="K51" s="39">
        <v>15</v>
      </c>
      <c r="L51" s="23" t="str">
        <f t="array" ref="L51">"Max production of "&amp;E51&amp;" travel demand by "&amp;V51&amp;" and "&amp;W51</f>
        <v>Max production of TPS travel demand by Walk and Coach</v>
      </c>
      <c r="M51" s="23"/>
      <c r="N51" s="23"/>
      <c r="O51" s="23"/>
      <c r="P51" s="23"/>
      <c r="Q51" s="23"/>
      <c r="R51" s="23"/>
      <c r="U51" s="39" t="s">
        <v>349</v>
      </c>
      <c r="V51" s="40" t="s">
        <v>65</v>
      </c>
      <c r="W51" s="39" t="s">
        <v>70</v>
      </c>
      <c r="X51" s="39" t="s">
        <v>83</v>
      </c>
      <c r="AA51" s="39" t="s">
        <v>355</v>
      </c>
      <c r="AB51" s="39" t="s">
        <v>356</v>
      </c>
      <c r="AD51" s="39" t="s">
        <v>289</v>
      </c>
      <c r="AE51" s="104">
        <f t="array" ref="AE51">IF(AP51=0,99999,AP51-(INDEX($AK$8:$AK$67,MATCH($AB51&amp;AE$6,$AM$8:$AM$67&amp;$AL$8:$AL$67,0))+INDEX($AK$8:$AK$67,MATCH($AA51&amp;AE$6,$AM$8:$AM$67&amp;$AL$8:$AL$67,0))))</f>
        <v>99999</v>
      </c>
      <c r="AF51" s="40">
        <f t="array" ref="AF51">IF(AQ51=0,99999,AQ51-(INDEX($AK$8:$AK$67,MATCH($AB51&amp;AF$6,$AM$8:$AM$67&amp;$AL$8:$AL$67,0))+INDEX($AK$8:$AK$67,MATCH($AA51&amp;AF$6,$AM$8:$AM$67&amp;$AL$8:$AL$67,0))))</f>
        <v>5341.5298820707267</v>
      </c>
      <c r="AG51" s="104">
        <f t="array" ref="AG51">IF(AR51=0,99999,AR51-(INDEX($AK$8:$AK$67,MATCH($AB51&amp;AG$6,$AM$8:$AM$67&amp;$AL$8:$AL$67,0))+INDEX($AK$8:$AK$67,MATCH($AA51&amp;AG$6,$AM$8:$AM$67&amp;$AL$8:$AL$67,0))))</f>
        <v>99999</v>
      </c>
      <c r="AH51" s="104">
        <f t="array" ref="AH51">IF(AS51=0,99999,AS51-(INDEX($AK$8:$AK$67,MATCH($AB51&amp;AH$6,$AM$8:$AM$67&amp;$AL$8:$AL$67,0))+INDEX($AK$8:$AK$67,MATCH($AA51&amp;AH$6,$AM$8:$AM$67&amp;$AL$8:$AL$67,0))))</f>
        <v>99999</v>
      </c>
      <c r="AJ51" s="39" t="str">
        <f t="shared" si="6"/>
        <v>TPMPM</v>
      </c>
      <c r="AK51" s="40">
        <f>'LTM data'!W49</f>
        <v>2.2592278320008301</v>
      </c>
      <c r="AL51" s="39" t="str">
        <f t="shared" si="6"/>
        <v>TPM</v>
      </c>
      <c r="AM51" s="39" t="str">
        <f t="shared" si="7"/>
        <v>Moped DKE</v>
      </c>
      <c r="AO51" s="39" t="s">
        <v>289</v>
      </c>
      <c r="AP51" s="100">
        <v>0</v>
      </c>
      <c r="AQ51" s="40">
        <v>5557.3165362999998</v>
      </c>
      <c r="AR51" s="100">
        <v>0</v>
      </c>
      <c r="AS51" s="100">
        <v>0</v>
      </c>
      <c r="AT51" s="40"/>
      <c r="AU51" s="40"/>
      <c r="AV51" s="40"/>
    </row>
    <row r="52" spans="2:48">
      <c r="B52" s="23" t="str">
        <f t="shared" si="1"/>
        <v>UC_Up_Walk-Moto_TPS</v>
      </c>
      <c r="C52" s="39" t="str">
        <f t="shared" si="2"/>
        <v>TPWALK,TPMT*</v>
      </c>
      <c r="D52" s="39" t="str">
        <f t="shared" si="3"/>
        <v>BIKEcom,TRA*</v>
      </c>
      <c r="E52" s="39" t="str">
        <f t="shared" si="5"/>
        <v>TPS</v>
      </c>
      <c r="F52" s="39" t="s">
        <v>78</v>
      </c>
      <c r="G52" s="39">
        <v>2010</v>
      </c>
      <c r="H52" s="39">
        <v>1</v>
      </c>
      <c r="I52" s="39">
        <f t="array" ref="I52">INDEX($AE$7:$AH$63,MATCH($V52&amp;$W52,$AA$7:$AA$63&amp;$AB$7:$AB$63,0),MATCH($E52,$AE$6:$AH$6,0))+INDEX('LTM data'!$D$47:$W$66,MATCH(RIGHT(I$6,4)&amp;'Couple Potential'!$X52,'LTM data'!$A$47:$A$66&amp;'LTM data'!$C$47:$C$66,0),MATCH('Couple Potential'!$W52,'LTM data'!$D$46:$W$46,0))+INDEX('LTM data'!$D$47:$W$66,MATCH(RIGHT(I$6,4)&amp;'Couple Potential'!$X52,'LTM data'!$A$47:$A$66&amp;'LTM data'!$C$47:$C$66,0),MATCH('Couple Potential'!$V52,'LTM data'!$D$46:$W$46,0))</f>
        <v>24641.464344399999</v>
      </c>
      <c r="J52" s="39">
        <f t="array" ref="J52">INDEX($AE$7:$AH$63,MATCH(V52&amp;W52,$AA$7:$AA$63&amp;$AB$7:$AB$63,0),MATCH(E52,$AE$6:$AH$6,0))+INDEX('LTM data'!$D$47:$W$66,MATCH(RIGHT($J$6,4)&amp;'Couple Potential'!X52,'LTM data'!$A$47:$A$66&amp;'LTM data'!$C$47:$C$66,0),MATCH('Couple Potential'!W52,'LTM data'!$D$46:$W$46,0))+INDEX('LTM data'!$D$47:$W$66,MATCH(RIGHT($J$6,4)&amp;'Couple Potential'!X52,'LTM data'!$A$47:$A$66&amp;'LTM data'!$C$47:$C$66,0),MATCH('Couple Potential'!V52,'LTM data'!$D$46:$W$46,0))</f>
        <v>24669.168361829506</v>
      </c>
      <c r="K52" s="39">
        <v>15</v>
      </c>
      <c r="L52" s="23" t="str">
        <f t="array" ref="L52">"Max production of "&amp;E52&amp;" travel demand by "&amp;V52&amp;" and "&amp;W52</f>
        <v>Max production of TPS travel demand by Walk and Moto</v>
      </c>
      <c r="M52" s="23"/>
      <c r="N52" s="23"/>
      <c r="O52" s="23"/>
      <c r="P52" s="23"/>
      <c r="Q52" s="23"/>
      <c r="R52" s="23"/>
      <c r="U52" s="39" t="s">
        <v>349</v>
      </c>
      <c r="V52" s="40" t="s">
        <v>65</v>
      </c>
      <c r="W52" s="39" t="s">
        <v>64</v>
      </c>
      <c r="X52" s="39" t="s">
        <v>83</v>
      </c>
      <c r="AA52" s="39" t="s">
        <v>67</v>
      </c>
      <c r="AB52" s="39" t="s">
        <v>64</v>
      </c>
      <c r="AD52" s="39" t="s">
        <v>288</v>
      </c>
      <c r="AE52" s="104">
        <f t="array" ref="AE52">IF(AP52=0,99999,AP52-(INDEX($AK$8:$AK$67,MATCH($AB52&amp;AE$6,$AM$8:$AM$67&amp;$AL$8:$AL$67,0))+INDEX($AK$8:$AK$67,MATCH($AA52&amp;AE$6,$AM$8:$AM$67&amp;$AL$8:$AL$67,0))))</f>
        <v>99999</v>
      </c>
      <c r="AF52" s="40">
        <f t="array" ref="AF52">IF(AQ52=0,99999,AQ52-(INDEX($AK$8:$AK$67,MATCH($AB52&amp;AF$6,$AM$8:$AM$67&amp;$AL$8:$AL$67,0))+INDEX($AK$8:$AK$67,MATCH($AA52&amp;AF$6,$AM$8:$AM$67&amp;$AL$8:$AL$67,0))))</f>
        <v>24303.160381493184</v>
      </c>
      <c r="AG52" s="104">
        <f t="array" ref="AG52">IF(AR52=0,99999,AR52-(INDEX($AK$8:$AK$67,MATCH($AB52&amp;AG$6,$AM$8:$AM$67&amp;$AL$8:$AL$67,0))+INDEX($AK$8:$AK$67,MATCH($AA52&amp;AG$6,$AM$8:$AM$67&amp;$AL$8:$AL$67,0))))</f>
        <v>99999</v>
      </c>
      <c r="AH52" s="104">
        <f t="array" ref="AH52">IF(AS52=0,99999,AS52-(INDEX($AK$8:$AK$67,MATCH($AB52&amp;AH$6,$AM$8:$AM$67&amp;$AL$8:$AL$67,0))+INDEX($AK$8:$AK$67,MATCH($AA52&amp;AH$6,$AM$8:$AM$67&amp;$AL$8:$AL$67,0))))</f>
        <v>99999</v>
      </c>
      <c r="AJ52" s="39" t="str">
        <f>AJ22</f>
        <v>TPMPL</v>
      </c>
      <c r="AK52" s="40">
        <f>'LTM data'!W50</f>
        <v>1.0927671310260101</v>
      </c>
      <c r="AL52" s="39" t="str">
        <f>AL22</f>
        <v>TPL</v>
      </c>
      <c r="AM52" s="39" t="str">
        <f>AM22&amp;" DKE"</f>
        <v>Moped DKE</v>
      </c>
      <c r="AO52" s="39" t="s">
        <v>288</v>
      </c>
      <c r="AP52" s="100"/>
      <c r="AQ52" s="40">
        <v>24620.1324685</v>
      </c>
      <c r="AR52" s="40"/>
      <c r="AS52" s="40"/>
      <c r="AT52" s="40"/>
      <c r="AU52" s="40"/>
      <c r="AV52" s="40"/>
    </row>
    <row r="53" spans="2:48">
      <c r="B53" s="23" t="str">
        <f t="shared" si="1"/>
        <v>UC_Up_Walk-Moped_TPS</v>
      </c>
      <c r="C53" s="39" t="str">
        <f t="shared" si="2"/>
        <v>TPWALK,TPMP*</v>
      </c>
      <c r="D53" s="39" t="str">
        <f t="shared" si="3"/>
        <v>BIKEcom,TRA*</v>
      </c>
      <c r="E53" s="39" t="str">
        <f t="shared" si="5"/>
        <v>TPS</v>
      </c>
      <c r="F53" s="39" t="s">
        <v>78</v>
      </c>
      <c r="G53" s="39">
        <v>2010</v>
      </c>
      <c r="H53" s="39">
        <v>1</v>
      </c>
      <c r="I53" s="39">
        <f t="array" ref="I53">INDEX($AE$7:$AH$63,MATCH($V53&amp;$W53,$AA$7:$AA$63&amp;$AB$7:$AB$63,0),MATCH($E53,$AE$6:$AH$6,0))+INDEX('LTM data'!$D$47:$W$66,MATCH(RIGHT(I$6,4)&amp;'Couple Potential'!$X53,'LTM data'!$A$47:$A$66&amp;'LTM data'!$C$47:$C$66,0),MATCH('Couple Potential'!$W53,'LTM data'!$D$46:$W$46,0))+INDEX('LTM data'!$D$47:$W$66,MATCH(RIGHT(I$6,4)&amp;'Couple Potential'!$X53,'LTM data'!$A$47:$A$66&amp;'LTM data'!$C$47:$C$66,0),MATCH('Couple Potential'!$V53,'LTM data'!$D$46:$W$46,0))</f>
        <v>31495.491928300002</v>
      </c>
      <c r="J53" s="39">
        <f t="array" ref="J53">INDEX($AE$7:$AH$63,MATCH(V53&amp;W53,$AA$7:$AA$63&amp;$AB$7:$AB$63,0),MATCH(E53,$AE$6:$AH$6,0))+INDEX('LTM data'!$D$47:$W$66,MATCH(RIGHT($J$6,4)&amp;'Couple Potential'!X53,'LTM data'!$A$47:$A$66&amp;'LTM data'!$C$47:$C$66,0),MATCH('Couple Potential'!W53,'LTM data'!$D$46:$W$46,0))+INDEX('LTM data'!$D$47:$W$66,MATCH(RIGHT($J$6,4)&amp;'Couple Potential'!X53,'LTM data'!$A$47:$A$66&amp;'LTM data'!$C$47:$C$66,0),MATCH('Couple Potential'!V53,'LTM data'!$D$46:$W$46,0))</f>
        <v>31482.389030931681</v>
      </c>
      <c r="K53" s="39">
        <v>15</v>
      </c>
      <c r="L53" s="23" t="str">
        <f t="array" ref="L53">"Max production of "&amp;E53&amp;" travel demand by "&amp;V53&amp;" and "&amp;W53</f>
        <v>Max production of TPS travel demand by Walk and Moped</v>
      </c>
      <c r="M53" s="23"/>
      <c r="N53" s="23"/>
      <c r="O53" s="23"/>
      <c r="P53" s="23"/>
      <c r="Q53" s="23"/>
      <c r="R53" s="23"/>
      <c r="U53" s="39" t="s">
        <v>349</v>
      </c>
      <c r="V53" s="40" t="s">
        <v>65</v>
      </c>
      <c r="W53" s="39" t="s">
        <v>63</v>
      </c>
      <c r="X53" s="39" t="s">
        <v>83</v>
      </c>
      <c r="AA53" s="39" t="s">
        <v>355</v>
      </c>
      <c r="AB53" s="39" t="s">
        <v>357</v>
      </c>
      <c r="AD53" s="39" t="s">
        <v>287</v>
      </c>
      <c r="AE53" s="40">
        <f t="array" ref="AE53">IF(AP53=0,99999,AP53-(INDEX($AK$8:$AK$67,MATCH($AB53&amp;AE$6,$AM$8:$AM$67&amp;$AL$8:$AL$67,0))+INDEX($AK$8:$AK$67,MATCH($AA53&amp;AE$6,$AM$8:$AM$67&amp;$AL$8:$AL$67,0))))</f>
        <v>2581.2886682830754</v>
      </c>
      <c r="AF53" s="40">
        <f t="array" ref="AF53">IF(AQ53=0,99999,AQ53-(INDEX($AK$8:$AK$67,MATCH($AB53&amp;AF$6,$AM$8:$AM$67&amp;$AL$8:$AL$67,0))+INDEX($AK$8:$AK$67,MATCH($AA53&amp;AF$6,$AM$8:$AM$67&amp;$AL$8:$AL$67,0))))</f>
        <v>5382.7884334401297</v>
      </c>
      <c r="AG53" s="104">
        <f t="array" ref="AG53">IF(AR53=0,99999,AR53-(INDEX($AK$8:$AK$67,MATCH($AB53&amp;AG$6,$AM$8:$AM$67&amp;$AL$8:$AL$67,0))+INDEX($AK$8:$AK$67,MATCH($AA53&amp;AG$6,$AM$8:$AM$67&amp;$AL$8:$AL$67,0))))</f>
        <v>99999</v>
      </c>
      <c r="AH53" s="104">
        <f t="array" ref="AH53">IF(AS53=0,99999,AS53-(INDEX($AK$8:$AK$67,MATCH($AB53&amp;AH$6,$AM$8:$AM$67&amp;$AL$8:$AL$67,0))+INDEX($AK$8:$AK$67,MATCH($AA53&amp;AH$6,$AM$8:$AM$67&amp;$AL$8:$AL$67,0))))</f>
        <v>99999</v>
      </c>
      <c r="AJ53" s="39" t="str">
        <f t="shared" si="6"/>
        <v>TPPBXS</v>
      </c>
      <c r="AK53" s="40">
        <f>'LTM data'!O47</f>
        <v>352.72136400345499</v>
      </c>
      <c r="AL53" s="39" t="str">
        <f t="shared" si="6"/>
        <v>TPXS</v>
      </c>
      <c r="AM53" s="39" t="str">
        <f t="shared" si="7"/>
        <v>Public bus DKE</v>
      </c>
      <c r="AO53" s="39" t="s">
        <v>287</v>
      </c>
      <c r="AP53" s="40">
        <v>2678.8760390000002</v>
      </c>
      <c r="AQ53" s="40">
        <v>5557.3165362999998</v>
      </c>
      <c r="AR53" s="40">
        <v>0</v>
      </c>
      <c r="AS53" s="40">
        <v>0</v>
      </c>
      <c r="AT53" s="40"/>
      <c r="AU53" s="40"/>
      <c r="AV53" s="40"/>
    </row>
    <row r="54" spans="2:48">
      <c r="B54" s="23" t="str">
        <f t="shared" si="1"/>
        <v>UC_Up_Walk-Car_TPS</v>
      </c>
      <c r="C54" s="39" t="str">
        <f t="shared" si="2"/>
        <v>TPWALK,TPCA*</v>
      </c>
      <c r="D54" s="39" t="str">
        <f t="shared" si="3"/>
        <v>BIKEcom,TRA*</v>
      </c>
      <c r="E54" s="39" t="str">
        <f t="shared" si="5"/>
        <v>TPS</v>
      </c>
      <c r="F54" s="39" t="s">
        <v>78</v>
      </c>
      <c r="G54" s="39">
        <v>2010</v>
      </c>
      <c r="H54" s="39">
        <v>1</v>
      </c>
      <c r="I54" s="39">
        <f t="array" ref="I54">INDEX($AE$7:$AH$63,MATCH($V54&amp;$W54,$AA$7:$AA$63&amp;$AB$7:$AB$63,0),MATCH($E54,$AE$6:$AH$6,0))+INDEX('LTM data'!$D$47:$W$66,MATCH(RIGHT(I$6,4)&amp;'Couple Potential'!$X54,'LTM data'!$A$47:$A$66&amp;'LTM data'!$C$47:$C$66,0),MATCH('Couple Potential'!$W54,'LTM data'!$D$46:$W$46,0))+INDEX('LTM data'!$D$47:$W$66,MATCH(RIGHT(I$6,4)&amp;'Couple Potential'!$X54,'LTM data'!$A$47:$A$66&amp;'LTM data'!$C$47:$C$66,0),MATCH('Couple Potential'!$V54,'LTM data'!$D$46:$W$46,0))</f>
        <v>115870.78104219229</v>
      </c>
      <c r="J54" s="39">
        <f t="array" ref="J54">INDEX($AE$7:$AH$63,MATCH(V54&amp;W54,$AA$7:$AA$63&amp;$AB$7:$AB$63,0),MATCH(E54,$AE$6:$AH$6,0))+INDEX('LTM data'!$D$47:$W$66,MATCH(RIGHT($J$6,4)&amp;'Couple Potential'!X54,'LTM data'!$A$47:$A$66&amp;'LTM data'!$C$47:$C$66,0),MATCH('Couple Potential'!W54,'LTM data'!$D$46:$W$46,0))+INDEX('LTM data'!$D$47:$W$66,MATCH(RIGHT($J$6,4)&amp;'Couple Potential'!X54,'LTM data'!$A$47:$A$66&amp;'LTM data'!$C$47:$C$66,0),MATCH('Couple Potential'!V54,'LTM data'!$D$46:$W$46,0))</f>
        <v>123077.43367514176</v>
      </c>
      <c r="K54" s="39">
        <v>15</v>
      </c>
      <c r="L54" s="23" t="str">
        <f t="array" ref="L54">"Max production of "&amp;E54&amp;" travel demand by "&amp;V54&amp;" and "&amp;W54</f>
        <v>Max production of TPS travel demand by Walk and Car</v>
      </c>
      <c r="M54" s="23"/>
      <c r="N54" s="23"/>
      <c r="O54" s="23"/>
      <c r="P54" s="23"/>
      <c r="Q54" s="23"/>
      <c r="R54" s="23"/>
      <c r="U54" s="39" t="s">
        <v>349</v>
      </c>
      <c r="V54" s="40" t="s">
        <v>65</v>
      </c>
      <c r="W54" s="39" t="s">
        <v>72</v>
      </c>
      <c r="X54" s="39" t="s">
        <v>83</v>
      </c>
      <c r="AA54" s="39" t="s">
        <v>67</v>
      </c>
      <c r="AB54" s="39" t="s">
        <v>63</v>
      </c>
      <c r="AD54" s="39" t="s">
        <v>286</v>
      </c>
      <c r="AE54" s="40">
        <f t="array" ref="AE54">IF(AP54=0,99999,AP54-(INDEX($AK$8:$AK$67,MATCH($AB54&amp;AE$6,$AM$8:$AM$67&amp;$AL$8:$AL$67,0))+INDEX($AK$8:$AK$67,MATCH($AA54&amp;AE$6,$AM$8:$AM$67&amp;$AL$8:$AL$67,0))))</f>
        <v>6640.8102484791298</v>
      </c>
      <c r="AF54" s="40">
        <f t="array" ref="AF54">IF(AQ54=0,99999,AQ54-(INDEX($AK$8:$AK$67,MATCH($AB54&amp;AF$6,$AM$8:$AM$67&amp;$AL$8:$AL$67,0))+INDEX($AK$8:$AK$67,MATCH($AA54&amp;AF$6,$AM$8:$AM$67&amp;$AL$8:$AL$67,0))))</f>
        <v>24529.943677304535</v>
      </c>
      <c r="AG54" s="104">
        <f t="array" ref="AG54">IF(AR54=0,99999,AR54-(INDEX($AK$8:$AK$67,MATCH($AB54&amp;AG$6,$AM$8:$AM$67&amp;$AL$8:$AL$67,0))+INDEX($AK$8:$AK$67,MATCH($AA54&amp;AG$6,$AM$8:$AM$67&amp;$AL$8:$AL$67,0))))</f>
        <v>99999</v>
      </c>
      <c r="AH54" s="104">
        <f t="array" ref="AH54">IF(AS54=0,99999,AS54-(INDEX($AK$8:$AK$67,MATCH($AB54&amp;AH$6,$AM$8:$AM$67&amp;$AL$8:$AL$67,0))+INDEX($AK$8:$AK$67,MATCH($AA54&amp;AH$6,$AM$8:$AM$67&amp;$AL$8:$AL$67,0))))</f>
        <v>99999</v>
      </c>
      <c r="AJ54" s="39" t="str">
        <f>AJ24</f>
        <v>TPPBS</v>
      </c>
      <c r="AK54" s="40">
        <f>'LTM data'!O48</f>
        <v>1013.07813844724</v>
      </c>
      <c r="AL54" s="39" t="str">
        <f>AL24</f>
        <v>TPS</v>
      </c>
      <c r="AM54" s="39" t="str">
        <f>AM24&amp;" DKE"</f>
        <v>Public bus DKE</v>
      </c>
      <c r="AO54" s="39" t="s">
        <v>286</v>
      </c>
      <c r="AP54" s="40">
        <v>6748.9768941000002</v>
      </c>
      <c r="AQ54" s="40">
        <v>24739.208475700001</v>
      </c>
      <c r="AR54" s="40"/>
      <c r="AS54" s="40"/>
      <c r="AT54" s="40"/>
      <c r="AU54" s="40"/>
      <c r="AV54" s="40"/>
    </row>
    <row r="55" spans="2:48">
      <c r="B55" s="23" t="str">
        <f t="shared" si="1"/>
        <v>UC_Up_Bike-Moped_TPS</v>
      </c>
      <c r="C55" s="39" t="str">
        <f t="shared" si="2"/>
        <v>TPBI*,TPMP*</v>
      </c>
      <c r="D55" s="39" t="str">
        <f t="shared" si="3"/>
        <v>BIKEcom,TRA*</v>
      </c>
      <c r="E55" s="39" t="str">
        <f t="shared" si="5"/>
        <v>TPS</v>
      </c>
      <c r="F55" s="39" t="s">
        <v>78</v>
      </c>
      <c r="G55" s="39">
        <v>2010</v>
      </c>
      <c r="H55" s="39">
        <v>1</v>
      </c>
      <c r="I55" s="39">
        <f t="array" ref="I55">INDEX($AE$7:$AH$63,MATCH($V55&amp;$W55,$AA$7:$AA$63&amp;$AB$7:$AB$63,0),MATCH($E55,$AE$6:$AH$6,0))+INDEX('LTM data'!$D$47:$W$66,MATCH(RIGHT(I$6,4)&amp;'Couple Potential'!$X55,'LTM data'!$A$47:$A$66&amp;'LTM data'!$C$47:$C$66,0),MATCH('Couple Potential'!$W55,'LTM data'!$D$46:$W$46,0))+INDEX('LTM data'!$D$47:$W$66,MATCH(RIGHT(I$6,4)&amp;'Couple Potential'!$X55,'LTM data'!$A$47:$A$66&amp;'LTM data'!$C$47:$C$66,0),MATCH('Couple Potential'!$V55,'LTM data'!$D$46:$W$46,0))</f>
        <v>24731.8879992</v>
      </c>
      <c r="J55" s="39">
        <f t="array" ref="J55">INDEX($AE$7:$AH$63,MATCH(V55&amp;W55,$AA$7:$AA$63&amp;$AB$7:$AB$63,0),MATCH(E55,$AE$6:$AH$6,0))+INDEX('LTM data'!$D$47:$W$66,MATCH(RIGHT($J$6,4)&amp;'Couple Potential'!X55,'LTM data'!$A$47:$A$66&amp;'LTM data'!$C$47:$C$66,0),MATCH('Couple Potential'!W55,'LTM data'!$D$46:$W$46,0))+INDEX('LTM data'!$D$47:$W$66,MATCH(RIGHT($J$6,4)&amp;'Couple Potential'!X55,'LTM data'!$A$47:$A$66&amp;'LTM data'!$C$47:$C$66,0),MATCH('Couple Potential'!V55,'LTM data'!$D$46:$W$46,0))</f>
        <v>24852.660696685449</v>
      </c>
      <c r="K55" s="39">
        <v>15</v>
      </c>
      <c r="L55" s="23" t="str">
        <f t="array" ref="L55">"Max production of "&amp;E55&amp;" travel demand by "&amp;V55&amp;" and "&amp;W55</f>
        <v>Max production of TPS travel demand by Bike and Moped</v>
      </c>
      <c r="M55" s="23"/>
      <c r="N55" s="23"/>
      <c r="O55" s="23"/>
      <c r="P55" s="23"/>
      <c r="Q55" s="23"/>
      <c r="R55" s="23"/>
      <c r="U55" s="39" t="s">
        <v>66</v>
      </c>
      <c r="V55" s="39" t="s">
        <v>66</v>
      </c>
      <c r="W55" s="39" t="s">
        <v>63</v>
      </c>
      <c r="X55" s="39" t="s">
        <v>83</v>
      </c>
      <c r="AA55" s="39" t="s">
        <v>355</v>
      </c>
      <c r="AB55" s="39" t="s">
        <v>344</v>
      </c>
      <c r="AD55" s="101" t="s">
        <v>285</v>
      </c>
      <c r="AE55" s="102">
        <f t="array" ref="AE55">IF(AP55=0,99999,AP55-(INDEX($AK$8:$AK$67,MATCH($AB55&amp;AE$6,$AM$8:$AM$67&amp;$AL$8:$AL$67,0))+INDEX($AK$8:$AK$67,MATCH($AA55&amp;AE$6,$AM$8:$AM$67&amp;$AL$8:$AL$67,0))))</f>
        <v>1354.9031803350185</v>
      </c>
      <c r="AF55" s="102">
        <f t="array" ref="AF55">IF(AQ55=0,99999,AQ55-(INDEX($AK$8:$AK$67,MATCH($AB55&amp;AF$6,$AM$8:$AM$67&amp;$AL$8:$AL$67,0))+INDEX($AK$8:$AK$67,MATCH($AA55&amp;AF$6,$AM$8:$AM$67&amp;$AL$8:$AL$67,0))))</f>
        <v>2559.1998898276452</v>
      </c>
      <c r="AG55" s="105">
        <f t="array" ref="AG55">IF(AR55=0,99999,AR55-(INDEX($AK$8:$AK$67,MATCH($AB55&amp;AG$6,$AM$8:$AM$67&amp;$AL$8:$AL$67,0))+INDEX($AK$8:$AK$67,MATCH($AA55&amp;AG$6,$AM$8:$AM$67&amp;$AL$8:$AL$67,0))))</f>
        <v>99999</v>
      </c>
      <c r="AH55" s="105">
        <f t="array" ref="AH55">IF(AS55=0,99999,AS55-(INDEX($AK$8:$AK$67,MATCH($AB55&amp;AH$6,$AM$8:$AM$67&amp;$AL$8:$AL$67,0))+INDEX($AK$8:$AK$67,MATCH($AA55&amp;AH$6,$AM$8:$AM$67&amp;$AL$8:$AL$67,0))))</f>
        <v>99999</v>
      </c>
      <c r="AJ55" s="39" t="str">
        <f t="shared" si="6"/>
        <v>TPPBM</v>
      </c>
      <c r="AK55" s="40">
        <f>'LTM data'!O49</f>
        <v>291.27056338702198</v>
      </c>
      <c r="AL55" s="39" t="str">
        <f t="shared" si="6"/>
        <v>TPM</v>
      </c>
      <c r="AM55" s="39" t="str">
        <f t="shared" si="7"/>
        <v>Public bus DKE</v>
      </c>
      <c r="AO55" s="101" t="s">
        <v>285</v>
      </c>
      <c r="AP55" s="102">
        <v>2762.6054128999999</v>
      </c>
      <c r="AQ55" s="102">
        <v>9027.7713891999992</v>
      </c>
      <c r="AR55" s="102"/>
      <c r="AS55" s="102"/>
      <c r="AT55" s="40"/>
      <c r="AU55" s="40"/>
      <c r="AV55" s="40"/>
    </row>
    <row r="56" spans="2:48">
      <c r="B56" s="23" t="str">
        <f t="shared" si="1"/>
        <v>UC_Up_Bike-Moto_TPS</v>
      </c>
      <c r="C56" s="39" t="str">
        <f t="shared" si="2"/>
        <v>TPBI*,TPMT*</v>
      </c>
      <c r="D56" s="39" t="str">
        <f t="shared" si="3"/>
        <v>BIKEcom,TRA*</v>
      </c>
      <c r="E56" s="39" t="str">
        <f t="shared" si="5"/>
        <v>TPS</v>
      </c>
      <c r="F56" s="39" t="s">
        <v>78</v>
      </c>
      <c r="G56" s="39">
        <v>2010</v>
      </c>
      <c r="H56" s="39">
        <v>1</v>
      </c>
      <c r="I56" s="39">
        <f t="array" ref="I56">INDEX($AE$7:$AH$63,MATCH($V56&amp;$W56,$AA$7:$AA$63&amp;$AB$7:$AB$63,0),MATCH($E56,$AE$6:$AH$6,0))+INDEX('LTM data'!$D$47:$W$66,MATCH(RIGHT(I$6,4)&amp;'Couple Potential'!$X56,'LTM data'!$A$47:$A$66&amp;'LTM data'!$C$47:$C$66,0),MATCH('Couple Potential'!$W56,'LTM data'!$D$46:$W$46,0))+INDEX('LTM data'!$D$47:$W$66,MATCH(RIGHT(I$6,4)&amp;'Couple Potential'!$X56,'LTM data'!$A$47:$A$66&amp;'LTM data'!$C$47:$C$66,0),MATCH('Couple Potential'!$V56,'LTM data'!$D$46:$W$46,0))</f>
        <v>24612.798660699998</v>
      </c>
      <c r="J56" s="39">
        <f t="array" ref="J56">INDEX($AE$7:$AH$63,MATCH(V56&amp;W56,$AA$7:$AA$63&amp;$AB$7:$AB$63,0),MATCH(E56,$AE$6:$AH$6,0))+INDEX('LTM data'!$D$47:$W$66,MATCH(RIGHT($J$6,4)&amp;'Couple Potential'!X56,'LTM data'!$A$47:$A$66&amp;'LTM data'!$C$47:$C$66,0),MATCH('Couple Potential'!W56,'LTM data'!$D$46:$W$46,0))+INDEX('LTM data'!$D$47:$W$66,MATCH(RIGHT($J$6,4)&amp;'Couple Potential'!X56,'LTM data'!$A$47:$A$66&amp;'LTM data'!$C$47:$C$66,0),MATCH('Couple Potential'!V56,'LTM data'!$D$46:$W$46,0))</f>
        <v>24774.378272983275</v>
      </c>
      <c r="K56" s="39">
        <v>15</v>
      </c>
      <c r="L56" s="23" t="str">
        <f t="array" ref="L56">"Max production of "&amp;E56&amp;" travel demand by "&amp;V56&amp;" and "&amp;W56</f>
        <v>Max production of TPS travel demand by Bike and Moto</v>
      </c>
      <c r="M56" s="23"/>
      <c r="N56" s="23"/>
      <c r="O56" s="23"/>
      <c r="P56" s="23"/>
      <c r="Q56" s="23"/>
      <c r="R56" s="23"/>
      <c r="U56" s="39" t="s">
        <v>66</v>
      </c>
      <c r="V56" s="39" t="s">
        <v>66</v>
      </c>
      <c r="W56" s="39" t="s">
        <v>64</v>
      </c>
      <c r="X56" s="39" t="s">
        <v>83</v>
      </c>
      <c r="AA56" s="39" t="s">
        <v>353</v>
      </c>
      <c r="AB56" s="39" t="s">
        <v>356</v>
      </c>
      <c r="AD56" s="39" t="s">
        <v>284</v>
      </c>
      <c r="AE56" s="104">
        <f t="array" ref="AE56">IF(AP56=0,99999,AP56-(INDEX($AK$8:$AK$67,MATCH($AB56&amp;AE$6,$AM$8:$AM$67&amp;$AL$8:$AL$67,0))+INDEX($AK$8:$AK$67,MATCH($AA56&amp;AE$6,$AM$8:$AM$67&amp;$AL$8:$AL$67,0))))</f>
        <v>99999</v>
      </c>
      <c r="AF56" s="40">
        <f t="array" ref="AF56">IF(AQ56=0,99999,AQ56-(INDEX($AK$8:$AK$67,MATCH($AB56&amp;AF$6,$AM$8:$AM$67&amp;$AL$8:$AL$67,0))+INDEX($AK$8:$AK$67,MATCH($AA56&amp;AF$6,$AM$8:$AM$67&amp;$AL$8:$AL$67,0))))</f>
        <v>8648.0273289679517</v>
      </c>
      <c r="AG56" s="40">
        <f t="array" ref="AG56">IF(AR56=0,99999,AR56-(INDEX($AK$8:$AK$67,MATCH($AB56&amp;AG$6,$AM$8:$AM$67&amp;$AL$8:$AL$67,0))+INDEX($AK$8:$AK$67,MATCH($AA56&amp;AG$6,$AM$8:$AM$67&amp;$AL$8:$AL$67,0))))</f>
        <v>6825.5378505835715</v>
      </c>
      <c r="AH56" s="104">
        <f t="array" ref="AH56">IF(AS56=0,99999,AS56-(INDEX($AK$8:$AK$67,MATCH($AB56&amp;AH$6,$AM$8:$AM$67&amp;$AL$8:$AL$67,0))+INDEX($AK$8:$AK$67,MATCH($AA56&amp;AH$6,$AM$8:$AM$67&amp;$AL$8:$AL$67,0))))</f>
        <v>99999</v>
      </c>
      <c r="AJ56" s="39" t="str">
        <f t="shared" si="6"/>
        <v>TPPBL</v>
      </c>
      <c r="AK56" s="40">
        <f>'LTM data'!O50</f>
        <v>166.60877884827801</v>
      </c>
      <c r="AL56" s="39" t="str">
        <f t="shared" si="6"/>
        <v>TPL</v>
      </c>
      <c r="AM56" s="39" t="str">
        <f t="shared" si="7"/>
        <v>Public bus DKE</v>
      </c>
      <c r="AO56" s="39" t="s">
        <v>284</v>
      </c>
      <c r="AP56" s="100">
        <v>0</v>
      </c>
      <c r="AQ56" s="40">
        <v>9478.2116201000008</v>
      </c>
      <c r="AR56" s="40">
        <v>7287.3833204000002</v>
      </c>
      <c r="AS56" s="100">
        <v>0</v>
      </c>
      <c r="AT56" s="40"/>
      <c r="AU56" s="40"/>
      <c r="AV56" s="40"/>
    </row>
    <row r="57" spans="2:48">
      <c r="B57" s="23" t="str">
        <f t="shared" si="1"/>
        <v>UC_Up_Bike-Public bus_TPS</v>
      </c>
      <c r="C57" s="39" t="str">
        <f t="shared" si="2"/>
        <v>TPBI*,TPBU*</v>
      </c>
      <c r="D57" s="39" t="str">
        <f t="shared" si="3"/>
        <v>BIKEcom,TRA*</v>
      </c>
      <c r="E57" s="39" t="str">
        <f t="shared" si="5"/>
        <v>TPS</v>
      </c>
      <c r="F57" s="39" t="s">
        <v>78</v>
      </c>
      <c r="G57" s="39">
        <v>2010</v>
      </c>
      <c r="H57" s="39">
        <v>1</v>
      </c>
      <c r="I57" s="39">
        <f t="array" ref="I57">INDEX($AE$7:$AH$63,MATCH($V57&amp;$W57,$AA$7:$AA$63&amp;$AB$7:$AB$63,0),MATCH($E57,$AE$6:$AH$6,0))+INDEX('LTM data'!$D$47:$W$66,MATCH(RIGHT(I$6,4)&amp;'Couple Potential'!$X57,'LTM data'!$A$47:$A$66&amp;'LTM data'!$C$47:$C$66,0),MATCH('Couple Potential'!$W57,'LTM data'!$D$46:$W$46,0))+INDEX('LTM data'!$D$47:$W$66,MATCH(RIGHT(I$6,4)&amp;'Couple Potential'!$X57,'LTM data'!$A$47:$A$66&amp;'LTM data'!$C$47:$C$66,0),MATCH('Couple Potential'!$V57,'LTM data'!$D$46:$W$46,0))</f>
        <v>23192.658280700001</v>
      </c>
      <c r="J57" s="39">
        <f t="array" ref="J57">INDEX($AE$7:$AH$63,MATCH(V57&amp;W57,$AA$7:$AA$63&amp;$AB$7:$AB$63,0),MATCH(E57,$AE$6:$AH$6,0))+INDEX('LTM data'!$D$47:$W$66,MATCH(RIGHT($J$6,4)&amp;'Couple Potential'!X57,'LTM data'!$A$47:$A$66&amp;'LTM data'!$C$47:$C$66,0),MATCH('Couple Potential'!W57,'LTM data'!$D$46:$W$46,0))+INDEX('LTM data'!$D$47:$W$66,MATCH(RIGHT($J$6,4)&amp;'Couple Potential'!X57,'LTM data'!$A$47:$A$66&amp;'LTM data'!$C$47:$C$66,0),MATCH('Couple Potential'!V57,'LTM data'!$D$46:$W$46,0))</f>
        <v>23192.255213140703</v>
      </c>
      <c r="K57" s="39">
        <v>15</v>
      </c>
      <c r="L57" s="23" t="str">
        <f t="array" ref="L57">"Max production of "&amp;E57&amp;" travel demand by "&amp;V57&amp;" and "&amp;W57</f>
        <v>Max production of TPS travel demand by Bike and Public bus</v>
      </c>
      <c r="M57" s="23"/>
      <c r="N57" s="23"/>
      <c r="O57" s="23"/>
      <c r="P57" s="23"/>
      <c r="Q57" s="23"/>
      <c r="R57" s="23"/>
      <c r="U57" s="39" t="s">
        <v>66</v>
      </c>
      <c r="V57" s="39" t="s">
        <v>66</v>
      </c>
      <c r="W57" s="39" t="s">
        <v>71</v>
      </c>
      <c r="X57" s="39" t="s">
        <v>83</v>
      </c>
      <c r="AA57" s="39" t="s">
        <v>343</v>
      </c>
      <c r="AB57" s="39" t="s">
        <v>64</v>
      </c>
      <c r="AD57" s="39" t="s">
        <v>283</v>
      </c>
      <c r="AE57" s="104">
        <f t="array" ref="AE57">IF(AP57=0,99999,AP57-(INDEX($AK$8:$AK$67,MATCH($AB57&amp;AE$6,$AM$8:$AM$67&amp;$AL$8:$AL$67,0))+INDEX($AK$8:$AK$67,MATCH($AA57&amp;AE$6,$AM$8:$AM$67&amp;$AL$8:$AL$67,0))))</f>
        <v>99999</v>
      </c>
      <c r="AF57" s="40">
        <f t="array" ref="AF57">IF(AQ57=0,99999,AQ57-(INDEX($AK$8:$AK$67,MATCH($AB57&amp;AF$6,$AM$8:$AM$67&amp;$AL$8:$AL$67,0))+INDEX($AK$8:$AK$67,MATCH($AA57&amp;AF$6,$AM$8:$AM$67&amp;$AL$8:$AL$67,0))))</f>
        <v>23659.497799490407</v>
      </c>
      <c r="AG57" s="40">
        <f t="array" ref="AG57">IF(AR57=0,99999,AR57-(INDEX($AK$8:$AK$67,MATCH($AB57&amp;AG$6,$AM$8:$AM$67&amp;$AL$8:$AL$67,0))+INDEX($AK$8:$AK$67,MATCH($AA57&amp;AG$6,$AM$8:$AM$67&amp;$AL$8:$AL$67,0))))</f>
        <v>16879.572751545315</v>
      </c>
      <c r="AH57" s="104">
        <f t="array" ref="AH57">IF(AS57=0,99999,AS57-(INDEX($AK$8:$AK$67,MATCH($AB57&amp;AH$6,$AM$8:$AM$67&amp;$AL$8:$AL$67,0))+INDEX($AK$8:$AK$67,MATCH($AA57&amp;AH$6,$AM$8:$AM$67&amp;$AL$8:$AL$67,0))))</f>
        <v>99999</v>
      </c>
      <c r="AJ57" s="39" t="str">
        <f>AJ27</f>
        <v>TPPCOS</v>
      </c>
      <c r="AK57" s="40">
        <f>'LTM data'!P48</f>
        <v>235.984210807344</v>
      </c>
      <c r="AL57" s="39" t="str">
        <f>AL27</f>
        <v>TPS</v>
      </c>
      <c r="AM57" s="39" t="str">
        <f>AM27&amp;" DKE"</f>
        <v>Coach DKE</v>
      </c>
      <c r="AO57" s="39" t="s">
        <v>283</v>
      </c>
      <c r="AP57" s="100"/>
      <c r="AQ57" s="40">
        <v>24590.8675234</v>
      </c>
      <c r="AR57" s="40">
        <v>17421.2831988</v>
      </c>
      <c r="AS57" s="40"/>
      <c r="AT57" s="40"/>
      <c r="AU57" s="40"/>
      <c r="AV57" s="40"/>
    </row>
    <row r="58" spans="2:48">
      <c r="B58" s="23" t="str">
        <f t="shared" si="1"/>
        <v>UC_Up_Bike-S-Train_TPS</v>
      </c>
      <c r="C58" s="39" t="str">
        <f t="shared" si="2"/>
        <v>TPBI*,TPRS*</v>
      </c>
      <c r="D58" s="39" t="str">
        <f t="shared" si="3"/>
        <v>BIKEcom,TRA*</v>
      </c>
      <c r="E58" s="39" t="str">
        <f t="shared" si="5"/>
        <v>TPS</v>
      </c>
      <c r="F58" s="39" t="s">
        <v>78</v>
      </c>
      <c r="G58" s="39">
        <v>2010</v>
      </c>
      <c r="H58" s="39">
        <v>1</v>
      </c>
      <c r="I58" s="39">
        <f t="array" ref="I58">INDEX($AE$7:$AH$63,MATCH($V58&amp;$W58,$AA$7:$AA$63&amp;$AB$7:$AB$63,0),MATCH($E58,$AE$6:$AH$6,0))+INDEX('LTM data'!$D$47:$W$66,MATCH(RIGHT(I$6,4)&amp;'Couple Potential'!$X58,'LTM data'!$A$47:$A$66&amp;'LTM data'!$C$47:$C$66,0),MATCH('Couple Potential'!$W58,'LTM data'!$D$46:$W$46,0))+INDEX('LTM data'!$D$47:$W$66,MATCH(RIGHT(I$6,4)&amp;'Couple Potential'!$X58,'LTM data'!$A$47:$A$66&amp;'LTM data'!$C$47:$C$66,0),MATCH('Couple Potential'!$V58,'LTM data'!$D$46:$W$46,0))</f>
        <v>10048.9066668</v>
      </c>
      <c r="J58" s="39">
        <f t="array" ref="J58">INDEX($AE$7:$AH$63,MATCH(V58&amp;W58,$AA$7:$AA$63&amp;$AB$7:$AB$63,0),MATCH(E58,$AE$6:$AH$6,0))+INDEX('LTM data'!$D$47:$W$66,MATCH(RIGHT($J$6,4)&amp;'Couple Potential'!X58,'LTM data'!$A$47:$A$66&amp;'LTM data'!$C$47:$C$66,0),MATCH('Couple Potential'!W58,'LTM data'!$D$46:$W$46,0))+INDEX('LTM data'!$D$47:$W$66,MATCH(RIGHT($J$6,4)&amp;'Couple Potential'!X58,'LTM data'!$A$47:$A$66&amp;'LTM data'!$C$47:$C$66,0),MATCH('Couple Potential'!V58,'LTM data'!$D$46:$W$46,0))</f>
        <v>10200.208779216717</v>
      </c>
      <c r="K58" s="39">
        <v>15</v>
      </c>
      <c r="L58" s="23" t="str">
        <f t="array" ref="L58">"Max production of "&amp;E58&amp;" travel demand by "&amp;V58&amp;" and "&amp;W58</f>
        <v>Max production of TPS travel demand by Bike and S-Train</v>
      </c>
      <c r="M58" s="23"/>
      <c r="N58" s="23"/>
      <c r="O58" s="23"/>
      <c r="P58" s="23"/>
      <c r="Q58" s="23"/>
      <c r="R58" s="23"/>
      <c r="U58" s="39" t="s">
        <v>66</v>
      </c>
      <c r="V58" s="39" t="s">
        <v>66</v>
      </c>
      <c r="W58" s="39" t="s">
        <v>343</v>
      </c>
      <c r="X58" s="39" t="s">
        <v>83</v>
      </c>
      <c r="AA58" s="39" t="s">
        <v>353</v>
      </c>
      <c r="AB58" s="39" t="s">
        <v>357</v>
      </c>
      <c r="AD58" s="39" t="s">
        <v>282</v>
      </c>
      <c r="AE58" s="40">
        <f t="array" ref="AE58">IF(AP58=0,99999,AP58-(INDEX($AK$8:$AK$67,MATCH($AB58&amp;AE$6,$AM$8:$AM$67&amp;$AL$8:$AL$67,0))+INDEX($AK$8:$AK$67,MATCH($AA58&amp;AE$6,$AM$8:$AM$67&amp;$AL$8:$AL$67,0))))</f>
        <v>2830.8452984813302</v>
      </c>
      <c r="AF58" s="40">
        <f t="array" ref="AF58">IF(AQ58=0,99999,AQ58-(INDEX($AK$8:$AK$67,MATCH($AB58&amp;AF$6,$AM$8:$AM$67&amp;$AL$8:$AL$67,0))+INDEX($AK$8:$AK$67,MATCH($AA58&amp;AF$6,$AM$8:$AM$67&amp;$AL$8:$AL$67,0))))</f>
        <v>8689.2858803373547</v>
      </c>
      <c r="AG58" s="104">
        <f t="array" ref="AG58">IF(AR58=0,99999,AR58-(INDEX($AK$8:$AK$67,MATCH($AB58&amp;AG$6,$AM$8:$AM$67&amp;$AL$8:$AL$67,0))+INDEX($AK$8:$AK$67,MATCH($AA58&amp;AG$6,$AM$8:$AM$67&amp;$AL$8:$AL$67,0))))</f>
        <v>99999</v>
      </c>
      <c r="AH58" s="104">
        <f t="array" ref="AH58">IF(AS58=0,99999,AS58-(INDEX($AK$8:$AK$67,MATCH($AB58&amp;AH$6,$AM$8:$AM$67&amp;$AL$8:$AL$67,0))+INDEX($AK$8:$AK$67,MATCH($AA58&amp;AH$6,$AM$8:$AM$67&amp;$AL$8:$AL$67,0))))</f>
        <v>99999</v>
      </c>
      <c r="AJ58" s="39" t="str">
        <f t="shared" si="6"/>
        <v>TPPCOM</v>
      </c>
      <c r="AK58" s="40">
        <f>'LTM data'!P49</f>
        <v>232.949920766415</v>
      </c>
      <c r="AL58" s="39" t="str">
        <f t="shared" si="6"/>
        <v>TPM</v>
      </c>
      <c r="AM58" s="39" t="str">
        <f t="shared" si="7"/>
        <v>Coach DKE</v>
      </c>
      <c r="AO58" s="39" t="s">
        <v>282</v>
      </c>
      <c r="AP58" s="40">
        <v>2927.5025952999999</v>
      </c>
      <c r="AQ58" s="40">
        <v>9478.2116201000008</v>
      </c>
      <c r="AR58" s="40">
        <v>0</v>
      </c>
      <c r="AS58" s="40">
        <v>0</v>
      </c>
      <c r="AT58" s="40"/>
      <c r="AU58" s="40"/>
      <c r="AV58" s="40"/>
    </row>
    <row r="59" spans="2:48">
      <c r="B59" s="23" t="str">
        <f t="shared" si="1"/>
        <v>UC_Up_Bike-Metro_TPS</v>
      </c>
      <c r="C59" s="39" t="str">
        <f t="shared" si="2"/>
        <v>TPBI*,TPRM*</v>
      </c>
      <c r="D59" s="39" t="str">
        <f t="shared" si="3"/>
        <v>BIKEcom,TRA*</v>
      </c>
      <c r="E59" s="39" t="str">
        <f t="shared" si="5"/>
        <v>TPS</v>
      </c>
      <c r="F59" s="39" t="s">
        <v>78</v>
      </c>
      <c r="G59" s="39">
        <v>2010</v>
      </c>
      <c r="H59" s="39">
        <v>1</v>
      </c>
      <c r="I59" s="39">
        <f t="array" ref="I59">INDEX($AE$7:$AH$63,MATCH($V59&amp;$W59,$AA$7:$AA$63&amp;$AB$7:$AB$63,0),MATCH($E59,$AE$6:$AH$6,0))+INDEX('LTM data'!$D$47:$W$66,MATCH(RIGHT(I$6,4)&amp;'Couple Potential'!$X59,'LTM data'!$A$47:$A$66&amp;'LTM data'!$C$47:$C$66,0),MATCH('Couple Potential'!$W59,'LTM data'!$D$46:$W$46,0))+INDEX('LTM data'!$D$47:$W$66,MATCH(RIGHT(I$6,4)&amp;'Couple Potential'!$X59,'LTM data'!$A$47:$A$66&amp;'LTM data'!$C$47:$C$66,0),MATCH('Couple Potential'!$V59,'LTM data'!$D$46:$W$46,0))</f>
        <v>5625.7760197000007</v>
      </c>
      <c r="J59" s="39">
        <f t="array" ref="J59">INDEX($AE$7:$AH$63,MATCH(V59&amp;W59,$AA$7:$AA$63&amp;$AB$7:$AB$63,0),MATCH(E59,$AE$6:$AH$6,0))+INDEX('LTM data'!$D$47:$W$66,MATCH(RIGHT($J$6,4)&amp;'Couple Potential'!X59,'LTM data'!$A$47:$A$66&amp;'LTM data'!$C$47:$C$66,0),MATCH('Couple Potential'!W59,'LTM data'!$D$46:$W$46,0))+INDEX('LTM data'!$D$47:$W$66,MATCH(RIGHT($J$6,4)&amp;'Couple Potential'!X59,'LTM data'!$A$47:$A$66&amp;'LTM data'!$C$47:$C$66,0),MATCH('Couple Potential'!V59,'LTM data'!$D$46:$W$46,0))</f>
        <v>5981.7899789397197</v>
      </c>
      <c r="K59" s="39">
        <v>15</v>
      </c>
      <c r="L59" s="23" t="str">
        <f t="array" ref="L59">"Max production of "&amp;E59&amp;" travel demand by "&amp;V59&amp;" and "&amp;W59</f>
        <v>Max production of TPS travel demand by Bike and Metro</v>
      </c>
      <c r="M59" s="23"/>
      <c r="N59" s="23"/>
      <c r="O59" s="23"/>
      <c r="P59" s="23"/>
      <c r="Q59" s="23"/>
      <c r="R59" s="23"/>
      <c r="U59" s="39" t="s">
        <v>66</v>
      </c>
      <c r="V59" s="39" t="s">
        <v>66</v>
      </c>
      <c r="W59" s="39" t="s">
        <v>67</v>
      </c>
      <c r="X59" s="39" t="s">
        <v>83</v>
      </c>
      <c r="AA59" s="39" t="s">
        <v>343</v>
      </c>
      <c r="AB59" s="39" t="s">
        <v>63</v>
      </c>
      <c r="AD59" s="39" t="s">
        <v>281</v>
      </c>
      <c r="AE59" s="40">
        <f t="array" ref="AE59">IF(AP59=0,99999,AP59-(INDEX($AK$8:$AK$67,MATCH($AB59&amp;AE$6,$AM$8:$AM$67&amp;$AL$8:$AL$67,0))+INDEX($AK$8:$AK$67,MATCH($AA59&amp;AE$6,$AM$8:$AM$67&amp;$AL$8:$AL$67,0))))</f>
        <v>6641.7403223773845</v>
      </c>
      <c r="AF59" s="40">
        <f t="array" ref="AF59">IF(AQ59=0,99999,AQ59-(INDEX($AK$8:$AK$67,MATCH($AB59&amp;AF$6,$AM$8:$AM$67&amp;$AL$8:$AL$67,0))+INDEX($AK$8:$AK$67,MATCH($AA59&amp;AF$6,$AM$8:$AM$67&amp;$AL$8:$AL$67,0))))</f>
        <v>23806.981995301758</v>
      </c>
      <c r="AG59" s="104">
        <f t="array" ref="AG59">IF(AR59=0,99999,AR59-(INDEX($AK$8:$AK$67,MATCH($AB59&amp;AG$6,$AM$8:$AM$67&amp;$AL$8:$AL$67,0))+INDEX($AK$8:$AK$67,MATCH($AA59&amp;AG$6,$AM$8:$AM$67&amp;$AL$8:$AL$67,0))))</f>
        <v>99999</v>
      </c>
      <c r="AH59" s="104">
        <f t="array" ref="AH59">IF(AS59=0,99999,AS59-(INDEX($AK$8:$AK$67,MATCH($AB59&amp;AH$6,$AM$8:$AM$67&amp;$AL$8:$AL$67,0))+INDEX($AK$8:$AK$67,MATCH($AA59&amp;AH$6,$AM$8:$AM$67&amp;$AL$8:$AL$67,0))))</f>
        <v>99999</v>
      </c>
      <c r="AJ59" s="39" t="str">
        <f>AJ29</f>
        <v>TPPCOL</v>
      </c>
      <c r="AK59" s="40">
        <f>'LTM data'!P50</f>
        <v>1824.8698596924801</v>
      </c>
      <c r="AL59" s="39" t="str">
        <f>AL29</f>
        <v>TPL</v>
      </c>
      <c r="AM59" s="39" t="str">
        <f>AM29&amp;" DKE"</f>
        <v>Coach DKE</v>
      </c>
      <c r="AO59" s="39" t="s">
        <v>281</v>
      </c>
      <c r="AP59" s="40">
        <v>6748.9768941000002</v>
      </c>
      <c r="AQ59" s="40">
        <v>24630.644430600001</v>
      </c>
      <c r="AR59" s="40"/>
      <c r="AS59" s="40"/>
      <c r="AT59" s="40"/>
      <c r="AU59" s="40"/>
      <c r="AV59" s="40"/>
    </row>
    <row r="60" spans="2:48">
      <c r="B60" s="23" t="str">
        <f t="shared" si="1"/>
        <v>UC_Up_Bike-Train_TPS</v>
      </c>
      <c r="C60" s="39" t="str">
        <f t="shared" si="2"/>
        <v>TPBI*,TPRO*</v>
      </c>
      <c r="D60" s="39" t="str">
        <f t="shared" si="3"/>
        <v>BIKEcom,TRA*</v>
      </c>
      <c r="E60" s="39" t="str">
        <f t="shared" si="5"/>
        <v>TPS</v>
      </c>
      <c r="F60" s="39" t="s">
        <v>78</v>
      </c>
      <c r="G60" s="39">
        <v>2010</v>
      </c>
      <c r="H60" s="39">
        <v>1</v>
      </c>
      <c r="I60" s="39">
        <f t="array" ref="I60">INDEX($AE$7:$AH$63,MATCH($V60&amp;$W60,$AA$7:$AA$63&amp;$AB$7:$AB$63,0),MATCH($E60,$AE$6:$AH$6,0))+INDEX('LTM data'!$D$47:$W$66,MATCH(RIGHT(I$6,4)&amp;'Couple Potential'!$X60,'LTM data'!$A$47:$A$66&amp;'LTM data'!$C$47:$C$66,0),MATCH('Couple Potential'!$W60,'LTM data'!$D$46:$W$46,0))+INDEX('LTM data'!$D$47:$W$66,MATCH(RIGHT(I$6,4)&amp;'Couple Potential'!$X60,'LTM data'!$A$47:$A$66&amp;'LTM data'!$C$47:$C$66,0),MATCH('Couple Potential'!$V60,'LTM data'!$D$46:$W$46,0))</f>
        <v>24009.313599100002</v>
      </c>
      <c r="J60" s="39">
        <f t="array" ref="J60">INDEX($AE$7:$AH$63,MATCH(V60&amp;W60,$AA$7:$AA$63&amp;$AB$7:$AB$63,0),MATCH(E60,$AE$6:$AH$6,0))+INDEX('LTM data'!$D$47:$W$66,MATCH(RIGHT($J$6,4)&amp;'Couple Potential'!X60,'LTM data'!$A$47:$A$66&amp;'LTM data'!$C$47:$C$66,0),MATCH('Couple Potential'!W60,'LTM data'!$D$46:$W$46,0))+INDEX('LTM data'!$D$47:$W$66,MATCH(RIGHT($J$6,4)&amp;'Couple Potential'!X60,'LTM data'!$A$47:$A$66&amp;'LTM data'!$C$47:$C$66,0),MATCH('Couple Potential'!V60,'LTM data'!$D$46:$W$46,0))</f>
        <v>24442.896989836045</v>
      </c>
      <c r="K60" s="39">
        <v>15</v>
      </c>
      <c r="L60" s="23" t="str">
        <f t="array" ref="L60">"Max production of "&amp;E60&amp;" travel demand by "&amp;V60&amp;" and "&amp;W60</f>
        <v>Max production of TPS travel demand by Bike and Train</v>
      </c>
      <c r="M60" s="23"/>
      <c r="N60" s="23"/>
      <c r="O60" s="23"/>
      <c r="P60" s="23"/>
      <c r="Q60" s="23"/>
      <c r="R60" s="23"/>
      <c r="U60" s="39" t="s">
        <v>66</v>
      </c>
      <c r="V60" s="39" t="s">
        <v>66</v>
      </c>
      <c r="W60" s="39" t="s">
        <v>69</v>
      </c>
      <c r="X60" s="39" t="s">
        <v>83</v>
      </c>
      <c r="AA60" s="39" t="s">
        <v>353</v>
      </c>
      <c r="AB60" s="39" t="s">
        <v>344</v>
      </c>
      <c r="AD60" s="101" t="s">
        <v>280</v>
      </c>
      <c r="AE60" s="102">
        <f t="array" ref="AE60">IF(AP60=0,99999,AP60-(INDEX($AK$8:$AK$67,MATCH($AB60&amp;AE$6,$AM$8:$AM$67&amp;$AL$8:$AL$67,0))+INDEX($AK$8:$AK$67,MATCH($AA60&amp;AE$6,$AM$8:$AM$67&amp;$AL$8:$AL$67,0))))</f>
        <v>1480.1465323332739</v>
      </c>
      <c r="AF60" s="102">
        <f t="array" ref="AF60">IF(AQ60=0,99999,AQ60-(INDEX($AK$8:$AK$67,MATCH($AB60&amp;AF$6,$AM$8:$AM$67&amp;$AL$8:$AL$67,0))+INDEX($AK$8:$AK$67,MATCH($AA60&amp;AF$6,$AM$8:$AM$67&amp;$AL$8:$AL$67,0))))</f>
        <v>2526.9452379248696</v>
      </c>
      <c r="AG60" s="102">
        <f t="array" ref="AG60">IF(AR60=0,99999,AR60-(INDEX($AK$8:$AK$67,MATCH($AB60&amp;AG$6,$AM$8:$AM$67&amp;$AL$8:$AL$67,0))+INDEX($AK$8:$AK$67,MATCH($AA60&amp;AG$6,$AM$8:$AM$67&amp;$AL$8:$AL$67,0))))</f>
        <v>1853.0814730640159</v>
      </c>
      <c r="AH60" s="105">
        <f t="array" ref="AH60">IF(AS60=0,99999,AS60-(INDEX($AK$8:$AK$67,MATCH($AB60&amp;AH$6,$AM$8:$AM$67&amp;$AL$8:$AL$67,0))+INDEX($AK$8:$AK$67,MATCH($AA60&amp;AH$6,$AM$8:$AM$67&amp;$AL$8:$AL$67,0))))</f>
        <v>99999</v>
      </c>
      <c r="AJ60" s="39" t="str">
        <f t="shared" si="6"/>
        <v>TPPRMXS</v>
      </c>
      <c r="AK60" s="40">
        <f>'LTM data'!S47</f>
        <v>92.307668078761495</v>
      </c>
      <c r="AL60" s="39" t="str">
        <f t="shared" si="6"/>
        <v>TPXS</v>
      </c>
      <c r="AM60" s="39" t="str">
        <f t="shared" si="7"/>
        <v>Metro DKE</v>
      </c>
      <c r="AO60" s="101" t="s">
        <v>280</v>
      </c>
      <c r="AP60" s="102">
        <v>2886.9186909999999</v>
      </c>
      <c r="AQ60" s="102">
        <v>9609.9143741999997</v>
      </c>
      <c r="AR60" s="102">
        <v>6827.4348929999996</v>
      </c>
      <c r="AS60" s="102"/>
      <c r="AT60" s="40"/>
      <c r="AU60" s="40"/>
      <c r="AV60" s="40"/>
    </row>
    <row r="61" spans="2:48">
      <c r="B61" s="23" t="str">
        <f t="shared" si="1"/>
        <v>UC_Up_Bike-Coach_TPS</v>
      </c>
      <c r="C61" s="39" t="str">
        <f t="shared" si="2"/>
        <v>TPBI*,TPCO*</v>
      </c>
      <c r="D61" s="39" t="str">
        <f t="shared" si="3"/>
        <v>BIKEcom,TRA*</v>
      </c>
      <c r="E61" s="39" t="str">
        <f t="shared" si="5"/>
        <v>TPS</v>
      </c>
      <c r="F61" s="39" t="s">
        <v>78</v>
      </c>
      <c r="G61" s="39">
        <v>2010</v>
      </c>
      <c r="H61" s="39">
        <v>1</v>
      </c>
      <c r="I61" s="39">
        <f t="array" ref="I61">INDEX($AE$7:$AH$63,MATCH($V61&amp;$W61,$AA$7:$AA$63&amp;$AB$7:$AB$63,0),MATCH($E61,$AE$6:$AH$6,0))+INDEX('LTM data'!$D$47:$W$66,MATCH(RIGHT(I$6,4)&amp;'Couple Potential'!$X61,'LTM data'!$A$47:$A$66&amp;'LTM data'!$C$47:$C$66,0),MATCH('Couple Potential'!$W61,'LTM data'!$D$46:$W$46,0))+INDEX('LTM data'!$D$47:$W$66,MATCH(RIGHT(I$6,4)&amp;'Couple Potential'!$X61,'LTM data'!$A$47:$A$66&amp;'LTM data'!$C$47:$C$66,0),MATCH('Couple Potential'!$V61,'LTM data'!$D$46:$W$46,0))</f>
        <v>24449.953318</v>
      </c>
      <c r="J61" s="39">
        <f t="array" ref="J61">INDEX($AE$7:$AH$63,MATCH(V61&amp;W61,$AA$7:$AA$63&amp;$AB$7:$AB$63,0),MATCH(E61,$AE$6:$AH$6,0))+INDEX('LTM data'!$D$47:$W$66,MATCH(RIGHT($J$6,4)&amp;'Couple Potential'!X61,'LTM data'!$A$47:$A$66&amp;'LTM data'!$C$47:$C$66,0),MATCH('Couple Potential'!W61,'LTM data'!$D$46:$W$46,0))+INDEX('LTM data'!$D$47:$W$66,MATCH(RIGHT($J$6,4)&amp;'Couple Potential'!X61,'LTM data'!$A$47:$A$66&amp;'LTM data'!$C$47:$C$66,0),MATCH('Couple Potential'!V61,'LTM data'!$D$46:$W$46,0))</f>
        <v>24560.728973939367</v>
      </c>
      <c r="K61" s="39">
        <v>15</v>
      </c>
      <c r="L61" s="23" t="str">
        <f t="array" ref="L61">"Max production of "&amp;E61&amp;" travel demand by "&amp;V61&amp;" and "&amp;W61</f>
        <v>Max production of TPS travel demand by Bike and Coach</v>
      </c>
      <c r="M61" s="23"/>
      <c r="N61" s="23"/>
      <c r="O61" s="23"/>
      <c r="P61" s="23"/>
      <c r="Q61" s="23"/>
      <c r="R61" s="23"/>
      <c r="U61" s="39" t="s">
        <v>66</v>
      </c>
      <c r="V61" s="39" t="s">
        <v>66</v>
      </c>
      <c r="W61" s="39" t="s">
        <v>70</v>
      </c>
      <c r="X61" s="39" t="s">
        <v>83</v>
      </c>
      <c r="AA61" s="39" t="s">
        <v>64</v>
      </c>
      <c r="AB61" s="39" t="s">
        <v>63</v>
      </c>
      <c r="AD61" s="39" t="s">
        <v>279</v>
      </c>
      <c r="AE61" s="104">
        <f t="array" ref="AE61">IF(AP61=0,99999,AP61-(INDEX($AK$8:$AK$67,MATCH($AB61&amp;AE$6,$AM$8:$AM$67&amp;$AL$8:$AL$67,0))+INDEX($AK$8:$AK$67,MATCH($AA61&amp;AE$6,$AM$8:$AM$67&amp;$AL$8:$AL$67,0))))</f>
        <v>99999</v>
      </c>
      <c r="AF61" s="40">
        <f t="array" ref="AF61">IF(AQ61=0,99999,AQ61-(INDEX($AK$8:$AK$67,MATCH($AB61&amp;AF$6,$AM$8:$AM$67&amp;$AL$8:$AL$67,0))+INDEX($AK$8:$AK$67,MATCH($AA61&amp;AF$6,$AM$8:$AM$67&amp;$AL$8:$AL$67,0))))</f>
        <v>24502.581804140002</v>
      </c>
      <c r="AG61" s="40">
        <f t="array" ref="AG61">IF(AR61=0,99999,AR61-(INDEX($AK$8:$AK$67,MATCH($AB61&amp;AG$6,$AM$8:$AM$67&amp;$AL$8:$AL$67,0))+INDEX($AK$8:$AK$67,MATCH($AA61&amp;AG$6,$AM$8:$AM$67&amp;$AL$8:$AL$67,0))))</f>
        <v>17330.603640531175</v>
      </c>
      <c r="AH61" s="40">
        <f t="array" ref="AH61">IF(AS61=0,99999,AS61-(INDEX($AK$8:$AK$67,MATCH($AB61&amp;AH$6,$AM$8:$AM$67&amp;$AL$8:$AL$67,0))+INDEX($AK$8:$AK$67,MATCH($AA61&amp;AH$6,$AM$8:$AM$67&amp;$AL$8:$AL$67,0))))</f>
        <v>8011.1565444709304</v>
      </c>
      <c r="AJ61" s="39" t="str">
        <f t="shared" ref="AJ61:AJ67" si="8">AJ31</f>
        <v>TPPRMS</v>
      </c>
      <c r="AK61" s="40">
        <f>'LTM data'!S48</f>
        <v>157.192375721144</v>
      </c>
      <c r="AL61" s="39" t="str">
        <f t="shared" ref="AL61:AL67" si="9">AL31</f>
        <v>TPS</v>
      </c>
      <c r="AM61" s="39" t="str">
        <f t="shared" ref="AM61:AM67" si="10">AM31&amp;" DKE"</f>
        <v>Metro DKE</v>
      </c>
      <c r="AO61" s="39" t="s">
        <v>279</v>
      </c>
      <c r="AP61" s="100">
        <v>0</v>
      </c>
      <c r="AQ61" s="40">
        <v>24714.433938099999</v>
      </c>
      <c r="AR61" s="40">
        <v>17463.5028714</v>
      </c>
      <c r="AS61" s="40">
        <v>8194.5462021000003</v>
      </c>
      <c r="AT61" s="40"/>
      <c r="AU61" s="40"/>
      <c r="AV61" s="40"/>
    </row>
    <row r="62" spans="2:48">
      <c r="B62" s="23" t="str">
        <f t="shared" si="1"/>
        <v>UC_Up_Bike-Car_TPS</v>
      </c>
      <c r="C62" s="39" t="str">
        <f t="shared" si="2"/>
        <v>TPBI*,TPCA*</v>
      </c>
      <c r="D62" s="39" t="str">
        <f t="shared" si="3"/>
        <v>BIKEcom,TRA*</v>
      </c>
      <c r="E62" s="39" t="str">
        <f t="shared" si="5"/>
        <v>TPS</v>
      </c>
      <c r="F62" s="39" t="s">
        <v>78</v>
      </c>
      <c r="G62" s="39">
        <v>2010</v>
      </c>
      <c r="H62" s="39">
        <v>1</v>
      </c>
      <c r="I62" s="39">
        <f t="array" ref="I62">INDEX($AE$7:$AH$63,MATCH($V62&amp;$W62,$AA$7:$AA$63&amp;$AB$7:$AB$63,0),MATCH($E62,$AE$6:$AH$6,0))+INDEX('LTM data'!$D$47:$W$66,MATCH(RIGHT(I$6,4)&amp;'Couple Potential'!$X62,'LTM data'!$A$47:$A$66&amp;'LTM data'!$C$47:$C$66,0),MATCH('Couple Potential'!$W62,'LTM data'!$D$46:$W$46,0))+INDEX('LTM data'!$D$47:$W$66,MATCH(RIGHT(I$6,4)&amp;'Couple Potential'!$X62,'LTM data'!$A$47:$A$66&amp;'LTM data'!$C$47:$C$66,0),MATCH('Couple Potential'!$V62,'LTM data'!$D$46:$W$46,0))</f>
        <v>20202.5098598</v>
      </c>
      <c r="J62" s="39">
        <f t="array" ref="J62">INDEX($AE$7:$AH$63,MATCH(V62&amp;W62,$AA$7:$AA$63&amp;$AB$7:$AB$63,0),MATCH(E62,$AE$6:$AH$6,0))+INDEX('LTM data'!$D$47:$W$66,MATCH(RIGHT($J$6,4)&amp;'Couple Potential'!X62,'LTM data'!$A$47:$A$66&amp;'LTM data'!$C$47:$C$66,0),MATCH('Couple Potential'!W62,'LTM data'!$D$46:$W$46,0))+INDEX('LTM data'!$D$47:$W$66,MATCH(RIGHT($J$6,4)&amp;'Couple Potential'!X62,'LTM data'!$A$47:$A$66&amp;'LTM data'!$C$47:$C$66,0),MATCH('Couple Potential'!V62,'LTM data'!$D$46:$W$46,0))</f>
        <v>27543.038087603221</v>
      </c>
      <c r="K62" s="39">
        <v>15</v>
      </c>
      <c r="L62" s="23" t="str">
        <f t="array" ref="L62">"Max production of "&amp;E62&amp;" travel demand by "&amp;V62&amp;" and "&amp;W62</f>
        <v>Max production of TPS travel demand by Bike and Car</v>
      </c>
      <c r="M62" s="23"/>
      <c r="N62" s="23"/>
      <c r="O62" s="23"/>
      <c r="P62" s="23"/>
      <c r="Q62" s="23"/>
      <c r="R62" s="23"/>
      <c r="U62" s="39" t="s">
        <v>66</v>
      </c>
      <c r="V62" s="39" t="s">
        <v>66</v>
      </c>
      <c r="W62" s="39" t="s">
        <v>72</v>
      </c>
      <c r="X62" s="39" t="s">
        <v>83</v>
      </c>
      <c r="AA62" s="39" t="s">
        <v>64</v>
      </c>
      <c r="AB62" s="39" t="s">
        <v>72</v>
      </c>
      <c r="AD62" s="101" t="s">
        <v>278</v>
      </c>
      <c r="AE62" s="106">
        <f t="array" ref="AE62">IF(AP62=0,99999,AP62-(INDEX($AK$8:$AK$67,MATCH($AB62&amp;AE$6,$AM$8:$AM$67&amp;$AL$8:$AL$67,0))+INDEX($AK$8:$AK$67,MATCH($AA62&amp;AE$6,$AM$8:$AM$67&amp;$AL$8:$AL$67,0))))</f>
        <v>99999</v>
      </c>
      <c r="AF62" s="102">
        <f t="array" ref="AF62">IF(AQ62=0,99999,AQ62-(INDEX($AK$8:$AK$67,MATCH($AB62&amp;AF$6,$AM$8:$AM$67&amp;$AL$8:$AL$67,0))+INDEX($AK$8:$AK$67,MATCH($AA62&amp;AF$6,$AM$8:$AM$67&amp;$AL$8:$AL$67,0))))</f>
        <v>7029.8923944005965</v>
      </c>
      <c r="AG62" s="102">
        <f t="array" ref="AG62">IF(AR62=0,99999,AR62-(INDEX($AK$8:$AK$67,MATCH($AB62&amp;AG$6,$AM$8:$AM$67&amp;$AL$8:$AL$67,0))+INDEX($AK$8:$AK$67,MATCH($AA62&amp;AG$6,$AM$8:$AM$67&amp;$AL$8:$AL$67,0))))</f>
        <v>4749.7124671132951</v>
      </c>
      <c r="AH62" s="102">
        <f t="array" ref="AH62">IF(AS62=0,99999,AS62-(INDEX($AK$8:$AK$67,MATCH($AB62&amp;AH$6,$AM$8:$AM$67&amp;$AL$8:$AL$67,0))+INDEX($AK$8:$AK$67,MATCH($AA62&amp;AH$6,$AM$8:$AM$67&amp;$AL$8:$AL$67,0))))</f>
        <v>5283.6861817083518</v>
      </c>
      <c r="AJ62" s="39" t="str">
        <f t="shared" si="8"/>
        <v>TPPRSXS</v>
      </c>
      <c r="AK62" s="40">
        <f>'LTM data'!R47</f>
        <v>91.377594180506193</v>
      </c>
      <c r="AL62" s="39" t="str">
        <f t="shared" si="9"/>
        <v>TPXS</v>
      </c>
      <c r="AM62" s="39" t="str">
        <f t="shared" si="10"/>
        <v>S-Train DKE</v>
      </c>
      <c r="AO62" s="101" t="s">
        <v>278</v>
      </c>
      <c r="AP62" s="101"/>
      <c r="AQ62" s="102">
        <v>23019.759505999999</v>
      </c>
      <c r="AR62" s="102">
        <v>16309.9719436</v>
      </c>
      <c r="AS62" s="102">
        <v>27362.771730600001</v>
      </c>
      <c r="AT62" s="40"/>
      <c r="AU62" s="40"/>
      <c r="AV62" s="40"/>
    </row>
    <row r="63" spans="2:48">
      <c r="B63" s="23" t="str">
        <f t="shared" si="1"/>
        <v>UC_Up_Public bus-Coach_TPS</v>
      </c>
      <c r="C63" s="39" t="str">
        <f t="shared" si="2"/>
        <v>TPBU*,TPCO*</v>
      </c>
      <c r="D63" s="39" t="str">
        <f t="shared" si="3"/>
        <v>TRA*</v>
      </c>
      <c r="E63" s="39" t="str">
        <f t="shared" si="5"/>
        <v>TPS</v>
      </c>
      <c r="F63" s="39" t="s">
        <v>78</v>
      </c>
      <c r="G63" s="39">
        <v>2010</v>
      </c>
      <c r="H63" s="39">
        <v>1</v>
      </c>
      <c r="I63" s="39">
        <f t="array" ref="I63">INDEX($AE$7:$AH$63,MATCH($V63&amp;$W63,$AA$7:$AA$63&amp;$AB$7:$AB$63,0),MATCH($E63,$AE$6:$AH$6,0))+INDEX('LTM data'!$D$47:$W$66,MATCH(RIGHT(I$6,4)&amp;'Couple Potential'!$X63,'LTM data'!$A$47:$A$66&amp;'LTM data'!$C$47:$C$66,0),MATCH('Couple Potential'!$W63,'LTM data'!$D$46:$W$46,0))+INDEX('LTM data'!$D$47:$W$66,MATCH(RIGHT(I$6,4)&amp;'Couple Potential'!$X63,'LTM data'!$A$47:$A$66&amp;'LTM data'!$C$47:$C$66,0),MATCH('Couple Potential'!$V63,'LTM data'!$D$46:$W$46,0))</f>
        <v>24269.479359000001</v>
      </c>
      <c r="J63" s="39">
        <f t="array" ref="J63">INDEX($AE$7:$AH$63,MATCH(V63&amp;W63,$AA$7:$AA$63&amp;$AB$7:$AB$63,0),MATCH(E63,$AE$6:$AH$6,0))+INDEX('LTM data'!$D$47:$W$66,MATCH(RIGHT($J$6,4)&amp;'Couple Potential'!X63,'LTM data'!$A$47:$A$66&amp;'LTM data'!$C$47:$C$66,0),MATCH('Couple Potential'!W63,'LTM data'!$D$46:$W$46,0))+INDEX('LTM data'!$D$47:$W$66,MATCH(RIGHT($J$6,4)&amp;'Couple Potential'!X63,'LTM data'!$A$47:$A$66&amp;'LTM data'!$C$47:$C$66,0),MATCH('Couple Potential'!V63,'LTM data'!$D$46:$W$46,0))</f>
        <v>24090.776177027998</v>
      </c>
      <c r="K63" s="39">
        <v>15</v>
      </c>
      <c r="L63" s="23" t="str">
        <f t="array" ref="L63">"Max production of "&amp;E63&amp;" travel demand by "&amp;V63&amp;" and "&amp;W63</f>
        <v>Max production of TPS travel demand by Public bus and Coach</v>
      </c>
      <c r="M63" s="23"/>
      <c r="N63" s="23"/>
      <c r="O63" s="23"/>
      <c r="P63" s="23"/>
      <c r="Q63" s="23"/>
      <c r="R63" s="23"/>
      <c r="U63" s="39" t="s">
        <v>71</v>
      </c>
      <c r="V63" s="39" t="s">
        <v>71</v>
      </c>
      <c r="W63" s="39" t="s">
        <v>70</v>
      </c>
      <c r="X63" s="39" t="s">
        <v>83</v>
      </c>
      <c r="AA63" s="39" t="s">
        <v>63</v>
      </c>
      <c r="AB63" s="39" t="s">
        <v>72</v>
      </c>
      <c r="AD63" s="39" t="s">
        <v>277</v>
      </c>
      <c r="AE63" s="40">
        <f t="array" ref="AE63">IF(AP63=0,99999,AP63-(INDEX($AK$8:$AK$67,MATCH($AB63&amp;AE$6,$AM$8:$AM$67&amp;$AL$8:$AL$67,0))+INDEX($AK$8:$AK$67,MATCH($AA63&amp;AE$6,$AM$8:$AM$67&amp;$AL$8:$AL$67,0))))</f>
        <v>3104.226151226469</v>
      </c>
      <c r="AF63" s="40">
        <f t="array" ref="AF63">IF(AQ63=0,99999,AQ63-(INDEX($AK$8:$AK$67,MATCH($AB63&amp;AF$6,$AM$8:$AM$67&amp;$AL$8:$AL$67,0))+INDEX($AK$8:$AK$67,MATCH($AA63&amp;AF$6,$AM$8:$AM$67&amp;$AL$8:$AL$67,0))))</f>
        <v>7243.0704941119438</v>
      </c>
      <c r="AG63" s="104">
        <f t="array" ref="AG63">IF(AR63=0,99999,AR63-(INDEX($AK$8:$AK$67,MATCH($AB63&amp;AG$6,$AM$8:$AM$67&amp;$AL$8:$AL$67,0))+INDEX($AK$8:$AK$67,MATCH($AA63&amp;AG$6,$AM$8:$AM$67&amp;$AL$8:$AL$67,0))))</f>
        <v>99999</v>
      </c>
      <c r="AH63" s="104">
        <f t="array" ref="AH63">IF(AS63=0,99999,AS63-(INDEX($AK$8:$AK$67,MATCH($AB63&amp;AH$6,$AM$8:$AM$67&amp;$AL$8:$AL$67,0))+INDEX($AK$8:$AK$67,MATCH($AA63&amp;AH$6,$AM$8:$AM$67&amp;$AL$8:$AL$67,0))))</f>
        <v>99999</v>
      </c>
      <c r="AJ63" s="39" t="str">
        <f t="shared" si="8"/>
        <v>TPPRSS</v>
      </c>
      <c r="AK63" s="40">
        <f>'LTM data'!R48</f>
        <v>771.59001262391996</v>
      </c>
      <c r="AL63" s="39" t="str">
        <f t="shared" si="9"/>
        <v>TPS</v>
      </c>
      <c r="AM63" s="39" t="str">
        <f t="shared" si="10"/>
        <v>S-Train DKE</v>
      </c>
      <c r="AO63" s="39" t="s">
        <v>277</v>
      </c>
      <c r="AP63" s="40">
        <v>6419.3275948</v>
      </c>
      <c r="AQ63" s="40">
        <v>23125.230317099999</v>
      </c>
      <c r="AR63" s="40"/>
      <c r="AS63" s="40"/>
      <c r="AT63" s="40"/>
      <c r="AV63" s="40"/>
    </row>
    <row r="64" spans="2:48">
      <c r="B64" s="23" t="str">
        <f t="shared" si="1"/>
        <v>UC_Up_Public bus-Train_TPS</v>
      </c>
      <c r="C64" s="39" t="str">
        <f t="shared" si="2"/>
        <v>TPBU*,TPRO*</v>
      </c>
      <c r="D64" s="39" t="str">
        <f t="shared" si="3"/>
        <v>TRA*</v>
      </c>
      <c r="E64" s="39" t="str">
        <f t="shared" si="5"/>
        <v>TPS</v>
      </c>
      <c r="F64" s="39" t="s">
        <v>78</v>
      </c>
      <c r="G64" s="39">
        <v>2010</v>
      </c>
      <c r="H64" s="39">
        <v>1</v>
      </c>
      <c r="I64" s="39">
        <f t="array" ref="I64">INDEX($AE$7:$AH$63,MATCH($V64&amp;$W64,$AA$7:$AA$63&amp;$AB$7:$AB$63,0),MATCH($E64,$AE$6:$AH$6,0))+INDEX('LTM data'!$D$47:$W$66,MATCH(RIGHT(I$6,4)&amp;'Couple Potential'!$X64,'LTM data'!$A$47:$A$66&amp;'LTM data'!$C$47:$C$66,0),MATCH('Couple Potential'!$W64,'LTM data'!$D$46:$W$46,0))+INDEX('LTM data'!$D$47:$W$66,MATCH(RIGHT(I$6,4)&amp;'Couple Potential'!$X64,'LTM data'!$A$47:$A$66&amp;'LTM data'!$C$47:$C$66,0),MATCH('Couple Potential'!$V64,'LTM data'!$D$46:$W$46,0))</f>
        <v>23838.512297400001</v>
      </c>
      <c r="J64" s="39">
        <f t="array" ref="J64">INDEX($AE$7:$AH$63,MATCH(V64&amp;W64,$AA$7:$AA$63&amp;$AB$7:$AB$63,0),MATCH(E64,$AE$6:$AH$6,0))+INDEX('LTM data'!$D$47:$W$66,MATCH(RIGHT($J$6,4)&amp;'Couple Potential'!X64,'LTM data'!$A$47:$A$66&amp;'LTM data'!$C$47:$C$66,0),MATCH('Couple Potential'!W64,'LTM data'!$D$46:$W$46,0))+INDEX('LTM data'!$D$47:$W$66,MATCH(RIGHT($J$6,4)&amp;'Couple Potential'!X64,'LTM data'!$A$47:$A$66&amp;'LTM data'!$C$47:$C$66,0),MATCH('Couple Potential'!V64,'LTM data'!$D$46:$W$46,0))</f>
        <v>23982.616850224673</v>
      </c>
      <c r="K64" s="39">
        <v>15</v>
      </c>
      <c r="L64" s="23" t="str">
        <f t="array" ref="L64">"Max production of "&amp;E64&amp;" travel demand by "&amp;V64&amp;" and "&amp;W64</f>
        <v>Max production of TPS travel demand by Public bus and Train</v>
      </c>
      <c r="M64" s="23"/>
      <c r="N64" s="23"/>
      <c r="O64" s="23"/>
      <c r="P64" s="23"/>
      <c r="Q64" s="23"/>
      <c r="R64" s="23"/>
      <c r="U64" s="39" t="s">
        <v>71</v>
      </c>
      <c r="V64" s="39" t="s">
        <v>71</v>
      </c>
      <c r="W64" s="39" t="s">
        <v>69</v>
      </c>
      <c r="X64" s="39" t="s">
        <v>83</v>
      </c>
      <c r="AJ64" s="39" t="str">
        <f t="shared" si="8"/>
        <v>TPPRSM</v>
      </c>
      <c r="AK64" s="40">
        <f>'LTM data'!R49</f>
        <v>415.59740225762403</v>
      </c>
      <c r="AL64" s="39" t="str">
        <f t="shared" si="9"/>
        <v>TPM</v>
      </c>
      <c r="AM64" s="39" t="str">
        <f t="shared" si="10"/>
        <v>S-Train DKE</v>
      </c>
    </row>
    <row r="65" spans="2:39">
      <c r="B65" s="23" t="str">
        <f t="shared" si="1"/>
        <v>UC_Up_Public bus-Metro_TPS</v>
      </c>
      <c r="C65" s="39" t="str">
        <f t="shared" si="2"/>
        <v>TPBU*,TPRM*</v>
      </c>
      <c r="D65" s="39" t="str">
        <f t="shared" si="3"/>
        <v>TRA*</v>
      </c>
      <c r="E65" s="39" t="str">
        <f t="shared" si="5"/>
        <v>TPS</v>
      </c>
      <c r="F65" s="39" t="s">
        <v>78</v>
      </c>
      <c r="G65" s="39">
        <v>2010</v>
      </c>
      <c r="H65" s="39">
        <v>1</v>
      </c>
      <c r="I65" s="39">
        <f t="array" ref="I65">INDEX($AE$7:$AH$63,MATCH($V65&amp;$W65,$AA$7:$AA$63&amp;$AB$7:$AB$63,0),MATCH($E65,$AE$6:$AH$6,0))+INDEX('LTM data'!$D$47:$W$66,MATCH(RIGHT(I$6,4)&amp;'Couple Potential'!$X65,'LTM data'!$A$47:$A$66&amp;'LTM data'!$C$47:$C$66,0),MATCH('Couple Potential'!$W65,'LTM data'!$D$46:$W$46,0))+INDEX('LTM data'!$D$47:$W$66,MATCH(RIGHT(I$6,4)&amp;'Couple Potential'!$X65,'LTM data'!$A$47:$A$66&amp;'LTM data'!$C$47:$C$66,0),MATCH('Couple Potential'!$V65,'LTM data'!$D$46:$W$46,0))</f>
        <v>16075.463572799999</v>
      </c>
      <c r="J65" s="39">
        <f t="array" ref="J65">INDEX($AE$7:$AH$63,MATCH(V65&amp;W65,$AA$7:$AA$63&amp;$AB$7:$AB$63,0),MATCH(E65,$AE$6:$AH$6,0))+INDEX('LTM data'!$D$47:$W$66,MATCH(RIGHT($J$6,4)&amp;'Couple Potential'!X65,'LTM data'!$A$47:$A$66&amp;'LTM data'!$C$47:$C$66,0),MATCH('Couple Potential'!W65,'LTM data'!$D$46:$W$46,0))+INDEX('LTM data'!$D$47:$W$66,MATCH(RIGHT($J$6,4)&amp;'Couple Potential'!X65,'LTM data'!$A$47:$A$66&amp;'LTM data'!$C$47:$C$66,0),MATCH('Couple Potential'!V65,'LTM data'!$D$46:$W$46,0))</f>
        <v>16141.998694128346</v>
      </c>
      <c r="K65" s="39">
        <v>15</v>
      </c>
      <c r="L65" s="23" t="str">
        <f t="array" ref="L65">"Max production of "&amp;E65&amp;" travel demand by "&amp;V65&amp;" and "&amp;W65</f>
        <v>Max production of TPS travel demand by Public bus and Metro</v>
      </c>
      <c r="M65" s="23"/>
      <c r="N65" s="23"/>
      <c r="O65" s="23"/>
      <c r="P65" s="23"/>
      <c r="Q65" s="23"/>
      <c r="R65" s="23"/>
      <c r="U65" s="39" t="s">
        <v>71</v>
      </c>
      <c r="V65" s="39" t="s">
        <v>71</v>
      </c>
      <c r="W65" s="39" t="s">
        <v>67</v>
      </c>
      <c r="X65" s="39" t="s">
        <v>83</v>
      </c>
      <c r="AJ65" s="39" t="str">
        <f t="shared" si="8"/>
        <v>TPPROS</v>
      </c>
      <c r="AK65" s="40">
        <f>'LTM data'!Q48</f>
        <v>249.14816407726099</v>
      </c>
      <c r="AL65" s="39" t="str">
        <f t="shared" si="9"/>
        <v>TPS</v>
      </c>
      <c r="AM65" s="39" t="str">
        <f t="shared" si="10"/>
        <v>Train DKE</v>
      </c>
    </row>
    <row r="66" spans="2:39">
      <c r="B66" s="23" t="str">
        <f t="shared" si="1"/>
        <v>UC_Up_Public bus-S-Train_TPS</v>
      </c>
      <c r="C66" s="39" t="str">
        <f t="shared" si="2"/>
        <v>TPBU*,TPRS*</v>
      </c>
      <c r="D66" s="39" t="str">
        <f t="shared" si="3"/>
        <v>TRA*</v>
      </c>
      <c r="E66" s="39" t="str">
        <f t="shared" si="5"/>
        <v>TPS</v>
      </c>
      <c r="F66" s="39" t="s">
        <v>78</v>
      </c>
      <c r="G66" s="39">
        <v>2010</v>
      </c>
      <c r="H66" s="39">
        <v>1</v>
      </c>
      <c r="I66" s="39">
        <f t="array" ref="I66">INDEX($AE$7:$AH$63,MATCH($V66&amp;$W66,$AA$7:$AA$63&amp;$AB$7:$AB$63,0),MATCH($E66,$AE$6:$AH$6,0))+INDEX('LTM data'!$D$47:$W$66,MATCH(RIGHT(I$6,4)&amp;'Couple Potential'!$X66,'LTM data'!$A$47:$A$66&amp;'LTM data'!$C$47:$C$66,0),MATCH('Couple Potential'!$W66,'LTM data'!$D$46:$W$46,0))+INDEX('LTM data'!$D$47:$W$66,MATCH(RIGHT(I$6,4)&amp;'Couple Potential'!$X66,'LTM data'!$A$47:$A$66&amp;'LTM data'!$C$47:$C$66,0),MATCH('Couple Potential'!$V66,'LTM data'!$D$46:$W$46,0))</f>
        <v>22838.071275499999</v>
      </c>
      <c r="J66" s="39">
        <f t="array" ref="J66">INDEX($AE$7:$AH$63,MATCH(V66&amp;W66,$AA$7:$AA$63&amp;$AB$7:$AB$63,0),MATCH(E66,$AE$6:$AH$6,0))+INDEX('LTM data'!$D$47:$W$66,MATCH(RIGHT($J$6,4)&amp;'Couple Potential'!X66,'LTM data'!$A$47:$A$66&amp;'LTM data'!$C$47:$C$66,0),MATCH('Couple Potential'!W66,'LTM data'!$D$46:$W$46,0))+INDEX('LTM data'!$D$47:$W$66,MATCH(RIGHT($J$6,4)&amp;'Couple Potential'!X66,'LTM data'!$A$47:$A$66&amp;'LTM data'!$C$47:$C$66,0),MATCH('Couple Potential'!V66,'LTM data'!$D$46:$W$46,0))</f>
        <v>22699.894550005341</v>
      </c>
      <c r="K66" s="39">
        <v>15</v>
      </c>
      <c r="L66" s="23" t="str">
        <f t="array" ref="L66">"Max production of "&amp;E66&amp;" travel demand by "&amp;V66&amp;" and "&amp;W66</f>
        <v>Max production of TPS travel demand by Public bus and S-Train</v>
      </c>
      <c r="M66" s="23"/>
      <c r="N66" s="23"/>
      <c r="O66" s="23"/>
      <c r="P66" s="23"/>
      <c r="Q66" s="23"/>
      <c r="R66" s="23"/>
      <c r="U66" s="39" t="s">
        <v>71</v>
      </c>
      <c r="V66" s="39" t="s">
        <v>71</v>
      </c>
      <c r="W66" s="39" t="s">
        <v>343</v>
      </c>
      <c r="X66" s="39" t="s">
        <v>83</v>
      </c>
      <c r="AJ66" s="39" t="str">
        <f t="shared" si="8"/>
        <v>TPPROM</v>
      </c>
      <c r="AK66" s="40">
        <f>'LTM data'!Q49</f>
        <v>556.31700310638701</v>
      </c>
      <c r="AL66" s="39" t="str">
        <f t="shared" si="9"/>
        <v>TPM</v>
      </c>
      <c r="AM66" s="39" t="str">
        <f t="shared" si="10"/>
        <v>Train DKE</v>
      </c>
    </row>
    <row r="67" spans="2:39">
      <c r="B67" s="23" t="str">
        <f t="shared" si="1"/>
        <v>UC_Up_Public bus-Moto_TPS</v>
      </c>
      <c r="C67" s="39" t="str">
        <f t="shared" si="2"/>
        <v>TPBU*,TPMT*</v>
      </c>
      <c r="D67" s="39" t="str">
        <f t="shared" si="3"/>
        <v>TRA*</v>
      </c>
      <c r="E67" s="39" t="str">
        <f t="shared" si="5"/>
        <v>TPS</v>
      </c>
      <c r="F67" s="39" t="s">
        <v>78</v>
      </c>
      <c r="G67" s="39">
        <v>2010</v>
      </c>
      <c r="H67" s="39">
        <v>1</v>
      </c>
      <c r="I67" s="39">
        <f t="array" ref="I67">INDEX($AE$7:$AH$63,MATCH($V67&amp;$W67,$AA$7:$AA$63&amp;$AB$7:$AB$63,0),MATCH($E67,$AE$6:$AH$6,0))+INDEX('LTM data'!$D$47:$W$66,MATCH(RIGHT(I$6,4)&amp;'Couple Potential'!$X67,'LTM data'!$A$47:$A$66&amp;'LTM data'!$C$47:$C$66,0),MATCH('Couple Potential'!$W67,'LTM data'!$D$46:$W$46,0))+INDEX('LTM data'!$D$47:$W$66,MATCH(RIGHT(I$6,4)&amp;'Couple Potential'!$X67,'LTM data'!$A$47:$A$66&amp;'LTM data'!$C$47:$C$66,0),MATCH('Couple Potential'!$V67,'LTM data'!$D$46:$W$46,0))</f>
        <v>24503.492315799998</v>
      </c>
      <c r="J67" s="39">
        <f t="array" ref="J67">INDEX($AE$7:$AH$63,MATCH(V67&amp;W67,$AA$7:$AA$63&amp;$AB$7:$AB$63,0),MATCH(E67,$AE$6:$AH$6,0))+INDEX('LTM data'!$D$47:$W$66,MATCH(RIGHT($J$6,4)&amp;'Couple Potential'!X67,'LTM data'!$A$47:$A$66&amp;'LTM data'!$C$47:$C$66,0),MATCH('Couple Potential'!W67,'LTM data'!$D$46:$W$46,0))+INDEX('LTM data'!$D$47:$W$66,MATCH(RIGHT($J$6,4)&amp;'Couple Potential'!X67,'LTM data'!$A$47:$A$66&amp;'LTM data'!$C$47:$C$66,0),MATCH('Couple Potential'!V67,'LTM data'!$D$46:$W$46,0))</f>
        <v>24375.593090171904</v>
      </c>
      <c r="K67" s="39">
        <v>15</v>
      </c>
      <c r="L67" s="23" t="str">
        <f t="array" ref="L67">"Max production of "&amp;E67&amp;" travel demand by "&amp;V67&amp;" and "&amp;W67</f>
        <v>Max production of TPS travel demand by Public bus and Moto</v>
      </c>
      <c r="M67" s="23"/>
      <c r="N67" s="23"/>
      <c r="O67" s="23"/>
      <c r="P67" s="23"/>
      <c r="Q67" s="23"/>
      <c r="R67" s="23"/>
      <c r="U67" s="39" t="s">
        <v>71</v>
      </c>
      <c r="V67" s="39" t="s">
        <v>71</v>
      </c>
      <c r="W67" s="39" t="s">
        <v>64</v>
      </c>
      <c r="X67" s="39" t="s">
        <v>83</v>
      </c>
      <c r="AJ67" s="39" t="str">
        <f t="shared" si="8"/>
        <v>TPPROL</v>
      </c>
      <c r="AK67" s="40">
        <f>'LTM data'!Q50</f>
        <v>1935.2502981115199</v>
      </c>
      <c r="AL67" s="39" t="str">
        <f t="shared" si="9"/>
        <v>TPL</v>
      </c>
      <c r="AM67" s="39" t="str">
        <f t="shared" si="10"/>
        <v>Train DKE</v>
      </c>
    </row>
    <row r="68" spans="2:39">
      <c r="B68" s="23" t="str">
        <f t="shared" si="1"/>
        <v>UC_Up_Public bus-Moped_TPS</v>
      </c>
      <c r="C68" s="39" t="str">
        <f t="shared" si="2"/>
        <v>TPBU*,TPMP*</v>
      </c>
      <c r="D68" s="39" t="str">
        <f t="shared" si="3"/>
        <v>TRA*</v>
      </c>
      <c r="E68" s="39" t="str">
        <f t="shared" si="5"/>
        <v>TPS</v>
      </c>
      <c r="F68" s="39" t="s">
        <v>78</v>
      </c>
      <c r="G68" s="39">
        <v>2010</v>
      </c>
      <c r="H68" s="39">
        <v>1</v>
      </c>
      <c r="I68" s="39">
        <f t="array" ref="I68">INDEX($AE$7:$AH$63,MATCH($V68&amp;$W68,$AA$7:$AA$63&amp;$AB$7:$AB$63,0),MATCH($E68,$AE$6:$AH$6,0))+INDEX('LTM data'!$D$47:$W$66,MATCH(RIGHT(I$6,4)&amp;'Couple Potential'!$X68,'LTM data'!$A$47:$A$66&amp;'LTM data'!$C$47:$C$66,0),MATCH('Couple Potential'!$W68,'LTM data'!$D$46:$W$46,0))+INDEX('LTM data'!$D$47:$W$66,MATCH(RIGHT(I$6,4)&amp;'Couple Potential'!$X68,'LTM data'!$A$47:$A$66&amp;'LTM data'!$C$47:$C$66,0),MATCH('Couple Potential'!$V68,'LTM data'!$D$46:$W$46,0))</f>
        <v>24714.433938099999</v>
      </c>
      <c r="J68" s="39">
        <f t="array" ref="J68">INDEX($AE$7:$AH$63,MATCH(V68&amp;W68,$AA$7:$AA$63&amp;$AB$7:$AB$63,0),MATCH(E68,$AE$6:$AH$6,0))+INDEX('LTM data'!$D$47:$W$66,MATCH(RIGHT($J$6,4)&amp;'Couple Potential'!X68,'LTM data'!$A$47:$A$66&amp;'LTM data'!$C$47:$C$66,0),MATCH('Couple Potential'!W68,'LTM data'!$D$46:$W$46,0))+INDEX('LTM data'!$D$47:$W$66,MATCH(RIGHT($J$6,4)&amp;'Couple Potential'!X68,'LTM data'!$A$47:$A$66&amp;'LTM data'!$C$47:$C$66,0),MATCH('Couple Potential'!V68,'LTM data'!$D$46:$W$46,0))</f>
        <v>24545.727797674077</v>
      </c>
      <c r="K68" s="39">
        <v>15</v>
      </c>
      <c r="L68" s="23" t="str">
        <f t="array" ref="L68">"Max production of "&amp;E68&amp;" travel demand by "&amp;V68&amp;" and "&amp;W68</f>
        <v>Max production of TPS travel demand by Public bus and Moped</v>
      </c>
      <c r="M68" s="23"/>
      <c r="N68" s="23"/>
      <c r="O68" s="23"/>
      <c r="P68" s="23"/>
      <c r="Q68" s="23"/>
      <c r="R68" s="23"/>
      <c r="U68" s="39" t="s">
        <v>71</v>
      </c>
      <c r="V68" s="39" t="s">
        <v>71</v>
      </c>
      <c r="W68" s="39" t="s">
        <v>63</v>
      </c>
      <c r="X68" s="39" t="s">
        <v>83</v>
      </c>
    </row>
    <row r="69" spans="2:39">
      <c r="B69" s="23" t="str">
        <f t="shared" si="1"/>
        <v>UC_Up_Public bus-Car_TPS</v>
      </c>
      <c r="C69" s="39" t="str">
        <f t="shared" si="2"/>
        <v>TPBU*,TPCA*</v>
      </c>
      <c r="D69" s="39" t="str">
        <f t="shared" si="3"/>
        <v>TRA*</v>
      </c>
      <c r="E69" s="39" t="str">
        <f t="shared" si="5"/>
        <v>TPS</v>
      </c>
      <c r="F69" s="39" t="s">
        <v>78</v>
      </c>
      <c r="G69" s="39">
        <v>2010</v>
      </c>
      <c r="H69" s="39">
        <v>1</v>
      </c>
      <c r="I69" s="39">
        <f t="array" ref="I69">INDEX($AE$7:$AH$63,MATCH($V69&amp;$W69,$AA$7:$AA$63&amp;$AB$7:$AB$63,0),MATCH($E69,$AE$6:$AH$6,0))+INDEX('LTM data'!$D$47:$W$66,MATCH(RIGHT(I$6,4)&amp;'Couple Potential'!$X69,'LTM data'!$A$47:$A$66&amp;'LTM data'!$C$47:$C$66,0),MATCH('Couple Potential'!$W69,'LTM data'!$D$46:$W$46,0))+INDEX('LTM data'!$D$47:$W$66,MATCH(RIGHT(I$6,4)&amp;'Couple Potential'!$X69,'LTM data'!$A$47:$A$66&amp;'LTM data'!$C$47:$C$66,0),MATCH('Couple Potential'!$V69,'LTM data'!$D$46:$W$46,0))</f>
        <v>21942.978038099998</v>
      </c>
      <c r="J69" s="39">
        <f t="array" ref="J69">INDEX($AE$7:$AH$63,MATCH(V69&amp;W69,$AA$7:$AA$63&amp;$AB$7:$AB$63,0),MATCH(E69,$AE$6:$AH$6,0))+INDEX('LTM data'!$D$47:$W$66,MATCH(RIGHT($J$6,4)&amp;'Couple Potential'!X69,'LTM data'!$A$47:$A$66&amp;'LTM data'!$C$47:$C$66,0),MATCH('Couple Potential'!W69,'LTM data'!$D$46:$W$46,0))+INDEX('LTM data'!$D$47:$W$66,MATCH(RIGHT($J$6,4)&amp;'Couple Potential'!X69,'LTM data'!$A$47:$A$66&amp;'LTM data'!$C$47:$C$66,0),MATCH('Couple Potential'!V69,'LTM data'!$D$46:$W$46,0))</f>
        <v>28994.027427991845</v>
      </c>
      <c r="K69" s="39">
        <v>15</v>
      </c>
      <c r="L69" s="23" t="str">
        <f t="array" ref="L69">"Max production of "&amp;E69&amp;" travel demand by "&amp;V69&amp;" and "&amp;W69</f>
        <v>Max production of TPS travel demand by Public bus and Car</v>
      </c>
      <c r="M69" s="23"/>
      <c r="N69" s="23"/>
      <c r="O69" s="23"/>
      <c r="P69" s="23"/>
      <c r="Q69" s="23"/>
      <c r="R69" s="23"/>
      <c r="U69" s="39" t="s">
        <v>71</v>
      </c>
      <c r="V69" s="39" t="s">
        <v>71</v>
      </c>
      <c r="W69" s="39" t="s">
        <v>72</v>
      </c>
      <c r="X69" s="39" t="s">
        <v>83</v>
      </c>
    </row>
    <row r="70" spans="2:39">
      <c r="B70" s="23" t="str">
        <f t="shared" si="1"/>
        <v>UC_Up_Coach-Train_TPS</v>
      </c>
      <c r="C70" s="39" t="str">
        <f t="shared" si="2"/>
        <v>TPCO*,TPRO*</v>
      </c>
      <c r="D70" s="39" t="str">
        <f t="shared" si="3"/>
        <v>TRA*</v>
      </c>
      <c r="E70" s="39" t="str">
        <f t="shared" si="5"/>
        <v>TPS</v>
      </c>
      <c r="F70" s="39" t="s">
        <v>78</v>
      </c>
      <c r="G70" s="39">
        <v>2010</v>
      </c>
      <c r="H70" s="39">
        <v>1</v>
      </c>
      <c r="I70" s="39">
        <f t="array" ref="I70">INDEX($AE$7:$AH$63,MATCH($V70&amp;$W70,$AA$7:$AA$63&amp;$AB$7:$AB$63,0),MATCH($E70,$AE$6:$AH$6,0))+INDEX('LTM data'!$D$47:$W$66,MATCH(RIGHT(I$6,4)&amp;'Couple Potential'!$X70,'LTM data'!$A$47:$A$66&amp;'LTM data'!$C$47:$C$66,0),MATCH('Couple Potential'!$W70,'LTM data'!$D$46:$W$46,0))+INDEX('LTM data'!$D$47:$W$66,MATCH(RIGHT(I$6,4)&amp;'Couple Potential'!$X70,'LTM data'!$A$47:$A$66&amp;'LTM data'!$C$47:$C$66,0),MATCH('Couple Potential'!$V70,'LTM data'!$D$46:$W$46,0))</f>
        <v>24250.134044599999</v>
      </c>
      <c r="J70" s="39">
        <f t="array" ref="J70">INDEX($AE$7:$AH$63,MATCH(V70&amp;W70,$AA$7:$AA$63&amp;$AB$7:$AB$63,0),MATCH(E70,$AE$6:$AH$6,0))+INDEX('LTM data'!$D$47:$W$66,MATCH(RIGHT($J$6,4)&amp;'Couple Potential'!X70,'LTM data'!$A$47:$A$66&amp;'LTM data'!$C$47:$C$66,0),MATCH('Couple Potential'!W70,'LTM data'!$D$46:$W$46,0))+INDEX('LTM data'!$D$47:$W$66,MATCH(RIGHT($J$6,4)&amp;'Couple Potential'!X70,'LTM data'!$A$47:$A$66&amp;'LTM data'!$C$47:$C$66,0),MATCH('Couple Potential'!V70,'LTM data'!$D$46:$W$46,0))</f>
        <v>24505.417320923338</v>
      </c>
      <c r="K70" s="39">
        <v>15</v>
      </c>
      <c r="L70" s="23" t="str">
        <f t="array" ref="L70">"Max production of "&amp;E70&amp;" travel demand by "&amp;V70&amp;" and "&amp;W70</f>
        <v>Max production of TPS travel demand by Coach and Train</v>
      </c>
      <c r="M70" s="23"/>
      <c r="N70" s="23"/>
      <c r="O70" s="23"/>
      <c r="P70" s="23"/>
      <c r="Q70" s="23"/>
      <c r="R70" s="23"/>
      <c r="U70" s="39" t="s">
        <v>70</v>
      </c>
      <c r="V70" s="39" t="s">
        <v>70</v>
      </c>
      <c r="W70" s="39" t="s">
        <v>69</v>
      </c>
      <c r="X70" s="39" t="s">
        <v>83</v>
      </c>
    </row>
    <row r="71" spans="2:39">
      <c r="B71" s="23" t="str">
        <f t="shared" si="1"/>
        <v>UC_Up_Coach-Metro_TPS</v>
      </c>
      <c r="C71" s="39" t="str">
        <f t="shared" si="2"/>
        <v>TPCO*,TPRM*</v>
      </c>
      <c r="D71" s="39" t="str">
        <f t="shared" si="3"/>
        <v>TRA*</v>
      </c>
      <c r="E71" s="39" t="str">
        <f t="shared" si="5"/>
        <v>TPS</v>
      </c>
      <c r="F71" s="39" t="s">
        <v>78</v>
      </c>
      <c r="G71" s="39">
        <v>2010</v>
      </c>
      <c r="H71" s="39">
        <v>1</v>
      </c>
      <c r="I71" s="39">
        <f t="array" ref="I71">INDEX($AE$7:$AH$63,MATCH($V71&amp;$W71,$AA$7:$AA$63&amp;$AB$7:$AB$63,0),MATCH($E71,$AE$6:$AH$6,0))+INDEX('LTM data'!$D$47:$W$66,MATCH(RIGHT(I$6,4)&amp;'Couple Potential'!$X71,'LTM data'!$A$47:$A$66&amp;'LTM data'!$C$47:$C$66,0),MATCH('Couple Potential'!$W71,'LTM data'!$D$46:$W$46,0))+INDEX('LTM data'!$D$47:$W$66,MATCH(RIGHT(I$6,4)&amp;'Couple Potential'!$X71,'LTM data'!$A$47:$A$66&amp;'LTM data'!$C$47:$C$66,0),MATCH('Couple Potential'!$V71,'LTM data'!$D$46:$W$46,0))</f>
        <v>5557.3165363000007</v>
      </c>
      <c r="J71" s="39">
        <f t="array" ref="J71">INDEX($AE$7:$AH$63,MATCH(V71&amp;W71,$AA$7:$AA$63&amp;$AB$7:$AB$63,0),MATCH(E71,$AE$6:$AH$6,0))+INDEX('LTM data'!$D$47:$W$66,MATCH(RIGHT($J$6,4)&amp;'Couple Potential'!X71,'LTM data'!$A$47:$A$66&amp;'LTM data'!$C$47:$C$66,0),MATCH('Couple Potential'!W71,'LTM data'!$D$46:$W$46,0))+INDEX('LTM data'!$D$47:$W$66,MATCH(RIGHT($J$6,4)&amp;'Couple Potential'!X71,'LTM data'!$A$47:$A$66&amp;'LTM data'!$C$47:$C$66,0),MATCH('Couple Potential'!V71,'LTM data'!$D$46:$W$46,0))</f>
        <v>5735.0303811270132</v>
      </c>
      <c r="K71" s="39">
        <v>15</v>
      </c>
      <c r="L71" s="23" t="str">
        <f t="array" ref="L71">"Max production of "&amp;E71&amp;" travel demand by "&amp;V71&amp;" and "&amp;W71</f>
        <v>Max production of TPS travel demand by Coach and Metro</v>
      </c>
      <c r="M71" s="23"/>
      <c r="N71" s="23"/>
      <c r="O71" s="23"/>
      <c r="P71" s="23"/>
      <c r="Q71" s="23"/>
      <c r="R71" s="23"/>
      <c r="U71" s="39" t="s">
        <v>70</v>
      </c>
      <c r="V71" s="39" t="s">
        <v>70</v>
      </c>
      <c r="W71" s="39" t="s">
        <v>67</v>
      </c>
      <c r="X71" s="39" t="s">
        <v>83</v>
      </c>
    </row>
    <row r="72" spans="2:39">
      <c r="B72" s="23" t="str">
        <f t="shared" ref="B72:B135" si="11">IF(I72=99999,"*","UC_Up_"&amp;V72&amp;"-"&amp;W72&amp;"_"&amp;X72)</f>
        <v>UC_Up_Coach-S-Train_TPS</v>
      </c>
      <c r="C72" s="39" t="str">
        <f t="shared" ref="C72:C135" si="12">VLOOKUP(U72,$AU$7:$AV$16,2,FALSE)&amp;","&amp;VLOOKUP(W72,$AU$7:$AV$16,2,FALSE)</f>
        <v>TPCO*,TPRS*</v>
      </c>
      <c r="D72" s="39" t="str">
        <f t="shared" ref="D72:D135" si="13">IF(U72="Bike","BIKEcom,TRA*",IF(W72="Bike","BIKEcom,TRA*",IF(U72="Gang","BIKEcom,TRA*",IF(W72="Gang","BIKEcom,TRA*","TRA*"))))</f>
        <v>TRA*</v>
      </c>
      <c r="E72" s="39" t="str">
        <f t="shared" si="5"/>
        <v>TPS</v>
      </c>
      <c r="F72" s="39" t="s">
        <v>78</v>
      </c>
      <c r="G72" s="39">
        <v>2010</v>
      </c>
      <c r="H72" s="39">
        <v>1</v>
      </c>
      <c r="I72" s="39">
        <f t="array" ref="I72">INDEX($AE$7:$AH$63,MATCH($V72&amp;$W72,$AA$7:$AA$63&amp;$AB$7:$AB$63,0),MATCH($E72,$AE$6:$AH$6,0))+INDEX('LTM data'!$D$47:$W$66,MATCH(RIGHT(I$6,4)&amp;'Couple Potential'!$X72,'LTM data'!$A$47:$A$66&amp;'LTM data'!$C$47:$C$66,0),MATCH('Couple Potential'!$W72,'LTM data'!$D$46:$W$46,0))+INDEX('LTM data'!$D$47:$W$66,MATCH(RIGHT(I$6,4)&amp;'Couple Potential'!$X72,'LTM data'!$A$47:$A$66&amp;'LTM data'!$C$47:$C$66,0),MATCH('Couple Potential'!$V72,'LTM data'!$D$46:$W$46,0))</f>
        <v>9478.211620099999</v>
      </c>
      <c r="J72" s="39">
        <f t="array" ref="J72">INDEX($AE$7:$AH$63,MATCH(V72&amp;W72,$AA$7:$AA$63&amp;$AB$7:$AB$63,0),MATCH(E72,$AE$6:$AH$6,0))+INDEX('LTM data'!$D$47:$W$66,MATCH(RIGHT($J$6,4)&amp;'Couple Potential'!X72,'LTM data'!$A$47:$A$66&amp;'LTM data'!$C$47:$C$66,0),MATCH('Couple Potential'!W72,'LTM data'!$D$46:$W$46,0))+INDEX('LTM data'!$D$47:$W$66,MATCH(RIGHT($J$6,4)&amp;'Couple Potential'!X72,'LTM data'!$A$47:$A$66&amp;'LTM data'!$C$47:$C$66,0),MATCH('Couple Potential'!V72,'LTM data'!$D$46:$W$46,0))</f>
        <v>9451.2136181040114</v>
      </c>
      <c r="K72" s="39">
        <v>15</v>
      </c>
      <c r="L72" s="23" t="str">
        <f t="array" ref="L72">"Max production of "&amp;E72&amp;" travel demand by "&amp;V72&amp;" and "&amp;W72</f>
        <v>Max production of TPS travel demand by Coach and S-Train</v>
      </c>
      <c r="M72" s="23"/>
      <c r="N72" s="23"/>
      <c r="O72" s="23"/>
      <c r="P72" s="23"/>
      <c r="Q72" s="23"/>
      <c r="R72" s="23"/>
      <c r="U72" s="39" t="s">
        <v>70</v>
      </c>
      <c r="V72" s="39" t="s">
        <v>70</v>
      </c>
      <c r="W72" s="39" t="s">
        <v>343</v>
      </c>
      <c r="X72" s="39" t="s">
        <v>83</v>
      </c>
    </row>
    <row r="73" spans="2:39">
      <c r="B73" s="23" t="str">
        <f t="shared" si="11"/>
        <v>UC_Up_Coach-Moto_TPS</v>
      </c>
      <c r="C73" s="39" t="str">
        <f t="shared" si="12"/>
        <v>TPCO*,TPMT*</v>
      </c>
      <c r="D73" s="39" t="str">
        <f t="shared" si="13"/>
        <v>TRA*</v>
      </c>
      <c r="E73" s="39" t="str">
        <f t="shared" ref="E73:E104" si="14">X73</f>
        <v>TPS</v>
      </c>
      <c r="F73" s="39" t="s">
        <v>78</v>
      </c>
      <c r="G73" s="39">
        <v>2010</v>
      </c>
      <c r="H73" s="39">
        <v>1</v>
      </c>
      <c r="I73" s="39">
        <f t="array" ref="I73">INDEX($AE$7:$AH$63,MATCH($V73&amp;$W73,$AA$7:$AA$63&amp;$AB$7:$AB$63,0),MATCH($E73,$AE$6:$AH$6,0))+INDEX('LTM data'!$D$47:$W$66,MATCH(RIGHT(I$6,4)&amp;'Couple Potential'!$X73,'LTM data'!$A$47:$A$66&amp;'LTM data'!$C$47:$C$66,0),MATCH('Couple Potential'!$W73,'LTM data'!$D$46:$W$46,0))+INDEX('LTM data'!$D$47:$W$66,MATCH(RIGHT(I$6,4)&amp;'Couple Potential'!$X73,'LTM data'!$A$47:$A$66&amp;'LTM data'!$C$47:$C$66,0),MATCH('Couple Potential'!$V73,'LTM data'!$D$46:$W$46,0))</f>
        <v>24503.492315799998</v>
      </c>
      <c r="J73" s="39">
        <f t="array" ref="J73">INDEX($AE$7:$AH$63,MATCH(V73&amp;W73,$AA$7:$AA$63&amp;$AB$7:$AB$63,0),MATCH(E73,$AE$6:$AH$6,0))+INDEX('LTM data'!$D$47:$W$66,MATCH(RIGHT($J$6,4)&amp;'Couple Potential'!X73,'LTM data'!$A$47:$A$66&amp;'LTM data'!$C$47:$C$66,0),MATCH('Couple Potential'!W73,'LTM data'!$D$46:$W$46,0))+INDEX('LTM data'!$D$47:$W$66,MATCH(RIGHT($J$6,4)&amp;'Couple Potential'!X73,'LTM data'!$A$47:$A$66&amp;'LTM data'!$C$47:$C$66,0),MATCH('Couple Potential'!V73,'LTM data'!$D$46:$W$46,0))</f>
        <v>24486.77181367057</v>
      </c>
      <c r="K73" s="39">
        <v>15</v>
      </c>
      <c r="L73" s="23" t="str">
        <f t="array" ref="L73">"Max production of "&amp;E73&amp;" travel demand by "&amp;V73&amp;" and "&amp;W73</f>
        <v>Max production of TPS travel demand by Coach and Moto</v>
      </c>
      <c r="M73" s="23"/>
      <c r="N73" s="23"/>
      <c r="O73" s="23"/>
      <c r="P73" s="23"/>
      <c r="Q73" s="23"/>
      <c r="R73" s="23"/>
      <c r="U73" s="39" t="s">
        <v>70</v>
      </c>
      <c r="V73" s="39" t="s">
        <v>70</v>
      </c>
      <c r="W73" s="39" t="s">
        <v>64</v>
      </c>
      <c r="X73" s="39" t="s">
        <v>83</v>
      </c>
    </row>
    <row r="74" spans="2:39">
      <c r="B74" s="23" t="str">
        <f t="shared" si="11"/>
        <v>UC_Up_Coach-Moped_TPS</v>
      </c>
      <c r="C74" s="39" t="str">
        <f t="shared" si="12"/>
        <v>TPCO*,TPMP*</v>
      </c>
      <c r="D74" s="39" t="str">
        <f t="shared" si="13"/>
        <v>TRA*</v>
      </c>
      <c r="E74" s="39" t="str">
        <f t="shared" si="14"/>
        <v>TPS</v>
      </c>
      <c r="F74" s="39" t="s">
        <v>78</v>
      </c>
      <c r="G74" s="39">
        <v>2010</v>
      </c>
      <c r="H74" s="39">
        <v>1</v>
      </c>
      <c r="I74" s="39">
        <f t="array" ref="I74">INDEX($AE$7:$AH$63,MATCH($V74&amp;$W74,$AA$7:$AA$63&amp;$AB$7:$AB$63,0),MATCH($E74,$AE$6:$AH$6,0))+INDEX('LTM data'!$D$47:$W$66,MATCH(RIGHT(I$6,4)&amp;'Couple Potential'!$X74,'LTM data'!$A$47:$A$66&amp;'LTM data'!$C$47:$C$66,0),MATCH('Couple Potential'!$W74,'LTM data'!$D$46:$W$46,0))+INDEX('LTM data'!$D$47:$W$66,MATCH(RIGHT(I$6,4)&amp;'Couple Potential'!$X74,'LTM data'!$A$47:$A$66&amp;'LTM data'!$C$47:$C$66,0),MATCH('Couple Potential'!$V74,'LTM data'!$D$46:$W$46,0))</f>
        <v>24714.433938100003</v>
      </c>
      <c r="J74" s="39">
        <f t="array" ref="J74">INDEX($AE$7:$AH$63,MATCH(V74&amp;W74,$AA$7:$AA$63&amp;$AB$7:$AB$63,0),MATCH(E74,$AE$6:$AH$6,0))+INDEX('LTM data'!$D$47:$W$66,MATCH(RIGHT($J$6,4)&amp;'Couple Potential'!X74,'LTM data'!$A$47:$A$66&amp;'LTM data'!$C$47:$C$66,0),MATCH('Couple Potential'!W74,'LTM data'!$D$46:$W$46,0))+INDEX('LTM data'!$D$47:$W$66,MATCH(RIGHT($J$6,4)&amp;'Couple Potential'!X74,'LTM data'!$A$47:$A$66&amp;'LTM data'!$C$47:$C$66,0),MATCH('Couple Potential'!V74,'LTM data'!$D$46:$W$46,0))</f>
        <v>24656.906521172747</v>
      </c>
      <c r="K74" s="39">
        <v>15</v>
      </c>
      <c r="L74" s="23" t="str">
        <f t="array" ref="L74">"Max production of "&amp;E74&amp;" travel demand by "&amp;V74&amp;" and "&amp;W74</f>
        <v>Max production of TPS travel demand by Coach and Moped</v>
      </c>
      <c r="M74" s="23"/>
      <c r="N74" s="23"/>
      <c r="O74" s="23"/>
      <c r="P74" s="23"/>
      <c r="Q74" s="23"/>
      <c r="R74" s="23"/>
      <c r="U74" s="39" t="s">
        <v>70</v>
      </c>
      <c r="V74" s="39" t="s">
        <v>70</v>
      </c>
      <c r="W74" s="39" t="s">
        <v>63</v>
      </c>
      <c r="X74" s="39" t="s">
        <v>83</v>
      </c>
    </row>
    <row r="75" spans="2:39">
      <c r="B75" s="23" t="str">
        <f t="shared" si="11"/>
        <v>UC_Up_Coach-Car_TPS</v>
      </c>
      <c r="C75" s="39" t="str">
        <f t="shared" si="12"/>
        <v>TPCO*,TPCA*</v>
      </c>
      <c r="D75" s="39" t="str">
        <f t="shared" si="13"/>
        <v>TRA*</v>
      </c>
      <c r="E75" s="39" t="str">
        <f t="shared" si="14"/>
        <v>TPS</v>
      </c>
      <c r="F75" s="39" t="s">
        <v>78</v>
      </c>
      <c r="G75" s="39">
        <v>2010</v>
      </c>
      <c r="H75" s="39">
        <v>1</v>
      </c>
      <c r="I75" s="39">
        <f t="array" ref="I75">INDEX($AE$7:$AH$63,MATCH($V75&amp;$W75,$AA$7:$AA$63&amp;$AB$7:$AB$63,0),MATCH($E75,$AE$6:$AH$6,0))+INDEX('LTM data'!$D$47:$W$66,MATCH(RIGHT(I$6,4)&amp;'Couple Potential'!$X75,'LTM data'!$A$47:$A$66&amp;'LTM data'!$C$47:$C$66,0),MATCH('Couple Potential'!$W75,'LTM data'!$D$46:$W$46,0))+INDEX('LTM data'!$D$47:$W$66,MATCH(RIGHT(I$6,4)&amp;'Couple Potential'!$X75,'LTM data'!$A$47:$A$66&amp;'LTM data'!$C$47:$C$66,0),MATCH('Couple Potential'!$V75,'LTM data'!$D$46:$W$46,0))</f>
        <v>22902.7530276</v>
      </c>
      <c r="J75" s="39">
        <f t="array" ref="J75">INDEX($AE$7:$AH$63,MATCH(V75&amp;W75,$AA$7:$AA$63&amp;$AB$7:$AB$63,0),MATCH(E75,$AE$6:$AH$6,0))+INDEX('LTM data'!$D$47:$W$66,MATCH(RIGHT($J$6,4)&amp;'Couple Potential'!X75,'LTM data'!$A$47:$A$66&amp;'LTM data'!$C$47:$C$66,0),MATCH('Couple Potential'!W75,'LTM data'!$D$46:$W$46,0))+INDEX('LTM data'!$D$47:$W$66,MATCH(RIGHT($J$6,4)&amp;'Couple Potential'!X75,'LTM data'!$A$47:$A$66&amp;'LTM data'!$C$47:$C$66,0),MATCH('Couple Potential'!V75,'LTM data'!$D$46:$W$46,0))</f>
        <v>30064.981140990516</v>
      </c>
      <c r="K75" s="39">
        <v>15</v>
      </c>
      <c r="L75" s="23" t="str">
        <f t="array" ref="L75">"Max production of "&amp;E75&amp;" travel demand by "&amp;V75&amp;" and "&amp;W75</f>
        <v>Max production of TPS travel demand by Coach and Car</v>
      </c>
      <c r="M75" s="23"/>
      <c r="N75" s="23"/>
      <c r="O75" s="23"/>
      <c r="P75" s="23"/>
      <c r="Q75" s="23"/>
      <c r="R75" s="23"/>
      <c r="U75" s="39" t="s">
        <v>70</v>
      </c>
      <c r="V75" s="39" t="s">
        <v>70</v>
      </c>
      <c r="W75" s="39" t="s">
        <v>72</v>
      </c>
      <c r="X75" s="39" t="s">
        <v>83</v>
      </c>
    </row>
    <row r="76" spans="2:39">
      <c r="B76" s="23" t="str">
        <f t="shared" si="11"/>
        <v>UC_Up_Train-Metro_TPS</v>
      </c>
      <c r="C76" s="39" t="str">
        <f t="shared" si="12"/>
        <v>TPRO*,TPRM*</v>
      </c>
      <c r="D76" s="39" t="str">
        <f t="shared" si="13"/>
        <v>TRA*</v>
      </c>
      <c r="E76" s="39" t="str">
        <f t="shared" si="14"/>
        <v>TPS</v>
      </c>
      <c r="F76" s="39" t="s">
        <v>78</v>
      </c>
      <c r="G76" s="39">
        <v>2010</v>
      </c>
      <c r="H76" s="39">
        <v>1</v>
      </c>
      <c r="I76" s="39">
        <f t="array" ref="I76">INDEX($AE$7:$AH$63,MATCH($V76&amp;$W76,$AA$7:$AA$63&amp;$AB$7:$AB$63,0),MATCH($E76,$AE$6:$AH$6,0))+INDEX('LTM data'!$D$47:$W$66,MATCH(RIGHT(I$6,4)&amp;'Couple Potential'!$X76,'LTM data'!$A$47:$A$66&amp;'LTM data'!$C$47:$C$66,0),MATCH('Couple Potential'!$W76,'LTM data'!$D$46:$W$46,0))+INDEX('LTM data'!$D$47:$W$66,MATCH(RIGHT(I$6,4)&amp;'Couple Potential'!$X76,'LTM data'!$A$47:$A$66&amp;'LTM data'!$C$47:$C$66,0),MATCH('Couple Potential'!$V76,'LTM data'!$D$46:$W$46,0))</f>
        <v>20531.6648675</v>
      </c>
      <c r="J76" s="39">
        <f t="array" ref="J76">INDEX($AE$7:$AH$63,MATCH(V76&amp;W76,$AA$7:$AA$63&amp;$AB$7:$AB$63,0),MATCH(E76,$AE$6:$AH$6,0))+INDEX('LTM data'!$D$47:$W$66,MATCH(RIGHT($J$6,4)&amp;'Couple Potential'!X76,'LTM data'!$A$47:$A$66&amp;'LTM data'!$C$47:$C$66,0),MATCH('Couple Potential'!W76,'LTM data'!$D$46:$W$46,0))+INDEX('LTM data'!$D$47:$W$66,MATCH(RIGHT($J$6,4)&amp;'Couple Potential'!X76,'LTM data'!$A$47:$A$66&amp;'LTM data'!$C$47:$C$66,0),MATCH('Couple Potential'!V76,'LTM data'!$D$46:$W$46,0))</f>
        <v>21032.186447123688</v>
      </c>
      <c r="K76" s="39">
        <v>15</v>
      </c>
      <c r="L76" s="23" t="str">
        <f t="array" ref="L76">"Max production of "&amp;E76&amp;" travel demand by "&amp;V76&amp;" and "&amp;W76</f>
        <v>Max production of TPS travel demand by Train and Metro</v>
      </c>
      <c r="M76" s="23"/>
      <c r="N76" s="23"/>
      <c r="O76" s="23"/>
      <c r="P76" s="23"/>
      <c r="Q76" s="23"/>
      <c r="R76" s="23"/>
      <c r="U76" s="39" t="s">
        <v>69</v>
      </c>
      <c r="V76" s="39" t="s">
        <v>69</v>
      </c>
      <c r="W76" s="39" t="s">
        <v>67</v>
      </c>
      <c r="X76" s="39" t="s">
        <v>83</v>
      </c>
    </row>
    <row r="77" spans="2:39">
      <c r="B77" s="23" t="str">
        <f t="shared" si="11"/>
        <v>UC_Up_Train-S-Train_TPS</v>
      </c>
      <c r="C77" s="39" t="str">
        <f t="shared" si="12"/>
        <v>TPRO*,TPRS*</v>
      </c>
      <c r="D77" s="39" t="str">
        <f t="shared" si="13"/>
        <v>TRA*</v>
      </c>
      <c r="E77" s="39" t="str">
        <f t="shared" si="14"/>
        <v>TPS</v>
      </c>
      <c r="F77" s="39" t="s">
        <v>78</v>
      </c>
      <c r="G77" s="39">
        <v>2010</v>
      </c>
      <c r="H77" s="39">
        <v>1</v>
      </c>
      <c r="I77" s="39">
        <f t="array" ref="I77">INDEX($AE$7:$AH$63,MATCH($V77&amp;$W77,$AA$7:$AA$63&amp;$AB$7:$AB$63,0),MATCH($E77,$AE$6:$AH$6,0))+INDEX('LTM data'!$D$47:$W$66,MATCH(RIGHT(I$6,4)&amp;'Couple Potential'!$X77,'LTM data'!$A$47:$A$66&amp;'LTM data'!$C$47:$C$66,0),MATCH('Couple Potential'!$W77,'LTM data'!$D$46:$W$46,0))+INDEX('LTM data'!$D$47:$W$66,MATCH(RIGHT(I$6,4)&amp;'Couple Potential'!$X77,'LTM data'!$A$47:$A$66&amp;'LTM data'!$C$47:$C$66,0),MATCH('Couple Potential'!$V77,'LTM data'!$D$46:$W$46,0))</f>
        <v>23680.071643700001</v>
      </c>
      <c r="J77" s="39">
        <f t="array" ref="J77">INDEX($AE$7:$AH$63,MATCH(V77&amp;W77,$AA$7:$AA$63&amp;$AB$7:$AB$63,0),MATCH(E77,$AE$6:$AH$6,0))+INDEX('LTM data'!$D$47:$W$66,MATCH(RIGHT($J$6,4)&amp;'Couple Potential'!X77,'LTM data'!$A$47:$A$66&amp;'LTM data'!$C$47:$C$66,0),MATCH('Couple Potential'!W77,'LTM data'!$D$46:$W$46,0))+INDEX('LTM data'!$D$47:$W$66,MATCH(RIGHT($J$6,4)&amp;'Couple Potential'!X77,'LTM data'!$A$47:$A$66&amp;'LTM data'!$C$47:$C$66,0),MATCH('Couple Potential'!V77,'LTM data'!$D$46:$W$46,0))</f>
        <v>23975.881376500685</v>
      </c>
      <c r="K77" s="39">
        <v>15</v>
      </c>
      <c r="L77" s="23" t="str">
        <f t="array" ref="L77">"Max production of "&amp;E77&amp;" travel demand by "&amp;V77&amp;" and "&amp;W77</f>
        <v>Max production of TPS travel demand by Train and S-Train</v>
      </c>
      <c r="M77" s="23"/>
      <c r="N77" s="23"/>
      <c r="O77" s="23"/>
      <c r="P77" s="23"/>
      <c r="Q77" s="23"/>
      <c r="R77" s="23"/>
      <c r="U77" s="39" t="s">
        <v>69</v>
      </c>
      <c r="V77" s="39" t="s">
        <v>69</v>
      </c>
      <c r="W77" s="39" t="s">
        <v>343</v>
      </c>
      <c r="X77" s="39" t="s">
        <v>83</v>
      </c>
    </row>
    <row r="78" spans="2:39">
      <c r="B78" s="23" t="str">
        <f t="shared" si="11"/>
        <v>UC_Up_Train-Moto_TPS</v>
      </c>
      <c r="C78" s="39" t="str">
        <f t="shared" si="12"/>
        <v>TPRO*,TPMT*</v>
      </c>
      <c r="D78" s="39" t="str">
        <f t="shared" si="13"/>
        <v>TRA*</v>
      </c>
      <c r="E78" s="39" t="str">
        <f t="shared" si="14"/>
        <v>TPS</v>
      </c>
      <c r="F78" s="39" t="s">
        <v>78</v>
      </c>
      <c r="G78" s="39">
        <v>2010</v>
      </c>
      <c r="H78" s="39">
        <v>1</v>
      </c>
      <c r="I78" s="39">
        <f t="array" ref="I78">INDEX($AE$7:$AH$63,MATCH($V78&amp;$W78,$AA$7:$AA$63&amp;$AB$7:$AB$63,0),MATCH($E78,$AE$6:$AH$6,0))+INDEX('LTM data'!$D$47:$W$66,MATCH(RIGHT(I$6,4)&amp;'Couple Potential'!$X78,'LTM data'!$A$47:$A$66&amp;'LTM data'!$C$47:$C$66,0),MATCH('Couple Potential'!$W78,'LTM data'!$D$46:$W$46,0))+INDEX('LTM data'!$D$47:$W$66,MATCH(RIGHT(I$6,4)&amp;'Couple Potential'!$X78,'LTM data'!$A$47:$A$66&amp;'LTM data'!$C$47:$C$66,0),MATCH('Couple Potential'!$V78,'LTM data'!$D$46:$W$46,0))</f>
        <v>24503.492315799998</v>
      </c>
      <c r="J78" s="39">
        <f t="array" ref="J78">INDEX($AE$7:$AH$63,MATCH(V78&amp;W78,$AA$7:$AA$63&amp;$AB$7:$AB$63,0),MATCH(E78,$AE$6:$AH$6,0))+INDEX('LTM data'!$D$47:$W$66,MATCH(RIGHT($J$6,4)&amp;'Couple Potential'!X78,'LTM data'!$A$47:$A$66&amp;'LTM data'!$C$47:$C$66,0),MATCH('Couple Potential'!W78,'LTM data'!$D$46:$W$46,0))+INDEX('LTM data'!$D$47:$W$66,MATCH(RIGHT($J$6,4)&amp;'Couple Potential'!X78,'LTM data'!$A$47:$A$66&amp;'LTM data'!$C$47:$C$66,0),MATCH('Couple Potential'!V78,'LTM data'!$D$46:$W$46,0))</f>
        <v>24809.579548467245</v>
      </c>
      <c r="K78" s="39">
        <v>15</v>
      </c>
      <c r="L78" s="23" t="str">
        <f t="array" ref="L78">"Max production of "&amp;E78&amp;" travel demand by "&amp;V78&amp;" and "&amp;W78</f>
        <v>Max production of TPS travel demand by Train and Moto</v>
      </c>
      <c r="M78" s="23"/>
      <c r="N78" s="23"/>
      <c r="O78" s="23"/>
      <c r="P78" s="23"/>
      <c r="Q78" s="23"/>
      <c r="R78" s="23"/>
      <c r="U78" s="39" t="s">
        <v>69</v>
      </c>
      <c r="V78" s="39" t="s">
        <v>69</v>
      </c>
      <c r="W78" s="39" t="s">
        <v>64</v>
      </c>
      <c r="X78" s="39" t="s">
        <v>83</v>
      </c>
    </row>
    <row r="79" spans="2:39">
      <c r="B79" s="23" t="str">
        <f t="shared" si="11"/>
        <v>UC_Up_Train-Moped_TPS</v>
      </c>
      <c r="C79" s="39" t="str">
        <f t="shared" si="12"/>
        <v>TPRO*,TPMP*</v>
      </c>
      <c r="D79" s="39" t="str">
        <f t="shared" si="13"/>
        <v>TRA*</v>
      </c>
      <c r="E79" s="39" t="str">
        <f t="shared" si="14"/>
        <v>TPS</v>
      </c>
      <c r="F79" s="39" t="s">
        <v>78</v>
      </c>
      <c r="G79" s="39">
        <v>2010</v>
      </c>
      <c r="H79" s="39">
        <v>1</v>
      </c>
      <c r="I79" s="39">
        <f t="array" ref="I79">INDEX($AE$7:$AH$63,MATCH($V79&amp;$W79,$AA$7:$AA$63&amp;$AB$7:$AB$63,0),MATCH($E79,$AE$6:$AH$6,0))+INDEX('LTM data'!$D$47:$W$66,MATCH(RIGHT(I$6,4)&amp;'Couple Potential'!$X79,'LTM data'!$A$47:$A$66&amp;'LTM data'!$C$47:$C$66,0),MATCH('Couple Potential'!$W79,'LTM data'!$D$46:$W$46,0))+INDEX('LTM data'!$D$47:$W$66,MATCH(RIGHT(I$6,4)&amp;'Couple Potential'!$X79,'LTM data'!$A$47:$A$66&amp;'LTM data'!$C$47:$C$66,0),MATCH('Couple Potential'!$V79,'LTM data'!$D$46:$W$46,0))</f>
        <v>24714.433938099999</v>
      </c>
      <c r="J79" s="39">
        <f t="array" ref="J79">INDEX($AE$7:$AH$63,MATCH(V79&amp;W79,$AA$7:$AA$63&amp;$AB$7:$AB$63,0),MATCH(E79,$AE$6:$AH$6,0))+INDEX('LTM data'!$D$47:$W$66,MATCH(RIGHT($J$6,4)&amp;'Couple Potential'!X79,'LTM data'!$A$47:$A$66&amp;'LTM data'!$C$47:$C$66,0),MATCH('Couple Potential'!W79,'LTM data'!$D$46:$W$46,0))+INDEX('LTM data'!$D$47:$W$66,MATCH(RIGHT($J$6,4)&amp;'Couple Potential'!X79,'LTM data'!$A$47:$A$66&amp;'LTM data'!$C$47:$C$66,0),MATCH('Couple Potential'!V79,'LTM data'!$D$46:$W$46,0))</f>
        <v>24979.714255969418</v>
      </c>
      <c r="K79" s="39">
        <v>15</v>
      </c>
      <c r="L79" s="23" t="str">
        <f t="array" ref="L79">"Max production of "&amp;E79&amp;" travel demand by "&amp;V79&amp;" and "&amp;W79</f>
        <v>Max production of TPS travel demand by Train and Moped</v>
      </c>
      <c r="M79" s="23"/>
      <c r="N79" s="23"/>
      <c r="O79" s="23"/>
      <c r="P79" s="23"/>
      <c r="Q79" s="23"/>
      <c r="R79" s="23"/>
      <c r="U79" s="39" t="s">
        <v>69</v>
      </c>
      <c r="V79" s="39" t="s">
        <v>69</v>
      </c>
      <c r="W79" s="39" t="s">
        <v>63</v>
      </c>
      <c r="X79" s="39" t="s">
        <v>83</v>
      </c>
    </row>
    <row r="80" spans="2:39">
      <c r="B80" s="23" t="str">
        <f t="shared" si="11"/>
        <v>UC_Up_Train-Car_TPS</v>
      </c>
      <c r="C80" s="39" t="str">
        <f t="shared" si="12"/>
        <v>TPRO*,TPCA*</v>
      </c>
      <c r="D80" s="39" t="str">
        <f t="shared" si="13"/>
        <v>TRA*</v>
      </c>
      <c r="E80" s="39" t="str">
        <f t="shared" si="14"/>
        <v>TPS</v>
      </c>
      <c r="F80" s="39" t="s">
        <v>78</v>
      </c>
      <c r="G80" s="39">
        <v>2010</v>
      </c>
      <c r="H80" s="39">
        <v>1</v>
      </c>
      <c r="I80" s="39">
        <f t="array" ref="I80">INDEX($AE$7:$AH$63,MATCH($V80&amp;$W80,$AA$7:$AA$63&amp;$AB$7:$AB$63,0),MATCH($E80,$AE$6:$AH$6,0))+INDEX('LTM data'!$D$47:$W$66,MATCH(RIGHT(I$6,4)&amp;'Couple Potential'!$X80,'LTM data'!$A$47:$A$66&amp;'LTM data'!$C$47:$C$66,0),MATCH('Couple Potential'!$W80,'LTM data'!$D$46:$W$46,0))+INDEX('LTM data'!$D$47:$W$66,MATCH(RIGHT(I$6,4)&amp;'Couple Potential'!$X80,'LTM data'!$A$47:$A$66&amp;'LTM data'!$C$47:$C$66,0),MATCH('Couple Potential'!$V80,'LTM data'!$D$46:$W$46,0))</f>
        <v>22471.785965899999</v>
      </c>
      <c r="J80" s="39">
        <f t="array" ref="J80">INDEX($AE$7:$AH$63,MATCH(V80&amp;W80,$AA$7:$AA$63&amp;$AB$7:$AB$63,0),MATCH(E80,$AE$6:$AH$6,0))+INDEX('LTM data'!$D$47:$W$66,MATCH(RIGHT($J$6,4)&amp;'Couple Potential'!X80,'LTM data'!$A$47:$A$66&amp;'LTM data'!$C$47:$C$66,0),MATCH('Couple Potential'!W80,'LTM data'!$D$46:$W$46,0))+INDEX('LTM data'!$D$47:$W$66,MATCH(RIGHT($J$6,4)&amp;'Couple Potential'!X80,'LTM data'!$A$47:$A$66&amp;'LTM data'!$C$47:$C$66,0),MATCH('Couple Potential'!V80,'LTM data'!$D$46:$W$46,0))</f>
        <v>29956.82181408719</v>
      </c>
      <c r="K80" s="39">
        <v>15</v>
      </c>
      <c r="L80" s="23" t="str">
        <f t="array" ref="L80">"Max production of "&amp;E80&amp;" travel demand by "&amp;V80&amp;" and "&amp;W80</f>
        <v>Max production of TPS travel demand by Train and Car</v>
      </c>
      <c r="M80" s="23"/>
      <c r="N80" s="23"/>
      <c r="O80" s="23"/>
      <c r="P80" s="23"/>
      <c r="Q80" s="23"/>
      <c r="R80" s="23"/>
      <c r="U80" s="39" t="s">
        <v>69</v>
      </c>
      <c r="V80" s="39" t="s">
        <v>69</v>
      </c>
      <c r="W80" s="39" t="s">
        <v>72</v>
      </c>
      <c r="X80" s="39" t="s">
        <v>83</v>
      </c>
    </row>
    <row r="81" spans="2:24">
      <c r="B81" s="23" t="str">
        <f t="shared" si="11"/>
        <v>UC_Up_Metro-S-Train_TPS</v>
      </c>
      <c r="C81" s="39" t="str">
        <f t="shared" si="12"/>
        <v>TPRM*,TPRS*</v>
      </c>
      <c r="D81" s="39" t="str">
        <f t="shared" si="13"/>
        <v>TRA*</v>
      </c>
      <c r="E81" s="39" t="str">
        <f t="shared" si="14"/>
        <v>TPS</v>
      </c>
      <c r="F81" s="39" t="s">
        <v>78</v>
      </c>
      <c r="G81" s="39">
        <v>2010</v>
      </c>
      <c r="H81" s="39">
        <v>1</v>
      </c>
      <c r="I81" s="39">
        <f t="array" ref="I81">INDEX($AE$7:$AH$63,MATCH($V81&amp;$W81,$AA$7:$AA$63&amp;$AB$7:$AB$63,0),MATCH($E81,$AE$6:$AH$6,0))+INDEX('LTM data'!$D$47:$W$66,MATCH(RIGHT(I$6,4)&amp;'Couple Potential'!$X81,'LTM data'!$A$47:$A$66&amp;'LTM data'!$C$47:$C$66,0),MATCH('Couple Potential'!$W81,'LTM data'!$D$46:$W$46,0))+INDEX('LTM data'!$D$47:$W$66,MATCH(RIGHT(I$6,4)&amp;'Couple Potential'!$X81,'LTM data'!$A$47:$A$66&amp;'LTM data'!$C$47:$C$66,0),MATCH('Couple Potential'!$V81,'LTM data'!$D$46:$W$46,0))</f>
        <v>9968.6765108</v>
      </c>
      <c r="J81" s="39">
        <f t="array" ref="J81">INDEX($AE$7:$AH$63,MATCH(V81&amp;W81,$AA$7:$AA$63&amp;$AB$7:$AB$63,0),MATCH(E81,$AE$6:$AH$6,0))+INDEX('LTM data'!$D$47:$W$66,MATCH(RIGHT($J$6,4)&amp;'Couple Potential'!X81,'LTM data'!$A$47:$A$66&amp;'LTM data'!$C$47:$C$66,0),MATCH('Couple Potential'!W81,'LTM data'!$D$46:$W$46,0))+INDEX('LTM data'!$D$47:$W$66,MATCH(RIGHT($J$6,4)&amp;'Couple Potential'!X81,'LTM data'!$A$47:$A$66&amp;'LTM data'!$C$47:$C$66,0),MATCH('Couple Potential'!V81,'LTM data'!$D$46:$W$46,0))</f>
        <v>10186.91681210436</v>
      </c>
      <c r="K81" s="39">
        <v>15</v>
      </c>
      <c r="L81" s="23" t="str">
        <f t="array" ref="L81">"Max production of "&amp;E81&amp;" travel demand by "&amp;V81&amp;" and "&amp;W81</f>
        <v>Max production of TPS travel demand by Metro and S-Train</v>
      </c>
      <c r="M81" s="23"/>
      <c r="N81" s="23"/>
      <c r="O81" s="23"/>
      <c r="P81" s="23"/>
      <c r="Q81" s="23"/>
      <c r="R81" s="23"/>
      <c r="U81" s="39" t="s">
        <v>67</v>
      </c>
      <c r="V81" s="39" t="s">
        <v>67</v>
      </c>
      <c r="W81" s="39" t="s">
        <v>343</v>
      </c>
      <c r="X81" s="39" t="s">
        <v>83</v>
      </c>
    </row>
    <row r="82" spans="2:24">
      <c r="B82" s="23" t="str">
        <f t="shared" si="11"/>
        <v>UC_Up_Metro-Moto_TPS</v>
      </c>
      <c r="C82" s="39" t="str">
        <f t="shared" si="12"/>
        <v>TPRM*,TPMT*</v>
      </c>
      <c r="D82" s="39" t="str">
        <f t="shared" si="13"/>
        <v>TRA*</v>
      </c>
      <c r="E82" s="39" t="str">
        <f t="shared" si="14"/>
        <v>TPS</v>
      </c>
      <c r="F82" s="39" t="s">
        <v>78</v>
      </c>
      <c r="G82" s="39">
        <v>2010</v>
      </c>
      <c r="H82" s="39">
        <v>1</v>
      </c>
      <c r="I82" s="39">
        <f t="array" ref="I82">INDEX($AE$7:$AH$63,MATCH($V82&amp;$W82,$AA$7:$AA$63&amp;$AB$7:$AB$63,0),MATCH($E82,$AE$6:$AH$6,0))+INDEX('LTM data'!$D$47:$W$66,MATCH(RIGHT(I$6,4)&amp;'Couple Potential'!$X82,'LTM data'!$A$47:$A$66&amp;'LTM data'!$C$47:$C$66,0),MATCH('Couple Potential'!$W82,'LTM data'!$D$46:$W$46,0))+INDEX('LTM data'!$D$47:$W$66,MATCH(RIGHT(I$6,4)&amp;'Couple Potential'!$X82,'LTM data'!$A$47:$A$66&amp;'LTM data'!$C$47:$C$66,0),MATCH('Couple Potential'!$V82,'LTM data'!$D$46:$W$46,0))</f>
        <v>24620.1324685</v>
      </c>
      <c r="J82" s="39">
        <f t="array" ref="J82">INDEX($AE$7:$AH$63,MATCH(V82&amp;W82,$AA$7:$AA$63&amp;$AB$7:$AB$63,0),MATCH(E82,$AE$6:$AH$6,0))+INDEX('LTM data'!$D$47:$W$66,MATCH(RIGHT($J$6,4)&amp;'Couple Potential'!X82,'LTM data'!$A$47:$A$66&amp;'LTM data'!$C$47:$C$66,0),MATCH('Couple Potential'!W82,'LTM data'!$D$46:$W$46,0))+INDEX('LTM data'!$D$47:$W$66,MATCH(RIGHT($J$6,4)&amp;'Couple Potential'!X82,'LTM data'!$A$47:$A$66&amp;'LTM data'!$C$47:$C$66,0),MATCH('Couple Potential'!V82,'LTM data'!$D$46:$W$46,0))</f>
        <v>24848.650269670921</v>
      </c>
      <c r="K82" s="39">
        <v>15</v>
      </c>
      <c r="L82" s="23" t="str">
        <f t="array" ref="L82">"Max production of "&amp;E82&amp;" travel demand by "&amp;V82&amp;" and "&amp;W82</f>
        <v>Max production of TPS travel demand by Metro and Moto</v>
      </c>
      <c r="M82" s="23"/>
      <c r="N82" s="23"/>
      <c r="O82" s="23"/>
      <c r="P82" s="23"/>
      <c r="Q82" s="23"/>
      <c r="R82" s="23"/>
      <c r="U82" s="39" t="s">
        <v>67</v>
      </c>
      <c r="V82" s="39" t="s">
        <v>67</v>
      </c>
      <c r="W82" s="39" t="s">
        <v>64</v>
      </c>
      <c r="X82" s="39" t="s">
        <v>83</v>
      </c>
    </row>
    <row r="83" spans="2:24">
      <c r="B83" s="23" t="str">
        <f t="shared" si="11"/>
        <v>UC_Up_Metro-Moped_TPS</v>
      </c>
      <c r="C83" s="39" t="str">
        <f t="shared" si="12"/>
        <v>TPRM*,TPMP*</v>
      </c>
      <c r="D83" s="39" t="str">
        <f t="shared" si="13"/>
        <v>TRA*</v>
      </c>
      <c r="E83" s="39" t="str">
        <f t="shared" si="14"/>
        <v>TPS</v>
      </c>
      <c r="F83" s="39" t="s">
        <v>78</v>
      </c>
      <c r="G83" s="39">
        <v>2010</v>
      </c>
      <c r="H83" s="39">
        <v>1</v>
      </c>
      <c r="I83" s="39">
        <f t="array" ref="I83">INDEX($AE$7:$AH$63,MATCH($V83&amp;$W83,$AA$7:$AA$63&amp;$AB$7:$AB$63,0),MATCH($E83,$AE$6:$AH$6,0))+INDEX('LTM data'!$D$47:$W$66,MATCH(RIGHT(I$6,4)&amp;'Couple Potential'!$X83,'LTM data'!$A$47:$A$66&amp;'LTM data'!$C$47:$C$66,0),MATCH('Couple Potential'!$W83,'LTM data'!$D$46:$W$46,0))+INDEX('LTM data'!$D$47:$W$66,MATCH(RIGHT(I$6,4)&amp;'Couple Potential'!$X83,'LTM data'!$A$47:$A$66&amp;'LTM data'!$C$47:$C$66,0),MATCH('Couple Potential'!$V83,'LTM data'!$D$46:$W$46,0))</f>
        <v>24739.208475700005</v>
      </c>
      <c r="J83" s="39">
        <f t="array" ref="J83">INDEX($AE$7:$AH$63,MATCH(V83&amp;W83,$AA$7:$AA$63&amp;$AB$7:$AB$63,0),MATCH(E83,$AE$6:$AH$6,0))+INDEX('LTM data'!$D$47:$W$66,MATCH(RIGHT($J$6,4)&amp;'Couple Potential'!X83,'LTM data'!$A$47:$A$66&amp;'LTM data'!$C$47:$C$66,0),MATCH('Couple Potential'!W83,'LTM data'!$D$46:$W$46,0))+INDEX('LTM data'!$D$47:$W$66,MATCH(RIGHT($J$6,4)&amp;'Couple Potential'!X83,'LTM data'!$A$47:$A$66&amp;'LTM data'!$C$47:$C$66,0),MATCH('Couple Potential'!V83,'LTM data'!$D$46:$W$46,0))</f>
        <v>24926.919362073098</v>
      </c>
      <c r="K83" s="39">
        <v>15</v>
      </c>
      <c r="L83" s="23" t="str">
        <f t="array" ref="L83">"Max production of "&amp;E83&amp;" travel demand by "&amp;V83&amp;" and "&amp;W83</f>
        <v>Max production of TPS travel demand by Metro and Moped</v>
      </c>
      <c r="M83" s="23"/>
      <c r="N83" s="23"/>
      <c r="O83" s="23"/>
      <c r="P83" s="23"/>
      <c r="Q83" s="23"/>
      <c r="R83" s="23"/>
      <c r="U83" s="39" t="s">
        <v>67</v>
      </c>
      <c r="V83" s="39" t="s">
        <v>67</v>
      </c>
      <c r="W83" s="39" t="s">
        <v>63</v>
      </c>
      <c r="X83" s="39" t="s">
        <v>83</v>
      </c>
    </row>
    <row r="84" spans="2:24">
      <c r="B84" s="23" t="str">
        <f t="shared" si="11"/>
        <v>UC_Up_S-Train-Moto_TPS</v>
      </c>
      <c r="C84" s="39" t="str">
        <f t="shared" si="12"/>
        <v>TPRS*,TPMT*</v>
      </c>
      <c r="D84" s="39" t="str">
        <f t="shared" si="13"/>
        <v>TRA*</v>
      </c>
      <c r="E84" s="39" t="str">
        <f t="shared" si="14"/>
        <v>TPS</v>
      </c>
      <c r="F84" s="39" t="s">
        <v>78</v>
      </c>
      <c r="G84" s="39">
        <v>2010</v>
      </c>
      <c r="H84" s="39">
        <v>1</v>
      </c>
      <c r="I84" s="39">
        <f t="array" ref="I84">INDEX($AE$7:$AH$63,MATCH($V84&amp;$W84,$AA$7:$AA$63&amp;$AB$7:$AB$63,0),MATCH($E84,$AE$6:$AH$6,0))+INDEX('LTM data'!$D$47:$W$66,MATCH(RIGHT(I$6,4)&amp;'Couple Potential'!$X84,'LTM data'!$A$47:$A$66&amp;'LTM data'!$C$47:$C$66,0),MATCH('Couple Potential'!$W84,'LTM data'!$D$46:$W$46,0))+INDEX('LTM data'!$D$47:$W$66,MATCH(RIGHT(I$6,4)&amp;'Couple Potential'!$X84,'LTM data'!$A$47:$A$66&amp;'LTM data'!$C$47:$C$66,0),MATCH('Couple Potential'!$V84,'LTM data'!$D$46:$W$46,0))</f>
        <v>24590.8675234</v>
      </c>
      <c r="J84" s="39">
        <f t="array" ref="J84">INDEX($AE$7:$AH$63,MATCH(V84&amp;W84,$AA$7:$AA$63&amp;$AB$7:$AB$63,0),MATCH(E84,$AE$6:$AH$6,0))+INDEX('LTM data'!$D$47:$W$66,MATCH(RIGHT($J$6,4)&amp;'Couple Potential'!X84,'LTM data'!$A$47:$A$66&amp;'LTM data'!$C$47:$C$66,0),MATCH('Couple Potential'!W84,'LTM data'!$D$46:$W$46,0))+INDEX('LTM data'!$D$47:$W$66,MATCH(RIGHT($J$6,4)&amp;'Couple Potential'!X84,'LTM data'!$A$47:$A$66&amp;'LTM data'!$C$47:$C$66,0),MATCH('Couple Potential'!V84,'LTM data'!$D$46:$W$46,0))</f>
        <v>24614.673477747918</v>
      </c>
      <c r="K84" s="39">
        <v>15</v>
      </c>
      <c r="L84" s="23" t="str">
        <f t="array" ref="L84">"Max production of "&amp;E84&amp;" travel demand by "&amp;V84&amp;" and "&amp;W84</f>
        <v>Max production of TPS travel demand by S-Train and Moto</v>
      </c>
      <c r="M84" s="23"/>
      <c r="N84" s="23"/>
      <c r="O84" s="23"/>
      <c r="P84" s="23"/>
      <c r="Q84" s="23"/>
      <c r="R84" s="23"/>
      <c r="U84" s="39" t="s">
        <v>343</v>
      </c>
      <c r="V84" s="39" t="s">
        <v>343</v>
      </c>
      <c r="W84" s="39" t="s">
        <v>64</v>
      </c>
      <c r="X84" s="39" t="s">
        <v>83</v>
      </c>
    </row>
    <row r="85" spans="2:24">
      <c r="B85" s="23" t="str">
        <f t="shared" si="11"/>
        <v>UC_Up_S-Train-Moped_TPS</v>
      </c>
      <c r="C85" s="39" t="str">
        <f t="shared" si="12"/>
        <v>TPRS*,TPMP*</v>
      </c>
      <c r="D85" s="39" t="str">
        <f t="shared" si="13"/>
        <v>TRA*</v>
      </c>
      <c r="E85" s="39" t="str">
        <f t="shared" si="14"/>
        <v>TPS</v>
      </c>
      <c r="F85" s="39" t="s">
        <v>78</v>
      </c>
      <c r="G85" s="39">
        <v>2010</v>
      </c>
      <c r="H85" s="39">
        <v>1</v>
      </c>
      <c r="I85" s="39">
        <f t="array" ref="I85">INDEX($AE$7:$AH$63,MATCH($V85&amp;$W85,$AA$7:$AA$63&amp;$AB$7:$AB$63,0),MATCH($E85,$AE$6:$AH$6,0))+INDEX('LTM data'!$D$47:$W$66,MATCH(RIGHT(I$6,4)&amp;'Couple Potential'!$X85,'LTM data'!$A$47:$A$66&amp;'LTM data'!$C$47:$C$66,0),MATCH('Couple Potential'!$W85,'LTM data'!$D$46:$W$46,0))+INDEX('LTM data'!$D$47:$W$66,MATCH(RIGHT(I$6,4)&amp;'Couple Potential'!$X85,'LTM data'!$A$47:$A$66&amp;'LTM data'!$C$47:$C$66,0),MATCH('Couple Potential'!$V85,'LTM data'!$D$46:$W$46,0))</f>
        <v>24630.644430600005</v>
      </c>
      <c r="J85" s="39">
        <f t="array" ref="J85">INDEX($AE$7:$AH$63,MATCH(V85&amp;W85,$AA$7:$AA$63&amp;$AB$7:$AB$63,0),MATCH(E85,$AE$6:$AH$6,0))+INDEX('LTM data'!$D$47:$W$66,MATCH(RIGHT($J$6,4)&amp;'Couple Potential'!X85,'LTM data'!$A$47:$A$66&amp;'LTM data'!$C$47:$C$66,0),MATCH('Couple Potential'!W85,'LTM data'!$D$46:$W$46,0))+INDEX('LTM data'!$D$47:$W$66,MATCH(RIGHT($J$6,4)&amp;'Couple Potential'!X85,'LTM data'!$A$47:$A$66&amp;'LTM data'!$C$47:$C$66,0),MATCH('Couple Potential'!V85,'LTM data'!$D$46:$W$46,0))</f>
        <v>24613.643470150095</v>
      </c>
      <c r="K85" s="39">
        <v>15</v>
      </c>
      <c r="L85" s="23" t="str">
        <f t="array" ref="L85">"Max production of "&amp;E85&amp;" travel demand by "&amp;V85&amp;" and "&amp;W85</f>
        <v>Max production of TPS travel demand by S-Train and Moped</v>
      </c>
      <c r="M85" s="23"/>
      <c r="N85" s="23"/>
      <c r="O85" s="23"/>
      <c r="P85" s="23"/>
      <c r="Q85" s="23"/>
      <c r="R85" s="23"/>
      <c r="U85" s="39" t="s">
        <v>343</v>
      </c>
      <c r="V85" s="39" t="s">
        <v>343</v>
      </c>
      <c r="W85" s="39" t="s">
        <v>63</v>
      </c>
      <c r="X85" s="39" t="s">
        <v>83</v>
      </c>
    </row>
    <row r="86" spans="2:24">
      <c r="B86" s="23" t="str">
        <f t="shared" si="11"/>
        <v>UC_Up_Moto-Moped_TPS</v>
      </c>
      <c r="C86" s="39" t="str">
        <f t="shared" si="12"/>
        <v>TPMT*,TPMP*</v>
      </c>
      <c r="D86" s="39" t="str">
        <f t="shared" si="13"/>
        <v>TRA*</v>
      </c>
      <c r="E86" s="39" t="str">
        <f t="shared" si="14"/>
        <v>TPS</v>
      </c>
      <c r="F86" s="39" t="s">
        <v>78</v>
      </c>
      <c r="G86" s="39">
        <v>2010</v>
      </c>
      <c r="H86" s="39">
        <v>1</v>
      </c>
      <c r="I86" s="39">
        <f t="array" ref="I86">INDEX($AE$7:$AH$63,MATCH($V86&amp;$W86,$AA$7:$AA$63&amp;$AB$7:$AB$63,0),MATCH($E86,$AE$6:$AH$6,0))+INDEX('LTM data'!$D$47:$W$66,MATCH(RIGHT(I$6,4)&amp;'Couple Potential'!$X86,'LTM data'!$A$47:$A$66&amp;'LTM data'!$C$47:$C$66,0),MATCH('Couple Potential'!$W86,'LTM data'!$D$46:$W$46,0))+INDEX('LTM data'!$D$47:$W$66,MATCH(RIGHT(I$6,4)&amp;'Couple Potential'!$X86,'LTM data'!$A$47:$A$66&amp;'LTM data'!$C$47:$C$66,0),MATCH('Couple Potential'!$V86,'LTM data'!$D$46:$W$46,0))</f>
        <v>24714.433938099999</v>
      </c>
      <c r="J86" s="39">
        <f t="array" ref="J86">INDEX($AE$7:$AH$63,MATCH(V86&amp;W86,$AA$7:$AA$63&amp;$AB$7:$AB$63,0),MATCH(E86,$AE$6:$AH$6,0))+INDEX('LTM data'!$D$47:$W$66,MATCH(RIGHT($J$6,4)&amp;'Couple Potential'!X86,'LTM data'!$A$47:$A$66&amp;'LTM data'!$C$47:$C$66,0),MATCH('Couple Potential'!W86,'LTM data'!$D$46:$W$46,0))+INDEX('LTM data'!$D$47:$W$66,MATCH(RIGHT($J$6,4)&amp;'Couple Potential'!X86,'LTM data'!$A$47:$A$66&amp;'LTM data'!$C$47:$C$66,0),MATCH('Couple Potential'!V86,'LTM data'!$D$46:$W$46,0))</f>
        <v>24707.710477516652</v>
      </c>
      <c r="K86" s="39">
        <v>15</v>
      </c>
      <c r="L86" s="23" t="str">
        <f t="array" ref="L86">"Max production of "&amp;E86&amp;" travel demand by "&amp;V86&amp;" and "&amp;W86</f>
        <v>Max production of TPS travel demand by Moto and Moped</v>
      </c>
      <c r="M86" s="23"/>
      <c r="N86" s="23"/>
      <c r="O86" s="23"/>
      <c r="P86" s="23"/>
      <c r="Q86" s="23"/>
      <c r="R86" s="23"/>
      <c r="U86" s="39" t="s">
        <v>64</v>
      </c>
      <c r="V86" s="39" t="s">
        <v>64</v>
      </c>
      <c r="W86" s="39" t="s">
        <v>63</v>
      </c>
      <c r="X86" s="39" t="s">
        <v>83</v>
      </c>
    </row>
    <row r="87" spans="2:24">
      <c r="B87" s="23" t="str">
        <f t="shared" si="11"/>
        <v>UC_Up_Moto-Car_TPS</v>
      </c>
      <c r="C87" s="39" t="str">
        <f t="shared" si="12"/>
        <v>TPMT*,TPCA*</v>
      </c>
      <c r="D87" s="39" t="str">
        <f t="shared" si="13"/>
        <v>TRA*</v>
      </c>
      <c r="E87" s="39" t="str">
        <f t="shared" si="14"/>
        <v>TPS</v>
      </c>
      <c r="F87" s="39" t="s">
        <v>78</v>
      </c>
      <c r="G87" s="39">
        <v>2010</v>
      </c>
      <c r="H87" s="39">
        <v>1</v>
      </c>
      <c r="I87" s="39">
        <f t="array" ref="I87">INDEX($AE$7:$AH$63,MATCH($V87&amp;$W87,$AA$7:$AA$63&amp;$AB$7:$AB$63,0),MATCH($E87,$AE$6:$AH$6,0))+INDEX('LTM data'!$D$47:$W$66,MATCH(RIGHT(I$6,4)&amp;'Couple Potential'!$X87,'LTM data'!$A$47:$A$66&amp;'LTM data'!$C$47:$C$66,0),MATCH('Couple Potential'!$W87,'LTM data'!$D$46:$W$46,0))+INDEX('LTM data'!$D$47:$W$66,MATCH(RIGHT(I$6,4)&amp;'Couple Potential'!$X87,'LTM data'!$A$47:$A$66&amp;'LTM data'!$C$47:$C$66,0),MATCH('Couple Potential'!$V87,'LTM data'!$D$46:$W$46,0))</f>
        <v>23019.759505999999</v>
      </c>
      <c r="J87" s="39">
        <f t="array" ref="J87">INDEX($AE$7:$AH$63,MATCH(V87&amp;W87,$AA$7:$AA$63&amp;$AB$7:$AB$63,0),MATCH(E87,$AE$6:$AH$6,0))+INDEX('LTM data'!$D$47:$W$66,MATCH(RIGHT($J$6,4)&amp;'Couple Potential'!X87,'LTM data'!$A$47:$A$66&amp;'LTM data'!$C$47:$C$66,0),MATCH('Couple Potential'!W87,'LTM data'!$D$46:$W$46,0))+INDEX('LTM data'!$D$47:$W$66,MATCH(RIGHT($J$6,4)&amp;'Couple Potential'!X87,'LTM data'!$A$47:$A$66&amp;'LTM data'!$C$47:$C$66,0),MATCH('Couple Potential'!V87,'LTM data'!$D$46:$W$46,0))</f>
        <v>30232.79157573442</v>
      </c>
      <c r="K87" s="39">
        <v>15</v>
      </c>
      <c r="L87" s="23" t="str">
        <f t="array" ref="L87">"Max production of "&amp;E87&amp;" travel demand by "&amp;V87&amp;" and "&amp;W87</f>
        <v>Max production of TPS travel demand by Moto and Car</v>
      </c>
      <c r="M87" s="23"/>
      <c r="N87" s="23"/>
      <c r="O87" s="23"/>
      <c r="P87" s="23"/>
      <c r="Q87" s="23"/>
      <c r="R87" s="23"/>
      <c r="U87" s="39" t="s">
        <v>64</v>
      </c>
      <c r="V87" s="39" t="s">
        <v>64</v>
      </c>
      <c r="W87" s="39" t="s">
        <v>72</v>
      </c>
      <c r="X87" s="39" t="s">
        <v>83</v>
      </c>
    </row>
    <row r="88" spans="2:24">
      <c r="B88" s="23" t="str">
        <f t="shared" si="11"/>
        <v>UC_Up_Moped-Car_TPS</v>
      </c>
      <c r="C88" s="39" t="str">
        <f t="shared" si="12"/>
        <v>TPMP*,TPCA*</v>
      </c>
      <c r="D88" s="39" t="str">
        <f t="shared" si="13"/>
        <v>TRA*</v>
      </c>
      <c r="E88" s="39" t="str">
        <f t="shared" si="14"/>
        <v>TPS</v>
      </c>
      <c r="F88" s="39" t="s">
        <v>78</v>
      </c>
      <c r="G88" s="39">
        <v>2010</v>
      </c>
      <c r="H88" s="39">
        <v>1</v>
      </c>
      <c r="I88" s="39">
        <f t="array" ref="I88">INDEX($AE$7:$AH$63,MATCH($V88&amp;$W88,$AA$7:$AA$63&amp;$AB$7:$AB$63,0),MATCH($E88,$AE$6:$AH$6,0))+INDEX('LTM data'!$D$47:$W$66,MATCH(RIGHT(I$6,4)&amp;'Couple Potential'!$X88,'LTM data'!$A$47:$A$66&amp;'LTM data'!$C$47:$C$66,0),MATCH('Couple Potential'!$W88,'LTM data'!$D$46:$W$46,0))+INDEX('LTM data'!$D$47:$W$66,MATCH(RIGHT(I$6,4)&amp;'Couple Potential'!$X88,'LTM data'!$A$47:$A$66&amp;'LTM data'!$C$47:$C$66,0),MATCH('Couple Potential'!$V88,'LTM data'!$D$46:$W$46,0))</f>
        <v>23125.230317100002</v>
      </c>
      <c r="J88" s="39">
        <f t="array" ref="J88">INDEX($AE$7:$AH$63,MATCH(V88&amp;W88,$AA$7:$AA$63&amp;$AB$7:$AB$63,0),MATCH(E88,$AE$6:$AH$6,0))+INDEX('LTM data'!$D$47:$W$66,MATCH(RIGHT($J$6,4)&amp;'Couple Potential'!X88,'LTM data'!$A$47:$A$66&amp;'LTM data'!$C$47:$C$66,0),MATCH('Couple Potential'!W88,'LTM data'!$D$46:$W$46,0))+INDEX('LTM data'!$D$47:$W$66,MATCH(RIGHT($J$6,4)&amp;'Couple Potential'!X88,'LTM data'!$A$47:$A$66&amp;'LTM data'!$C$47:$C$66,0),MATCH('Couple Potential'!V88,'LTM data'!$D$46:$W$46,0))</f>
        <v>30297.455472036596</v>
      </c>
      <c r="K88" s="39">
        <v>15</v>
      </c>
      <c r="L88" s="23" t="str">
        <f t="array" ref="L88">"Max production of "&amp;E88&amp;" travel demand by "&amp;V88&amp;" and "&amp;W88</f>
        <v>Max production of TPS travel demand by Moped and Car</v>
      </c>
      <c r="M88" s="23"/>
      <c r="N88" s="23"/>
      <c r="O88" s="23"/>
      <c r="P88" s="23"/>
      <c r="Q88" s="23"/>
      <c r="R88" s="23"/>
      <c r="U88" s="39" t="s">
        <v>63</v>
      </c>
      <c r="V88" s="39" t="s">
        <v>63</v>
      </c>
      <c r="W88" s="39" t="s">
        <v>72</v>
      </c>
      <c r="X88" s="39" t="s">
        <v>83</v>
      </c>
    </row>
    <row r="89" spans="2:24">
      <c r="B89" s="23" t="str">
        <f t="shared" si="11"/>
        <v>*</v>
      </c>
      <c r="C89" s="39" t="str">
        <f t="shared" si="12"/>
        <v>TPWALK,TPBI*</v>
      </c>
      <c r="D89" s="39" t="str">
        <f t="shared" si="13"/>
        <v>BIKEcom,TRA*</v>
      </c>
      <c r="E89" s="39" t="str">
        <f t="shared" si="14"/>
        <v>TPM</v>
      </c>
      <c r="F89" s="39" t="s">
        <v>78</v>
      </c>
      <c r="G89" s="39">
        <v>2010</v>
      </c>
      <c r="H89" s="39">
        <v>1</v>
      </c>
      <c r="I89" s="39">
        <f t="array" ref="I89">INDEX($AE$7:$AH$63,MATCH($V89&amp;$W89,$AA$7:$AA$63&amp;$AB$7:$AB$63,0),MATCH($E89,$AE$6:$AH$6,0))+INDEX('LTM data'!$D$47:$W$66,MATCH(RIGHT(I$6,4)&amp;'Couple Potential'!$X89,'LTM data'!$A$47:$A$66&amp;'LTM data'!$C$47:$C$66,0),MATCH('Couple Potential'!$W89,'LTM data'!$D$46:$W$46,0))+INDEX('LTM data'!$D$47:$W$66,MATCH(RIGHT(I$6,4)&amp;'Couple Potential'!$X89,'LTM data'!$A$47:$A$66&amp;'LTM data'!$C$47:$C$66,0),MATCH('Couple Potential'!$V89,'LTM data'!$D$46:$W$46,0))</f>
        <v>99999</v>
      </c>
      <c r="J89" s="39">
        <f t="array" ref="J89">INDEX($AE$7:$AH$63,MATCH(V89&amp;W89,$AA$7:$AA$63&amp;$AB$7:$AB$63,0),MATCH(E89,$AE$6:$AH$6,0))+INDEX('LTM data'!$D$47:$W$66,MATCH(RIGHT($J$6,4)&amp;'Couple Potential'!X89,'LTM data'!$A$47:$A$66&amp;'LTM data'!$C$47:$C$66,0),MATCH('Couple Potential'!W89,'LTM data'!$D$46:$W$46,0))+INDEX('LTM data'!$D$47:$W$66,MATCH(RIGHT($J$6,4)&amp;'Couple Potential'!X89,'LTM data'!$A$47:$A$66&amp;'LTM data'!$C$47:$C$66,0),MATCH('Couple Potential'!V89,'LTM data'!$D$46:$W$46,0))</f>
        <v>99999</v>
      </c>
      <c r="K89" s="39">
        <v>15</v>
      </c>
      <c r="L89" s="23" t="str">
        <f t="array" ref="L89">"Max production of "&amp;E89&amp;" travel demand by "&amp;V89&amp;" and "&amp;W89</f>
        <v>Max production of TPM travel demand by Walk and Bike</v>
      </c>
      <c r="M89" s="23"/>
      <c r="N89" s="23"/>
      <c r="O89" s="23"/>
      <c r="P89" s="23"/>
      <c r="Q89" s="23"/>
      <c r="R89" s="23"/>
      <c r="U89" s="39" t="s">
        <v>349</v>
      </c>
      <c r="V89" s="40" t="s">
        <v>65</v>
      </c>
      <c r="W89" s="39" t="s">
        <v>66</v>
      </c>
      <c r="X89" s="39" t="s">
        <v>82</v>
      </c>
    </row>
    <row r="90" spans="2:24">
      <c r="B90" s="23" t="str">
        <f t="shared" si="11"/>
        <v>UC_Up_Walk-Public bus_TPM</v>
      </c>
      <c r="C90" s="39" t="str">
        <f t="shared" si="12"/>
        <v>TPWALK,TPBU*</v>
      </c>
      <c r="D90" s="39" t="str">
        <f t="shared" si="13"/>
        <v>BIKEcom,TRA*</v>
      </c>
      <c r="E90" s="39" t="str">
        <f t="shared" si="14"/>
        <v>TPM</v>
      </c>
      <c r="F90" s="39" t="s">
        <v>78</v>
      </c>
      <c r="G90" s="39">
        <v>2010</v>
      </c>
      <c r="H90" s="39">
        <v>1</v>
      </c>
      <c r="I90" s="39">
        <f t="array" ref="I90">INDEX($AE$7:$AH$63,MATCH($V90&amp;$W90,$AA$7:$AA$63&amp;$AB$7:$AB$63,0),MATCH($E90,$AE$6:$AH$6,0))+INDEX('LTM data'!$D$47:$W$66,MATCH(RIGHT(I$6,4)&amp;'Couple Potential'!$X90,'LTM data'!$A$47:$A$66&amp;'LTM data'!$C$47:$C$66,0),MATCH('Couple Potential'!$W90,'LTM data'!$D$46:$W$46,0))+INDEX('LTM data'!$D$47:$W$66,MATCH(RIGHT(I$6,4)&amp;'Couple Potential'!$X90,'LTM data'!$A$47:$A$66&amp;'LTM data'!$C$47:$C$66,0),MATCH('Couple Potential'!$V90,'LTM data'!$D$46:$W$46,0))</f>
        <v>100485.97387171804</v>
      </c>
      <c r="J90" s="39">
        <f t="array" ref="J90">INDEX($AE$7:$AH$63,MATCH(V90&amp;W90,$AA$7:$AA$63&amp;$AB$7:$AB$63,0),MATCH(E90,$AE$6:$AH$6,0))+INDEX('LTM data'!$D$47:$W$66,MATCH(RIGHT($J$6,4)&amp;'Couple Potential'!X90,'LTM data'!$A$47:$A$66&amp;'LTM data'!$C$47:$C$66,0),MATCH('Couple Potential'!W90,'LTM data'!$D$46:$W$46,0))+INDEX('LTM data'!$D$47:$W$66,MATCH(RIGHT($J$6,4)&amp;'Couple Potential'!X90,'LTM data'!$A$47:$A$66&amp;'LTM data'!$C$47:$C$66,0),MATCH('Couple Potential'!V90,'LTM data'!$D$46:$W$46,0))</f>
        <v>100444.30183146874</v>
      </c>
      <c r="K90" s="39">
        <v>15</v>
      </c>
      <c r="L90" s="23" t="str">
        <f t="array" ref="L90">"Max production of "&amp;E90&amp;" travel demand by "&amp;V90&amp;" and "&amp;W90</f>
        <v>Max production of TPM travel demand by Walk and Public bus</v>
      </c>
      <c r="M90" s="23"/>
      <c r="N90" s="23"/>
      <c r="O90" s="23"/>
      <c r="P90" s="23"/>
      <c r="Q90" s="23"/>
      <c r="R90" s="23"/>
      <c r="U90" s="39" t="s">
        <v>349</v>
      </c>
      <c r="V90" s="40" t="s">
        <v>65</v>
      </c>
      <c r="W90" s="39" t="s">
        <v>71</v>
      </c>
      <c r="X90" s="39" t="s">
        <v>82</v>
      </c>
    </row>
    <row r="91" spans="2:24">
      <c r="B91" s="23" t="str">
        <f t="shared" si="11"/>
        <v>UC_Up_Walk-Train_TPM</v>
      </c>
      <c r="C91" s="39" t="str">
        <f t="shared" si="12"/>
        <v>TPWALK,TPRO*</v>
      </c>
      <c r="D91" s="39" t="str">
        <f t="shared" si="13"/>
        <v>BIKEcom,TRA*</v>
      </c>
      <c r="E91" s="39" t="str">
        <f t="shared" si="14"/>
        <v>TPM</v>
      </c>
      <c r="F91" s="39" t="s">
        <v>78</v>
      </c>
      <c r="G91" s="39">
        <v>2010</v>
      </c>
      <c r="H91" s="39">
        <v>1</v>
      </c>
      <c r="I91" s="39">
        <f t="array" ref="I91">INDEX($AE$7:$AH$63,MATCH($V91&amp;$W91,$AA$7:$AA$63&amp;$AB$7:$AB$63,0),MATCH($E91,$AE$6:$AH$6,0))+INDEX('LTM data'!$D$47:$W$66,MATCH(RIGHT(I$6,4)&amp;'Couple Potential'!$X91,'LTM data'!$A$47:$A$66&amp;'LTM data'!$C$47:$C$66,0),MATCH('Couple Potential'!$W91,'LTM data'!$D$46:$W$46,0))+INDEX('LTM data'!$D$47:$W$66,MATCH(RIGHT(I$6,4)&amp;'Couple Potential'!$X91,'LTM data'!$A$47:$A$66&amp;'LTM data'!$C$47:$C$66,0),MATCH('Couple Potential'!$V91,'LTM data'!$D$46:$W$46,0))</f>
        <v>100922.02188034031</v>
      </c>
      <c r="J91" s="39">
        <f t="array" ref="J91">INDEX($AE$7:$AH$63,MATCH(V91&amp;W91,$AA$7:$AA$63&amp;$AB$7:$AB$63,0),MATCH(E91,$AE$6:$AH$6,0))+INDEX('LTM data'!$D$47:$W$66,MATCH(RIGHT($J$6,4)&amp;'Couple Potential'!X91,'LTM data'!$A$47:$A$66&amp;'LTM data'!$C$47:$C$66,0),MATCH('Couple Potential'!W91,'LTM data'!$D$46:$W$46,0))+INDEX('LTM data'!$D$47:$W$66,MATCH(RIGHT($J$6,4)&amp;'Couple Potential'!X91,'LTM data'!$A$47:$A$66&amp;'LTM data'!$C$47:$C$66,0),MATCH('Couple Potential'!V91,'LTM data'!$D$46:$W$46,0))</f>
        <v>101567.42470724876</v>
      </c>
      <c r="K91" s="39">
        <v>15</v>
      </c>
      <c r="L91" s="23" t="str">
        <f t="array" ref="L91">"Max production of "&amp;E91&amp;" travel demand by "&amp;V91&amp;" and "&amp;W91</f>
        <v>Max production of TPM travel demand by Walk and Train</v>
      </c>
      <c r="M91" s="23"/>
      <c r="N91" s="23"/>
      <c r="O91" s="23"/>
      <c r="P91" s="23"/>
      <c r="Q91" s="23"/>
      <c r="R91" s="23"/>
      <c r="U91" s="39" t="s">
        <v>349</v>
      </c>
      <c r="V91" s="40" t="s">
        <v>65</v>
      </c>
      <c r="W91" s="39" t="s">
        <v>69</v>
      </c>
      <c r="X91" s="39" t="s">
        <v>82</v>
      </c>
    </row>
    <row r="92" spans="2:24">
      <c r="B92" s="23" t="str">
        <f t="shared" si="11"/>
        <v>UC_Up_Walk-Coach_TPM</v>
      </c>
      <c r="C92" s="39" t="str">
        <f t="shared" si="12"/>
        <v>TPWALK,TPCO*</v>
      </c>
      <c r="D92" s="39" t="str">
        <f t="shared" si="13"/>
        <v>BIKEcom,TRA*</v>
      </c>
      <c r="E92" s="39" t="str">
        <f t="shared" si="14"/>
        <v>TPM</v>
      </c>
      <c r="F92" s="39" t="s">
        <v>78</v>
      </c>
      <c r="G92" s="39">
        <v>2010</v>
      </c>
      <c r="H92" s="39">
        <v>1</v>
      </c>
      <c r="I92" s="39">
        <f t="array" ref="I92">INDEX($AE$7:$AH$63,MATCH($V92&amp;$W92,$AA$7:$AA$63&amp;$AB$7:$AB$63,0),MATCH($E92,$AE$6:$AH$6,0))+INDEX('LTM data'!$D$47:$W$66,MATCH(RIGHT(I$6,4)&amp;'Couple Potential'!$X92,'LTM data'!$A$47:$A$66&amp;'LTM data'!$C$47:$C$66,0),MATCH('Couple Potential'!$W92,'LTM data'!$D$46:$W$46,0))+INDEX('LTM data'!$D$47:$W$66,MATCH(RIGHT(I$6,4)&amp;'Couple Potential'!$X92,'LTM data'!$A$47:$A$66&amp;'LTM data'!$C$47:$C$66,0),MATCH('Couple Potential'!$V92,'LTM data'!$D$46:$W$46,0))</f>
        <v>100388.46786627834</v>
      </c>
      <c r="J92" s="39">
        <f t="array" ref="J92">INDEX($AE$7:$AH$63,MATCH(V92&amp;W92,$AA$7:$AA$63&amp;$AB$7:$AB$63,0),MATCH(E92,$AE$6:$AH$6,0))+INDEX('LTM data'!$D$47:$W$66,MATCH(RIGHT($J$6,4)&amp;'Couple Potential'!X92,'LTM data'!$A$47:$A$66&amp;'LTM data'!$C$47:$C$66,0),MATCH('Couple Potential'!W92,'LTM data'!$D$46:$W$46,0))+INDEX('LTM data'!$D$47:$W$66,MATCH(RIGHT($J$6,4)&amp;'Couple Potential'!X92,'LTM data'!$A$47:$A$66&amp;'LTM data'!$C$47:$C$66,0),MATCH('Couple Potential'!V92,'LTM data'!$D$46:$W$46,0))</f>
        <v>100355.1397525089</v>
      </c>
      <c r="K92" s="39">
        <v>15</v>
      </c>
      <c r="L92" s="23" t="str">
        <f t="array" ref="L92">"Max production of "&amp;E92&amp;" travel demand by "&amp;V92&amp;" and "&amp;W92</f>
        <v>Max production of TPM travel demand by Walk and Coach</v>
      </c>
      <c r="M92" s="23"/>
      <c r="N92" s="23"/>
      <c r="O92" s="23"/>
      <c r="P92" s="23"/>
      <c r="Q92" s="23"/>
      <c r="R92" s="23"/>
      <c r="U92" s="39" t="s">
        <v>349</v>
      </c>
      <c r="V92" s="40" t="s">
        <v>65</v>
      </c>
      <c r="W92" s="39" t="s">
        <v>70</v>
      </c>
      <c r="X92" s="39" t="s">
        <v>82</v>
      </c>
    </row>
    <row r="93" spans="2:24">
      <c r="B93" s="23" t="str">
        <f t="shared" si="11"/>
        <v>UC_Up_Walk-Moto_TPM</v>
      </c>
      <c r="C93" s="39" t="str">
        <f t="shared" si="12"/>
        <v>TPWALK,TPMT*</v>
      </c>
      <c r="D93" s="39" t="str">
        <f t="shared" si="13"/>
        <v>BIKEcom,TRA*</v>
      </c>
      <c r="E93" s="39" t="str">
        <f t="shared" si="14"/>
        <v>TPM</v>
      </c>
      <c r="F93" s="39" t="s">
        <v>78</v>
      </c>
      <c r="G93" s="39">
        <v>2010</v>
      </c>
      <c r="H93" s="39">
        <v>1</v>
      </c>
      <c r="I93" s="39">
        <f t="array" ref="I93">INDEX($AE$7:$AH$63,MATCH($V93&amp;$W93,$AA$7:$AA$63&amp;$AB$7:$AB$63,0),MATCH($E93,$AE$6:$AH$6,0))+INDEX('LTM data'!$D$47:$W$66,MATCH(RIGHT(I$6,4)&amp;'Couple Potential'!$X93,'LTM data'!$A$47:$A$66&amp;'LTM data'!$C$47:$C$66,0),MATCH('Couple Potential'!$W93,'LTM data'!$D$46:$W$46,0))+INDEX('LTM data'!$D$47:$W$66,MATCH(RIGHT(I$6,4)&amp;'Couple Potential'!$X93,'LTM data'!$A$47:$A$66&amp;'LTM data'!$C$47:$C$66,0),MATCH('Couple Potential'!$V93,'LTM data'!$D$46:$W$46,0))</f>
        <v>100125.11304499707</v>
      </c>
      <c r="J93" s="39">
        <f t="array" ref="J93">INDEX($AE$7:$AH$63,MATCH(V93&amp;W93,$AA$7:$AA$63&amp;$AB$7:$AB$63,0),MATCH(E93,$AE$6:$AH$6,0))+INDEX('LTM data'!$D$47:$W$66,MATCH(RIGHT($J$6,4)&amp;'Couple Potential'!X93,'LTM data'!$A$47:$A$66&amp;'LTM data'!$C$47:$C$66,0),MATCH('Couple Potential'!W93,'LTM data'!$D$46:$W$46,0))+INDEX('LTM data'!$D$47:$W$66,MATCH(RIGHT($J$6,4)&amp;'Couple Potential'!X93,'LTM data'!$A$47:$A$66&amp;'LTM data'!$C$47:$C$66,0),MATCH('Couple Potential'!V93,'LTM data'!$D$46:$W$46,0))</f>
        <v>100138.56396489302</v>
      </c>
      <c r="K93" s="39">
        <v>15</v>
      </c>
      <c r="L93" s="23" t="str">
        <f t="array" ref="L93">"Max production of "&amp;E93&amp;" travel demand by "&amp;V93&amp;" and "&amp;W93</f>
        <v>Max production of TPM travel demand by Walk and Moto</v>
      </c>
      <c r="M93" s="23"/>
      <c r="N93" s="23"/>
      <c r="O93" s="23"/>
      <c r="P93" s="23"/>
      <c r="Q93" s="23"/>
      <c r="R93" s="23"/>
      <c r="U93" s="39" t="s">
        <v>349</v>
      </c>
      <c r="V93" s="40" t="s">
        <v>65</v>
      </c>
      <c r="W93" s="39" t="s">
        <v>64</v>
      </c>
      <c r="X93" s="39" t="s">
        <v>82</v>
      </c>
    </row>
    <row r="94" spans="2:24">
      <c r="B94" s="23" t="str">
        <f t="shared" si="11"/>
        <v>UC_Up_Walk-Moped_TPM</v>
      </c>
      <c r="C94" s="39" t="str">
        <f t="shared" si="12"/>
        <v>TPWALK,TPMP*</v>
      </c>
      <c r="D94" s="39" t="str">
        <f t="shared" si="13"/>
        <v>BIKEcom,TRA*</v>
      </c>
      <c r="E94" s="39" t="str">
        <f t="shared" si="14"/>
        <v>TPM</v>
      </c>
      <c r="F94" s="39" t="s">
        <v>78</v>
      </c>
      <c r="G94" s="39">
        <v>2010</v>
      </c>
      <c r="H94" s="39">
        <v>1</v>
      </c>
      <c r="I94" s="39">
        <f t="array" ref="I94">INDEX($AE$7:$AH$63,MATCH($V94&amp;$W94,$AA$7:$AA$63&amp;$AB$7:$AB$63,0),MATCH($E94,$AE$6:$AH$6,0))+INDEX('LTM data'!$D$47:$W$66,MATCH(RIGHT(I$6,4)&amp;'Couple Potential'!$X94,'LTM data'!$A$47:$A$66&amp;'LTM data'!$C$47:$C$66,0),MATCH('Couple Potential'!$W94,'LTM data'!$D$46:$W$46,0))+INDEX('LTM data'!$D$47:$W$66,MATCH(RIGHT(I$6,4)&amp;'Couple Potential'!$X94,'LTM data'!$A$47:$A$66&amp;'LTM data'!$C$47:$C$66,0),MATCH('Couple Potential'!$V94,'LTM data'!$D$46:$W$46,0))</f>
        <v>100005.78618587177</v>
      </c>
      <c r="J94" s="39">
        <f t="array" ref="J94">INDEX($AE$7:$AH$63,MATCH(V94&amp;W94,$AA$7:$AA$63&amp;$AB$7:$AB$63,0),MATCH(E94,$AE$6:$AH$6,0))+INDEX('LTM data'!$D$47:$W$66,MATCH(RIGHT($J$6,4)&amp;'Couple Potential'!X94,'LTM data'!$A$47:$A$66&amp;'LTM data'!$C$47:$C$66,0),MATCH('Couple Potential'!W94,'LTM data'!$D$46:$W$46,0))+INDEX('LTM data'!$D$47:$W$66,MATCH(RIGHT($J$6,4)&amp;'Couple Potential'!X94,'LTM data'!$A$47:$A$66&amp;'LTM data'!$C$47:$C$66,0),MATCH('Couple Potential'!V94,'LTM data'!$D$46:$W$46,0))</f>
        <v>100002.68905743673</v>
      </c>
      <c r="K94" s="39">
        <v>15</v>
      </c>
      <c r="L94" s="23" t="str">
        <f t="array" ref="L94">"Max production of "&amp;E94&amp;" travel demand by "&amp;V94&amp;" and "&amp;W94</f>
        <v>Max production of TPM travel demand by Walk and Moped</v>
      </c>
      <c r="M94" s="23"/>
      <c r="N94" s="23"/>
      <c r="O94" s="23"/>
      <c r="P94" s="23"/>
      <c r="Q94" s="23"/>
      <c r="R94" s="23"/>
      <c r="U94" s="39" t="s">
        <v>349</v>
      </c>
      <c r="V94" s="40" t="s">
        <v>65</v>
      </c>
      <c r="W94" s="39" t="s">
        <v>63</v>
      </c>
      <c r="X94" s="39" t="s">
        <v>82</v>
      </c>
    </row>
    <row r="95" spans="2:24">
      <c r="B95" s="23" t="str">
        <f t="shared" si="11"/>
        <v>UC_Up_Walk-Car_TPM</v>
      </c>
      <c r="C95" s="39" t="str">
        <f t="shared" si="12"/>
        <v>TPWALK,TPCA*</v>
      </c>
      <c r="D95" s="39" t="str">
        <f t="shared" si="13"/>
        <v>BIKEcom,TRA*</v>
      </c>
      <c r="E95" s="39" t="str">
        <f t="shared" si="14"/>
        <v>TPM</v>
      </c>
      <c r="F95" s="39" t="s">
        <v>78</v>
      </c>
      <c r="G95" s="39">
        <v>2010</v>
      </c>
      <c r="H95" s="39">
        <v>1</v>
      </c>
      <c r="I95" s="39">
        <f t="array" ref="I95">INDEX($AE$7:$AH$63,MATCH($V95&amp;$W95,$AA$7:$AA$63&amp;$AB$7:$AB$63,0),MATCH($E95,$AE$6:$AH$6,0))+INDEX('LTM data'!$D$47:$W$66,MATCH(RIGHT(I$6,4)&amp;'Couple Potential'!$X95,'LTM data'!$A$47:$A$66&amp;'LTM data'!$C$47:$C$66,0),MATCH('Couple Potential'!$W95,'LTM data'!$D$46:$W$46,0))+INDEX('LTM data'!$D$47:$W$66,MATCH(RIGHT(I$6,4)&amp;'Couple Potential'!$X95,'LTM data'!$A$47:$A$66&amp;'LTM data'!$C$47:$C$66,0),MATCH('Couple Potential'!$V95,'LTM data'!$D$46:$W$46,0))</f>
        <v>111433.14643148964</v>
      </c>
      <c r="J95" s="39">
        <f t="array" ref="J95">INDEX($AE$7:$AH$63,MATCH(V95&amp;W95,$AA$7:$AA$63&amp;$AB$7:$AB$63,0),MATCH(E95,$AE$6:$AH$6,0))+INDEX('LTM data'!$D$47:$W$66,MATCH(RIGHT($J$6,4)&amp;'Couple Potential'!X95,'LTM data'!$A$47:$A$66&amp;'LTM data'!$C$47:$C$66,0),MATCH('Couple Potential'!W95,'LTM data'!$D$46:$W$46,0))+INDEX('LTM data'!$D$47:$W$66,MATCH(RIGHT($J$6,4)&amp;'Couple Potential'!X95,'LTM data'!$A$47:$A$66&amp;'LTM data'!$C$47:$C$66,0),MATCH('Couple Potential'!V95,'LTM data'!$D$46:$W$46,0))</f>
        <v>116630.84403204451</v>
      </c>
      <c r="K95" s="39">
        <v>15</v>
      </c>
      <c r="L95" s="23" t="str">
        <f t="array" ref="L95">"Max production of "&amp;E95&amp;" travel demand by "&amp;V95&amp;" and "&amp;W95</f>
        <v>Max production of TPM travel demand by Walk and Car</v>
      </c>
      <c r="M95" s="23"/>
      <c r="N95" s="23"/>
      <c r="O95" s="23"/>
      <c r="P95" s="23"/>
      <c r="Q95" s="23"/>
      <c r="R95" s="23"/>
      <c r="U95" s="39" t="s">
        <v>349</v>
      </c>
      <c r="V95" s="40" t="s">
        <v>65</v>
      </c>
      <c r="W95" s="39" t="s">
        <v>72</v>
      </c>
      <c r="X95" s="39" t="s">
        <v>82</v>
      </c>
    </row>
    <row r="96" spans="2:24">
      <c r="B96" s="23" t="str">
        <f t="shared" si="11"/>
        <v>UC_Up_Bike-Moped_TPM</v>
      </c>
      <c r="C96" s="39" t="str">
        <f t="shared" si="12"/>
        <v>TPBI*,TPMP*</v>
      </c>
      <c r="D96" s="39" t="str">
        <f t="shared" si="13"/>
        <v>BIKEcom,TRA*</v>
      </c>
      <c r="E96" s="39" t="str">
        <f t="shared" si="14"/>
        <v>TPM</v>
      </c>
      <c r="F96" s="39" t="s">
        <v>78</v>
      </c>
      <c r="G96" s="39">
        <v>2010</v>
      </c>
      <c r="H96" s="39">
        <v>1</v>
      </c>
      <c r="I96" s="39">
        <f t="array" ref="I96">INDEX($AE$7:$AH$63,MATCH($V96&amp;$W96,$AA$7:$AA$63&amp;$AB$7:$AB$63,0),MATCH($E96,$AE$6:$AH$6,0))+INDEX('LTM data'!$D$47:$W$66,MATCH(RIGHT(I$6,4)&amp;'Couple Potential'!$X96,'LTM data'!$A$47:$A$66&amp;'LTM data'!$C$47:$C$66,0),MATCH('Couple Potential'!$W96,'LTM data'!$D$46:$W$46,0))+INDEX('LTM data'!$D$47:$W$66,MATCH(RIGHT(I$6,4)&amp;'Couple Potential'!$X96,'LTM data'!$A$47:$A$66&amp;'LTM data'!$C$47:$C$66,0),MATCH('Couple Potential'!$V96,'LTM data'!$D$46:$W$46,0))</f>
        <v>100005.78618587177</v>
      </c>
      <c r="J96" s="39">
        <f t="array" ref="J96">INDEX($AE$7:$AH$63,MATCH(V96&amp;W96,$AA$7:$AA$63&amp;$AB$7:$AB$63,0),MATCH(E96,$AE$6:$AH$6,0))+INDEX('LTM data'!$D$47:$W$66,MATCH(RIGHT($J$6,4)&amp;'Couple Potential'!X96,'LTM data'!$A$47:$A$66&amp;'LTM data'!$C$47:$C$66,0),MATCH('Couple Potential'!W96,'LTM data'!$D$46:$W$46,0))+INDEX('LTM data'!$D$47:$W$66,MATCH(RIGHT($J$6,4)&amp;'Couple Potential'!X96,'LTM data'!$A$47:$A$66&amp;'LTM data'!$C$47:$C$66,0),MATCH('Couple Potential'!V96,'LTM data'!$D$46:$W$46,0))</f>
        <v>100002.68905743673</v>
      </c>
      <c r="K96" s="39">
        <v>15</v>
      </c>
      <c r="L96" s="23" t="str">
        <f t="array" ref="L96">"Max production of "&amp;E96&amp;" travel demand by "&amp;V96&amp;" and "&amp;W96</f>
        <v>Max production of TPM travel demand by Bike and Moped</v>
      </c>
      <c r="M96" s="23"/>
      <c r="N96" s="23"/>
      <c r="O96" s="23"/>
      <c r="P96" s="23"/>
      <c r="Q96" s="23"/>
      <c r="R96" s="23"/>
      <c r="U96" s="39" t="s">
        <v>66</v>
      </c>
      <c r="V96" s="39" t="s">
        <v>66</v>
      </c>
      <c r="W96" s="39" t="s">
        <v>63</v>
      </c>
      <c r="X96" s="39" t="s">
        <v>82</v>
      </c>
    </row>
    <row r="97" spans="2:24">
      <c r="B97" s="23" t="str">
        <f t="shared" si="11"/>
        <v>UC_Up_Bike-Moto_TPM</v>
      </c>
      <c r="C97" s="39" t="str">
        <f t="shared" si="12"/>
        <v>TPBI*,TPMT*</v>
      </c>
      <c r="D97" s="39" t="str">
        <f t="shared" si="13"/>
        <v>BIKEcom,TRA*</v>
      </c>
      <c r="E97" s="39" t="str">
        <f t="shared" si="14"/>
        <v>TPM</v>
      </c>
      <c r="F97" s="39" t="s">
        <v>78</v>
      </c>
      <c r="G97" s="39">
        <v>2010</v>
      </c>
      <c r="H97" s="39">
        <v>1</v>
      </c>
      <c r="I97" s="39">
        <f t="array" ref="I97">INDEX($AE$7:$AH$63,MATCH($V97&amp;$W97,$AA$7:$AA$63&amp;$AB$7:$AB$63,0),MATCH($E97,$AE$6:$AH$6,0))+INDEX('LTM data'!$D$47:$W$66,MATCH(RIGHT(I$6,4)&amp;'Couple Potential'!$X97,'LTM data'!$A$47:$A$66&amp;'LTM data'!$C$47:$C$66,0),MATCH('Couple Potential'!$W97,'LTM data'!$D$46:$W$46,0))+INDEX('LTM data'!$D$47:$W$66,MATCH(RIGHT(I$6,4)&amp;'Couple Potential'!$X97,'LTM data'!$A$47:$A$66&amp;'LTM data'!$C$47:$C$66,0),MATCH('Couple Potential'!$V97,'LTM data'!$D$46:$W$46,0))</f>
        <v>100125.11304499707</v>
      </c>
      <c r="J97" s="39">
        <f t="array" ref="J97">INDEX($AE$7:$AH$63,MATCH(V97&amp;W97,$AA$7:$AA$63&amp;$AB$7:$AB$63,0),MATCH(E97,$AE$6:$AH$6,0))+INDEX('LTM data'!$D$47:$W$66,MATCH(RIGHT($J$6,4)&amp;'Couple Potential'!X97,'LTM data'!$A$47:$A$66&amp;'LTM data'!$C$47:$C$66,0),MATCH('Couple Potential'!W97,'LTM data'!$D$46:$W$46,0))+INDEX('LTM data'!$D$47:$W$66,MATCH(RIGHT($J$6,4)&amp;'Couple Potential'!X97,'LTM data'!$A$47:$A$66&amp;'LTM data'!$C$47:$C$66,0),MATCH('Couple Potential'!V97,'LTM data'!$D$46:$W$46,0))</f>
        <v>100138.56396489302</v>
      </c>
      <c r="K97" s="39">
        <v>15</v>
      </c>
      <c r="L97" s="23" t="str">
        <f t="array" ref="L97">"Max production of "&amp;E97&amp;" travel demand by "&amp;V97&amp;" and "&amp;W97</f>
        <v>Max production of TPM travel demand by Bike and Moto</v>
      </c>
      <c r="M97" s="23"/>
      <c r="N97" s="23"/>
      <c r="O97" s="23"/>
      <c r="P97" s="23"/>
      <c r="Q97" s="23"/>
      <c r="R97" s="23"/>
      <c r="U97" s="39" t="s">
        <v>66</v>
      </c>
      <c r="V97" s="39" t="s">
        <v>66</v>
      </c>
      <c r="W97" s="39" t="s">
        <v>64</v>
      </c>
      <c r="X97" s="39" t="s">
        <v>82</v>
      </c>
    </row>
    <row r="98" spans="2:24">
      <c r="B98" s="23" t="str">
        <f t="shared" si="11"/>
        <v>UC_Up_Bike-Public bus_TPM</v>
      </c>
      <c r="C98" s="39" t="str">
        <f t="shared" si="12"/>
        <v>TPBI*,TPBU*</v>
      </c>
      <c r="D98" s="39" t="str">
        <f t="shared" si="13"/>
        <v>BIKEcom,TRA*</v>
      </c>
      <c r="E98" s="39" t="str">
        <f t="shared" si="14"/>
        <v>TPM</v>
      </c>
      <c r="F98" s="39" t="s">
        <v>78</v>
      </c>
      <c r="G98" s="39">
        <v>2010</v>
      </c>
      <c r="H98" s="39">
        <v>1</v>
      </c>
      <c r="I98" s="39">
        <f t="array" ref="I98">INDEX($AE$7:$AH$63,MATCH($V98&amp;$W98,$AA$7:$AA$63&amp;$AB$7:$AB$63,0),MATCH($E98,$AE$6:$AH$6,0))+INDEX('LTM data'!$D$47:$W$66,MATCH(RIGHT(I$6,4)&amp;'Couple Potential'!$X98,'LTM data'!$A$47:$A$66&amp;'LTM data'!$C$47:$C$66,0),MATCH('Couple Potential'!$W98,'LTM data'!$D$46:$W$46,0))+INDEX('LTM data'!$D$47:$W$66,MATCH(RIGHT(I$6,4)&amp;'Couple Potential'!$X98,'LTM data'!$A$47:$A$66&amp;'LTM data'!$C$47:$C$66,0),MATCH('Couple Potential'!$V98,'LTM data'!$D$46:$W$46,0))</f>
        <v>100485.97387171804</v>
      </c>
      <c r="J98" s="39">
        <f t="array" ref="J98">INDEX($AE$7:$AH$63,MATCH(V98&amp;W98,$AA$7:$AA$63&amp;$AB$7:$AB$63,0),MATCH(E98,$AE$6:$AH$6,0))+INDEX('LTM data'!$D$47:$W$66,MATCH(RIGHT($J$6,4)&amp;'Couple Potential'!X98,'LTM data'!$A$47:$A$66&amp;'LTM data'!$C$47:$C$66,0),MATCH('Couple Potential'!W98,'LTM data'!$D$46:$W$46,0))+INDEX('LTM data'!$D$47:$W$66,MATCH(RIGHT($J$6,4)&amp;'Couple Potential'!X98,'LTM data'!$A$47:$A$66&amp;'LTM data'!$C$47:$C$66,0),MATCH('Couple Potential'!V98,'LTM data'!$D$46:$W$46,0))</f>
        <v>100444.30183146874</v>
      </c>
      <c r="K98" s="39">
        <v>15</v>
      </c>
      <c r="L98" s="23" t="str">
        <f t="array" ref="L98">"Max production of "&amp;E98&amp;" travel demand by "&amp;V98&amp;" and "&amp;W98</f>
        <v>Max production of TPM travel demand by Bike and Public bus</v>
      </c>
      <c r="M98" s="23"/>
      <c r="N98" s="23"/>
      <c r="O98" s="23"/>
      <c r="P98" s="23"/>
      <c r="Q98" s="23"/>
      <c r="R98" s="23"/>
      <c r="U98" s="39" t="s">
        <v>66</v>
      </c>
      <c r="V98" s="39" t="s">
        <v>66</v>
      </c>
      <c r="W98" s="39" t="s">
        <v>71</v>
      </c>
      <c r="X98" s="39" t="s">
        <v>82</v>
      </c>
    </row>
    <row r="99" spans="2:24">
      <c r="B99" s="23" t="str">
        <f t="shared" si="11"/>
        <v>UC_Up_Bike-S-Train_TPM</v>
      </c>
      <c r="C99" s="39" t="str">
        <f t="shared" si="12"/>
        <v>TPBI*,TPRS*</v>
      </c>
      <c r="D99" s="39" t="str">
        <f t="shared" si="13"/>
        <v>BIKEcom,TRA*</v>
      </c>
      <c r="E99" s="39" t="str">
        <f t="shared" si="14"/>
        <v>TPM</v>
      </c>
      <c r="F99" s="39" t="s">
        <v>78</v>
      </c>
      <c r="G99" s="39">
        <v>2010</v>
      </c>
      <c r="H99" s="39">
        <v>1</v>
      </c>
      <c r="I99" s="39">
        <f t="array" ref="I99">INDEX($AE$7:$AH$63,MATCH($V99&amp;$W99,$AA$7:$AA$63&amp;$AB$7:$AB$63,0),MATCH($E99,$AE$6:$AH$6,0))+INDEX('LTM data'!$D$47:$W$66,MATCH(RIGHT(I$6,4)&amp;'Couple Potential'!$X99,'LTM data'!$A$47:$A$66&amp;'LTM data'!$C$47:$C$66,0),MATCH('Couple Potential'!$W99,'LTM data'!$D$46:$W$46,0))+INDEX('LTM data'!$D$47:$W$66,MATCH(RIGHT(I$6,4)&amp;'Couple Potential'!$X99,'LTM data'!$A$47:$A$66&amp;'LTM data'!$C$47:$C$66,0),MATCH('Couple Potential'!$V99,'LTM data'!$D$46:$W$46,0))</f>
        <v>100414.59740225763</v>
      </c>
      <c r="J99" s="39">
        <f t="array" ref="J99">INDEX($AE$7:$AH$63,MATCH(V99&amp;W99,$AA$7:$AA$63&amp;$AB$7:$AB$63,0),MATCH(E99,$AE$6:$AH$6,0))+INDEX('LTM data'!$D$47:$W$66,MATCH(RIGHT($J$6,4)&amp;'Couple Potential'!X99,'LTM data'!$A$47:$A$66&amp;'LTM data'!$C$47:$C$66,0),MATCH('Couple Potential'!W99,'LTM data'!$D$46:$W$46,0))+INDEX('LTM data'!$D$47:$W$66,MATCH(RIGHT($J$6,4)&amp;'Couple Potential'!X99,'LTM data'!$A$47:$A$66&amp;'LTM data'!$C$47:$C$66,0),MATCH('Couple Potential'!V99,'LTM data'!$D$46:$W$46,0))</f>
        <v>100418.24078180312</v>
      </c>
      <c r="K99" s="39">
        <v>15</v>
      </c>
      <c r="L99" s="23" t="str">
        <f t="array" ref="L99">"Max production of "&amp;E99&amp;" travel demand by "&amp;V99&amp;" and "&amp;W99</f>
        <v>Max production of TPM travel demand by Bike and S-Train</v>
      </c>
      <c r="M99" s="23"/>
      <c r="N99" s="23"/>
      <c r="O99" s="23"/>
      <c r="P99" s="23"/>
      <c r="Q99" s="23"/>
      <c r="R99" s="23"/>
      <c r="U99" s="39" t="s">
        <v>66</v>
      </c>
      <c r="V99" s="39" t="s">
        <v>66</v>
      </c>
      <c r="W99" s="39" t="s">
        <v>343</v>
      </c>
      <c r="X99" s="39" t="s">
        <v>82</v>
      </c>
    </row>
    <row r="100" spans="2:24">
      <c r="B100" s="23" t="str">
        <f t="shared" si="11"/>
        <v>*</v>
      </c>
      <c r="C100" s="39" t="str">
        <f t="shared" si="12"/>
        <v>TPBI*,TPRM*</v>
      </c>
      <c r="D100" s="39" t="str">
        <f t="shared" si="13"/>
        <v>BIKEcom,TRA*</v>
      </c>
      <c r="E100" s="39" t="str">
        <f t="shared" si="14"/>
        <v>TPM</v>
      </c>
      <c r="F100" s="39" t="s">
        <v>78</v>
      </c>
      <c r="G100" s="39">
        <v>2010</v>
      </c>
      <c r="H100" s="39">
        <v>1</v>
      </c>
      <c r="I100" s="39">
        <f t="array" ref="I100">INDEX($AE$7:$AH$63,MATCH($V100&amp;$W100,$AA$7:$AA$63&amp;$AB$7:$AB$63,0),MATCH($E100,$AE$6:$AH$6,0))+INDEX('LTM data'!$D$47:$W$66,MATCH(RIGHT(I$6,4)&amp;'Couple Potential'!$X100,'LTM data'!$A$47:$A$66&amp;'LTM data'!$C$47:$C$66,0),MATCH('Couple Potential'!$W100,'LTM data'!$D$46:$W$46,0))+INDEX('LTM data'!$D$47:$W$66,MATCH(RIGHT(I$6,4)&amp;'Couple Potential'!$X100,'LTM data'!$A$47:$A$66&amp;'LTM data'!$C$47:$C$66,0),MATCH('Couple Potential'!$V100,'LTM data'!$D$46:$W$46,0))</f>
        <v>99999</v>
      </c>
      <c r="J100" s="39">
        <f t="array" ref="J100">INDEX($AE$7:$AH$63,MATCH(V100&amp;W100,$AA$7:$AA$63&amp;$AB$7:$AB$63,0),MATCH(E100,$AE$6:$AH$6,0))+INDEX('LTM data'!$D$47:$W$66,MATCH(RIGHT($J$6,4)&amp;'Couple Potential'!X100,'LTM data'!$A$47:$A$66&amp;'LTM data'!$C$47:$C$66,0),MATCH('Couple Potential'!W100,'LTM data'!$D$46:$W$46,0))+INDEX('LTM data'!$D$47:$W$66,MATCH(RIGHT($J$6,4)&amp;'Couple Potential'!X100,'LTM data'!$A$47:$A$66&amp;'LTM data'!$C$47:$C$66,0),MATCH('Couple Potential'!V100,'LTM data'!$D$46:$W$46,0))</f>
        <v>99999</v>
      </c>
      <c r="K100" s="39">
        <v>15</v>
      </c>
      <c r="L100" s="23" t="str">
        <f t="array" ref="L100">"Max production of "&amp;E100&amp;" travel demand by "&amp;V100&amp;" and "&amp;W100</f>
        <v>Max production of TPM travel demand by Bike and Metro</v>
      </c>
      <c r="M100" s="23"/>
      <c r="N100" s="23"/>
      <c r="O100" s="23"/>
      <c r="P100" s="23"/>
      <c r="Q100" s="23"/>
      <c r="R100" s="23"/>
      <c r="U100" s="39" t="s">
        <v>66</v>
      </c>
      <c r="V100" s="39" t="s">
        <v>66</v>
      </c>
      <c r="W100" s="39" t="s">
        <v>67</v>
      </c>
      <c r="X100" s="39" t="s">
        <v>82</v>
      </c>
    </row>
    <row r="101" spans="2:24">
      <c r="B101" s="23" t="str">
        <f t="shared" si="11"/>
        <v>UC_Up_Bike-Train_TPM</v>
      </c>
      <c r="C101" s="39" t="str">
        <f t="shared" si="12"/>
        <v>TPBI*,TPRO*</v>
      </c>
      <c r="D101" s="39" t="str">
        <f t="shared" si="13"/>
        <v>BIKEcom,TRA*</v>
      </c>
      <c r="E101" s="39" t="str">
        <f t="shared" si="14"/>
        <v>TPM</v>
      </c>
      <c r="F101" s="39" t="s">
        <v>78</v>
      </c>
      <c r="G101" s="39">
        <v>2010</v>
      </c>
      <c r="H101" s="39">
        <v>1</v>
      </c>
      <c r="I101" s="39">
        <f t="array" ref="I101">INDEX($AE$7:$AH$63,MATCH($V101&amp;$W101,$AA$7:$AA$63&amp;$AB$7:$AB$63,0),MATCH($E101,$AE$6:$AH$6,0))+INDEX('LTM data'!$D$47:$W$66,MATCH(RIGHT(I$6,4)&amp;'Couple Potential'!$X101,'LTM data'!$A$47:$A$66&amp;'LTM data'!$C$47:$C$66,0),MATCH('Couple Potential'!$W101,'LTM data'!$D$46:$W$46,0))+INDEX('LTM data'!$D$47:$W$66,MATCH(RIGHT(I$6,4)&amp;'Couple Potential'!$X101,'LTM data'!$A$47:$A$66&amp;'LTM data'!$C$47:$C$66,0),MATCH('Couple Potential'!$V101,'LTM data'!$D$46:$W$46,0))</f>
        <v>100922.02188034031</v>
      </c>
      <c r="J101" s="39">
        <f t="array" ref="J101">INDEX($AE$7:$AH$63,MATCH(V101&amp;W101,$AA$7:$AA$63&amp;$AB$7:$AB$63,0),MATCH(E101,$AE$6:$AH$6,0))+INDEX('LTM data'!$D$47:$W$66,MATCH(RIGHT($J$6,4)&amp;'Couple Potential'!X101,'LTM data'!$A$47:$A$66&amp;'LTM data'!$C$47:$C$66,0),MATCH('Couple Potential'!W101,'LTM data'!$D$46:$W$46,0))+INDEX('LTM data'!$D$47:$W$66,MATCH(RIGHT($J$6,4)&amp;'Couple Potential'!X101,'LTM data'!$A$47:$A$66&amp;'LTM data'!$C$47:$C$66,0),MATCH('Couple Potential'!V101,'LTM data'!$D$46:$W$46,0))</f>
        <v>101567.42470724876</v>
      </c>
      <c r="K101" s="39">
        <v>15</v>
      </c>
      <c r="L101" s="23" t="str">
        <f t="array" ref="L101">"Max production of "&amp;E101&amp;" travel demand by "&amp;V101&amp;" and "&amp;W101</f>
        <v>Max production of TPM travel demand by Bike and Train</v>
      </c>
      <c r="M101" s="23"/>
      <c r="N101" s="23"/>
      <c r="O101" s="23"/>
      <c r="P101" s="23"/>
      <c r="Q101" s="23"/>
      <c r="R101" s="23"/>
      <c r="U101" s="39" t="s">
        <v>66</v>
      </c>
      <c r="V101" s="39" t="s">
        <v>66</v>
      </c>
      <c r="W101" s="39" t="s">
        <v>69</v>
      </c>
      <c r="X101" s="39" t="s">
        <v>82</v>
      </c>
    </row>
    <row r="102" spans="2:24">
      <c r="B102" s="23" t="str">
        <f t="shared" si="11"/>
        <v>UC_Up_Bike-Coach_TPM</v>
      </c>
      <c r="C102" s="39" t="str">
        <f t="shared" si="12"/>
        <v>TPBI*,TPCO*</v>
      </c>
      <c r="D102" s="39" t="str">
        <f t="shared" si="13"/>
        <v>BIKEcom,TRA*</v>
      </c>
      <c r="E102" s="39" t="str">
        <f t="shared" si="14"/>
        <v>TPM</v>
      </c>
      <c r="F102" s="39" t="s">
        <v>78</v>
      </c>
      <c r="G102" s="39">
        <v>2010</v>
      </c>
      <c r="H102" s="39">
        <v>1</v>
      </c>
      <c r="I102" s="39">
        <f t="array" ref="I102">INDEX($AE$7:$AH$63,MATCH($V102&amp;$W102,$AA$7:$AA$63&amp;$AB$7:$AB$63,0),MATCH($E102,$AE$6:$AH$6,0))+INDEX('LTM data'!$D$47:$W$66,MATCH(RIGHT(I$6,4)&amp;'Couple Potential'!$X102,'LTM data'!$A$47:$A$66&amp;'LTM data'!$C$47:$C$66,0),MATCH('Couple Potential'!$W102,'LTM data'!$D$46:$W$46,0))+INDEX('LTM data'!$D$47:$W$66,MATCH(RIGHT(I$6,4)&amp;'Couple Potential'!$X102,'LTM data'!$A$47:$A$66&amp;'LTM data'!$C$47:$C$66,0),MATCH('Couple Potential'!$V102,'LTM data'!$D$46:$W$46,0))</f>
        <v>100388.46786627834</v>
      </c>
      <c r="J102" s="39">
        <f t="array" ref="J102">INDEX($AE$7:$AH$63,MATCH(V102&amp;W102,$AA$7:$AA$63&amp;$AB$7:$AB$63,0),MATCH(E102,$AE$6:$AH$6,0))+INDEX('LTM data'!$D$47:$W$66,MATCH(RIGHT($J$6,4)&amp;'Couple Potential'!X102,'LTM data'!$A$47:$A$66&amp;'LTM data'!$C$47:$C$66,0),MATCH('Couple Potential'!W102,'LTM data'!$D$46:$W$46,0))+INDEX('LTM data'!$D$47:$W$66,MATCH(RIGHT($J$6,4)&amp;'Couple Potential'!X102,'LTM data'!$A$47:$A$66&amp;'LTM data'!$C$47:$C$66,0),MATCH('Couple Potential'!V102,'LTM data'!$D$46:$W$46,0))</f>
        <v>100355.1397525089</v>
      </c>
      <c r="K102" s="39">
        <v>15</v>
      </c>
      <c r="L102" s="23" t="str">
        <f t="array" ref="L102">"Max production of "&amp;E102&amp;" travel demand by "&amp;V102&amp;" and "&amp;W102</f>
        <v>Max production of TPM travel demand by Bike and Coach</v>
      </c>
      <c r="M102" s="23"/>
      <c r="N102" s="23"/>
      <c r="O102" s="23"/>
      <c r="P102" s="23"/>
      <c r="Q102" s="23"/>
      <c r="R102" s="23"/>
      <c r="U102" s="39" t="s">
        <v>66</v>
      </c>
      <c r="V102" s="39" t="s">
        <v>66</v>
      </c>
      <c r="W102" s="39" t="s">
        <v>70</v>
      </c>
      <c r="X102" s="39" t="s">
        <v>82</v>
      </c>
    </row>
    <row r="103" spans="2:24">
      <c r="B103" s="23" t="str">
        <f t="shared" si="11"/>
        <v>UC_Up_Bike-Car_TPM</v>
      </c>
      <c r="C103" s="39" t="str">
        <f t="shared" si="12"/>
        <v>TPBI*,TPCA*</v>
      </c>
      <c r="D103" s="39" t="str">
        <f t="shared" si="13"/>
        <v>BIKEcom,TRA*</v>
      </c>
      <c r="E103" s="39" t="str">
        <f t="shared" si="14"/>
        <v>TPM</v>
      </c>
      <c r="F103" s="39" t="s">
        <v>78</v>
      </c>
      <c r="G103" s="39">
        <v>2010</v>
      </c>
      <c r="H103" s="39">
        <v>1</v>
      </c>
      <c r="I103" s="39">
        <f t="array" ref="I103">INDEX($AE$7:$AH$63,MATCH($V103&amp;$W103,$AA$7:$AA$63&amp;$AB$7:$AB$63,0),MATCH($E103,$AE$6:$AH$6,0))+INDEX('LTM data'!$D$47:$W$66,MATCH(RIGHT(I$6,4)&amp;'Couple Potential'!$X103,'LTM data'!$A$47:$A$66&amp;'LTM data'!$C$47:$C$66,0),MATCH('Couple Potential'!$W103,'LTM data'!$D$46:$W$46,0))+INDEX('LTM data'!$D$47:$W$66,MATCH(RIGHT(I$6,4)&amp;'Couple Potential'!$X103,'LTM data'!$A$47:$A$66&amp;'LTM data'!$C$47:$C$66,0),MATCH('Couple Potential'!$V103,'LTM data'!$D$46:$W$46,0))</f>
        <v>111433.14643148964</v>
      </c>
      <c r="J103" s="39">
        <f t="array" ref="J103">INDEX($AE$7:$AH$63,MATCH(V103&amp;W103,$AA$7:$AA$63&amp;$AB$7:$AB$63,0),MATCH(E103,$AE$6:$AH$6,0))+INDEX('LTM data'!$D$47:$W$66,MATCH(RIGHT($J$6,4)&amp;'Couple Potential'!X103,'LTM data'!$A$47:$A$66&amp;'LTM data'!$C$47:$C$66,0),MATCH('Couple Potential'!W103,'LTM data'!$D$46:$W$46,0))+INDEX('LTM data'!$D$47:$W$66,MATCH(RIGHT($J$6,4)&amp;'Couple Potential'!X103,'LTM data'!$A$47:$A$66&amp;'LTM data'!$C$47:$C$66,0),MATCH('Couple Potential'!V103,'LTM data'!$D$46:$W$46,0))</f>
        <v>116630.84403204451</v>
      </c>
      <c r="K103" s="39">
        <v>15</v>
      </c>
      <c r="L103" s="23" t="str">
        <f t="array" ref="L103">"Max production of "&amp;E103&amp;" travel demand by "&amp;V103&amp;" and "&amp;W103</f>
        <v>Max production of TPM travel demand by Bike and Car</v>
      </c>
      <c r="M103" s="23"/>
      <c r="N103" s="23"/>
      <c r="O103" s="23"/>
      <c r="P103" s="23"/>
      <c r="Q103" s="23"/>
      <c r="R103" s="23"/>
      <c r="U103" s="39" t="s">
        <v>66</v>
      </c>
      <c r="V103" s="39" t="s">
        <v>66</v>
      </c>
      <c r="W103" s="39" t="s">
        <v>72</v>
      </c>
      <c r="X103" s="39" t="s">
        <v>82</v>
      </c>
    </row>
    <row r="104" spans="2:24">
      <c r="B104" s="23" t="str">
        <f t="shared" si="11"/>
        <v>UC_Up_Public bus-Coach_TPM</v>
      </c>
      <c r="C104" s="39" t="str">
        <f t="shared" si="12"/>
        <v>TPBU*,TPCO*</v>
      </c>
      <c r="D104" s="39" t="str">
        <f t="shared" si="13"/>
        <v>TRA*</v>
      </c>
      <c r="E104" s="39" t="str">
        <f t="shared" si="14"/>
        <v>TPM</v>
      </c>
      <c r="F104" s="39" t="s">
        <v>78</v>
      </c>
      <c r="G104" s="39">
        <v>2010</v>
      </c>
      <c r="H104" s="39">
        <v>1</v>
      </c>
      <c r="I104" s="39">
        <f t="array" ref="I104">INDEX($AE$7:$AH$63,MATCH($V104&amp;$W104,$AA$7:$AA$63&amp;$AB$7:$AB$63,0),MATCH($E104,$AE$6:$AH$6,0))+INDEX('LTM data'!$D$47:$W$66,MATCH(RIGHT(I$6,4)&amp;'Couple Potential'!$X104,'LTM data'!$A$47:$A$66&amp;'LTM data'!$C$47:$C$66,0),MATCH('Couple Potential'!$W104,'LTM data'!$D$46:$W$46,0))+INDEX('LTM data'!$D$47:$W$66,MATCH(RIGHT(I$6,4)&amp;'Couple Potential'!$X104,'LTM data'!$A$47:$A$66&amp;'LTM data'!$C$47:$C$66,0),MATCH('Couple Potential'!$V104,'LTM data'!$D$46:$W$46,0))</f>
        <v>17299.3076139</v>
      </c>
      <c r="J104" s="39">
        <f t="array" ref="J104">INDEX($AE$7:$AH$63,MATCH(V104&amp;W104,$AA$7:$AA$63&amp;$AB$7:$AB$63,0),MATCH(E104,$AE$6:$AH$6,0))+INDEX('LTM data'!$D$47:$W$66,MATCH(RIGHT($J$6,4)&amp;'Couple Potential'!X104,'LTM data'!$A$47:$A$66&amp;'LTM data'!$C$47:$C$66,0),MATCH('Couple Potential'!W104,'LTM data'!$D$46:$W$46,0))+INDEX('LTM data'!$D$47:$W$66,MATCH(RIGHT($J$6,4)&amp;'Couple Potential'!X104,'LTM data'!$A$47:$A$66&amp;'LTM data'!$C$47:$C$66,0),MATCH('Couple Potential'!V104,'LTM data'!$D$46:$W$46,0))</f>
        <v>17224.307459881245</v>
      </c>
      <c r="K104" s="39">
        <v>15</v>
      </c>
      <c r="L104" s="23" t="str">
        <f t="array" ref="L104">"Max production of "&amp;E104&amp;" travel demand by "&amp;V104&amp;" and "&amp;W104</f>
        <v>Max production of TPM travel demand by Public bus and Coach</v>
      </c>
      <c r="M104" s="23"/>
      <c r="N104" s="23"/>
      <c r="O104" s="23"/>
      <c r="P104" s="23"/>
      <c r="Q104" s="23"/>
      <c r="R104" s="23"/>
      <c r="U104" s="39" t="s">
        <v>71</v>
      </c>
      <c r="V104" s="39" t="s">
        <v>71</v>
      </c>
      <c r="W104" s="39" t="s">
        <v>70</v>
      </c>
      <c r="X104" s="39" t="s">
        <v>82</v>
      </c>
    </row>
    <row r="105" spans="2:24">
      <c r="B105" s="23" t="str">
        <f t="shared" si="11"/>
        <v>UC_Up_Public bus-Train_TPM</v>
      </c>
      <c r="C105" s="39" t="str">
        <f t="shared" si="12"/>
        <v>TPBU*,TPRO*</v>
      </c>
      <c r="D105" s="39" t="str">
        <f t="shared" si="13"/>
        <v>TRA*</v>
      </c>
      <c r="E105" s="39" t="str">
        <f t="shared" ref="E105:E118" si="15">X105</f>
        <v>TPM</v>
      </c>
      <c r="F105" s="39" t="s">
        <v>78</v>
      </c>
      <c r="G105" s="39">
        <v>2010</v>
      </c>
      <c r="H105" s="39">
        <v>1</v>
      </c>
      <c r="I105" s="39">
        <f t="array" ref="I105">INDEX($AE$7:$AH$63,MATCH($V105&amp;$W105,$AA$7:$AA$63&amp;$AB$7:$AB$63,0),MATCH($E105,$AE$6:$AH$6,0))+INDEX('LTM data'!$D$47:$W$66,MATCH(RIGHT(I$6,4)&amp;'Couple Potential'!$X105,'LTM data'!$A$47:$A$66&amp;'LTM data'!$C$47:$C$66,0),MATCH('Couple Potential'!$W105,'LTM data'!$D$46:$W$46,0))+INDEX('LTM data'!$D$47:$W$66,MATCH(RIGHT(I$6,4)&amp;'Couple Potential'!$X105,'LTM data'!$A$47:$A$66&amp;'LTM data'!$C$47:$C$66,0),MATCH('Couple Potential'!$V105,'LTM data'!$D$46:$W$46,0))</f>
        <v>16010.203642299999</v>
      </c>
      <c r="J105" s="39">
        <f t="array" ref="J105">INDEX($AE$7:$AH$63,MATCH($V105&amp;$W105,$AA$7:$AA$63&amp;$AB$7:$AB$63,0),MATCH($E105,$AE$6:$AH$6,0))+INDEX('LTM data'!$D$47:$W$66,MATCH(RIGHT(J$6,4)&amp;'Couple Potential'!$X105,'LTM data'!$A$47:$A$66&amp;'LTM data'!$C$47:$C$66,0),MATCH('Couple Potential'!$W105,'LTM data'!$D$46:$W$46,0))+INDEX('LTM data'!$D$47:$W$66,MATCH(RIGHT(J$6,4)&amp;'Couple Potential'!$X105,'LTM data'!$A$47:$A$66&amp;'LTM data'!$C$47:$C$66,0),MATCH('Couple Potential'!$V105,'LTM data'!$D$46:$W$46,0))</f>
        <v>16613.934428959135</v>
      </c>
      <c r="K105" s="39">
        <v>15</v>
      </c>
      <c r="L105" s="23" t="str">
        <f t="array" ref="L105">"Max production of "&amp;E105&amp;" travel demand by "&amp;V105&amp;" and "&amp;W105</f>
        <v>Max production of TPM travel demand by Public bus and Train</v>
      </c>
      <c r="M105" s="23"/>
      <c r="N105" s="23"/>
      <c r="O105" s="23"/>
      <c r="P105" s="23"/>
      <c r="Q105" s="23"/>
      <c r="R105" s="23"/>
      <c r="U105" s="39" t="s">
        <v>71</v>
      </c>
      <c r="V105" s="39" t="s">
        <v>71</v>
      </c>
      <c r="W105" s="39" t="s">
        <v>69</v>
      </c>
      <c r="X105" s="39" t="s">
        <v>82</v>
      </c>
    </row>
    <row r="106" spans="2:24">
      <c r="B106" s="23" t="str">
        <f t="shared" si="11"/>
        <v>UC_Up_Public bus-Metro_TPM</v>
      </c>
      <c r="C106" s="39" t="str">
        <f t="shared" si="12"/>
        <v>TPBU*,TPRM*</v>
      </c>
      <c r="D106" s="39" t="str">
        <f t="shared" si="13"/>
        <v>TRA*</v>
      </c>
      <c r="E106" s="39" t="str">
        <f t="shared" si="15"/>
        <v>TPM</v>
      </c>
      <c r="F106" s="39" t="s">
        <v>78</v>
      </c>
      <c r="G106" s="39">
        <v>2010</v>
      </c>
      <c r="H106" s="39">
        <v>1</v>
      </c>
      <c r="I106" s="39">
        <f t="array" ref="I106">INDEX($AE$7:$AH$63,MATCH($V106&amp;$W106,$AA$7:$AA$63&amp;$AB$7:$AB$63,0),MATCH($E106,$AE$6:$AH$6,0))+INDEX('LTM data'!$D$47:$W$66,MATCH(RIGHT(I$6,4)&amp;'Couple Potential'!$X106,'LTM data'!$A$47:$A$66&amp;'LTM data'!$C$47:$C$66,0),MATCH('Couple Potential'!$W106,'LTM data'!$D$46:$W$46,0))+INDEX('LTM data'!$D$47:$W$66,MATCH(RIGHT(I$6,4)&amp;'Couple Potential'!$X106,'LTM data'!$A$47:$A$66&amp;'LTM data'!$C$47:$C$66,0),MATCH('Couple Potential'!$V106,'LTM data'!$D$46:$W$46,0))</f>
        <v>100485.97387171804</v>
      </c>
      <c r="J106" s="39">
        <f t="array" ref="J106">INDEX($AE$7:$AH$63,MATCH($V106&amp;$W106,$AA$7:$AA$63&amp;$AB$7:$AB$63,0),MATCH($E106,$AE$6:$AH$6,0))+INDEX('LTM data'!$D$47:$W$66,MATCH(RIGHT(J$6,4)&amp;'Couple Potential'!$X106,'LTM data'!$A$47:$A$66&amp;'LTM data'!$C$47:$C$66,0),MATCH('Couple Potential'!$W106,'LTM data'!$D$46:$W$46,0))+INDEX('LTM data'!$D$47:$W$66,MATCH(RIGHT(J$6,4)&amp;'Couple Potential'!$X106,'LTM data'!$A$47:$A$66&amp;'LTM data'!$C$47:$C$66,0),MATCH('Couple Potential'!$V106,'LTM data'!$D$46:$W$46,0))</f>
        <v>100444.30183146874</v>
      </c>
      <c r="K106" s="39">
        <v>15</v>
      </c>
      <c r="L106" s="23" t="str">
        <f t="array" ref="L106">"Max production of "&amp;E106&amp;" travel demand by "&amp;V106&amp;" and "&amp;W106</f>
        <v>Max production of TPM travel demand by Public bus and Metro</v>
      </c>
      <c r="M106" s="23"/>
      <c r="N106" s="23"/>
      <c r="O106" s="23"/>
      <c r="P106" s="23"/>
      <c r="Q106" s="23"/>
      <c r="R106" s="23"/>
      <c r="U106" s="39" t="s">
        <v>71</v>
      </c>
      <c r="V106" s="39" t="s">
        <v>71</v>
      </c>
      <c r="W106" s="39" t="s">
        <v>67</v>
      </c>
      <c r="X106" s="39" t="s">
        <v>82</v>
      </c>
    </row>
    <row r="107" spans="2:24">
      <c r="B107" s="23" t="str">
        <f t="shared" si="11"/>
        <v>UC_Up_Public bus-S-Train_TPM</v>
      </c>
      <c r="C107" s="39" t="str">
        <f t="shared" si="12"/>
        <v>TPBU*,TPRS*</v>
      </c>
      <c r="D107" s="39" t="str">
        <f t="shared" si="13"/>
        <v>TRA*</v>
      </c>
      <c r="E107" s="39" t="str">
        <f t="shared" si="15"/>
        <v>TPM</v>
      </c>
      <c r="F107" s="39" t="s">
        <v>78</v>
      </c>
      <c r="G107" s="39">
        <v>2010</v>
      </c>
      <c r="H107" s="39">
        <v>1</v>
      </c>
      <c r="I107" s="39">
        <f t="array" ref="I107">INDEX($AE$7:$AH$63,MATCH($V107&amp;$W107,$AA$7:$AA$63&amp;$AB$7:$AB$63,0),MATCH($E107,$AE$6:$AH$6,0))+INDEX('LTM data'!$D$47:$W$66,MATCH(RIGHT(I$6,4)&amp;'Couple Potential'!$X107,'LTM data'!$A$47:$A$66&amp;'LTM data'!$C$47:$C$66,0),MATCH('Couple Potential'!$W107,'LTM data'!$D$46:$W$46,0))+INDEX('LTM data'!$D$47:$W$66,MATCH(RIGHT(I$6,4)&amp;'Couple Potential'!$X107,'LTM data'!$A$47:$A$66&amp;'LTM data'!$C$47:$C$66,0),MATCH('Couple Potential'!$V107,'LTM data'!$D$46:$W$46,0))</f>
        <v>7287.3833204000002</v>
      </c>
      <c r="J107" s="39">
        <f t="array" ref="J107">INDEX($AE$7:$AH$63,MATCH($V107&amp;$W107,$AA$7:$AA$63&amp;$AB$7:$AB$63,0),MATCH($E107,$AE$6:$AH$6,0))+INDEX('LTM data'!$D$47:$W$66,MATCH(RIGHT(J$6,4)&amp;'Couple Potential'!$X107,'LTM data'!$A$47:$A$66&amp;'LTM data'!$C$47:$C$66,0),MATCH('Couple Potential'!$W107,'LTM data'!$D$46:$W$46,0))+INDEX('LTM data'!$D$47:$W$66,MATCH(RIGHT(J$6,4)&amp;'Couple Potential'!$X107,'LTM data'!$A$47:$A$66&amp;'LTM data'!$C$47:$C$66,0),MATCH('Couple Potential'!$V107,'LTM data'!$D$46:$W$46,0))</f>
        <v>7249.3546596961869</v>
      </c>
      <c r="K107" s="39">
        <v>15</v>
      </c>
      <c r="L107" s="23" t="str">
        <f t="array" ref="L107">"Max production of "&amp;E107&amp;" travel demand by "&amp;V107&amp;" and "&amp;W107</f>
        <v>Max production of TPM travel demand by Public bus and S-Train</v>
      </c>
      <c r="M107" s="23"/>
      <c r="N107" s="23"/>
      <c r="O107" s="23"/>
      <c r="P107" s="23"/>
      <c r="Q107" s="23"/>
      <c r="R107" s="23"/>
      <c r="U107" s="39" t="s">
        <v>71</v>
      </c>
      <c r="V107" s="39" t="s">
        <v>71</v>
      </c>
      <c r="W107" s="39" t="s">
        <v>343</v>
      </c>
      <c r="X107" s="39" t="s">
        <v>82</v>
      </c>
    </row>
    <row r="108" spans="2:24">
      <c r="B108" s="23" t="str">
        <f t="shared" si="11"/>
        <v>UC_Up_Public bus-Moto_TPM</v>
      </c>
      <c r="C108" s="39" t="str">
        <f t="shared" si="12"/>
        <v>TPBU*,TPMT*</v>
      </c>
      <c r="D108" s="39" t="str">
        <f t="shared" si="13"/>
        <v>TRA*</v>
      </c>
      <c r="E108" s="39" t="str">
        <f t="shared" si="15"/>
        <v>TPM</v>
      </c>
      <c r="F108" s="39" t="s">
        <v>78</v>
      </c>
      <c r="G108" s="39">
        <v>2010</v>
      </c>
      <c r="H108" s="39">
        <v>1</v>
      </c>
      <c r="I108" s="39">
        <f t="array" ref="I108">INDEX($AE$7:$AH$63,MATCH($V108&amp;$W108,$AA$7:$AA$63&amp;$AB$7:$AB$63,0),MATCH($E108,$AE$6:$AH$6,0))+INDEX('LTM data'!$D$47:$W$66,MATCH(RIGHT(I$6,4)&amp;'Couple Potential'!$X108,'LTM data'!$A$47:$A$66&amp;'LTM data'!$C$47:$C$66,0),MATCH('Couple Potential'!$W108,'LTM data'!$D$46:$W$46,0))+INDEX('LTM data'!$D$47:$W$66,MATCH(RIGHT(I$6,4)&amp;'Couple Potential'!$X108,'LTM data'!$A$47:$A$66&amp;'LTM data'!$C$47:$C$66,0),MATCH('Couple Potential'!$V108,'LTM data'!$D$46:$W$46,0))</f>
        <v>17463.5028714</v>
      </c>
      <c r="J108" s="39">
        <f t="array" ref="J108">INDEX($AE$7:$AH$63,MATCH($V108&amp;$W108,$AA$7:$AA$63&amp;$AB$7:$AB$63,0),MATCH($E108,$AE$6:$AH$6,0))+INDEX('LTM data'!$D$47:$W$66,MATCH(RIGHT(J$6,4)&amp;'Couple Potential'!$X108,'LTM data'!$A$47:$A$66&amp;'LTM data'!$C$47:$C$66,0),MATCH('Couple Potential'!$W108,'LTM data'!$D$46:$W$46,0))+INDEX('LTM data'!$D$47:$W$66,MATCH(RIGHT(J$6,4)&amp;'Couple Potential'!$X108,'LTM data'!$A$47:$A$66&amp;'LTM data'!$C$47:$C$66,0),MATCH('Couple Potential'!$V108,'LTM data'!$D$46:$W$46,0))</f>
        <v>17435.281751046645</v>
      </c>
      <c r="K108" s="39">
        <v>15</v>
      </c>
      <c r="L108" s="23" t="str">
        <f t="array" ref="L108">"Max production of "&amp;E108&amp;" travel demand by "&amp;V108&amp;" and "&amp;W108</f>
        <v>Max production of TPM travel demand by Public bus and Moto</v>
      </c>
      <c r="M108" s="23"/>
      <c r="N108" s="23"/>
      <c r="O108" s="23"/>
      <c r="P108" s="23"/>
      <c r="Q108" s="23"/>
      <c r="R108" s="23"/>
      <c r="U108" s="39" t="s">
        <v>71</v>
      </c>
      <c r="V108" s="39" t="s">
        <v>71</v>
      </c>
      <c r="W108" s="39" t="s">
        <v>64</v>
      </c>
      <c r="X108" s="39" t="s">
        <v>82</v>
      </c>
    </row>
    <row r="109" spans="2:24">
      <c r="B109" s="23" t="str">
        <f t="shared" si="11"/>
        <v>UC_Up_Public bus-Moped_TPM</v>
      </c>
      <c r="C109" s="39" t="str">
        <f t="shared" si="12"/>
        <v>TPBU*,TPMP*</v>
      </c>
      <c r="D109" s="39" t="str">
        <f t="shared" si="13"/>
        <v>TRA*</v>
      </c>
      <c r="E109" s="39" t="str">
        <f t="shared" si="15"/>
        <v>TPM</v>
      </c>
      <c r="F109" s="39" t="s">
        <v>78</v>
      </c>
      <c r="G109" s="39">
        <v>2010</v>
      </c>
      <c r="H109" s="39">
        <v>1</v>
      </c>
      <c r="I109" s="39">
        <f t="array" ref="I109">INDEX($AE$7:$AH$63,MATCH($V109&amp;$W109,$AA$7:$AA$63&amp;$AB$7:$AB$63,0),MATCH($E109,$AE$6:$AH$6,0))+INDEX('LTM data'!$D$47:$W$66,MATCH(RIGHT(I$6,4)&amp;'Couple Potential'!$X109,'LTM data'!$A$47:$A$66&amp;'LTM data'!$C$47:$C$66,0),MATCH('Couple Potential'!$W109,'LTM data'!$D$46:$W$46,0))+INDEX('LTM data'!$D$47:$W$66,MATCH(RIGHT(I$6,4)&amp;'Couple Potential'!$X109,'LTM data'!$A$47:$A$66&amp;'LTM data'!$C$47:$C$66,0),MATCH('Couple Potential'!$V109,'LTM data'!$D$46:$W$46,0))</f>
        <v>100492.76005758981</v>
      </c>
      <c r="J109" s="39">
        <f t="array" ref="J109">INDEX($AE$7:$AH$63,MATCH($V109&amp;$W109,$AA$7:$AA$63&amp;$AB$7:$AB$63,0),MATCH($E109,$AE$6:$AH$6,0))+INDEX('LTM data'!$D$47:$W$66,MATCH(RIGHT(J$6,4)&amp;'Couple Potential'!$X109,'LTM data'!$A$47:$A$66&amp;'LTM data'!$C$47:$C$66,0),MATCH('Couple Potential'!$W109,'LTM data'!$D$46:$W$46,0))+INDEX('LTM data'!$D$47:$W$66,MATCH(RIGHT(J$6,4)&amp;'Couple Potential'!$X109,'LTM data'!$A$47:$A$66&amp;'LTM data'!$C$47:$C$66,0),MATCH('Couple Potential'!$V109,'LTM data'!$D$46:$W$46,0))</f>
        <v>100447.99088890546</v>
      </c>
      <c r="K109" s="39">
        <v>15</v>
      </c>
      <c r="L109" s="23" t="str">
        <f t="array" ref="L109">"Max production of "&amp;E109&amp;" travel demand by "&amp;V109&amp;" and "&amp;W109</f>
        <v>Max production of TPM travel demand by Public bus and Moped</v>
      </c>
      <c r="M109" s="23"/>
      <c r="N109" s="23"/>
      <c r="O109" s="23"/>
      <c r="P109" s="23"/>
      <c r="Q109" s="23"/>
      <c r="R109" s="23"/>
      <c r="U109" s="39" t="s">
        <v>71</v>
      </c>
      <c r="V109" s="39" t="s">
        <v>71</v>
      </c>
      <c r="W109" s="39" t="s">
        <v>63</v>
      </c>
      <c r="X109" s="39" t="s">
        <v>82</v>
      </c>
    </row>
    <row r="110" spans="2:24">
      <c r="B110" s="23" t="str">
        <f t="shared" si="11"/>
        <v>UC_Up_Public bus-Car_TPM</v>
      </c>
      <c r="C110" s="39" t="str">
        <f t="shared" si="12"/>
        <v>TPBU*,TPCA*</v>
      </c>
      <c r="D110" s="39" t="str">
        <f t="shared" si="13"/>
        <v>TRA*</v>
      </c>
      <c r="E110" s="39" t="str">
        <f t="shared" si="15"/>
        <v>TPM</v>
      </c>
      <c r="F110" s="39" t="s">
        <v>78</v>
      </c>
      <c r="G110" s="39">
        <v>2010</v>
      </c>
      <c r="H110" s="39">
        <v>1</v>
      </c>
      <c r="I110" s="39">
        <f t="array" ref="I110">INDEX($AE$7:$AH$63,MATCH($V110&amp;$W110,$AA$7:$AA$63&amp;$AB$7:$AB$63,0),MATCH($E110,$AE$6:$AH$6,0))+INDEX('LTM data'!$D$47:$W$66,MATCH(RIGHT(I$6,4)&amp;'Couple Potential'!$X110,'LTM data'!$A$47:$A$66&amp;'LTM data'!$C$47:$C$66,0),MATCH('Couple Potential'!$W110,'LTM data'!$D$46:$W$46,0))+INDEX('LTM data'!$D$47:$W$66,MATCH(RIGHT(I$6,4)&amp;'Couple Potential'!$X110,'LTM data'!$A$47:$A$66&amp;'LTM data'!$C$47:$C$66,0),MATCH('Couple Potential'!$V110,'LTM data'!$D$46:$W$46,0))</f>
        <v>111920.12030320769</v>
      </c>
      <c r="J110" s="39">
        <f t="array" ref="J110">INDEX($AE$7:$AH$63,MATCH($V110&amp;$W110,$AA$7:$AA$63&amp;$AB$7:$AB$63,0),MATCH($E110,$AE$6:$AH$6,0))+INDEX('LTM data'!$D$47:$W$66,MATCH(RIGHT(J$6,4)&amp;'Couple Potential'!$X110,'LTM data'!$A$47:$A$66&amp;'LTM data'!$C$47:$C$66,0),MATCH('Couple Potential'!$W110,'LTM data'!$D$46:$W$46,0))+INDEX('LTM data'!$D$47:$W$66,MATCH(RIGHT(J$6,4)&amp;'Couple Potential'!$X110,'LTM data'!$A$47:$A$66&amp;'LTM data'!$C$47:$C$66,0),MATCH('Couple Potential'!$V110,'LTM data'!$D$46:$W$46,0))</f>
        <v>117076.14586351324</v>
      </c>
      <c r="K110" s="39">
        <v>15</v>
      </c>
      <c r="L110" s="23" t="str">
        <f t="array" ref="L110">"Max production of "&amp;E110&amp;" travel demand by "&amp;V110&amp;" and "&amp;W110</f>
        <v>Max production of TPM travel demand by Public bus and Car</v>
      </c>
      <c r="M110" s="23"/>
      <c r="N110" s="23"/>
      <c r="O110" s="23"/>
      <c r="P110" s="23"/>
      <c r="Q110" s="23"/>
      <c r="R110" s="23"/>
      <c r="U110" s="39" t="s">
        <v>71</v>
      </c>
      <c r="V110" s="39" t="s">
        <v>71</v>
      </c>
      <c r="W110" s="39" t="s">
        <v>72</v>
      </c>
      <c r="X110" s="39" t="s">
        <v>82</v>
      </c>
    </row>
    <row r="111" spans="2:24">
      <c r="B111" s="23" t="str">
        <f t="shared" si="11"/>
        <v>UC_Up_Coach-Train_TPM</v>
      </c>
      <c r="C111" s="39" t="str">
        <f t="shared" si="12"/>
        <v>TPCO*,TPRO*</v>
      </c>
      <c r="D111" s="39" t="str">
        <f t="shared" si="13"/>
        <v>TRA*</v>
      </c>
      <c r="E111" s="39" t="str">
        <f t="shared" si="15"/>
        <v>TPM</v>
      </c>
      <c r="F111" s="39" t="s">
        <v>78</v>
      </c>
      <c r="G111" s="39">
        <v>2010</v>
      </c>
      <c r="H111" s="39">
        <v>1</v>
      </c>
      <c r="I111" s="39">
        <f t="array" ref="I111">INDEX($AE$7:$AH$63,MATCH($V111&amp;$W111,$AA$7:$AA$63&amp;$AB$7:$AB$63,0),MATCH($E111,$AE$6:$AH$6,0))+INDEX('LTM data'!$D$47:$W$66,MATCH(RIGHT(I$6,4)&amp;'Couple Potential'!$X111,'LTM data'!$A$47:$A$66&amp;'LTM data'!$C$47:$C$66,0),MATCH('Couple Potential'!$W111,'LTM data'!$D$46:$W$46,0))+INDEX('LTM data'!$D$47:$W$66,MATCH(RIGHT(I$6,4)&amp;'Couple Potential'!$X111,'LTM data'!$A$47:$A$66&amp;'LTM data'!$C$47:$C$66,0),MATCH('Couple Potential'!$V111,'LTM data'!$D$46:$W$46,0))</f>
        <v>17019.983900700005</v>
      </c>
      <c r="J111" s="39">
        <f t="array" ref="J111">INDEX($AE$7:$AH$63,MATCH($V111&amp;$W111,$AA$7:$AA$63&amp;$AB$7:$AB$63,0),MATCH($E111,$AE$6:$AH$6,0))+INDEX('LTM data'!$D$47:$W$66,MATCH(RIGHT(J$6,4)&amp;'Couple Potential'!$X111,'LTM data'!$A$47:$A$66&amp;'LTM data'!$C$47:$C$66,0),MATCH('Couple Potential'!$W111,'LTM data'!$D$46:$W$46,0))+INDEX('LTM data'!$D$47:$W$66,MATCH(RIGHT(J$6,4)&amp;'Couple Potential'!$X111,'LTM data'!$A$47:$A$66&amp;'LTM data'!$C$47:$C$66,0),MATCH('Couple Potential'!$V111,'LTM data'!$D$46:$W$46,0))</f>
        <v>17632.05861383901</v>
      </c>
      <c r="K111" s="39">
        <v>15</v>
      </c>
      <c r="L111" s="23" t="str">
        <f t="array" ref="L111">"Max production of "&amp;E111&amp;" travel demand by "&amp;V111&amp;" and "&amp;W111</f>
        <v>Max production of TPM travel demand by Coach and Train</v>
      </c>
      <c r="M111" s="23"/>
      <c r="N111" s="23"/>
      <c r="O111" s="23"/>
      <c r="P111" s="23"/>
      <c r="Q111" s="23"/>
      <c r="R111" s="23"/>
      <c r="U111" s="39" t="s">
        <v>70</v>
      </c>
      <c r="V111" s="39" t="s">
        <v>70</v>
      </c>
      <c r="W111" s="39" t="s">
        <v>69</v>
      </c>
      <c r="X111" s="39" t="s">
        <v>82</v>
      </c>
    </row>
    <row r="112" spans="2:24">
      <c r="B112" s="23" t="str">
        <f t="shared" si="11"/>
        <v>UC_Up_Coach-Metro_TPM</v>
      </c>
      <c r="C112" s="39" t="str">
        <f t="shared" si="12"/>
        <v>TPCO*,TPRM*</v>
      </c>
      <c r="D112" s="39" t="str">
        <f t="shared" si="13"/>
        <v>TRA*</v>
      </c>
      <c r="E112" s="39" t="str">
        <f t="shared" si="15"/>
        <v>TPM</v>
      </c>
      <c r="F112" s="39" t="s">
        <v>78</v>
      </c>
      <c r="G112" s="39">
        <v>2010</v>
      </c>
      <c r="H112" s="39">
        <v>1</v>
      </c>
      <c r="I112" s="39">
        <f t="array" ref="I112">INDEX($AE$7:$AH$63,MATCH($V112&amp;$W112,$AA$7:$AA$63&amp;$AB$7:$AB$63,0),MATCH($E112,$AE$6:$AH$6,0))+INDEX('LTM data'!$D$47:$W$66,MATCH(RIGHT(I$6,4)&amp;'Couple Potential'!$X112,'LTM data'!$A$47:$A$66&amp;'LTM data'!$C$47:$C$66,0),MATCH('Couple Potential'!$W112,'LTM data'!$D$46:$W$46,0))+INDEX('LTM data'!$D$47:$W$66,MATCH(RIGHT(I$6,4)&amp;'Couple Potential'!$X112,'LTM data'!$A$47:$A$66&amp;'LTM data'!$C$47:$C$66,0),MATCH('Couple Potential'!$V112,'LTM data'!$D$46:$W$46,0))</f>
        <v>100388.46786627834</v>
      </c>
      <c r="J112" s="39">
        <f t="array" ref="J112">INDEX($AE$7:$AH$63,MATCH($V112&amp;$W112,$AA$7:$AA$63&amp;$AB$7:$AB$63,0),MATCH($E112,$AE$6:$AH$6,0))+INDEX('LTM data'!$D$47:$W$66,MATCH(RIGHT(J$6,4)&amp;'Couple Potential'!$X112,'LTM data'!$A$47:$A$66&amp;'LTM data'!$C$47:$C$66,0),MATCH('Couple Potential'!$W112,'LTM data'!$D$46:$W$46,0))+INDEX('LTM data'!$D$47:$W$66,MATCH(RIGHT(J$6,4)&amp;'Couple Potential'!$X112,'LTM data'!$A$47:$A$66&amp;'LTM data'!$C$47:$C$66,0),MATCH('Couple Potential'!$V112,'LTM data'!$D$46:$W$46,0))</f>
        <v>100355.1397525089</v>
      </c>
      <c r="K112" s="39">
        <v>15</v>
      </c>
      <c r="L112" s="23" t="str">
        <f t="array" ref="L112">"Max production of "&amp;E112&amp;" travel demand by "&amp;V112&amp;" and "&amp;W112</f>
        <v>Max production of TPM travel demand by Coach and Metro</v>
      </c>
      <c r="M112" s="23"/>
      <c r="N112" s="23"/>
      <c r="O112" s="23"/>
      <c r="P112" s="23"/>
      <c r="Q112" s="23"/>
      <c r="R112" s="23"/>
      <c r="U112" s="39" t="s">
        <v>70</v>
      </c>
      <c r="V112" s="39" t="s">
        <v>70</v>
      </c>
      <c r="W112" s="39" t="s">
        <v>67</v>
      </c>
      <c r="X112" s="39" t="s">
        <v>82</v>
      </c>
    </row>
    <row r="113" spans="2:24">
      <c r="B113" s="23" t="str">
        <f t="shared" si="11"/>
        <v>UC_Up_Coach-S-Train_TPM</v>
      </c>
      <c r="C113" s="39" t="str">
        <f t="shared" si="12"/>
        <v>TPCO*,TPRS*</v>
      </c>
      <c r="D113" s="39" t="str">
        <f t="shared" si="13"/>
        <v>TRA*</v>
      </c>
      <c r="E113" s="39" t="str">
        <f t="shared" si="15"/>
        <v>TPM</v>
      </c>
      <c r="F113" s="39" t="s">
        <v>78</v>
      </c>
      <c r="G113" s="39">
        <v>2010</v>
      </c>
      <c r="H113" s="39">
        <v>1</v>
      </c>
      <c r="I113" s="39">
        <f t="array" ref="I113">INDEX($AE$7:$AH$63,MATCH($V113&amp;$W113,$AA$7:$AA$63&amp;$AB$7:$AB$63,0),MATCH($E113,$AE$6:$AH$6,0))+INDEX('LTM data'!$D$47:$W$66,MATCH(RIGHT(I$6,4)&amp;'Couple Potential'!$X113,'LTM data'!$A$47:$A$66&amp;'LTM data'!$C$47:$C$66,0),MATCH('Couple Potential'!$W113,'LTM data'!$D$46:$W$46,0))+INDEX('LTM data'!$D$47:$W$66,MATCH(RIGHT(I$6,4)&amp;'Couple Potential'!$X113,'LTM data'!$A$47:$A$66&amp;'LTM data'!$C$47:$C$66,0),MATCH('Couple Potential'!$V113,'LTM data'!$D$46:$W$46,0))</f>
        <v>7287.3833204000002</v>
      </c>
      <c r="J113" s="39">
        <f t="array" ref="J113">INDEX($AE$7:$AH$63,MATCH($V113&amp;$W113,$AA$7:$AA$63&amp;$AB$7:$AB$63,0),MATCH($E113,$AE$6:$AH$6,0))+INDEX('LTM data'!$D$47:$W$66,MATCH(RIGHT(J$6,4)&amp;'Couple Potential'!$X113,'LTM data'!$A$47:$A$66&amp;'LTM data'!$C$47:$C$66,0),MATCH('Couple Potential'!$W113,'LTM data'!$D$46:$W$46,0))+INDEX('LTM data'!$D$47:$W$66,MATCH(RIGHT(J$6,4)&amp;'Couple Potential'!$X113,'LTM data'!$A$47:$A$66&amp;'LTM data'!$C$47:$C$66,0),MATCH('Couple Potential'!$V113,'LTM data'!$D$46:$W$46,0))</f>
        <v>7257.6985861760577</v>
      </c>
      <c r="K113" s="39">
        <v>15</v>
      </c>
      <c r="L113" s="23" t="str">
        <f t="array" ref="L113">"Max production of "&amp;E113&amp;" travel demand by "&amp;V113&amp;" and "&amp;W113</f>
        <v>Max production of TPM travel demand by Coach and S-Train</v>
      </c>
      <c r="M113" s="23"/>
      <c r="N113" s="23"/>
      <c r="O113" s="23"/>
      <c r="P113" s="23"/>
      <c r="Q113" s="23"/>
      <c r="R113" s="23"/>
      <c r="U113" s="39" t="s">
        <v>70</v>
      </c>
      <c r="V113" s="39" t="s">
        <v>70</v>
      </c>
      <c r="W113" s="39" t="s">
        <v>343</v>
      </c>
      <c r="X113" s="39" t="s">
        <v>82</v>
      </c>
    </row>
    <row r="114" spans="2:24">
      <c r="B114" s="23" t="str">
        <f t="shared" si="11"/>
        <v>UC_Up_Coach-Moto_TPM</v>
      </c>
      <c r="C114" s="39" t="str">
        <f t="shared" si="12"/>
        <v>TPCO*,TPMT*</v>
      </c>
      <c r="D114" s="39" t="str">
        <f t="shared" si="13"/>
        <v>TRA*</v>
      </c>
      <c r="E114" s="39" t="str">
        <f t="shared" si="15"/>
        <v>TPM</v>
      </c>
      <c r="F114" s="39" t="s">
        <v>78</v>
      </c>
      <c r="G114" s="39">
        <v>2010</v>
      </c>
      <c r="H114" s="39">
        <v>1</v>
      </c>
      <c r="I114" s="39">
        <f t="array" ref="I114">INDEX($AE$7:$AH$63,MATCH($V114&amp;$W114,$AA$7:$AA$63&amp;$AB$7:$AB$63,0),MATCH($E114,$AE$6:$AH$6,0))+INDEX('LTM data'!$D$47:$W$66,MATCH(RIGHT(I$6,4)&amp;'Couple Potential'!$X114,'LTM data'!$A$47:$A$66&amp;'LTM data'!$C$47:$C$66,0),MATCH('Couple Potential'!$W114,'LTM data'!$D$46:$W$46,0))+INDEX('LTM data'!$D$47:$W$66,MATCH(RIGHT(I$6,4)&amp;'Couple Potential'!$X114,'LTM data'!$A$47:$A$66&amp;'LTM data'!$C$47:$C$66,0),MATCH('Couple Potential'!$V114,'LTM data'!$D$46:$W$46,0))</f>
        <v>7172.2548645999996</v>
      </c>
      <c r="J114" s="39">
        <f t="array" ref="J114">INDEX($AE$7:$AH$63,MATCH($V114&amp;$W114,$AA$7:$AA$63&amp;$AB$7:$AB$63,0),MATCH($E114,$AE$6:$AH$6,0))+INDEX('LTM data'!$D$47:$W$66,MATCH(RIGHT(J$6,4)&amp;'Couple Potential'!$X114,'LTM data'!$A$47:$A$66&amp;'LTM data'!$C$47:$C$66,0),MATCH('Couple Potential'!$W114,'LTM data'!$D$46:$W$46,0))+INDEX('LTM data'!$D$47:$W$66,MATCH(RIGHT(J$6,4)&amp;'Couple Potential'!$X114,'LTM data'!$A$47:$A$66&amp;'LTM data'!$C$47:$C$66,0),MATCH('Couple Potential'!$V114,'LTM data'!$D$46:$W$46,0))</f>
        <v>7152.377670726516</v>
      </c>
      <c r="K114" s="39">
        <v>15</v>
      </c>
      <c r="L114" s="23" t="str">
        <f t="array" ref="L114">"Max production of "&amp;E114&amp;" travel demand by "&amp;V114&amp;" and "&amp;W114</f>
        <v>Max production of TPM travel demand by Coach and Moto</v>
      </c>
      <c r="M114" s="23"/>
      <c r="N114" s="23"/>
      <c r="O114" s="23"/>
      <c r="P114" s="23"/>
      <c r="Q114" s="23"/>
      <c r="R114" s="23"/>
      <c r="U114" s="39" t="s">
        <v>70</v>
      </c>
      <c r="V114" s="39" t="s">
        <v>70</v>
      </c>
      <c r="W114" s="39" t="s">
        <v>64</v>
      </c>
      <c r="X114" s="39" t="s">
        <v>82</v>
      </c>
    </row>
    <row r="115" spans="2:24">
      <c r="B115" s="23" t="str">
        <f t="shared" si="11"/>
        <v>UC_Up_Coach-Moped_TPM</v>
      </c>
      <c r="C115" s="39" t="str">
        <f t="shared" si="12"/>
        <v>TPCO*,TPMP*</v>
      </c>
      <c r="D115" s="39" t="str">
        <f t="shared" si="13"/>
        <v>TRA*</v>
      </c>
      <c r="E115" s="39" t="str">
        <f t="shared" si="15"/>
        <v>TPM</v>
      </c>
      <c r="F115" s="39" t="s">
        <v>78</v>
      </c>
      <c r="G115" s="39">
        <v>2010</v>
      </c>
      <c r="H115" s="39">
        <v>1</v>
      </c>
      <c r="I115" s="39">
        <f t="array" ref="I115">INDEX($AE$7:$AH$63,MATCH($V115&amp;$W115,$AA$7:$AA$63&amp;$AB$7:$AB$63,0),MATCH($E115,$AE$6:$AH$6,0))+INDEX('LTM data'!$D$47:$W$66,MATCH(RIGHT(I$6,4)&amp;'Couple Potential'!$X115,'LTM data'!$A$47:$A$66&amp;'LTM data'!$C$47:$C$66,0),MATCH('Couple Potential'!$W115,'LTM data'!$D$46:$W$46,0))+INDEX('LTM data'!$D$47:$W$66,MATCH(RIGHT(I$6,4)&amp;'Couple Potential'!$X115,'LTM data'!$A$47:$A$66&amp;'LTM data'!$C$47:$C$66,0),MATCH('Couple Potential'!$V115,'LTM data'!$D$46:$W$46,0))</f>
        <v>17299.307613900004</v>
      </c>
      <c r="J115" s="39">
        <f t="array" ref="J115">INDEX($AE$7:$AH$63,MATCH($V115&amp;$W115,$AA$7:$AA$63&amp;$AB$7:$AB$63,0),MATCH($E115,$AE$6:$AH$6,0))+INDEX('LTM data'!$D$47:$W$66,MATCH(RIGHT(J$6,4)&amp;'Couple Potential'!$X115,'LTM data'!$A$47:$A$66&amp;'LTM data'!$C$47:$C$66,0),MATCH('Couple Potential'!$W115,'LTM data'!$D$46:$W$46,0))+INDEX('LTM data'!$D$47:$W$66,MATCH(RIGHT(J$6,4)&amp;'Couple Potential'!$X115,'LTM data'!$A$47:$A$66&amp;'LTM data'!$C$47:$C$66,0),MATCH('Couple Potential'!$V115,'LTM data'!$D$46:$W$46,0))</f>
        <v>17262.88237169553</v>
      </c>
      <c r="K115" s="39">
        <v>15</v>
      </c>
      <c r="L115" s="23" t="str">
        <f t="array" ref="L115">"Max production of "&amp;E115&amp;" travel demand by "&amp;V115&amp;" and "&amp;W115</f>
        <v>Max production of TPM travel demand by Coach and Moped</v>
      </c>
      <c r="M115" s="23"/>
      <c r="N115" s="23"/>
      <c r="O115" s="23"/>
      <c r="P115" s="23"/>
      <c r="Q115" s="23"/>
      <c r="R115" s="23"/>
      <c r="U115" s="39" t="s">
        <v>70</v>
      </c>
      <c r="V115" s="39" t="s">
        <v>70</v>
      </c>
      <c r="W115" s="39" t="s">
        <v>63</v>
      </c>
      <c r="X115" s="39" t="s">
        <v>82</v>
      </c>
    </row>
    <row r="116" spans="2:24">
      <c r="B116" s="23" t="str">
        <f t="shared" si="11"/>
        <v>UC_Up_Coach-Car_TPM</v>
      </c>
      <c r="C116" s="39" t="str">
        <f t="shared" si="12"/>
        <v>TPCO*,TPCA*</v>
      </c>
      <c r="D116" s="39" t="str">
        <f t="shared" si="13"/>
        <v>TRA*</v>
      </c>
      <c r="E116" s="39" t="str">
        <f t="shared" si="15"/>
        <v>TPM</v>
      </c>
      <c r="F116" s="39" t="s">
        <v>78</v>
      </c>
      <c r="G116" s="39">
        <v>2010</v>
      </c>
      <c r="H116" s="39">
        <v>1</v>
      </c>
      <c r="I116" s="39">
        <f t="array" ref="I116">INDEX($AE$7:$AH$63,MATCH($V116&amp;$W116,$AA$7:$AA$63&amp;$AB$7:$AB$63,0),MATCH($E116,$AE$6:$AH$6,0))+INDEX('LTM data'!$D$47:$W$66,MATCH(RIGHT(I$6,4)&amp;'Couple Potential'!$X116,'LTM data'!$A$47:$A$66&amp;'LTM data'!$C$47:$C$66,0),MATCH('Couple Potential'!$W116,'LTM data'!$D$46:$W$46,0))+INDEX('LTM data'!$D$47:$W$66,MATCH(RIGHT(I$6,4)&amp;'Couple Potential'!$X116,'LTM data'!$A$47:$A$66&amp;'LTM data'!$C$47:$C$66,0),MATCH('Couple Potential'!$V116,'LTM data'!$D$46:$W$46,0))</f>
        <v>16145.776686199999</v>
      </c>
      <c r="J116" s="39">
        <f t="array" ref="J116">INDEX($AE$7:$AH$63,MATCH($V116&amp;$W116,$AA$7:$AA$63&amp;$AB$7:$AB$63,0),MATCH($E116,$AE$6:$AH$6,0))+INDEX('LTM data'!$D$47:$W$66,MATCH(RIGHT(J$6,4)&amp;'Couple Potential'!$X116,'LTM data'!$A$47:$A$66&amp;'LTM data'!$C$47:$C$66,0),MATCH('Couple Potential'!$W116,'LTM data'!$D$46:$W$46,0))+INDEX('LTM data'!$D$47:$W$66,MATCH(RIGHT(J$6,4)&amp;'Couple Potential'!$X116,'LTM data'!$A$47:$A$66&amp;'LTM data'!$C$47:$C$66,0),MATCH('Couple Potential'!$V116,'LTM data'!$D$46:$W$46,0))</f>
        <v>21310.146172985427</v>
      </c>
      <c r="K116" s="39">
        <v>15</v>
      </c>
      <c r="L116" s="23" t="str">
        <f t="array" ref="L116">"Max production of "&amp;E116&amp;" travel demand by "&amp;V116&amp;" and "&amp;W116</f>
        <v>Max production of TPM travel demand by Coach and Car</v>
      </c>
      <c r="M116" s="23"/>
      <c r="N116" s="23"/>
      <c r="O116" s="23"/>
      <c r="P116" s="23"/>
      <c r="Q116" s="23"/>
      <c r="R116" s="23"/>
      <c r="U116" s="39" t="s">
        <v>70</v>
      </c>
      <c r="V116" s="39" t="s">
        <v>70</v>
      </c>
      <c r="W116" s="39" t="s">
        <v>72</v>
      </c>
      <c r="X116" s="39" t="s">
        <v>82</v>
      </c>
    </row>
    <row r="117" spans="2:24">
      <c r="B117" s="23" t="str">
        <f t="shared" si="11"/>
        <v>UC_Up_Train-Metro_TPM</v>
      </c>
      <c r="C117" s="39" t="str">
        <f t="shared" si="12"/>
        <v>TPRO*,TPRM*</v>
      </c>
      <c r="D117" s="39" t="str">
        <f t="shared" si="13"/>
        <v>TRA*</v>
      </c>
      <c r="E117" s="39" t="str">
        <f t="shared" si="15"/>
        <v>TPM</v>
      </c>
      <c r="F117" s="39" t="s">
        <v>78</v>
      </c>
      <c r="G117" s="39">
        <v>2010</v>
      </c>
      <c r="H117" s="39">
        <v>1</v>
      </c>
      <c r="I117" s="39">
        <f t="array" ref="I117">INDEX($AE$7:$AH$63,MATCH($V117&amp;$W117,$AA$7:$AA$63&amp;$AB$7:$AB$63,0),MATCH($E117,$AE$6:$AH$6,0))+INDEX('LTM data'!$D$47:$W$66,MATCH(RIGHT(I$6,4)&amp;'Couple Potential'!$X117,'LTM data'!$A$47:$A$66&amp;'LTM data'!$C$47:$C$66,0),MATCH('Couple Potential'!$W117,'LTM data'!$D$46:$W$46,0))+INDEX('LTM data'!$D$47:$W$66,MATCH(RIGHT(I$6,4)&amp;'Couple Potential'!$X117,'LTM data'!$A$47:$A$66&amp;'LTM data'!$C$47:$C$66,0),MATCH('Couple Potential'!$V117,'LTM data'!$D$46:$W$46,0))</f>
        <v>100922.02188034031</v>
      </c>
      <c r="J117" s="39">
        <f t="array" ref="J117">INDEX($AE$7:$AH$63,MATCH($V117&amp;$W117,$AA$7:$AA$63&amp;$AB$7:$AB$63,0),MATCH($E117,$AE$6:$AH$6,0))+INDEX('LTM data'!$D$47:$W$66,MATCH(RIGHT(J$6,4)&amp;'Couple Potential'!$X117,'LTM data'!$A$47:$A$66&amp;'LTM data'!$C$47:$C$66,0),MATCH('Couple Potential'!$W117,'LTM data'!$D$46:$W$46,0))+INDEX('LTM data'!$D$47:$W$66,MATCH(RIGHT(J$6,4)&amp;'Couple Potential'!$X117,'LTM data'!$A$47:$A$66&amp;'LTM data'!$C$47:$C$66,0),MATCH('Couple Potential'!$V117,'LTM data'!$D$46:$W$46,0))</f>
        <v>101567.42470724876</v>
      </c>
      <c r="K117" s="39">
        <v>15</v>
      </c>
      <c r="L117" s="23" t="str">
        <f t="array" ref="L117">"Max production of "&amp;E117&amp;" travel demand by "&amp;V117&amp;" and "&amp;W117</f>
        <v>Max production of TPM travel demand by Train and Metro</v>
      </c>
      <c r="M117" s="23"/>
      <c r="N117" s="23"/>
      <c r="O117" s="23"/>
      <c r="P117" s="23"/>
      <c r="Q117" s="23"/>
      <c r="R117" s="23"/>
      <c r="U117" s="39" t="s">
        <v>69</v>
      </c>
      <c r="V117" s="39" t="s">
        <v>69</v>
      </c>
      <c r="W117" s="39" t="s">
        <v>67</v>
      </c>
      <c r="X117" s="39" t="s">
        <v>82</v>
      </c>
    </row>
    <row r="118" spans="2:24">
      <c r="B118" s="23" t="str">
        <f t="shared" si="11"/>
        <v>UC_Up_Train-S-Train_TPM</v>
      </c>
      <c r="C118" s="39" t="str">
        <f t="shared" si="12"/>
        <v>TPRO*,TPRS*</v>
      </c>
      <c r="D118" s="39" t="str">
        <f t="shared" si="13"/>
        <v>TRA*</v>
      </c>
      <c r="E118" s="39" t="str">
        <f t="shared" si="15"/>
        <v>TPM</v>
      </c>
      <c r="F118" s="39" t="s">
        <v>78</v>
      </c>
      <c r="G118" s="39">
        <v>2010</v>
      </c>
      <c r="H118" s="39">
        <v>1</v>
      </c>
      <c r="I118" s="39">
        <f t="array" ref="I118">INDEX($AE$7:$AH$63,MATCH($V118&amp;$W118,$AA$7:$AA$63&amp;$AB$7:$AB$63,0),MATCH($E118,$AE$6:$AH$6,0))+INDEX('LTM data'!$D$47:$W$66,MATCH(RIGHT(I$6,4)&amp;'Couple Potential'!$X118,'LTM data'!$A$47:$A$66&amp;'LTM data'!$C$47:$C$66,0),MATCH('Couple Potential'!$W118,'LTM data'!$D$46:$W$46,0))+INDEX('LTM data'!$D$47:$W$66,MATCH(RIGHT(I$6,4)&amp;'Couple Potential'!$X118,'LTM data'!$A$47:$A$66&amp;'LTM data'!$C$47:$C$66,0),MATCH('Couple Potential'!$V118,'LTM data'!$D$46:$W$46,0))</f>
        <v>15064.9128105</v>
      </c>
      <c r="J118" s="39">
        <f t="array" ref="J118">INDEX($AE$7:$AH$63,MATCH($V118&amp;$W118,$AA$7:$AA$63&amp;$AB$7:$AB$63,0),MATCH($E118,$AE$6:$AH$6,0))+INDEX('LTM data'!$D$47:$W$66,MATCH(RIGHT(J$6,4)&amp;'Couple Potential'!$X118,'LTM data'!$A$47:$A$66&amp;'LTM data'!$C$47:$C$66,0),MATCH('Couple Potential'!$W118,'LTM data'!$D$46:$W$46,0))+INDEX('LTM data'!$D$47:$W$66,MATCH(RIGHT(J$6,4)&amp;'Couple Potential'!$X118,'LTM data'!$A$47:$A$66&amp;'LTM data'!$C$47:$C$66,0),MATCH('Couple Potential'!$V118,'LTM data'!$D$46:$W$46,0))</f>
        <v>15713.959016953948</v>
      </c>
      <c r="K118" s="39">
        <v>15</v>
      </c>
      <c r="L118" s="23" t="str">
        <f t="array" ref="L118">"Max production of "&amp;E118&amp;" travel demand by "&amp;V118&amp;" and "&amp;W118</f>
        <v>Max production of TPM travel demand by Train and S-Train</v>
      </c>
      <c r="M118" s="23"/>
      <c r="N118" s="23"/>
      <c r="O118" s="23"/>
      <c r="P118" s="23"/>
      <c r="Q118" s="23"/>
      <c r="R118" s="23"/>
      <c r="U118" s="39" t="s">
        <v>69</v>
      </c>
      <c r="V118" s="39" t="s">
        <v>69</v>
      </c>
      <c r="W118" s="39" t="s">
        <v>343</v>
      </c>
      <c r="X118" s="39" t="s">
        <v>82</v>
      </c>
    </row>
    <row r="119" spans="2:24">
      <c r="B119" s="23" t="str">
        <f t="shared" si="11"/>
        <v>UC_Up_Train-Moto_TPM</v>
      </c>
      <c r="C119" s="39" t="str">
        <f t="shared" si="12"/>
        <v>TPRO*,TPMT*</v>
      </c>
      <c r="D119" s="39" t="str">
        <f t="shared" si="13"/>
        <v>TRA*</v>
      </c>
      <c r="E119" s="39" t="str">
        <f t="shared" ref="E119:E170" si="16">X119</f>
        <v>TPM</v>
      </c>
      <c r="F119" s="39" t="s">
        <v>78</v>
      </c>
      <c r="G119" s="39">
        <v>2010</v>
      </c>
      <c r="H119" s="39">
        <v>1</v>
      </c>
      <c r="I119" s="39">
        <f t="array" ref="I119">INDEX($AE$7:$AH$63,MATCH($V119&amp;$W119,$AA$7:$AA$63&amp;$AB$7:$AB$63,0),MATCH($E119,$AE$6:$AH$6,0))+INDEX('LTM data'!$D$47:$W$66,MATCH(RIGHT(I$6,4)&amp;'Couple Potential'!$X119,'LTM data'!$A$47:$A$66&amp;'LTM data'!$C$47:$C$66,0),MATCH('Couple Potential'!$W119,'LTM data'!$D$46:$W$46,0))+INDEX('LTM data'!$D$47:$W$66,MATCH(RIGHT(I$6,4)&amp;'Couple Potential'!$X119,'LTM data'!$A$47:$A$66&amp;'LTM data'!$C$47:$C$66,0),MATCH('Couple Potential'!$V119,'LTM data'!$D$46:$W$46,0))</f>
        <v>17055.779887199998</v>
      </c>
      <c r="J119" s="39">
        <f t="array" ref="J119">INDEX($AE$7:$AH$63,MATCH($V119&amp;$W119,$AA$7:$AA$63&amp;$AB$7:$AB$63,0),MATCH($E119,$AE$6:$AH$6,0))+INDEX('LTM data'!$D$47:$W$66,MATCH(RIGHT(J$6,4)&amp;'Couple Potential'!$X119,'LTM data'!$A$47:$A$66&amp;'LTM data'!$C$47:$C$66,0),MATCH('Couple Potential'!$W119,'LTM data'!$D$46:$W$46,0))+INDEX('LTM data'!$D$47:$W$66,MATCH(RIGHT(J$6,4)&amp;'Couple Potential'!$X119,'LTM data'!$A$47:$A$66&amp;'LTM data'!$C$47:$C$66,0),MATCH('Couple Potential'!$V119,'LTM data'!$D$46:$W$46,0))</f>
        <v>17714.633634004407</v>
      </c>
      <c r="K119" s="39">
        <v>15</v>
      </c>
      <c r="L119" s="23" t="str">
        <f t="array" ref="L119">"Max production of "&amp;E119&amp;" travel demand by "&amp;V119&amp;" and "&amp;W119</f>
        <v>Max production of TPM travel demand by Train and Moto</v>
      </c>
      <c r="M119" s="23"/>
      <c r="N119" s="23"/>
      <c r="O119" s="23"/>
      <c r="P119" s="23"/>
      <c r="Q119" s="23"/>
      <c r="R119" s="23"/>
      <c r="U119" s="39" t="s">
        <v>69</v>
      </c>
      <c r="V119" s="39" t="s">
        <v>69</v>
      </c>
      <c r="W119" s="39" t="s">
        <v>64</v>
      </c>
      <c r="X119" s="39" t="s">
        <v>82</v>
      </c>
    </row>
    <row r="120" spans="2:24">
      <c r="B120" s="23" t="str">
        <f t="shared" si="11"/>
        <v>UC_Up_Train-Moped_TPM</v>
      </c>
      <c r="C120" s="39" t="str">
        <f t="shared" si="12"/>
        <v>TPRO*,TPMP*</v>
      </c>
      <c r="D120" s="39" t="str">
        <f t="shared" si="13"/>
        <v>TRA*</v>
      </c>
      <c r="E120" s="39" t="str">
        <f t="shared" si="16"/>
        <v>TPM</v>
      </c>
      <c r="F120" s="39" t="s">
        <v>78</v>
      </c>
      <c r="G120" s="39">
        <v>2010</v>
      </c>
      <c r="H120" s="39">
        <v>1</v>
      </c>
      <c r="I120" s="39">
        <f t="array" ref="I120">INDEX($AE$7:$AH$63,MATCH($V120&amp;$W120,$AA$7:$AA$63&amp;$AB$7:$AB$63,0),MATCH($E120,$AE$6:$AH$6,0))+INDEX('LTM data'!$D$47:$W$66,MATCH(RIGHT(I$6,4)&amp;'Couple Potential'!$X120,'LTM data'!$A$47:$A$66&amp;'LTM data'!$C$47:$C$66,0),MATCH('Couple Potential'!$W120,'LTM data'!$D$46:$W$46,0))+INDEX('LTM data'!$D$47:$W$66,MATCH(RIGHT(I$6,4)&amp;'Couple Potential'!$X120,'LTM data'!$A$47:$A$66&amp;'LTM data'!$C$47:$C$66,0),MATCH('Couple Potential'!$V120,'LTM data'!$D$46:$W$46,0))</f>
        <v>16010.203642300001</v>
      </c>
      <c r="J120" s="39">
        <f t="array" ref="J120">INDEX($AE$7:$AH$63,MATCH($V120&amp;$W120,$AA$7:$AA$63&amp;$AB$7:$AB$63,0),MATCH($E120,$AE$6:$AH$6,0))+INDEX('LTM data'!$D$47:$W$66,MATCH(RIGHT(J$6,4)&amp;'Couple Potential'!$X120,'LTM data'!$A$47:$A$66&amp;'LTM data'!$C$47:$C$66,0),MATCH('Couple Potential'!$W120,'LTM data'!$D$46:$W$46,0))+INDEX('LTM data'!$D$47:$W$66,MATCH(RIGHT(J$6,4)&amp;'Couple Potential'!$X120,'LTM data'!$A$47:$A$66&amp;'LTM data'!$C$47:$C$66,0),MATCH('Couple Potential'!$V120,'LTM data'!$D$46:$W$46,0))</f>
        <v>16652.509340773417</v>
      </c>
      <c r="K120" s="39">
        <v>15</v>
      </c>
      <c r="L120" s="23" t="str">
        <f t="array" ref="L120">"Max production of "&amp;E120&amp;" travel demand by "&amp;V120&amp;" and "&amp;W120</f>
        <v>Max production of TPM travel demand by Train and Moped</v>
      </c>
      <c r="M120" s="23"/>
      <c r="N120" s="23"/>
      <c r="O120" s="23"/>
      <c r="P120" s="23"/>
      <c r="Q120" s="23"/>
      <c r="R120" s="23"/>
      <c r="U120" s="39" t="s">
        <v>69</v>
      </c>
      <c r="V120" s="39" t="s">
        <v>69</v>
      </c>
      <c r="W120" s="39" t="s">
        <v>63</v>
      </c>
      <c r="X120" s="39" t="s">
        <v>82</v>
      </c>
    </row>
    <row r="121" spans="2:24">
      <c r="B121" s="23" t="str">
        <f t="shared" si="11"/>
        <v>UC_Up_Train-Car_TPM</v>
      </c>
      <c r="C121" s="39" t="str">
        <f t="shared" si="12"/>
        <v>TPRO*,TPCA*</v>
      </c>
      <c r="D121" s="39" t="str">
        <f t="shared" si="13"/>
        <v>TRA*</v>
      </c>
      <c r="E121" s="39" t="str">
        <f t="shared" si="16"/>
        <v>TPM</v>
      </c>
      <c r="F121" s="39" t="s">
        <v>78</v>
      </c>
      <c r="G121" s="39">
        <v>2010</v>
      </c>
      <c r="H121" s="39">
        <v>1</v>
      </c>
      <c r="I121" s="39">
        <f t="array" ref="I121">INDEX($AE$7:$AH$63,MATCH($V121&amp;$W121,$AA$7:$AA$63&amp;$AB$7:$AB$63,0),MATCH($E121,$AE$6:$AH$6,0))+INDEX('LTM data'!$D$47:$W$66,MATCH(RIGHT(I$6,4)&amp;'Couple Potential'!$X121,'LTM data'!$A$47:$A$66&amp;'LTM data'!$C$47:$C$66,0),MATCH('Couple Potential'!$W121,'LTM data'!$D$46:$W$46,0))+INDEX('LTM data'!$D$47:$W$66,MATCH(RIGHT(I$6,4)&amp;'Couple Potential'!$X121,'LTM data'!$A$47:$A$66&amp;'LTM data'!$C$47:$C$66,0),MATCH('Couple Potential'!$V121,'LTM data'!$D$46:$W$46,0))</f>
        <v>14856.672714599998</v>
      </c>
      <c r="J121" s="39">
        <f t="array" ref="J121">INDEX($AE$7:$AH$63,MATCH($V121&amp;$W121,$AA$7:$AA$63&amp;$AB$7:$AB$63,0),MATCH($E121,$AE$6:$AH$6,0))+INDEX('LTM data'!$D$47:$W$66,MATCH(RIGHT(J$6,4)&amp;'Couple Potential'!$X121,'LTM data'!$A$47:$A$66&amp;'LTM data'!$C$47:$C$66,0),MATCH('Couple Potential'!$W121,'LTM data'!$D$46:$W$46,0))+INDEX('LTM data'!$D$47:$W$66,MATCH(RIGHT(J$6,4)&amp;'Couple Potential'!$X121,'LTM data'!$A$47:$A$66&amp;'LTM data'!$C$47:$C$66,0),MATCH('Couple Potential'!$V121,'LTM data'!$D$46:$W$46,0))</f>
        <v>20699.773142063314</v>
      </c>
      <c r="K121" s="39">
        <v>15</v>
      </c>
      <c r="L121" s="23" t="str">
        <f t="array" ref="L121">"Max production of "&amp;E121&amp;" travel demand by "&amp;V121&amp;" and "&amp;W121</f>
        <v>Max production of TPM travel demand by Train and Car</v>
      </c>
      <c r="M121" s="23"/>
      <c r="N121" s="23"/>
      <c r="O121" s="23"/>
      <c r="P121" s="23"/>
      <c r="Q121" s="23"/>
      <c r="R121" s="23"/>
      <c r="U121" s="39" t="s">
        <v>69</v>
      </c>
      <c r="V121" s="39" t="s">
        <v>69</v>
      </c>
      <c r="W121" s="39" t="s">
        <v>72</v>
      </c>
      <c r="X121" s="39" t="s">
        <v>82</v>
      </c>
    </row>
    <row r="122" spans="2:24">
      <c r="B122" s="23" t="str">
        <f t="shared" si="11"/>
        <v>UC_Up_Metro-S-Train_TPM</v>
      </c>
      <c r="C122" s="39" t="str">
        <f t="shared" si="12"/>
        <v>TPRM*,TPRS*</v>
      </c>
      <c r="D122" s="39" t="str">
        <f t="shared" si="13"/>
        <v>TRA*</v>
      </c>
      <c r="E122" s="39" t="str">
        <f t="shared" si="16"/>
        <v>TPM</v>
      </c>
      <c r="F122" s="39" t="s">
        <v>78</v>
      </c>
      <c r="G122" s="39">
        <v>2010</v>
      </c>
      <c r="H122" s="39">
        <v>1</v>
      </c>
      <c r="I122" s="39">
        <f t="array" ref="I122">INDEX($AE$7:$AH$63,MATCH($V122&amp;$W122,$AA$7:$AA$63&amp;$AB$7:$AB$63,0),MATCH($E122,$AE$6:$AH$6,0))+INDEX('LTM data'!$D$47:$W$66,MATCH(RIGHT(I$6,4)&amp;'Couple Potential'!$X122,'LTM data'!$A$47:$A$66&amp;'LTM data'!$C$47:$C$66,0),MATCH('Couple Potential'!$W122,'LTM data'!$D$46:$W$46,0))+INDEX('LTM data'!$D$47:$W$66,MATCH(RIGHT(I$6,4)&amp;'Couple Potential'!$X122,'LTM data'!$A$47:$A$66&amp;'LTM data'!$C$47:$C$66,0),MATCH('Couple Potential'!$V122,'LTM data'!$D$46:$W$46,0))</f>
        <v>100414.59740225763</v>
      </c>
      <c r="J122" s="39">
        <f t="array" ref="J122">INDEX($AE$7:$AH$63,MATCH($V122&amp;$W122,$AA$7:$AA$63&amp;$AB$7:$AB$63,0),MATCH($E122,$AE$6:$AH$6,0))+INDEX('LTM data'!$D$47:$W$66,MATCH(RIGHT(J$6,4)&amp;'Couple Potential'!$X122,'LTM data'!$A$47:$A$66&amp;'LTM data'!$C$47:$C$66,0),MATCH('Couple Potential'!$W122,'LTM data'!$D$46:$W$46,0))+INDEX('LTM data'!$D$47:$W$66,MATCH(RIGHT(J$6,4)&amp;'Couple Potential'!$X122,'LTM data'!$A$47:$A$66&amp;'LTM data'!$C$47:$C$66,0),MATCH('Couple Potential'!$V122,'LTM data'!$D$46:$W$46,0))</f>
        <v>100418.24078180312</v>
      </c>
      <c r="K122" s="39">
        <v>15</v>
      </c>
      <c r="L122" s="23" t="str">
        <f t="array" ref="L122">"Max production of "&amp;E122&amp;" travel demand by "&amp;V122&amp;" and "&amp;W122</f>
        <v>Max production of TPM travel demand by Metro and S-Train</v>
      </c>
      <c r="M122" s="23"/>
      <c r="N122" s="23"/>
      <c r="O122" s="23"/>
      <c r="P122" s="23"/>
      <c r="Q122" s="23"/>
      <c r="R122" s="23"/>
      <c r="U122" s="39" t="s">
        <v>67</v>
      </c>
      <c r="V122" s="39" t="s">
        <v>67</v>
      </c>
      <c r="W122" s="39" t="s">
        <v>343</v>
      </c>
      <c r="X122" s="39" t="s">
        <v>82</v>
      </c>
    </row>
    <row r="123" spans="2:24">
      <c r="B123" s="23" t="str">
        <f t="shared" si="11"/>
        <v>UC_Up_Metro-Moto_TPM</v>
      </c>
      <c r="C123" s="39" t="str">
        <f t="shared" si="12"/>
        <v>TPRM*,TPMT*</v>
      </c>
      <c r="D123" s="39" t="str">
        <f t="shared" si="13"/>
        <v>TRA*</v>
      </c>
      <c r="E123" s="39" t="str">
        <f t="shared" si="16"/>
        <v>TPM</v>
      </c>
      <c r="F123" s="39" t="s">
        <v>78</v>
      </c>
      <c r="G123" s="39">
        <v>2010</v>
      </c>
      <c r="H123" s="39">
        <v>1</v>
      </c>
      <c r="I123" s="39">
        <f t="array" ref="I123">INDEX($AE$7:$AH$63,MATCH($V123&amp;$W123,$AA$7:$AA$63&amp;$AB$7:$AB$63,0),MATCH($E123,$AE$6:$AH$6,0))+INDEX('LTM data'!$D$47:$W$66,MATCH(RIGHT(I$6,4)&amp;'Couple Potential'!$X123,'LTM data'!$A$47:$A$66&amp;'LTM data'!$C$47:$C$66,0),MATCH('Couple Potential'!$W123,'LTM data'!$D$46:$W$46,0))+INDEX('LTM data'!$D$47:$W$66,MATCH(RIGHT(I$6,4)&amp;'Couple Potential'!$X123,'LTM data'!$A$47:$A$66&amp;'LTM data'!$C$47:$C$66,0),MATCH('Couple Potential'!$V123,'LTM data'!$D$46:$W$46,0))</f>
        <v>100125.11304499707</v>
      </c>
      <c r="J123" s="39">
        <f t="array" ref="J123">INDEX($AE$7:$AH$63,MATCH($V123&amp;$W123,$AA$7:$AA$63&amp;$AB$7:$AB$63,0),MATCH($E123,$AE$6:$AH$6,0))+INDEX('LTM data'!$D$47:$W$66,MATCH(RIGHT(J$6,4)&amp;'Couple Potential'!$X123,'LTM data'!$A$47:$A$66&amp;'LTM data'!$C$47:$C$66,0),MATCH('Couple Potential'!$W123,'LTM data'!$D$46:$W$46,0))+INDEX('LTM data'!$D$47:$W$66,MATCH(RIGHT(J$6,4)&amp;'Couple Potential'!$X123,'LTM data'!$A$47:$A$66&amp;'LTM data'!$C$47:$C$66,0),MATCH('Couple Potential'!$V123,'LTM data'!$D$46:$W$46,0))</f>
        <v>100138.56396489302</v>
      </c>
      <c r="K123" s="39">
        <v>15</v>
      </c>
      <c r="L123" s="23" t="str">
        <f t="array" ref="L123">"Max production of "&amp;E123&amp;" travel demand by "&amp;V123&amp;" and "&amp;W123</f>
        <v>Max production of TPM travel demand by Metro and Moto</v>
      </c>
      <c r="M123" s="23"/>
      <c r="N123" s="23"/>
      <c r="O123" s="23"/>
      <c r="P123" s="23"/>
      <c r="Q123" s="23"/>
      <c r="R123" s="23"/>
      <c r="U123" s="39" t="s">
        <v>67</v>
      </c>
      <c r="V123" s="39" t="s">
        <v>67</v>
      </c>
      <c r="W123" s="39" t="s">
        <v>64</v>
      </c>
      <c r="X123" s="39" t="s">
        <v>82</v>
      </c>
    </row>
    <row r="124" spans="2:24">
      <c r="B124" s="23" t="str">
        <f t="shared" si="11"/>
        <v>UC_Up_Metro-Moped_TPM</v>
      </c>
      <c r="C124" s="39" t="str">
        <f t="shared" si="12"/>
        <v>TPRM*,TPMP*</v>
      </c>
      <c r="D124" s="39" t="str">
        <f t="shared" si="13"/>
        <v>TRA*</v>
      </c>
      <c r="E124" s="39" t="str">
        <f t="shared" si="16"/>
        <v>TPM</v>
      </c>
      <c r="F124" s="39" t="s">
        <v>78</v>
      </c>
      <c r="G124" s="39">
        <v>2010</v>
      </c>
      <c r="H124" s="39">
        <v>1</v>
      </c>
      <c r="I124" s="39">
        <f t="array" ref="I124">INDEX($AE$7:$AH$63,MATCH($V124&amp;$W124,$AA$7:$AA$63&amp;$AB$7:$AB$63,0),MATCH($E124,$AE$6:$AH$6,0))+INDEX('LTM data'!$D$47:$W$66,MATCH(RIGHT(I$6,4)&amp;'Couple Potential'!$X124,'LTM data'!$A$47:$A$66&amp;'LTM data'!$C$47:$C$66,0),MATCH('Couple Potential'!$W124,'LTM data'!$D$46:$W$46,0))+INDEX('LTM data'!$D$47:$W$66,MATCH(RIGHT(I$6,4)&amp;'Couple Potential'!$X124,'LTM data'!$A$47:$A$66&amp;'LTM data'!$C$47:$C$66,0),MATCH('Couple Potential'!$V124,'LTM data'!$D$46:$W$46,0))</f>
        <v>100005.78618587177</v>
      </c>
      <c r="J124" s="39">
        <f t="array" ref="J124">INDEX($AE$7:$AH$63,MATCH($V124&amp;$W124,$AA$7:$AA$63&amp;$AB$7:$AB$63,0),MATCH($E124,$AE$6:$AH$6,0))+INDEX('LTM data'!$D$47:$W$66,MATCH(RIGHT(J$6,4)&amp;'Couple Potential'!$X124,'LTM data'!$A$47:$A$66&amp;'LTM data'!$C$47:$C$66,0),MATCH('Couple Potential'!$W124,'LTM data'!$D$46:$W$46,0))+INDEX('LTM data'!$D$47:$W$66,MATCH(RIGHT(J$6,4)&amp;'Couple Potential'!$X124,'LTM data'!$A$47:$A$66&amp;'LTM data'!$C$47:$C$66,0),MATCH('Couple Potential'!$V124,'LTM data'!$D$46:$W$46,0))</f>
        <v>100002.68905743673</v>
      </c>
      <c r="K124" s="39">
        <v>15</v>
      </c>
      <c r="L124" s="23" t="str">
        <f t="array" ref="L124">"Max production of "&amp;E124&amp;" travel demand by "&amp;V124&amp;" and "&amp;W124</f>
        <v>Max production of TPM travel demand by Metro and Moped</v>
      </c>
      <c r="M124" s="23"/>
      <c r="N124" s="23"/>
      <c r="O124" s="23"/>
      <c r="P124" s="23"/>
      <c r="Q124" s="23"/>
      <c r="R124" s="23"/>
      <c r="U124" s="39" t="s">
        <v>67</v>
      </c>
      <c r="V124" s="39" t="s">
        <v>67</v>
      </c>
      <c r="W124" s="39" t="s">
        <v>63</v>
      </c>
      <c r="X124" s="39" t="s">
        <v>82</v>
      </c>
    </row>
    <row r="125" spans="2:24">
      <c r="B125" s="23" t="str">
        <f t="shared" si="11"/>
        <v>UC_Up_S-Train-Moto_TPM</v>
      </c>
      <c r="C125" s="39" t="str">
        <f t="shared" si="12"/>
        <v>TPRS*,TPMT*</v>
      </c>
      <c r="D125" s="39" t="str">
        <f t="shared" si="13"/>
        <v>TRA*</v>
      </c>
      <c r="E125" s="39" t="str">
        <f t="shared" si="16"/>
        <v>TPM</v>
      </c>
      <c r="F125" s="39" t="s">
        <v>78</v>
      </c>
      <c r="G125" s="39">
        <v>2010</v>
      </c>
      <c r="H125" s="39">
        <v>1</v>
      </c>
      <c r="I125" s="39">
        <f t="array" ref="I125">INDEX($AE$7:$AH$63,MATCH($V125&amp;$W125,$AA$7:$AA$63&amp;$AB$7:$AB$63,0),MATCH($E125,$AE$6:$AH$6,0))+INDEX('LTM data'!$D$47:$W$66,MATCH(RIGHT(I$6,4)&amp;'Couple Potential'!$X125,'LTM data'!$A$47:$A$66&amp;'LTM data'!$C$47:$C$66,0),MATCH('Couple Potential'!$W125,'LTM data'!$D$46:$W$46,0))+INDEX('LTM data'!$D$47:$W$66,MATCH(RIGHT(I$6,4)&amp;'Couple Potential'!$X125,'LTM data'!$A$47:$A$66&amp;'LTM data'!$C$47:$C$66,0),MATCH('Couple Potential'!$V125,'LTM data'!$D$46:$W$46,0))</f>
        <v>17421.2831988</v>
      </c>
      <c r="J125" s="39">
        <f t="array" ref="J125">INDEX($AE$7:$AH$63,MATCH($V125&amp;$W125,$AA$7:$AA$63&amp;$AB$7:$AB$63,0),MATCH($E125,$AE$6:$AH$6,0))+INDEX('LTM data'!$D$47:$W$66,MATCH(RIGHT(J$6,4)&amp;'Couple Potential'!$X125,'LTM data'!$A$47:$A$66&amp;'LTM data'!$C$47:$C$66,0),MATCH('Couple Potential'!$W125,'LTM data'!$D$46:$W$46,0))+INDEX('LTM data'!$D$47:$W$66,MATCH(RIGHT(J$6,4)&amp;'Couple Potential'!$X125,'LTM data'!$A$47:$A$66&amp;'LTM data'!$C$47:$C$66,0),MATCH('Couple Potential'!$V125,'LTM data'!$D$46:$W$46,0))</f>
        <v>17438.377498241462</v>
      </c>
      <c r="K125" s="39">
        <v>15</v>
      </c>
      <c r="L125" s="23" t="str">
        <f t="array" ref="L125">"Max production of "&amp;E125&amp;" travel demand by "&amp;V125&amp;" and "&amp;W125</f>
        <v>Max production of TPM travel demand by S-Train and Moto</v>
      </c>
      <c r="M125" s="23"/>
      <c r="N125" s="23"/>
      <c r="O125" s="23"/>
      <c r="P125" s="23"/>
      <c r="Q125" s="23"/>
      <c r="R125" s="23"/>
      <c r="U125" s="39" t="s">
        <v>343</v>
      </c>
      <c r="V125" s="39" t="s">
        <v>343</v>
      </c>
      <c r="W125" s="39" t="s">
        <v>64</v>
      </c>
      <c r="X125" s="39" t="s">
        <v>82</v>
      </c>
    </row>
    <row r="126" spans="2:24">
      <c r="B126" s="23" t="str">
        <f t="shared" si="11"/>
        <v>UC_Up_S-Train-Moped_TPM</v>
      </c>
      <c r="C126" s="39" t="str">
        <f t="shared" si="12"/>
        <v>TPRS*,TPMP*</v>
      </c>
      <c r="D126" s="39" t="str">
        <f t="shared" si="13"/>
        <v>TRA*</v>
      </c>
      <c r="E126" s="39" t="str">
        <f t="shared" si="16"/>
        <v>TPM</v>
      </c>
      <c r="F126" s="39" t="s">
        <v>78</v>
      </c>
      <c r="G126" s="39">
        <v>2010</v>
      </c>
      <c r="H126" s="39">
        <v>1</v>
      </c>
      <c r="I126" s="39">
        <f t="array" ref="I126">INDEX($AE$7:$AH$63,MATCH($V126&amp;$W126,$AA$7:$AA$63&amp;$AB$7:$AB$63,0),MATCH($E126,$AE$6:$AH$6,0))+INDEX('LTM data'!$D$47:$W$66,MATCH(RIGHT(I$6,4)&amp;'Couple Potential'!$X126,'LTM data'!$A$47:$A$66&amp;'LTM data'!$C$47:$C$66,0),MATCH('Couple Potential'!$W126,'LTM data'!$D$46:$W$46,0))+INDEX('LTM data'!$D$47:$W$66,MATCH(RIGHT(I$6,4)&amp;'Couple Potential'!$X126,'LTM data'!$A$47:$A$66&amp;'LTM data'!$C$47:$C$66,0),MATCH('Couple Potential'!$V126,'LTM data'!$D$46:$W$46,0))</f>
        <v>100421.38358812939</v>
      </c>
      <c r="J126" s="39">
        <f t="array" ref="J126">INDEX($AE$7:$AH$63,MATCH($V126&amp;$W126,$AA$7:$AA$63&amp;$AB$7:$AB$63,0),MATCH($E126,$AE$6:$AH$6,0))+INDEX('LTM data'!$D$47:$W$66,MATCH(RIGHT(J$6,4)&amp;'Couple Potential'!$X126,'LTM data'!$A$47:$A$66&amp;'LTM data'!$C$47:$C$66,0),MATCH('Couple Potential'!$W126,'LTM data'!$D$46:$W$46,0))+INDEX('LTM data'!$D$47:$W$66,MATCH(RIGHT(J$6,4)&amp;'Couple Potential'!$X126,'LTM data'!$A$47:$A$66&amp;'LTM data'!$C$47:$C$66,0),MATCH('Couple Potential'!$V126,'LTM data'!$D$46:$W$46,0))</f>
        <v>100421.92983923985</v>
      </c>
      <c r="K126" s="39">
        <v>15</v>
      </c>
      <c r="L126" s="23" t="str">
        <f t="array" ref="L126">"Max production of "&amp;E126&amp;" travel demand by "&amp;V126&amp;" and "&amp;W126</f>
        <v>Max production of TPM travel demand by S-Train and Moped</v>
      </c>
      <c r="M126" s="23"/>
      <c r="N126" s="23"/>
      <c r="O126" s="23"/>
      <c r="P126" s="23"/>
      <c r="Q126" s="23"/>
      <c r="R126" s="23"/>
      <c r="U126" s="39" t="s">
        <v>343</v>
      </c>
      <c r="V126" s="39" t="s">
        <v>343</v>
      </c>
      <c r="W126" s="39" t="s">
        <v>63</v>
      </c>
      <c r="X126" s="39" t="s">
        <v>82</v>
      </c>
    </row>
    <row r="127" spans="2:24">
      <c r="B127" s="23" t="str">
        <f t="shared" si="11"/>
        <v>UC_Up_Moto-Moped_TPM</v>
      </c>
      <c r="C127" s="39" t="str">
        <f t="shared" si="12"/>
        <v>TPMT*,TPMP*</v>
      </c>
      <c r="D127" s="39" t="str">
        <f t="shared" si="13"/>
        <v>TRA*</v>
      </c>
      <c r="E127" s="39" t="str">
        <f t="shared" si="16"/>
        <v>TPM</v>
      </c>
      <c r="F127" s="39" t="s">
        <v>78</v>
      </c>
      <c r="G127" s="39">
        <v>2010</v>
      </c>
      <c r="H127" s="39">
        <v>1</v>
      </c>
      <c r="I127" s="39">
        <f t="array" ref="I127">INDEX($AE$7:$AH$63,MATCH($V127&amp;$W127,$AA$7:$AA$63&amp;$AB$7:$AB$63,0),MATCH($E127,$AE$6:$AH$6,0))+INDEX('LTM data'!$D$47:$W$66,MATCH(RIGHT(I$6,4)&amp;'Couple Potential'!$X127,'LTM data'!$A$47:$A$66&amp;'LTM data'!$C$47:$C$66,0),MATCH('Couple Potential'!$W127,'LTM data'!$D$46:$W$46,0))+INDEX('LTM data'!$D$47:$W$66,MATCH(RIGHT(I$6,4)&amp;'Couple Potential'!$X127,'LTM data'!$A$47:$A$66&amp;'LTM data'!$C$47:$C$66,0),MATCH('Couple Potential'!$V127,'LTM data'!$D$46:$W$46,0))</f>
        <v>17463.5028714</v>
      </c>
      <c r="J127" s="39">
        <f t="array" ref="J127">INDEX($AE$7:$AH$63,MATCH($V127&amp;$W127,$AA$7:$AA$63&amp;$AB$7:$AB$63,0),MATCH($E127,$AE$6:$AH$6,0))+INDEX('LTM data'!$D$47:$W$66,MATCH(RIGHT(J$6,4)&amp;'Couple Potential'!$X127,'LTM data'!$A$47:$A$66&amp;'LTM data'!$C$47:$C$66,0),MATCH('Couple Potential'!$W127,'LTM data'!$D$46:$W$46,0))+INDEX('LTM data'!$D$47:$W$66,MATCH(RIGHT(J$6,4)&amp;'Couple Potential'!$X127,'LTM data'!$A$47:$A$66&amp;'LTM data'!$C$47:$C$66,0),MATCH('Couple Potential'!$V127,'LTM data'!$D$46:$W$46,0))</f>
        <v>17473.85666286093</v>
      </c>
      <c r="K127" s="39">
        <v>15</v>
      </c>
      <c r="L127" s="23" t="str">
        <f t="array" ref="L127">"Max production of "&amp;E127&amp;" travel demand by "&amp;V127&amp;" and "&amp;W127</f>
        <v>Max production of TPM travel demand by Moto and Moped</v>
      </c>
      <c r="M127" s="23"/>
      <c r="N127" s="23"/>
      <c r="O127" s="23"/>
      <c r="P127" s="23"/>
      <c r="Q127" s="23"/>
      <c r="R127" s="23"/>
      <c r="U127" s="39" t="s">
        <v>64</v>
      </c>
      <c r="V127" s="39" t="s">
        <v>64</v>
      </c>
      <c r="W127" s="39" t="s">
        <v>63</v>
      </c>
      <c r="X127" s="39" t="s">
        <v>82</v>
      </c>
    </row>
    <row r="128" spans="2:24">
      <c r="B128" s="23" t="str">
        <f t="shared" si="11"/>
        <v>UC_Up_Moto-Car_TPM</v>
      </c>
      <c r="C128" s="39" t="str">
        <f t="shared" si="12"/>
        <v>TPMT*,TPCA*</v>
      </c>
      <c r="D128" s="39" t="str">
        <f t="shared" si="13"/>
        <v>TRA*</v>
      </c>
      <c r="E128" s="39" t="str">
        <f t="shared" si="16"/>
        <v>TPM</v>
      </c>
      <c r="F128" s="39" t="s">
        <v>78</v>
      </c>
      <c r="G128" s="39">
        <v>2010</v>
      </c>
      <c r="H128" s="39">
        <v>1</v>
      </c>
      <c r="I128" s="39">
        <f t="array" ref="I128">INDEX($AE$7:$AH$63,MATCH($V128&amp;$W128,$AA$7:$AA$63&amp;$AB$7:$AB$63,0),MATCH($E128,$AE$6:$AH$6,0))+INDEX('LTM data'!$D$47:$W$66,MATCH(RIGHT(I$6,4)&amp;'Couple Potential'!$X128,'LTM data'!$A$47:$A$66&amp;'LTM data'!$C$47:$C$66,0),MATCH('Couple Potential'!$W128,'LTM data'!$D$46:$W$46,0))+INDEX('LTM data'!$D$47:$W$66,MATCH(RIGHT(I$6,4)&amp;'Couple Potential'!$X128,'LTM data'!$A$47:$A$66&amp;'LTM data'!$C$47:$C$66,0),MATCH('Couple Potential'!$V128,'LTM data'!$D$46:$W$46,0))</f>
        <v>16309.971943599998</v>
      </c>
      <c r="J128" s="39">
        <f t="array" ref="J128">INDEX($AE$7:$AH$63,MATCH($V128&amp;$W128,$AA$7:$AA$63&amp;$AB$7:$AB$63,0),MATCH($E128,$AE$6:$AH$6,0))+INDEX('LTM data'!$D$47:$W$66,MATCH(RIGHT(J$6,4)&amp;'Couple Potential'!$X128,'LTM data'!$A$47:$A$66&amp;'LTM data'!$C$47:$C$66,0),MATCH('Couple Potential'!$W128,'LTM data'!$D$46:$W$46,0))+INDEX('LTM data'!$D$47:$W$66,MATCH(RIGHT(J$6,4)&amp;'Couple Potential'!$X128,'LTM data'!$A$47:$A$66&amp;'LTM data'!$C$47:$C$66,0),MATCH('Couple Potential'!$V128,'LTM data'!$D$46:$W$46,0))</f>
        <v>21521.120464050826</v>
      </c>
      <c r="K128" s="39">
        <v>15</v>
      </c>
      <c r="L128" s="23" t="str">
        <f t="array" ref="L128">"Max production of "&amp;E128&amp;" travel demand by "&amp;V128&amp;" and "&amp;W128</f>
        <v>Max production of TPM travel demand by Moto and Car</v>
      </c>
      <c r="M128" s="23"/>
      <c r="N128" s="23"/>
      <c r="O128" s="23"/>
      <c r="P128" s="23"/>
      <c r="Q128" s="23"/>
      <c r="R128" s="23"/>
      <c r="U128" s="39" t="s">
        <v>64</v>
      </c>
      <c r="V128" s="39" t="s">
        <v>64</v>
      </c>
      <c r="W128" s="39" t="s">
        <v>72</v>
      </c>
      <c r="X128" s="39" t="s">
        <v>82</v>
      </c>
    </row>
    <row r="129" spans="2:24">
      <c r="B129" s="23" t="str">
        <f t="shared" si="11"/>
        <v>UC_Up_Moped-Car_TPM</v>
      </c>
      <c r="C129" s="39" t="str">
        <f t="shared" si="12"/>
        <v>TPMP*,TPCA*</v>
      </c>
      <c r="D129" s="39" t="str">
        <f t="shared" si="13"/>
        <v>TRA*</v>
      </c>
      <c r="E129" s="39" t="str">
        <f t="shared" si="16"/>
        <v>TPM</v>
      </c>
      <c r="F129" s="39" t="s">
        <v>78</v>
      </c>
      <c r="G129" s="39">
        <v>2010</v>
      </c>
      <c r="H129" s="39">
        <v>1</v>
      </c>
      <c r="I129" s="39">
        <f t="array" ref="I129">INDEX($AE$7:$AH$63,MATCH($V129&amp;$W129,$AA$7:$AA$63&amp;$AB$7:$AB$63,0),MATCH($E129,$AE$6:$AH$6,0))+INDEX('LTM data'!$D$47:$W$66,MATCH(RIGHT(I$6,4)&amp;'Couple Potential'!$X129,'LTM data'!$A$47:$A$66&amp;'LTM data'!$C$47:$C$66,0),MATCH('Couple Potential'!$W129,'LTM data'!$D$46:$W$46,0))+INDEX('LTM data'!$D$47:$W$66,MATCH(RIGHT(I$6,4)&amp;'Couple Potential'!$X129,'LTM data'!$A$47:$A$66&amp;'LTM data'!$C$47:$C$66,0),MATCH('Couple Potential'!$V129,'LTM data'!$D$46:$W$46,0))</f>
        <v>111439.93261736141</v>
      </c>
      <c r="J129" s="39">
        <f t="array" ref="J129">INDEX($AE$7:$AH$63,MATCH($V129&amp;$W129,$AA$7:$AA$63&amp;$AB$7:$AB$63,0),MATCH($E129,$AE$6:$AH$6,0))+INDEX('LTM data'!$D$47:$W$66,MATCH(RIGHT(J$6,4)&amp;'Couple Potential'!$X129,'LTM data'!$A$47:$A$66&amp;'LTM data'!$C$47:$C$66,0),MATCH('Couple Potential'!$W129,'LTM data'!$D$46:$W$46,0))+INDEX('LTM data'!$D$47:$W$66,MATCH(RIGHT(J$6,4)&amp;'Couple Potential'!$X129,'LTM data'!$A$47:$A$66&amp;'LTM data'!$C$47:$C$66,0),MATCH('Couple Potential'!$V129,'LTM data'!$D$46:$W$46,0))</f>
        <v>116634.53308948124</v>
      </c>
      <c r="K129" s="39">
        <v>15</v>
      </c>
      <c r="L129" s="23" t="str">
        <f t="array" ref="L129">"Max production of "&amp;E129&amp;" travel demand by "&amp;V129&amp;" and "&amp;W129</f>
        <v>Max production of TPM travel demand by Moped and Car</v>
      </c>
      <c r="M129" s="23"/>
      <c r="N129" s="23"/>
      <c r="O129" s="23"/>
      <c r="P129" s="23"/>
      <c r="Q129" s="23"/>
      <c r="R129" s="23"/>
      <c r="U129" s="39" t="s">
        <v>63</v>
      </c>
      <c r="V129" s="39" t="s">
        <v>63</v>
      </c>
      <c r="W129" s="39" t="s">
        <v>72</v>
      </c>
      <c r="X129" s="39" t="s">
        <v>82</v>
      </c>
    </row>
    <row r="130" spans="2:24">
      <c r="B130" s="23" t="str">
        <f t="shared" si="11"/>
        <v>*</v>
      </c>
      <c r="C130" s="39" t="str">
        <f t="shared" si="12"/>
        <v>TPWALK,TPBI*</v>
      </c>
      <c r="D130" s="39" t="str">
        <f t="shared" si="13"/>
        <v>BIKEcom,TRA*</v>
      </c>
      <c r="E130" s="39" t="str">
        <f t="shared" si="16"/>
        <v>TPL</v>
      </c>
      <c r="F130" s="39" t="s">
        <v>78</v>
      </c>
      <c r="G130" s="39">
        <v>2010</v>
      </c>
      <c r="H130" s="39">
        <v>1</v>
      </c>
      <c r="I130" s="39">
        <f t="array" ref="I130">INDEX($AE$7:$AH$63,MATCH($V130&amp;$W130,$AA$7:$AA$63&amp;$AB$7:$AB$63,0),MATCH($E130,$AE$6:$AH$6,0))+INDEX('LTM data'!$D$47:$W$66,MATCH(RIGHT(I$6,4)&amp;'Couple Potential'!$X130,'LTM data'!$A$47:$A$66&amp;'LTM data'!$C$47:$C$66,0),MATCH('Couple Potential'!$W130,'LTM data'!$D$46:$W$46,0))+INDEX('LTM data'!$D$47:$W$66,MATCH(RIGHT(I$6,4)&amp;'Couple Potential'!$X130,'LTM data'!$A$47:$A$66&amp;'LTM data'!$C$47:$C$66,0),MATCH('Couple Potential'!$V130,'LTM data'!$D$46:$W$46,0))</f>
        <v>99999</v>
      </c>
      <c r="J130" s="39">
        <f t="array" ref="J130">INDEX($AE$7:$AH$63,MATCH($V130&amp;$W130,$AA$7:$AA$63&amp;$AB$7:$AB$63,0),MATCH($E130,$AE$6:$AH$6,0))+INDEX('LTM data'!$D$47:$W$66,MATCH(RIGHT(J$6,4)&amp;'Couple Potential'!$X130,'LTM data'!$A$47:$A$66&amp;'LTM data'!$C$47:$C$66,0),MATCH('Couple Potential'!$W130,'LTM data'!$D$46:$W$46,0))+INDEX('LTM data'!$D$47:$W$66,MATCH(RIGHT(J$6,4)&amp;'Couple Potential'!$X130,'LTM data'!$A$47:$A$66&amp;'LTM data'!$C$47:$C$66,0),MATCH('Couple Potential'!$V130,'LTM data'!$D$46:$W$46,0))</f>
        <v>99999</v>
      </c>
      <c r="K130" s="39">
        <v>15</v>
      </c>
      <c r="L130" s="23" t="str">
        <f t="array" ref="L130">"Max production of "&amp;E130&amp;" travel demand by "&amp;V130&amp;" and "&amp;W130</f>
        <v>Max production of TPL travel demand by Walk and Bike</v>
      </c>
      <c r="M130" s="23"/>
      <c r="N130" s="23"/>
      <c r="O130" s="23"/>
      <c r="P130" s="23"/>
      <c r="Q130" s="23"/>
      <c r="R130" s="23"/>
      <c r="U130" s="39" t="s">
        <v>349</v>
      </c>
      <c r="V130" s="40" t="s">
        <v>65</v>
      </c>
      <c r="W130" s="39" t="s">
        <v>66</v>
      </c>
      <c r="X130" s="39" t="s">
        <v>79</v>
      </c>
    </row>
    <row r="131" spans="2:24">
      <c r="B131" s="23" t="str">
        <f t="shared" si="11"/>
        <v>UC_Up_Walk-Public bus_TPL</v>
      </c>
      <c r="C131" s="39" t="str">
        <f t="shared" si="12"/>
        <v>TPWALK,TPBU*</v>
      </c>
      <c r="D131" s="39" t="str">
        <f t="shared" si="13"/>
        <v>BIKEcom,TRA*</v>
      </c>
      <c r="E131" s="39" t="str">
        <f t="shared" si="16"/>
        <v>TPL</v>
      </c>
      <c r="F131" s="39" t="s">
        <v>78</v>
      </c>
      <c r="G131" s="39">
        <v>2010</v>
      </c>
      <c r="H131" s="39">
        <v>1</v>
      </c>
      <c r="I131" s="39">
        <f t="array" ref="I131">INDEX($AE$7:$AH$63,MATCH($V131&amp;$W131,$AA$7:$AA$63&amp;$AB$7:$AB$63,0),MATCH($E131,$AE$6:$AH$6,0))+INDEX('LTM data'!$D$47:$W$66,MATCH(RIGHT(I$6,4)&amp;'Couple Potential'!$X131,'LTM data'!$A$47:$A$66&amp;'LTM data'!$C$47:$C$66,0),MATCH('Couple Potential'!$W131,'LTM data'!$D$46:$W$46,0))+INDEX('LTM data'!$D$47:$W$66,MATCH(RIGHT(I$6,4)&amp;'Couple Potential'!$X131,'LTM data'!$A$47:$A$66&amp;'LTM data'!$C$47:$C$66,0),MATCH('Couple Potential'!$V131,'LTM data'!$D$46:$W$46,0))</f>
        <v>100277.55242615148</v>
      </c>
      <c r="J131" s="39">
        <f t="array" ref="J131">INDEX($AE$7:$AH$63,MATCH($V131&amp;$W131,$AA$7:$AA$63&amp;$AB$7:$AB$63,0),MATCH($E131,$AE$6:$AH$6,0))+INDEX('LTM data'!$D$47:$W$66,MATCH(RIGHT(J$6,4)&amp;'Couple Potential'!$X131,'LTM data'!$A$47:$A$66&amp;'LTM data'!$C$47:$C$66,0),MATCH('Couple Potential'!$W131,'LTM data'!$D$46:$W$46,0))+INDEX('LTM data'!$D$47:$W$66,MATCH(RIGHT(J$6,4)&amp;'Couple Potential'!$X131,'LTM data'!$A$47:$A$66&amp;'LTM data'!$C$47:$C$66,0),MATCH('Couple Potential'!$V131,'LTM data'!$D$46:$W$46,0))</f>
        <v>100253.71573061548</v>
      </c>
      <c r="K131" s="39">
        <v>15</v>
      </c>
      <c r="L131" s="23" t="str">
        <f t="array" ref="L131">"Max production of "&amp;E131&amp;" travel demand by "&amp;V131&amp;" and "&amp;W131</f>
        <v>Max production of TPL travel demand by Walk and Public bus</v>
      </c>
      <c r="M131" s="23"/>
      <c r="N131" s="23"/>
      <c r="O131" s="23"/>
      <c r="P131" s="23"/>
      <c r="Q131" s="23"/>
      <c r="R131" s="23"/>
      <c r="U131" s="39" t="s">
        <v>349</v>
      </c>
      <c r="V131" s="40" t="s">
        <v>65</v>
      </c>
      <c r="W131" s="39" t="s">
        <v>71</v>
      </c>
      <c r="X131" s="39" t="s">
        <v>79</v>
      </c>
    </row>
    <row r="132" spans="2:24">
      <c r="B132" s="23" t="str">
        <f t="shared" si="11"/>
        <v>UC_Up_Walk-Train_TPL</v>
      </c>
      <c r="C132" s="39" t="str">
        <f t="shared" si="12"/>
        <v>TPWALK,TPRO*</v>
      </c>
      <c r="D132" s="39" t="str">
        <f t="shared" si="13"/>
        <v>BIKEcom,TRA*</v>
      </c>
      <c r="E132" s="39" t="str">
        <f t="shared" si="16"/>
        <v>TPL</v>
      </c>
      <c r="F132" s="39" t="s">
        <v>78</v>
      </c>
      <c r="G132" s="39">
        <v>2010</v>
      </c>
      <c r="H132" s="39">
        <v>1</v>
      </c>
      <c r="I132" s="39">
        <f t="array" ref="I132">INDEX($AE$7:$AH$63,MATCH($V132&amp;$W132,$AA$7:$AA$63&amp;$AB$7:$AB$63,0),MATCH($E132,$AE$6:$AH$6,0))+INDEX('LTM data'!$D$47:$W$66,MATCH(RIGHT(I$6,4)&amp;'Couple Potential'!$X132,'LTM data'!$A$47:$A$66&amp;'LTM data'!$C$47:$C$66,0),MATCH('Couple Potential'!$W132,'LTM data'!$D$46:$W$46,0))+INDEX('LTM data'!$D$47:$W$66,MATCH(RIGHT(I$6,4)&amp;'Couple Potential'!$X132,'LTM data'!$A$47:$A$66&amp;'LTM data'!$C$47:$C$66,0),MATCH('Couple Potential'!$V132,'LTM data'!$D$46:$W$46,0))</f>
        <v>103209.90018661617</v>
      </c>
      <c r="J132" s="39">
        <f t="array" ref="J132">INDEX($AE$7:$AH$63,MATCH($V132&amp;$W132,$AA$7:$AA$63&amp;$AB$7:$AB$63,0),MATCH($E132,$AE$6:$AH$6,0))+INDEX('LTM data'!$D$47:$W$66,MATCH(RIGHT(J$6,4)&amp;'Couple Potential'!$X132,'LTM data'!$A$47:$A$66&amp;'LTM data'!$C$47:$C$66,0),MATCH('Couple Potential'!$W132,'LTM data'!$D$46:$W$46,0))+INDEX('LTM data'!$D$47:$W$66,MATCH(RIGHT(J$6,4)&amp;'Couple Potential'!$X132,'LTM data'!$A$47:$A$66&amp;'LTM data'!$C$47:$C$66,0),MATCH('Couple Potential'!$V132,'LTM data'!$D$46:$W$46,0))</f>
        <v>105455.05179298858</v>
      </c>
      <c r="K132" s="39">
        <v>15</v>
      </c>
      <c r="L132" s="23" t="str">
        <f t="array" ref="L132">"Max production of "&amp;E132&amp;" travel demand by "&amp;V132&amp;" and "&amp;W132</f>
        <v>Max production of TPL travel demand by Walk and Train</v>
      </c>
      <c r="M132" s="23"/>
      <c r="N132" s="23"/>
      <c r="O132" s="23"/>
      <c r="P132" s="23"/>
      <c r="Q132" s="23"/>
      <c r="R132" s="23"/>
      <c r="U132" s="39" t="s">
        <v>349</v>
      </c>
      <c r="V132" s="40" t="s">
        <v>65</v>
      </c>
      <c r="W132" s="39" t="s">
        <v>69</v>
      </c>
      <c r="X132" s="39" t="s">
        <v>79</v>
      </c>
    </row>
    <row r="133" spans="2:24">
      <c r="B133" s="23" t="str">
        <f t="shared" si="11"/>
        <v>UC_Up_Walk-Coach_TPL</v>
      </c>
      <c r="C133" s="39" t="str">
        <f t="shared" si="12"/>
        <v>TPWALK,TPCO*</v>
      </c>
      <c r="D133" s="39" t="str">
        <f t="shared" si="13"/>
        <v>BIKEcom,TRA*</v>
      </c>
      <c r="E133" s="39" t="str">
        <f t="shared" si="16"/>
        <v>TPL</v>
      </c>
      <c r="F133" s="39" t="s">
        <v>78</v>
      </c>
      <c r="G133" s="39">
        <v>2010</v>
      </c>
      <c r="H133" s="39">
        <v>1</v>
      </c>
      <c r="I133" s="39">
        <f t="array" ref="I133">INDEX($AE$7:$AH$63,MATCH($V133&amp;$W133,$AA$7:$AA$63&amp;$AB$7:$AB$63,0),MATCH($E133,$AE$6:$AH$6,0))+INDEX('LTM data'!$D$47:$W$66,MATCH(RIGHT(I$6,4)&amp;'Couple Potential'!$X133,'LTM data'!$A$47:$A$66&amp;'LTM data'!$C$47:$C$66,0),MATCH('Couple Potential'!$W133,'LTM data'!$D$46:$W$46,0))+INDEX('LTM data'!$D$47:$W$66,MATCH(RIGHT(I$6,4)&amp;'Couple Potential'!$X133,'LTM data'!$A$47:$A$66&amp;'LTM data'!$C$47:$C$66,0),MATCH('Couple Potential'!$V133,'LTM data'!$D$46:$W$46,0))</f>
        <v>103049.99125233338</v>
      </c>
      <c r="J133" s="39">
        <f t="array" ref="J133">INDEX($AE$7:$AH$63,MATCH($V133&amp;$W133,$AA$7:$AA$63&amp;$AB$7:$AB$63,0),MATCH($E133,$AE$6:$AH$6,0))+INDEX('LTM data'!$D$47:$W$66,MATCH(RIGHT(J$6,4)&amp;'Couple Potential'!$X133,'LTM data'!$A$47:$A$66&amp;'LTM data'!$C$47:$C$66,0),MATCH('Couple Potential'!$W133,'LTM data'!$D$46:$W$46,0))+INDEX('LTM data'!$D$47:$W$66,MATCH(RIGHT(J$6,4)&amp;'Couple Potential'!$X133,'LTM data'!$A$47:$A$66&amp;'LTM data'!$C$47:$C$66,0),MATCH('Couple Potential'!$V133,'LTM data'!$D$46:$W$46,0))</f>
        <v>102788.90736744447</v>
      </c>
      <c r="K133" s="39">
        <v>15</v>
      </c>
      <c r="L133" s="23" t="str">
        <f t="array" ref="L133">"Max production of "&amp;E133&amp;" travel demand by "&amp;V133&amp;" and "&amp;W133</f>
        <v>Max production of TPL travel demand by Walk and Coach</v>
      </c>
      <c r="M133" s="23"/>
      <c r="N133" s="23"/>
      <c r="O133" s="23"/>
      <c r="P133" s="23"/>
      <c r="Q133" s="23"/>
      <c r="R133" s="23"/>
      <c r="U133" s="39" t="s">
        <v>349</v>
      </c>
      <c r="V133" s="40" t="s">
        <v>65</v>
      </c>
      <c r="W133" s="39" t="s">
        <v>70</v>
      </c>
      <c r="X133" s="39" t="s">
        <v>79</v>
      </c>
    </row>
    <row r="134" spans="2:24">
      <c r="B134" s="23" t="str">
        <f t="shared" si="11"/>
        <v>UC_Up_Walk-Moto_TPL</v>
      </c>
      <c r="C134" s="39" t="str">
        <f t="shared" si="12"/>
        <v>TPWALK,TPMT*</v>
      </c>
      <c r="D134" s="39" t="str">
        <f t="shared" si="13"/>
        <v>BIKEcom,TRA*</v>
      </c>
      <c r="E134" s="39" t="str">
        <f t="shared" si="16"/>
        <v>TPL</v>
      </c>
      <c r="F134" s="39" t="s">
        <v>78</v>
      </c>
      <c r="G134" s="39">
        <v>2010</v>
      </c>
      <c r="H134" s="39">
        <v>1</v>
      </c>
      <c r="I134" s="39">
        <f t="array" ref="I134">INDEX($AE$7:$AH$63,MATCH($V134&amp;$W134,$AA$7:$AA$63&amp;$AB$7:$AB$63,0),MATCH($E134,$AE$6:$AH$6,0))+INDEX('LTM data'!$D$47:$W$66,MATCH(RIGHT(I$6,4)&amp;'Couple Potential'!$X134,'LTM data'!$A$47:$A$66&amp;'LTM data'!$C$47:$C$66,0),MATCH('Couple Potential'!$W134,'LTM data'!$D$46:$W$46,0))+INDEX('LTM data'!$D$47:$W$66,MATCH(RIGHT(I$6,4)&amp;'Couple Potential'!$X134,'LTM data'!$A$47:$A$66&amp;'LTM data'!$C$47:$C$66,0),MATCH('Couple Potential'!$V134,'LTM data'!$D$46:$W$46,0))</f>
        <v>100179.10724371727</v>
      </c>
      <c r="J134" s="39">
        <f t="array" ref="J134">INDEX($AE$7:$AH$63,MATCH($V134&amp;$W134,$AA$7:$AA$63&amp;$AB$7:$AB$63,0),MATCH($E134,$AE$6:$AH$6,0))+INDEX('LTM data'!$D$47:$W$66,MATCH(RIGHT(J$6,4)&amp;'Couple Potential'!$X134,'LTM data'!$A$47:$A$66&amp;'LTM data'!$C$47:$C$66,0),MATCH('Couple Potential'!$W134,'LTM data'!$D$46:$W$46,0))+INDEX('LTM data'!$D$47:$W$66,MATCH(RIGHT(J$6,4)&amp;'Couple Potential'!$X134,'LTM data'!$A$47:$A$66&amp;'LTM data'!$C$47:$C$66,0),MATCH('Couple Potential'!$V134,'LTM data'!$D$46:$W$46,0))</f>
        <v>100198.31705748379</v>
      </c>
      <c r="K134" s="39">
        <v>15</v>
      </c>
      <c r="L134" s="23" t="str">
        <f t="array" ref="L134">"Max production of "&amp;E134&amp;" travel demand by "&amp;V134&amp;" and "&amp;W134</f>
        <v>Max production of TPL travel demand by Walk and Moto</v>
      </c>
      <c r="M134" s="23"/>
      <c r="N134" s="23"/>
      <c r="O134" s="23"/>
      <c r="P134" s="23"/>
      <c r="Q134" s="23"/>
      <c r="R134" s="23"/>
      <c r="U134" s="39" t="s">
        <v>349</v>
      </c>
      <c r="V134" s="40" t="s">
        <v>65</v>
      </c>
      <c r="W134" s="39" t="s">
        <v>64</v>
      </c>
      <c r="X134" s="39" t="s">
        <v>79</v>
      </c>
    </row>
    <row r="135" spans="2:24">
      <c r="B135" s="23" t="str">
        <f t="shared" si="11"/>
        <v>UC_Up_Walk-Moped_TPL</v>
      </c>
      <c r="C135" s="39" t="str">
        <f t="shared" si="12"/>
        <v>TPWALK,TPMP*</v>
      </c>
      <c r="D135" s="39" t="str">
        <f t="shared" si="13"/>
        <v>BIKEcom,TRA*</v>
      </c>
      <c r="E135" s="39" t="str">
        <f t="shared" si="16"/>
        <v>TPL</v>
      </c>
      <c r="F135" s="39" t="s">
        <v>78</v>
      </c>
      <c r="G135" s="39">
        <v>2010</v>
      </c>
      <c r="H135" s="39">
        <v>1</v>
      </c>
      <c r="I135" s="39">
        <f t="array" ref="I135">INDEX($AE$7:$AH$63,MATCH($V135&amp;$W135,$AA$7:$AA$63&amp;$AB$7:$AB$63,0),MATCH($E135,$AE$6:$AH$6,0))+INDEX('LTM data'!$D$47:$W$66,MATCH(RIGHT(I$6,4)&amp;'Couple Potential'!$X135,'LTM data'!$A$47:$A$66&amp;'LTM data'!$C$47:$C$66,0),MATCH('Couple Potential'!$W135,'LTM data'!$D$46:$W$46,0))+INDEX('LTM data'!$D$47:$W$66,MATCH(RIGHT(I$6,4)&amp;'Couple Potential'!$X135,'LTM data'!$A$47:$A$66&amp;'LTM data'!$C$47:$C$66,0),MATCH('Couple Potential'!$V135,'LTM data'!$D$46:$W$46,0))</f>
        <v>100002.2824139118</v>
      </c>
      <c r="J135" s="39">
        <f t="array" ref="J135">INDEX($AE$7:$AH$63,MATCH($V135&amp;$W135,$AA$7:$AA$63&amp;$AB$7:$AB$63,0),MATCH($E135,$AE$6:$AH$6,0))+INDEX('LTM data'!$D$47:$W$66,MATCH(RIGHT(J$6,4)&amp;'Couple Potential'!$X135,'LTM data'!$A$47:$A$66&amp;'LTM data'!$C$47:$C$66,0),MATCH('Couple Potential'!$W135,'LTM data'!$D$46:$W$46,0))+INDEX('LTM data'!$D$47:$W$66,MATCH(RIGHT(J$6,4)&amp;'Couple Potential'!$X135,'LTM data'!$A$47:$A$66&amp;'LTM data'!$C$47:$C$66,0),MATCH('Couple Potential'!$V135,'LTM data'!$D$46:$W$46,0))</f>
        <v>100000.78436218527</v>
      </c>
      <c r="K135" s="39">
        <v>15</v>
      </c>
      <c r="L135" s="23" t="str">
        <f t="array" ref="L135">"Max production of "&amp;E135&amp;" travel demand by "&amp;V135&amp;" and "&amp;W135</f>
        <v>Max production of TPL travel demand by Walk and Moped</v>
      </c>
      <c r="M135" s="23"/>
      <c r="N135" s="23"/>
      <c r="O135" s="23"/>
      <c r="P135" s="23"/>
      <c r="Q135" s="23"/>
      <c r="R135" s="23"/>
      <c r="U135" s="39" t="s">
        <v>349</v>
      </c>
      <c r="V135" s="40" t="s">
        <v>65</v>
      </c>
      <c r="W135" s="39" t="s">
        <v>63</v>
      </c>
      <c r="X135" s="39" t="s">
        <v>79</v>
      </c>
    </row>
    <row r="136" spans="2:24">
      <c r="B136" s="23" t="str">
        <f t="shared" ref="B136:B170" si="17">IF(I136=99999,"*","UC_Up_"&amp;V136&amp;"-"&amp;W136&amp;"_"&amp;X136)</f>
        <v>UC_Up_Walk-Car_TPL</v>
      </c>
      <c r="C136" s="39" t="str">
        <f t="shared" ref="C136:C170" si="18">VLOOKUP(U136,$AU$7:$AV$16,2,FALSE)&amp;","&amp;VLOOKUP(W136,$AU$7:$AV$16,2,FALSE)</f>
        <v>TPWALK,TPCA*</v>
      </c>
      <c r="D136" s="39" t="str">
        <f t="shared" ref="D136:D170" si="19">IF(U136="Bike","BIKEcom,TRA*",IF(W136="Bike","BIKEcom,TRA*",IF(U136="Gang","BIKEcom,TRA*",IF(W136="Gang","BIKEcom,TRA*","TRA*"))))</f>
        <v>BIKEcom,TRA*</v>
      </c>
      <c r="E136" s="39" t="str">
        <f t="shared" si="16"/>
        <v>TPL</v>
      </c>
      <c r="F136" s="39" t="s">
        <v>78</v>
      </c>
      <c r="G136" s="39">
        <v>2010</v>
      </c>
      <c r="H136" s="39">
        <v>1</v>
      </c>
      <c r="I136" s="39">
        <f t="array" ref="I136">INDEX($AE$7:$AH$63,MATCH($V136&amp;$W136,$AA$7:$AA$63&amp;$AB$7:$AB$63,0),MATCH($E136,$AE$6:$AH$6,0))+INDEX('LTM data'!$D$47:$W$66,MATCH(RIGHT(I$6,4)&amp;'Couple Potential'!$X136,'LTM data'!$A$47:$A$66&amp;'LTM data'!$C$47:$C$66,0),MATCH('Couple Potential'!$W136,'LTM data'!$D$46:$W$46,0))+INDEX('LTM data'!$D$47:$W$66,MATCH(RIGHT(I$6,4)&amp;'Couple Potential'!$X136,'LTM data'!$A$47:$A$66&amp;'LTM data'!$C$47:$C$66,0),MATCH('Couple Potential'!$V136,'LTM data'!$D$46:$W$46,0))</f>
        <v>121897.97830517442</v>
      </c>
      <c r="J136" s="39">
        <f t="array" ref="J136">INDEX($AE$7:$AH$63,MATCH($V136&amp;$W136,$AA$7:$AA$63&amp;$AB$7:$AB$63,0),MATCH($E136,$AE$6:$AH$6,0))+INDEX('LTM data'!$D$47:$W$66,MATCH(RIGHT(J$6,4)&amp;'Couple Potential'!$X136,'LTM data'!$A$47:$A$66&amp;'LTM data'!$C$47:$C$66,0),MATCH('Couple Potential'!$W136,'LTM data'!$D$46:$W$46,0))+INDEX('LTM data'!$D$47:$W$66,MATCH(RIGHT(J$6,4)&amp;'Couple Potential'!$X136,'LTM data'!$A$47:$A$66&amp;'LTM data'!$C$47:$C$66,0),MATCH('Couple Potential'!$V136,'LTM data'!$D$46:$W$46,0))</f>
        <v>131852.74560445757</v>
      </c>
      <c r="K136" s="39">
        <v>15</v>
      </c>
      <c r="L136" s="23" t="str">
        <f t="array" ref="L136">"Max production of "&amp;E136&amp;" travel demand by "&amp;V136&amp;" and "&amp;W136</f>
        <v>Max production of TPL travel demand by Walk and Car</v>
      </c>
      <c r="M136" s="23"/>
      <c r="N136" s="23"/>
      <c r="O136" s="23"/>
      <c r="P136" s="23"/>
      <c r="Q136" s="23"/>
      <c r="R136" s="23"/>
      <c r="U136" s="39" t="s">
        <v>349</v>
      </c>
      <c r="V136" s="40" t="s">
        <v>65</v>
      </c>
      <c r="W136" s="39" t="s">
        <v>72</v>
      </c>
      <c r="X136" s="39" t="s">
        <v>79</v>
      </c>
    </row>
    <row r="137" spans="2:24">
      <c r="B137" s="23" t="str">
        <f t="shared" si="17"/>
        <v>UC_Up_Bike-Moped_TPL</v>
      </c>
      <c r="C137" s="39" t="str">
        <f t="shared" si="18"/>
        <v>TPBI*,TPMP*</v>
      </c>
      <c r="D137" s="39" t="str">
        <f t="shared" si="19"/>
        <v>BIKEcom,TRA*</v>
      </c>
      <c r="E137" s="39" t="str">
        <f t="shared" si="16"/>
        <v>TPL</v>
      </c>
      <c r="F137" s="39" t="s">
        <v>78</v>
      </c>
      <c r="G137" s="39">
        <v>2010</v>
      </c>
      <c r="H137" s="39">
        <v>1</v>
      </c>
      <c r="I137" s="39">
        <f t="array" ref="I137">INDEX($AE$7:$AH$63,MATCH($V137&amp;$W137,$AA$7:$AA$63&amp;$AB$7:$AB$63,0),MATCH($E137,$AE$6:$AH$6,0))+INDEX('LTM data'!$D$47:$W$66,MATCH(RIGHT(I$6,4)&amp;'Couple Potential'!$X137,'LTM data'!$A$47:$A$66&amp;'LTM data'!$C$47:$C$66,0),MATCH('Couple Potential'!$W137,'LTM data'!$D$46:$W$46,0))+INDEX('LTM data'!$D$47:$W$66,MATCH(RIGHT(I$6,4)&amp;'Couple Potential'!$X137,'LTM data'!$A$47:$A$66&amp;'LTM data'!$C$47:$C$66,0),MATCH('Couple Potential'!$V137,'LTM data'!$D$46:$W$46,0))</f>
        <v>100002.2824139118</v>
      </c>
      <c r="J137" s="39">
        <f t="array" ref="J137">INDEX($AE$7:$AH$63,MATCH($V137&amp;$W137,$AA$7:$AA$63&amp;$AB$7:$AB$63,0),MATCH($E137,$AE$6:$AH$6,0))+INDEX('LTM data'!$D$47:$W$66,MATCH(RIGHT(J$6,4)&amp;'Couple Potential'!$X137,'LTM data'!$A$47:$A$66&amp;'LTM data'!$C$47:$C$66,0),MATCH('Couple Potential'!$W137,'LTM data'!$D$46:$W$46,0))+INDEX('LTM data'!$D$47:$W$66,MATCH(RIGHT(J$6,4)&amp;'Couple Potential'!$X137,'LTM data'!$A$47:$A$66&amp;'LTM data'!$C$47:$C$66,0),MATCH('Couple Potential'!$V137,'LTM data'!$D$46:$W$46,0))</f>
        <v>100000.78436218527</v>
      </c>
      <c r="K137" s="39">
        <v>15</v>
      </c>
      <c r="L137" s="23" t="str">
        <f t="array" ref="L137">"Max production of "&amp;E137&amp;" travel demand by "&amp;V137&amp;" and "&amp;W137</f>
        <v>Max production of TPL travel demand by Bike and Moped</v>
      </c>
      <c r="M137" s="23"/>
      <c r="N137" s="23"/>
      <c r="O137" s="23"/>
      <c r="P137" s="23"/>
      <c r="Q137" s="23"/>
      <c r="R137" s="23"/>
      <c r="U137" s="39" t="s">
        <v>66</v>
      </c>
      <c r="V137" s="39" t="s">
        <v>66</v>
      </c>
      <c r="W137" s="39" t="s">
        <v>63</v>
      </c>
      <c r="X137" s="39" t="s">
        <v>79</v>
      </c>
    </row>
    <row r="138" spans="2:24">
      <c r="B138" s="23" t="str">
        <f t="shared" si="17"/>
        <v>UC_Up_Bike-Moto_TPL</v>
      </c>
      <c r="C138" s="39" t="str">
        <f t="shared" si="18"/>
        <v>TPBI*,TPMT*</v>
      </c>
      <c r="D138" s="39" t="str">
        <f t="shared" si="19"/>
        <v>BIKEcom,TRA*</v>
      </c>
      <c r="E138" s="39" t="str">
        <f t="shared" si="16"/>
        <v>TPL</v>
      </c>
      <c r="F138" s="39" t="s">
        <v>78</v>
      </c>
      <c r="G138" s="39">
        <v>2010</v>
      </c>
      <c r="H138" s="39">
        <v>1</v>
      </c>
      <c r="I138" s="39">
        <f t="array" ref="I138">INDEX($AE$7:$AH$63,MATCH($V138&amp;$W138,$AA$7:$AA$63&amp;$AB$7:$AB$63,0),MATCH($E138,$AE$6:$AH$6,0))+INDEX('LTM data'!$D$47:$W$66,MATCH(RIGHT(I$6,4)&amp;'Couple Potential'!$X138,'LTM data'!$A$47:$A$66&amp;'LTM data'!$C$47:$C$66,0),MATCH('Couple Potential'!$W138,'LTM data'!$D$46:$W$46,0))+INDEX('LTM data'!$D$47:$W$66,MATCH(RIGHT(I$6,4)&amp;'Couple Potential'!$X138,'LTM data'!$A$47:$A$66&amp;'LTM data'!$C$47:$C$66,0),MATCH('Couple Potential'!$V138,'LTM data'!$D$46:$W$46,0))</f>
        <v>100179.10724371727</v>
      </c>
      <c r="J138" s="39">
        <f t="array" ref="J138">INDEX($AE$7:$AH$63,MATCH($V138&amp;$W138,$AA$7:$AA$63&amp;$AB$7:$AB$63,0),MATCH($E138,$AE$6:$AH$6,0))+INDEX('LTM data'!$D$47:$W$66,MATCH(RIGHT(J$6,4)&amp;'Couple Potential'!$X138,'LTM data'!$A$47:$A$66&amp;'LTM data'!$C$47:$C$66,0),MATCH('Couple Potential'!$W138,'LTM data'!$D$46:$W$46,0))+INDEX('LTM data'!$D$47:$W$66,MATCH(RIGHT(J$6,4)&amp;'Couple Potential'!$X138,'LTM data'!$A$47:$A$66&amp;'LTM data'!$C$47:$C$66,0),MATCH('Couple Potential'!$V138,'LTM data'!$D$46:$W$46,0))</f>
        <v>100198.31705748379</v>
      </c>
      <c r="K138" s="39">
        <v>15</v>
      </c>
      <c r="L138" s="23" t="str">
        <f t="array" ref="L138">"Max production of "&amp;E138&amp;" travel demand by "&amp;V138&amp;" and "&amp;W138</f>
        <v>Max production of TPL travel demand by Bike and Moto</v>
      </c>
      <c r="M138" s="23"/>
      <c r="N138" s="23"/>
      <c r="O138" s="23"/>
      <c r="P138" s="23"/>
      <c r="Q138" s="23"/>
      <c r="R138" s="23"/>
      <c r="U138" s="39" t="s">
        <v>66</v>
      </c>
      <c r="V138" s="39" t="s">
        <v>66</v>
      </c>
      <c r="W138" s="39" t="s">
        <v>64</v>
      </c>
      <c r="X138" s="39" t="s">
        <v>79</v>
      </c>
    </row>
    <row r="139" spans="2:24">
      <c r="B139" s="23" t="str">
        <f t="shared" si="17"/>
        <v>UC_Up_Bike-Public bus_TPL</v>
      </c>
      <c r="C139" s="39" t="str">
        <f t="shared" si="18"/>
        <v>TPBI*,TPBU*</v>
      </c>
      <c r="D139" s="39" t="str">
        <f t="shared" si="19"/>
        <v>BIKEcom,TRA*</v>
      </c>
      <c r="E139" s="39" t="str">
        <f t="shared" si="16"/>
        <v>TPL</v>
      </c>
      <c r="F139" s="39" t="s">
        <v>78</v>
      </c>
      <c r="G139" s="39">
        <v>2010</v>
      </c>
      <c r="H139" s="39">
        <v>1</v>
      </c>
      <c r="I139" s="39">
        <f t="array" ref="I139">INDEX($AE$7:$AH$63,MATCH($V139&amp;$W139,$AA$7:$AA$63&amp;$AB$7:$AB$63,0),MATCH($E139,$AE$6:$AH$6,0))+INDEX('LTM data'!$D$47:$W$66,MATCH(RIGHT(I$6,4)&amp;'Couple Potential'!$X139,'LTM data'!$A$47:$A$66&amp;'LTM data'!$C$47:$C$66,0),MATCH('Couple Potential'!$W139,'LTM data'!$D$46:$W$46,0))+INDEX('LTM data'!$D$47:$W$66,MATCH(RIGHT(I$6,4)&amp;'Couple Potential'!$X139,'LTM data'!$A$47:$A$66&amp;'LTM data'!$C$47:$C$66,0),MATCH('Couple Potential'!$V139,'LTM data'!$D$46:$W$46,0))</f>
        <v>100277.55242615148</v>
      </c>
      <c r="J139" s="39">
        <f t="array" ref="J139">INDEX($AE$7:$AH$63,MATCH($V139&amp;$W139,$AA$7:$AA$63&amp;$AB$7:$AB$63,0),MATCH($E139,$AE$6:$AH$6,0))+INDEX('LTM data'!$D$47:$W$66,MATCH(RIGHT(J$6,4)&amp;'Couple Potential'!$X139,'LTM data'!$A$47:$A$66&amp;'LTM data'!$C$47:$C$66,0),MATCH('Couple Potential'!$W139,'LTM data'!$D$46:$W$46,0))+INDEX('LTM data'!$D$47:$W$66,MATCH(RIGHT(J$6,4)&amp;'Couple Potential'!$X139,'LTM data'!$A$47:$A$66&amp;'LTM data'!$C$47:$C$66,0),MATCH('Couple Potential'!$V139,'LTM data'!$D$46:$W$46,0))</f>
        <v>100253.71573061548</v>
      </c>
      <c r="K139" s="39">
        <v>15</v>
      </c>
      <c r="L139" s="23" t="str">
        <f t="array" ref="L139">"Max production of "&amp;E139&amp;" travel demand by "&amp;V139&amp;" and "&amp;W139</f>
        <v>Max production of TPL travel demand by Bike and Public bus</v>
      </c>
      <c r="M139" s="23"/>
      <c r="N139" s="23"/>
      <c r="O139" s="23"/>
      <c r="P139" s="23"/>
      <c r="Q139" s="23"/>
      <c r="R139" s="23"/>
      <c r="U139" s="39" t="s">
        <v>66</v>
      </c>
      <c r="V139" s="39" t="s">
        <v>66</v>
      </c>
      <c r="W139" s="39" t="s">
        <v>71</v>
      </c>
      <c r="X139" s="39" t="s">
        <v>79</v>
      </c>
    </row>
    <row r="140" spans="2:24">
      <c r="B140" s="23" t="str">
        <f t="shared" si="17"/>
        <v>*</v>
      </c>
      <c r="C140" s="39" t="str">
        <f t="shared" si="18"/>
        <v>TPBI*,TPRS*</v>
      </c>
      <c r="D140" s="39" t="str">
        <f t="shared" si="19"/>
        <v>BIKEcom,TRA*</v>
      </c>
      <c r="E140" s="39" t="str">
        <f t="shared" si="16"/>
        <v>TPL</v>
      </c>
      <c r="F140" s="39" t="s">
        <v>78</v>
      </c>
      <c r="G140" s="39">
        <v>2010</v>
      </c>
      <c r="H140" s="39">
        <v>1</v>
      </c>
      <c r="I140" s="39">
        <f t="array" ref="I140">INDEX($AE$7:$AH$63,MATCH($V140&amp;$W140,$AA$7:$AA$63&amp;$AB$7:$AB$63,0),MATCH($E140,$AE$6:$AH$6,0))+INDEX('LTM data'!$D$47:$W$66,MATCH(RIGHT(I$6,4)&amp;'Couple Potential'!$X140,'LTM data'!$A$47:$A$66&amp;'LTM data'!$C$47:$C$66,0),MATCH('Couple Potential'!$W140,'LTM data'!$D$46:$W$46,0))+INDEX('LTM data'!$D$47:$W$66,MATCH(RIGHT(I$6,4)&amp;'Couple Potential'!$X140,'LTM data'!$A$47:$A$66&amp;'LTM data'!$C$47:$C$66,0),MATCH('Couple Potential'!$V140,'LTM data'!$D$46:$W$46,0))</f>
        <v>99999</v>
      </c>
      <c r="J140" s="39">
        <f t="array" ref="J140">INDEX($AE$7:$AH$63,MATCH($V140&amp;$W140,$AA$7:$AA$63&amp;$AB$7:$AB$63,0),MATCH($E140,$AE$6:$AH$6,0))+INDEX('LTM data'!$D$47:$W$66,MATCH(RIGHT(J$6,4)&amp;'Couple Potential'!$X140,'LTM data'!$A$47:$A$66&amp;'LTM data'!$C$47:$C$66,0),MATCH('Couple Potential'!$W140,'LTM data'!$D$46:$W$46,0))+INDEX('LTM data'!$D$47:$W$66,MATCH(RIGHT(J$6,4)&amp;'Couple Potential'!$X140,'LTM data'!$A$47:$A$66&amp;'LTM data'!$C$47:$C$66,0),MATCH('Couple Potential'!$V140,'LTM data'!$D$46:$W$46,0))</f>
        <v>99999</v>
      </c>
      <c r="K140" s="39">
        <v>15</v>
      </c>
      <c r="L140" s="23" t="str">
        <f t="array" ref="L140">"Max production of "&amp;E140&amp;" travel demand by "&amp;V140&amp;" and "&amp;W140</f>
        <v>Max production of TPL travel demand by Bike and S-Train</v>
      </c>
      <c r="M140" s="23"/>
      <c r="N140" s="23"/>
      <c r="O140" s="23"/>
      <c r="P140" s="23"/>
      <c r="Q140" s="23"/>
      <c r="R140" s="23"/>
      <c r="U140" s="39" t="s">
        <v>66</v>
      </c>
      <c r="V140" s="39" t="s">
        <v>66</v>
      </c>
      <c r="W140" s="39" t="s">
        <v>343</v>
      </c>
      <c r="X140" s="39" t="s">
        <v>79</v>
      </c>
    </row>
    <row r="141" spans="2:24">
      <c r="B141" s="23" t="str">
        <f t="shared" si="17"/>
        <v>*</v>
      </c>
      <c r="C141" s="39" t="str">
        <f t="shared" si="18"/>
        <v>TPBI*,TPRM*</v>
      </c>
      <c r="D141" s="39" t="str">
        <f t="shared" si="19"/>
        <v>BIKEcom,TRA*</v>
      </c>
      <c r="E141" s="39" t="str">
        <f t="shared" si="16"/>
        <v>TPL</v>
      </c>
      <c r="F141" s="39" t="s">
        <v>78</v>
      </c>
      <c r="G141" s="39">
        <v>2010</v>
      </c>
      <c r="H141" s="39">
        <v>1</v>
      </c>
      <c r="I141" s="39">
        <f t="array" ref="I141">INDEX($AE$7:$AH$63,MATCH($V141&amp;$W141,$AA$7:$AA$63&amp;$AB$7:$AB$63,0),MATCH($E141,$AE$6:$AH$6,0))+INDEX('LTM data'!$D$47:$W$66,MATCH(RIGHT(I$6,4)&amp;'Couple Potential'!$X141,'LTM data'!$A$47:$A$66&amp;'LTM data'!$C$47:$C$66,0),MATCH('Couple Potential'!$W141,'LTM data'!$D$46:$W$46,0))+INDEX('LTM data'!$D$47:$W$66,MATCH(RIGHT(I$6,4)&amp;'Couple Potential'!$X141,'LTM data'!$A$47:$A$66&amp;'LTM data'!$C$47:$C$66,0),MATCH('Couple Potential'!$V141,'LTM data'!$D$46:$W$46,0))</f>
        <v>99999</v>
      </c>
      <c r="J141" s="39">
        <f t="array" ref="J141">INDEX($AE$7:$AH$63,MATCH($V141&amp;$W141,$AA$7:$AA$63&amp;$AB$7:$AB$63,0),MATCH($E141,$AE$6:$AH$6,0))+INDEX('LTM data'!$D$47:$W$66,MATCH(RIGHT(J$6,4)&amp;'Couple Potential'!$X141,'LTM data'!$A$47:$A$66&amp;'LTM data'!$C$47:$C$66,0),MATCH('Couple Potential'!$W141,'LTM data'!$D$46:$W$46,0))+INDEX('LTM data'!$D$47:$W$66,MATCH(RIGHT(J$6,4)&amp;'Couple Potential'!$X141,'LTM data'!$A$47:$A$66&amp;'LTM data'!$C$47:$C$66,0),MATCH('Couple Potential'!$V141,'LTM data'!$D$46:$W$46,0))</f>
        <v>99999</v>
      </c>
      <c r="K141" s="39">
        <v>15</v>
      </c>
      <c r="L141" s="23" t="str">
        <f t="array" ref="L141">"Max production of "&amp;E141&amp;" travel demand by "&amp;V141&amp;" and "&amp;W141</f>
        <v>Max production of TPL travel demand by Bike and Metro</v>
      </c>
      <c r="M141" s="23"/>
      <c r="N141" s="23"/>
      <c r="O141" s="23"/>
      <c r="P141" s="23"/>
      <c r="Q141" s="23"/>
      <c r="R141" s="23"/>
      <c r="U141" s="39" t="s">
        <v>66</v>
      </c>
      <c r="V141" s="39" t="s">
        <v>66</v>
      </c>
      <c r="W141" s="39" t="s">
        <v>67</v>
      </c>
      <c r="X141" s="39" t="s">
        <v>79</v>
      </c>
    </row>
    <row r="142" spans="2:24">
      <c r="B142" s="23" t="str">
        <f t="shared" si="17"/>
        <v>UC_Up_Bike-Train_TPL</v>
      </c>
      <c r="C142" s="39" t="str">
        <f t="shared" si="18"/>
        <v>TPBI*,TPRO*</v>
      </c>
      <c r="D142" s="39" t="str">
        <f t="shared" si="19"/>
        <v>BIKEcom,TRA*</v>
      </c>
      <c r="E142" s="39" t="str">
        <f t="shared" si="16"/>
        <v>TPL</v>
      </c>
      <c r="F142" s="39" t="s">
        <v>78</v>
      </c>
      <c r="G142" s="39">
        <v>2010</v>
      </c>
      <c r="H142" s="39">
        <v>1</v>
      </c>
      <c r="I142" s="39">
        <f t="array" ref="I142">INDEX($AE$7:$AH$63,MATCH($V142&amp;$W142,$AA$7:$AA$63&amp;$AB$7:$AB$63,0),MATCH($E142,$AE$6:$AH$6,0))+INDEX('LTM data'!$D$47:$W$66,MATCH(RIGHT(I$6,4)&amp;'Couple Potential'!$X142,'LTM data'!$A$47:$A$66&amp;'LTM data'!$C$47:$C$66,0),MATCH('Couple Potential'!$W142,'LTM data'!$D$46:$W$46,0))+INDEX('LTM data'!$D$47:$W$66,MATCH(RIGHT(I$6,4)&amp;'Couple Potential'!$X142,'LTM data'!$A$47:$A$66&amp;'LTM data'!$C$47:$C$66,0),MATCH('Couple Potential'!$V142,'LTM data'!$D$46:$W$46,0))</f>
        <v>103209.90018661617</v>
      </c>
      <c r="J142" s="39">
        <f t="array" ref="J142">INDEX($AE$7:$AH$63,MATCH($V142&amp;$W142,$AA$7:$AA$63&amp;$AB$7:$AB$63,0),MATCH($E142,$AE$6:$AH$6,0))+INDEX('LTM data'!$D$47:$W$66,MATCH(RIGHT(J$6,4)&amp;'Couple Potential'!$X142,'LTM data'!$A$47:$A$66&amp;'LTM data'!$C$47:$C$66,0),MATCH('Couple Potential'!$W142,'LTM data'!$D$46:$W$46,0))+INDEX('LTM data'!$D$47:$W$66,MATCH(RIGHT(J$6,4)&amp;'Couple Potential'!$X142,'LTM data'!$A$47:$A$66&amp;'LTM data'!$C$47:$C$66,0),MATCH('Couple Potential'!$V142,'LTM data'!$D$46:$W$46,0))</f>
        <v>105455.05179298858</v>
      </c>
      <c r="K142" s="39">
        <v>15</v>
      </c>
      <c r="L142" s="23" t="str">
        <f t="array" ref="L142">"Max production of "&amp;E142&amp;" travel demand by "&amp;V142&amp;" and "&amp;W142</f>
        <v>Max production of TPL travel demand by Bike and Train</v>
      </c>
      <c r="M142" s="23"/>
      <c r="N142" s="23"/>
      <c r="O142" s="23"/>
      <c r="P142" s="23"/>
      <c r="Q142" s="23"/>
      <c r="R142" s="23"/>
      <c r="U142" s="39" t="s">
        <v>66</v>
      </c>
      <c r="V142" s="39" t="s">
        <v>66</v>
      </c>
      <c r="W142" s="39" t="s">
        <v>69</v>
      </c>
      <c r="X142" s="39" t="s">
        <v>79</v>
      </c>
    </row>
    <row r="143" spans="2:24">
      <c r="B143" s="23" t="str">
        <f t="shared" si="17"/>
        <v>UC_Up_Bike-Coach_TPL</v>
      </c>
      <c r="C143" s="39" t="str">
        <f t="shared" si="18"/>
        <v>TPBI*,TPCO*</v>
      </c>
      <c r="D143" s="39" t="str">
        <f t="shared" si="19"/>
        <v>BIKEcom,TRA*</v>
      </c>
      <c r="E143" s="39" t="str">
        <f t="shared" si="16"/>
        <v>TPL</v>
      </c>
      <c r="F143" s="39" t="s">
        <v>78</v>
      </c>
      <c r="G143" s="39">
        <v>2010</v>
      </c>
      <c r="H143" s="39">
        <v>1</v>
      </c>
      <c r="I143" s="39">
        <f t="array" ref="I143">INDEX($AE$7:$AH$63,MATCH($V143&amp;$W143,$AA$7:$AA$63&amp;$AB$7:$AB$63,0),MATCH($E143,$AE$6:$AH$6,0))+INDEX('LTM data'!$D$47:$W$66,MATCH(RIGHT(I$6,4)&amp;'Couple Potential'!$X143,'LTM data'!$A$47:$A$66&amp;'LTM data'!$C$47:$C$66,0),MATCH('Couple Potential'!$W143,'LTM data'!$D$46:$W$46,0))+INDEX('LTM data'!$D$47:$W$66,MATCH(RIGHT(I$6,4)&amp;'Couple Potential'!$X143,'LTM data'!$A$47:$A$66&amp;'LTM data'!$C$47:$C$66,0),MATCH('Couple Potential'!$V143,'LTM data'!$D$46:$W$46,0))</f>
        <v>103049.99125233338</v>
      </c>
      <c r="J143" s="39">
        <f t="array" ref="J143">INDEX($AE$7:$AH$63,MATCH($V143&amp;$W143,$AA$7:$AA$63&amp;$AB$7:$AB$63,0),MATCH($E143,$AE$6:$AH$6,0))+INDEX('LTM data'!$D$47:$W$66,MATCH(RIGHT(J$6,4)&amp;'Couple Potential'!$X143,'LTM data'!$A$47:$A$66&amp;'LTM data'!$C$47:$C$66,0),MATCH('Couple Potential'!$W143,'LTM data'!$D$46:$W$46,0))+INDEX('LTM data'!$D$47:$W$66,MATCH(RIGHT(J$6,4)&amp;'Couple Potential'!$X143,'LTM data'!$A$47:$A$66&amp;'LTM data'!$C$47:$C$66,0),MATCH('Couple Potential'!$V143,'LTM data'!$D$46:$W$46,0))</f>
        <v>102788.90736744447</v>
      </c>
      <c r="K143" s="39">
        <v>15</v>
      </c>
      <c r="L143" s="23" t="str">
        <f t="array" ref="L143">"Max production of "&amp;E143&amp;" travel demand by "&amp;V143&amp;" and "&amp;W143</f>
        <v>Max production of TPL travel demand by Bike and Coach</v>
      </c>
      <c r="M143" s="23"/>
      <c r="N143" s="23"/>
      <c r="O143" s="23"/>
      <c r="P143" s="23"/>
      <c r="Q143" s="23"/>
      <c r="R143" s="23"/>
      <c r="U143" s="39" t="s">
        <v>66</v>
      </c>
      <c r="V143" s="39" t="s">
        <v>66</v>
      </c>
      <c r="W143" s="39" t="s">
        <v>70</v>
      </c>
      <c r="X143" s="39" t="s">
        <v>79</v>
      </c>
    </row>
    <row r="144" spans="2:24">
      <c r="B144" s="23" t="str">
        <f t="shared" si="17"/>
        <v>UC_Up_Bike-Car_TPL</v>
      </c>
      <c r="C144" s="39" t="str">
        <f t="shared" si="18"/>
        <v>TPBI*,TPCA*</v>
      </c>
      <c r="D144" s="39" t="str">
        <f t="shared" si="19"/>
        <v>BIKEcom,TRA*</v>
      </c>
      <c r="E144" s="39" t="str">
        <f t="shared" si="16"/>
        <v>TPL</v>
      </c>
      <c r="F144" s="39" t="s">
        <v>78</v>
      </c>
      <c r="G144" s="39">
        <v>2010</v>
      </c>
      <c r="H144" s="39">
        <v>1</v>
      </c>
      <c r="I144" s="39">
        <f t="array" ref="I144">INDEX($AE$7:$AH$63,MATCH($V144&amp;$W144,$AA$7:$AA$63&amp;$AB$7:$AB$63,0),MATCH($E144,$AE$6:$AH$6,0))+INDEX('LTM data'!$D$47:$W$66,MATCH(RIGHT(I$6,4)&amp;'Couple Potential'!$X144,'LTM data'!$A$47:$A$66&amp;'LTM data'!$C$47:$C$66,0),MATCH('Couple Potential'!$W144,'LTM data'!$D$46:$W$46,0))+INDEX('LTM data'!$D$47:$W$66,MATCH(RIGHT(I$6,4)&amp;'Couple Potential'!$X144,'LTM data'!$A$47:$A$66&amp;'LTM data'!$C$47:$C$66,0),MATCH('Couple Potential'!$V144,'LTM data'!$D$46:$W$46,0))</f>
        <v>121897.97830517442</v>
      </c>
      <c r="J144" s="39">
        <f t="array" ref="J144">INDEX($AE$7:$AH$63,MATCH($V144&amp;$W144,$AA$7:$AA$63&amp;$AB$7:$AB$63,0),MATCH($E144,$AE$6:$AH$6,0))+INDEX('LTM data'!$D$47:$W$66,MATCH(RIGHT(J$6,4)&amp;'Couple Potential'!$X144,'LTM data'!$A$47:$A$66&amp;'LTM data'!$C$47:$C$66,0),MATCH('Couple Potential'!$W144,'LTM data'!$D$46:$W$46,0))+INDEX('LTM data'!$D$47:$W$66,MATCH(RIGHT(J$6,4)&amp;'Couple Potential'!$X144,'LTM data'!$A$47:$A$66&amp;'LTM data'!$C$47:$C$66,0),MATCH('Couple Potential'!$V144,'LTM data'!$D$46:$W$46,0))</f>
        <v>131852.74560445757</v>
      </c>
      <c r="K144" s="39">
        <v>15</v>
      </c>
      <c r="L144" s="23" t="str">
        <f t="array" ref="L144">"Max production of "&amp;E144&amp;" travel demand by "&amp;V144&amp;" and "&amp;W144</f>
        <v>Max production of TPL travel demand by Bike and Car</v>
      </c>
      <c r="M144" s="23"/>
      <c r="N144" s="23"/>
      <c r="O144" s="23"/>
      <c r="P144" s="23"/>
      <c r="Q144" s="23"/>
      <c r="R144" s="23"/>
      <c r="U144" s="39" t="s">
        <v>66</v>
      </c>
      <c r="V144" s="39" t="s">
        <v>66</v>
      </c>
      <c r="W144" s="39" t="s">
        <v>72</v>
      </c>
      <c r="X144" s="39" t="s">
        <v>79</v>
      </c>
    </row>
    <row r="145" spans="2:24">
      <c r="B145" s="23" t="str">
        <f t="shared" si="17"/>
        <v>UC_Up_Public bus-Coach_TPL</v>
      </c>
      <c r="C145" s="39" t="str">
        <f t="shared" si="18"/>
        <v>TPBU*,TPCO*</v>
      </c>
      <c r="D145" s="39" t="str">
        <f t="shared" si="19"/>
        <v>TRA*</v>
      </c>
      <c r="E145" s="39" t="str">
        <f t="shared" si="16"/>
        <v>TPL</v>
      </c>
      <c r="F145" s="39" t="s">
        <v>78</v>
      </c>
      <c r="G145" s="39">
        <v>2010</v>
      </c>
      <c r="H145" s="39">
        <v>1</v>
      </c>
      <c r="I145" s="39">
        <f t="array" ref="I145">INDEX($AE$7:$AH$63,MATCH($V145&amp;$W145,$AA$7:$AA$63&amp;$AB$7:$AB$63,0),MATCH($E145,$AE$6:$AH$6,0))+INDEX('LTM data'!$D$47:$W$66,MATCH(RIGHT(I$6,4)&amp;'Couple Potential'!$X145,'LTM data'!$A$47:$A$66&amp;'LTM data'!$C$47:$C$66,0),MATCH('Couple Potential'!$W145,'LTM data'!$D$46:$W$46,0))+INDEX('LTM data'!$D$47:$W$66,MATCH(RIGHT(I$6,4)&amp;'Couple Potential'!$X145,'LTM data'!$A$47:$A$66&amp;'LTM data'!$C$47:$C$66,0),MATCH('Couple Potential'!$V145,'LTM data'!$D$46:$W$46,0))</f>
        <v>28435.022511700001</v>
      </c>
      <c r="J145" s="39">
        <f t="array" ref="J145">INDEX($AE$7:$AH$63,MATCH($V145&amp;$W145,$AA$7:$AA$63&amp;$AB$7:$AB$63,0),MATCH($E145,$AE$6:$AH$6,0))+INDEX('LTM data'!$D$47:$W$66,MATCH(RIGHT(J$6,4)&amp;'Couple Potential'!$X145,'LTM data'!$A$47:$A$66&amp;'LTM data'!$C$47:$C$66,0),MATCH('Couple Potential'!$W145,'LTM data'!$D$46:$W$46,0))+INDEX('LTM data'!$D$47:$W$66,MATCH(RIGHT(J$6,4)&amp;'Couple Potential'!$X145,'LTM data'!$A$47:$A$66&amp;'LTM data'!$C$47:$C$66,0),MATCH('Couple Potential'!$V145,'LTM data'!$D$46:$W$46,0))</f>
        <v>28150.101931275101</v>
      </c>
      <c r="K145" s="39">
        <v>15</v>
      </c>
      <c r="L145" s="23" t="str">
        <f t="array" ref="L145">"Max production of "&amp;E145&amp;" travel demand by "&amp;V145&amp;" and "&amp;W145</f>
        <v>Max production of TPL travel demand by Public bus and Coach</v>
      </c>
      <c r="M145" s="23"/>
      <c r="N145" s="23"/>
      <c r="O145" s="23"/>
      <c r="P145" s="23"/>
      <c r="Q145" s="23"/>
      <c r="R145" s="23"/>
      <c r="U145" s="39" t="s">
        <v>71</v>
      </c>
      <c r="V145" s="39" t="s">
        <v>71</v>
      </c>
      <c r="W145" s="39" t="s">
        <v>70</v>
      </c>
      <c r="X145" s="39" t="s">
        <v>79</v>
      </c>
    </row>
    <row r="146" spans="2:24">
      <c r="B146" s="23" t="str">
        <f t="shared" si="17"/>
        <v>UC_Up_Public bus-Train_TPL</v>
      </c>
      <c r="C146" s="39" t="str">
        <f t="shared" si="18"/>
        <v>TPBU*,TPRO*</v>
      </c>
      <c r="D146" s="39" t="str">
        <f t="shared" si="19"/>
        <v>TRA*</v>
      </c>
      <c r="E146" s="39" t="str">
        <f t="shared" si="16"/>
        <v>TPL</v>
      </c>
      <c r="F146" s="39" t="s">
        <v>78</v>
      </c>
      <c r="G146" s="39">
        <v>2010</v>
      </c>
      <c r="H146" s="39">
        <v>1</v>
      </c>
      <c r="I146" s="39">
        <f t="array" ref="I146">INDEX($AE$7:$AH$63,MATCH($V146&amp;$W146,$AA$7:$AA$63&amp;$AB$7:$AB$63,0),MATCH($E146,$AE$6:$AH$6,0))+INDEX('LTM data'!$D$47:$W$66,MATCH(RIGHT(I$6,4)&amp;'Couple Potential'!$X146,'LTM data'!$A$47:$A$66&amp;'LTM data'!$C$47:$C$66,0),MATCH('Couple Potential'!$W146,'LTM data'!$D$46:$W$46,0))+INDEX('LTM data'!$D$47:$W$66,MATCH(RIGHT(I$6,4)&amp;'Couple Potential'!$X146,'LTM data'!$A$47:$A$66&amp;'LTM data'!$C$47:$C$66,0),MATCH('Couple Potential'!$V146,'LTM data'!$D$46:$W$46,0))</f>
        <v>26278.594511499996</v>
      </c>
      <c r="J146" s="39">
        <f t="array" ref="J146">INDEX($AE$7:$AH$63,MATCH($V146&amp;$W146,$AA$7:$AA$63&amp;$AB$7:$AB$63,0),MATCH($E146,$AE$6:$AH$6,0))+INDEX('LTM data'!$D$47:$W$66,MATCH(RIGHT(J$6,4)&amp;'Couple Potential'!$X146,'LTM data'!$A$47:$A$66&amp;'LTM data'!$C$47:$C$66,0),MATCH('Couple Potential'!$W146,'LTM data'!$D$46:$W$46,0))+INDEX('LTM data'!$D$47:$W$66,MATCH(RIGHT(J$6,4)&amp;'Couple Potential'!$X146,'LTM data'!$A$47:$A$66&amp;'LTM data'!$C$47:$C$66,0),MATCH('Couple Potential'!$V146,'LTM data'!$D$46:$W$46,0))</f>
        <v>28499.909422336415</v>
      </c>
      <c r="K146" s="39">
        <v>15</v>
      </c>
      <c r="L146" s="23" t="str">
        <f t="array" ref="L146">"Max production of "&amp;E146&amp;" travel demand by "&amp;V146&amp;" and "&amp;W146</f>
        <v>Max production of TPL travel demand by Public bus and Train</v>
      </c>
      <c r="M146" s="23"/>
      <c r="N146" s="23"/>
      <c r="O146" s="23"/>
      <c r="P146" s="23"/>
      <c r="Q146" s="23"/>
      <c r="R146" s="23"/>
      <c r="U146" s="39" t="s">
        <v>71</v>
      </c>
      <c r="V146" s="39" t="s">
        <v>71</v>
      </c>
      <c r="W146" s="39" t="s">
        <v>69</v>
      </c>
      <c r="X146" s="39" t="s">
        <v>79</v>
      </c>
    </row>
    <row r="147" spans="2:24">
      <c r="B147" s="23" t="str">
        <f t="shared" si="17"/>
        <v>UC_Up_Public bus-Metro_TPL</v>
      </c>
      <c r="C147" s="39" t="str">
        <f t="shared" si="18"/>
        <v>TPBU*,TPRM*</v>
      </c>
      <c r="D147" s="39" t="str">
        <f t="shared" si="19"/>
        <v>TRA*</v>
      </c>
      <c r="E147" s="39" t="str">
        <f t="shared" si="16"/>
        <v>TPL</v>
      </c>
      <c r="F147" s="39" t="s">
        <v>78</v>
      </c>
      <c r="G147" s="39">
        <v>2010</v>
      </c>
      <c r="H147" s="39">
        <v>1</v>
      </c>
      <c r="I147" s="39">
        <f t="array" ref="I147">INDEX($AE$7:$AH$63,MATCH($V147&amp;$W147,$AA$7:$AA$63&amp;$AB$7:$AB$63,0),MATCH($E147,$AE$6:$AH$6,0))+INDEX('LTM data'!$D$47:$W$66,MATCH(RIGHT(I$6,4)&amp;'Couple Potential'!$X147,'LTM data'!$A$47:$A$66&amp;'LTM data'!$C$47:$C$66,0),MATCH('Couple Potential'!$W147,'LTM data'!$D$46:$W$46,0))+INDEX('LTM data'!$D$47:$W$66,MATCH(RIGHT(I$6,4)&amp;'Couple Potential'!$X147,'LTM data'!$A$47:$A$66&amp;'LTM data'!$C$47:$C$66,0),MATCH('Couple Potential'!$V147,'LTM data'!$D$46:$W$46,0))</f>
        <v>100277.55242615148</v>
      </c>
      <c r="J147" s="39">
        <f t="array" ref="J147">INDEX($AE$7:$AH$63,MATCH($V147&amp;$W147,$AA$7:$AA$63&amp;$AB$7:$AB$63,0),MATCH($E147,$AE$6:$AH$6,0))+INDEX('LTM data'!$D$47:$W$66,MATCH(RIGHT(J$6,4)&amp;'Couple Potential'!$X147,'LTM data'!$A$47:$A$66&amp;'LTM data'!$C$47:$C$66,0),MATCH('Couple Potential'!$W147,'LTM data'!$D$46:$W$46,0))+INDEX('LTM data'!$D$47:$W$66,MATCH(RIGHT(J$6,4)&amp;'Couple Potential'!$X147,'LTM data'!$A$47:$A$66&amp;'LTM data'!$C$47:$C$66,0),MATCH('Couple Potential'!$V147,'LTM data'!$D$46:$W$46,0))</f>
        <v>100253.71573061548</v>
      </c>
      <c r="K147" s="39">
        <v>15</v>
      </c>
      <c r="L147" s="23" t="str">
        <f t="array" ref="L147">"Max production of "&amp;E147&amp;" travel demand by "&amp;V147&amp;" and "&amp;W147</f>
        <v>Max production of TPL travel demand by Public bus and Metro</v>
      </c>
      <c r="M147" s="23"/>
      <c r="N147" s="23"/>
      <c r="O147" s="23"/>
      <c r="P147" s="23"/>
      <c r="Q147" s="23"/>
      <c r="R147" s="23"/>
      <c r="U147" s="39" t="s">
        <v>71</v>
      </c>
      <c r="V147" s="39" t="s">
        <v>71</v>
      </c>
      <c r="W147" s="39" t="s">
        <v>67</v>
      </c>
      <c r="X147" s="39" t="s">
        <v>79</v>
      </c>
    </row>
    <row r="148" spans="2:24">
      <c r="B148" s="23" t="str">
        <f t="shared" si="17"/>
        <v>UC_Up_Public bus-S-Train_TPL</v>
      </c>
      <c r="C148" s="39" t="str">
        <f t="shared" si="18"/>
        <v>TPBU*,TPRS*</v>
      </c>
      <c r="D148" s="39" t="str">
        <f t="shared" si="19"/>
        <v>TRA*</v>
      </c>
      <c r="E148" s="39" t="str">
        <f t="shared" si="16"/>
        <v>TPL</v>
      </c>
      <c r="F148" s="39" t="s">
        <v>78</v>
      </c>
      <c r="G148" s="39">
        <v>2010</v>
      </c>
      <c r="H148" s="39">
        <v>1</v>
      </c>
      <c r="I148" s="39">
        <f t="array" ref="I148">INDEX($AE$7:$AH$63,MATCH($V148&amp;$W148,$AA$7:$AA$63&amp;$AB$7:$AB$63,0),MATCH($E148,$AE$6:$AH$6,0))+INDEX('LTM data'!$D$47:$W$66,MATCH(RIGHT(I$6,4)&amp;'Couple Potential'!$X148,'LTM data'!$A$47:$A$66&amp;'LTM data'!$C$47:$C$66,0),MATCH('Couple Potential'!$W148,'LTM data'!$D$46:$W$46,0))+INDEX('LTM data'!$D$47:$W$66,MATCH(RIGHT(I$6,4)&amp;'Couple Potential'!$X148,'LTM data'!$A$47:$A$66&amp;'LTM data'!$C$47:$C$66,0),MATCH('Couple Potential'!$V148,'LTM data'!$D$46:$W$46,0))</f>
        <v>100277.55242615148</v>
      </c>
      <c r="J148" s="39">
        <f t="array" ref="J148">INDEX($AE$7:$AH$63,MATCH($V148&amp;$W148,$AA$7:$AA$63&amp;$AB$7:$AB$63,0),MATCH($E148,$AE$6:$AH$6,0))+INDEX('LTM data'!$D$47:$W$66,MATCH(RIGHT(J$6,4)&amp;'Couple Potential'!$X148,'LTM data'!$A$47:$A$66&amp;'LTM data'!$C$47:$C$66,0),MATCH('Couple Potential'!$W148,'LTM data'!$D$46:$W$46,0))+INDEX('LTM data'!$D$47:$W$66,MATCH(RIGHT(J$6,4)&amp;'Couple Potential'!$X148,'LTM data'!$A$47:$A$66&amp;'LTM data'!$C$47:$C$66,0),MATCH('Couple Potential'!$V148,'LTM data'!$D$46:$W$46,0))</f>
        <v>100253.71573061548</v>
      </c>
      <c r="K148" s="39">
        <v>15</v>
      </c>
      <c r="L148" s="23" t="str">
        <f t="array" ref="L148">"Max production of "&amp;E148&amp;" travel demand by "&amp;V148&amp;" and "&amp;W148</f>
        <v>Max production of TPL travel demand by Public bus and S-Train</v>
      </c>
      <c r="M148" s="23"/>
      <c r="N148" s="23"/>
      <c r="O148" s="23"/>
      <c r="P148" s="23"/>
      <c r="Q148" s="23"/>
      <c r="R148" s="23"/>
      <c r="U148" s="39" t="s">
        <v>71</v>
      </c>
      <c r="V148" s="39" t="s">
        <v>71</v>
      </c>
      <c r="W148" s="39" t="s">
        <v>343</v>
      </c>
      <c r="X148" s="39" t="s">
        <v>79</v>
      </c>
    </row>
    <row r="149" spans="2:24">
      <c r="B149" s="23" t="str">
        <f t="shared" si="17"/>
        <v>UC_Up_Public bus-Moto_TPL</v>
      </c>
      <c r="C149" s="39" t="str">
        <f t="shared" si="18"/>
        <v>TPBU*,TPMT*</v>
      </c>
      <c r="D149" s="39" t="str">
        <f t="shared" si="19"/>
        <v>TRA*</v>
      </c>
      <c r="E149" s="39" t="str">
        <f t="shared" si="16"/>
        <v>TPL</v>
      </c>
      <c r="F149" s="39" t="s">
        <v>78</v>
      </c>
      <c r="G149" s="39">
        <v>2010</v>
      </c>
      <c r="H149" s="39">
        <v>1</v>
      </c>
      <c r="I149" s="39">
        <f t="array" ref="I149">INDEX($AE$7:$AH$63,MATCH($V149&amp;$W149,$AA$7:$AA$63&amp;$AB$7:$AB$63,0),MATCH($E149,$AE$6:$AH$6,0))+INDEX('LTM data'!$D$47:$W$66,MATCH(RIGHT(I$6,4)&amp;'Couple Potential'!$X149,'LTM data'!$A$47:$A$66&amp;'LTM data'!$C$47:$C$66,0),MATCH('Couple Potential'!$W149,'LTM data'!$D$46:$W$46,0))+INDEX('LTM data'!$D$47:$W$66,MATCH(RIGHT(I$6,4)&amp;'Couple Potential'!$X149,'LTM data'!$A$47:$A$66&amp;'LTM data'!$C$47:$C$66,0),MATCH('Couple Potential'!$V149,'LTM data'!$D$46:$W$46,0))</f>
        <v>8194.5462021000003</v>
      </c>
      <c r="J149" s="39">
        <f t="array" ref="J149">INDEX($AE$7:$AH$63,MATCH($V149&amp;$W149,$AA$7:$AA$63&amp;$AB$7:$AB$63,0),MATCH($E149,$AE$6:$AH$6,0))+INDEX('LTM data'!$D$47:$W$66,MATCH(RIGHT(J$6,4)&amp;'Couple Potential'!$X149,'LTM data'!$A$47:$A$66&amp;'LTM data'!$C$47:$C$66,0),MATCH('Couple Potential'!$W149,'LTM data'!$D$46:$W$46,0))+INDEX('LTM data'!$D$47:$W$66,MATCH(RIGHT(J$6,4)&amp;'Couple Potential'!$X149,'LTM data'!$A$47:$A$66&amp;'LTM data'!$C$47:$C$66,0),MATCH('Couple Potential'!$V149,'LTM data'!$D$46:$W$46,0))</f>
        <v>8189.9193203305304</v>
      </c>
      <c r="K149" s="39">
        <v>15</v>
      </c>
      <c r="L149" s="23" t="str">
        <f t="array" ref="L149">"Max production of "&amp;E149&amp;" travel demand by "&amp;V149&amp;" and "&amp;W149</f>
        <v>Max production of TPL travel demand by Public bus and Moto</v>
      </c>
      <c r="M149" s="23"/>
      <c r="N149" s="23"/>
      <c r="O149" s="23"/>
      <c r="P149" s="23"/>
      <c r="Q149" s="23"/>
      <c r="R149" s="23"/>
      <c r="U149" s="39" t="s">
        <v>71</v>
      </c>
      <c r="V149" s="39" t="s">
        <v>71</v>
      </c>
      <c r="W149" s="39" t="s">
        <v>64</v>
      </c>
      <c r="X149" s="39" t="s">
        <v>79</v>
      </c>
    </row>
    <row r="150" spans="2:24">
      <c r="B150" s="23" t="str">
        <f t="shared" si="17"/>
        <v>UC_Up_Public bus-Moped_TPL</v>
      </c>
      <c r="C150" s="39" t="str">
        <f t="shared" si="18"/>
        <v>TPBU*,TPMP*</v>
      </c>
      <c r="D150" s="39" t="str">
        <f t="shared" si="19"/>
        <v>TRA*</v>
      </c>
      <c r="E150" s="39" t="str">
        <f t="shared" si="16"/>
        <v>TPL</v>
      </c>
      <c r="F150" s="39" t="s">
        <v>78</v>
      </c>
      <c r="G150" s="39">
        <v>2010</v>
      </c>
      <c r="H150" s="39">
        <v>1</v>
      </c>
      <c r="I150" s="39">
        <f t="array" ref="I150">INDEX($AE$7:$AH$63,MATCH($V150&amp;$W150,$AA$7:$AA$63&amp;$AB$7:$AB$63,0),MATCH($E150,$AE$6:$AH$6,0))+INDEX('LTM data'!$D$47:$W$66,MATCH(RIGHT(I$6,4)&amp;'Couple Potential'!$X150,'LTM data'!$A$47:$A$66&amp;'LTM data'!$C$47:$C$66,0),MATCH('Couple Potential'!$W150,'LTM data'!$D$46:$W$46,0))+INDEX('LTM data'!$D$47:$W$66,MATCH(RIGHT(I$6,4)&amp;'Couple Potential'!$X150,'LTM data'!$A$47:$A$66&amp;'LTM data'!$C$47:$C$66,0),MATCH('Couple Potential'!$V150,'LTM data'!$D$46:$W$46,0))</f>
        <v>100280.83484006328</v>
      </c>
      <c r="J150" s="39">
        <f t="array" ref="J150">INDEX($AE$7:$AH$63,MATCH($V150&amp;$W150,$AA$7:$AA$63&amp;$AB$7:$AB$63,0),MATCH($E150,$AE$6:$AH$6,0))+INDEX('LTM data'!$D$47:$W$66,MATCH(RIGHT(J$6,4)&amp;'Couple Potential'!$X150,'LTM data'!$A$47:$A$66&amp;'LTM data'!$C$47:$C$66,0),MATCH('Couple Potential'!$W150,'LTM data'!$D$46:$W$46,0))+INDEX('LTM data'!$D$47:$W$66,MATCH(RIGHT(J$6,4)&amp;'Couple Potential'!$X150,'LTM data'!$A$47:$A$66&amp;'LTM data'!$C$47:$C$66,0),MATCH('Couple Potential'!$V150,'LTM data'!$D$46:$W$46,0))</f>
        <v>100255.50009280075</v>
      </c>
      <c r="K150" s="39">
        <v>15</v>
      </c>
      <c r="L150" s="23" t="str">
        <f t="array" ref="L150">"Max production of "&amp;E150&amp;" travel demand by "&amp;V150&amp;" and "&amp;W150</f>
        <v>Max production of TPL travel demand by Public bus and Moped</v>
      </c>
      <c r="M150" s="23"/>
      <c r="N150" s="23"/>
      <c r="O150" s="23"/>
      <c r="P150" s="23"/>
      <c r="Q150" s="23"/>
      <c r="R150" s="23"/>
      <c r="U150" s="39" t="s">
        <v>71</v>
      </c>
      <c r="V150" s="39" t="s">
        <v>71</v>
      </c>
      <c r="W150" s="39" t="s">
        <v>63</v>
      </c>
      <c r="X150" s="39" t="s">
        <v>79</v>
      </c>
    </row>
    <row r="151" spans="2:24">
      <c r="B151" s="23" t="str">
        <f t="shared" si="17"/>
        <v>UC_Up_Public bus-Car_TPL</v>
      </c>
      <c r="C151" s="39" t="str">
        <f t="shared" si="18"/>
        <v>TPBU*,TPCA*</v>
      </c>
      <c r="D151" s="39" t="str">
        <f t="shared" si="19"/>
        <v>TRA*</v>
      </c>
      <c r="E151" s="39" t="str">
        <f t="shared" si="16"/>
        <v>TPL</v>
      </c>
      <c r="F151" s="39" t="s">
        <v>78</v>
      </c>
      <c r="G151" s="39">
        <v>2010</v>
      </c>
      <c r="H151" s="39">
        <v>1</v>
      </c>
      <c r="I151" s="39">
        <f t="array" ref="I151">INDEX($AE$7:$AH$63,MATCH($V151&amp;$W151,$AA$7:$AA$63&amp;$AB$7:$AB$63,0),MATCH($E151,$AE$6:$AH$6,0))+INDEX('LTM data'!$D$47:$W$66,MATCH(RIGHT(I$6,4)&amp;'Couple Potential'!$X151,'LTM data'!$A$47:$A$66&amp;'LTM data'!$C$47:$C$66,0),MATCH('Couple Potential'!$W151,'LTM data'!$D$46:$W$46,0))+INDEX('LTM data'!$D$47:$W$66,MATCH(RIGHT(I$6,4)&amp;'Couple Potential'!$X151,'LTM data'!$A$47:$A$66&amp;'LTM data'!$C$47:$C$66,0),MATCH('Couple Potential'!$V151,'LTM data'!$D$46:$W$46,0))</f>
        <v>122176.5307313259</v>
      </c>
      <c r="J151" s="39">
        <f t="array" ref="J151">INDEX($AE$7:$AH$63,MATCH($V151&amp;$W151,$AA$7:$AA$63&amp;$AB$7:$AB$63,0),MATCH($E151,$AE$6:$AH$6,0))+INDEX('LTM data'!$D$47:$W$66,MATCH(RIGHT(J$6,4)&amp;'Couple Potential'!$X151,'LTM data'!$A$47:$A$66&amp;'LTM data'!$C$47:$C$66,0),MATCH('Couple Potential'!$W151,'LTM data'!$D$46:$W$46,0))+INDEX('LTM data'!$D$47:$W$66,MATCH(RIGHT(J$6,4)&amp;'Couple Potential'!$X151,'LTM data'!$A$47:$A$66&amp;'LTM data'!$C$47:$C$66,0),MATCH('Couple Potential'!$V151,'LTM data'!$D$46:$W$46,0))</f>
        <v>132107.46133507305</v>
      </c>
      <c r="K151" s="39">
        <v>15</v>
      </c>
      <c r="L151" s="23" t="str">
        <f t="array" ref="L151">"Max production of "&amp;E151&amp;" travel demand by "&amp;V151&amp;" and "&amp;W151</f>
        <v>Max production of TPL travel demand by Public bus and Car</v>
      </c>
      <c r="M151" s="23"/>
      <c r="N151" s="23"/>
      <c r="O151" s="23"/>
      <c r="P151" s="23"/>
      <c r="Q151" s="23"/>
      <c r="R151" s="23"/>
      <c r="U151" s="39" t="s">
        <v>71</v>
      </c>
      <c r="V151" s="39" t="s">
        <v>71</v>
      </c>
      <c r="W151" s="39" t="s">
        <v>72</v>
      </c>
      <c r="X151" s="39" t="s">
        <v>79</v>
      </c>
    </row>
    <row r="152" spans="2:24">
      <c r="B152" s="23" t="str">
        <f t="shared" si="17"/>
        <v>UC_Up_Coach-Train_TPL</v>
      </c>
      <c r="C152" s="39" t="str">
        <f t="shared" si="18"/>
        <v>TPCO*,TPRO*</v>
      </c>
      <c r="D152" s="39" t="str">
        <f t="shared" si="19"/>
        <v>TRA*</v>
      </c>
      <c r="E152" s="39" t="str">
        <f t="shared" si="16"/>
        <v>TPL</v>
      </c>
      <c r="F152" s="39" t="s">
        <v>78</v>
      </c>
      <c r="G152" s="39">
        <v>2010</v>
      </c>
      <c r="H152" s="39">
        <v>1</v>
      </c>
      <c r="I152" s="39">
        <f t="array" ref="I152">INDEX($AE$7:$AH$63,MATCH($V152&amp;$W152,$AA$7:$AA$63&amp;$AB$7:$AB$63,0),MATCH($E152,$AE$6:$AH$6,0))+INDEX('LTM data'!$D$47:$W$66,MATCH(RIGHT(I$6,4)&amp;'Couple Potential'!$X152,'LTM data'!$A$47:$A$66&amp;'LTM data'!$C$47:$C$66,0),MATCH('Couple Potential'!$W152,'LTM data'!$D$46:$W$46,0))+INDEX('LTM data'!$D$47:$W$66,MATCH(RIGHT(I$6,4)&amp;'Couple Potential'!$X152,'LTM data'!$A$47:$A$66&amp;'LTM data'!$C$47:$C$66,0),MATCH('Couple Potential'!$V152,'LTM data'!$D$46:$W$46,0))</f>
        <v>26011.795291900002</v>
      </c>
      <c r="J152" s="39">
        <f t="array" ref="J152">INDEX($AE$7:$AH$63,MATCH($V152&amp;$W152,$AA$7:$AA$63&amp;$AB$7:$AB$63,0),MATCH($E152,$AE$6:$AH$6,0))+INDEX('LTM data'!$D$47:$W$66,MATCH(RIGHT(J$6,4)&amp;'Couple Potential'!$X152,'LTM data'!$A$47:$A$66&amp;'LTM data'!$C$47:$C$66,0),MATCH('Couple Potential'!$W152,'LTM data'!$D$46:$W$46,0))+INDEX('LTM data'!$D$47:$W$66,MATCH(RIGHT(J$6,4)&amp;'Couple Potential'!$X152,'LTM data'!$A$47:$A$66&amp;'LTM data'!$C$47:$C$66,0),MATCH('Couple Potential'!$V152,'LTM data'!$D$46:$W$46,0))</f>
        <v>27995.863013383514</v>
      </c>
      <c r="K152" s="39">
        <v>15</v>
      </c>
      <c r="L152" s="23" t="str">
        <f t="array" ref="L152">"Max production of "&amp;E152&amp;" travel demand by "&amp;V152&amp;" and "&amp;W152</f>
        <v>Max production of TPL travel demand by Coach and Train</v>
      </c>
      <c r="M152" s="23"/>
      <c r="N152" s="23"/>
      <c r="O152" s="23"/>
      <c r="P152" s="23"/>
      <c r="Q152" s="23"/>
      <c r="R152" s="23"/>
      <c r="U152" s="39" t="s">
        <v>70</v>
      </c>
      <c r="V152" s="39" t="s">
        <v>70</v>
      </c>
      <c r="W152" s="39" t="s">
        <v>69</v>
      </c>
      <c r="X152" s="39" t="s">
        <v>79</v>
      </c>
    </row>
    <row r="153" spans="2:24">
      <c r="B153" s="23" t="str">
        <f t="shared" si="17"/>
        <v>UC_Up_Coach-Metro_TPL</v>
      </c>
      <c r="C153" s="39" t="str">
        <f t="shared" si="18"/>
        <v>TPCO*,TPRM*</v>
      </c>
      <c r="D153" s="39" t="str">
        <f t="shared" si="19"/>
        <v>TRA*</v>
      </c>
      <c r="E153" s="39" t="str">
        <f t="shared" si="16"/>
        <v>TPL</v>
      </c>
      <c r="F153" s="39" t="s">
        <v>78</v>
      </c>
      <c r="G153" s="39">
        <v>2010</v>
      </c>
      <c r="H153" s="39">
        <v>1</v>
      </c>
      <c r="I153" s="39">
        <f t="array" ref="I153">INDEX($AE$7:$AH$63,MATCH($V153&amp;$W153,$AA$7:$AA$63&amp;$AB$7:$AB$63,0),MATCH($E153,$AE$6:$AH$6,0))+INDEX('LTM data'!$D$47:$W$66,MATCH(RIGHT(I$6,4)&amp;'Couple Potential'!$X153,'LTM data'!$A$47:$A$66&amp;'LTM data'!$C$47:$C$66,0),MATCH('Couple Potential'!$W153,'LTM data'!$D$46:$W$46,0))+INDEX('LTM data'!$D$47:$W$66,MATCH(RIGHT(I$6,4)&amp;'Couple Potential'!$X153,'LTM data'!$A$47:$A$66&amp;'LTM data'!$C$47:$C$66,0),MATCH('Couple Potential'!$V153,'LTM data'!$D$46:$W$46,0))</f>
        <v>103049.99125233338</v>
      </c>
      <c r="J153" s="39">
        <f t="array" ref="J153">INDEX($AE$7:$AH$63,MATCH($V153&amp;$W153,$AA$7:$AA$63&amp;$AB$7:$AB$63,0),MATCH($E153,$AE$6:$AH$6,0))+INDEX('LTM data'!$D$47:$W$66,MATCH(RIGHT(J$6,4)&amp;'Couple Potential'!$X153,'LTM data'!$A$47:$A$66&amp;'LTM data'!$C$47:$C$66,0),MATCH('Couple Potential'!$W153,'LTM data'!$D$46:$W$46,0))+INDEX('LTM data'!$D$47:$W$66,MATCH(RIGHT(J$6,4)&amp;'Couple Potential'!$X153,'LTM data'!$A$47:$A$66&amp;'LTM data'!$C$47:$C$66,0),MATCH('Couple Potential'!$V153,'LTM data'!$D$46:$W$46,0))</f>
        <v>102788.90736744447</v>
      </c>
      <c r="K153" s="39">
        <v>15</v>
      </c>
      <c r="L153" s="23" t="str">
        <f t="array" ref="L153">"Max production of "&amp;E153&amp;" travel demand by "&amp;V153&amp;" and "&amp;W153</f>
        <v>Max production of TPL travel demand by Coach and Metro</v>
      </c>
      <c r="M153" s="23"/>
      <c r="N153" s="23"/>
      <c r="O153" s="23"/>
      <c r="P153" s="23"/>
      <c r="Q153" s="23"/>
      <c r="R153" s="23"/>
      <c r="U153" s="39" t="s">
        <v>70</v>
      </c>
      <c r="V153" s="39" t="s">
        <v>70</v>
      </c>
      <c r="W153" s="39" t="s">
        <v>67</v>
      </c>
      <c r="X153" s="39" t="s">
        <v>79</v>
      </c>
    </row>
    <row r="154" spans="2:24">
      <c r="B154" s="23" t="str">
        <f t="shared" si="17"/>
        <v>UC_Up_Coach-S-Train_TPL</v>
      </c>
      <c r="C154" s="39" t="str">
        <f t="shared" si="18"/>
        <v>TPCO*,TPRS*</v>
      </c>
      <c r="D154" s="39" t="str">
        <f t="shared" si="19"/>
        <v>TRA*</v>
      </c>
      <c r="E154" s="39" t="str">
        <f t="shared" si="16"/>
        <v>TPL</v>
      </c>
      <c r="F154" s="39" t="s">
        <v>78</v>
      </c>
      <c r="G154" s="39">
        <v>2010</v>
      </c>
      <c r="H154" s="39">
        <v>1</v>
      </c>
      <c r="I154" s="39">
        <f t="array" ref="I154">INDEX($AE$7:$AH$63,MATCH($V154&amp;$W154,$AA$7:$AA$63&amp;$AB$7:$AB$63,0),MATCH($E154,$AE$6:$AH$6,0))+INDEX('LTM data'!$D$47:$W$66,MATCH(RIGHT(I$6,4)&amp;'Couple Potential'!$X154,'LTM data'!$A$47:$A$66&amp;'LTM data'!$C$47:$C$66,0),MATCH('Couple Potential'!$W154,'LTM data'!$D$46:$W$46,0))+INDEX('LTM data'!$D$47:$W$66,MATCH(RIGHT(I$6,4)&amp;'Couple Potential'!$X154,'LTM data'!$A$47:$A$66&amp;'LTM data'!$C$47:$C$66,0),MATCH('Couple Potential'!$V154,'LTM data'!$D$46:$W$46,0))</f>
        <v>103049.99125233338</v>
      </c>
      <c r="J154" s="39">
        <f t="array" ref="J154">INDEX($AE$7:$AH$63,MATCH($V154&amp;$W154,$AA$7:$AA$63&amp;$AB$7:$AB$63,0),MATCH($E154,$AE$6:$AH$6,0))+INDEX('LTM data'!$D$47:$W$66,MATCH(RIGHT(J$6,4)&amp;'Couple Potential'!$X154,'LTM data'!$A$47:$A$66&amp;'LTM data'!$C$47:$C$66,0),MATCH('Couple Potential'!$W154,'LTM data'!$D$46:$W$46,0))+INDEX('LTM data'!$D$47:$W$66,MATCH(RIGHT(J$6,4)&amp;'Couple Potential'!$X154,'LTM data'!$A$47:$A$66&amp;'LTM data'!$C$47:$C$66,0),MATCH('Couple Potential'!$V154,'LTM data'!$D$46:$W$46,0))</f>
        <v>102788.90736744447</v>
      </c>
      <c r="K154" s="39">
        <v>15</v>
      </c>
      <c r="L154" s="23" t="str">
        <f t="array" ref="L154">"Max production of "&amp;E154&amp;" travel demand by "&amp;V154&amp;" and "&amp;W154</f>
        <v>Max production of TPL travel demand by Coach and S-Train</v>
      </c>
      <c r="M154" s="23"/>
      <c r="N154" s="23"/>
      <c r="O154" s="23"/>
      <c r="P154" s="23"/>
      <c r="Q154" s="23"/>
      <c r="R154" s="23"/>
      <c r="U154" s="39" t="s">
        <v>70</v>
      </c>
      <c r="V154" s="39" t="s">
        <v>70</v>
      </c>
      <c r="W154" s="39" t="s">
        <v>343</v>
      </c>
      <c r="X154" s="39" t="s">
        <v>79</v>
      </c>
    </row>
    <row r="155" spans="2:24">
      <c r="B155" s="23" t="str">
        <f t="shared" si="17"/>
        <v>UC_Up_Coach-Moto_TPL</v>
      </c>
      <c r="C155" s="39" t="str">
        <f t="shared" si="18"/>
        <v>TPCO*,TPMT*</v>
      </c>
      <c r="D155" s="39" t="str">
        <f t="shared" si="19"/>
        <v>TRA*</v>
      </c>
      <c r="E155" s="39" t="str">
        <f t="shared" si="16"/>
        <v>TPL</v>
      </c>
      <c r="F155" s="39" t="s">
        <v>78</v>
      </c>
      <c r="G155" s="39">
        <v>2010</v>
      </c>
      <c r="H155" s="39">
        <v>1</v>
      </c>
      <c r="I155" s="39">
        <f t="array" ref="I155">INDEX($AE$7:$AH$63,MATCH($V155&amp;$W155,$AA$7:$AA$63&amp;$AB$7:$AB$63,0),MATCH($E155,$AE$6:$AH$6,0))+INDEX('LTM data'!$D$47:$W$66,MATCH(RIGHT(I$6,4)&amp;'Couple Potential'!$X155,'LTM data'!$A$47:$A$66&amp;'LTM data'!$C$47:$C$66,0),MATCH('Couple Potential'!$W155,'LTM data'!$D$46:$W$46,0))+INDEX('LTM data'!$D$47:$W$66,MATCH(RIGHT(I$6,4)&amp;'Couple Potential'!$X155,'LTM data'!$A$47:$A$66&amp;'LTM data'!$C$47:$C$66,0),MATCH('Couple Potential'!$V155,'LTM data'!$D$46:$W$46,0))</f>
        <v>28541.694299800001</v>
      </c>
      <c r="J155" s="39">
        <f t="array" ref="J155">INDEX($AE$7:$AH$63,MATCH($V155&amp;$W155,$AA$7:$AA$63&amp;$AB$7:$AB$63,0),MATCH($E155,$AE$6:$AH$6,0))+INDEX('LTM data'!$D$47:$W$66,MATCH(RIGHT(J$6,4)&amp;'Couple Potential'!$X155,'LTM data'!$A$47:$A$66&amp;'LTM data'!$C$47:$C$66,0),MATCH('Couple Potential'!$W155,'LTM data'!$D$46:$W$46,0))+INDEX('LTM data'!$D$47:$W$66,MATCH(RIGHT(J$6,4)&amp;'Couple Potential'!$X155,'LTM data'!$A$47:$A$66&amp;'LTM data'!$C$47:$C$66,0),MATCH('Couple Potential'!$V155,'LTM data'!$D$46:$W$46,0))</f>
        <v>28299.820228677621</v>
      </c>
      <c r="K155" s="39">
        <v>15</v>
      </c>
      <c r="L155" s="23" t="str">
        <f t="array" ref="L155">"Max production of "&amp;E155&amp;" travel demand by "&amp;V155&amp;" and "&amp;W155</f>
        <v>Max production of TPL travel demand by Coach and Moto</v>
      </c>
      <c r="M155" s="23"/>
      <c r="N155" s="23"/>
      <c r="O155" s="23"/>
      <c r="P155" s="23"/>
      <c r="Q155" s="23"/>
      <c r="R155" s="23"/>
      <c r="U155" s="39" t="s">
        <v>70</v>
      </c>
      <c r="V155" s="39" t="s">
        <v>70</v>
      </c>
      <c r="W155" s="39" t="s">
        <v>64</v>
      </c>
      <c r="X155" s="39" t="s">
        <v>79</v>
      </c>
    </row>
    <row r="156" spans="2:24">
      <c r="B156" s="23" t="str">
        <f t="shared" si="17"/>
        <v>UC_Up_Coach-Moped_TPL</v>
      </c>
      <c r="C156" s="39" t="str">
        <f t="shared" si="18"/>
        <v>TPCO*,TPMP*</v>
      </c>
      <c r="D156" s="39" t="str">
        <f t="shared" si="19"/>
        <v>TRA*</v>
      </c>
      <c r="E156" s="39" t="str">
        <f t="shared" si="16"/>
        <v>TPL</v>
      </c>
      <c r="F156" s="39" t="s">
        <v>78</v>
      </c>
      <c r="G156" s="39">
        <v>2010</v>
      </c>
      <c r="H156" s="39">
        <v>1</v>
      </c>
      <c r="I156" s="39">
        <f t="array" ref="I156">INDEX($AE$7:$AH$63,MATCH($V156&amp;$W156,$AA$7:$AA$63&amp;$AB$7:$AB$63,0),MATCH($E156,$AE$6:$AH$6,0))+INDEX('LTM data'!$D$47:$W$66,MATCH(RIGHT(I$6,4)&amp;'Couple Potential'!$X156,'LTM data'!$A$47:$A$66&amp;'LTM data'!$C$47:$C$66,0),MATCH('Couple Potential'!$W156,'LTM data'!$D$46:$W$46,0))+INDEX('LTM data'!$D$47:$W$66,MATCH(RIGHT(I$6,4)&amp;'Couple Potential'!$X156,'LTM data'!$A$47:$A$66&amp;'LTM data'!$C$47:$C$66,0),MATCH('Couple Potential'!$V156,'LTM data'!$D$46:$W$46,0))</f>
        <v>28435.022511700001</v>
      </c>
      <c r="J156" s="39">
        <f t="array" ref="J156">INDEX($AE$7:$AH$63,MATCH($V156&amp;$W156,$AA$7:$AA$63&amp;$AB$7:$AB$63,0),MATCH($E156,$AE$6:$AH$6,0))+INDEX('LTM data'!$D$47:$W$66,MATCH(RIGHT(J$6,4)&amp;'Couple Potential'!$X156,'LTM data'!$A$47:$A$66&amp;'LTM data'!$C$47:$C$66,0),MATCH('Couple Potential'!$W156,'LTM data'!$D$46:$W$46,0))+INDEX('LTM data'!$D$47:$W$66,MATCH(RIGHT(J$6,4)&amp;'Couple Potential'!$X156,'LTM data'!$A$47:$A$66&amp;'LTM data'!$C$47:$C$66,0),MATCH('Couple Potential'!$V156,'LTM data'!$D$46:$W$46,0))</f>
        <v>28172.440575084558</v>
      </c>
      <c r="K156" s="39">
        <v>15</v>
      </c>
      <c r="L156" s="23" t="str">
        <f t="array" ref="L156">"Max production of "&amp;E156&amp;" travel demand by "&amp;V156&amp;" and "&amp;W156</f>
        <v>Max production of TPL travel demand by Coach and Moped</v>
      </c>
      <c r="M156" s="23"/>
      <c r="N156" s="23"/>
      <c r="O156" s="23"/>
      <c r="P156" s="23"/>
      <c r="Q156" s="23"/>
      <c r="R156" s="23"/>
      <c r="U156" s="39" t="s">
        <v>70</v>
      </c>
      <c r="V156" s="39" t="s">
        <v>70</v>
      </c>
      <c r="W156" s="39" t="s">
        <v>63</v>
      </c>
      <c r="X156" s="39" t="s">
        <v>79</v>
      </c>
    </row>
    <row r="157" spans="2:24">
      <c r="B157" s="23" t="str">
        <f t="shared" si="17"/>
        <v>UC_Up_Coach-Car_TPL</v>
      </c>
      <c r="C157" s="39" t="str">
        <f t="shared" si="18"/>
        <v>TPCO*,TPCA*</v>
      </c>
      <c r="D157" s="39" t="str">
        <f t="shared" si="19"/>
        <v>TRA*</v>
      </c>
      <c r="E157" s="39" t="str">
        <f t="shared" si="16"/>
        <v>TPL</v>
      </c>
      <c r="F157" s="39" t="s">
        <v>78</v>
      </c>
      <c r="G157" s="39">
        <v>2010</v>
      </c>
      <c r="H157" s="39">
        <v>1</v>
      </c>
      <c r="I157" s="39">
        <f t="array" ref="I157">INDEX($AE$7:$AH$63,MATCH($V157&amp;$W157,$AA$7:$AA$63&amp;$AB$7:$AB$63,0),MATCH($E157,$AE$6:$AH$6,0))+INDEX('LTM data'!$D$47:$W$66,MATCH(RIGHT(I$6,4)&amp;'Couple Potential'!$X157,'LTM data'!$A$47:$A$66&amp;'LTM data'!$C$47:$C$66,0),MATCH('Couple Potential'!$W157,'LTM data'!$D$46:$W$46,0))+INDEX('LTM data'!$D$47:$W$66,MATCH(RIGHT(I$6,4)&amp;'Couple Potential'!$X157,'LTM data'!$A$47:$A$66&amp;'LTM data'!$C$47:$C$66,0),MATCH('Couple Potential'!$V157,'LTM data'!$D$46:$W$46,0))</f>
        <v>30427.32729410004</v>
      </c>
      <c r="J157" s="39">
        <f t="array" ref="J157">INDEX($AE$7:$AH$63,MATCH($V157&amp;$W157,$AA$7:$AA$63&amp;$AB$7:$AB$63,0),MATCH($E157,$AE$6:$AH$6,0))+INDEX('LTM data'!$D$47:$W$66,MATCH(RIGHT(J$6,4)&amp;'Couple Potential'!$X157,'LTM data'!$A$47:$A$66&amp;'LTM data'!$C$47:$C$66,0),MATCH('Couple Potential'!$W157,'LTM data'!$D$46:$W$46,0))+INDEX('LTM data'!$D$47:$W$66,MATCH(RIGHT(J$6,4)&amp;'Couple Potential'!$X157,'LTM data'!$A$47:$A$66&amp;'LTM data'!$C$47:$C$66,0),MATCH('Couple Potential'!$V157,'LTM data'!$D$46:$W$46,0))</f>
        <v>40121.010708494287</v>
      </c>
      <c r="K157" s="39">
        <v>15</v>
      </c>
      <c r="L157" s="23" t="str">
        <f t="array" ref="L157">"Max production of "&amp;E157&amp;" travel demand by "&amp;V157&amp;" and "&amp;W157</f>
        <v>Max production of TPL travel demand by Coach and Car</v>
      </c>
      <c r="M157" s="23"/>
      <c r="N157" s="23"/>
      <c r="O157" s="23"/>
      <c r="P157" s="23"/>
      <c r="Q157" s="23"/>
      <c r="R157" s="23"/>
      <c r="U157" s="39" t="s">
        <v>70</v>
      </c>
      <c r="V157" s="39" t="s">
        <v>70</v>
      </c>
      <c r="W157" s="39" t="s">
        <v>72</v>
      </c>
      <c r="X157" s="39" t="s">
        <v>79</v>
      </c>
    </row>
    <row r="158" spans="2:24">
      <c r="B158" s="23" t="str">
        <f t="shared" si="17"/>
        <v>UC_Up_Train-Metro_TPL</v>
      </c>
      <c r="C158" s="39" t="str">
        <f t="shared" si="18"/>
        <v>TPRO*,TPRM*</v>
      </c>
      <c r="D158" s="39" t="str">
        <f t="shared" si="19"/>
        <v>TRA*</v>
      </c>
      <c r="E158" s="39" t="str">
        <f t="shared" si="16"/>
        <v>TPL</v>
      </c>
      <c r="F158" s="39" t="s">
        <v>78</v>
      </c>
      <c r="G158" s="39">
        <v>2010</v>
      </c>
      <c r="H158" s="39">
        <v>1</v>
      </c>
      <c r="I158" s="39">
        <f t="array" ref="I158">INDEX($AE$7:$AH$63,MATCH($V158&amp;$W158,$AA$7:$AA$63&amp;$AB$7:$AB$63,0),MATCH($E158,$AE$6:$AH$6,0))+INDEX('LTM data'!$D$47:$W$66,MATCH(RIGHT(I$6,4)&amp;'Couple Potential'!$X158,'LTM data'!$A$47:$A$66&amp;'LTM data'!$C$47:$C$66,0),MATCH('Couple Potential'!$W158,'LTM data'!$D$46:$W$46,0))+INDEX('LTM data'!$D$47:$W$66,MATCH(RIGHT(I$6,4)&amp;'Couple Potential'!$X158,'LTM data'!$A$47:$A$66&amp;'LTM data'!$C$47:$C$66,0),MATCH('Couple Potential'!$V158,'LTM data'!$D$46:$W$46,0))</f>
        <v>103209.90018661617</v>
      </c>
      <c r="J158" s="39">
        <f t="array" ref="J158">INDEX($AE$7:$AH$63,MATCH($V158&amp;$W158,$AA$7:$AA$63&amp;$AB$7:$AB$63,0),MATCH($E158,$AE$6:$AH$6,0))+INDEX('LTM data'!$D$47:$W$66,MATCH(RIGHT(J$6,4)&amp;'Couple Potential'!$X158,'LTM data'!$A$47:$A$66&amp;'LTM data'!$C$47:$C$66,0),MATCH('Couple Potential'!$W158,'LTM data'!$D$46:$W$46,0))+INDEX('LTM data'!$D$47:$W$66,MATCH(RIGHT(J$6,4)&amp;'Couple Potential'!$X158,'LTM data'!$A$47:$A$66&amp;'LTM data'!$C$47:$C$66,0),MATCH('Couple Potential'!$V158,'LTM data'!$D$46:$W$46,0))</f>
        <v>105455.05179298858</v>
      </c>
      <c r="K158" s="39">
        <v>15</v>
      </c>
      <c r="L158" s="23" t="str">
        <f t="array" ref="L158">"Max production of "&amp;E158&amp;" travel demand by "&amp;V158&amp;" and "&amp;W158</f>
        <v>Max production of TPL travel demand by Train and Metro</v>
      </c>
      <c r="M158" s="23"/>
      <c r="N158" s="23"/>
      <c r="O158" s="23"/>
      <c r="P158" s="23"/>
      <c r="Q158" s="23"/>
      <c r="R158" s="23"/>
      <c r="U158" s="39" t="s">
        <v>69</v>
      </c>
      <c r="V158" s="39" t="s">
        <v>69</v>
      </c>
      <c r="W158" s="39" t="s">
        <v>67</v>
      </c>
      <c r="X158" s="39" t="s">
        <v>79</v>
      </c>
    </row>
    <row r="159" spans="2:24">
      <c r="B159" s="23" t="str">
        <f t="shared" si="17"/>
        <v>UC_Up_Train-S-Train_TPL</v>
      </c>
      <c r="C159" s="39" t="str">
        <f t="shared" si="18"/>
        <v>TPRO*,TPRS*</v>
      </c>
      <c r="D159" s="39" t="str">
        <f t="shared" si="19"/>
        <v>TRA*</v>
      </c>
      <c r="E159" s="39" t="str">
        <f t="shared" si="16"/>
        <v>TPL</v>
      </c>
      <c r="F159" s="39" t="s">
        <v>78</v>
      </c>
      <c r="G159" s="39">
        <v>2010</v>
      </c>
      <c r="H159" s="39">
        <v>1</v>
      </c>
      <c r="I159" s="39">
        <f t="array" ref="I159">INDEX($AE$7:$AH$63,MATCH($V159&amp;$W159,$AA$7:$AA$63&amp;$AB$7:$AB$63,0),MATCH($E159,$AE$6:$AH$6,0))+INDEX('LTM data'!$D$47:$W$66,MATCH(RIGHT(I$6,4)&amp;'Couple Potential'!$X159,'LTM data'!$A$47:$A$66&amp;'LTM data'!$C$47:$C$66,0),MATCH('Couple Potential'!$W159,'LTM data'!$D$46:$W$46,0))+INDEX('LTM data'!$D$47:$W$66,MATCH(RIGHT(I$6,4)&amp;'Couple Potential'!$X159,'LTM data'!$A$47:$A$66&amp;'LTM data'!$C$47:$C$66,0),MATCH('Couple Potential'!$V159,'LTM data'!$D$46:$W$46,0))</f>
        <v>103209.90018661617</v>
      </c>
      <c r="J159" s="39">
        <f t="array" ref="J159">INDEX($AE$7:$AH$63,MATCH($V159&amp;$W159,$AA$7:$AA$63&amp;$AB$7:$AB$63,0),MATCH($E159,$AE$6:$AH$6,0))+INDEX('LTM data'!$D$47:$W$66,MATCH(RIGHT(J$6,4)&amp;'Couple Potential'!$X159,'LTM data'!$A$47:$A$66&amp;'LTM data'!$C$47:$C$66,0),MATCH('Couple Potential'!$W159,'LTM data'!$D$46:$W$46,0))+INDEX('LTM data'!$D$47:$W$66,MATCH(RIGHT(J$6,4)&amp;'Couple Potential'!$X159,'LTM data'!$A$47:$A$66&amp;'LTM data'!$C$47:$C$66,0),MATCH('Couple Potential'!$V159,'LTM data'!$D$46:$W$46,0))</f>
        <v>105455.05179298858</v>
      </c>
      <c r="K159" s="39">
        <v>15</v>
      </c>
      <c r="L159" s="23" t="str">
        <f t="array" ref="L159">"Max production of "&amp;E159&amp;" travel demand by "&amp;V159&amp;" and "&amp;W159</f>
        <v>Max production of TPL travel demand by Train and S-Train</v>
      </c>
      <c r="M159" s="23"/>
      <c r="N159" s="23"/>
      <c r="O159" s="23"/>
      <c r="P159" s="23"/>
      <c r="Q159" s="23"/>
      <c r="R159" s="23"/>
      <c r="U159" s="39" t="s">
        <v>69</v>
      </c>
      <c r="V159" s="39" t="s">
        <v>69</v>
      </c>
      <c r="W159" s="39" t="s">
        <v>343</v>
      </c>
      <c r="X159" s="39" t="s">
        <v>79</v>
      </c>
    </row>
    <row r="160" spans="2:24">
      <c r="B160" s="23" t="str">
        <f t="shared" si="17"/>
        <v>UC_Up_Train-Moto_TPL</v>
      </c>
      <c r="C160" s="39" t="str">
        <f t="shared" si="18"/>
        <v>TPRO*,TPMT*</v>
      </c>
      <c r="D160" s="39" t="str">
        <f t="shared" si="19"/>
        <v>TRA*</v>
      </c>
      <c r="E160" s="39" t="str">
        <f t="shared" si="16"/>
        <v>TPL</v>
      </c>
      <c r="F160" s="39" t="s">
        <v>78</v>
      </c>
      <c r="G160" s="39">
        <v>2010</v>
      </c>
      <c r="H160" s="39">
        <v>1</v>
      </c>
      <c r="I160" s="39">
        <f t="array" ref="I160">INDEX($AE$7:$AH$63,MATCH($V160&amp;$W160,$AA$7:$AA$63&amp;$AB$7:$AB$63,0),MATCH($E160,$AE$6:$AH$6,0))+INDEX('LTM data'!$D$47:$W$66,MATCH(RIGHT(I$6,4)&amp;'Couple Potential'!$X160,'LTM data'!$A$47:$A$66&amp;'LTM data'!$C$47:$C$66,0),MATCH('Couple Potential'!$W160,'LTM data'!$D$46:$W$46,0))+INDEX('LTM data'!$D$47:$W$66,MATCH(RIGHT(I$6,4)&amp;'Couple Potential'!$X160,'LTM data'!$A$47:$A$66&amp;'LTM data'!$C$47:$C$66,0),MATCH('Couple Potential'!$V160,'LTM data'!$D$46:$W$46,0))</f>
        <v>27080.053400299999</v>
      </c>
      <c r="J160" s="39">
        <f t="array" ref="J160">INDEX($AE$7:$AH$63,MATCH($V160&amp;$W160,$AA$7:$AA$63&amp;$AB$7:$AB$63,0),MATCH($E160,$AE$6:$AH$6,0))+INDEX('LTM data'!$D$47:$W$66,MATCH(RIGHT(J$6,4)&amp;'Couple Potential'!$X160,'LTM data'!$A$47:$A$66&amp;'LTM data'!$C$47:$C$66,0),MATCH('Couple Potential'!$W160,'LTM data'!$D$46:$W$46,0))+INDEX('LTM data'!$D$47:$W$66,MATCH(RIGHT(J$6,4)&amp;'Couple Potential'!$X160,'LTM data'!$A$47:$A$66&amp;'LTM data'!$C$47:$C$66,0),MATCH('Couple Potential'!$V160,'LTM data'!$D$46:$W$46,0))</f>
        <v>29344.414820438938</v>
      </c>
      <c r="K160" s="39">
        <v>15</v>
      </c>
      <c r="L160" s="23" t="str">
        <f t="array" ref="L160">"Max production of "&amp;E160&amp;" travel demand by "&amp;V160&amp;" and "&amp;W160</f>
        <v>Max production of TPL travel demand by Train and Moto</v>
      </c>
      <c r="M160" s="23"/>
      <c r="N160" s="23"/>
      <c r="O160" s="23"/>
      <c r="P160" s="23"/>
      <c r="Q160" s="23"/>
      <c r="R160" s="23"/>
      <c r="U160" s="39" t="s">
        <v>69</v>
      </c>
      <c r="V160" s="39" t="s">
        <v>69</v>
      </c>
      <c r="W160" s="39" t="s">
        <v>64</v>
      </c>
      <c r="X160" s="39" t="s">
        <v>79</v>
      </c>
    </row>
    <row r="161" spans="2:24">
      <c r="B161" s="23" t="str">
        <f t="shared" si="17"/>
        <v>UC_Up_Train-Moped_TPL</v>
      </c>
      <c r="C161" s="39" t="str">
        <f t="shared" si="18"/>
        <v>TPRO*,TPMP*</v>
      </c>
      <c r="D161" s="39" t="str">
        <f t="shared" si="19"/>
        <v>TRA*</v>
      </c>
      <c r="E161" s="39" t="str">
        <f t="shared" si="16"/>
        <v>TPL</v>
      </c>
      <c r="F161" s="39" t="s">
        <v>78</v>
      </c>
      <c r="G161" s="39">
        <v>2010</v>
      </c>
      <c r="H161" s="39">
        <v>1</v>
      </c>
      <c r="I161" s="39">
        <f t="array" ref="I161">INDEX($AE$7:$AH$63,MATCH($V161&amp;$W161,$AA$7:$AA$63&amp;$AB$7:$AB$63,0),MATCH($E161,$AE$6:$AH$6,0))+INDEX('LTM data'!$D$47:$W$66,MATCH(RIGHT(I$6,4)&amp;'Couple Potential'!$X161,'LTM data'!$A$47:$A$66&amp;'LTM data'!$C$47:$C$66,0),MATCH('Couple Potential'!$W161,'LTM data'!$D$46:$W$46,0))+INDEX('LTM data'!$D$47:$W$66,MATCH(RIGHT(I$6,4)&amp;'Couple Potential'!$X161,'LTM data'!$A$47:$A$66&amp;'LTM data'!$C$47:$C$66,0),MATCH('Couple Potential'!$V161,'LTM data'!$D$46:$W$46,0))</f>
        <v>28435.022511700001</v>
      </c>
      <c r="J161" s="39">
        <f t="array" ref="J161">INDEX($AE$7:$AH$63,MATCH($V161&amp;$W161,$AA$7:$AA$63&amp;$AB$7:$AB$63,0),MATCH($E161,$AE$6:$AH$6,0))+INDEX('LTM data'!$D$47:$W$66,MATCH(RIGHT(J$6,4)&amp;'Couple Potential'!$X161,'LTM data'!$A$47:$A$66&amp;'LTM data'!$C$47:$C$66,0),MATCH('Couple Potential'!$W161,'LTM data'!$D$46:$W$46,0))+INDEX('LTM data'!$D$47:$W$66,MATCH(RIGHT(J$6,4)&amp;'Couple Potential'!$X161,'LTM data'!$A$47:$A$66&amp;'LTM data'!$C$47:$C$66,0),MATCH('Couple Potential'!$V161,'LTM data'!$D$46:$W$46,0))</f>
        <v>30678.676066345877</v>
      </c>
      <c r="K161" s="39">
        <v>15</v>
      </c>
      <c r="L161" s="23" t="str">
        <f t="array" ref="L161">"Max production of "&amp;E161&amp;" travel demand by "&amp;V161&amp;" and "&amp;W161</f>
        <v>Max production of TPL travel demand by Train and Moped</v>
      </c>
      <c r="M161" s="23"/>
      <c r="N161" s="23"/>
      <c r="O161" s="23"/>
      <c r="P161" s="23"/>
      <c r="Q161" s="23"/>
      <c r="R161" s="23"/>
      <c r="U161" s="39" t="s">
        <v>69</v>
      </c>
      <c r="V161" s="39" t="s">
        <v>69</v>
      </c>
      <c r="W161" s="39" t="s">
        <v>63</v>
      </c>
      <c r="X161" s="39" t="s">
        <v>79</v>
      </c>
    </row>
    <row r="162" spans="2:24">
      <c r="B162" s="23" t="str">
        <f t="shared" si="17"/>
        <v>UC_Up_Train-Car_TPL</v>
      </c>
      <c r="C162" s="39" t="str">
        <f t="shared" si="18"/>
        <v>TPRO*,TPCA*</v>
      </c>
      <c r="D162" s="39" t="str">
        <f t="shared" si="19"/>
        <v>TRA*</v>
      </c>
      <c r="E162" s="39" t="str">
        <f t="shared" si="16"/>
        <v>TPL</v>
      </c>
      <c r="F162" s="39" t="s">
        <v>78</v>
      </c>
      <c r="G162" s="39">
        <v>2010</v>
      </c>
      <c r="H162" s="39">
        <v>1</v>
      </c>
      <c r="I162" s="39">
        <f t="array" ref="I162">INDEX($AE$7:$AH$63,MATCH($V162&amp;$W162,$AA$7:$AA$63&amp;$AB$7:$AB$63,0),MATCH($E162,$AE$6:$AH$6,0))+INDEX('LTM data'!$D$47:$W$66,MATCH(RIGHT(I$6,4)&amp;'Couple Potential'!$X162,'LTM data'!$A$47:$A$66&amp;'LTM data'!$C$47:$C$66,0),MATCH('Couple Potential'!$W162,'LTM data'!$D$46:$W$46,0))+INDEX('LTM data'!$D$47:$W$66,MATCH(RIGHT(I$6,4)&amp;'Couple Potential'!$X162,'LTM data'!$A$47:$A$66&amp;'LTM data'!$C$47:$C$66,0),MATCH('Couple Potential'!$V162,'LTM data'!$D$46:$W$46,0))</f>
        <v>28270.899293900038</v>
      </c>
      <c r="J162" s="39">
        <f t="array" ref="J162">INDEX($AE$7:$AH$63,MATCH($V162&amp;$W162,$AA$7:$AA$63&amp;$AB$7:$AB$63,0),MATCH($E162,$AE$6:$AH$6,0))+INDEX('LTM data'!$D$47:$W$66,MATCH(RIGHT(J$6,4)&amp;'Couple Potential'!$X162,'LTM data'!$A$47:$A$66&amp;'LTM data'!$C$47:$C$66,0),MATCH('Couple Potential'!$W162,'LTM data'!$D$46:$W$46,0))+INDEX('LTM data'!$D$47:$W$66,MATCH(RIGHT(J$6,4)&amp;'Couple Potential'!$X162,'LTM data'!$A$47:$A$66&amp;'LTM data'!$C$47:$C$66,0),MATCH('Couple Potential'!$V162,'LTM data'!$D$46:$W$46,0))</f>
        <v>40470.818199555593</v>
      </c>
      <c r="K162" s="39">
        <v>15</v>
      </c>
      <c r="L162" s="23" t="str">
        <f t="array" ref="L162">"Max production of "&amp;E162&amp;" travel demand by "&amp;V162&amp;" and "&amp;W162</f>
        <v>Max production of TPL travel demand by Train and Car</v>
      </c>
      <c r="M162" s="23"/>
      <c r="N162" s="23"/>
      <c r="O162" s="23"/>
      <c r="P162" s="23"/>
      <c r="Q162" s="23"/>
      <c r="R162" s="23"/>
      <c r="U162" s="39" t="s">
        <v>69</v>
      </c>
      <c r="V162" s="39" t="s">
        <v>69</v>
      </c>
      <c r="W162" s="39" t="s">
        <v>72</v>
      </c>
      <c r="X162" s="39" t="s">
        <v>79</v>
      </c>
    </row>
    <row r="163" spans="2:24">
      <c r="B163" s="23" t="str">
        <f t="shared" si="17"/>
        <v>*</v>
      </c>
      <c r="C163" s="39" t="str">
        <f t="shared" si="18"/>
        <v>TPRM*,TPRS*</v>
      </c>
      <c r="D163" s="39" t="str">
        <f t="shared" si="19"/>
        <v>TRA*</v>
      </c>
      <c r="E163" s="39" t="str">
        <f t="shared" si="16"/>
        <v>TPL</v>
      </c>
      <c r="F163" s="39" t="s">
        <v>78</v>
      </c>
      <c r="G163" s="39">
        <v>2010</v>
      </c>
      <c r="H163" s="39">
        <v>1</v>
      </c>
      <c r="I163" s="39">
        <f t="array" ref="I163">INDEX($AE$7:$AH$63,MATCH($V163&amp;$W163,$AA$7:$AA$63&amp;$AB$7:$AB$63,0),MATCH($E163,$AE$6:$AH$6,0))+INDEX('LTM data'!$D$47:$W$66,MATCH(RIGHT(I$6,4)&amp;'Couple Potential'!$X163,'LTM data'!$A$47:$A$66&amp;'LTM data'!$C$47:$C$66,0),MATCH('Couple Potential'!$W163,'LTM data'!$D$46:$W$46,0))+INDEX('LTM data'!$D$47:$W$66,MATCH(RIGHT(I$6,4)&amp;'Couple Potential'!$X163,'LTM data'!$A$47:$A$66&amp;'LTM data'!$C$47:$C$66,0),MATCH('Couple Potential'!$V163,'LTM data'!$D$46:$W$46,0))</f>
        <v>99999</v>
      </c>
      <c r="J163" s="39">
        <f t="array" ref="J163">INDEX($AE$7:$AH$63,MATCH($V163&amp;$W163,$AA$7:$AA$63&amp;$AB$7:$AB$63,0),MATCH($E163,$AE$6:$AH$6,0))+INDEX('LTM data'!$D$47:$W$66,MATCH(RIGHT(J$6,4)&amp;'Couple Potential'!$X163,'LTM data'!$A$47:$A$66&amp;'LTM data'!$C$47:$C$66,0),MATCH('Couple Potential'!$W163,'LTM data'!$D$46:$W$46,0))+INDEX('LTM data'!$D$47:$W$66,MATCH(RIGHT(J$6,4)&amp;'Couple Potential'!$X163,'LTM data'!$A$47:$A$66&amp;'LTM data'!$C$47:$C$66,0),MATCH('Couple Potential'!$V163,'LTM data'!$D$46:$W$46,0))</f>
        <v>99999</v>
      </c>
      <c r="K163" s="39">
        <v>15</v>
      </c>
      <c r="L163" s="23" t="str">
        <f t="array" ref="L163">"Max production of "&amp;E163&amp;" travel demand by "&amp;V163&amp;" and "&amp;W163</f>
        <v>Max production of TPL travel demand by Metro and S-Train</v>
      </c>
      <c r="M163" s="23"/>
      <c r="N163" s="23"/>
      <c r="O163" s="23"/>
      <c r="P163" s="23"/>
      <c r="Q163" s="23"/>
      <c r="R163" s="23"/>
      <c r="U163" s="39" t="s">
        <v>67</v>
      </c>
      <c r="V163" s="39" t="s">
        <v>67</v>
      </c>
      <c r="W163" s="39" t="s">
        <v>343</v>
      </c>
      <c r="X163" s="39" t="s">
        <v>79</v>
      </c>
    </row>
    <row r="164" spans="2:24">
      <c r="B164" s="23" t="str">
        <f t="shared" si="17"/>
        <v>UC_Up_Metro-Moto_TPL</v>
      </c>
      <c r="C164" s="39" t="str">
        <f t="shared" si="18"/>
        <v>TPRM*,TPMT*</v>
      </c>
      <c r="D164" s="39" t="str">
        <f t="shared" si="19"/>
        <v>TRA*</v>
      </c>
      <c r="E164" s="39" t="str">
        <f t="shared" si="16"/>
        <v>TPL</v>
      </c>
      <c r="F164" s="39" t="s">
        <v>78</v>
      </c>
      <c r="G164" s="39">
        <v>2010</v>
      </c>
      <c r="H164" s="39">
        <v>1</v>
      </c>
      <c r="I164" s="39">
        <f t="array" ref="I164">INDEX($AE$7:$AH$63,MATCH($V164&amp;$W164,$AA$7:$AA$63&amp;$AB$7:$AB$63,0),MATCH($E164,$AE$6:$AH$6,0))+INDEX('LTM data'!$D$47:$W$66,MATCH(RIGHT(I$6,4)&amp;'Couple Potential'!$X164,'LTM data'!$A$47:$A$66&amp;'LTM data'!$C$47:$C$66,0),MATCH('Couple Potential'!$W164,'LTM data'!$D$46:$W$46,0))+INDEX('LTM data'!$D$47:$W$66,MATCH(RIGHT(I$6,4)&amp;'Couple Potential'!$X164,'LTM data'!$A$47:$A$66&amp;'LTM data'!$C$47:$C$66,0),MATCH('Couple Potential'!$V164,'LTM data'!$D$46:$W$46,0))</f>
        <v>100179.10724371727</v>
      </c>
      <c r="J164" s="39">
        <f t="array" ref="J164">INDEX($AE$7:$AH$63,MATCH(V164&amp;W164,$AA$7:$AA$63&amp;$AB$7:$AB$63,0),MATCH(E164,$AE$6:$AH$6,0))+INDEX('LTM data'!$D$47:$W$66,MATCH(RIGHT($J$6,4)&amp;'Couple Potential'!X164,'LTM data'!$A$47:$A$66&amp;'LTM data'!$C$47:$C$66,0),MATCH('Couple Potential'!W164,'LTM data'!$D$46:$W$46,0))+INDEX('LTM data'!$D$47:$W$66,MATCH(RIGHT($J$6,4)&amp;'Couple Potential'!X164,'LTM data'!$A$47:$A$66&amp;'LTM data'!$C$47:$C$66,0),MATCH('Couple Potential'!V164,'LTM data'!$D$46:$W$46,0))</f>
        <v>100198.31705748379</v>
      </c>
      <c r="K164" s="39">
        <v>15</v>
      </c>
      <c r="L164" s="23" t="str">
        <f t="array" ref="L164">"Max production of "&amp;E164&amp;" travel demand by "&amp;V164&amp;" and "&amp;W164</f>
        <v>Max production of TPL travel demand by Metro and Moto</v>
      </c>
      <c r="M164" s="23"/>
      <c r="N164" s="23"/>
      <c r="O164" s="23"/>
      <c r="P164" s="23"/>
      <c r="Q164" s="23"/>
      <c r="R164" s="23"/>
      <c r="U164" s="39" t="s">
        <v>67</v>
      </c>
      <c r="V164" s="39" t="s">
        <v>67</v>
      </c>
      <c r="W164" s="39" t="s">
        <v>64</v>
      </c>
      <c r="X164" s="39" t="s">
        <v>79</v>
      </c>
    </row>
    <row r="165" spans="2:24">
      <c r="B165" s="23" t="str">
        <f t="shared" si="17"/>
        <v>UC_Up_Metro-Moped_TPL</v>
      </c>
      <c r="C165" s="39" t="str">
        <f t="shared" si="18"/>
        <v>TPRM*,TPMP*</v>
      </c>
      <c r="D165" s="39" t="str">
        <f t="shared" si="19"/>
        <v>TRA*</v>
      </c>
      <c r="E165" s="39" t="str">
        <f t="shared" si="16"/>
        <v>TPL</v>
      </c>
      <c r="F165" s="39" t="s">
        <v>78</v>
      </c>
      <c r="G165" s="39">
        <v>2010</v>
      </c>
      <c r="H165" s="39">
        <v>1</v>
      </c>
      <c r="I165" s="39">
        <f t="array" ref="I165">INDEX($AE$7:$AH$63,MATCH($V165&amp;$W165,$AA$7:$AA$63&amp;$AB$7:$AB$63,0),MATCH($E165,$AE$6:$AH$6,0))+INDEX('LTM data'!$D$47:$W$66,MATCH(RIGHT(I$6,4)&amp;'Couple Potential'!$X165,'LTM data'!$A$47:$A$66&amp;'LTM data'!$C$47:$C$66,0),MATCH('Couple Potential'!$W165,'LTM data'!$D$46:$W$46,0))+INDEX('LTM data'!$D$47:$W$66,MATCH(RIGHT(I$6,4)&amp;'Couple Potential'!$X165,'LTM data'!$A$47:$A$66&amp;'LTM data'!$C$47:$C$66,0),MATCH('Couple Potential'!$V165,'LTM data'!$D$46:$W$46,0))</f>
        <v>100002.2824139118</v>
      </c>
      <c r="J165" s="39">
        <f t="array" ref="J165">INDEX($AE$7:$AH$63,MATCH(V165&amp;W165,$AA$7:$AA$63&amp;$AB$7:$AB$63,0),MATCH(E165,$AE$6:$AH$6,0))+INDEX('LTM data'!$D$47:$W$66,MATCH(RIGHT($J$6,4)&amp;'Couple Potential'!X165,'LTM data'!$A$47:$A$66&amp;'LTM data'!$C$47:$C$66,0),MATCH('Couple Potential'!W165,'LTM data'!$D$46:$W$46,0))+INDEX('LTM data'!$D$47:$W$66,MATCH(RIGHT($J$6,4)&amp;'Couple Potential'!X165,'LTM data'!$A$47:$A$66&amp;'LTM data'!$C$47:$C$66,0),MATCH('Couple Potential'!V165,'LTM data'!$D$46:$W$46,0))</f>
        <v>100000.78436218527</v>
      </c>
      <c r="K165" s="39">
        <v>15</v>
      </c>
      <c r="L165" s="23" t="str">
        <f t="array" ref="L165">"Max production of "&amp;E165&amp;" travel demand by "&amp;V165&amp;" and "&amp;W165</f>
        <v>Max production of TPL travel demand by Metro and Moped</v>
      </c>
      <c r="M165" s="23"/>
      <c r="N165" s="23"/>
      <c r="O165" s="23"/>
      <c r="P165" s="23"/>
      <c r="Q165" s="23"/>
      <c r="R165" s="23"/>
      <c r="U165" s="39" t="s">
        <v>67</v>
      </c>
      <c r="V165" s="39" t="s">
        <v>67</v>
      </c>
      <c r="W165" s="39" t="s">
        <v>63</v>
      </c>
      <c r="X165" s="39" t="s">
        <v>79</v>
      </c>
    </row>
    <row r="166" spans="2:24">
      <c r="B166" s="23" t="str">
        <f t="shared" si="17"/>
        <v>UC_Up_S-Train-Moto_TPL</v>
      </c>
      <c r="C166" s="39" t="str">
        <f t="shared" si="18"/>
        <v>TPRS*,TPMT*</v>
      </c>
      <c r="D166" s="39" t="str">
        <f t="shared" si="19"/>
        <v>TRA*</v>
      </c>
      <c r="E166" s="39" t="str">
        <f t="shared" si="16"/>
        <v>TPL</v>
      </c>
      <c r="F166" s="39" t="s">
        <v>78</v>
      </c>
      <c r="G166" s="39">
        <v>2010</v>
      </c>
      <c r="H166" s="39">
        <v>1</v>
      </c>
      <c r="I166" s="39">
        <f t="array" ref="I166">INDEX($AE$7:$AH$63,MATCH($V166&amp;$W166,$AA$7:$AA$63&amp;$AB$7:$AB$63,0),MATCH($E166,$AE$6:$AH$6,0))+INDEX('LTM data'!$D$47:$W$66,MATCH(RIGHT(I$6,4)&amp;'Couple Potential'!$X166,'LTM data'!$A$47:$A$66&amp;'LTM data'!$C$47:$C$66,0),MATCH('Couple Potential'!$W166,'LTM data'!$D$46:$W$46,0))+INDEX('LTM data'!$D$47:$W$66,MATCH(RIGHT(I$6,4)&amp;'Couple Potential'!$X166,'LTM data'!$A$47:$A$66&amp;'LTM data'!$C$47:$C$66,0),MATCH('Couple Potential'!$V166,'LTM data'!$D$46:$W$46,0))</f>
        <v>100179.10724371727</v>
      </c>
      <c r="J166" s="39">
        <f t="array" ref="J166">INDEX($AE$7:$AH$63,MATCH(V166&amp;W166,$AA$7:$AA$63&amp;$AB$7:$AB$63,0),MATCH(E166,$AE$6:$AH$6,0))+INDEX('LTM data'!$D$47:$W$66,MATCH(RIGHT($J$6,4)&amp;'Couple Potential'!X166,'LTM data'!$A$47:$A$66&amp;'LTM data'!$C$47:$C$66,0),MATCH('Couple Potential'!W166,'LTM data'!$D$46:$W$46,0))+INDEX('LTM data'!$D$47:$W$66,MATCH(RIGHT($J$6,4)&amp;'Couple Potential'!X166,'LTM data'!$A$47:$A$66&amp;'LTM data'!$C$47:$C$66,0),MATCH('Couple Potential'!V166,'LTM data'!$D$46:$W$46,0))</f>
        <v>100198.31705748379</v>
      </c>
      <c r="K166" s="39">
        <v>15</v>
      </c>
      <c r="L166" s="23" t="str">
        <f t="array" ref="L166">"Max production of "&amp;E166&amp;" travel demand by "&amp;V166&amp;" and "&amp;W166</f>
        <v>Max production of TPL travel demand by S-Train and Moto</v>
      </c>
      <c r="M166" s="23"/>
      <c r="N166" s="23"/>
      <c r="O166" s="23"/>
      <c r="P166" s="23"/>
      <c r="Q166" s="23"/>
      <c r="R166" s="23"/>
      <c r="U166" s="39" t="s">
        <v>343</v>
      </c>
      <c r="V166" s="39" t="s">
        <v>343</v>
      </c>
      <c r="W166" s="39" t="s">
        <v>64</v>
      </c>
      <c r="X166" s="39" t="s">
        <v>79</v>
      </c>
    </row>
    <row r="167" spans="2:24">
      <c r="B167" s="23" t="str">
        <f t="shared" si="17"/>
        <v>UC_Up_S-Train-Moped_TPL</v>
      </c>
      <c r="C167" s="39" t="str">
        <f t="shared" si="18"/>
        <v>TPRS*,TPMP*</v>
      </c>
      <c r="D167" s="39" t="str">
        <f t="shared" si="19"/>
        <v>TRA*</v>
      </c>
      <c r="E167" s="39" t="str">
        <f t="shared" si="16"/>
        <v>TPL</v>
      </c>
      <c r="F167" s="39" t="s">
        <v>78</v>
      </c>
      <c r="G167" s="39">
        <v>2010</v>
      </c>
      <c r="H167" s="39">
        <v>1</v>
      </c>
      <c r="I167" s="39">
        <f t="array" ref="I167">INDEX($AE$7:$AH$63,MATCH($V167&amp;$W167,$AA$7:$AA$63&amp;$AB$7:$AB$63,0),MATCH($E167,$AE$6:$AH$6,0))+INDEX('LTM data'!$D$47:$W$66,MATCH(RIGHT(I$6,4)&amp;'Couple Potential'!$X167,'LTM data'!$A$47:$A$66&amp;'LTM data'!$C$47:$C$66,0),MATCH('Couple Potential'!$W167,'LTM data'!$D$46:$W$46,0))+INDEX('LTM data'!$D$47:$W$66,MATCH(RIGHT(I$6,4)&amp;'Couple Potential'!$X167,'LTM data'!$A$47:$A$66&amp;'LTM data'!$C$47:$C$66,0),MATCH('Couple Potential'!$V167,'LTM data'!$D$46:$W$46,0))</f>
        <v>100002.2824139118</v>
      </c>
      <c r="J167" s="39">
        <f t="array" ref="J167">INDEX($AE$7:$AH$63,MATCH(V167&amp;W167,$AA$7:$AA$63&amp;$AB$7:$AB$63,0),MATCH(E167,$AE$6:$AH$6,0))+INDEX('LTM data'!$D$47:$W$66,MATCH(RIGHT($J$6,4)&amp;'Couple Potential'!X167,'LTM data'!$A$47:$A$66&amp;'LTM data'!$C$47:$C$66,0),MATCH('Couple Potential'!W167,'LTM data'!$D$46:$W$46,0))+INDEX('LTM data'!$D$47:$W$66,MATCH(RIGHT($J$6,4)&amp;'Couple Potential'!X167,'LTM data'!$A$47:$A$66&amp;'LTM data'!$C$47:$C$66,0),MATCH('Couple Potential'!V167,'LTM data'!$D$46:$W$46,0))</f>
        <v>100000.78436218527</v>
      </c>
      <c r="K167" s="39">
        <v>15</v>
      </c>
      <c r="L167" s="23" t="str">
        <f t="array" ref="L167">"Max production of "&amp;E167&amp;" travel demand by "&amp;V167&amp;" and "&amp;W167</f>
        <v>Max production of TPL travel demand by S-Train and Moped</v>
      </c>
      <c r="M167" s="23"/>
      <c r="N167" s="23"/>
      <c r="O167" s="23"/>
      <c r="P167" s="23"/>
      <c r="Q167" s="23"/>
      <c r="R167" s="23"/>
      <c r="U167" s="39" t="s">
        <v>343</v>
      </c>
      <c r="V167" s="39" t="s">
        <v>343</v>
      </c>
      <c r="W167" s="39" t="s">
        <v>63</v>
      </c>
      <c r="X167" s="39" t="s">
        <v>79</v>
      </c>
    </row>
    <row r="168" spans="2:24">
      <c r="B168" s="23" t="str">
        <f t="shared" si="17"/>
        <v>UC_Up_Moto-Moped_TPL</v>
      </c>
      <c r="C168" s="39" t="str">
        <f t="shared" si="18"/>
        <v>TPMT*,TPMP*</v>
      </c>
      <c r="D168" s="39" t="str">
        <f t="shared" si="19"/>
        <v>TRA*</v>
      </c>
      <c r="E168" s="39" t="str">
        <f t="shared" si="16"/>
        <v>TPL</v>
      </c>
      <c r="F168" s="39" t="s">
        <v>78</v>
      </c>
      <c r="G168" s="39">
        <v>2010</v>
      </c>
      <c r="H168" s="39">
        <v>1</v>
      </c>
      <c r="I168" s="39">
        <f t="array" ref="I168">INDEX($AE$7:$AH$63,MATCH($V168&amp;$W168,$AA$7:$AA$63&amp;$AB$7:$AB$63,0),MATCH($E168,$AE$6:$AH$6,0))+INDEX('LTM data'!$D$47:$W$66,MATCH(RIGHT(I$6,4)&amp;'Couple Potential'!$X168,'LTM data'!$A$47:$A$66&amp;'LTM data'!$C$47:$C$66,0),MATCH('Couple Potential'!$W168,'LTM data'!$D$46:$W$46,0))+INDEX('LTM data'!$D$47:$W$66,MATCH(RIGHT(I$6,4)&amp;'Couple Potential'!$X168,'LTM data'!$A$47:$A$66&amp;'LTM data'!$C$47:$C$66,0),MATCH('Couple Potential'!$V168,'LTM data'!$D$46:$W$46,0))</f>
        <v>8194.5462021000003</v>
      </c>
      <c r="J168" s="39">
        <f t="array" ref="J168">INDEX($AE$7:$AH$63,MATCH(V168&amp;W168,$AA$7:$AA$63&amp;$AB$7:$AB$63,0),MATCH(E168,$AE$6:$AH$6,0))+INDEX('LTM data'!$D$47:$W$66,MATCH(RIGHT($J$6,4)&amp;'Couple Potential'!X168,'LTM data'!$A$47:$A$66&amp;'LTM data'!$C$47:$C$66,0),MATCH('Couple Potential'!W168,'LTM data'!$D$46:$W$46,0))+INDEX('LTM data'!$D$47:$W$66,MATCH(RIGHT($J$6,4)&amp;'Couple Potential'!X168,'LTM data'!$A$47:$A$66&amp;'LTM data'!$C$47:$C$66,0),MATCH('Couple Potential'!V168,'LTM data'!$D$46:$W$46,0))</f>
        <v>8212.257964139988</v>
      </c>
      <c r="K168" s="39">
        <v>15</v>
      </c>
      <c r="L168" s="23" t="str">
        <f t="array" ref="L168">"Max production of "&amp;E168&amp;" travel demand by "&amp;V168&amp;" and "&amp;W168</f>
        <v>Max production of TPL travel demand by Moto and Moped</v>
      </c>
      <c r="M168" s="23"/>
      <c r="N168" s="23"/>
      <c r="O168" s="23"/>
      <c r="P168" s="23"/>
      <c r="Q168" s="23"/>
      <c r="R168" s="23"/>
      <c r="U168" s="39" t="s">
        <v>64</v>
      </c>
      <c r="V168" s="39" t="s">
        <v>64</v>
      </c>
      <c r="W168" s="39" t="s">
        <v>63</v>
      </c>
      <c r="X168" s="39" t="s">
        <v>79</v>
      </c>
    </row>
    <row r="169" spans="2:24">
      <c r="B169" s="23" t="str">
        <f t="shared" si="17"/>
        <v>UC_Up_Moto-Car_TPL</v>
      </c>
      <c r="C169" s="39" t="str">
        <f t="shared" si="18"/>
        <v>TPMT*,TPCA*</v>
      </c>
      <c r="D169" s="39" t="str">
        <f t="shared" si="19"/>
        <v>TRA*</v>
      </c>
      <c r="E169" s="39" t="str">
        <f t="shared" si="16"/>
        <v>TPL</v>
      </c>
      <c r="F169" s="39" t="s">
        <v>78</v>
      </c>
      <c r="G169" s="39">
        <v>2010</v>
      </c>
      <c r="H169" s="39">
        <v>1</v>
      </c>
      <c r="I169" s="39">
        <f t="array" ref="I169">INDEX($AE$7:$AH$63,MATCH($V169&amp;$W169,$AA$7:$AA$63&amp;$AB$7:$AB$63,0),MATCH($E169,$AE$6:$AH$6,0))+INDEX('LTM data'!$D$47:$W$66,MATCH(RIGHT(I$6,4)&amp;'Couple Potential'!$X169,'LTM data'!$A$47:$A$66&amp;'LTM data'!$C$47:$C$66,0),MATCH('Couple Potential'!$W169,'LTM data'!$D$46:$W$46,0))+INDEX('LTM data'!$D$47:$W$66,MATCH(RIGHT(I$6,4)&amp;'Couple Potential'!$X169,'LTM data'!$A$47:$A$66&amp;'LTM data'!$C$47:$C$66,0),MATCH('Couple Potential'!$V169,'LTM data'!$D$46:$W$46,0))</f>
        <v>27362.771730600041</v>
      </c>
      <c r="J169" s="39">
        <f t="array" ref="J169">INDEX($AE$7:$AH$63,MATCH(V169&amp;W169,$AA$7:$AA$63&amp;$AB$7:$AB$63,0),MATCH(E169,$AE$6:$AH$6,0))+INDEX('LTM data'!$D$47:$W$66,MATCH(RIGHT($J$6,4)&amp;'Couple Potential'!X169,'LTM data'!$A$47:$A$66&amp;'LTM data'!$C$47:$C$66,0),MATCH('Couple Potential'!W169,'LTM data'!$D$46:$W$46,0))+INDEX('LTM data'!$D$47:$W$66,MATCH(RIGHT($J$6,4)&amp;'Couple Potential'!X169,'LTM data'!$A$47:$A$66&amp;'LTM data'!$C$47:$C$66,0),MATCH('Couple Potential'!V169,'LTM data'!$D$46:$W$46,0))</f>
        <v>37336.748843649715</v>
      </c>
      <c r="K169" s="39">
        <v>15</v>
      </c>
      <c r="L169" s="23" t="str">
        <f t="array" ref="L169">"Max production of "&amp;E169&amp;" travel demand by "&amp;V169&amp;" and "&amp;W169</f>
        <v>Max production of TPL travel demand by Moto and Car</v>
      </c>
      <c r="M169" s="23"/>
      <c r="N169" s="23"/>
      <c r="O169" s="23"/>
      <c r="P169" s="23"/>
      <c r="Q169" s="23"/>
      <c r="R169" s="23"/>
      <c r="U169" s="39" t="s">
        <v>64</v>
      </c>
      <c r="V169" s="39" t="s">
        <v>64</v>
      </c>
      <c r="W169" s="39" t="s">
        <v>72</v>
      </c>
      <c r="X169" s="39" t="s">
        <v>79</v>
      </c>
    </row>
    <row r="170" spans="2:24">
      <c r="B170" s="23" t="str">
        <f t="shared" si="17"/>
        <v>UC_Up_Moped-Car_TPL</v>
      </c>
      <c r="C170" s="39" t="str">
        <f t="shared" si="18"/>
        <v>TPMP*,TPCA*</v>
      </c>
      <c r="D170" s="39" t="str">
        <f t="shared" si="19"/>
        <v>TRA*</v>
      </c>
      <c r="E170" s="39" t="str">
        <f t="shared" si="16"/>
        <v>TPL</v>
      </c>
      <c r="F170" s="39" t="s">
        <v>78</v>
      </c>
      <c r="G170" s="39">
        <v>2010</v>
      </c>
      <c r="H170" s="39">
        <v>1</v>
      </c>
      <c r="I170" s="39">
        <f t="array" ref="I170">INDEX($AE$7:$AH$63,MATCH($V170&amp;$W170,$AA$7:$AA$63&amp;$AB$7:$AB$63,0),MATCH($E170,$AE$6:$AH$6,0))+INDEX('LTM data'!$D$47:$W$66,MATCH(RIGHT(I$6,4)&amp;'Couple Potential'!$X170,'LTM data'!$A$47:$A$66&amp;'LTM data'!$C$47:$C$66,0),MATCH('Couple Potential'!$W170,'LTM data'!$D$46:$W$46,0))+INDEX('LTM data'!$D$47:$W$66,MATCH(RIGHT(I$6,4)&amp;'Couple Potential'!$X170,'LTM data'!$A$47:$A$66&amp;'LTM data'!$C$47:$C$66,0),MATCH('Couple Potential'!$V170,'LTM data'!$D$46:$W$46,0))</f>
        <v>121901.26071908622</v>
      </c>
      <c r="J170" s="39">
        <f t="array" ref="J170">INDEX($AE$7:$AH$63,MATCH(V170&amp;W170,$AA$7:$AA$63&amp;$AB$7:$AB$63,0),MATCH(E170,$AE$6:$AH$6,0))+INDEX('LTM data'!$D$47:$W$66,MATCH(RIGHT($J$6,4)&amp;'Couple Potential'!X170,'LTM data'!$A$47:$A$66&amp;'LTM data'!$C$47:$C$66,0),MATCH('Couple Potential'!W170,'LTM data'!$D$46:$W$46,0))+INDEX('LTM data'!$D$47:$W$66,MATCH(RIGHT($J$6,4)&amp;'Couple Potential'!X170,'LTM data'!$A$47:$A$66&amp;'LTM data'!$C$47:$C$66,0),MATCH('Couple Potential'!V170,'LTM data'!$D$46:$W$46,0))</f>
        <v>131854.52996664285</v>
      </c>
      <c r="K170" s="39">
        <v>15</v>
      </c>
      <c r="L170" s="23" t="str">
        <f t="array" ref="L170">"Max production of "&amp;E170&amp;" travel demand by "&amp;V170&amp;" and "&amp;W170</f>
        <v>Max production of TPL travel demand by Moped and Car</v>
      </c>
      <c r="M170" s="23"/>
      <c r="N170" s="23"/>
      <c r="O170" s="23"/>
      <c r="P170" s="23"/>
      <c r="Q170" s="23"/>
      <c r="R170" s="23"/>
      <c r="U170" s="39" t="s">
        <v>63</v>
      </c>
      <c r="V170" s="39" t="s">
        <v>63</v>
      </c>
      <c r="W170" s="39" t="s">
        <v>72</v>
      </c>
      <c r="X170" s="39" t="s">
        <v>79</v>
      </c>
    </row>
    <row r="171" spans="2:24">
      <c r="T171" s="39"/>
    </row>
    <row r="172" spans="2:24">
      <c r="T172" s="39"/>
    </row>
    <row r="173" spans="2:24">
      <c r="T173" s="39"/>
    </row>
    <row r="174" spans="2:24">
      <c r="T174" s="39"/>
    </row>
    <row r="175" spans="2:24">
      <c r="T175" s="39"/>
    </row>
    <row r="176" spans="2:24">
      <c r="T176" s="39"/>
    </row>
    <row r="177" spans="16:20">
      <c r="T177" s="39"/>
    </row>
    <row r="178" spans="16:20">
      <c r="T178" s="39"/>
    </row>
    <row r="179" spans="16:20">
      <c r="T179" s="39"/>
    </row>
    <row r="180" spans="16:20">
      <c r="T180" s="39"/>
    </row>
    <row r="181" spans="16:20">
      <c r="T181" s="39"/>
    </row>
    <row r="182" spans="16:20">
      <c r="T182" s="39"/>
    </row>
    <row r="183" spans="16:20">
      <c r="T183" s="39"/>
    </row>
    <row r="184" spans="16:20">
      <c r="T184" s="39"/>
    </row>
    <row r="185" spans="16:20">
      <c r="T185" s="39"/>
    </row>
    <row r="186" spans="16:20">
      <c r="T186" s="39"/>
    </row>
    <row r="187" spans="16:20">
      <c r="P187" s="23"/>
      <c r="Q187" s="23"/>
      <c r="R187" s="23"/>
    </row>
    <row r="188" spans="16:20">
      <c r="P188" s="23"/>
      <c r="Q188" s="23"/>
      <c r="R188" s="23"/>
    </row>
    <row r="189" spans="16:20">
      <c r="P189" s="23"/>
      <c r="Q189" s="23"/>
      <c r="R189" s="23"/>
    </row>
    <row r="190" spans="16:20">
      <c r="P190" s="23"/>
      <c r="Q190" s="23"/>
      <c r="R190" s="23"/>
    </row>
    <row r="191" spans="16:20">
      <c r="Q191" s="23"/>
      <c r="R191" s="23"/>
    </row>
    <row r="192" spans="16:20">
      <c r="Q192" s="23"/>
      <c r="R192" s="23"/>
    </row>
    <row r="193" spans="17:18">
      <c r="Q193" s="23"/>
      <c r="R193" s="23"/>
    </row>
    <row r="194" spans="17:18">
      <c r="Q194" s="23"/>
      <c r="R194" s="23"/>
    </row>
    <row r="195" spans="17:18">
      <c r="Q195" s="23"/>
      <c r="R195" s="23"/>
    </row>
    <row r="196" spans="17:18">
      <c r="R196" s="23"/>
    </row>
    <row r="197" spans="17:18">
      <c r="R197" s="23"/>
    </row>
    <row r="198" spans="17:18">
      <c r="R198" s="23"/>
    </row>
    <row r="199" spans="17:18">
      <c r="R199" s="23"/>
    </row>
    <row r="200" spans="17:18">
      <c r="R200" s="23"/>
    </row>
    <row r="201" spans="17:18">
      <c r="R201" s="23"/>
    </row>
    <row r="202" spans="17:18">
      <c r="R202" s="23"/>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8"/>
  <sheetViews>
    <sheetView topLeftCell="A40" workbookViewId="0">
      <selection activeCell="E46" sqref="E46"/>
    </sheetView>
  </sheetViews>
  <sheetFormatPr defaultColWidth="9.109375" defaultRowHeight="14.4"/>
  <cols>
    <col min="1" max="16384" width="9.109375" style="23"/>
  </cols>
  <sheetData>
    <row r="1" spans="1:31" s="39" customFormat="1">
      <c r="B1" s="39" t="s">
        <v>77</v>
      </c>
    </row>
    <row r="2" spans="1:31" s="39" customFormat="1">
      <c r="D2" s="39" t="s">
        <v>72</v>
      </c>
      <c r="E2" s="39" t="s">
        <v>71</v>
      </c>
      <c r="F2" s="39" t="s">
        <v>70</v>
      </c>
      <c r="G2" s="39" t="s">
        <v>69</v>
      </c>
      <c r="H2" s="39" t="s">
        <v>68</v>
      </c>
      <c r="I2" s="39" t="s">
        <v>67</v>
      </c>
      <c r="J2" s="39" t="s">
        <v>66</v>
      </c>
      <c r="K2" s="39" t="s">
        <v>65</v>
      </c>
      <c r="L2" s="39" t="s">
        <v>64</v>
      </c>
      <c r="M2" s="39" t="s">
        <v>63</v>
      </c>
      <c r="O2" s="39" t="s">
        <v>10</v>
      </c>
      <c r="V2" s="39" t="str">
        <f t="shared" ref="V2:AE2" si="0">D2</f>
        <v>Car</v>
      </c>
      <c r="W2" s="39" t="str">
        <f t="shared" si="0"/>
        <v>Public bus</v>
      </c>
      <c r="X2" s="39" t="str">
        <f t="shared" si="0"/>
        <v>Coach</v>
      </c>
      <c r="Y2" s="39" t="str">
        <f t="shared" si="0"/>
        <v>Train</v>
      </c>
      <c r="Z2" s="39" t="str">
        <f t="shared" si="0"/>
        <v>S-train</v>
      </c>
      <c r="AA2" s="39" t="str">
        <f t="shared" si="0"/>
        <v>Metro</v>
      </c>
      <c r="AB2" s="39" t="str">
        <f t="shared" si="0"/>
        <v>Bike</v>
      </c>
      <c r="AC2" s="39" t="str">
        <f t="shared" si="0"/>
        <v>Walk</v>
      </c>
      <c r="AD2" s="39" t="str">
        <f t="shared" si="0"/>
        <v>Moto</v>
      </c>
      <c r="AE2" s="39" t="str">
        <f t="shared" si="0"/>
        <v>Moped</v>
      </c>
    </row>
    <row r="3" spans="1:31" s="39" customFormat="1">
      <c r="A3" s="98">
        <v>2010</v>
      </c>
      <c r="B3" s="151" t="s">
        <v>5</v>
      </c>
      <c r="C3" s="39" t="s">
        <v>84</v>
      </c>
      <c r="D3" s="40">
        <v>1315.3945644862199</v>
      </c>
      <c r="E3" s="40">
        <v>352.72136400345499</v>
      </c>
      <c r="H3" s="40">
        <v>91.377594180506193</v>
      </c>
      <c r="I3" s="40">
        <v>92.307668078761495</v>
      </c>
      <c r="J3" s="40">
        <v>617.09401818322704</v>
      </c>
      <c r="K3" s="40">
        <v>316.33898005988499</v>
      </c>
      <c r="M3" s="40">
        <v>5.2797026381633598</v>
      </c>
      <c r="O3" s="40">
        <v>2790.5138916302176</v>
      </c>
      <c r="P3" s="40"/>
      <c r="Q3" s="40"/>
      <c r="R3" s="40"/>
      <c r="S3" s="40">
        <f>SUM(D3:N3)+SUM(D7:N7)</f>
        <v>6001.3338763276115</v>
      </c>
      <c r="T3" s="40">
        <f>O3+O7</f>
        <v>6001.3338763276115</v>
      </c>
      <c r="U3" s="39">
        <f>T3/$T$7</f>
        <v>8.7096823493601649E-2</v>
      </c>
      <c r="V3" s="40">
        <f t="shared" ref="V3:AE6" si="1">(D3+D7)</f>
        <v>3299.24246603142</v>
      </c>
      <c r="W3" s="40">
        <f t="shared" si="1"/>
        <v>589.71317344623299</v>
      </c>
      <c r="X3" s="40">
        <f t="shared" si="1"/>
        <v>0</v>
      </c>
      <c r="Y3" s="40">
        <f t="shared" si="1"/>
        <v>0</v>
      </c>
      <c r="Z3" s="40">
        <f t="shared" si="1"/>
        <v>91.377594180506193</v>
      </c>
      <c r="AA3" s="40">
        <f t="shared" si="1"/>
        <v>92.307668078761495</v>
      </c>
      <c r="AB3" s="40">
        <f t="shared" si="1"/>
        <v>1374.569890215354</v>
      </c>
      <c r="AC3" s="40">
        <f t="shared" si="1"/>
        <v>538.26410683322797</v>
      </c>
      <c r="AD3" s="40">
        <f t="shared" si="1"/>
        <v>0</v>
      </c>
      <c r="AE3" s="40">
        <f t="shared" si="1"/>
        <v>15.858977542109159</v>
      </c>
    </row>
    <row r="4" spans="1:31" s="39" customFormat="1">
      <c r="A4" s="98">
        <f t="shared" ref="A4:A10" si="2">A3</f>
        <v>2010</v>
      </c>
      <c r="B4" s="151"/>
      <c r="C4" s="39" t="s">
        <v>83</v>
      </c>
      <c r="D4" s="40">
        <v>6311.3791236512097</v>
      </c>
      <c r="E4" s="40">
        <v>1013.07813844724</v>
      </c>
      <c r="F4" s="40">
        <v>235.984210807344</v>
      </c>
      <c r="G4" s="40">
        <v>249.14816407726099</v>
      </c>
      <c r="H4" s="40">
        <v>771.59001262391996</v>
      </c>
      <c r="I4" s="40">
        <v>157.192375721144</v>
      </c>
      <c r="J4" s="40">
        <v>441.67113008922303</v>
      </c>
      <c r="K4" s="40">
        <v>24.5034435315468</v>
      </c>
      <c r="L4" s="40">
        <v>58.5942785081292</v>
      </c>
      <c r="M4" s="40">
        <v>17.335727138726199</v>
      </c>
      <c r="O4" s="40">
        <v>9280.4766045957458</v>
      </c>
      <c r="P4" s="40"/>
      <c r="Q4" s="40"/>
      <c r="R4" s="40"/>
      <c r="S4" s="40">
        <f>SUM(D4:N4)+SUM(D8:N8)</f>
        <v>20497.912375706648</v>
      </c>
      <c r="T4" s="40">
        <f>O4+O8</f>
        <v>20497.912375706648</v>
      </c>
      <c r="U4" s="39">
        <f>T4/$T$7</f>
        <v>0.29748437480147544</v>
      </c>
      <c r="V4" s="40">
        <f t="shared" si="1"/>
        <v>15830.087400313731</v>
      </c>
      <c r="W4" s="40">
        <f t="shared" si="1"/>
        <v>1693.7605286842559</v>
      </c>
      <c r="X4" s="40">
        <f t="shared" si="1"/>
        <v>394.54088138829201</v>
      </c>
      <c r="Y4" s="40">
        <f t="shared" si="1"/>
        <v>413.37799421160599</v>
      </c>
      <c r="Z4" s="40">
        <f t="shared" si="1"/>
        <v>771.59001262391996</v>
      </c>
      <c r="AA4" s="40">
        <f t="shared" si="1"/>
        <v>157.192375721144</v>
      </c>
      <c r="AB4" s="40">
        <f t="shared" si="1"/>
        <v>983.81740692513608</v>
      </c>
      <c r="AC4" s="40">
        <f t="shared" si="1"/>
        <v>41.693641878562104</v>
      </c>
      <c r="AD4" s="40">
        <f t="shared" si="1"/>
        <v>159.77971128567219</v>
      </c>
      <c r="AE4" s="40">
        <f t="shared" si="1"/>
        <v>52.072422674324699</v>
      </c>
    </row>
    <row r="5" spans="1:31" s="39" customFormat="1">
      <c r="A5" s="98">
        <f t="shared" si="2"/>
        <v>2010</v>
      </c>
      <c r="B5" s="151"/>
      <c r="C5" s="39" t="s">
        <v>82</v>
      </c>
      <c r="D5" s="40">
        <v>4558.75601767836</v>
      </c>
      <c r="E5" s="40">
        <v>291.27056338702198</v>
      </c>
      <c r="F5" s="40">
        <v>232.949920766415</v>
      </c>
      <c r="G5" s="40">
        <v>556.31700310638701</v>
      </c>
      <c r="H5" s="40">
        <v>415.59740225762403</v>
      </c>
      <c r="I5" s="40"/>
      <c r="L5" s="40">
        <v>46.248067558804799</v>
      </c>
      <c r="M5" s="40">
        <v>2.2592278320008301</v>
      </c>
      <c r="O5" s="40">
        <v>6103.3982025866135</v>
      </c>
      <c r="P5" s="40"/>
      <c r="Q5" s="40"/>
      <c r="R5" s="40"/>
      <c r="S5" s="40">
        <f>SUM(D5:N5)+SUM(D9:N9)</f>
        <v>13782.106682952786</v>
      </c>
      <c r="T5" s="40">
        <f>O5+O9</f>
        <v>13782.106682952786</v>
      </c>
      <c r="U5" s="39">
        <f>T5/$T$7</f>
        <v>0.20001848553536436</v>
      </c>
      <c r="V5" s="40">
        <f t="shared" si="1"/>
        <v>11434.14643148964</v>
      </c>
      <c r="W5" s="40">
        <f t="shared" si="1"/>
        <v>486.97387171804701</v>
      </c>
      <c r="X5" s="40">
        <f t="shared" si="1"/>
        <v>389.46786627833899</v>
      </c>
      <c r="Y5" s="40">
        <f t="shared" si="1"/>
        <v>923.02188034031201</v>
      </c>
      <c r="Z5" s="40">
        <f t="shared" si="1"/>
        <v>415.59740225762403</v>
      </c>
      <c r="AA5" s="40">
        <f t="shared" si="1"/>
        <v>0</v>
      </c>
      <c r="AB5" s="40">
        <f t="shared" si="1"/>
        <v>0</v>
      </c>
      <c r="AC5" s="40">
        <f t="shared" si="1"/>
        <v>0</v>
      </c>
      <c r="AD5" s="40">
        <f t="shared" si="1"/>
        <v>126.1130449970625</v>
      </c>
      <c r="AE5" s="40">
        <f t="shared" si="1"/>
        <v>6.78618587176204</v>
      </c>
    </row>
    <row r="6" spans="1:31" s="39" customFormat="1">
      <c r="A6" s="98">
        <f t="shared" si="2"/>
        <v>2010</v>
      </c>
      <c r="B6" s="151"/>
      <c r="C6" s="39" t="s">
        <v>79</v>
      </c>
      <c r="D6" s="40">
        <v>8730.9460989267209</v>
      </c>
      <c r="E6" s="40">
        <v>166.60877884827801</v>
      </c>
      <c r="F6" s="40">
        <v>1824.8698596924801</v>
      </c>
      <c r="G6" s="40">
        <v>1935.2502981115199</v>
      </c>
      <c r="H6" s="40"/>
      <c r="I6" s="40"/>
      <c r="L6" s="40">
        <v>66.048773744700398</v>
      </c>
      <c r="M6" s="40">
        <v>1.0927671310260101</v>
      </c>
      <c r="O6" s="40">
        <v>12724.816576454725</v>
      </c>
      <c r="P6" s="40"/>
      <c r="Q6" s="40"/>
      <c r="R6" s="40"/>
      <c r="S6" s="40">
        <f>SUM(D6:N6)+SUM(D10:N10)</f>
        <v>28622.811827904505</v>
      </c>
      <c r="T6" s="40">
        <f>O6+O10</f>
        <v>28622.811827904505</v>
      </c>
      <c r="U6" s="39">
        <f>T6/$T$7</f>
        <v>0.41540031616955853</v>
      </c>
      <c r="V6" s="40">
        <f t="shared" si="1"/>
        <v>21898.978305174423</v>
      </c>
      <c r="W6" s="40">
        <f t="shared" si="1"/>
        <v>278.55242615147404</v>
      </c>
      <c r="X6" s="40">
        <f t="shared" si="1"/>
        <v>3050.9912523333701</v>
      </c>
      <c r="Y6" s="40">
        <f t="shared" si="1"/>
        <v>3210.9001866161698</v>
      </c>
      <c r="Z6" s="40">
        <f t="shared" si="1"/>
        <v>0</v>
      </c>
      <c r="AA6" s="40">
        <f t="shared" si="1"/>
        <v>0</v>
      </c>
      <c r="AB6" s="40">
        <f t="shared" si="1"/>
        <v>0</v>
      </c>
      <c r="AC6" s="40">
        <f t="shared" si="1"/>
        <v>0</v>
      </c>
      <c r="AD6" s="40">
        <f t="shared" si="1"/>
        <v>180.10724371726542</v>
      </c>
      <c r="AE6" s="40">
        <f t="shared" si="1"/>
        <v>3.2824139118041504</v>
      </c>
    </row>
    <row r="7" spans="1:31" s="39" customFormat="1">
      <c r="A7" s="98">
        <f t="shared" si="2"/>
        <v>2010</v>
      </c>
      <c r="B7" s="151" t="s">
        <v>4</v>
      </c>
      <c r="C7" s="39" t="s">
        <v>84</v>
      </c>
      <c r="D7" s="40">
        <v>1983.8479015452001</v>
      </c>
      <c r="E7" s="40">
        <v>236.99180944277799</v>
      </c>
      <c r="J7" s="40">
        <v>757.47587203212697</v>
      </c>
      <c r="K7" s="40">
        <v>221.92512677334301</v>
      </c>
      <c r="M7" s="40">
        <v>10.5792749039458</v>
      </c>
      <c r="O7" s="40">
        <v>3210.8199846973935</v>
      </c>
      <c r="P7" s="40"/>
      <c r="Q7" s="40"/>
      <c r="R7" s="40"/>
      <c r="T7" s="40">
        <f>SUM(T3:T6)</f>
        <v>68904.164762891553</v>
      </c>
    </row>
    <row r="8" spans="1:31" s="39" customFormat="1">
      <c r="A8" s="98">
        <f t="shared" si="2"/>
        <v>2010</v>
      </c>
      <c r="B8" s="151"/>
      <c r="C8" s="39" t="s">
        <v>83</v>
      </c>
      <c r="D8" s="40">
        <v>9518.7082766625208</v>
      </c>
      <c r="E8" s="40">
        <v>680.68239023701597</v>
      </c>
      <c r="F8" s="40">
        <v>158.55667058094801</v>
      </c>
      <c r="G8" s="40">
        <v>164.22983013434501</v>
      </c>
      <c r="J8" s="40">
        <v>542.146276835913</v>
      </c>
      <c r="K8" s="40">
        <v>17.190198347015301</v>
      </c>
      <c r="L8" s="40">
        <v>101.185432777543</v>
      </c>
      <c r="M8" s="40">
        <v>34.7366955355985</v>
      </c>
      <c r="O8" s="40">
        <v>11217.435771110902</v>
      </c>
      <c r="P8" s="40"/>
      <c r="Q8" s="40"/>
      <c r="R8" s="40"/>
    </row>
    <row r="9" spans="1:31" s="39" customFormat="1">
      <c r="A9" s="98">
        <f t="shared" si="2"/>
        <v>2010</v>
      </c>
      <c r="B9" s="151"/>
      <c r="C9" s="39" t="s">
        <v>82</v>
      </c>
      <c r="D9" s="40">
        <v>6875.3904138112803</v>
      </c>
      <c r="E9" s="40">
        <v>195.703308331025</v>
      </c>
      <c r="F9" s="40">
        <v>156.51794551192401</v>
      </c>
      <c r="G9" s="40">
        <v>366.704877233925</v>
      </c>
      <c r="L9" s="40">
        <v>79.864977438257696</v>
      </c>
      <c r="M9" s="40">
        <v>4.5269580397612099</v>
      </c>
      <c r="O9" s="40">
        <v>7678.7084803661728</v>
      </c>
      <c r="P9" s="40"/>
      <c r="Q9" s="40"/>
      <c r="R9" s="40"/>
    </row>
    <row r="10" spans="1:31" s="39" customFormat="1">
      <c r="A10" s="98">
        <f t="shared" si="2"/>
        <v>2010</v>
      </c>
      <c r="B10" s="151"/>
      <c r="C10" s="39" t="s">
        <v>79</v>
      </c>
      <c r="D10" s="97">
        <v>13168.032206247701</v>
      </c>
      <c r="E10" s="97">
        <v>111.943647303196</v>
      </c>
      <c r="F10" s="97">
        <v>1226.12139264089</v>
      </c>
      <c r="G10" s="97">
        <v>1275.6498885046501</v>
      </c>
      <c r="H10" s="41"/>
      <c r="I10" s="41"/>
      <c r="J10" s="41"/>
      <c r="K10" s="41"/>
      <c r="L10" s="97">
        <v>114.05846997256501</v>
      </c>
      <c r="M10" s="97">
        <v>2.1896467807781401</v>
      </c>
      <c r="N10" s="41"/>
      <c r="O10" s="40">
        <v>15897.99525144978</v>
      </c>
      <c r="P10" s="40"/>
      <c r="Q10" s="40"/>
      <c r="R10" s="40"/>
      <c r="V10" s="39" t="str">
        <f t="shared" ref="V10:AE10" si="3">V2</f>
        <v>Car</v>
      </c>
      <c r="W10" s="39" t="str">
        <f t="shared" si="3"/>
        <v>Public bus</v>
      </c>
      <c r="X10" s="39" t="str">
        <f t="shared" si="3"/>
        <v>Coach</v>
      </c>
      <c r="Y10" s="39" t="str">
        <f t="shared" si="3"/>
        <v>Train</v>
      </c>
      <c r="Z10" s="39" t="str">
        <f t="shared" si="3"/>
        <v>S-train</v>
      </c>
      <c r="AA10" s="39" t="str">
        <f t="shared" si="3"/>
        <v>Metro</v>
      </c>
      <c r="AB10" s="39" t="str">
        <f t="shared" si="3"/>
        <v>Bike</v>
      </c>
      <c r="AC10" s="39" t="str">
        <f t="shared" si="3"/>
        <v>Walk</v>
      </c>
      <c r="AD10" s="39" t="str">
        <f t="shared" si="3"/>
        <v>Moto</v>
      </c>
      <c r="AE10" s="39" t="str">
        <f t="shared" si="3"/>
        <v>Moped</v>
      </c>
    </row>
    <row r="11" spans="1:31" s="39" customFormat="1">
      <c r="A11" s="98">
        <v>2020</v>
      </c>
      <c r="B11" s="151" t="s">
        <v>5</v>
      </c>
      <c r="C11" s="39" t="s">
        <v>84</v>
      </c>
      <c r="D11" s="40">
        <v>1607.7359233521399</v>
      </c>
      <c r="E11" s="40">
        <v>382.02941458596183</v>
      </c>
      <c r="F11" s="40">
        <v>0</v>
      </c>
      <c r="G11" s="40">
        <v>0</v>
      </c>
      <c r="H11" s="40">
        <v>88.762679879882455</v>
      </c>
      <c r="I11" s="40">
        <v>199.97732779611337</v>
      </c>
      <c r="J11" s="40">
        <v>691.58103469103082</v>
      </c>
      <c r="K11" s="40">
        <v>334.31011118953018</v>
      </c>
      <c r="L11" s="40">
        <v>0</v>
      </c>
      <c r="M11" s="40">
        <v>3.5113406968554393</v>
      </c>
      <c r="O11" s="40">
        <v>3307.907832191514</v>
      </c>
      <c r="P11" s="40"/>
      <c r="Q11" s="40"/>
      <c r="R11" s="40"/>
      <c r="S11" s="40">
        <f>SUM(D11:N11)+SUM(D15:N15)</f>
        <v>7079.81837732842</v>
      </c>
      <c r="T11" s="40">
        <f>O11+O15</f>
        <v>7079.81837732842</v>
      </c>
      <c r="U11" s="39">
        <f>T11/$T$15</f>
        <v>8.5322214449048972E-2</v>
      </c>
      <c r="V11" s="40">
        <f t="shared" ref="V11:AE14" si="4">(D11+D15)</f>
        <v>4032.4863548143267</v>
      </c>
      <c r="W11" s="40">
        <f t="shared" si="4"/>
        <v>638.71316403473475</v>
      </c>
      <c r="X11" s="40">
        <f t="shared" si="4"/>
        <v>0</v>
      </c>
      <c r="Y11" s="40">
        <f t="shared" si="4"/>
        <v>0</v>
      </c>
      <c r="Z11" s="40">
        <f t="shared" si="4"/>
        <v>88.762679879882455</v>
      </c>
      <c r="AA11" s="40">
        <f t="shared" si="4"/>
        <v>199.97732779611337</v>
      </c>
      <c r="AB11" s="40">
        <f t="shared" si="4"/>
        <v>1540.4888702842877</v>
      </c>
      <c r="AC11" s="40">
        <f t="shared" si="4"/>
        <v>568.84274385244737</v>
      </c>
      <c r="AD11" s="40">
        <f t="shared" si="4"/>
        <v>0</v>
      </c>
      <c r="AE11" s="40">
        <f t="shared" si="4"/>
        <v>10.547236666627084</v>
      </c>
    </row>
    <row r="12" spans="1:31" s="39" customFormat="1">
      <c r="A12" s="98">
        <f t="shared" ref="A12:A18" si="5">A11</f>
        <v>2020</v>
      </c>
      <c r="B12" s="151"/>
      <c r="C12" s="39" t="s">
        <v>83</v>
      </c>
      <c r="D12" s="40">
        <v>7714.0587447631178</v>
      </c>
      <c r="E12" s="40">
        <v>1097.2560430364067</v>
      </c>
      <c r="F12" s="40">
        <v>255.59242820737325</v>
      </c>
      <c r="G12" s="40">
        <v>317.88336428374492</v>
      </c>
      <c r="H12" s="40">
        <v>749.50974473852216</v>
      </c>
      <c r="I12" s="40">
        <v>340.54496122483778</v>
      </c>
      <c r="J12" s="40">
        <v>494.98353271926771</v>
      </c>
      <c r="K12" s="40">
        <v>25.895477471688864</v>
      </c>
      <c r="L12" s="40">
        <v>63.781003805254372</v>
      </c>
      <c r="M12" s="40">
        <v>11.529369811813096</v>
      </c>
      <c r="O12" s="40">
        <v>11071.034670062027</v>
      </c>
      <c r="P12" s="40"/>
      <c r="Q12" s="40"/>
      <c r="R12" s="40"/>
      <c r="S12" s="40">
        <f>SUM(D12:N12)+SUM(D16:N16)</f>
        <v>24582.747071037171</v>
      </c>
      <c r="T12" s="40">
        <f>O12+O16</f>
        <v>24582.747071037171</v>
      </c>
      <c r="U12" s="39">
        <f>T12/$T$15</f>
        <v>0.29625822380675837</v>
      </c>
      <c r="V12" s="40">
        <f t="shared" si="4"/>
        <v>19348.263152683183</v>
      </c>
      <c r="W12" s="40">
        <f t="shared" si="4"/>
        <v>1834.4971676161849</v>
      </c>
      <c r="X12" s="40">
        <f t="shared" si="4"/>
        <v>427.32376694234546</v>
      </c>
      <c r="Y12" s="40">
        <f t="shared" si="4"/>
        <v>527.42105488725451</v>
      </c>
      <c r="Z12" s="40">
        <f t="shared" si="4"/>
        <v>749.50974473852216</v>
      </c>
      <c r="AA12" s="40">
        <f t="shared" si="4"/>
        <v>340.54496122483778</v>
      </c>
      <c r="AB12" s="40">
        <f t="shared" si="4"/>
        <v>1102.5701759862334</v>
      </c>
      <c r="AC12" s="40">
        <f t="shared" si="4"/>
        <v>44.062246295666377</v>
      </c>
      <c r="AD12" s="40">
        <f t="shared" si="4"/>
        <v>173.92330160870648</v>
      </c>
      <c r="AE12" s="40">
        <f t="shared" si="4"/>
        <v>34.631499054238382</v>
      </c>
    </row>
    <row r="13" spans="1:31" s="39" customFormat="1">
      <c r="A13" s="98">
        <f t="shared" si="5"/>
        <v>2020</v>
      </c>
      <c r="B13" s="151"/>
      <c r="C13" s="39" t="s">
        <v>82</v>
      </c>
      <c r="D13" s="40">
        <v>5571.9219261651615</v>
      </c>
      <c r="E13" s="40">
        <v>315.47259160569968</v>
      </c>
      <c r="F13" s="40">
        <v>252.30601528680864</v>
      </c>
      <c r="G13" s="40">
        <v>709.79419499502899</v>
      </c>
      <c r="H13" s="40">
        <v>403.70442564544948</v>
      </c>
      <c r="I13" s="40">
        <v>0</v>
      </c>
      <c r="J13" s="40">
        <v>0</v>
      </c>
      <c r="K13" s="40">
        <v>0</v>
      </c>
      <c r="L13" s="40">
        <v>50.341914740780545</v>
      </c>
      <c r="M13" s="40">
        <v>1.502531330577475</v>
      </c>
      <c r="O13" s="40">
        <v>7305.0435997695058</v>
      </c>
      <c r="P13" s="40"/>
      <c r="Q13" s="40"/>
      <c r="R13" s="40"/>
      <c r="S13" s="40">
        <f>SUM(D13:N13)+SUM(D17:N17)</f>
        <v>16647.767721811149</v>
      </c>
      <c r="T13" s="40">
        <f>O13+O17</f>
        <v>16647.767721811149</v>
      </c>
      <c r="U13" s="39">
        <f>T13/$T$15</f>
        <v>0.20063006308282241</v>
      </c>
      <c r="V13" s="40">
        <f t="shared" si="4"/>
        <v>13975.341290812483</v>
      </c>
      <c r="W13" s="40">
        <f t="shared" si="4"/>
        <v>527.4371277643462</v>
      </c>
      <c r="X13" s="40">
        <f t="shared" si="4"/>
        <v>421.82922878723076</v>
      </c>
      <c r="Y13" s="40">
        <f t="shared" si="4"/>
        <v>1177.6659150460325</v>
      </c>
      <c r="Z13" s="40">
        <f t="shared" si="4"/>
        <v>403.70442564544948</v>
      </c>
      <c r="AA13" s="40">
        <f t="shared" si="4"/>
        <v>0</v>
      </c>
      <c r="AB13" s="40">
        <f t="shared" si="4"/>
        <v>0</v>
      </c>
      <c r="AC13" s="40">
        <f t="shared" si="4"/>
        <v>0</v>
      </c>
      <c r="AD13" s="40">
        <f t="shared" si="4"/>
        <v>137.27648513896986</v>
      </c>
      <c r="AE13" s="40">
        <f t="shared" si="4"/>
        <v>4.5132486166366128</v>
      </c>
    </row>
    <row r="14" spans="1:31" s="39" customFormat="1">
      <c r="A14" s="98">
        <f t="shared" si="5"/>
        <v>2020</v>
      </c>
      <c r="B14" s="151"/>
      <c r="C14" s="39" t="s">
        <v>79</v>
      </c>
      <c r="D14" s="40">
        <v>10671.365130339011</v>
      </c>
      <c r="E14" s="40">
        <v>180.45250655037205</v>
      </c>
      <c r="F14" s="40">
        <v>1976.5005336820359</v>
      </c>
      <c r="G14" s="40">
        <v>2469.1487403617448</v>
      </c>
      <c r="H14" s="40">
        <v>0</v>
      </c>
      <c r="I14" s="40">
        <v>0</v>
      </c>
      <c r="J14" s="40">
        <v>0</v>
      </c>
      <c r="K14" s="40">
        <v>0</v>
      </c>
      <c r="L14" s="40">
        <v>71.895365841200174</v>
      </c>
      <c r="M14" s="40">
        <v>0.72676019130736247</v>
      </c>
      <c r="O14" s="40">
        <v>15370.089036965672</v>
      </c>
      <c r="P14" s="40"/>
      <c r="Q14" s="40"/>
      <c r="R14" s="40"/>
      <c r="S14" s="40">
        <f>SUM(D14:N14)+SUM(D18:N18)</f>
        <v>34667.100351033689</v>
      </c>
      <c r="T14" s="40">
        <f>O14+O18</f>
        <v>34667.100351033689</v>
      </c>
      <c r="U14" s="39">
        <f>T14/$T$15</f>
        <v>0.41778949866137038</v>
      </c>
      <c r="V14" s="40">
        <f t="shared" si="4"/>
        <v>26765.941609079011</v>
      </c>
      <c r="W14" s="40">
        <f t="shared" si="4"/>
        <v>301.69768875441468</v>
      </c>
      <c r="X14" s="40">
        <f t="shared" si="4"/>
        <v>3304.5018561007573</v>
      </c>
      <c r="Y14" s="40">
        <f t="shared" si="4"/>
        <v>4096.7259681846799</v>
      </c>
      <c r="Z14" s="40">
        <f t="shared" si="4"/>
        <v>0</v>
      </c>
      <c r="AA14" s="40">
        <f t="shared" si="4"/>
        <v>0</v>
      </c>
      <c r="AB14" s="40">
        <f t="shared" si="4"/>
        <v>0</v>
      </c>
      <c r="AC14" s="40">
        <f t="shared" si="4"/>
        <v>0</v>
      </c>
      <c r="AD14" s="40">
        <f t="shared" si="4"/>
        <v>196.05021325232377</v>
      </c>
      <c r="AE14" s="40">
        <f t="shared" si="4"/>
        <v>2.1830156624979526</v>
      </c>
    </row>
    <row r="15" spans="1:31" s="39" customFormat="1">
      <c r="A15" s="98">
        <f t="shared" si="5"/>
        <v>2020</v>
      </c>
      <c r="B15" s="151" t="s">
        <v>4</v>
      </c>
      <c r="C15" s="39" t="s">
        <v>84</v>
      </c>
      <c r="D15" s="40">
        <v>2424.750431462187</v>
      </c>
      <c r="E15" s="40">
        <v>256.68374944877297</v>
      </c>
      <c r="F15" s="40">
        <v>0</v>
      </c>
      <c r="G15" s="40">
        <v>0</v>
      </c>
      <c r="H15" s="40">
        <v>0</v>
      </c>
      <c r="I15" s="40">
        <v>0</v>
      </c>
      <c r="J15" s="40">
        <v>848.907835593257</v>
      </c>
      <c r="K15" s="40">
        <v>234.53263266291717</v>
      </c>
      <c r="L15" s="40">
        <v>0</v>
      </c>
      <c r="M15" s="40">
        <v>7.0358959697716452</v>
      </c>
      <c r="O15" s="40">
        <v>3771.9105451369055</v>
      </c>
      <c r="P15" s="40"/>
      <c r="Q15" s="40"/>
      <c r="R15" s="40"/>
      <c r="T15" s="40">
        <f>SUM(T11:T14)</f>
        <v>82977.43352121042</v>
      </c>
      <c r="V15" s="39">
        <v>23429</v>
      </c>
      <c r="W15" s="39">
        <v>3190</v>
      </c>
      <c r="Y15" s="39">
        <v>4023</v>
      </c>
    </row>
    <row r="16" spans="1:31" s="39" customFormat="1">
      <c r="A16" s="98">
        <f t="shared" si="5"/>
        <v>2020</v>
      </c>
      <c r="B16" s="151"/>
      <c r="C16" s="39" t="s">
        <v>83</v>
      </c>
      <c r="D16" s="40">
        <v>11634.204407920066</v>
      </c>
      <c r="E16" s="40">
        <v>737.2411245797781</v>
      </c>
      <c r="F16" s="40">
        <v>171.73133873497221</v>
      </c>
      <c r="G16" s="40">
        <v>209.53769060350953</v>
      </c>
      <c r="H16" s="40">
        <v>0</v>
      </c>
      <c r="I16" s="40">
        <v>0</v>
      </c>
      <c r="J16" s="40">
        <v>607.58664326696567</v>
      </c>
      <c r="K16" s="40">
        <v>18.166768823977513</v>
      </c>
      <c r="L16" s="40">
        <v>110.14229780345212</v>
      </c>
      <c r="M16" s="40">
        <v>23.102129242425285</v>
      </c>
      <c r="O16" s="40">
        <v>13511.712400975144</v>
      </c>
      <c r="P16" s="40"/>
      <c r="Q16" s="40"/>
      <c r="R16" s="40"/>
    </row>
    <row r="17" spans="1:31" s="39" customFormat="1">
      <c r="A17" s="98">
        <f t="shared" si="5"/>
        <v>2020</v>
      </c>
      <c r="B17" s="151"/>
      <c r="C17" s="39" t="s">
        <v>82</v>
      </c>
      <c r="D17" s="40">
        <v>8403.4193646473213</v>
      </c>
      <c r="E17" s="40">
        <v>211.96453615864655</v>
      </c>
      <c r="F17" s="40">
        <v>169.52321350042212</v>
      </c>
      <c r="G17" s="40">
        <v>467.87172005100354</v>
      </c>
      <c r="H17" s="40">
        <v>0</v>
      </c>
      <c r="I17" s="40">
        <v>0</v>
      </c>
      <c r="J17" s="40">
        <v>0</v>
      </c>
      <c r="K17" s="40">
        <v>0</v>
      </c>
      <c r="L17" s="40">
        <v>86.934570398189308</v>
      </c>
      <c r="M17" s="40">
        <v>3.0107172860591378</v>
      </c>
      <c r="O17" s="40">
        <v>9342.7241220416417</v>
      </c>
      <c r="P17" s="40"/>
      <c r="Q17" s="40"/>
      <c r="R17" s="40"/>
    </row>
    <row r="18" spans="1:31" s="39" customFormat="1">
      <c r="A18" s="98">
        <f t="shared" si="5"/>
        <v>2020</v>
      </c>
      <c r="B18" s="151"/>
      <c r="C18" s="39" t="s">
        <v>79</v>
      </c>
      <c r="D18" s="97">
        <v>16094.576478740002</v>
      </c>
      <c r="E18" s="97">
        <v>121.24518220404265</v>
      </c>
      <c r="F18" s="97">
        <v>1328.0013224187214</v>
      </c>
      <c r="G18" s="97">
        <v>1627.5772278229354</v>
      </c>
      <c r="H18" s="97">
        <v>0</v>
      </c>
      <c r="I18" s="97">
        <v>0</v>
      </c>
      <c r="J18" s="97">
        <v>0</v>
      </c>
      <c r="K18" s="97">
        <v>0</v>
      </c>
      <c r="L18" s="97">
        <v>124.15484741112361</v>
      </c>
      <c r="M18" s="97">
        <v>1.45625547119059</v>
      </c>
      <c r="N18" s="41"/>
      <c r="O18" s="40">
        <v>19297.011314068015</v>
      </c>
      <c r="P18" s="40"/>
      <c r="Q18" s="40"/>
      <c r="R18" s="40"/>
      <c r="V18" s="39" t="str">
        <f t="shared" ref="V18:AE18" si="6">V10</f>
        <v>Car</v>
      </c>
      <c r="W18" s="39" t="str">
        <f t="shared" si="6"/>
        <v>Public bus</v>
      </c>
      <c r="X18" s="39" t="str">
        <f t="shared" si="6"/>
        <v>Coach</v>
      </c>
      <c r="Y18" s="39" t="str">
        <f t="shared" si="6"/>
        <v>Train</v>
      </c>
      <c r="Z18" s="39" t="str">
        <f t="shared" si="6"/>
        <v>S-train</v>
      </c>
      <c r="AA18" s="39" t="str">
        <f t="shared" si="6"/>
        <v>Metro</v>
      </c>
      <c r="AB18" s="39" t="str">
        <f t="shared" si="6"/>
        <v>Bike</v>
      </c>
      <c r="AC18" s="39" t="str">
        <f t="shared" si="6"/>
        <v>Walk</v>
      </c>
      <c r="AD18" s="39" t="str">
        <f t="shared" si="6"/>
        <v>Moto</v>
      </c>
      <c r="AE18" s="39" t="str">
        <f t="shared" si="6"/>
        <v>Moped</v>
      </c>
    </row>
    <row r="19" spans="1:31" s="39" customFormat="1">
      <c r="A19" s="98">
        <v>2030</v>
      </c>
      <c r="B19" s="151" t="s">
        <v>5</v>
      </c>
      <c r="C19" s="39" t="s">
        <v>84</v>
      </c>
      <c r="D19" s="40">
        <v>1676.4102997290195</v>
      </c>
      <c r="E19" s="40">
        <v>392.62020234483248</v>
      </c>
      <c r="F19" s="40">
        <v>0</v>
      </c>
      <c r="G19" s="40">
        <v>0</v>
      </c>
      <c r="H19" s="40">
        <v>92.588531248143184</v>
      </c>
      <c r="I19" s="40">
        <v>217.38346756833559</v>
      </c>
      <c r="J19" s="40">
        <v>708.64316269902577</v>
      </c>
      <c r="K19" s="40">
        <v>357.25297088630981</v>
      </c>
      <c r="L19" s="40">
        <v>0</v>
      </c>
      <c r="M19" s="40">
        <v>3.1907272897715813</v>
      </c>
      <c r="O19" s="40">
        <v>3448.0893617654378</v>
      </c>
      <c r="P19" s="40"/>
      <c r="Q19" s="40"/>
      <c r="R19" s="40"/>
      <c r="S19" s="40">
        <f>SUM(D19:N19)+SUM(D23:N23)</f>
        <v>7367.0854428944976</v>
      </c>
      <c r="T19" s="40">
        <f>O19+O23</f>
        <v>7367.0854428944976</v>
      </c>
      <c r="U19" s="39">
        <f>T19/$T$23</f>
        <v>8.5285476558355972E-2</v>
      </c>
      <c r="V19" s="40">
        <f t="shared" ref="V19:AE22" si="7">(D19+D23)</f>
        <v>4204.7338499674815</v>
      </c>
      <c r="W19" s="40">
        <f t="shared" si="7"/>
        <v>656.41985179441906</v>
      </c>
      <c r="X19" s="40">
        <f t="shared" si="7"/>
        <v>0</v>
      </c>
      <c r="Y19" s="40">
        <f t="shared" si="7"/>
        <v>0</v>
      </c>
      <c r="Z19" s="40">
        <f t="shared" si="7"/>
        <v>92.588531248143184</v>
      </c>
      <c r="AA19" s="40">
        <f t="shared" si="7"/>
        <v>217.38346756833559</v>
      </c>
      <c r="AB19" s="40">
        <f t="shared" si="7"/>
        <v>1578.4945659023358</v>
      </c>
      <c r="AC19" s="40">
        <f t="shared" si="7"/>
        <v>607.88098656458271</v>
      </c>
      <c r="AD19" s="40">
        <f t="shared" si="7"/>
        <v>0</v>
      </c>
      <c r="AE19" s="40">
        <f t="shared" si="7"/>
        <v>9.5841898492004933</v>
      </c>
    </row>
    <row r="20" spans="1:31" s="39" customFormat="1">
      <c r="A20" s="98">
        <f t="shared" ref="A20:A26" si="8">A19</f>
        <v>2030</v>
      </c>
      <c r="B20" s="151"/>
      <c r="C20" s="39" t="s">
        <v>83</v>
      </c>
      <c r="D20" s="40">
        <v>8043.5644589395306</v>
      </c>
      <c r="E20" s="40">
        <v>1127.6746585284395</v>
      </c>
      <c r="F20" s="40">
        <v>262.67807411988076</v>
      </c>
      <c r="G20" s="40">
        <v>331.63775640490007</v>
      </c>
      <c r="H20" s="40">
        <v>781.81513351579963</v>
      </c>
      <c r="I20" s="40">
        <v>370.18618735347656</v>
      </c>
      <c r="J20" s="40">
        <v>507.19536614653737</v>
      </c>
      <c r="K20" s="40">
        <v>27.672618774116458</v>
      </c>
      <c r="L20" s="40">
        <v>64.312404921585099</v>
      </c>
      <c r="M20" s="40">
        <v>10.476646406133458</v>
      </c>
      <c r="O20" s="40">
        <v>11527.213305110401</v>
      </c>
      <c r="P20" s="40"/>
      <c r="Q20" s="40"/>
      <c r="R20" s="40"/>
      <c r="S20" s="40">
        <f>SUM(D20:N20)+SUM(D24:N24)</f>
        <v>25585.190525155886</v>
      </c>
      <c r="T20" s="40">
        <f>O20+O24</f>
        <v>25585.190525155886</v>
      </c>
      <c r="U20" s="39">
        <f>T20/$T$23</f>
        <v>0.29618838870381514</v>
      </c>
      <c r="V20" s="40">
        <f t="shared" si="7"/>
        <v>20174.723447988312</v>
      </c>
      <c r="W20" s="40">
        <f t="shared" si="7"/>
        <v>1885.3539064029846</v>
      </c>
      <c r="X20" s="40">
        <f t="shared" si="7"/>
        <v>439.17022469459039</v>
      </c>
      <c r="Y20" s="40">
        <f t="shared" si="7"/>
        <v>550.24186533833961</v>
      </c>
      <c r="Z20" s="40">
        <f t="shared" si="7"/>
        <v>781.81513351579963</v>
      </c>
      <c r="AA20" s="40">
        <f t="shared" si="7"/>
        <v>370.18618735347656</v>
      </c>
      <c r="AB20" s="40">
        <f t="shared" si="7"/>
        <v>1129.7718957223437</v>
      </c>
      <c r="AC20" s="40">
        <f t="shared" si="7"/>
        <v>47.086127120237983</v>
      </c>
      <c r="AD20" s="40">
        <f t="shared" si="7"/>
        <v>175.37237000080944</v>
      </c>
      <c r="AE20" s="40">
        <f t="shared" si="7"/>
        <v>31.4693670189892</v>
      </c>
    </row>
    <row r="21" spans="1:31" s="39" customFormat="1">
      <c r="A21" s="98">
        <f t="shared" si="8"/>
        <v>2030</v>
      </c>
      <c r="B21" s="151"/>
      <c r="C21" s="39" t="s">
        <v>82</v>
      </c>
      <c r="D21" s="40">
        <v>5809.9263508608728</v>
      </c>
      <c r="E21" s="40">
        <v>324.21826179200684</v>
      </c>
      <c r="F21" s="40">
        <v>259.30055381229096</v>
      </c>
      <c r="G21" s="40">
        <v>740.50604965681293</v>
      </c>
      <c r="H21" s="40">
        <v>421.10490444260455</v>
      </c>
      <c r="I21" s="40">
        <v>0</v>
      </c>
      <c r="J21" s="40">
        <v>0</v>
      </c>
      <c r="K21" s="40">
        <v>0</v>
      </c>
      <c r="L21" s="40">
        <v>50.76134604627017</v>
      </c>
      <c r="M21" s="40">
        <v>1.3653382380421655</v>
      </c>
      <c r="O21" s="40">
        <v>7607.1828048489006</v>
      </c>
      <c r="P21" s="40"/>
      <c r="Q21" s="40"/>
      <c r="R21" s="40"/>
      <c r="S21" s="40">
        <f>SUM(D21:N21)+SUM(D25:N25)</f>
        <v>17340.128019847565</v>
      </c>
      <c r="T21" s="40">
        <f>O21+O25</f>
        <v>17340.128019847565</v>
      </c>
      <c r="U21" s="39">
        <f>T21/$T$23</f>
        <v>0.2007389615905639</v>
      </c>
      <c r="V21" s="40">
        <f t="shared" si="7"/>
        <v>14572.297441297396</v>
      </c>
      <c r="W21" s="40">
        <f t="shared" si="7"/>
        <v>542.05897221670216</v>
      </c>
      <c r="X21" s="40">
        <f t="shared" si="7"/>
        <v>433.52336453176622</v>
      </c>
      <c r="Y21" s="40">
        <f t="shared" si="7"/>
        <v>1228.6219593164196</v>
      </c>
      <c r="Z21" s="40">
        <f t="shared" si="7"/>
        <v>421.10490444260455</v>
      </c>
      <c r="AA21" s="40">
        <f t="shared" si="7"/>
        <v>0</v>
      </c>
      <c r="AB21" s="40">
        <f t="shared" si="7"/>
        <v>0</v>
      </c>
      <c r="AC21" s="40">
        <f t="shared" si="7"/>
        <v>0</v>
      </c>
      <c r="AD21" s="40">
        <f t="shared" si="7"/>
        <v>138.4202250159957</v>
      </c>
      <c r="AE21" s="40">
        <f t="shared" si="7"/>
        <v>4.1011530266836829</v>
      </c>
    </row>
    <row r="22" spans="1:31" s="39" customFormat="1">
      <c r="A22" s="98">
        <f t="shared" si="8"/>
        <v>2030</v>
      </c>
      <c r="B22" s="151"/>
      <c r="C22" s="39" t="s">
        <v>79</v>
      </c>
      <c r="D22" s="40">
        <v>11127.192069808034</v>
      </c>
      <c r="E22" s="40">
        <v>185.45509044696144</v>
      </c>
      <c r="F22" s="40">
        <v>2031.2939523516625</v>
      </c>
      <c r="G22" s="40">
        <v>2575.9855358540603</v>
      </c>
      <c r="H22" s="40">
        <v>0</v>
      </c>
      <c r="I22" s="40">
        <v>0</v>
      </c>
      <c r="J22" s="40">
        <v>0</v>
      </c>
      <c r="K22" s="40">
        <v>0</v>
      </c>
      <c r="L22" s="40">
        <v>72.494372996742499</v>
      </c>
      <c r="M22" s="40">
        <v>0.66040119023502575</v>
      </c>
      <c r="O22" s="40">
        <v>15993.081422647696</v>
      </c>
      <c r="P22" s="40"/>
      <c r="Q22" s="40"/>
      <c r="R22" s="40"/>
      <c r="S22" s="40">
        <f>SUM(D22:N22)+SUM(D26:N26)</f>
        <v>36089.073142661582</v>
      </c>
      <c r="T22" s="40">
        <f>O22+O26</f>
        <v>36089.073142661582</v>
      </c>
      <c r="U22" s="39">
        <f>T22/$T$23</f>
        <v>0.41778717314726493</v>
      </c>
      <c r="V22" s="40">
        <f t="shared" si="7"/>
        <v>27909.24774626537</v>
      </c>
      <c r="W22" s="40">
        <f t="shared" si="7"/>
        <v>310.06148501445597</v>
      </c>
      <c r="X22" s="40">
        <f t="shared" si="7"/>
        <v>3396.1107125671806</v>
      </c>
      <c r="Y22" s="40">
        <f t="shared" si="7"/>
        <v>4273.9858745226365</v>
      </c>
      <c r="Z22" s="40">
        <f t="shared" si="7"/>
        <v>0</v>
      </c>
      <c r="AA22" s="40">
        <f t="shared" si="7"/>
        <v>0</v>
      </c>
      <c r="AB22" s="40">
        <f t="shared" si="7"/>
        <v>0</v>
      </c>
      <c r="AC22" s="40">
        <f t="shared" si="7"/>
        <v>0</v>
      </c>
      <c r="AD22" s="40">
        <f t="shared" si="7"/>
        <v>197.68363536805691</v>
      </c>
      <c r="AE22" s="40">
        <f t="shared" si="7"/>
        <v>1.9836889238827879</v>
      </c>
    </row>
    <row r="23" spans="1:31" s="39" customFormat="1">
      <c r="A23" s="98">
        <f t="shared" si="8"/>
        <v>2030</v>
      </c>
      <c r="B23" s="151" t="s">
        <v>4</v>
      </c>
      <c r="C23" s="39" t="s">
        <v>84</v>
      </c>
      <c r="D23" s="40">
        <v>2528.3235502384618</v>
      </c>
      <c r="E23" s="40">
        <v>263.79964944958658</v>
      </c>
      <c r="F23" s="40">
        <v>0</v>
      </c>
      <c r="G23" s="40">
        <v>0</v>
      </c>
      <c r="H23" s="40">
        <v>0</v>
      </c>
      <c r="I23" s="40">
        <v>0</v>
      </c>
      <c r="J23" s="40">
        <v>869.85140320331004</v>
      </c>
      <c r="K23" s="40">
        <v>250.62801567827293</v>
      </c>
      <c r="L23" s="40">
        <v>0</v>
      </c>
      <c r="M23" s="40">
        <v>6.3934625594289116</v>
      </c>
      <c r="O23" s="40">
        <v>3918.9960811290598</v>
      </c>
      <c r="P23" s="40"/>
      <c r="Q23" s="40"/>
      <c r="R23" s="40"/>
      <c r="T23" s="40">
        <f>SUM(T19:T22)</f>
        <v>86381.477130559535</v>
      </c>
      <c r="W23" s="42"/>
    </row>
    <row r="24" spans="1:31" s="39" customFormat="1">
      <c r="A24" s="98">
        <f t="shared" si="8"/>
        <v>2030</v>
      </c>
      <c r="B24" s="151"/>
      <c r="C24" s="39" t="s">
        <v>83</v>
      </c>
      <c r="D24" s="40">
        <v>12131.158989048783</v>
      </c>
      <c r="E24" s="40">
        <v>757.67924787454501</v>
      </c>
      <c r="F24" s="40">
        <v>176.49215057470965</v>
      </c>
      <c r="G24" s="40">
        <v>218.60410893343951</v>
      </c>
      <c r="H24" s="40">
        <v>0</v>
      </c>
      <c r="I24" s="40">
        <v>0</v>
      </c>
      <c r="J24" s="40">
        <v>622.57652957580626</v>
      </c>
      <c r="K24" s="40">
        <v>19.413508346121525</v>
      </c>
      <c r="L24" s="40">
        <v>111.05996507922434</v>
      </c>
      <c r="M24" s="40">
        <v>20.992720612855742</v>
      </c>
      <c r="O24" s="40">
        <v>14057.977220045486</v>
      </c>
      <c r="P24" s="40"/>
      <c r="Q24" s="40"/>
      <c r="R24" s="40"/>
      <c r="W24" s="42"/>
    </row>
    <row r="25" spans="1:31" s="39" customFormat="1">
      <c r="A25" s="98">
        <f t="shared" si="8"/>
        <v>2030</v>
      </c>
      <c r="B25" s="151"/>
      <c r="C25" s="39" t="s">
        <v>82</v>
      </c>
      <c r="D25" s="40">
        <v>8762.3710904365234</v>
      </c>
      <c r="E25" s="40">
        <v>217.84071042469526</v>
      </c>
      <c r="F25" s="40">
        <v>174.22281071947523</v>
      </c>
      <c r="G25" s="40">
        <v>488.11590965960676</v>
      </c>
      <c r="H25" s="40">
        <v>0</v>
      </c>
      <c r="I25" s="40">
        <v>0</v>
      </c>
      <c r="J25" s="40">
        <v>0</v>
      </c>
      <c r="K25" s="40">
        <v>0</v>
      </c>
      <c r="L25" s="40">
        <v>87.658878969725521</v>
      </c>
      <c r="M25" s="40">
        <v>2.7358147886415178</v>
      </c>
      <c r="O25" s="40">
        <v>9732.9452149986664</v>
      </c>
      <c r="P25" s="40"/>
      <c r="Q25" s="40"/>
      <c r="R25" s="40"/>
      <c r="W25" s="42"/>
    </row>
    <row r="26" spans="1:31" s="39" customFormat="1">
      <c r="A26" s="98">
        <f t="shared" si="8"/>
        <v>2030</v>
      </c>
      <c r="B26" s="151"/>
      <c r="C26" s="39" t="s">
        <v>79</v>
      </c>
      <c r="D26" s="97">
        <v>16782.055676457334</v>
      </c>
      <c r="E26" s="97">
        <v>124.60639456749452</v>
      </c>
      <c r="F26" s="97">
        <v>1364.8167602155183</v>
      </c>
      <c r="G26" s="97">
        <v>1698.000338668576</v>
      </c>
      <c r="H26" s="97">
        <v>0</v>
      </c>
      <c r="I26" s="97">
        <v>0</v>
      </c>
      <c r="J26" s="97">
        <v>0</v>
      </c>
      <c r="K26" s="97">
        <v>0</v>
      </c>
      <c r="L26" s="97">
        <v>125.18926237131441</v>
      </c>
      <c r="M26" s="97">
        <v>1.3232877336477622</v>
      </c>
      <c r="N26" s="41"/>
      <c r="O26" s="40">
        <v>20095.991720013884</v>
      </c>
      <c r="P26" s="40"/>
      <c r="Q26" s="40"/>
      <c r="R26" s="40"/>
      <c r="V26" s="39" t="str">
        <f t="shared" ref="V26:AE26" si="9">V18</f>
        <v>Car</v>
      </c>
      <c r="W26" s="42" t="str">
        <f t="shared" si="9"/>
        <v>Public bus</v>
      </c>
      <c r="X26" s="39" t="str">
        <f t="shared" si="9"/>
        <v>Coach</v>
      </c>
      <c r="Y26" s="39" t="str">
        <f t="shared" si="9"/>
        <v>Train</v>
      </c>
      <c r="Z26" s="39" t="str">
        <f t="shared" si="9"/>
        <v>S-train</v>
      </c>
      <c r="AA26" s="39" t="str">
        <f t="shared" si="9"/>
        <v>Metro</v>
      </c>
      <c r="AB26" s="39" t="str">
        <f t="shared" si="9"/>
        <v>Bike</v>
      </c>
      <c r="AC26" s="39" t="str">
        <f t="shared" si="9"/>
        <v>Walk</v>
      </c>
      <c r="AD26" s="39" t="str">
        <f t="shared" si="9"/>
        <v>Moto</v>
      </c>
      <c r="AE26" s="39" t="str">
        <f t="shared" si="9"/>
        <v>Moped</v>
      </c>
    </row>
    <row r="27" spans="1:31" s="39" customFormat="1">
      <c r="A27" s="98">
        <v>2040</v>
      </c>
      <c r="B27" s="151" t="s">
        <v>5</v>
      </c>
      <c r="C27" s="39" t="s">
        <v>84</v>
      </c>
      <c r="D27" s="40">
        <v>1802.0229722913609</v>
      </c>
      <c r="E27" s="40">
        <v>351.08879499204926</v>
      </c>
      <c r="F27" s="40">
        <v>0</v>
      </c>
      <c r="G27" s="40">
        <v>0</v>
      </c>
      <c r="H27" s="40">
        <v>91.609442018766799</v>
      </c>
      <c r="I27" s="40">
        <v>216.4922105014773</v>
      </c>
      <c r="J27" s="40">
        <v>705.72188254682828</v>
      </c>
      <c r="K27" s="40">
        <v>376.77953676007701</v>
      </c>
      <c r="L27" s="40">
        <v>0</v>
      </c>
      <c r="M27" s="40">
        <v>3.0031804693990773</v>
      </c>
      <c r="O27" s="40">
        <v>3546.7180195799588</v>
      </c>
      <c r="P27" s="40"/>
      <c r="Q27" s="40"/>
      <c r="R27" s="40"/>
      <c r="S27" s="40">
        <f>SUM(D27:N27)+SUM(D31:N31)</f>
        <v>7636.9925673991975</v>
      </c>
      <c r="T27" s="40">
        <f>O27+O31</f>
        <v>7636.9925673991975</v>
      </c>
      <c r="U27" s="39">
        <f>T27/$T$31</f>
        <v>8.3455024685997206E-2</v>
      </c>
      <c r="V27" s="40">
        <f t="shared" ref="V27:AE30" si="10">(D27+D31)</f>
        <v>4519.792673212085</v>
      </c>
      <c r="W27" s="40">
        <f t="shared" si="10"/>
        <v>586.98368906893666</v>
      </c>
      <c r="X27" s="40">
        <f t="shared" si="10"/>
        <v>0</v>
      </c>
      <c r="Y27" s="40">
        <f t="shared" si="10"/>
        <v>0</v>
      </c>
      <c r="Z27" s="40">
        <f t="shared" si="10"/>
        <v>91.609442018766799</v>
      </c>
      <c r="AA27" s="40">
        <f t="shared" si="10"/>
        <v>216.4922105014773</v>
      </c>
      <c r="AB27" s="40">
        <f t="shared" si="10"/>
        <v>1571.9874476678788</v>
      </c>
      <c r="AC27" s="40">
        <f t="shared" si="10"/>
        <v>641.10626135548523</v>
      </c>
      <c r="AD27" s="40">
        <f t="shared" si="10"/>
        <v>0</v>
      </c>
      <c r="AE27" s="40">
        <f t="shared" si="10"/>
        <v>9.0208435745670812</v>
      </c>
    </row>
    <row r="28" spans="1:31" s="39" customFormat="1">
      <c r="A28" s="98">
        <f t="shared" ref="A28:A34" si="11">A27</f>
        <v>2040</v>
      </c>
      <c r="B28" s="151"/>
      <c r="C28" s="39" t="s">
        <v>83</v>
      </c>
      <c r="D28" s="40">
        <v>8646.265139541516</v>
      </c>
      <c r="E28" s="40">
        <v>1008.3891115162105</v>
      </c>
      <c r="F28" s="40">
        <v>234.89195910653308</v>
      </c>
      <c r="G28" s="40">
        <v>382.11447907182628</v>
      </c>
      <c r="H28" s="40">
        <v>773.5477296994751</v>
      </c>
      <c r="I28" s="40">
        <v>368.66844978482544</v>
      </c>
      <c r="J28" s="40">
        <v>505.10452574278997</v>
      </c>
      <c r="K28" s="40">
        <v>29.185135834651664</v>
      </c>
      <c r="L28" s="40">
        <v>64.623254647479939</v>
      </c>
      <c r="M28" s="40">
        <v>9.8608426901794033</v>
      </c>
      <c r="O28" s="40">
        <v>12022.65062763549</v>
      </c>
      <c r="P28" s="40"/>
      <c r="Q28" s="40"/>
      <c r="R28" s="40"/>
      <c r="S28" s="40">
        <f>SUM(D28:N28)+SUM(D32:N32)</f>
        <v>26921.863396411718</v>
      </c>
      <c r="T28" s="40">
        <f>O28+O32</f>
        <v>26921.863396411718</v>
      </c>
      <c r="U28" s="39">
        <f>T28/$T$31</f>
        <v>0.29419496673750561</v>
      </c>
      <c r="V28" s="40">
        <f t="shared" si="10"/>
        <v>21686.406435689823</v>
      </c>
      <c r="W28" s="40">
        <f t="shared" si="10"/>
        <v>1685.9209668258902</v>
      </c>
      <c r="X28" s="40">
        <f t="shared" si="10"/>
        <v>392.71475095667762</v>
      </c>
      <c r="Y28" s="40">
        <f t="shared" si="10"/>
        <v>633.99109322331378</v>
      </c>
      <c r="Z28" s="40">
        <f t="shared" si="10"/>
        <v>773.5477296994751</v>
      </c>
      <c r="AA28" s="40">
        <f t="shared" si="10"/>
        <v>368.66844978482544</v>
      </c>
      <c r="AB28" s="40">
        <f t="shared" si="10"/>
        <v>1125.1145725599863</v>
      </c>
      <c r="AC28" s="40">
        <f t="shared" si="10"/>
        <v>49.659738644511336</v>
      </c>
      <c r="AD28" s="40">
        <f t="shared" si="10"/>
        <v>176.22002067117</v>
      </c>
      <c r="AE28" s="40">
        <f t="shared" si="10"/>
        <v>29.619638356039356</v>
      </c>
    </row>
    <row r="29" spans="1:31" s="39" customFormat="1">
      <c r="A29" s="98">
        <f t="shared" si="11"/>
        <v>2040</v>
      </c>
      <c r="B29" s="151"/>
      <c r="C29" s="39" t="s">
        <v>82</v>
      </c>
      <c r="D29" s="40">
        <v>6245.2615289136284</v>
      </c>
      <c r="E29" s="40">
        <v>289.92241908886228</v>
      </c>
      <c r="F29" s="40">
        <v>231.87171326138576</v>
      </c>
      <c r="G29" s="40">
        <v>853.21432179960379</v>
      </c>
      <c r="H29" s="40">
        <v>416.65187693672112</v>
      </c>
      <c r="I29" s="40">
        <v>0</v>
      </c>
      <c r="J29" s="40">
        <v>0</v>
      </c>
      <c r="K29" s="40">
        <v>0</v>
      </c>
      <c r="L29" s="40">
        <v>51.00669763161013</v>
      </c>
      <c r="M29" s="40">
        <v>1.2850854235510416</v>
      </c>
      <c r="O29" s="40">
        <v>8089.2136430553628</v>
      </c>
      <c r="P29" s="40"/>
      <c r="Q29" s="40"/>
      <c r="R29" s="40"/>
      <c r="S29" s="40">
        <f>SUM(D29:N29)+SUM(D33:N33)</f>
        <v>18511.803146254239</v>
      </c>
      <c r="T29" s="40">
        <f>O29+O33</f>
        <v>18511.803146254239</v>
      </c>
      <c r="U29" s="39">
        <f>T29/$T$31</f>
        <v>0.20229206391372592</v>
      </c>
      <c r="V29" s="40">
        <f t="shared" si="10"/>
        <v>15664.193158754286</v>
      </c>
      <c r="W29" s="40">
        <f t="shared" si="10"/>
        <v>484.71991566812824</v>
      </c>
      <c r="X29" s="40">
        <f t="shared" si="10"/>
        <v>387.66521627095779</v>
      </c>
      <c r="Y29" s="40">
        <f t="shared" si="10"/>
        <v>1415.6236161096633</v>
      </c>
      <c r="Z29" s="40">
        <f t="shared" si="10"/>
        <v>416.65187693672112</v>
      </c>
      <c r="AA29" s="40">
        <f t="shared" si="10"/>
        <v>0</v>
      </c>
      <c r="AB29" s="40">
        <f t="shared" si="10"/>
        <v>0</v>
      </c>
      <c r="AC29" s="40">
        <f t="shared" si="10"/>
        <v>0</v>
      </c>
      <c r="AD29" s="40">
        <f t="shared" si="10"/>
        <v>139.08926995463526</v>
      </c>
      <c r="AE29" s="40">
        <f t="shared" si="10"/>
        <v>3.8600925598486571</v>
      </c>
    </row>
    <row r="30" spans="1:31" s="39" customFormat="1">
      <c r="A30" s="98">
        <f t="shared" si="11"/>
        <v>2040</v>
      </c>
      <c r="B30" s="151"/>
      <c r="C30" s="39" t="s">
        <v>79</v>
      </c>
      <c r="D30" s="40">
        <v>11960.947585524569</v>
      </c>
      <c r="E30" s="40">
        <v>165.83763097595011</v>
      </c>
      <c r="F30" s="40">
        <v>1816.4234589727516</v>
      </c>
      <c r="G30" s="40">
        <v>2968.0618449476697</v>
      </c>
      <c r="H30" s="40">
        <v>0</v>
      </c>
      <c r="I30" s="40">
        <v>0</v>
      </c>
      <c r="J30" s="40">
        <v>0</v>
      </c>
      <c r="K30" s="40">
        <v>0</v>
      </c>
      <c r="L30" s="40">
        <v>72.844769720398418</v>
      </c>
      <c r="M30" s="40">
        <v>0.62158366302239365</v>
      </c>
      <c r="O30" s="40">
        <v>16984.736873804362</v>
      </c>
      <c r="P30" s="40"/>
      <c r="Q30" s="40"/>
      <c r="R30" s="40"/>
      <c r="S30" s="40">
        <f>SUM(D30:N30)+SUM(D34:N34)</f>
        <v>38439.6195835627</v>
      </c>
      <c r="T30" s="40">
        <f>O30+O34</f>
        <v>38439.6195835627</v>
      </c>
      <c r="U30" s="39">
        <f>T30/$T$31</f>
        <v>0.42005794466277119</v>
      </c>
      <c r="V30" s="40">
        <f t="shared" si="10"/>
        <v>30000.475173810748</v>
      </c>
      <c r="W30" s="40">
        <f t="shared" si="10"/>
        <v>277.2631476858171</v>
      </c>
      <c r="X30" s="40">
        <f t="shared" si="10"/>
        <v>3036.8697550809929</v>
      </c>
      <c r="Y30" s="40">
        <f t="shared" si="10"/>
        <v>4924.5052906751325</v>
      </c>
      <c r="Z30" s="40">
        <f t="shared" si="10"/>
        <v>0</v>
      </c>
      <c r="AA30" s="40">
        <f t="shared" si="10"/>
        <v>0</v>
      </c>
      <c r="AB30" s="40">
        <f t="shared" si="10"/>
        <v>0</v>
      </c>
      <c r="AC30" s="40">
        <f t="shared" si="10"/>
        <v>0</v>
      </c>
      <c r="AD30" s="40">
        <f t="shared" si="10"/>
        <v>198.63912605360946</v>
      </c>
      <c r="AE30" s="40">
        <f t="shared" si="10"/>
        <v>1.8670902564018688</v>
      </c>
    </row>
    <row r="31" spans="1:31" s="39" customFormat="1">
      <c r="A31" s="98">
        <f t="shared" si="11"/>
        <v>2040</v>
      </c>
      <c r="B31" s="151" t="s">
        <v>4</v>
      </c>
      <c r="C31" s="39" t="s">
        <v>84</v>
      </c>
      <c r="D31" s="40">
        <v>2717.7697009207245</v>
      </c>
      <c r="E31" s="40">
        <v>235.8948940768874</v>
      </c>
      <c r="F31" s="40">
        <v>0</v>
      </c>
      <c r="G31" s="40">
        <v>0</v>
      </c>
      <c r="H31" s="40">
        <v>0</v>
      </c>
      <c r="I31" s="40">
        <v>0</v>
      </c>
      <c r="J31" s="40">
        <v>866.26556512105049</v>
      </c>
      <c r="K31" s="40">
        <v>264.32672459540817</v>
      </c>
      <c r="L31" s="40">
        <v>0</v>
      </c>
      <c r="M31" s="40">
        <v>6.0176631051680047</v>
      </c>
      <c r="O31" s="40">
        <v>4090.2745478192387</v>
      </c>
      <c r="P31" s="40"/>
      <c r="Q31" s="40"/>
      <c r="R31" s="40"/>
      <c r="T31" s="40">
        <f>SUM(T27:T30)</f>
        <v>91510.278693627857</v>
      </c>
    </row>
    <row r="32" spans="1:31" s="39" customFormat="1">
      <c r="A32" s="98">
        <f t="shared" si="11"/>
        <v>2040</v>
      </c>
      <c r="B32" s="151"/>
      <c r="C32" s="39" t="s">
        <v>83</v>
      </c>
      <c r="D32" s="40">
        <v>13040.141296148307</v>
      </c>
      <c r="E32" s="40">
        <v>677.53185530967971</v>
      </c>
      <c r="F32" s="40">
        <v>157.82279185014454</v>
      </c>
      <c r="G32" s="40">
        <v>251.87661415148747</v>
      </c>
      <c r="H32" s="40">
        <v>0</v>
      </c>
      <c r="I32" s="40">
        <v>0</v>
      </c>
      <c r="J32" s="40">
        <v>620.01004681719644</v>
      </c>
      <c r="K32" s="40">
        <v>20.474602809859675</v>
      </c>
      <c r="L32" s="40">
        <v>111.59676602369005</v>
      </c>
      <c r="M32" s="40">
        <v>19.758795665859953</v>
      </c>
      <c r="O32" s="40">
        <v>14899.212768776228</v>
      </c>
      <c r="P32" s="40"/>
      <c r="Q32" s="40"/>
      <c r="R32" s="40"/>
    </row>
    <row r="33" spans="1:31" s="39" customFormat="1">
      <c r="A33" s="98">
        <f t="shared" si="11"/>
        <v>2040</v>
      </c>
      <c r="B33" s="151"/>
      <c r="C33" s="39" t="s">
        <v>82</v>
      </c>
      <c r="D33" s="40">
        <v>9418.9316298406575</v>
      </c>
      <c r="E33" s="40">
        <v>194.79749657926592</v>
      </c>
      <c r="F33" s="40">
        <v>155.79350300957202</v>
      </c>
      <c r="G33" s="40">
        <v>562.40929431005952</v>
      </c>
      <c r="H33" s="40">
        <v>0</v>
      </c>
      <c r="I33" s="40">
        <v>0</v>
      </c>
      <c r="J33" s="40">
        <v>0</v>
      </c>
      <c r="K33" s="40">
        <v>0</v>
      </c>
      <c r="L33" s="40">
        <v>88.082572323025133</v>
      </c>
      <c r="M33" s="40">
        <v>2.5750071362976152</v>
      </c>
      <c r="O33" s="40">
        <v>10422.589503198877</v>
      </c>
      <c r="P33" s="40"/>
      <c r="Q33" s="40"/>
      <c r="R33" s="40"/>
    </row>
    <row r="34" spans="1:31" s="39" customFormat="1">
      <c r="A34" s="98">
        <f t="shared" si="11"/>
        <v>2040</v>
      </c>
      <c r="B34" s="151"/>
      <c r="C34" s="39" t="s">
        <v>79</v>
      </c>
      <c r="D34" s="97">
        <v>18039.527588286179</v>
      </c>
      <c r="E34" s="97">
        <v>111.42551670986697</v>
      </c>
      <c r="F34" s="97">
        <v>1220.4462961082411</v>
      </c>
      <c r="G34" s="97">
        <v>1956.4434457274626</v>
      </c>
      <c r="H34" s="97">
        <v>0</v>
      </c>
      <c r="I34" s="97">
        <v>0</v>
      </c>
      <c r="J34" s="97">
        <v>0</v>
      </c>
      <c r="K34" s="97">
        <v>0</v>
      </c>
      <c r="L34" s="97">
        <v>125.79435633321103</v>
      </c>
      <c r="M34" s="97">
        <v>1.2455065933794751</v>
      </c>
      <c r="N34" s="41"/>
      <c r="O34" s="40">
        <v>21454.882709758342</v>
      </c>
      <c r="P34" s="40"/>
      <c r="Q34" s="40"/>
      <c r="R34" s="40"/>
      <c r="V34" s="39" t="str">
        <f t="shared" ref="V34:AE34" si="12">V26</f>
        <v>Car</v>
      </c>
      <c r="W34" s="39" t="str">
        <f t="shared" si="12"/>
        <v>Public bus</v>
      </c>
      <c r="X34" s="39" t="str">
        <f t="shared" si="12"/>
        <v>Coach</v>
      </c>
      <c r="Y34" s="39" t="str">
        <f t="shared" si="12"/>
        <v>Train</v>
      </c>
      <c r="Z34" s="39" t="str">
        <f t="shared" si="12"/>
        <v>S-train</v>
      </c>
      <c r="AA34" s="39" t="str">
        <f t="shared" si="12"/>
        <v>Metro</v>
      </c>
      <c r="AB34" s="39" t="str">
        <f t="shared" si="12"/>
        <v>Bike</v>
      </c>
      <c r="AC34" s="39" t="str">
        <f t="shared" si="12"/>
        <v>Walk</v>
      </c>
      <c r="AD34" s="39" t="str">
        <f t="shared" si="12"/>
        <v>Moto</v>
      </c>
      <c r="AE34" s="39" t="str">
        <f t="shared" si="12"/>
        <v>Moped</v>
      </c>
    </row>
    <row r="35" spans="1:31" s="39" customFormat="1">
      <c r="A35" s="98">
        <v>2050</v>
      </c>
      <c r="B35" s="151" t="s">
        <v>5</v>
      </c>
      <c r="C35" s="39" t="s">
        <v>84</v>
      </c>
      <c r="D35" s="40">
        <v>1913.3424054185152</v>
      </c>
      <c r="E35" s="40">
        <v>322.53777566084472</v>
      </c>
      <c r="F35" s="40">
        <v>0</v>
      </c>
      <c r="G35" s="40">
        <v>0</v>
      </c>
      <c r="H35" s="40">
        <v>92.178665736164987</v>
      </c>
      <c r="I35" s="40">
        <v>216.4922105014773</v>
      </c>
      <c r="J35" s="40">
        <v>707.75460592557658</v>
      </c>
      <c r="K35" s="40">
        <v>397.23615990981381</v>
      </c>
      <c r="L35" s="40">
        <v>0</v>
      </c>
      <c r="M35" s="40">
        <v>2.8701138826877233</v>
      </c>
      <c r="O35" s="40">
        <v>3652.4119370350804</v>
      </c>
      <c r="P35" s="40"/>
      <c r="Q35" s="40"/>
      <c r="R35" s="40"/>
      <c r="S35" s="40">
        <f>SUM(D35:N35)+SUM(D39:N39)</f>
        <v>7907.9722995742595</v>
      </c>
      <c r="T35" s="40">
        <f>O35+O39</f>
        <v>7907.9722995742595</v>
      </c>
      <c r="U35" s="39">
        <f>T35/$T$39</f>
        <v>8.2204598969135567E-2</v>
      </c>
      <c r="V35" s="40">
        <f>(D35+D39)</f>
        <v>4799.0015212516118</v>
      </c>
      <c r="W35" s="40">
        <f t="shared" ref="V35:AE38" si="13">(E35+E39)</f>
        <v>539.24937543443718</v>
      </c>
      <c r="X35" s="40">
        <f t="shared" si="13"/>
        <v>0</v>
      </c>
      <c r="Y35" s="40">
        <f t="shared" si="13"/>
        <v>0</v>
      </c>
      <c r="Z35" s="40">
        <f t="shared" si="13"/>
        <v>92.178665736164987</v>
      </c>
      <c r="AA35" s="40">
        <f t="shared" si="13"/>
        <v>216.4922105014773</v>
      </c>
      <c r="AB35" s="40">
        <f t="shared" si="13"/>
        <v>1576.5153158196238</v>
      </c>
      <c r="AC35" s="40">
        <f t="shared" si="13"/>
        <v>675.91406779916952</v>
      </c>
      <c r="AD35" s="40">
        <f t="shared" si="13"/>
        <v>0</v>
      </c>
      <c r="AE35" s="40">
        <f t="shared" si="13"/>
        <v>8.6211430317739008</v>
      </c>
    </row>
    <row r="36" spans="1:31" s="39" customFormat="1">
      <c r="A36" s="98">
        <f t="shared" ref="A36:A42" si="14">A35</f>
        <v>2050</v>
      </c>
      <c r="B36" s="151"/>
      <c r="C36" s="39" t="s">
        <v>83</v>
      </c>
      <c r="D36" s="40">
        <v>9180.385596827904</v>
      </c>
      <c r="E36" s="40">
        <v>926.38553456660293</v>
      </c>
      <c r="F36" s="40">
        <v>215.79022484199464</v>
      </c>
      <c r="G36" s="40">
        <v>423.35955910424326</v>
      </c>
      <c r="H36" s="40">
        <v>778.3542398645983</v>
      </c>
      <c r="I36" s="40">
        <v>368.66844978482544</v>
      </c>
      <c r="J36" s="40">
        <v>506.55940166995208</v>
      </c>
      <c r="K36" s="40">
        <v>30.769694620612274</v>
      </c>
      <c r="L36" s="40">
        <v>64.843806037915826</v>
      </c>
      <c r="M36" s="40">
        <v>9.4239230004538186</v>
      </c>
      <c r="O36" s="40">
        <v>12504.540430319103</v>
      </c>
      <c r="P36" s="40"/>
      <c r="Q36" s="40"/>
      <c r="R36" s="40"/>
      <c r="S36" s="40">
        <f>SUM(D36:N36)+SUM(D40:N40)</f>
        <v>28170.962058141151</v>
      </c>
      <c r="T36" s="40">
        <f>O36+O40</f>
        <v>28170.962058141151</v>
      </c>
      <c r="U36" s="39">
        <f>T36/$T$39</f>
        <v>0.29284152129477004</v>
      </c>
      <c r="V36" s="40">
        <f t="shared" si="13"/>
        <v>23026.077742940914</v>
      </c>
      <c r="W36" s="40">
        <f t="shared" si="13"/>
        <v>1548.8195759489208</v>
      </c>
      <c r="X36" s="40">
        <f t="shared" si="13"/>
        <v>360.77865215162404</v>
      </c>
      <c r="Y36" s="40">
        <f t="shared" si="13"/>
        <v>702.42349977161382</v>
      </c>
      <c r="Z36" s="40">
        <f>(H36+H40)</f>
        <v>778.3542398645983</v>
      </c>
      <c r="AA36" s="40">
        <f t="shared" si="13"/>
        <v>368.66844978482544</v>
      </c>
      <c r="AB36" s="40">
        <f t="shared" si="13"/>
        <v>1128.3552921011737</v>
      </c>
      <c r="AC36" s="40">
        <f t="shared" si="13"/>
        <v>52.355932200829841</v>
      </c>
      <c r="AD36" s="40">
        <f t="shared" si="13"/>
        <v>176.8214383929124</v>
      </c>
      <c r="AE36" s="40">
        <f t="shared" si="13"/>
        <v>28.307234983740017</v>
      </c>
    </row>
    <row r="37" spans="1:31" s="39" customFormat="1">
      <c r="A37" s="98">
        <f t="shared" si="14"/>
        <v>2050</v>
      </c>
      <c r="B37" s="151"/>
      <c r="C37" s="39" t="s">
        <v>82</v>
      </c>
      <c r="D37" s="40">
        <v>6631.0607022979084</v>
      </c>
      <c r="E37" s="40">
        <v>266.34553281385843</v>
      </c>
      <c r="F37" s="40">
        <v>213.01558950547022</v>
      </c>
      <c r="G37" s="40">
        <v>945.30947891824883</v>
      </c>
      <c r="H37" s="40">
        <v>419.24078180312415</v>
      </c>
      <c r="I37" s="40">
        <v>0</v>
      </c>
      <c r="J37" s="40">
        <v>0</v>
      </c>
      <c r="K37" s="40">
        <v>0</v>
      </c>
      <c r="L37" s="40">
        <v>51.180777351759808</v>
      </c>
      <c r="M37" s="40">
        <v>1.2281451455068557</v>
      </c>
      <c r="O37" s="40">
        <v>8527.3810078358765</v>
      </c>
      <c r="P37" s="40"/>
      <c r="Q37" s="40"/>
      <c r="R37" s="40"/>
      <c r="S37" s="40">
        <f>SUM(D37:N37)+SUM(D41:N41)</f>
        <v>19564.204127403773</v>
      </c>
      <c r="T37" s="40">
        <f>O37+O41</f>
        <v>19564.204127403773</v>
      </c>
      <c r="U37" s="39">
        <f>T37/$T$39</f>
        <v>0.20337293727370773</v>
      </c>
      <c r="V37" s="40">
        <f t="shared" si="13"/>
        <v>16631.844032044508</v>
      </c>
      <c r="W37" s="40">
        <f t="shared" si="13"/>
        <v>445.30183146873367</v>
      </c>
      <c r="X37" s="40">
        <f t="shared" si="13"/>
        <v>356.13975250889621</v>
      </c>
      <c r="Y37" s="40">
        <f t="shared" si="13"/>
        <v>1568.4247072487601</v>
      </c>
      <c r="Z37" s="40">
        <f>(H37+H41)</f>
        <v>419.24078180312415</v>
      </c>
      <c r="AA37" s="40">
        <f t="shared" si="13"/>
        <v>0</v>
      </c>
      <c r="AB37" s="40">
        <f t="shared" si="13"/>
        <v>0</v>
      </c>
      <c r="AC37" s="40">
        <f t="shared" si="13"/>
        <v>0</v>
      </c>
      <c r="AD37" s="40">
        <f t="shared" si="13"/>
        <v>139.56396489302156</v>
      </c>
      <c r="AE37" s="40">
        <f t="shared" si="13"/>
        <v>3.6890574367307529</v>
      </c>
    </row>
    <row r="38" spans="1:31" s="39" customFormat="1">
      <c r="A38" s="98">
        <f t="shared" si="14"/>
        <v>2050</v>
      </c>
      <c r="B38" s="151"/>
      <c r="C38" s="39" t="s">
        <v>79</v>
      </c>
      <c r="D38" s="40">
        <v>12699.831565006334</v>
      </c>
      <c r="E38" s="40">
        <v>152.351488793763</v>
      </c>
      <c r="F38" s="40">
        <v>1668.7094275638058</v>
      </c>
      <c r="G38" s="40">
        <v>3288.4316687590799</v>
      </c>
      <c r="H38" s="40">
        <v>0</v>
      </c>
      <c r="I38" s="40">
        <v>0</v>
      </c>
      <c r="J38" s="40">
        <v>0</v>
      </c>
      <c r="K38" s="40">
        <v>0</v>
      </c>
      <c r="L38" s="40">
        <v>73.093380152284837</v>
      </c>
      <c r="M38" s="40">
        <v>0.59404218916268892</v>
      </c>
      <c r="O38" s="40">
        <v>17883.011572464431</v>
      </c>
      <c r="P38" s="40"/>
      <c r="Q38" s="40"/>
      <c r="R38" s="40"/>
      <c r="S38" s="40">
        <f>SUM(D38:N38)+SUM(D42:N42)</f>
        <v>40555.521915175159</v>
      </c>
      <c r="T38" s="40">
        <f>O38+O42</f>
        <v>40555.521915175159</v>
      </c>
      <c r="U38" s="39">
        <f>T38/$T$39</f>
        <v>0.42158094246238659</v>
      </c>
      <c r="V38" s="40">
        <f t="shared" si="13"/>
        <v>31853.74560445757</v>
      </c>
      <c r="W38" s="40">
        <f t="shared" si="13"/>
        <v>254.71573061547835</v>
      </c>
      <c r="X38" s="40">
        <f t="shared" si="13"/>
        <v>2789.9073674444649</v>
      </c>
      <c r="Y38" s="40">
        <f t="shared" si="13"/>
        <v>5456.0517929885864</v>
      </c>
      <c r="Z38" s="40">
        <f>(H38+H42)</f>
        <v>0</v>
      </c>
      <c r="AA38" s="40">
        <f t="shared" si="13"/>
        <v>0</v>
      </c>
      <c r="AB38" s="40">
        <f t="shared" si="13"/>
        <v>0</v>
      </c>
      <c r="AC38" s="40">
        <f t="shared" si="13"/>
        <v>0</v>
      </c>
      <c r="AD38" s="40">
        <f t="shared" si="13"/>
        <v>199.31705748379008</v>
      </c>
      <c r="AE38" s="40">
        <f t="shared" si="13"/>
        <v>1.7843621852676232</v>
      </c>
    </row>
    <row r="39" spans="1:31" s="39" customFormat="1">
      <c r="A39" s="98">
        <f t="shared" si="14"/>
        <v>2050</v>
      </c>
      <c r="B39" s="151" t="s">
        <v>4</v>
      </c>
      <c r="C39" s="39" t="s">
        <v>84</v>
      </c>
      <c r="D39" s="40">
        <v>2885.6591158330971</v>
      </c>
      <c r="E39" s="40">
        <v>216.71159977359247</v>
      </c>
      <c r="F39" s="40">
        <v>0</v>
      </c>
      <c r="G39" s="40">
        <v>0</v>
      </c>
      <c r="H39" s="40">
        <v>0</v>
      </c>
      <c r="I39" s="40">
        <v>0</v>
      </c>
      <c r="J39" s="40">
        <v>868.76070989404718</v>
      </c>
      <c r="K39" s="40">
        <v>278.67790788935577</v>
      </c>
      <c r="L39" s="40">
        <v>0</v>
      </c>
      <c r="M39" s="40">
        <v>5.7510291490861771</v>
      </c>
      <c r="O39" s="40">
        <v>4255.5603625391786</v>
      </c>
      <c r="P39" s="40"/>
      <c r="Q39" s="40"/>
      <c r="R39" s="40"/>
      <c r="T39" s="40">
        <f>SUM(T35:T38)</f>
        <v>96198.66040029435</v>
      </c>
    </row>
    <row r="40" spans="1:31" s="39" customFormat="1">
      <c r="A40" s="98">
        <f t="shared" si="14"/>
        <v>2050</v>
      </c>
      <c r="B40" s="151"/>
      <c r="C40" s="39" t="s">
        <v>83</v>
      </c>
      <c r="D40" s="40">
        <v>13845.69214611301</v>
      </c>
      <c r="E40" s="40">
        <v>622.43404138231801</v>
      </c>
      <c r="F40" s="40">
        <v>144.9884273096294</v>
      </c>
      <c r="G40" s="40">
        <v>279.06394066737056</v>
      </c>
      <c r="H40" s="40">
        <v>0</v>
      </c>
      <c r="I40" s="40">
        <v>0</v>
      </c>
      <c r="J40" s="40">
        <v>621.79589043122166</v>
      </c>
      <c r="K40" s="40">
        <v>21.586237580217567</v>
      </c>
      <c r="L40" s="40">
        <v>111.97763235499659</v>
      </c>
      <c r="M40" s="40">
        <v>18.883311983286198</v>
      </c>
      <c r="O40" s="40">
        <v>15666.421627822048</v>
      </c>
      <c r="P40" s="40"/>
      <c r="Q40" s="40"/>
      <c r="R40" s="40"/>
    </row>
    <row r="41" spans="1:31" s="39" customFormat="1">
      <c r="A41" s="98">
        <f t="shared" si="14"/>
        <v>2050</v>
      </c>
      <c r="B41" s="151"/>
      <c r="C41" s="39" t="s">
        <v>82</v>
      </c>
      <c r="D41" s="40">
        <v>10000.783329746599</v>
      </c>
      <c r="E41" s="40">
        <v>178.95629865487524</v>
      </c>
      <c r="F41" s="40">
        <v>143.12416300342602</v>
      </c>
      <c r="G41" s="40">
        <v>623.11522833051117</v>
      </c>
      <c r="H41" s="40">
        <v>0</v>
      </c>
      <c r="I41" s="40">
        <v>0</v>
      </c>
      <c r="J41" s="40">
        <v>0</v>
      </c>
      <c r="K41" s="40">
        <v>0</v>
      </c>
      <c r="L41" s="40">
        <v>88.383187541261762</v>
      </c>
      <c r="M41" s="40">
        <v>2.4609122912238974</v>
      </c>
      <c r="O41" s="40">
        <v>11036.823119567896</v>
      </c>
      <c r="P41" s="40"/>
      <c r="Q41" s="40"/>
      <c r="R41" s="40"/>
    </row>
    <row r="42" spans="1:31" s="39" customFormat="1">
      <c r="A42" s="98">
        <f t="shared" si="14"/>
        <v>2050</v>
      </c>
      <c r="B42" s="151"/>
      <c r="C42" s="39" t="s">
        <v>79</v>
      </c>
      <c r="D42" s="97">
        <v>19153.914039451236</v>
      </c>
      <c r="E42" s="97">
        <v>102.36424182171535</v>
      </c>
      <c r="F42" s="97">
        <v>1121.1979398806591</v>
      </c>
      <c r="G42" s="97">
        <v>2167.620124229506</v>
      </c>
      <c r="H42" s="97">
        <v>0</v>
      </c>
      <c r="I42" s="97">
        <v>0</v>
      </c>
      <c r="J42" s="97">
        <v>0</v>
      </c>
      <c r="K42" s="97">
        <v>0</v>
      </c>
      <c r="L42" s="97">
        <v>126.22367733150524</v>
      </c>
      <c r="M42" s="97">
        <v>1.1903199961049342</v>
      </c>
      <c r="N42" s="41"/>
      <c r="O42" s="40">
        <v>22672.510342710728</v>
      </c>
      <c r="P42" s="40"/>
      <c r="Q42" s="40"/>
      <c r="R42" s="40"/>
    </row>
    <row r="43" spans="1:31" s="39" customFormat="1"/>
    <row r="44" spans="1:31" s="39" customFormat="1">
      <c r="D44" s="40"/>
      <c r="E44" s="40"/>
      <c r="F44" s="40"/>
      <c r="G44" s="40"/>
      <c r="H44" s="40"/>
      <c r="I44" s="40"/>
      <c r="J44" s="40"/>
      <c r="K44" s="40"/>
      <c r="L44" s="40"/>
      <c r="M44" s="40"/>
    </row>
    <row r="45" spans="1:31" s="39" customFormat="1">
      <c r="D45" s="40"/>
      <c r="E45" s="40"/>
      <c r="F45" s="40"/>
      <c r="G45" s="40"/>
      <c r="H45" s="40"/>
      <c r="I45" s="40"/>
      <c r="J45" s="40"/>
      <c r="K45" s="40"/>
      <c r="L45" s="40"/>
      <c r="M45" s="40"/>
    </row>
    <row r="46" spans="1:31" s="39" customFormat="1">
      <c r="D46" s="39" t="s">
        <v>72</v>
      </c>
      <c r="E46" s="39" t="s">
        <v>71</v>
      </c>
      <c r="F46" s="39" t="s">
        <v>70</v>
      </c>
      <c r="G46" s="39" t="s">
        <v>69</v>
      </c>
      <c r="H46" s="39" t="s">
        <v>68</v>
      </c>
      <c r="I46" s="39" t="s">
        <v>67</v>
      </c>
      <c r="J46" s="39" t="s">
        <v>66</v>
      </c>
      <c r="K46" s="39" t="s">
        <v>65</v>
      </c>
      <c r="L46" s="39" t="s">
        <v>64</v>
      </c>
      <c r="M46" s="39" t="s">
        <v>63</v>
      </c>
      <c r="N46" s="39" t="s">
        <v>344</v>
      </c>
      <c r="O46" s="39" t="s">
        <v>358</v>
      </c>
      <c r="P46" s="39" t="s">
        <v>359</v>
      </c>
      <c r="Q46" s="39" t="s">
        <v>360</v>
      </c>
      <c r="R46" s="39" t="s">
        <v>354</v>
      </c>
      <c r="S46" s="39" t="s">
        <v>355</v>
      </c>
      <c r="T46" s="39" t="s">
        <v>361</v>
      </c>
      <c r="U46" s="39" t="s">
        <v>362</v>
      </c>
      <c r="V46" s="39" t="s">
        <v>356</v>
      </c>
      <c r="W46" s="39" t="s">
        <v>357</v>
      </c>
    </row>
    <row r="47" spans="1:31" s="39" customFormat="1">
      <c r="A47" s="98">
        <v>2010</v>
      </c>
      <c r="C47" s="39" t="s">
        <v>84</v>
      </c>
      <c r="D47" s="40">
        <f>D3+D7</f>
        <v>3299.24246603142</v>
      </c>
      <c r="E47" s="40">
        <f t="shared" ref="E47:M47" si="15">E3+E7</f>
        <v>589.71317344623299</v>
      </c>
      <c r="F47" s="40">
        <f t="shared" si="15"/>
        <v>0</v>
      </c>
      <c r="G47" s="40">
        <f t="shared" si="15"/>
        <v>0</v>
      </c>
      <c r="H47" s="40">
        <f t="shared" si="15"/>
        <v>91.377594180506193</v>
      </c>
      <c r="I47" s="40">
        <f t="shared" si="15"/>
        <v>92.307668078761495</v>
      </c>
      <c r="J47" s="40">
        <f t="shared" si="15"/>
        <v>1374.569890215354</v>
      </c>
      <c r="K47" s="40">
        <f t="shared" si="15"/>
        <v>538.26410683322797</v>
      </c>
      <c r="L47" s="40">
        <f t="shared" si="15"/>
        <v>0</v>
      </c>
      <c r="M47" s="40">
        <f t="shared" si="15"/>
        <v>15.858977542109159</v>
      </c>
      <c r="N47" s="40">
        <f>D3</f>
        <v>1315.3945644862199</v>
      </c>
      <c r="O47" s="40">
        <f t="shared" ref="O47:W50" si="16">E3</f>
        <v>352.72136400345499</v>
      </c>
      <c r="P47" s="40">
        <f t="shared" si="16"/>
        <v>0</v>
      </c>
      <c r="Q47" s="40">
        <f t="shared" si="16"/>
        <v>0</v>
      </c>
      <c r="R47" s="40">
        <f t="shared" si="16"/>
        <v>91.377594180506193</v>
      </c>
      <c r="S47" s="40">
        <f t="shared" si="16"/>
        <v>92.307668078761495</v>
      </c>
      <c r="T47" s="40">
        <f t="shared" si="16"/>
        <v>617.09401818322704</v>
      </c>
      <c r="U47" s="40">
        <f t="shared" si="16"/>
        <v>316.33898005988499</v>
      </c>
      <c r="V47" s="40">
        <f t="shared" si="16"/>
        <v>0</v>
      </c>
      <c r="W47" s="40">
        <f t="shared" si="16"/>
        <v>5.2797026381633598</v>
      </c>
      <c r="X47" s="40"/>
    </row>
    <row r="48" spans="1:31" s="39" customFormat="1">
      <c r="A48" s="98">
        <f t="shared" ref="A48:A50" si="17">A47</f>
        <v>2010</v>
      </c>
      <c r="C48" s="39" t="s">
        <v>83</v>
      </c>
      <c r="D48" s="40">
        <f t="shared" ref="D48:M50" si="18">D4+D8</f>
        <v>15830.087400313731</v>
      </c>
      <c r="E48" s="40">
        <f t="shared" si="18"/>
        <v>1693.7605286842559</v>
      </c>
      <c r="F48" s="40">
        <f t="shared" si="18"/>
        <v>394.54088138829201</v>
      </c>
      <c r="G48" s="40">
        <f t="shared" si="18"/>
        <v>413.37799421160599</v>
      </c>
      <c r="H48" s="40">
        <f t="shared" si="18"/>
        <v>771.59001262391996</v>
      </c>
      <c r="I48" s="40">
        <f t="shared" si="18"/>
        <v>157.192375721144</v>
      </c>
      <c r="J48" s="40">
        <f t="shared" si="18"/>
        <v>983.81740692513608</v>
      </c>
      <c r="K48" s="40">
        <f t="shared" si="18"/>
        <v>41.693641878562104</v>
      </c>
      <c r="L48" s="40">
        <f t="shared" si="18"/>
        <v>159.77971128567219</v>
      </c>
      <c r="M48" s="40">
        <f t="shared" si="18"/>
        <v>52.072422674324699</v>
      </c>
      <c r="N48" s="40">
        <f t="shared" ref="N48:N50" si="19">D4</f>
        <v>6311.3791236512097</v>
      </c>
      <c r="O48" s="40">
        <f t="shared" si="16"/>
        <v>1013.07813844724</v>
      </c>
      <c r="P48" s="40">
        <f t="shared" si="16"/>
        <v>235.984210807344</v>
      </c>
      <c r="Q48" s="40">
        <f t="shared" si="16"/>
        <v>249.14816407726099</v>
      </c>
      <c r="R48" s="40">
        <f t="shared" si="16"/>
        <v>771.59001262391996</v>
      </c>
      <c r="S48" s="40">
        <f t="shared" si="16"/>
        <v>157.192375721144</v>
      </c>
      <c r="T48" s="40">
        <f t="shared" si="16"/>
        <v>441.67113008922303</v>
      </c>
      <c r="U48" s="40">
        <f t="shared" si="16"/>
        <v>24.5034435315468</v>
      </c>
      <c r="V48" s="40">
        <f t="shared" si="16"/>
        <v>58.5942785081292</v>
      </c>
      <c r="W48" s="40">
        <f t="shared" si="16"/>
        <v>17.335727138726199</v>
      </c>
      <c r="X48" s="40"/>
    </row>
    <row r="49" spans="1:24" s="39" customFormat="1">
      <c r="A49" s="98">
        <f t="shared" si="17"/>
        <v>2010</v>
      </c>
      <c r="C49" s="39" t="s">
        <v>82</v>
      </c>
      <c r="D49" s="40">
        <f t="shared" si="18"/>
        <v>11434.14643148964</v>
      </c>
      <c r="E49" s="40">
        <f t="shared" si="18"/>
        <v>486.97387171804701</v>
      </c>
      <c r="F49" s="40">
        <f t="shared" si="18"/>
        <v>389.46786627833899</v>
      </c>
      <c r="G49" s="40">
        <f t="shared" si="18"/>
        <v>923.02188034031201</v>
      </c>
      <c r="H49" s="40">
        <f t="shared" si="18"/>
        <v>415.59740225762403</v>
      </c>
      <c r="I49" s="40">
        <f t="shared" si="18"/>
        <v>0</v>
      </c>
      <c r="J49" s="40">
        <f t="shared" si="18"/>
        <v>0</v>
      </c>
      <c r="K49" s="40">
        <f t="shared" si="18"/>
        <v>0</v>
      </c>
      <c r="L49" s="40">
        <f t="shared" si="18"/>
        <v>126.1130449970625</v>
      </c>
      <c r="M49" s="40">
        <f t="shared" si="18"/>
        <v>6.78618587176204</v>
      </c>
      <c r="N49" s="40">
        <f t="shared" si="19"/>
        <v>4558.75601767836</v>
      </c>
      <c r="O49" s="40">
        <f t="shared" si="16"/>
        <v>291.27056338702198</v>
      </c>
      <c r="P49" s="40">
        <f t="shared" si="16"/>
        <v>232.949920766415</v>
      </c>
      <c r="Q49" s="40">
        <f t="shared" si="16"/>
        <v>556.31700310638701</v>
      </c>
      <c r="R49" s="40">
        <f t="shared" si="16"/>
        <v>415.59740225762403</v>
      </c>
      <c r="S49" s="40">
        <f t="shared" si="16"/>
        <v>0</v>
      </c>
      <c r="T49" s="40">
        <f t="shared" si="16"/>
        <v>0</v>
      </c>
      <c r="U49" s="40">
        <f t="shared" si="16"/>
        <v>0</v>
      </c>
      <c r="V49" s="40">
        <f t="shared" si="16"/>
        <v>46.248067558804799</v>
      </c>
      <c r="W49" s="40">
        <f t="shared" si="16"/>
        <v>2.2592278320008301</v>
      </c>
      <c r="X49" s="40"/>
    </row>
    <row r="50" spans="1:24" s="39" customFormat="1">
      <c r="A50" s="98">
        <f t="shared" si="17"/>
        <v>2010</v>
      </c>
      <c r="C50" s="39" t="s">
        <v>79</v>
      </c>
      <c r="D50" s="40">
        <f t="shared" si="18"/>
        <v>21898.978305174423</v>
      </c>
      <c r="E50" s="40">
        <f t="shared" si="18"/>
        <v>278.55242615147404</v>
      </c>
      <c r="F50" s="40">
        <f t="shared" si="18"/>
        <v>3050.9912523333701</v>
      </c>
      <c r="G50" s="40">
        <f t="shared" si="18"/>
        <v>3210.9001866161698</v>
      </c>
      <c r="H50" s="40">
        <f t="shared" si="18"/>
        <v>0</v>
      </c>
      <c r="I50" s="40">
        <f t="shared" si="18"/>
        <v>0</v>
      </c>
      <c r="J50" s="40">
        <f t="shared" si="18"/>
        <v>0</v>
      </c>
      <c r="K50" s="40">
        <f t="shared" si="18"/>
        <v>0</v>
      </c>
      <c r="L50" s="40">
        <f t="shared" si="18"/>
        <v>180.10724371726542</v>
      </c>
      <c r="M50" s="40">
        <f t="shared" si="18"/>
        <v>3.2824139118041504</v>
      </c>
      <c r="N50" s="40">
        <f t="shared" si="19"/>
        <v>8730.9460989267209</v>
      </c>
      <c r="O50" s="40">
        <f t="shared" si="16"/>
        <v>166.60877884827801</v>
      </c>
      <c r="P50" s="40">
        <f t="shared" si="16"/>
        <v>1824.8698596924801</v>
      </c>
      <c r="Q50" s="40">
        <f t="shared" si="16"/>
        <v>1935.2502981115199</v>
      </c>
      <c r="R50" s="40">
        <f t="shared" si="16"/>
        <v>0</v>
      </c>
      <c r="S50" s="40">
        <f t="shared" si="16"/>
        <v>0</v>
      </c>
      <c r="T50" s="40">
        <f t="shared" si="16"/>
        <v>0</v>
      </c>
      <c r="U50" s="40">
        <f t="shared" si="16"/>
        <v>0</v>
      </c>
      <c r="V50" s="40">
        <f t="shared" si="16"/>
        <v>66.048773744700398</v>
      </c>
      <c r="W50" s="40">
        <f t="shared" si="16"/>
        <v>1.0927671310260101</v>
      </c>
      <c r="X50" s="40"/>
    </row>
    <row r="51" spans="1:24" s="39" customFormat="1">
      <c r="A51" s="98">
        <v>2020</v>
      </c>
      <c r="C51" s="39" t="s">
        <v>84</v>
      </c>
      <c r="D51" s="40">
        <f>D15+D11</f>
        <v>4032.4863548143267</v>
      </c>
      <c r="E51" s="40">
        <f t="shared" ref="E51:M51" si="20">E15+E11</f>
        <v>638.71316403473475</v>
      </c>
      <c r="F51" s="40">
        <f t="shared" si="20"/>
        <v>0</v>
      </c>
      <c r="G51" s="40">
        <f t="shared" si="20"/>
        <v>0</v>
      </c>
      <c r="H51" s="40">
        <f t="shared" si="20"/>
        <v>88.762679879882455</v>
      </c>
      <c r="I51" s="40">
        <f t="shared" si="20"/>
        <v>199.97732779611337</v>
      </c>
      <c r="J51" s="40">
        <f t="shared" si="20"/>
        <v>1540.4888702842877</v>
      </c>
      <c r="K51" s="40">
        <f t="shared" si="20"/>
        <v>568.84274385244737</v>
      </c>
      <c r="L51" s="40">
        <f t="shared" si="20"/>
        <v>0</v>
      </c>
      <c r="M51" s="40">
        <f t="shared" si="20"/>
        <v>10.547236666627084</v>
      </c>
      <c r="N51" s="40">
        <f>D11</f>
        <v>1607.7359233521399</v>
      </c>
      <c r="O51" s="40">
        <f t="shared" ref="O51:W54" si="21">E11</f>
        <v>382.02941458596183</v>
      </c>
      <c r="P51" s="40">
        <f t="shared" si="21"/>
        <v>0</v>
      </c>
      <c r="Q51" s="40">
        <f t="shared" si="21"/>
        <v>0</v>
      </c>
      <c r="R51" s="40">
        <f t="shared" si="21"/>
        <v>88.762679879882455</v>
      </c>
      <c r="S51" s="40">
        <f t="shared" si="21"/>
        <v>199.97732779611337</v>
      </c>
      <c r="T51" s="40">
        <f t="shared" si="21"/>
        <v>691.58103469103082</v>
      </c>
      <c r="U51" s="40">
        <f t="shared" si="21"/>
        <v>334.31011118953018</v>
      </c>
      <c r="V51" s="40">
        <f t="shared" si="21"/>
        <v>0</v>
      </c>
      <c r="W51" s="40">
        <f t="shared" si="21"/>
        <v>3.5113406968554393</v>
      </c>
      <c r="X51" s="40"/>
    </row>
    <row r="52" spans="1:24" s="39" customFormat="1">
      <c r="A52" s="98">
        <f t="shared" ref="A52:A54" si="22">A51</f>
        <v>2020</v>
      </c>
      <c r="C52" s="39" t="s">
        <v>83</v>
      </c>
      <c r="D52" s="40">
        <f t="shared" ref="D52:M54" si="23">D16+D12</f>
        <v>19348.263152683183</v>
      </c>
      <c r="E52" s="40">
        <f t="shared" si="23"/>
        <v>1834.4971676161849</v>
      </c>
      <c r="F52" s="40">
        <f t="shared" si="23"/>
        <v>427.32376694234546</v>
      </c>
      <c r="G52" s="40">
        <f t="shared" si="23"/>
        <v>527.42105488725451</v>
      </c>
      <c r="H52" s="40">
        <f t="shared" si="23"/>
        <v>749.50974473852216</v>
      </c>
      <c r="I52" s="40">
        <f t="shared" si="23"/>
        <v>340.54496122483778</v>
      </c>
      <c r="J52" s="40">
        <f t="shared" si="23"/>
        <v>1102.5701759862334</v>
      </c>
      <c r="K52" s="40">
        <f t="shared" si="23"/>
        <v>44.062246295666377</v>
      </c>
      <c r="L52" s="40">
        <f t="shared" si="23"/>
        <v>173.92330160870648</v>
      </c>
      <c r="M52" s="40">
        <f t="shared" si="23"/>
        <v>34.631499054238382</v>
      </c>
      <c r="N52" s="40">
        <f t="shared" ref="N52:N54" si="24">D12</f>
        <v>7714.0587447631178</v>
      </c>
      <c r="O52" s="40">
        <f t="shared" si="21"/>
        <v>1097.2560430364067</v>
      </c>
      <c r="P52" s="40">
        <f t="shared" si="21"/>
        <v>255.59242820737325</v>
      </c>
      <c r="Q52" s="40">
        <f t="shared" si="21"/>
        <v>317.88336428374492</v>
      </c>
      <c r="R52" s="40">
        <f t="shared" si="21"/>
        <v>749.50974473852216</v>
      </c>
      <c r="S52" s="40">
        <f t="shared" si="21"/>
        <v>340.54496122483778</v>
      </c>
      <c r="T52" s="40">
        <f t="shared" si="21"/>
        <v>494.98353271926771</v>
      </c>
      <c r="U52" s="40">
        <f t="shared" si="21"/>
        <v>25.895477471688864</v>
      </c>
      <c r="V52" s="40">
        <f t="shared" si="21"/>
        <v>63.781003805254372</v>
      </c>
      <c r="W52" s="40">
        <f t="shared" si="21"/>
        <v>11.529369811813096</v>
      </c>
      <c r="X52" s="40"/>
    </row>
    <row r="53" spans="1:24">
      <c r="A53" s="98">
        <f t="shared" si="22"/>
        <v>2020</v>
      </c>
      <c r="C53" s="39" t="s">
        <v>82</v>
      </c>
      <c r="D53" s="40">
        <f t="shared" si="23"/>
        <v>13975.341290812483</v>
      </c>
      <c r="E53" s="40">
        <f t="shared" si="23"/>
        <v>527.4371277643462</v>
      </c>
      <c r="F53" s="40">
        <f t="shared" si="23"/>
        <v>421.82922878723076</v>
      </c>
      <c r="G53" s="40">
        <f t="shared" si="23"/>
        <v>1177.6659150460325</v>
      </c>
      <c r="H53" s="40">
        <f t="shared" si="23"/>
        <v>403.70442564544948</v>
      </c>
      <c r="I53" s="40">
        <f t="shared" si="23"/>
        <v>0</v>
      </c>
      <c r="J53" s="40">
        <f t="shared" si="23"/>
        <v>0</v>
      </c>
      <c r="K53" s="40">
        <f t="shared" si="23"/>
        <v>0</v>
      </c>
      <c r="L53" s="40">
        <f t="shared" si="23"/>
        <v>137.27648513896986</v>
      </c>
      <c r="M53" s="40">
        <f t="shared" si="23"/>
        <v>4.5132486166366128</v>
      </c>
      <c r="N53" s="40">
        <f t="shared" si="24"/>
        <v>5571.9219261651615</v>
      </c>
      <c r="O53" s="40">
        <f t="shared" si="21"/>
        <v>315.47259160569968</v>
      </c>
      <c r="P53" s="40">
        <f t="shared" si="21"/>
        <v>252.30601528680864</v>
      </c>
      <c r="Q53" s="40">
        <f t="shared" si="21"/>
        <v>709.79419499502899</v>
      </c>
      <c r="R53" s="40">
        <f t="shared" si="21"/>
        <v>403.70442564544948</v>
      </c>
      <c r="S53" s="40">
        <f t="shared" si="21"/>
        <v>0</v>
      </c>
      <c r="T53" s="40">
        <f t="shared" si="21"/>
        <v>0</v>
      </c>
      <c r="U53" s="40">
        <f t="shared" si="21"/>
        <v>0</v>
      </c>
      <c r="V53" s="40">
        <f t="shared" si="21"/>
        <v>50.341914740780545</v>
      </c>
      <c r="W53" s="40">
        <f t="shared" si="21"/>
        <v>1.502531330577475</v>
      </c>
      <c r="X53" s="40"/>
    </row>
    <row r="54" spans="1:24">
      <c r="A54" s="98">
        <f t="shared" si="22"/>
        <v>2020</v>
      </c>
      <c r="C54" s="39" t="s">
        <v>79</v>
      </c>
      <c r="D54" s="40">
        <f t="shared" si="23"/>
        <v>26765.941609079011</v>
      </c>
      <c r="E54" s="40">
        <f t="shared" si="23"/>
        <v>301.69768875441468</v>
      </c>
      <c r="F54" s="40">
        <f t="shared" si="23"/>
        <v>3304.5018561007573</v>
      </c>
      <c r="G54" s="40">
        <f t="shared" si="23"/>
        <v>4096.7259681846799</v>
      </c>
      <c r="H54" s="40">
        <f t="shared" si="23"/>
        <v>0</v>
      </c>
      <c r="I54" s="40">
        <f t="shared" si="23"/>
        <v>0</v>
      </c>
      <c r="J54" s="40">
        <f t="shared" si="23"/>
        <v>0</v>
      </c>
      <c r="K54" s="40">
        <f t="shared" si="23"/>
        <v>0</v>
      </c>
      <c r="L54" s="40">
        <f t="shared" si="23"/>
        <v>196.05021325232377</v>
      </c>
      <c r="M54" s="40">
        <f t="shared" si="23"/>
        <v>2.1830156624979526</v>
      </c>
      <c r="N54" s="40">
        <f t="shared" si="24"/>
        <v>10671.365130339011</v>
      </c>
      <c r="O54" s="40">
        <f t="shared" si="21"/>
        <v>180.45250655037205</v>
      </c>
      <c r="P54" s="40">
        <f t="shared" si="21"/>
        <v>1976.5005336820359</v>
      </c>
      <c r="Q54" s="40">
        <f t="shared" si="21"/>
        <v>2469.1487403617448</v>
      </c>
      <c r="R54" s="40">
        <f t="shared" si="21"/>
        <v>0</v>
      </c>
      <c r="S54" s="40">
        <f t="shared" si="21"/>
        <v>0</v>
      </c>
      <c r="T54" s="40">
        <f t="shared" si="21"/>
        <v>0</v>
      </c>
      <c r="U54" s="40">
        <f t="shared" si="21"/>
        <v>0</v>
      </c>
      <c r="V54" s="40">
        <f t="shared" si="21"/>
        <v>71.895365841200174</v>
      </c>
      <c r="W54" s="40">
        <f t="shared" si="21"/>
        <v>0.72676019130736247</v>
      </c>
      <c r="X54" s="40"/>
    </row>
    <row r="55" spans="1:24">
      <c r="A55" s="98">
        <v>2030</v>
      </c>
      <c r="C55" s="39" t="s">
        <v>84</v>
      </c>
      <c r="D55" s="40">
        <f>D19+D23</f>
        <v>4204.7338499674815</v>
      </c>
      <c r="E55" s="40">
        <f t="shared" ref="E55:M55" si="25">E19+E23</f>
        <v>656.41985179441906</v>
      </c>
      <c r="F55" s="40">
        <f t="shared" si="25"/>
        <v>0</v>
      </c>
      <c r="G55" s="40">
        <f t="shared" si="25"/>
        <v>0</v>
      </c>
      <c r="H55" s="40">
        <f t="shared" si="25"/>
        <v>92.588531248143184</v>
      </c>
      <c r="I55" s="40">
        <f t="shared" si="25"/>
        <v>217.38346756833559</v>
      </c>
      <c r="J55" s="40">
        <f t="shared" si="25"/>
        <v>1578.4945659023358</v>
      </c>
      <c r="K55" s="40">
        <f t="shared" si="25"/>
        <v>607.88098656458271</v>
      </c>
      <c r="L55" s="40">
        <f t="shared" si="25"/>
        <v>0</v>
      </c>
      <c r="M55" s="40">
        <f t="shared" si="25"/>
        <v>9.5841898492004933</v>
      </c>
      <c r="N55" s="40">
        <f>D19</f>
        <v>1676.4102997290195</v>
      </c>
      <c r="O55" s="40">
        <f t="shared" ref="O55:W58" si="26">E19</f>
        <v>392.62020234483248</v>
      </c>
      <c r="P55" s="40">
        <f t="shared" si="26"/>
        <v>0</v>
      </c>
      <c r="Q55" s="40">
        <f t="shared" si="26"/>
        <v>0</v>
      </c>
      <c r="R55" s="40">
        <f t="shared" si="26"/>
        <v>92.588531248143184</v>
      </c>
      <c r="S55" s="40">
        <f t="shared" si="26"/>
        <v>217.38346756833559</v>
      </c>
      <c r="T55" s="40">
        <f t="shared" si="26"/>
        <v>708.64316269902577</v>
      </c>
      <c r="U55" s="40">
        <f t="shared" si="26"/>
        <v>357.25297088630981</v>
      </c>
      <c r="V55" s="40">
        <f t="shared" si="26"/>
        <v>0</v>
      </c>
      <c r="W55" s="40">
        <f t="shared" si="26"/>
        <v>3.1907272897715813</v>
      </c>
      <c r="X55" s="40"/>
    </row>
    <row r="56" spans="1:24">
      <c r="A56" s="98">
        <f t="shared" ref="A56:A58" si="27">A55</f>
        <v>2030</v>
      </c>
      <c r="C56" s="39" t="s">
        <v>83</v>
      </c>
      <c r="D56" s="40">
        <f t="shared" ref="D56:M58" si="28">D20+D24</f>
        <v>20174.723447988312</v>
      </c>
      <c r="E56" s="40">
        <f t="shared" si="28"/>
        <v>1885.3539064029846</v>
      </c>
      <c r="F56" s="40">
        <f t="shared" si="28"/>
        <v>439.17022469459039</v>
      </c>
      <c r="G56" s="40">
        <f t="shared" si="28"/>
        <v>550.24186533833961</v>
      </c>
      <c r="H56" s="40">
        <f t="shared" si="28"/>
        <v>781.81513351579963</v>
      </c>
      <c r="I56" s="40">
        <f t="shared" si="28"/>
        <v>370.18618735347656</v>
      </c>
      <c r="J56" s="40">
        <f t="shared" si="28"/>
        <v>1129.7718957223437</v>
      </c>
      <c r="K56" s="40">
        <f t="shared" si="28"/>
        <v>47.086127120237983</v>
      </c>
      <c r="L56" s="40">
        <f t="shared" si="28"/>
        <v>175.37237000080944</v>
      </c>
      <c r="M56" s="40">
        <f t="shared" si="28"/>
        <v>31.4693670189892</v>
      </c>
      <c r="N56" s="40">
        <f t="shared" ref="N56:N58" si="29">D20</f>
        <v>8043.5644589395306</v>
      </c>
      <c r="O56" s="40">
        <f t="shared" si="26"/>
        <v>1127.6746585284395</v>
      </c>
      <c r="P56" s="40">
        <f t="shared" si="26"/>
        <v>262.67807411988076</v>
      </c>
      <c r="Q56" s="40">
        <f t="shared" si="26"/>
        <v>331.63775640490007</v>
      </c>
      <c r="R56" s="40">
        <f t="shared" si="26"/>
        <v>781.81513351579963</v>
      </c>
      <c r="S56" s="40">
        <f t="shared" si="26"/>
        <v>370.18618735347656</v>
      </c>
      <c r="T56" s="40">
        <f t="shared" si="26"/>
        <v>507.19536614653737</v>
      </c>
      <c r="U56" s="40">
        <f t="shared" si="26"/>
        <v>27.672618774116458</v>
      </c>
      <c r="V56" s="40">
        <f t="shared" si="26"/>
        <v>64.312404921585099</v>
      </c>
      <c r="W56" s="40">
        <f t="shared" si="26"/>
        <v>10.476646406133458</v>
      </c>
      <c r="X56" s="40"/>
    </row>
    <row r="57" spans="1:24">
      <c r="A57" s="98">
        <f t="shared" si="27"/>
        <v>2030</v>
      </c>
      <c r="C57" s="39" t="s">
        <v>82</v>
      </c>
      <c r="D57" s="40">
        <f t="shared" si="28"/>
        <v>14572.297441297396</v>
      </c>
      <c r="E57" s="40">
        <f t="shared" si="28"/>
        <v>542.05897221670216</v>
      </c>
      <c r="F57" s="40">
        <f t="shared" si="28"/>
        <v>433.52336453176622</v>
      </c>
      <c r="G57" s="40">
        <f t="shared" si="28"/>
        <v>1228.6219593164196</v>
      </c>
      <c r="H57" s="40">
        <f t="shared" si="28"/>
        <v>421.10490444260455</v>
      </c>
      <c r="I57" s="40">
        <f t="shared" si="28"/>
        <v>0</v>
      </c>
      <c r="J57" s="40">
        <f t="shared" si="28"/>
        <v>0</v>
      </c>
      <c r="K57" s="40">
        <f t="shared" si="28"/>
        <v>0</v>
      </c>
      <c r="L57" s="40">
        <f t="shared" si="28"/>
        <v>138.4202250159957</v>
      </c>
      <c r="M57" s="40">
        <f t="shared" si="28"/>
        <v>4.1011530266836829</v>
      </c>
      <c r="N57" s="40">
        <f t="shared" si="29"/>
        <v>5809.9263508608728</v>
      </c>
      <c r="O57" s="40">
        <f t="shared" si="26"/>
        <v>324.21826179200684</v>
      </c>
      <c r="P57" s="40">
        <f t="shared" si="26"/>
        <v>259.30055381229096</v>
      </c>
      <c r="Q57" s="40">
        <f t="shared" si="26"/>
        <v>740.50604965681293</v>
      </c>
      <c r="R57" s="40">
        <f t="shared" si="26"/>
        <v>421.10490444260455</v>
      </c>
      <c r="S57" s="40">
        <f t="shared" si="26"/>
        <v>0</v>
      </c>
      <c r="T57" s="40">
        <f t="shared" si="26"/>
        <v>0</v>
      </c>
      <c r="U57" s="40">
        <f t="shared" si="26"/>
        <v>0</v>
      </c>
      <c r="V57" s="40">
        <f t="shared" si="26"/>
        <v>50.76134604627017</v>
      </c>
      <c r="W57" s="40">
        <f t="shared" si="26"/>
        <v>1.3653382380421655</v>
      </c>
      <c r="X57" s="40"/>
    </row>
    <row r="58" spans="1:24">
      <c r="A58" s="98">
        <f t="shared" si="27"/>
        <v>2030</v>
      </c>
      <c r="C58" s="39" t="s">
        <v>79</v>
      </c>
      <c r="D58" s="40">
        <f t="shared" si="28"/>
        <v>27909.24774626537</v>
      </c>
      <c r="E58" s="40">
        <f t="shared" si="28"/>
        <v>310.06148501445597</v>
      </c>
      <c r="F58" s="40">
        <f t="shared" si="28"/>
        <v>3396.1107125671806</v>
      </c>
      <c r="G58" s="40">
        <f t="shared" si="28"/>
        <v>4273.9858745226365</v>
      </c>
      <c r="H58" s="40">
        <f t="shared" si="28"/>
        <v>0</v>
      </c>
      <c r="I58" s="40">
        <f t="shared" si="28"/>
        <v>0</v>
      </c>
      <c r="J58" s="40">
        <f t="shared" si="28"/>
        <v>0</v>
      </c>
      <c r="K58" s="40">
        <f t="shared" si="28"/>
        <v>0</v>
      </c>
      <c r="L58" s="40">
        <f t="shared" si="28"/>
        <v>197.68363536805691</v>
      </c>
      <c r="M58" s="40">
        <f t="shared" si="28"/>
        <v>1.9836889238827879</v>
      </c>
      <c r="N58" s="40">
        <f t="shared" si="29"/>
        <v>11127.192069808034</v>
      </c>
      <c r="O58" s="40">
        <f t="shared" si="26"/>
        <v>185.45509044696144</v>
      </c>
      <c r="P58" s="40">
        <f t="shared" si="26"/>
        <v>2031.2939523516625</v>
      </c>
      <c r="Q58" s="40">
        <f t="shared" si="26"/>
        <v>2575.9855358540603</v>
      </c>
      <c r="R58" s="40">
        <f t="shared" si="26"/>
        <v>0</v>
      </c>
      <c r="S58" s="40">
        <f t="shared" si="26"/>
        <v>0</v>
      </c>
      <c r="T58" s="40">
        <f t="shared" si="26"/>
        <v>0</v>
      </c>
      <c r="U58" s="40">
        <f t="shared" si="26"/>
        <v>0</v>
      </c>
      <c r="V58" s="40">
        <f t="shared" si="26"/>
        <v>72.494372996742499</v>
      </c>
      <c r="W58" s="40">
        <f t="shared" si="26"/>
        <v>0.66040119023502575</v>
      </c>
      <c r="X58" s="40"/>
    </row>
    <row r="59" spans="1:24">
      <c r="A59" s="98">
        <v>2040</v>
      </c>
      <c r="C59" s="39" t="s">
        <v>84</v>
      </c>
      <c r="D59" s="40">
        <f>D31+D27</f>
        <v>4519.792673212085</v>
      </c>
      <c r="E59" s="40">
        <f t="shared" ref="E59:M59" si="30">E31+E27</f>
        <v>586.98368906893666</v>
      </c>
      <c r="F59" s="40">
        <f t="shared" si="30"/>
        <v>0</v>
      </c>
      <c r="G59" s="40">
        <f t="shared" si="30"/>
        <v>0</v>
      </c>
      <c r="H59" s="40">
        <f t="shared" si="30"/>
        <v>91.609442018766799</v>
      </c>
      <c r="I59" s="40">
        <f t="shared" si="30"/>
        <v>216.4922105014773</v>
      </c>
      <c r="J59" s="40">
        <f t="shared" si="30"/>
        <v>1571.9874476678788</v>
      </c>
      <c r="K59" s="40">
        <f t="shared" si="30"/>
        <v>641.10626135548523</v>
      </c>
      <c r="L59" s="40">
        <f t="shared" si="30"/>
        <v>0</v>
      </c>
      <c r="M59" s="40">
        <f t="shared" si="30"/>
        <v>9.0208435745670812</v>
      </c>
      <c r="N59" s="40">
        <f>D27</f>
        <v>1802.0229722913609</v>
      </c>
      <c r="O59" s="40">
        <f t="shared" ref="O59:W62" si="31">E27</f>
        <v>351.08879499204926</v>
      </c>
      <c r="P59" s="40">
        <f t="shared" si="31"/>
        <v>0</v>
      </c>
      <c r="Q59" s="40">
        <f t="shared" si="31"/>
        <v>0</v>
      </c>
      <c r="R59" s="40">
        <f t="shared" si="31"/>
        <v>91.609442018766799</v>
      </c>
      <c r="S59" s="40">
        <f t="shared" si="31"/>
        <v>216.4922105014773</v>
      </c>
      <c r="T59" s="40">
        <f t="shared" si="31"/>
        <v>705.72188254682828</v>
      </c>
      <c r="U59" s="40">
        <f t="shared" si="31"/>
        <v>376.77953676007701</v>
      </c>
      <c r="V59" s="40">
        <f t="shared" si="31"/>
        <v>0</v>
      </c>
      <c r="W59" s="40">
        <f t="shared" si="31"/>
        <v>3.0031804693990773</v>
      </c>
      <c r="X59" s="40"/>
    </row>
    <row r="60" spans="1:24">
      <c r="A60" s="98">
        <f t="shared" ref="A60:A62" si="32">A59</f>
        <v>2040</v>
      </c>
      <c r="C60" s="39" t="s">
        <v>83</v>
      </c>
      <c r="D60" s="40">
        <f t="shared" ref="D60:M62" si="33">D32+D28</f>
        <v>21686.406435689823</v>
      </c>
      <c r="E60" s="40">
        <f t="shared" si="33"/>
        <v>1685.9209668258902</v>
      </c>
      <c r="F60" s="40">
        <f t="shared" si="33"/>
        <v>392.71475095667762</v>
      </c>
      <c r="G60" s="40">
        <f t="shared" si="33"/>
        <v>633.99109322331378</v>
      </c>
      <c r="H60" s="40">
        <f t="shared" si="33"/>
        <v>773.5477296994751</v>
      </c>
      <c r="I60" s="40">
        <f t="shared" si="33"/>
        <v>368.66844978482544</v>
      </c>
      <c r="J60" s="40">
        <f t="shared" si="33"/>
        <v>1125.1145725599863</v>
      </c>
      <c r="K60" s="40">
        <f t="shared" si="33"/>
        <v>49.659738644511336</v>
      </c>
      <c r="L60" s="40">
        <f t="shared" si="33"/>
        <v>176.22002067117</v>
      </c>
      <c r="M60" s="40">
        <f t="shared" si="33"/>
        <v>29.619638356039356</v>
      </c>
      <c r="N60" s="40">
        <f t="shared" ref="N60:N62" si="34">D28</f>
        <v>8646.265139541516</v>
      </c>
      <c r="O60" s="40">
        <f t="shared" si="31"/>
        <v>1008.3891115162105</v>
      </c>
      <c r="P60" s="40">
        <f t="shared" si="31"/>
        <v>234.89195910653308</v>
      </c>
      <c r="Q60" s="40">
        <f t="shared" si="31"/>
        <v>382.11447907182628</v>
      </c>
      <c r="R60" s="40">
        <f t="shared" si="31"/>
        <v>773.5477296994751</v>
      </c>
      <c r="S60" s="40">
        <f t="shared" si="31"/>
        <v>368.66844978482544</v>
      </c>
      <c r="T60" s="40">
        <f t="shared" si="31"/>
        <v>505.10452574278997</v>
      </c>
      <c r="U60" s="40">
        <f t="shared" si="31"/>
        <v>29.185135834651664</v>
      </c>
      <c r="V60" s="40">
        <f t="shared" si="31"/>
        <v>64.623254647479939</v>
      </c>
      <c r="W60" s="40">
        <f t="shared" si="31"/>
        <v>9.8608426901794033</v>
      </c>
      <c r="X60" s="40"/>
    </row>
    <row r="61" spans="1:24">
      <c r="A61" s="98">
        <f t="shared" si="32"/>
        <v>2040</v>
      </c>
      <c r="C61" s="39" t="s">
        <v>82</v>
      </c>
      <c r="D61" s="40">
        <f t="shared" si="33"/>
        <v>15664.193158754286</v>
      </c>
      <c r="E61" s="40">
        <f t="shared" si="33"/>
        <v>484.71991566812824</v>
      </c>
      <c r="F61" s="40">
        <f t="shared" si="33"/>
        <v>387.66521627095779</v>
      </c>
      <c r="G61" s="40">
        <f t="shared" si="33"/>
        <v>1415.6236161096633</v>
      </c>
      <c r="H61" s="40">
        <f t="shared" si="33"/>
        <v>416.65187693672112</v>
      </c>
      <c r="I61" s="40">
        <f t="shared" si="33"/>
        <v>0</v>
      </c>
      <c r="J61" s="40">
        <f t="shared" si="33"/>
        <v>0</v>
      </c>
      <c r="K61" s="40">
        <f t="shared" si="33"/>
        <v>0</v>
      </c>
      <c r="L61" s="40">
        <f t="shared" si="33"/>
        <v>139.08926995463526</v>
      </c>
      <c r="M61" s="40">
        <f t="shared" si="33"/>
        <v>3.8600925598486571</v>
      </c>
      <c r="N61" s="40">
        <f t="shared" si="34"/>
        <v>6245.2615289136284</v>
      </c>
      <c r="O61" s="40">
        <f t="shared" si="31"/>
        <v>289.92241908886228</v>
      </c>
      <c r="P61" s="40">
        <f t="shared" si="31"/>
        <v>231.87171326138576</v>
      </c>
      <c r="Q61" s="40">
        <f t="shared" si="31"/>
        <v>853.21432179960379</v>
      </c>
      <c r="R61" s="40">
        <f t="shared" si="31"/>
        <v>416.65187693672112</v>
      </c>
      <c r="S61" s="40">
        <f t="shared" si="31"/>
        <v>0</v>
      </c>
      <c r="T61" s="40">
        <f t="shared" si="31"/>
        <v>0</v>
      </c>
      <c r="U61" s="40">
        <f t="shared" si="31"/>
        <v>0</v>
      </c>
      <c r="V61" s="40">
        <f t="shared" si="31"/>
        <v>51.00669763161013</v>
      </c>
      <c r="W61" s="40">
        <f t="shared" si="31"/>
        <v>1.2850854235510416</v>
      </c>
      <c r="X61" s="40"/>
    </row>
    <row r="62" spans="1:24">
      <c r="A62" s="98">
        <f t="shared" si="32"/>
        <v>2040</v>
      </c>
      <c r="C62" s="39" t="s">
        <v>79</v>
      </c>
      <c r="D62" s="40">
        <f t="shared" si="33"/>
        <v>30000.475173810748</v>
      </c>
      <c r="E62" s="40">
        <f t="shared" si="33"/>
        <v>277.2631476858171</v>
      </c>
      <c r="F62" s="40">
        <f t="shared" si="33"/>
        <v>3036.8697550809929</v>
      </c>
      <c r="G62" s="40">
        <f t="shared" si="33"/>
        <v>4924.5052906751325</v>
      </c>
      <c r="H62" s="40">
        <f t="shared" si="33"/>
        <v>0</v>
      </c>
      <c r="I62" s="40">
        <f t="shared" si="33"/>
        <v>0</v>
      </c>
      <c r="J62" s="40">
        <f t="shared" si="33"/>
        <v>0</v>
      </c>
      <c r="K62" s="40">
        <f t="shared" si="33"/>
        <v>0</v>
      </c>
      <c r="L62" s="40">
        <f t="shared" si="33"/>
        <v>198.63912605360946</v>
      </c>
      <c r="M62" s="40">
        <f t="shared" si="33"/>
        <v>1.8670902564018688</v>
      </c>
      <c r="N62" s="40">
        <f t="shared" si="34"/>
        <v>11960.947585524569</v>
      </c>
      <c r="O62" s="40">
        <f t="shared" si="31"/>
        <v>165.83763097595011</v>
      </c>
      <c r="P62" s="40">
        <f t="shared" si="31"/>
        <v>1816.4234589727516</v>
      </c>
      <c r="Q62" s="40">
        <f t="shared" si="31"/>
        <v>2968.0618449476697</v>
      </c>
      <c r="R62" s="40">
        <f t="shared" si="31"/>
        <v>0</v>
      </c>
      <c r="S62" s="40">
        <f t="shared" si="31"/>
        <v>0</v>
      </c>
      <c r="T62" s="40">
        <f t="shared" si="31"/>
        <v>0</v>
      </c>
      <c r="U62" s="40">
        <f t="shared" si="31"/>
        <v>0</v>
      </c>
      <c r="V62" s="40">
        <f t="shared" si="31"/>
        <v>72.844769720398418</v>
      </c>
      <c r="W62" s="40">
        <f t="shared" si="31"/>
        <v>0.62158366302239365</v>
      </c>
      <c r="X62" s="40"/>
    </row>
    <row r="63" spans="1:24">
      <c r="A63" s="98">
        <v>2050</v>
      </c>
      <c r="C63" s="39" t="s">
        <v>84</v>
      </c>
      <c r="D63" s="40">
        <f>D35+D39</f>
        <v>4799.0015212516118</v>
      </c>
      <c r="E63" s="40">
        <f t="shared" ref="E63:M63" si="35">E35+E39</f>
        <v>539.24937543443718</v>
      </c>
      <c r="F63" s="40">
        <f t="shared" si="35"/>
        <v>0</v>
      </c>
      <c r="G63" s="40">
        <f t="shared" si="35"/>
        <v>0</v>
      </c>
      <c r="H63" s="40">
        <f t="shared" si="35"/>
        <v>92.178665736164987</v>
      </c>
      <c r="I63" s="40">
        <f t="shared" si="35"/>
        <v>216.4922105014773</v>
      </c>
      <c r="J63" s="40">
        <f t="shared" si="35"/>
        <v>1576.5153158196238</v>
      </c>
      <c r="K63" s="40">
        <f>K35+K39</f>
        <v>675.91406779916952</v>
      </c>
      <c r="L63" s="40">
        <f t="shared" si="35"/>
        <v>0</v>
      </c>
      <c r="M63" s="40">
        <f t="shared" si="35"/>
        <v>8.6211430317739008</v>
      </c>
      <c r="N63" s="40">
        <f>D35</f>
        <v>1913.3424054185152</v>
      </c>
      <c r="O63" s="40">
        <f t="shared" ref="O63:W66" si="36">E35</f>
        <v>322.53777566084472</v>
      </c>
      <c r="P63" s="40">
        <f t="shared" si="36"/>
        <v>0</v>
      </c>
      <c r="Q63" s="40">
        <f t="shared" si="36"/>
        <v>0</v>
      </c>
      <c r="R63" s="40">
        <f t="shared" si="36"/>
        <v>92.178665736164987</v>
      </c>
      <c r="S63" s="40">
        <f t="shared" si="36"/>
        <v>216.4922105014773</v>
      </c>
      <c r="T63" s="40">
        <f t="shared" si="36"/>
        <v>707.75460592557658</v>
      </c>
      <c r="U63" s="40">
        <f t="shared" si="36"/>
        <v>397.23615990981381</v>
      </c>
      <c r="V63" s="40">
        <f t="shared" si="36"/>
        <v>0</v>
      </c>
      <c r="W63" s="40">
        <f t="shared" si="36"/>
        <v>2.8701138826877233</v>
      </c>
      <c r="X63" s="40"/>
    </row>
    <row r="64" spans="1:24">
      <c r="A64" s="98">
        <f t="shared" ref="A64:A66" si="37">A63</f>
        <v>2050</v>
      </c>
      <c r="C64" s="39" t="s">
        <v>83</v>
      </c>
      <c r="D64" s="40">
        <f t="shared" ref="D64:M66" si="38">D36+D40</f>
        <v>23026.077742940914</v>
      </c>
      <c r="E64" s="40">
        <f t="shared" si="38"/>
        <v>1548.8195759489208</v>
      </c>
      <c r="F64" s="40">
        <f t="shared" si="38"/>
        <v>360.77865215162404</v>
      </c>
      <c r="G64" s="40">
        <f t="shared" si="38"/>
        <v>702.42349977161382</v>
      </c>
      <c r="H64" s="40">
        <f t="shared" si="38"/>
        <v>778.3542398645983</v>
      </c>
      <c r="I64" s="40">
        <f t="shared" si="38"/>
        <v>368.66844978482544</v>
      </c>
      <c r="J64" s="40">
        <f t="shared" si="38"/>
        <v>1128.3552921011737</v>
      </c>
      <c r="K64" s="40">
        <f t="shared" si="38"/>
        <v>52.355932200829841</v>
      </c>
      <c r="L64" s="40">
        <f t="shared" si="38"/>
        <v>176.8214383929124</v>
      </c>
      <c r="M64" s="40">
        <f t="shared" si="38"/>
        <v>28.307234983740017</v>
      </c>
      <c r="N64" s="40">
        <f t="shared" ref="N64:N66" si="39">D36</f>
        <v>9180.385596827904</v>
      </c>
      <c r="O64" s="40">
        <f t="shared" si="36"/>
        <v>926.38553456660293</v>
      </c>
      <c r="P64" s="40">
        <f t="shared" si="36"/>
        <v>215.79022484199464</v>
      </c>
      <c r="Q64" s="40">
        <f t="shared" si="36"/>
        <v>423.35955910424326</v>
      </c>
      <c r="R64" s="40">
        <f t="shared" si="36"/>
        <v>778.3542398645983</v>
      </c>
      <c r="S64" s="40">
        <f t="shared" si="36"/>
        <v>368.66844978482544</v>
      </c>
      <c r="T64" s="40">
        <f t="shared" si="36"/>
        <v>506.55940166995208</v>
      </c>
      <c r="U64" s="40">
        <f t="shared" si="36"/>
        <v>30.769694620612274</v>
      </c>
      <c r="V64" s="40">
        <f t="shared" si="36"/>
        <v>64.843806037915826</v>
      </c>
      <c r="W64" s="40">
        <f t="shared" si="36"/>
        <v>9.4239230004538186</v>
      </c>
      <c r="X64" s="40"/>
    </row>
    <row r="65" spans="1:24">
      <c r="A65" s="98">
        <f t="shared" si="37"/>
        <v>2050</v>
      </c>
      <c r="C65" s="39" t="s">
        <v>82</v>
      </c>
      <c r="D65" s="40">
        <f t="shared" si="38"/>
        <v>16631.844032044508</v>
      </c>
      <c r="E65" s="40">
        <f t="shared" si="38"/>
        <v>445.30183146873367</v>
      </c>
      <c r="F65" s="40">
        <f t="shared" si="38"/>
        <v>356.13975250889621</v>
      </c>
      <c r="G65" s="40">
        <f t="shared" si="38"/>
        <v>1568.4247072487601</v>
      </c>
      <c r="H65" s="40">
        <f t="shared" si="38"/>
        <v>419.24078180312415</v>
      </c>
      <c r="I65" s="40">
        <f t="shared" si="38"/>
        <v>0</v>
      </c>
      <c r="J65" s="40">
        <f t="shared" si="38"/>
        <v>0</v>
      </c>
      <c r="K65" s="40">
        <f t="shared" si="38"/>
        <v>0</v>
      </c>
      <c r="L65" s="40">
        <f t="shared" si="38"/>
        <v>139.56396489302156</v>
      </c>
      <c r="M65" s="40">
        <f t="shared" si="38"/>
        <v>3.6890574367307529</v>
      </c>
      <c r="N65" s="40">
        <f t="shared" si="39"/>
        <v>6631.0607022979084</v>
      </c>
      <c r="O65" s="40">
        <f t="shared" si="36"/>
        <v>266.34553281385843</v>
      </c>
      <c r="P65" s="40">
        <f t="shared" si="36"/>
        <v>213.01558950547022</v>
      </c>
      <c r="Q65" s="40">
        <f t="shared" si="36"/>
        <v>945.30947891824883</v>
      </c>
      <c r="R65" s="40">
        <f t="shared" si="36"/>
        <v>419.24078180312415</v>
      </c>
      <c r="S65" s="40">
        <f t="shared" si="36"/>
        <v>0</v>
      </c>
      <c r="T65" s="40">
        <f t="shared" si="36"/>
        <v>0</v>
      </c>
      <c r="U65" s="40">
        <f t="shared" si="36"/>
        <v>0</v>
      </c>
      <c r="V65" s="40">
        <f t="shared" si="36"/>
        <v>51.180777351759808</v>
      </c>
      <c r="W65" s="40">
        <f t="shared" si="36"/>
        <v>1.2281451455068557</v>
      </c>
      <c r="X65" s="40"/>
    </row>
    <row r="66" spans="1:24">
      <c r="A66" s="98">
        <f t="shared" si="37"/>
        <v>2050</v>
      </c>
      <c r="C66" s="39" t="s">
        <v>79</v>
      </c>
      <c r="D66" s="40">
        <f t="shared" si="38"/>
        <v>31853.74560445757</v>
      </c>
      <c r="E66" s="40">
        <f t="shared" si="38"/>
        <v>254.71573061547835</v>
      </c>
      <c r="F66" s="40">
        <f t="shared" si="38"/>
        <v>2789.9073674444649</v>
      </c>
      <c r="G66" s="40">
        <f t="shared" si="38"/>
        <v>5456.0517929885864</v>
      </c>
      <c r="H66" s="40">
        <f t="shared" si="38"/>
        <v>0</v>
      </c>
      <c r="I66" s="40">
        <f t="shared" si="38"/>
        <v>0</v>
      </c>
      <c r="J66" s="40">
        <f t="shared" si="38"/>
        <v>0</v>
      </c>
      <c r="K66" s="40">
        <f t="shared" si="38"/>
        <v>0</v>
      </c>
      <c r="L66" s="40">
        <f t="shared" si="38"/>
        <v>199.31705748379008</v>
      </c>
      <c r="M66" s="40">
        <f t="shared" si="38"/>
        <v>1.7843621852676232</v>
      </c>
      <c r="N66" s="40">
        <f t="shared" si="39"/>
        <v>12699.831565006334</v>
      </c>
      <c r="O66" s="40">
        <f t="shared" si="36"/>
        <v>152.351488793763</v>
      </c>
      <c r="P66" s="40">
        <f t="shared" si="36"/>
        <v>1668.7094275638058</v>
      </c>
      <c r="Q66" s="40">
        <f t="shared" si="36"/>
        <v>3288.4316687590799</v>
      </c>
      <c r="R66" s="40">
        <f t="shared" si="36"/>
        <v>0</v>
      </c>
      <c r="S66" s="40">
        <f t="shared" si="36"/>
        <v>0</v>
      </c>
      <c r="T66" s="40">
        <f t="shared" si="36"/>
        <v>0</v>
      </c>
      <c r="U66" s="40">
        <f t="shared" si="36"/>
        <v>0</v>
      </c>
      <c r="V66" s="40">
        <f t="shared" si="36"/>
        <v>73.093380152284837</v>
      </c>
      <c r="W66" s="40">
        <f t="shared" si="36"/>
        <v>0.59404218916268892</v>
      </c>
      <c r="X66" s="40"/>
    </row>
    <row r="68" spans="1:24">
      <c r="K68" s="108"/>
    </row>
  </sheetData>
  <mergeCells count="10">
    <mergeCell ref="B39:B42"/>
    <mergeCell ref="B19:B22"/>
    <mergeCell ref="B23:B26"/>
    <mergeCell ref="B27:B30"/>
    <mergeCell ref="B31:B34"/>
    <mergeCell ref="B3:B6"/>
    <mergeCell ref="B7:B10"/>
    <mergeCell ref="B11:B14"/>
    <mergeCell ref="B15:B18"/>
    <mergeCell ref="B35:B3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O47"/>
  <sheetViews>
    <sheetView workbookViewId="0">
      <selection activeCell="F41" sqref="F41"/>
    </sheetView>
  </sheetViews>
  <sheetFormatPr defaultColWidth="9.109375" defaultRowHeight="14.4"/>
  <cols>
    <col min="1" max="1" width="30.6640625" style="23" bestFit="1" customWidth="1"/>
    <col min="2" max="2" width="10.33203125" style="23" bestFit="1" customWidth="1"/>
    <col min="3" max="3" width="9.109375" style="23"/>
    <col min="4" max="4" width="12.88671875" style="23" bestFit="1" customWidth="1"/>
    <col min="5" max="5" width="16.6640625" style="23" bestFit="1" customWidth="1"/>
    <col min="6" max="6" width="19.33203125" style="23" bestFit="1" customWidth="1"/>
    <col min="7" max="7" width="12.88671875" style="23" customWidth="1"/>
    <col min="8" max="16384" width="9.109375" style="23"/>
  </cols>
  <sheetData>
    <row r="3" spans="1:9">
      <c r="D3" s="23" t="s">
        <v>132</v>
      </c>
    </row>
    <row r="4" spans="1:9">
      <c r="D4" s="23" t="s">
        <v>131</v>
      </c>
      <c r="E4" s="23" t="s">
        <v>130</v>
      </c>
      <c r="F4" s="23" t="s">
        <v>129</v>
      </c>
      <c r="G4" s="23" t="s">
        <v>128</v>
      </c>
    </row>
    <row r="5" spans="1:9">
      <c r="C5" s="23" t="s">
        <v>127</v>
      </c>
      <c r="D5" s="7">
        <v>8132078.4410549188</v>
      </c>
      <c r="E5" s="23">
        <v>21026</v>
      </c>
      <c r="F5" s="23">
        <v>33657</v>
      </c>
      <c r="G5" s="7">
        <f>F5*D5/SUM($D$5:$D$8)</f>
        <v>5861.5522173068111</v>
      </c>
    </row>
    <row r="6" spans="1:9">
      <c r="C6" s="23" t="s">
        <v>126</v>
      </c>
      <c r="D6" s="7">
        <v>12192698.633257875</v>
      </c>
      <c r="E6" s="23">
        <v>36449</v>
      </c>
      <c r="F6" s="23">
        <v>85791</v>
      </c>
      <c r="G6" s="7">
        <f>F6*D6/SUM($D$5:$D$8)</f>
        <v>22401.50754865109</v>
      </c>
    </row>
    <row r="7" spans="1:9">
      <c r="C7" s="23" t="s">
        <v>126</v>
      </c>
      <c r="D7" s="7">
        <v>13222368.647571243</v>
      </c>
      <c r="E7" s="23">
        <v>37709</v>
      </c>
      <c r="F7" s="23">
        <v>87606</v>
      </c>
      <c r="G7" s="7">
        <f>F7*D7/SUM($D$5:$D$8)</f>
        <v>24807.259465919284</v>
      </c>
    </row>
    <row r="8" spans="1:9">
      <c r="C8" s="23" t="s">
        <v>125</v>
      </c>
      <c r="D8" s="7">
        <v>13147203.137186959</v>
      </c>
      <c r="E8" s="23">
        <v>38878</v>
      </c>
      <c r="F8" s="23">
        <v>112402</v>
      </c>
      <c r="G8" s="7">
        <f>F8*D8/SUM($D$5:$D$8)</f>
        <v>31647.768158973089</v>
      </c>
    </row>
    <row r="11" spans="1:9">
      <c r="A11" s="23" t="s">
        <v>124</v>
      </c>
      <c r="B11" s="60">
        <f>G5</f>
        <v>5861.5522173068111</v>
      </c>
      <c r="C11" s="61">
        <f>B11/(B12+B11)</f>
        <v>6.9188911103060025E-2</v>
      </c>
      <c r="F11" s="23" t="s">
        <v>123</v>
      </c>
    </row>
    <row r="12" spans="1:9">
      <c r="A12" s="23" t="s">
        <v>122</v>
      </c>
      <c r="B12" s="60">
        <f>SUM(G6:G8)</f>
        <v>78856.535173543467</v>
      </c>
      <c r="C12" s="59">
        <f>B12/(B11+B12)</f>
        <v>0.93081108889693986</v>
      </c>
      <c r="F12" s="23" t="s">
        <v>121</v>
      </c>
      <c r="G12" s="58">
        <v>0.59261062114076857</v>
      </c>
    </row>
    <row r="15" spans="1:9">
      <c r="B15" s="56" t="s">
        <v>2</v>
      </c>
      <c r="C15" s="56" t="s">
        <v>0</v>
      </c>
      <c r="D15" s="57" t="s">
        <v>5</v>
      </c>
      <c r="E15" s="57" t="s">
        <v>4</v>
      </c>
      <c r="F15" s="56" t="s">
        <v>90</v>
      </c>
      <c r="G15" s="23" t="s">
        <v>120</v>
      </c>
      <c r="I15" s="55" t="s">
        <v>119</v>
      </c>
    </row>
    <row r="16" spans="1:9">
      <c r="B16" s="23" t="s">
        <v>118</v>
      </c>
      <c r="C16" s="23">
        <v>2020</v>
      </c>
      <c r="D16" s="7">
        <v>2987.1759138560537</v>
      </c>
      <c r="E16" s="7">
        <v>3381.485624877454</v>
      </c>
      <c r="F16" s="23" t="s">
        <v>84</v>
      </c>
      <c r="G16" s="7">
        <f t="shared" ref="G16:G31" si="0">D16+E16</f>
        <v>6368.6615387335078</v>
      </c>
      <c r="I16" s="54">
        <f>'No car availability'!$C$11*G16</f>
        <v>440.64075704891013</v>
      </c>
    </row>
    <row r="17" spans="2:9">
      <c r="B17" s="23" t="s">
        <v>118</v>
      </c>
      <c r="C17" s="23">
        <v>2030</v>
      </c>
      <c r="D17" s="7">
        <v>3116.3656536496796</v>
      </c>
      <c r="E17" s="7">
        <v>3514.4727416149317</v>
      </c>
      <c r="F17" s="23" t="s">
        <v>84</v>
      </c>
      <c r="G17" s="7">
        <f t="shared" si="0"/>
        <v>6630.8383952646109</v>
      </c>
      <c r="I17" s="54">
        <f>'No car availability'!$C$11*G17</f>
        <v>458.78048826872038</v>
      </c>
    </row>
    <row r="18" spans="2:9">
      <c r="B18" s="23" t="s">
        <v>118</v>
      </c>
      <c r="C18" s="23">
        <v>2040</v>
      </c>
      <c r="D18" s="7">
        <v>3212.3279945717863</v>
      </c>
      <c r="E18" s="7">
        <v>3674.1216420180699</v>
      </c>
      <c r="F18" s="23" t="s">
        <v>84</v>
      </c>
      <c r="G18" s="7">
        <f t="shared" si="0"/>
        <v>6886.4496365898558</v>
      </c>
      <c r="I18" s="54">
        <f>'No car availability'!$C$11*G18</f>
        <v>476.46595172171556</v>
      </c>
    </row>
    <row r="19" spans="2:9">
      <c r="B19" s="23" t="s">
        <v>118</v>
      </c>
      <c r="C19" s="23">
        <v>2050</v>
      </c>
      <c r="D19" s="7">
        <v>3313.3100991829428</v>
      </c>
      <c r="E19" s="7">
        <v>3827.2113459838456</v>
      </c>
      <c r="F19" s="23" t="s">
        <v>84</v>
      </c>
      <c r="G19" s="7">
        <f t="shared" si="0"/>
        <v>7140.5214451667889</v>
      </c>
      <c r="I19" s="54">
        <f>'No car availability'!$C$11*G19</f>
        <v>494.04490349913863</v>
      </c>
    </row>
    <row r="20" spans="2:9">
      <c r="B20" s="23" t="s">
        <v>118</v>
      </c>
      <c r="C20" s="23">
        <v>2020</v>
      </c>
      <c r="D20" s="7">
        <v>9981.7787516764438</v>
      </c>
      <c r="E20" s="7">
        <v>12130.333057076596</v>
      </c>
      <c r="F20" s="23" t="s">
        <v>83</v>
      </c>
      <c r="G20" s="7">
        <f t="shared" si="0"/>
        <v>22112.111808753041</v>
      </c>
      <c r="I20" s="54">
        <f>'No car availability'!$C$11*G20</f>
        <v>1529.912938236738</v>
      </c>
    </row>
    <row r="21" spans="2:9">
      <c r="B21" s="23" t="s">
        <v>118</v>
      </c>
      <c r="C21" s="23">
        <v>2030</v>
      </c>
      <c r="D21" s="7">
        <v>10396.786400924626</v>
      </c>
      <c r="E21" s="7">
        <v>12621.603696743632</v>
      </c>
      <c r="F21" s="23" t="s">
        <v>83</v>
      </c>
      <c r="G21" s="7">
        <f t="shared" si="0"/>
        <v>23018.390097668256</v>
      </c>
      <c r="I21" s="54">
        <f>'No car availability'!$C$11*G21</f>
        <v>1592.6173462031261</v>
      </c>
    </row>
    <row r="22" spans="2:9">
      <c r="B22" s="23" t="s">
        <v>118</v>
      </c>
      <c r="C22" s="23">
        <v>2040</v>
      </c>
      <c r="D22" s="7">
        <v>10866.719365173967</v>
      </c>
      <c r="E22" s="7">
        <v>13397.719002304906</v>
      </c>
      <c r="F22" s="23" t="s">
        <v>83</v>
      </c>
      <c r="G22" s="7">
        <f t="shared" si="0"/>
        <v>24264.438367478873</v>
      </c>
      <c r="I22" s="54">
        <f>'No car availability'!$C$11*G22</f>
        <v>1678.8300691731747</v>
      </c>
    </row>
    <row r="23" spans="2:9">
      <c r="B23" s="23" t="s">
        <v>118</v>
      </c>
      <c r="C23" s="23">
        <v>2050</v>
      </c>
      <c r="D23" s="7">
        <v>11319.31207538122</v>
      </c>
      <c r="E23" s="7">
        <v>14102.517973167996</v>
      </c>
      <c r="F23" s="23" t="s">
        <v>83</v>
      </c>
      <c r="G23" s="7">
        <f t="shared" si="0"/>
        <v>25421.830048549215</v>
      </c>
      <c r="I23" s="54">
        <f>'No car availability'!$C$11*G23</f>
        <v>1758.9087393061718</v>
      </c>
    </row>
    <row r="24" spans="2:9">
      <c r="B24" s="23" t="s">
        <v>118</v>
      </c>
      <c r="C24" s="23">
        <v>2020</v>
      </c>
      <c r="D24" s="7">
        <v>6649.6091281508061</v>
      </c>
      <c r="E24" s="7">
        <v>8456.1280041768496</v>
      </c>
      <c r="F24" s="23" t="s">
        <v>82</v>
      </c>
      <c r="G24" s="7">
        <f t="shared" si="0"/>
        <v>15105.737132327657</v>
      </c>
      <c r="I24" s="54">
        <f>'No car availability'!$C$11*G24</f>
        <v>1045.149503594811</v>
      </c>
    </row>
    <row r="25" spans="2:9">
      <c r="B25" s="23" t="s">
        <v>118</v>
      </c>
      <c r="C25" s="23">
        <v>2030</v>
      </c>
      <c r="D25" s="7">
        <v>6925.6527599789033</v>
      </c>
      <c r="E25" s="7">
        <v>8809.8153930326134</v>
      </c>
      <c r="F25" s="23" t="s">
        <v>82</v>
      </c>
      <c r="G25" s="7">
        <f t="shared" si="0"/>
        <v>15735.468153011516</v>
      </c>
      <c r="I25" s="54">
        <f>'No car availability'!$C$11*G25</f>
        <v>1088.7199072037458</v>
      </c>
    </row>
    <row r="26" spans="2:9">
      <c r="B26" s="23" t="s">
        <v>118</v>
      </c>
      <c r="C26" s="23">
        <v>2040</v>
      </c>
      <c r="D26" s="7">
        <v>7379.5326258666946</v>
      </c>
      <c r="E26" s="7">
        <v>9445.8599290289385</v>
      </c>
      <c r="F26" s="23" t="s">
        <v>82</v>
      </c>
      <c r="G26" s="7">
        <f t="shared" si="0"/>
        <v>16825.392554895632</v>
      </c>
      <c r="I26" s="54">
        <f>'No car availability'!$C$11*G26</f>
        <v>1164.1305897547618</v>
      </c>
    </row>
    <row r="27" spans="2:9">
      <c r="B27" s="23" t="s">
        <v>118</v>
      </c>
      <c r="C27" s="23">
        <v>2050</v>
      </c>
      <c r="D27" s="7">
        <v>7790.110906348923</v>
      </c>
      <c r="E27" s="7">
        <v>10010.823756188003</v>
      </c>
      <c r="F27" s="23" t="s">
        <v>82</v>
      </c>
      <c r="G27" s="7">
        <f t="shared" si="0"/>
        <v>17800.934662536925</v>
      </c>
      <c r="I27" s="54">
        <f>'No car availability'!$C$11*G27</f>
        <v>1231.6272859176472</v>
      </c>
    </row>
    <row r="28" spans="2:9">
      <c r="B28" s="23" t="s">
        <v>118</v>
      </c>
      <c r="C28" s="23">
        <v>2020</v>
      </c>
      <c r="D28" s="7">
        <v>13885.146703746568</v>
      </c>
      <c r="E28" s="7">
        <v>17445.665446049792</v>
      </c>
      <c r="F28" s="23" t="s">
        <v>79</v>
      </c>
      <c r="G28" s="7">
        <f t="shared" si="0"/>
        <v>31330.812149796358</v>
      </c>
      <c r="I28" s="54">
        <f>'No car availability'!$C$11*G28</f>
        <v>2167.744776618933</v>
      </c>
    </row>
    <row r="29" spans="2:9">
      <c r="B29" s="23" t="s">
        <v>118</v>
      </c>
      <c r="C29" s="23">
        <v>2030</v>
      </c>
      <c r="D29" s="7">
        <v>14451.808971616083</v>
      </c>
      <c r="E29" s="7">
        <v>18170.462095741746</v>
      </c>
      <c r="F29" s="23" t="s">
        <v>79</v>
      </c>
      <c r="G29" s="7">
        <f t="shared" si="0"/>
        <v>32622.271067357829</v>
      </c>
      <c r="I29" s="54">
        <f>'No car availability'!$C$11*G29</f>
        <v>2257.0994128593479</v>
      </c>
    </row>
    <row r="30" spans="2:9">
      <c r="B30" s="23" t="s">
        <v>118</v>
      </c>
      <c r="C30" s="23">
        <v>2040</v>
      </c>
      <c r="D30" s="7">
        <v>15414.653942995365</v>
      </c>
      <c r="E30" s="7">
        <v>19443.595815345401</v>
      </c>
      <c r="F30" s="23" t="s">
        <v>79</v>
      </c>
      <c r="G30" s="7">
        <f t="shared" si="0"/>
        <v>34858.249758340768</v>
      </c>
      <c r="I30" s="54">
        <f>'No car availability'!$C$11*G30</f>
        <v>2411.8043437381029</v>
      </c>
    </row>
    <row r="31" spans="2:9">
      <c r="B31" s="23" t="s">
        <v>118</v>
      </c>
      <c r="C31" s="23">
        <v>2050</v>
      </c>
      <c r="D31" s="7">
        <v>16277.348637137999</v>
      </c>
      <c r="E31" s="7">
        <v>20578.478446261634</v>
      </c>
      <c r="F31" s="23" t="s">
        <v>79</v>
      </c>
      <c r="G31" s="7">
        <f t="shared" si="0"/>
        <v>36855.827083399636</v>
      </c>
      <c r="I31" s="54">
        <f>'No car availability'!$C$11*G31</f>
        <v>2550.0145437030892</v>
      </c>
    </row>
    <row r="32" spans="2:9">
      <c r="D32" s="7"/>
      <c r="E32" s="7"/>
      <c r="G32" s="7"/>
      <c r="I32" s="53"/>
    </row>
    <row r="33" spans="2:15">
      <c r="D33" s="7"/>
      <c r="E33" s="7"/>
      <c r="G33" s="7"/>
      <c r="I33" s="53"/>
    </row>
    <row r="37" spans="2:15">
      <c r="B37" s="25"/>
      <c r="C37" s="152" t="s">
        <v>117</v>
      </c>
      <c r="D37" s="152"/>
      <c r="E37" s="153"/>
      <c r="G37" s="25"/>
      <c r="H37" s="152" t="s">
        <v>116</v>
      </c>
      <c r="I37" s="152"/>
      <c r="J37" s="153"/>
      <c r="M37" s="23" t="s">
        <v>115</v>
      </c>
    </row>
    <row r="38" spans="2:15">
      <c r="B38" s="8"/>
      <c r="C38" s="9" t="s">
        <v>114</v>
      </c>
      <c r="D38" s="9" t="s">
        <v>113</v>
      </c>
      <c r="E38" s="10" t="s">
        <v>112</v>
      </c>
      <c r="G38" s="8"/>
      <c r="H38" s="9" t="s">
        <v>114</v>
      </c>
      <c r="I38" s="9" t="s">
        <v>113</v>
      </c>
      <c r="J38" s="10" t="s">
        <v>112</v>
      </c>
      <c r="M38" s="23" t="s">
        <v>114</v>
      </c>
      <c r="N38" s="23" t="s">
        <v>113</v>
      </c>
      <c r="O38" s="23" t="s">
        <v>112</v>
      </c>
    </row>
    <row r="39" spans="2:15">
      <c r="B39" s="8" t="s">
        <v>72</v>
      </c>
      <c r="C39" s="9">
        <v>39</v>
      </c>
      <c r="D39" s="9">
        <v>63</v>
      </c>
      <c r="E39" s="10">
        <v>78</v>
      </c>
      <c r="G39" s="8" t="s">
        <v>72</v>
      </c>
      <c r="H39" s="14">
        <v>15807.29</v>
      </c>
      <c r="I39" s="14">
        <v>12254.02</v>
      </c>
      <c r="J39" s="52">
        <v>24395.21</v>
      </c>
      <c r="M39" s="7">
        <f t="shared" ref="M39:O42" si="1">C39*H39</f>
        <v>616484.31000000006</v>
      </c>
      <c r="N39" s="7">
        <f t="shared" si="1"/>
        <v>772003.26</v>
      </c>
      <c r="O39" s="7">
        <f t="shared" si="1"/>
        <v>1902826.38</v>
      </c>
    </row>
    <row r="40" spans="2:15">
      <c r="B40" s="8" t="s">
        <v>111</v>
      </c>
      <c r="C40" s="9">
        <v>26</v>
      </c>
      <c r="D40" s="9">
        <v>47</v>
      </c>
      <c r="E40" s="10">
        <v>65</v>
      </c>
      <c r="G40" s="8" t="s">
        <v>111</v>
      </c>
      <c r="H40" s="14">
        <v>2283.2399999999998</v>
      </c>
      <c r="I40" s="14">
        <v>486.92</v>
      </c>
      <c r="J40" s="52">
        <v>278.83</v>
      </c>
      <c r="M40" s="7">
        <f t="shared" si="1"/>
        <v>59364.239999999991</v>
      </c>
      <c r="N40" s="7">
        <f t="shared" si="1"/>
        <v>22885.24</v>
      </c>
      <c r="O40" s="7">
        <f t="shared" si="1"/>
        <v>18123.95</v>
      </c>
    </row>
    <row r="41" spans="2:15">
      <c r="B41" s="8" t="s">
        <v>70</v>
      </c>
      <c r="C41" s="9">
        <v>37</v>
      </c>
      <c r="D41" s="9">
        <v>59</v>
      </c>
      <c r="E41" s="10">
        <v>71</v>
      </c>
      <c r="G41" s="8" t="s">
        <v>70</v>
      </c>
      <c r="H41" s="14">
        <v>394.54</v>
      </c>
      <c r="I41" s="14">
        <v>389.47</v>
      </c>
      <c r="J41" s="52">
        <v>3050.99</v>
      </c>
      <c r="M41" s="7">
        <f t="shared" si="1"/>
        <v>14597.980000000001</v>
      </c>
      <c r="N41" s="7">
        <f t="shared" si="1"/>
        <v>22978.730000000003</v>
      </c>
      <c r="O41" s="7">
        <f t="shared" si="1"/>
        <v>216620.28999999998</v>
      </c>
    </row>
    <row r="42" spans="2:15">
      <c r="B42" s="8" t="s">
        <v>69</v>
      </c>
      <c r="C42" s="9">
        <v>61</v>
      </c>
      <c r="D42" s="9">
        <v>71</v>
      </c>
      <c r="E42" s="10">
        <v>91</v>
      </c>
      <c r="G42" s="8" t="s">
        <v>69</v>
      </c>
      <c r="H42" s="14">
        <v>475.44</v>
      </c>
      <c r="I42" s="14">
        <v>1061.5999999999999</v>
      </c>
      <c r="J42" s="52">
        <v>3692.96</v>
      </c>
      <c r="M42" s="7">
        <f t="shared" si="1"/>
        <v>29001.84</v>
      </c>
      <c r="N42" s="7">
        <f t="shared" si="1"/>
        <v>75373.599999999991</v>
      </c>
      <c r="O42" s="7">
        <f t="shared" si="1"/>
        <v>336059.36</v>
      </c>
    </row>
    <row r="43" spans="2:15">
      <c r="B43" s="8" t="s">
        <v>68</v>
      </c>
      <c r="C43" s="9">
        <v>43</v>
      </c>
      <c r="D43" s="9">
        <v>55</v>
      </c>
      <c r="E43" s="10"/>
      <c r="G43" s="8" t="s">
        <v>68</v>
      </c>
      <c r="H43" s="14">
        <v>748.19</v>
      </c>
      <c r="I43" s="14">
        <v>359.81</v>
      </c>
      <c r="J43" s="52"/>
      <c r="M43" s="7">
        <f>C43*H43</f>
        <v>32172.170000000002</v>
      </c>
      <c r="N43" s="7">
        <f>D43*I43</f>
        <v>19789.55</v>
      </c>
      <c r="O43" s="7"/>
    </row>
    <row r="44" spans="2:15">
      <c r="B44" s="11" t="s">
        <v>67</v>
      </c>
      <c r="C44" s="12">
        <v>35</v>
      </c>
      <c r="D44" s="12"/>
      <c r="E44" s="51"/>
      <c r="G44" s="11" t="s">
        <v>67</v>
      </c>
      <c r="H44" s="50">
        <v>239</v>
      </c>
      <c r="I44" s="50"/>
      <c r="J44" s="49"/>
      <c r="M44" s="23">
        <f>C44*H44</f>
        <v>8365</v>
      </c>
    </row>
    <row r="46" spans="2:15">
      <c r="K46" s="23" t="s">
        <v>110</v>
      </c>
      <c r="M46" s="30">
        <f>SUM(M40:O44)/SUM(H40:J44)</f>
        <v>63.541533720773899</v>
      </c>
    </row>
    <row r="47" spans="2:15">
      <c r="K47" s="23" t="s">
        <v>109</v>
      </c>
      <c r="M47" s="30">
        <f>SUM(M39:O39)/SUM(H39:J39)</f>
        <v>62.743657985699393</v>
      </c>
    </row>
  </sheetData>
  <mergeCells count="2">
    <mergeCell ref="H37:J37"/>
    <mergeCell ref="C37:E37"/>
  </mergeCells>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34"/>
  <sheetViews>
    <sheetView zoomScale="70" zoomScaleNormal="70" workbookViewId="0">
      <selection activeCell="D24" sqref="D24"/>
    </sheetView>
  </sheetViews>
  <sheetFormatPr defaultColWidth="9.109375" defaultRowHeight="14.4"/>
  <cols>
    <col min="1" max="1" width="9.109375" style="23"/>
    <col min="2" max="2" width="10.33203125" style="23" bestFit="1" customWidth="1"/>
    <col min="3" max="3" width="16.6640625" style="23" bestFit="1" customWidth="1"/>
    <col min="4" max="4" width="12.5546875" style="23" bestFit="1" customWidth="1"/>
    <col min="5" max="7" width="12.109375" style="23" bestFit="1" customWidth="1"/>
    <col min="8" max="8" width="13.6640625" style="23" bestFit="1" customWidth="1"/>
    <col min="9" max="9" width="12.109375" style="23" bestFit="1" customWidth="1"/>
    <col min="10" max="10" width="12.5546875" style="23" bestFit="1" customWidth="1"/>
    <col min="11" max="12" width="12.109375" style="23" bestFit="1" customWidth="1"/>
    <col min="13" max="13" width="12.5546875" style="23" bestFit="1" customWidth="1"/>
    <col min="14" max="14" width="12.109375" style="23" bestFit="1" customWidth="1"/>
    <col min="15" max="17" width="9.109375" style="23"/>
    <col min="18" max="18" width="20.109375" style="23" customWidth="1"/>
    <col min="19" max="21" width="9" style="23" bestFit="1" customWidth="1"/>
    <col min="22" max="24" width="12.5546875" style="23" bestFit="1" customWidth="1"/>
    <col min="25" max="25" width="13.6640625" style="23" bestFit="1" customWidth="1"/>
    <col min="26" max="26" width="12.5546875" style="23" bestFit="1" customWidth="1"/>
    <col min="27" max="29" width="11.5546875" style="23" bestFit="1" customWidth="1"/>
    <col min="30" max="16384" width="9.109375" style="23"/>
  </cols>
  <sheetData>
    <row r="1" spans="2:38">
      <c r="C1" s="23" t="s">
        <v>252</v>
      </c>
      <c r="O1" s="10"/>
      <c r="P1" s="23" t="s">
        <v>251</v>
      </c>
    </row>
    <row r="2" spans="2:38">
      <c r="O2" s="10"/>
    </row>
    <row r="3" spans="2:38">
      <c r="O3" s="10"/>
    </row>
    <row r="4" spans="2:38">
      <c r="C4" s="23" t="s">
        <v>84</v>
      </c>
      <c r="D4" s="23" t="s">
        <v>83</v>
      </c>
      <c r="E4" s="23" t="s">
        <v>82</v>
      </c>
      <c r="F4" s="23" t="s">
        <v>79</v>
      </c>
      <c r="O4" s="10"/>
      <c r="Q4" s="23" t="s">
        <v>84</v>
      </c>
      <c r="R4" s="23" t="s">
        <v>83</v>
      </c>
      <c r="S4" s="23" t="s">
        <v>82</v>
      </c>
      <c r="T4" s="23" t="s">
        <v>79</v>
      </c>
    </row>
    <row r="5" spans="2:38">
      <c r="B5" s="23" t="s">
        <v>72</v>
      </c>
      <c r="C5" s="83">
        <v>4342.2076200000001</v>
      </c>
      <c r="D5" s="83">
        <v>20834.336009999999</v>
      </c>
      <c r="E5" s="83">
        <v>15048.73869</v>
      </c>
      <c r="F5" s="83">
        <v>28821.740570000002</v>
      </c>
      <c r="H5" s="23" t="s">
        <v>250</v>
      </c>
      <c r="O5" s="10"/>
      <c r="P5" s="23" t="s">
        <v>72</v>
      </c>
      <c r="Q5" s="29">
        <v>4342.2076200000001</v>
      </c>
      <c r="R5" s="29">
        <v>20834.336009999999</v>
      </c>
      <c r="S5" s="29">
        <v>15048.73869</v>
      </c>
      <c r="T5" s="29">
        <v>28821.740570000002</v>
      </c>
    </row>
    <row r="6" spans="2:38">
      <c r="L6" s="9"/>
      <c r="M6" s="9"/>
      <c r="O6" s="10"/>
    </row>
    <row r="7" spans="2:38">
      <c r="L7" s="25" t="s">
        <v>249</v>
      </c>
      <c r="M7" s="27" t="s">
        <v>248</v>
      </c>
      <c r="O7" s="10"/>
    </row>
    <row r="8" spans="2:38">
      <c r="C8" s="23" t="s">
        <v>235</v>
      </c>
      <c r="D8" s="23" t="s">
        <v>234</v>
      </c>
      <c r="E8" s="23" t="s">
        <v>233</v>
      </c>
      <c r="F8" s="10" t="s">
        <v>232</v>
      </c>
      <c r="G8" s="23" t="s">
        <v>231</v>
      </c>
      <c r="H8" s="23" t="s">
        <v>230</v>
      </c>
      <c r="I8" s="10" t="s">
        <v>229</v>
      </c>
      <c r="J8" s="82"/>
      <c r="L8" s="81" t="s">
        <v>65</v>
      </c>
      <c r="M8" s="80">
        <v>0.44574786718028137</v>
      </c>
      <c r="O8" s="10"/>
      <c r="R8" s="23" t="s">
        <v>235</v>
      </c>
      <c r="S8" s="23" t="s">
        <v>234</v>
      </c>
      <c r="T8" s="23" t="s">
        <v>233</v>
      </c>
      <c r="U8" s="23" t="s">
        <v>232</v>
      </c>
      <c r="V8" s="23" t="s">
        <v>231</v>
      </c>
      <c r="W8" s="23" t="s">
        <v>230</v>
      </c>
      <c r="X8" s="23" t="s">
        <v>229</v>
      </c>
    </row>
    <row r="9" spans="2:38">
      <c r="B9" s="23" t="s">
        <v>247</v>
      </c>
      <c r="C9" s="23" t="s">
        <v>226</v>
      </c>
      <c r="F9" s="10"/>
      <c r="I9" s="10"/>
      <c r="J9" s="82"/>
      <c r="L9" s="8" t="s">
        <v>72</v>
      </c>
      <c r="M9" s="80">
        <v>1.0983713669119957</v>
      </c>
      <c r="O9" s="10"/>
      <c r="Q9" s="23" t="s">
        <v>247</v>
      </c>
      <c r="R9" s="23" t="s">
        <v>226</v>
      </c>
      <c r="S9" s="23">
        <f t="shared" ref="S9:S18" si="0">D9*$M8</f>
        <v>0</v>
      </c>
      <c r="T9" s="23">
        <f t="shared" ref="T9:T18" si="1">E9*$M8</f>
        <v>0</v>
      </c>
    </row>
    <row r="10" spans="2:38">
      <c r="C10" s="23" t="s">
        <v>225</v>
      </c>
      <c r="D10" s="7">
        <v>892.72302791615937</v>
      </c>
      <c r="E10" s="7">
        <v>863.22111916080269</v>
      </c>
      <c r="F10" s="52"/>
      <c r="G10" s="7"/>
      <c r="H10" s="7"/>
      <c r="I10" s="52"/>
      <c r="J10" s="77"/>
      <c r="K10" s="7"/>
      <c r="L10" s="8" t="s">
        <v>66</v>
      </c>
      <c r="M10" s="80">
        <v>0.96532347242291361</v>
      </c>
      <c r="N10" s="7"/>
      <c r="O10" s="10"/>
      <c r="R10" s="23" t="s">
        <v>225</v>
      </c>
      <c r="S10" s="31">
        <f t="shared" si="0"/>
        <v>980.54141244608763</v>
      </c>
      <c r="T10" s="31">
        <f t="shared" si="1"/>
        <v>948.13736059995358</v>
      </c>
    </row>
    <row r="11" spans="2:38">
      <c r="C11" s="23" t="s">
        <v>224</v>
      </c>
      <c r="D11" s="7">
        <v>566.26669375689096</v>
      </c>
      <c r="E11" s="7">
        <v>318.24803348233866</v>
      </c>
      <c r="F11" s="52"/>
      <c r="G11" s="7"/>
      <c r="H11" s="7"/>
      <c r="I11" s="52"/>
      <c r="J11" s="77"/>
      <c r="K11" s="7"/>
      <c r="L11" s="81" t="s">
        <v>111</v>
      </c>
      <c r="M11" s="80">
        <v>0.71719330600196551</v>
      </c>
      <c r="N11" s="7"/>
      <c r="O11" s="10"/>
      <c r="R11" s="23" t="s">
        <v>224</v>
      </c>
      <c r="S11" s="31">
        <f t="shared" si="0"/>
        <v>546.63053113484455</v>
      </c>
      <c r="T11" s="31">
        <f t="shared" si="1"/>
        <v>307.21229677293485</v>
      </c>
      <c r="AL11" s="23">
        <v>9</v>
      </c>
    </row>
    <row r="12" spans="2:38">
      <c r="C12" s="23" t="s">
        <v>223</v>
      </c>
      <c r="D12" s="7">
        <v>102.42816265359777</v>
      </c>
      <c r="E12" s="7">
        <v>122.00745760109504</v>
      </c>
      <c r="F12" s="52"/>
      <c r="G12" s="7"/>
      <c r="H12" s="7"/>
      <c r="I12" s="52"/>
      <c r="J12" s="77"/>
      <c r="K12" s="7"/>
      <c r="L12" s="81" t="s">
        <v>70</v>
      </c>
      <c r="M12" s="80">
        <v>0.71719330899608857</v>
      </c>
      <c r="N12" s="7"/>
      <c r="O12" s="10"/>
      <c r="R12" s="23" t="s">
        <v>223</v>
      </c>
      <c r="S12" s="31">
        <f t="shared" si="0"/>
        <v>73.46079260124084</v>
      </c>
      <c r="T12" s="31">
        <f t="shared" si="1"/>
        <v>87.502931873823982</v>
      </c>
    </row>
    <row r="13" spans="2:38">
      <c r="C13" s="23" t="s">
        <v>222</v>
      </c>
      <c r="D13" s="7"/>
      <c r="E13" s="7"/>
      <c r="F13" s="52"/>
      <c r="G13" s="7"/>
      <c r="H13" s="7"/>
      <c r="I13" s="52"/>
      <c r="J13" s="77"/>
      <c r="K13" s="7"/>
      <c r="L13" s="81" t="s">
        <v>69</v>
      </c>
      <c r="M13" s="80">
        <v>1.1819349904397711</v>
      </c>
      <c r="N13" s="7"/>
      <c r="O13" s="10"/>
      <c r="R13" s="23" t="s">
        <v>222</v>
      </c>
      <c r="S13" s="31">
        <f t="shared" si="0"/>
        <v>0</v>
      </c>
      <c r="T13" s="31">
        <f t="shared" si="1"/>
        <v>0</v>
      </c>
    </row>
    <row r="14" spans="2:38">
      <c r="C14" s="23" t="s">
        <v>221</v>
      </c>
      <c r="D14" s="7"/>
      <c r="E14" s="7"/>
      <c r="F14" s="52"/>
      <c r="G14" s="7"/>
      <c r="H14" s="7"/>
      <c r="I14" s="52"/>
      <c r="J14" s="77"/>
      <c r="K14" s="7"/>
      <c r="L14" s="81" t="s">
        <v>67</v>
      </c>
      <c r="M14" s="80">
        <v>1.9586967732217533</v>
      </c>
      <c r="N14" s="7"/>
      <c r="O14" s="10"/>
      <c r="R14" s="23" t="s">
        <v>221</v>
      </c>
      <c r="S14" s="31">
        <f t="shared" si="0"/>
        <v>0</v>
      </c>
      <c r="T14" s="31">
        <f t="shared" si="1"/>
        <v>0</v>
      </c>
    </row>
    <row r="15" spans="2:38">
      <c r="C15" s="23" t="s">
        <v>220</v>
      </c>
      <c r="D15" s="7">
        <v>19.381400178148716</v>
      </c>
      <c r="E15" s="7">
        <v>22.360576808137299</v>
      </c>
      <c r="F15" s="52"/>
      <c r="G15" s="7"/>
      <c r="H15" s="7"/>
      <c r="I15" s="52"/>
      <c r="J15" s="77"/>
      <c r="K15" s="7"/>
      <c r="L15" s="81" t="s">
        <v>68</v>
      </c>
      <c r="M15" s="80">
        <v>0.93124454007220236</v>
      </c>
      <c r="N15" s="7"/>
      <c r="O15" s="10"/>
      <c r="R15" s="23" t="s">
        <v>220</v>
      </c>
      <c r="S15" s="31">
        <f t="shared" si="0"/>
        <v>37.962285989459403</v>
      </c>
      <c r="T15" s="31">
        <f t="shared" si="1"/>
        <v>43.797589641475703</v>
      </c>
    </row>
    <row r="16" spans="2:38">
      <c r="C16" s="23" t="s">
        <v>219</v>
      </c>
      <c r="D16" s="7">
        <v>12.768489852081181</v>
      </c>
      <c r="E16" s="7">
        <v>19.381424148606811</v>
      </c>
      <c r="F16" s="52"/>
      <c r="G16" s="7"/>
      <c r="H16" s="7"/>
      <c r="I16" s="52"/>
      <c r="J16" s="77"/>
      <c r="K16" s="7"/>
      <c r="L16" s="81" t="s">
        <v>64</v>
      </c>
      <c r="M16" s="80">
        <v>0.99999999872548273</v>
      </c>
      <c r="N16" s="7"/>
      <c r="O16" s="10"/>
      <c r="R16" s="23" t="s">
        <v>219</v>
      </c>
      <c r="S16" s="31">
        <f t="shared" si="0"/>
        <v>11.890586459717923</v>
      </c>
      <c r="T16" s="31">
        <f t="shared" si="1"/>
        <v>18.048845417213627</v>
      </c>
    </row>
    <row r="17" spans="2:24">
      <c r="C17" s="23" t="s">
        <v>218</v>
      </c>
      <c r="D17" s="7"/>
      <c r="E17" s="7"/>
      <c r="F17" s="52"/>
      <c r="G17" s="7"/>
      <c r="H17" s="7"/>
      <c r="I17" s="52"/>
      <c r="J17" s="77"/>
      <c r="K17" s="7"/>
      <c r="L17" s="79" t="s">
        <v>63</v>
      </c>
      <c r="M17" s="78">
        <v>1.0000000256179431</v>
      </c>
      <c r="N17" s="7"/>
      <c r="O17" s="10"/>
      <c r="R17" s="23" t="s">
        <v>218</v>
      </c>
      <c r="S17" s="31">
        <f t="shared" si="0"/>
        <v>0</v>
      </c>
      <c r="T17" s="31">
        <f t="shared" si="1"/>
        <v>0</v>
      </c>
    </row>
    <row r="18" spans="2:24">
      <c r="C18" s="23" t="s">
        <v>217</v>
      </c>
      <c r="D18" s="7">
        <v>1.6609131045264516</v>
      </c>
      <c r="E18" s="7">
        <v>2.0656087794431226</v>
      </c>
      <c r="F18" s="52"/>
      <c r="G18" s="7"/>
      <c r="H18" s="7"/>
      <c r="I18" s="52"/>
      <c r="J18" s="77"/>
      <c r="K18" s="7"/>
      <c r="L18" s="14"/>
      <c r="M18" s="14"/>
      <c r="N18" s="7"/>
      <c r="O18" s="10"/>
      <c r="R18" s="23" t="s">
        <v>217</v>
      </c>
      <c r="S18" s="31">
        <f t="shared" si="0"/>
        <v>1.6609131470756291</v>
      </c>
      <c r="T18" s="31">
        <f t="shared" si="1"/>
        <v>2.065608832359771</v>
      </c>
    </row>
    <row r="19" spans="2:24">
      <c r="C19" s="23" t="s">
        <v>10</v>
      </c>
      <c r="D19" s="7">
        <f>SUM(D10:F18)</f>
        <v>2942.5129074418287</v>
      </c>
      <c r="E19" s="7"/>
      <c r="F19" s="52"/>
      <c r="G19" s="7"/>
      <c r="H19" s="7"/>
      <c r="I19" s="52"/>
      <c r="J19" s="77"/>
      <c r="K19" s="7"/>
      <c r="L19" s="9"/>
      <c r="M19" s="9"/>
      <c r="N19" s="7"/>
      <c r="O19" s="10"/>
      <c r="R19" s="23" t="s">
        <v>10</v>
      </c>
    </row>
    <row r="20" spans="2:24">
      <c r="D20" s="7"/>
      <c r="E20" s="7"/>
      <c r="F20" s="52"/>
      <c r="G20" s="7"/>
      <c r="H20" s="7"/>
      <c r="I20" s="52"/>
      <c r="J20" s="77"/>
      <c r="K20" s="7"/>
      <c r="L20" s="9"/>
      <c r="M20" s="9"/>
      <c r="N20" s="7"/>
      <c r="O20" s="10"/>
    </row>
    <row r="21" spans="2:24">
      <c r="D21" s="7"/>
      <c r="E21" s="7"/>
      <c r="F21" s="52"/>
      <c r="G21" s="7"/>
      <c r="H21" s="7"/>
      <c r="I21" s="52"/>
      <c r="J21" s="77"/>
      <c r="K21" s="7"/>
      <c r="L21" s="7"/>
      <c r="M21" s="7"/>
      <c r="N21" s="7"/>
      <c r="O21" s="10"/>
    </row>
    <row r="22" spans="2:24">
      <c r="D22" s="7"/>
      <c r="E22" s="7"/>
      <c r="F22" s="52"/>
      <c r="G22" s="7"/>
      <c r="H22" s="7"/>
      <c r="I22" s="52"/>
      <c r="J22" s="77"/>
      <c r="K22" s="7"/>
      <c r="N22" s="7"/>
      <c r="O22" s="10"/>
    </row>
    <row r="23" spans="2:24">
      <c r="C23" s="23" t="s">
        <v>235</v>
      </c>
      <c r="D23" s="7" t="s">
        <v>234</v>
      </c>
      <c r="E23" s="7" t="s">
        <v>233</v>
      </c>
      <c r="F23" s="52" t="s">
        <v>232</v>
      </c>
      <c r="G23" s="7" t="s">
        <v>231</v>
      </c>
      <c r="H23" s="7" t="s">
        <v>230</v>
      </c>
      <c r="I23" s="52" t="s">
        <v>229</v>
      </c>
      <c r="J23" s="77"/>
      <c r="K23" s="7"/>
      <c r="L23" s="7"/>
      <c r="M23" s="7"/>
      <c r="N23" s="7"/>
      <c r="O23" s="10"/>
      <c r="R23" s="23" t="s">
        <v>235</v>
      </c>
      <c r="S23" s="23" t="s">
        <v>234</v>
      </c>
      <c r="T23" s="23" t="s">
        <v>233</v>
      </c>
      <c r="U23" s="23" t="s">
        <v>232</v>
      </c>
      <c r="V23" s="23" t="s">
        <v>231</v>
      </c>
      <c r="W23" s="23" t="s">
        <v>230</v>
      </c>
      <c r="X23" s="23" t="s">
        <v>229</v>
      </c>
    </row>
    <row r="24" spans="2:24">
      <c r="B24" s="23" t="s">
        <v>246</v>
      </c>
      <c r="C24" s="23" t="s">
        <v>226</v>
      </c>
      <c r="D24" s="7">
        <v>649.28558768232961</v>
      </c>
      <c r="E24" s="7">
        <v>171.00846912153079</v>
      </c>
      <c r="F24" s="52">
        <v>134.76430916297363</v>
      </c>
      <c r="G24" s="7">
        <v>41.090346854133479</v>
      </c>
      <c r="H24" s="7"/>
      <c r="I24" s="52"/>
      <c r="J24" s="77"/>
      <c r="K24" s="7"/>
      <c r="L24" s="7"/>
      <c r="M24" s="7"/>
      <c r="N24" s="7"/>
      <c r="O24" s="10"/>
      <c r="Q24" s="23" t="s">
        <v>246</v>
      </c>
      <c r="R24" s="23" t="s">
        <v>226</v>
      </c>
      <c r="S24" s="31">
        <f t="shared" ref="S24:S33" si="2">D24*$M8</f>
        <v>289.41766590029397</v>
      </c>
      <c r="T24" s="31">
        <f t="shared" ref="T24:T33" si="3">E24*$M8</f>
        <v>76.226660380687349</v>
      </c>
      <c r="U24" s="31">
        <f t="shared" ref="U24:U33" si="4">F24*$M8</f>
        <v>60.070903381419548</v>
      </c>
      <c r="V24" s="31">
        <f t="shared" ref="V24:V33" si="5">G24*$M8</f>
        <v>18.315934471927982</v>
      </c>
    </row>
    <row r="25" spans="2:24">
      <c r="C25" s="23" t="s">
        <v>225</v>
      </c>
      <c r="D25" s="7">
        <v>892.72302791615937</v>
      </c>
      <c r="E25" s="7">
        <v>863.22111916080269</v>
      </c>
      <c r="F25" s="52">
        <v>2146.4565406772208</v>
      </c>
      <c r="G25" s="7">
        <v>5321.7026087460536</v>
      </c>
      <c r="H25" s="7"/>
      <c r="I25" s="52"/>
      <c r="J25" s="77"/>
      <c r="K25" s="7"/>
      <c r="L25" s="7"/>
      <c r="M25" s="7"/>
      <c r="N25" s="7"/>
      <c r="O25" s="10"/>
      <c r="R25" s="23" t="s">
        <v>225</v>
      </c>
      <c r="S25" s="31">
        <f t="shared" si="2"/>
        <v>980.54141244608763</v>
      </c>
      <c r="T25" s="31">
        <f t="shared" si="3"/>
        <v>948.13736059995358</v>
      </c>
      <c r="U25" s="31">
        <f t="shared" si="4"/>
        <v>2357.6064046008328</v>
      </c>
      <c r="V25" s="31">
        <f t="shared" si="5"/>
        <v>5845.2057686675362</v>
      </c>
    </row>
    <row r="26" spans="2:24">
      <c r="C26" s="23" t="s">
        <v>224</v>
      </c>
      <c r="D26" s="7">
        <v>0</v>
      </c>
      <c r="E26" s="7">
        <v>0</v>
      </c>
      <c r="F26" s="52">
        <v>0</v>
      </c>
      <c r="G26" s="7">
        <v>0</v>
      </c>
      <c r="H26" s="7"/>
      <c r="I26" s="52"/>
      <c r="J26" s="77"/>
      <c r="K26" s="7"/>
      <c r="L26" s="7"/>
      <c r="M26" s="7"/>
      <c r="N26" s="7"/>
      <c r="O26" s="10"/>
      <c r="R26" s="23" t="s">
        <v>224</v>
      </c>
      <c r="S26" s="31">
        <f t="shared" si="2"/>
        <v>0</v>
      </c>
      <c r="T26" s="31">
        <f t="shared" si="3"/>
        <v>0</v>
      </c>
      <c r="U26" s="31">
        <f t="shared" si="4"/>
        <v>0</v>
      </c>
      <c r="V26" s="31">
        <f t="shared" si="5"/>
        <v>0</v>
      </c>
    </row>
    <row r="27" spans="2:24">
      <c r="C27" s="23" t="s">
        <v>223</v>
      </c>
      <c r="D27" s="7">
        <v>102.42816265359777</v>
      </c>
      <c r="E27" s="7">
        <v>122.00745760109504</v>
      </c>
      <c r="F27" s="52">
        <v>365.27755319153908</v>
      </c>
      <c r="G27" s="7">
        <v>704.7913874530459</v>
      </c>
      <c r="H27" s="7"/>
      <c r="I27" s="52"/>
      <c r="J27" s="77"/>
      <c r="K27" s="7"/>
      <c r="L27" s="7"/>
      <c r="M27" s="7"/>
      <c r="N27" s="7"/>
      <c r="O27" s="10"/>
      <c r="R27" s="23" t="s">
        <v>223</v>
      </c>
      <c r="S27" s="31">
        <f t="shared" si="2"/>
        <v>73.46079260124084</v>
      </c>
      <c r="T27" s="31">
        <f t="shared" si="3"/>
        <v>87.502931873823982</v>
      </c>
      <c r="U27" s="31">
        <f t="shared" si="4"/>
        <v>261.97461598174874</v>
      </c>
      <c r="V27" s="31">
        <f t="shared" si="5"/>
        <v>505.47166520916221</v>
      </c>
    </row>
    <row r="28" spans="2:24">
      <c r="C28" s="23" t="s">
        <v>222</v>
      </c>
      <c r="D28" s="7"/>
      <c r="E28" s="7"/>
      <c r="F28" s="52"/>
      <c r="G28" s="7">
        <v>103.88350854948762</v>
      </c>
      <c r="H28" s="7"/>
      <c r="I28" s="52"/>
      <c r="J28" s="77"/>
      <c r="K28" s="7"/>
      <c r="L28" s="7"/>
      <c r="M28" s="7"/>
      <c r="N28" s="7"/>
      <c r="O28" s="10"/>
      <c r="R28" s="23" t="s">
        <v>222</v>
      </c>
      <c r="S28" s="31">
        <f t="shared" si="2"/>
        <v>0</v>
      </c>
      <c r="T28" s="31">
        <f t="shared" si="3"/>
        <v>0</v>
      </c>
      <c r="U28" s="31">
        <f t="shared" si="4"/>
        <v>0</v>
      </c>
      <c r="V28" s="31">
        <f t="shared" si="5"/>
        <v>74.504557246730485</v>
      </c>
    </row>
    <row r="29" spans="2:24">
      <c r="C29" s="23" t="s">
        <v>221</v>
      </c>
      <c r="D29" s="7"/>
      <c r="E29" s="7"/>
      <c r="F29" s="52"/>
      <c r="G29" s="7">
        <v>71.219826759468603</v>
      </c>
      <c r="H29" s="7"/>
      <c r="I29" s="52"/>
      <c r="J29" s="77"/>
      <c r="K29" s="7"/>
      <c r="L29" s="7"/>
      <c r="M29" s="7"/>
      <c r="N29" s="7"/>
      <c r="O29" s="10"/>
      <c r="R29" s="23" t="s">
        <v>221</v>
      </c>
      <c r="S29" s="31">
        <f t="shared" si="2"/>
        <v>0</v>
      </c>
      <c r="T29" s="31">
        <f t="shared" si="3"/>
        <v>0</v>
      </c>
      <c r="U29" s="31">
        <f t="shared" si="4"/>
        <v>0</v>
      </c>
      <c r="V29" s="31">
        <f t="shared" si="5"/>
        <v>84.177205260074686</v>
      </c>
    </row>
    <row r="30" spans="2:24">
      <c r="C30" s="23" t="s">
        <v>220</v>
      </c>
      <c r="D30" s="7">
        <v>19.381400178148716</v>
      </c>
      <c r="E30" s="7">
        <v>22.360576808137299</v>
      </c>
      <c r="F30" s="52">
        <v>68.786724406032363</v>
      </c>
      <c r="G30" s="7">
        <v>153.26971154252038</v>
      </c>
      <c r="H30" s="7"/>
      <c r="I30" s="52"/>
      <c r="J30" s="77"/>
      <c r="K30" s="7"/>
      <c r="L30" s="7"/>
      <c r="M30" s="7"/>
      <c r="N30" s="7"/>
      <c r="O30" s="10"/>
      <c r="R30" s="23" t="s">
        <v>220</v>
      </c>
      <c r="S30" s="31">
        <f t="shared" si="2"/>
        <v>37.962285989459403</v>
      </c>
      <c r="T30" s="31">
        <f t="shared" si="3"/>
        <v>43.797589641475703</v>
      </c>
      <c r="U30" s="31">
        <f t="shared" si="4"/>
        <v>134.73233513458962</v>
      </c>
      <c r="V30" s="31">
        <f t="shared" si="5"/>
        <v>300.20888943096361</v>
      </c>
    </row>
    <row r="31" spans="2:24">
      <c r="C31" s="23" t="s">
        <v>219</v>
      </c>
      <c r="D31" s="7">
        <v>12.768489852081181</v>
      </c>
      <c r="E31" s="7">
        <v>19.381424148606811</v>
      </c>
      <c r="F31" s="52">
        <v>66.834468524251804</v>
      </c>
      <c r="G31" s="7">
        <v>222.99119367045066</v>
      </c>
      <c r="H31" s="7"/>
      <c r="I31" s="52"/>
      <c r="J31" s="77"/>
      <c r="K31" s="7"/>
      <c r="L31" s="7"/>
      <c r="M31" s="7"/>
      <c r="N31" s="7"/>
      <c r="O31" s="10"/>
      <c r="R31" s="23" t="s">
        <v>219</v>
      </c>
      <c r="S31" s="31">
        <f t="shared" si="2"/>
        <v>11.890586459717923</v>
      </c>
      <c r="T31" s="31">
        <f t="shared" si="3"/>
        <v>18.048845417213627</v>
      </c>
      <c r="U31" s="31">
        <f t="shared" si="4"/>
        <v>62.239233901836954</v>
      </c>
      <c r="V31" s="31">
        <f t="shared" si="5"/>
        <v>207.65933158979021</v>
      </c>
    </row>
    <row r="32" spans="2:24">
      <c r="C32" s="23" t="s">
        <v>218</v>
      </c>
      <c r="D32" s="7"/>
      <c r="E32" s="7"/>
      <c r="F32" s="52"/>
      <c r="G32" s="7">
        <v>28.665683743732313</v>
      </c>
      <c r="H32" s="7"/>
      <c r="I32" s="52"/>
      <c r="J32" s="77"/>
      <c r="K32" s="7"/>
      <c r="L32" s="7"/>
      <c r="M32" s="7"/>
      <c r="N32" s="7"/>
      <c r="O32" s="10"/>
      <c r="R32" s="23" t="s">
        <v>218</v>
      </c>
      <c r="S32" s="31">
        <f t="shared" si="2"/>
        <v>0</v>
      </c>
      <c r="T32" s="31">
        <f t="shared" si="3"/>
        <v>0</v>
      </c>
      <c r="U32" s="31">
        <f t="shared" si="4"/>
        <v>0</v>
      </c>
      <c r="V32" s="31">
        <f t="shared" si="5"/>
        <v>28.665683707197402</v>
      </c>
    </row>
    <row r="33" spans="2:25">
      <c r="C33" s="23" t="s">
        <v>217</v>
      </c>
      <c r="D33" s="7">
        <v>1.6609131045264516</v>
      </c>
      <c r="E33" s="7">
        <v>2.0656087794431226</v>
      </c>
      <c r="F33" s="52">
        <v>6.2053539758344023</v>
      </c>
      <c r="G33" s="7">
        <v>15.047156368290873</v>
      </c>
      <c r="H33" s="7"/>
      <c r="I33" s="52"/>
      <c r="J33" s="77"/>
      <c r="K33" s="7"/>
      <c r="L33" s="7"/>
      <c r="M33" s="7"/>
      <c r="N33" s="7"/>
      <c r="O33" s="10"/>
      <c r="R33" s="23" t="s">
        <v>217</v>
      </c>
      <c r="S33" s="31">
        <f t="shared" si="2"/>
        <v>1.6609131470756291</v>
      </c>
      <c r="T33" s="31">
        <f t="shared" si="3"/>
        <v>2.065608832359771</v>
      </c>
      <c r="U33" s="31">
        <f t="shared" si="4"/>
        <v>6.205354134802807</v>
      </c>
      <c r="V33" s="31">
        <f t="shared" si="5"/>
        <v>15.047156753768068</v>
      </c>
    </row>
    <row r="34" spans="2:25">
      <c r="C34" s="23" t="s">
        <v>10</v>
      </c>
      <c r="D34" s="7">
        <f>SUM(D24:F33)</f>
        <v>5666.6171869443106</v>
      </c>
      <c r="E34" s="7"/>
      <c r="F34" s="52"/>
      <c r="G34" s="7">
        <f>SUM(G24:I33)</f>
        <v>6662.6614236871837</v>
      </c>
      <c r="H34" s="7"/>
      <c r="I34" s="52"/>
      <c r="J34" s="77"/>
      <c r="K34" s="7"/>
      <c r="L34" s="7"/>
      <c r="M34" s="7"/>
      <c r="N34" s="7"/>
      <c r="O34" s="10"/>
      <c r="R34" s="23" t="s">
        <v>10</v>
      </c>
    </row>
    <row r="35" spans="2:25">
      <c r="D35" s="7"/>
      <c r="E35" s="7"/>
      <c r="F35" s="52"/>
      <c r="G35" s="7"/>
      <c r="H35" s="7"/>
      <c r="I35" s="52"/>
      <c r="J35" s="77"/>
      <c r="K35" s="7"/>
      <c r="L35" s="7"/>
      <c r="M35" s="7"/>
      <c r="N35" s="7"/>
      <c r="O35" s="10"/>
    </row>
    <row r="36" spans="2:25">
      <c r="D36" s="7"/>
      <c r="E36" s="7"/>
      <c r="F36" s="52"/>
      <c r="G36" s="7"/>
      <c r="H36" s="7"/>
      <c r="I36" s="52"/>
      <c r="J36" s="77"/>
      <c r="K36" s="7"/>
      <c r="L36" s="7"/>
      <c r="M36" s="7"/>
      <c r="N36" s="7"/>
      <c r="O36" s="10"/>
    </row>
    <row r="37" spans="2:25">
      <c r="D37" s="7"/>
      <c r="E37" s="7"/>
      <c r="F37" s="52"/>
      <c r="G37" s="7"/>
      <c r="H37" s="7"/>
      <c r="I37" s="52"/>
      <c r="J37" s="77"/>
      <c r="K37" s="7"/>
      <c r="L37" s="7"/>
      <c r="M37" s="7"/>
      <c r="N37" s="7"/>
      <c r="O37" s="10"/>
    </row>
    <row r="38" spans="2:25">
      <c r="C38" s="23" t="s">
        <v>235</v>
      </c>
      <c r="D38" s="7" t="s">
        <v>234</v>
      </c>
      <c r="E38" s="7" t="s">
        <v>233</v>
      </c>
      <c r="F38" s="52" t="s">
        <v>232</v>
      </c>
      <c r="G38" s="7" t="s">
        <v>231</v>
      </c>
      <c r="H38" s="7" t="s">
        <v>230</v>
      </c>
      <c r="I38" s="52" t="s">
        <v>229</v>
      </c>
      <c r="J38" s="77"/>
      <c r="K38" s="7"/>
      <c r="L38" s="7"/>
      <c r="M38" s="7"/>
      <c r="N38" s="7"/>
      <c r="O38" s="10"/>
      <c r="R38" s="23" t="s">
        <v>235</v>
      </c>
      <c r="S38" s="23" t="s">
        <v>234</v>
      </c>
      <c r="T38" s="23" t="s">
        <v>233</v>
      </c>
      <c r="U38" s="23" t="s">
        <v>232</v>
      </c>
      <c r="V38" s="23" t="s">
        <v>231</v>
      </c>
      <c r="W38" s="23" t="s">
        <v>230</v>
      </c>
      <c r="X38" s="23" t="s">
        <v>229</v>
      </c>
    </row>
    <row r="39" spans="2:25">
      <c r="B39" s="23" t="s">
        <v>245</v>
      </c>
      <c r="C39" s="23" t="s">
        <v>226</v>
      </c>
      <c r="D39" s="7">
        <v>649.28558768232961</v>
      </c>
      <c r="E39" s="7">
        <v>171.00846912153079</v>
      </c>
      <c r="F39" s="52">
        <v>134.76430916297363</v>
      </c>
      <c r="G39" s="7">
        <v>41.090346854133479</v>
      </c>
      <c r="H39" s="7">
        <v>5.9145457184940975</v>
      </c>
      <c r="I39" s="52">
        <v>2.2466741225114402</v>
      </c>
      <c r="J39" s="77"/>
      <c r="K39" s="7"/>
      <c r="L39" s="7"/>
      <c r="M39" s="7"/>
      <c r="N39" s="7"/>
      <c r="O39" s="10"/>
      <c r="Q39" s="23" t="s">
        <v>245</v>
      </c>
      <c r="R39" s="23" t="s">
        <v>226</v>
      </c>
      <c r="S39" s="7">
        <f t="shared" ref="S39:S48" si="6">D39*$M8</f>
        <v>289.41766590029397</v>
      </c>
      <c r="T39" s="7">
        <f t="shared" ref="T39:T48" si="7">E39*$M8</f>
        <v>76.226660380687349</v>
      </c>
      <c r="U39" s="7">
        <f t="shared" ref="U39:U48" si="8">F39*$M8</f>
        <v>60.070903381419548</v>
      </c>
      <c r="V39" s="7">
        <f t="shared" ref="V39:V48" si="9">G39*$M8</f>
        <v>18.315934471927982</v>
      </c>
      <c r="W39" s="7">
        <f t="shared" ref="W39:W48" si="10">H39*$M8</f>
        <v>2.6363961393590087</v>
      </c>
      <c r="X39" s="7">
        <f t="shared" ref="X39:X48" si="11">I39*$M8</f>
        <v>1.0014501983586046</v>
      </c>
      <c r="Y39" s="7"/>
    </row>
    <row r="40" spans="2:25">
      <c r="C40" s="23" t="s">
        <v>225</v>
      </c>
      <c r="D40" s="7">
        <v>892.72302791615937</v>
      </c>
      <c r="E40" s="7">
        <v>863.22111916080269</v>
      </c>
      <c r="F40" s="52">
        <v>2146.4565406772208</v>
      </c>
      <c r="G40" s="7">
        <v>5321.7026087460536</v>
      </c>
      <c r="H40" s="7">
        <v>4864.7406138042134</v>
      </c>
      <c r="I40" s="52">
        <v>8559.6441119174979</v>
      </c>
      <c r="J40" s="77"/>
      <c r="K40" s="7"/>
      <c r="L40" s="7"/>
      <c r="M40" s="7"/>
      <c r="N40" s="7"/>
      <c r="O40" s="10"/>
      <c r="R40" s="23" t="s">
        <v>225</v>
      </c>
      <c r="S40" s="7">
        <f t="shared" si="6"/>
        <v>980.54141244608763</v>
      </c>
      <c r="T40" s="7">
        <f t="shared" si="7"/>
        <v>948.13736059995358</v>
      </c>
      <c r="U40" s="7">
        <f t="shared" si="8"/>
        <v>2357.6064046008328</v>
      </c>
      <c r="V40" s="7">
        <f t="shared" si="9"/>
        <v>5845.2057686675362</v>
      </c>
      <c r="W40" s="7">
        <f t="shared" si="10"/>
        <v>5343.2917976564349</v>
      </c>
      <c r="X40" s="7">
        <f t="shared" si="11"/>
        <v>9401.6680034870369</v>
      </c>
      <c r="Y40" s="7"/>
    </row>
    <row r="41" spans="2:25">
      <c r="C41" s="23" t="s">
        <v>224</v>
      </c>
      <c r="D41" s="7">
        <v>566.26669375689096</v>
      </c>
      <c r="E41" s="7">
        <v>318.24803348233866</v>
      </c>
      <c r="F41" s="52">
        <v>471.1821712931627</v>
      </c>
      <c r="G41" s="7">
        <v>454.51264308523866</v>
      </c>
      <c r="H41" s="7">
        <v>149.03210967565812</v>
      </c>
      <c r="I41" s="52">
        <v>115.54105832840681</v>
      </c>
      <c r="J41" s="77"/>
      <c r="K41" s="7"/>
      <c r="L41" s="7"/>
      <c r="M41" s="7"/>
      <c r="N41" s="7"/>
      <c r="O41" s="10"/>
      <c r="R41" s="23" t="s">
        <v>224</v>
      </c>
      <c r="S41" s="7">
        <f t="shared" si="6"/>
        <v>546.63053113484455</v>
      </c>
      <c r="T41" s="7">
        <f t="shared" si="7"/>
        <v>307.21229677293485</v>
      </c>
      <c r="U41" s="7">
        <f t="shared" si="8"/>
        <v>454.84320973648391</v>
      </c>
      <c r="V41" s="7">
        <f t="shared" si="9"/>
        <v>438.75172288315895</v>
      </c>
      <c r="W41" s="7">
        <f t="shared" si="10"/>
        <v>143.86419361461878</v>
      </c>
      <c r="X41" s="7">
        <f t="shared" si="11"/>
        <v>111.53449563299606</v>
      </c>
      <c r="Y41" s="7"/>
    </row>
    <row r="42" spans="2:25">
      <c r="C42" s="23" t="s">
        <v>223</v>
      </c>
      <c r="D42" s="7"/>
      <c r="E42" s="7"/>
      <c r="F42" s="52"/>
      <c r="G42" s="7"/>
      <c r="H42" s="7"/>
      <c r="I42" s="52"/>
      <c r="J42" s="77"/>
      <c r="K42" s="7"/>
      <c r="L42" s="7"/>
      <c r="M42" s="7"/>
      <c r="N42" s="7"/>
      <c r="O42" s="10"/>
      <c r="R42" s="23" t="s">
        <v>223</v>
      </c>
      <c r="S42" s="7">
        <f t="shared" si="6"/>
        <v>0</v>
      </c>
      <c r="T42" s="7">
        <f t="shared" si="7"/>
        <v>0</v>
      </c>
      <c r="U42" s="7">
        <f t="shared" si="8"/>
        <v>0</v>
      </c>
      <c r="V42" s="7">
        <f t="shared" si="9"/>
        <v>0</v>
      </c>
      <c r="W42" s="7">
        <f t="shared" si="10"/>
        <v>0</v>
      </c>
      <c r="X42" s="7">
        <f t="shared" si="11"/>
        <v>0</v>
      </c>
      <c r="Y42" s="7"/>
    </row>
    <row r="43" spans="2:25">
      <c r="C43" s="23" t="s">
        <v>222</v>
      </c>
      <c r="D43" s="7"/>
      <c r="E43" s="7"/>
      <c r="F43" s="52"/>
      <c r="G43" s="7">
        <v>103.88350854948762</v>
      </c>
      <c r="H43" s="7">
        <v>59.430705843717043</v>
      </c>
      <c r="I43" s="52">
        <v>192.20853706596571</v>
      </c>
      <c r="J43" s="77"/>
      <c r="K43" s="7"/>
      <c r="L43" s="7"/>
      <c r="M43" s="7"/>
      <c r="N43" s="7"/>
      <c r="O43" s="10"/>
      <c r="R43" s="23" t="s">
        <v>222</v>
      </c>
      <c r="S43" s="7">
        <f t="shared" si="6"/>
        <v>0</v>
      </c>
      <c r="T43" s="7">
        <f t="shared" si="7"/>
        <v>0</v>
      </c>
      <c r="U43" s="7">
        <f t="shared" si="8"/>
        <v>0</v>
      </c>
      <c r="V43" s="7">
        <f t="shared" si="9"/>
        <v>74.504557246730485</v>
      </c>
      <c r="W43" s="7">
        <f t="shared" si="10"/>
        <v>42.623304580028602</v>
      </c>
      <c r="X43" s="7">
        <f t="shared" si="11"/>
        <v>137.85067671563729</v>
      </c>
      <c r="Y43" s="7"/>
    </row>
    <row r="44" spans="2:25">
      <c r="C44" s="23" t="s">
        <v>221</v>
      </c>
      <c r="D44" s="7"/>
      <c r="E44" s="7"/>
      <c r="F44" s="52"/>
      <c r="G44" s="7">
        <v>71.219826759468603</v>
      </c>
      <c r="H44" s="7">
        <v>130.02102258574328</v>
      </c>
      <c r="I44" s="52">
        <v>379.11727033992196</v>
      </c>
      <c r="J44" s="77"/>
      <c r="K44" s="7"/>
      <c r="L44" s="7"/>
      <c r="M44" s="7"/>
      <c r="N44" s="7"/>
      <c r="O44" s="10"/>
      <c r="R44" s="23" t="s">
        <v>221</v>
      </c>
      <c r="S44" s="7">
        <f t="shared" si="6"/>
        <v>0</v>
      </c>
      <c r="T44" s="7">
        <f t="shared" si="7"/>
        <v>0</v>
      </c>
      <c r="U44" s="7">
        <f t="shared" si="8"/>
        <v>0</v>
      </c>
      <c r="V44" s="7">
        <f t="shared" si="9"/>
        <v>84.177205260074686</v>
      </c>
      <c r="W44" s="7">
        <f t="shared" si="10"/>
        <v>153.67639608684976</v>
      </c>
      <c r="X44" s="7">
        <f t="shared" si="11"/>
        <v>448.09196729476781</v>
      </c>
      <c r="Y44" s="7"/>
    </row>
    <row r="45" spans="2:25">
      <c r="C45" s="23" t="s">
        <v>220</v>
      </c>
      <c r="D45" s="7">
        <v>19.381400178148716</v>
      </c>
      <c r="E45" s="7">
        <v>22.360576808137299</v>
      </c>
      <c r="F45" s="52">
        <v>68.786724406032363</v>
      </c>
      <c r="G45" s="7">
        <v>153.26971154252038</v>
      </c>
      <c r="H45" s="7">
        <v>34.951587065161888</v>
      </c>
      <c r="I45" s="52">
        <v>0</v>
      </c>
      <c r="J45" s="77"/>
      <c r="K45" s="7"/>
      <c r="L45" s="7"/>
      <c r="M45" s="7"/>
      <c r="N45" s="7"/>
      <c r="O45" s="10"/>
      <c r="R45" s="23" t="s">
        <v>220</v>
      </c>
      <c r="S45" s="7">
        <f t="shared" si="6"/>
        <v>37.962285989459403</v>
      </c>
      <c r="T45" s="7">
        <f t="shared" si="7"/>
        <v>43.797589641475703</v>
      </c>
      <c r="U45" s="7">
        <f t="shared" si="8"/>
        <v>134.73233513458962</v>
      </c>
      <c r="V45" s="7">
        <f t="shared" si="9"/>
        <v>300.20888943096361</v>
      </c>
      <c r="W45" s="7">
        <f t="shared" si="10"/>
        <v>68.459560803511764</v>
      </c>
      <c r="X45" s="7">
        <f t="shared" si="11"/>
        <v>0</v>
      </c>
      <c r="Y45" s="7"/>
    </row>
    <row r="46" spans="2:25">
      <c r="C46" s="23" t="s">
        <v>219</v>
      </c>
      <c r="D46" s="7">
        <v>12.768489852081181</v>
      </c>
      <c r="E46" s="7">
        <v>19.381424148606811</v>
      </c>
      <c r="F46" s="52">
        <v>66.834468524251804</v>
      </c>
      <c r="G46" s="7">
        <v>222.99119367045066</v>
      </c>
      <c r="H46" s="7">
        <v>259.63866529067769</v>
      </c>
      <c r="I46" s="52">
        <v>353.19167526659788</v>
      </c>
      <c r="J46" s="77"/>
      <c r="K46" s="7"/>
      <c r="L46" s="7"/>
      <c r="M46" s="7"/>
      <c r="N46" s="7"/>
      <c r="O46" s="10"/>
      <c r="R46" s="23" t="s">
        <v>219</v>
      </c>
      <c r="S46" s="7">
        <f t="shared" si="6"/>
        <v>11.890586459717923</v>
      </c>
      <c r="T46" s="7">
        <f t="shared" si="7"/>
        <v>18.048845417213627</v>
      </c>
      <c r="U46" s="7">
        <f t="shared" si="8"/>
        <v>62.239233901836954</v>
      </c>
      <c r="V46" s="7">
        <f t="shared" si="9"/>
        <v>207.65933158979021</v>
      </c>
      <c r="W46" s="7">
        <f t="shared" si="10"/>
        <v>241.78708944357763</v>
      </c>
      <c r="X46" s="7">
        <f t="shared" si="11"/>
        <v>328.90781919097361</v>
      </c>
      <c r="Y46" s="7"/>
    </row>
    <row r="47" spans="2:25">
      <c r="C47" s="23" t="s">
        <v>218</v>
      </c>
      <c r="D47" s="7"/>
      <c r="E47" s="7"/>
      <c r="F47" s="52"/>
      <c r="G47" s="7">
        <v>28.665683743732313</v>
      </c>
      <c r="H47" s="7">
        <v>29.504022012265843</v>
      </c>
      <c r="I47" s="52">
        <v>79.80232286879999</v>
      </c>
      <c r="J47" s="77"/>
      <c r="K47" s="7"/>
      <c r="L47" s="7"/>
      <c r="M47" s="7"/>
      <c r="N47" s="7"/>
      <c r="O47" s="10"/>
      <c r="R47" s="23" t="s">
        <v>218</v>
      </c>
      <c r="S47" s="7">
        <f t="shared" si="6"/>
        <v>0</v>
      </c>
      <c r="T47" s="7">
        <f t="shared" si="7"/>
        <v>0</v>
      </c>
      <c r="U47" s="7">
        <f t="shared" si="8"/>
        <v>0</v>
      </c>
      <c r="V47" s="7">
        <f t="shared" si="9"/>
        <v>28.665683707197402</v>
      </c>
      <c r="W47" s="7">
        <f t="shared" si="10"/>
        <v>29.504021974662457</v>
      </c>
      <c r="X47" s="7">
        <f t="shared" si="11"/>
        <v>79.802322767090558</v>
      </c>
      <c r="Y47" s="7"/>
    </row>
    <row r="48" spans="2:25">
      <c r="C48" s="23" t="s">
        <v>217</v>
      </c>
      <c r="D48" s="7">
        <v>1.6609131045264516</v>
      </c>
      <c r="E48" s="7">
        <v>2.0656087794431226</v>
      </c>
      <c r="F48" s="52">
        <v>6.2053539758344023</v>
      </c>
      <c r="G48" s="7">
        <v>15.047156368290873</v>
      </c>
      <c r="H48" s="7">
        <v>8.1625018498081481</v>
      </c>
      <c r="I48" s="52">
        <v>9.2915592694864788</v>
      </c>
      <c r="J48" s="77"/>
      <c r="K48" s="7"/>
      <c r="L48" s="7"/>
      <c r="M48" s="7"/>
      <c r="N48" s="7"/>
      <c r="O48" s="10"/>
      <c r="R48" s="23" t="s">
        <v>217</v>
      </c>
      <c r="S48" s="7">
        <f t="shared" si="6"/>
        <v>1.6609131470756291</v>
      </c>
      <c r="T48" s="7">
        <f t="shared" si="7"/>
        <v>2.065608832359771</v>
      </c>
      <c r="U48" s="7">
        <f t="shared" si="8"/>
        <v>6.205354134802807</v>
      </c>
      <c r="V48" s="7">
        <f t="shared" si="9"/>
        <v>15.047156753768068</v>
      </c>
      <c r="W48" s="7">
        <f t="shared" si="10"/>
        <v>8.1625020589146562</v>
      </c>
      <c r="X48" s="7">
        <f t="shared" si="11"/>
        <v>9.2915595075171158</v>
      </c>
      <c r="Y48" s="7"/>
    </row>
    <row r="49" spans="2:29">
      <c r="C49" s="23" t="s">
        <v>10</v>
      </c>
      <c r="D49" s="7">
        <f>SUM(D39:F48)</f>
        <v>6432.6009120304707</v>
      </c>
      <c r="E49" s="7"/>
      <c r="F49" s="52"/>
      <c r="G49" s="7">
        <f>SUM(G39:I48)</f>
        <v>21644.821662344308</v>
      </c>
      <c r="H49" s="7"/>
      <c r="I49" s="52"/>
      <c r="J49" s="77"/>
      <c r="K49" s="7"/>
      <c r="L49" s="7"/>
      <c r="M49" s="7"/>
      <c r="N49" s="7"/>
      <c r="O49" s="10"/>
      <c r="R49" s="23" t="s">
        <v>10</v>
      </c>
      <c r="S49" s="7"/>
      <c r="T49" s="7"/>
      <c r="U49" s="7"/>
      <c r="V49" s="7"/>
      <c r="W49" s="7"/>
      <c r="X49" s="7"/>
      <c r="Y49" s="7"/>
    </row>
    <row r="50" spans="2:29">
      <c r="D50" s="7"/>
      <c r="E50" s="7"/>
      <c r="F50" s="52"/>
      <c r="G50" s="7"/>
      <c r="H50" s="7"/>
      <c r="I50" s="52"/>
      <c r="J50" s="77"/>
      <c r="K50" s="7"/>
      <c r="L50" s="7"/>
      <c r="M50" s="7"/>
      <c r="N50" s="7"/>
      <c r="O50" s="10"/>
    </row>
    <row r="51" spans="2:29">
      <c r="D51" s="7"/>
      <c r="E51" s="7"/>
      <c r="F51" s="52"/>
      <c r="G51" s="7"/>
      <c r="H51" s="7"/>
      <c r="I51" s="52"/>
      <c r="J51" s="77"/>
      <c r="K51" s="7"/>
      <c r="L51" s="7"/>
      <c r="M51" s="7"/>
      <c r="N51" s="7"/>
      <c r="O51" s="10"/>
    </row>
    <row r="52" spans="2:29">
      <c r="D52" s="7"/>
      <c r="E52" s="7"/>
      <c r="F52" s="52"/>
      <c r="G52" s="7"/>
      <c r="H52" s="7"/>
      <c r="I52" s="52"/>
      <c r="J52" s="77"/>
      <c r="K52" s="7"/>
      <c r="L52" s="7"/>
      <c r="M52" s="7"/>
      <c r="N52" s="7"/>
      <c r="O52" s="10"/>
    </row>
    <row r="53" spans="2:29">
      <c r="C53" s="23" t="s">
        <v>235</v>
      </c>
      <c r="D53" s="7" t="s">
        <v>234</v>
      </c>
      <c r="E53" s="7" t="s">
        <v>233</v>
      </c>
      <c r="F53" s="52" t="s">
        <v>232</v>
      </c>
      <c r="G53" s="7" t="s">
        <v>231</v>
      </c>
      <c r="H53" s="7" t="s">
        <v>230</v>
      </c>
      <c r="I53" s="52" t="s">
        <v>229</v>
      </c>
      <c r="J53" s="77" t="s">
        <v>228</v>
      </c>
      <c r="K53" s="7" t="s">
        <v>237</v>
      </c>
      <c r="L53" s="7" t="s">
        <v>241</v>
      </c>
      <c r="M53" s="7" t="s">
        <v>240</v>
      </c>
      <c r="N53" s="7" t="s">
        <v>239</v>
      </c>
      <c r="O53" s="10"/>
      <c r="R53" s="23" t="s">
        <v>235</v>
      </c>
      <c r="S53" s="23" t="s">
        <v>234</v>
      </c>
      <c r="T53" s="23" t="s">
        <v>233</v>
      </c>
      <c r="U53" s="23" t="s">
        <v>232</v>
      </c>
      <c r="V53" s="23" t="s">
        <v>231</v>
      </c>
      <c r="W53" s="23" t="s">
        <v>230</v>
      </c>
      <c r="X53" s="23" t="s">
        <v>229</v>
      </c>
      <c r="Y53" s="23" t="s">
        <v>228</v>
      </c>
      <c r="Z53" s="23" t="s">
        <v>237</v>
      </c>
      <c r="AA53" s="23" t="s">
        <v>241</v>
      </c>
      <c r="AB53" s="23" t="s">
        <v>240</v>
      </c>
      <c r="AC53" s="23" t="s">
        <v>239</v>
      </c>
    </row>
    <row r="54" spans="2:29">
      <c r="B54" s="23" t="s">
        <v>244</v>
      </c>
      <c r="C54" s="23" t="s">
        <v>226</v>
      </c>
      <c r="D54" s="7"/>
      <c r="E54" s="7"/>
      <c r="F54" s="52"/>
      <c r="G54" s="7">
        <v>41.090346854133479</v>
      </c>
      <c r="H54" s="7">
        <v>5.9145457184940984</v>
      </c>
      <c r="I54" s="52">
        <v>2.2466741225114402</v>
      </c>
      <c r="J54" s="77"/>
      <c r="K54" s="7"/>
      <c r="L54" s="7"/>
      <c r="M54" s="7"/>
      <c r="N54" s="7"/>
      <c r="O54" s="10"/>
      <c r="Q54" s="23" t="s">
        <v>244</v>
      </c>
      <c r="R54" s="23" t="s">
        <v>226</v>
      </c>
      <c r="V54" s="7">
        <f t="shared" ref="V54:V63" si="12">G54*$M8</f>
        <v>18.315934471927982</v>
      </c>
      <c r="W54" s="7">
        <f t="shared" ref="W54:W63" si="13">H54*$M8</f>
        <v>2.6363961393590092</v>
      </c>
      <c r="X54" s="7">
        <f t="shared" ref="X54:X63" si="14">I54*$M8</f>
        <v>1.0014501983586046</v>
      </c>
      <c r="Y54" s="7">
        <f t="shared" ref="Y54:Y63" si="15">J54*$M8</f>
        <v>0</v>
      </c>
      <c r="Z54" s="7">
        <f t="shared" ref="Z54:Z63" si="16">K54*$M8</f>
        <v>0</v>
      </c>
      <c r="AA54" s="7">
        <f t="shared" ref="AA54:AA63" si="17">L54*$M8</f>
        <v>0</v>
      </c>
      <c r="AB54" s="7">
        <f t="shared" ref="AB54:AB63" si="18">M54*$M8</f>
        <v>0</v>
      </c>
      <c r="AC54" s="7">
        <f t="shared" ref="AC54:AC63" si="19">N54*$M8</f>
        <v>0</v>
      </c>
    </row>
    <row r="55" spans="2:29">
      <c r="C55" s="23" t="s">
        <v>225</v>
      </c>
      <c r="D55" s="7"/>
      <c r="E55" s="7"/>
      <c r="F55" s="52"/>
      <c r="G55" s="7">
        <v>5321.7026087460536</v>
      </c>
      <c r="H55" s="7">
        <v>4864.7406138042134</v>
      </c>
      <c r="I55" s="52">
        <v>8559.6441119174979</v>
      </c>
      <c r="J55" s="77">
        <v>13524.150022185126</v>
      </c>
      <c r="K55" s="7">
        <v>6438.9017007015855</v>
      </c>
      <c r="L55" s="7">
        <v>5025.4700639039474</v>
      </c>
      <c r="M55" s="7">
        <v>5392.467851867942</v>
      </c>
      <c r="N55" s="7">
        <v>5219.6888309508386</v>
      </c>
      <c r="O55" s="10"/>
      <c r="R55" s="23" t="s">
        <v>225</v>
      </c>
      <c r="V55" s="7">
        <f t="shared" si="12"/>
        <v>5845.2057686675362</v>
      </c>
      <c r="W55" s="7">
        <f t="shared" si="13"/>
        <v>5343.2917976564349</v>
      </c>
      <c r="X55" s="7">
        <f t="shared" si="14"/>
        <v>9401.6680034870369</v>
      </c>
      <c r="Y55" s="7">
        <f t="shared" si="15"/>
        <v>14854.539146190373</v>
      </c>
      <c r="Z55" s="7">
        <f t="shared" si="16"/>
        <v>7072.3052624115744</v>
      </c>
      <c r="AA55" s="7">
        <f t="shared" si="17"/>
        <v>5519.8324234654929</v>
      </c>
      <c r="AB55" s="7">
        <f t="shared" si="18"/>
        <v>5922.9322854851844</v>
      </c>
      <c r="AC55" s="7">
        <f t="shared" si="19"/>
        <v>5733.1567561067495</v>
      </c>
    </row>
    <row r="56" spans="2:29">
      <c r="C56" s="23" t="s">
        <v>224</v>
      </c>
      <c r="D56" s="7"/>
      <c r="E56" s="7"/>
      <c r="F56" s="52"/>
      <c r="G56" s="7">
        <v>454.51264308523866</v>
      </c>
      <c r="H56" s="7">
        <v>149.03210967565812</v>
      </c>
      <c r="I56" s="52">
        <v>115.54105832840681</v>
      </c>
      <c r="J56" s="77"/>
      <c r="K56" s="7"/>
      <c r="L56" s="7"/>
      <c r="M56" s="7"/>
      <c r="N56" s="7"/>
      <c r="O56" s="10"/>
      <c r="R56" s="23" t="s">
        <v>224</v>
      </c>
      <c r="V56" s="7">
        <f t="shared" si="12"/>
        <v>438.75172288315895</v>
      </c>
      <c r="W56" s="7">
        <f t="shared" si="13"/>
        <v>143.86419361461878</v>
      </c>
      <c r="X56" s="7">
        <f t="shared" si="14"/>
        <v>111.53449563299606</v>
      </c>
      <c r="Y56" s="7">
        <f t="shared" si="15"/>
        <v>0</v>
      </c>
      <c r="Z56" s="7">
        <f t="shared" si="16"/>
        <v>0</v>
      </c>
      <c r="AA56" s="7">
        <f t="shared" si="17"/>
        <v>0</v>
      </c>
      <c r="AB56" s="7">
        <f t="shared" si="18"/>
        <v>0</v>
      </c>
      <c r="AC56" s="7">
        <f t="shared" si="19"/>
        <v>0</v>
      </c>
    </row>
    <row r="57" spans="2:29">
      <c r="C57" s="23" t="s">
        <v>223</v>
      </c>
      <c r="D57" s="7"/>
      <c r="E57" s="7"/>
      <c r="F57" s="52"/>
      <c r="G57" s="7">
        <v>704.7913874530459</v>
      </c>
      <c r="H57" s="7">
        <v>458.9615598467052</v>
      </c>
      <c r="I57" s="52">
        <v>530.00758138449817</v>
      </c>
      <c r="J57" s="77">
        <v>486.97387171804513</v>
      </c>
      <c r="K57" s="7">
        <v>52.706350563655093</v>
      </c>
      <c r="L57" s="7">
        <v>51.29052618030363</v>
      </c>
      <c r="M57" s="7">
        <v>72.901818181821781</v>
      </c>
      <c r="N57" s="7">
        <v>55.272621039284509</v>
      </c>
      <c r="O57" s="10"/>
      <c r="R57" s="23" t="s">
        <v>223</v>
      </c>
      <c r="V57" s="7">
        <f t="shared" si="12"/>
        <v>505.47166520916221</v>
      </c>
      <c r="W57" s="7">
        <f t="shared" si="13"/>
        <v>329.16415843427745</v>
      </c>
      <c r="X57" s="7">
        <f t="shared" si="14"/>
        <v>380.11788949925403</v>
      </c>
      <c r="Y57" s="7">
        <f t="shared" si="15"/>
        <v>349.25440099404182</v>
      </c>
      <c r="Z57" s="7">
        <f t="shared" si="16"/>
        <v>37.800641808046358</v>
      </c>
      <c r="AA57" s="7">
        <f t="shared" si="17"/>
        <v>36.785222037832327</v>
      </c>
      <c r="AB57" s="7">
        <f t="shared" si="18"/>
        <v>52.28469599537496</v>
      </c>
      <c r="AC57" s="7">
        <f t="shared" si="19"/>
        <v>39.641153814558251</v>
      </c>
    </row>
    <row r="58" spans="2:29">
      <c r="C58" s="23" t="s">
        <v>222</v>
      </c>
      <c r="D58" s="7"/>
      <c r="E58" s="7"/>
      <c r="F58" s="52"/>
      <c r="G58" s="7">
        <v>0</v>
      </c>
      <c r="H58" s="7">
        <v>0</v>
      </c>
      <c r="I58" s="52">
        <v>0</v>
      </c>
      <c r="J58" s="77">
        <v>0</v>
      </c>
      <c r="K58" s="7">
        <v>0</v>
      </c>
      <c r="L58" s="7">
        <v>0</v>
      </c>
      <c r="M58" s="7">
        <v>0</v>
      </c>
      <c r="N58" s="7">
        <v>0</v>
      </c>
      <c r="O58" s="10"/>
      <c r="R58" s="23" t="s">
        <v>222</v>
      </c>
      <c r="V58" s="7">
        <f t="shared" si="12"/>
        <v>0</v>
      </c>
      <c r="W58" s="7">
        <f t="shared" si="13"/>
        <v>0</v>
      </c>
      <c r="X58" s="7">
        <f t="shared" si="14"/>
        <v>0</v>
      </c>
      <c r="Y58" s="7">
        <f t="shared" si="15"/>
        <v>0</v>
      </c>
      <c r="Z58" s="7">
        <f t="shared" si="16"/>
        <v>0</v>
      </c>
      <c r="AA58" s="7">
        <f t="shared" si="17"/>
        <v>0</v>
      </c>
      <c r="AB58" s="7">
        <f t="shared" si="18"/>
        <v>0</v>
      </c>
      <c r="AC58" s="7">
        <f t="shared" si="19"/>
        <v>0</v>
      </c>
    </row>
    <row r="59" spans="2:29">
      <c r="C59" s="23" t="s">
        <v>221</v>
      </c>
      <c r="D59" s="7"/>
      <c r="E59" s="7"/>
      <c r="F59" s="52"/>
      <c r="G59" s="7">
        <v>71.219826759468603</v>
      </c>
      <c r="H59" s="7">
        <v>130.02102258574328</v>
      </c>
      <c r="I59" s="52">
        <v>379.11727033992196</v>
      </c>
      <c r="J59" s="77">
        <v>1326.9999598632257</v>
      </c>
      <c r="K59" s="7">
        <v>746.93662686486027</v>
      </c>
      <c r="L59" s="7">
        <v>703.52565878942085</v>
      </c>
      <c r="M59" s="7">
        <v>760.05653817452662</v>
      </c>
      <c r="N59" s="7">
        <v>1048.5910546826829</v>
      </c>
      <c r="O59" s="10"/>
      <c r="R59" s="23" t="s">
        <v>221</v>
      </c>
      <c r="V59" s="7">
        <f t="shared" si="12"/>
        <v>84.177205260074686</v>
      </c>
      <c r="W59" s="7">
        <f t="shared" si="13"/>
        <v>153.67639608684976</v>
      </c>
      <c r="X59" s="7">
        <f t="shared" si="14"/>
        <v>448.09196729476781</v>
      </c>
      <c r="Y59" s="7">
        <f t="shared" si="15"/>
        <v>1568.4276848745185</v>
      </c>
      <c r="Z59" s="7">
        <f t="shared" si="16"/>
        <v>882.83053493263355</v>
      </c>
      <c r="AA59" s="7">
        <f t="shared" si="17"/>
        <v>831.52159279540786</v>
      </c>
      <c r="AB59" s="7">
        <f t="shared" si="18"/>
        <v>898.33741718099463</v>
      </c>
      <c r="AC59" s="7">
        <f t="shared" si="19"/>
        <v>1239.3664581916062</v>
      </c>
    </row>
    <row r="60" spans="2:29">
      <c r="C60" s="23" t="s">
        <v>220</v>
      </c>
      <c r="D60" s="7"/>
      <c r="E60" s="7"/>
      <c r="F60" s="52"/>
      <c r="G60" s="7">
        <v>153.26971154252038</v>
      </c>
      <c r="H60" s="7">
        <v>34.951587065161888</v>
      </c>
      <c r="I60" s="52">
        <v>0</v>
      </c>
      <c r="J60" s="77"/>
      <c r="K60" s="7"/>
      <c r="L60" s="7"/>
      <c r="M60" s="7"/>
      <c r="N60" s="7"/>
      <c r="O60" s="10"/>
      <c r="R60" s="23" t="s">
        <v>220</v>
      </c>
      <c r="V60" s="7">
        <f t="shared" si="12"/>
        <v>300.20888943096361</v>
      </c>
      <c r="W60" s="7">
        <f t="shared" si="13"/>
        <v>68.459560803511764</v>
      </c>
      <c r="X60" s="7">
        <f t="shared" si="14"/>
        <v>0</v>
      </c>
      <c r="Y60" s="7">
        <f t="shared" si="15"/>
        <v>0</v>
      </c>
      <c r="Z60" s="7">
        <f t="shared" si="16"/>
        <v>0</v>
      </c>
      <c r="AA60" s="7">
        <f t="shared" si="17"/>
        <v>0</v>
      </c>
      <c r="AB60" s="7">
        <f t="shared" si="18"/>
        <v>0</v>
      </c>
      <c r="AC60" s="7">
        <f t="shared" si="19"/>
        <v>0</v>
      </c>
    </row>
    <row r="61" spans="2:29">
      <c r="C61" s="23" t="s">
        <v>219</v>
      </c>
      <c r="D61" s="7"/>
      <c r="E61" s="7"/>
      <c r="F61" s="52"/>
      <c r="G61" s="7">
        <v>222.99119367045066</v>
      </c>
      <c r="H61" s="7">
        <v>259.63866529067769</v>
      </c>
      <c r="I61" s="52">
        <v>353.19167526659788</v>
      </c>
      <c r="J61" s="77">
        <v>437.82579979360167</v>
      </c>
      <c r="K61" s="7">
        <v>12.368283453732369</v>
      </c>
      <c r="L61" s="7">
        <v>0</v>
      </c>
      <c r="M61" s="7">
        <v>0</v>
      </c>
      <c r="N61" s="7">
        <v>0</v>
      </c>
      <c r="O61" s="10"/>
      <c r="R61" s="23" t="s">
        <v>219</v>
      </c>
      <c r="V61" s="7">
        <f t="shared" si="12"/>
        <v>207.65933158979021</v>
      </c>
      <c r="W61" s="7">
        <f t="shared" si="13"/>
        <v>241.78708944357763</v>
      </c>
      <c r="X61" s="7">
        <f t="shared" si="14"/>
        <v>328.90781919097361</v>
      </c>
      <c r="Y61" s="7">
        <f t="shared" si="15"/>
        <v>407.72288556053672</v>
      </c>
      <c r="Z61" s="7">
        <f t="shared" si="16"/>
        <v>11.517896436353631</v>
      </c>
      <c r="AA61" s="7">
        <f t="shared" si="17"/>
        <v>0</v>
      </c>
      <c r="AB61" s="7">
        <f t="shared" si="18"/>
        <v>0</v>
      </c>
      <c r="AC61" s="7">
        <f t="shared" si="19"/>
        <v>0</v>
      </c>
    </row>
    <row r="62" spans="2:29">
      <c r="C62" s="23" t="s">
        <v>218</v>
      </c>
      <c r="D62" s="7"/>
      <c r="E62" s="7"/>
      <c r="F62" s="52"/>
      <c r="G62" s="7">
        <v>28.665683743732313</v>
      </c>
      <c r="H62" s="7">
        <v>29.504022012265843</v>
      </c>
      <c r="I62" s="52">
        <v>79.80232286879999</v>
      </c>
      <c r="J62" s="77">
        <v>115.12845581570595</v>
      </c>
      <c r="K62" s="7">
        <v>40.68582306670104</v>
      </c>
      <c r="L62" s="7">
        <v>23.353291608177734</v>
      </c>
      <c r="M62" s="7">
        <v>42.222439840758021</v>
      </c>
      <c r="N62" s="7">
        <v>48.400926157988472</v>
      </c>
      <c r="O62" s="10"/>
      <c r="R62" s="23" t="s">
        <v>218</v>
      </c>
      <c r="V62" s="7">
        <f t="shared" si="12"/>
        <v>28.665683707197402</v>
      </c>
      <c r="W62" s="7">
        <f t="shared" si="13"/>
        <v>29.504021974662457</v>
      </c>
      <c r="X62" s="7">
        <f t="shared" si="14"/>
        <v>79.802322767090558</v>
      </c>
      <c r="Y62" s="7">
        <f t="shared" si="15"/>
        <v>115.12845566897275</v>
      </c>
      <c r="Z62" s="7">
        <f t="shared" si="16"/>
        <v>40.685823014846257</v>
      </c>
      <c r="AA62" s="7">
        <f t="shared" si="17"/>
        <v>23.353291578413561</v>
      </c>
      <c r="AB62" s="7">
        <f t="shared" si="18"/>
        <v>42.22243978694479</v>
      </c>
      <c r="AC62" s="7">
        <f t="shared" si="19"/>
        <v>48.400926096300658</v>
      </c>
    </row>
    <row r="63" spans="2:29">
      <c r="C63" s="23" t="s">
        <v>217</v>
      </c>
      <c r="D63" s="7"/>
      <c r="E63" s="7"/>
      <c r="F63" s="52"/>
      <c r="G63" s="7">
        <v>15.047156368290873</v>
      </c>
      <c r="H63" s="7">
        <v>8.1625018498081481</v>
      </c>
      <c r="I63" s="52">
        <v>9.2915592694864788</v>
      </c>
      <c r="J63" s="77">
        <v>4.2356259148677751</v>
      </c>
      <c r="K63" s="7">
        <v>2.0487321878423925</v>
      </c>
      <c r="L63" s="7">
        <v>0</v>
      </c>
      <c r="M63" s="7">
        <v>0</v>
      </c>
      <c r="N63" s="7">
        <v>0</v>
      </c>
      <c r="O63" s="10"/>
      <c r="R63" s="23" t="s">
        <v>217</v>
      </c>
      <c r="V63" s="7">
        <f t="shared" si="12"/>
        <v>15.047156753768068</v>
      </c>
      <c r="W63" s="7">
        <f t="shared" si="13"/>
        <v>8.1625020589146562</v>
      </c>
      <c r="X63" s="7">
        <f t="shared" si="14"/>
        <v>9.2915595075171158</v>
      </c>
      <c r="Y63" s="7">
        <f t="shared" si="15"/>
        <v>4.235626023375799</v>
      </c>
      <c r="Z63" s="7">
        <f t="shared" si="16"/>
        <v>2.048732240326697</v>
      </c>
      <c r="AA63" s="7">
        <f t="shared" si="17"/>
        <v>0</v>
      </c>
      <c r="AB63" s="7">
        <f t="shared" si="18"/>
        <v>0</v>
      </c>
      <c r="AC63" s="7">
        <f t="shared" si="19"/>
        <v>0</v>
      </c>
    </row>
    <row r="64" spans="2:29">
      <c r="C64" s="23" t="s">
        <v>10</v>
      </c>
      <c r="D64" s="7">
        <f>SUM(D54:F63)</f>
        <v>0</v>
      </c>
      <c r="E64" s="7"/>
      <c r="F64" s="52"/>
      <c r="G64" s="7">
        <f>SUM(G54:I63)</f>
        <v>22983.059439569392</v>
      </c>
      <c r="H64" s="7"/>
      <c r="I64" s="52"/>
      <c r="J64" s="77">
        <f>SUM(J54:J63)</f>
        <v>15895.313735290571</v>
      </c>
      <c r="K64" s="77">
        <f>SUM(K54:N63)</f>
        <v>25736.889138216069</v>
      </c>
      <c r="L64" s="7"/>
      <c r="M64" s="7"/>
      <c r="N64" s="7"/>
      <c r="O64" s="10"/>
      <c r="R64" s="23" t="s">
        <v>10</v>
      </c>
    </row>
    <row r="65" spans="2:29">
      <c r="D65" s="7"/>
      <c r="E65" s="7"/>
      <c r="F65" s="52"/>
      <c r="G65" s="7"/>
      <c r="H65" s="7"/>
      <c r="I65" s="52"/>
      <c r="J65" s="77"/>
      <c r="K65" s="7"/>
      <c r="L65" s="7"/>
      <c r="M65" s="7"/>
      <c r="N65" s="7"/>
      <c r="O65" s="10"/>
    </row>
    <row r="66" spans="2:29">
      <c r="D66" s="7"/>
      <c r="E66" s="7"/>
      <c r="F66" s="52"/>
      <c r="G66" s="7"/>
      <c r="H66" s="7"/>
      <c r="I66" s="52"/>
      <c r="J66" s="77"/>
      <c r="K66" s="7"/>
      <c r="L66" s="7"/>
      <c r="M66" s="7"/>
      <c r="N66" s="7"/>
      <c r="O66" s="10"/>
    </row>
    <row r="67" spans="2:29">
      <c r="C67" s="23" t="s">
        <v>235</v>
      </c>
      <c r="D67" s="7" t="s">
        <v>234</v>
      </c>
      <c r="E67" s="7" t="s">
        <v>233</v>
      </c>
      <c r="F67" s="52" t="s">
        <v>232</v>
      </c>
      <c r="G67" s="7" t="s">
        <v>231</v>
      </c>
      <c r="H67" s="7" t="s">
        <v>230</v>
      </c>
      <c r="I67" s="52" t="s">
        <v>229</v>
      </c>
      <c r="J67" s="77" t="s">
        <v>228</v>
      </c>
      <c r="K67" s="7" t="s">
        <v>237</v>
      </c>
      <c r="L67" s="7" t="s">
        <v>241</v>
      </c>
      <c r="M67" s="7" t="s">
        <v>240</v>
      </c>
      <c r="N67" s="7" t="s">
        <v>239</v>
      </c>
      <c r="O67" s="10"/>
      <c r="R67" s="23" t="s">
        <v>235</v>
      </c>
      <c r="S67" s="23" t="s">
        <v>234</v>
      </c>
      <c r="T67" s="23" t="s">
        <v>233</v>
      </c>
      <c r="U67" s="23" t="s">
        <v>232</v>
      </c>
      <c r="V67" s="23" t="s">
        <v>231</v>
      </c>
      <c r="W67" s="23" t="s">
        <v>230</v>
      </c>
      <c r="X67" s="23" t="s">
        <v>229</v>
      </c>
      <c r="Y67" s="23" t="s">
        <v>228</v>
      </c>
      <c r="Z67" s="23" t="s">
        <v>237</v>
      </c>
      <c r="AA67" s="23" t="s">
        <v>241</v>
      </c>
      <c r="AB67" s="23" t="s">
        <v>240</v>
      </c>
      <c r="AC67" s="23" t="s">
        <v>239</v>
      </c>
    </row>
    <row r="68" spans="2:29">
      <c r="B68" s="23" t="s">
        <v>243</v>
      </c>
      <c r="C68" s="23" t="s">
        <v>226</v>
      </c>
      <c r="D68" s="7"/>
      <c r="E68" s="7"/>
      <c r="F68" s="52"/>
      <c r="G68" s="7">
        <v>41.090346854133479</v>
      </c>
      <c r="H68" s="7">
        <v>5.9145457184940984</v>
      </c>
      <c r="I68" s="52">
        <v>2.2466741225114402</v>
      </c>
      <c r="J68" s="77"/>
      <c r="K68" s="7"/>
      <c r="L68" s="7"/>
      <c r="M68" s="7"/>
      <c r="N68" s="7"/>
      <c r="O68" s="10"/>
      <c r="Q68" s="23" t="s">
        <v>243</v>
      </c>
      <c r="R68" s="23" t="s">
        <v>226</v>
      </c>
      <c r="V68" s="7">
        <f t="shared" ref="V68:V77" si="20">G68*$M8</f>
        <v>18.315934471927982</v>
      </c>
      <c r="W68" s="7">
        <f t="shared" ref="W68:W77" si="21">H68*$M8</f>
        <v>2.6363961393590092</v>
      </c>
      <c r="X68" s="7">
        <f t="shared" ref="X68:X77" si="22">I68*$M8</f>
        <v>1.0014501983586046</v>
      </c>
      <c r="Y68" s="7">
        <f t="shared" ref="Y68:Y77" si="23">J68*$M8</f>
        <v>0</v>
      </c>
      <c r="Z68" s="7">
        <f t="shared" ref="Z68:Z77" si="24">K68*$M8</f>
        <v>0</v>
      </c>
      <c r="AA68" s="7">
        <f t="shared" ref="AA68:AA77" si="25">L68*$M8</f>
        <v>0</v>
      </c>
      <c r="AB68" s="7">
        <f t="shared" ref="AB68:AB77" si="26">M68*$M8</f>
        <v>0</v>
      </c>
      <c r="AC68" s="7">
        <f t="shared" ref="AC68:AC77" si="27">N68*$M8</f>
        <v>0</v>
      </c>
    </row>
    <row r="69" spans="2:29">
      <c r="C69" s="23" t="s">
        <v>225</v>
      </c>
      <c r="D69" s="7"/>
      <c r="E69" s="7"/>
      <c r="F69" s="52"/>
      <c r="G69" s="7">
        <v>5321.7026087460536</v>
      </c>
      <c r="H69" s="7">
        <v>4864.7406138042134</v>
      </c>
      <c r="I69" s="52">
        <v>8559.6441119174979</v>
      </c>
      <c r="J69" s="77">
        <v>13524.150022185126</v>
      </c>
      <c r="K69" s="7">
        <v>6438.9017007015855</v>
      </c>
      <c r="L69" s="7">
        <v>5025.4700639039474</v>
      </c>
      <c r="M69" s="7">
        <v>5392.467851867942</v>
      </c>
      <c r="N69" s="7">
        <v>5219.6888309508386</v>
      </c>
      <c r="O69" s="10"/>
      <c r="R69" s="23" t="s">
        <v>225</v>
      </c>
      <c r="V69" s="7">
        <f t="shared" si="20"/>
        <v>5845.2057686675362</v>
      </c>
      <c r="W69" s="7">
        <f t="shared" si="21"/>
        <v>5343.2917976564349</v>
      </c>
      <c r="X69" s="7">
        <f t="shared" si="22"/>
        <v>9401.6680034870369</v>
      </c>
      <c r="Y69" s="7">
        <f t="shared" si="23"/>
        <v>14854.539146190373</v>
      </c>
      <c r="Z69" s="7">
        <f t="shared" si="24"/>
        <v>7072.3052624115744</v>
      </c>
      <c r="AA69" s="7">
        <f t="shared" si="25"/>
        <v>5519.8324234654929</v>
      </c>
      <c r="AB69" s="7">
        <f t="shared" si="26"/>
        <v>5922.9322854851844</v>
      </c>
      <c r="AC69" s="7">
        <f t="shared" si="27"/>
        <v>5733.1567561067495</v>
      </c>
    </row>
    <row r="70" spans="2:29">
      <c r="C70" s="23" t="s">
        <v>224</v>
      </c>
      <c r="D70" s="7"/>
      <c r="E70" s="7"/>
      <c r="F70" s="52"/>
      <c r="G70" s="7">
        <v>454.51264308523866</v>
      </c>
      <c r="H70" s="7">
        <v>149.03210967565812</v>
      </c>
      <c r="I70" s="52">
        <v>115.54105832840681</v>
      </c>
      <c r="J70" s="77"/>
      <c r="K70" s="7"/>
      <c r="L70" s="7"/>
      <c r="M70" s="7"/>
      <c r="N70" s="7"/>
      <c r="O70" s="10"/>
      <c r="R70" s="23" t="s">
        <v>224</v>
      </c>
      <c r="V70" s="7">
        <f t="shared" si="20"/>
        <v>438.75172288315895</v>
      </c>
      <c r="W70" s="7">
        <f t="shared" si="21"/>
        <v>143.86419361461878</v>
      </c>
      <c r="X70" s="7">
        <f t="shared" si="22"/>
        <v>111.53449563299606</v>
      </c>
      <c r="Y70" s="7">
        <f t="shared" si="23"/>
        <v>0</v>
      </c>
      <c r="Z70" s="7">
        <f t="shared" si="24"/>
        <v>0</v>
      </c>
      <c r="AA70" s="7">
        <f t="shared" si="25"/>
        <v>0</v>
      </c>
      <c r="AB70" s="7">
        <f t="shared" si="26"/>
        <v>0</v>
      </c>
      <c r="AC70" s="7">
        <f t="shared" si="27"/>
        <v>0</v>
      </c>
    </row>
    <row r="71" spans="2:29">
      <c r="C71" s="23" t="s">
        <v>223</v>
      </c>
      <c r="D71" s="7"/>
      <c r="E71" s="7"/>
      <c r="F71" s="52"/>
      <c r="G71" s="7">
        <v>704.7913874530459</v>
      </c>
      <c r="H71" s="7">
        <v>458.9615598467052</v>
      </c>
      <c r="I71" s="52">
        <v>530.00758138449817</v>
      </c>
      <c r="J71" s="77">
        <v>486.97387171804513</v>
      </c>
      <c r="K71" s="7">
        <v>52.706350563655093</v>
      </c>
      <c r="L71" s="7">
        <v>51.29052618030363</v>
      </c>
      <c r="M71" s="7">
        <v>72.901818181821781</v>
      </c>
      <c r="N71" s="7">
        <v>55.272621039284509</v>
      </c>
      <c r="O71" s="10"/>
      <c r="R71" s="23" t="s">
        <v>223</v>
      </c>
      <c r="V71" s="7">
        <f t="shared" si="20"/>
        <v>505.47166520916221</v>
      </c>
      <c r="W71" s="7">
        <f t="shared" si="21"/>
        <v>329.16415843427745</v>
      </c>
      <c r="X71" s="7">
        <f t="shared" si="22"/>
        <v>380.11788949925403</v>
      </c>
      <c r="Y71" s="7">
        <f t="shared" si="23"/>
        <v>349.25440099404182</v>
      </c>
      <c r="Z71" s="7">
        <f t="shared" si="24"/>
        <v>37.800641808046358</v>
      </c>
      <c r="AA71" s="7">
        <f t="shared" si="25"/>
        <v>36.785222037832327</v>
      </c>
      <c r="AB71" s="7">
        <f t="shared" si="26"/>
        <v>52.28469599537496</v>
      </c>
      <c r="AC71" s="7">
        <f t="shared" si="27"/>
        <v>39.641153814558251</v>
      </c>
    </row>
    <row r="72" spans="2:29">
      <c r="C72" s="23" t="s">
        <v>222</v>
      </c>
      <c r="D72" s="7"/>
      <c r="E72" s="7"/>
      <c r="F72" s="52"/>
      <c r="G72" s="7">
        <v>103.88350854948762</v>
      </c>
      <c r="H72" s="7">
        <v>59.430705843717043</v>
      </c>
      <c r="I72" s="52">
        <v>192.20853706596571</v>
      </c>
      <c r="J72" s="77">
        <v>389.4678662783391</v>
      </c>
      <c r="K72" s="7">
        <v>262.19354689471942</v>
      </c>
      <c r="L72" s="7">
        <v>429.91185631318962</v>
      </c>
      <c r="M72" s="7">
        <v>451.32586460374512</v>
      </c>
      <c r="N72" s="7">
        <v>1220.8242143543737</v>
      </c>
      <c r="O72" s="10"/>
      <c r="R72" s="23" t="s">
        <v>222</v>
      </c>
      <c r="V72" s="7">
        <f t="shared" si="20"/>
        <v>74.504557246730485</v>
      </c>
      <c r="W72" s="7">
        <f t="shared" si="21"/>
        <v>42.623304580028602</v>
      </c>
      <c r="X72" s="7">
        <f t="shared" si="22"/>
        <v>137.85067671563729</v>
      </c>
      <c r="Y72" s="7">
        <f t="shared" si="23"/>
        <v>279.32374776380817</v>
      </c>
      <c r="Z72" s="7">
        <f t="shared" si="24"/>
        <v>188.04345749484494</v>
      </c>
      <c r="AA72" s="7">
        <f t="shared" si="25"/>
        <v>308.32990680590746</v>
      </c>
      <c r="AB72" s="7">
        <f t="shared" si="26"/>
        <v>323.68789027068061</v>
      </c>
      <c r="AC72" s="7">
        <f t="shared" si="27"/>
        <v>875.5669579953634</v>
      </c>
    </row>
    <row r="73" spans="2:29">
      <c r="C73" s="23" t="s">
        <v>221</v>
      </c>
      <c r="D73" s="7"/>
      <c r="E73" s="7"/>
      <c r="F73" s="52"/>
      <c r="G73" s="7">
        <v>0</v>
      </c>
      <c r="H73" s="7">
        <v>0</v>
      </c>
      <c r="I73" s="52">
        <v>0</v>
      </c>
      <c r="J73" s="77"/>
      <c r="K73" s="7"/>
      <c r="L73" s="7"/>
      <c r="M73" s="7"/>
      <c r="N73" s="7"/>
      <c r="O73" s="10"/>
      <c r="R73" s="23" t="s">
        <v>221</v>
      </c>
      <c r="V73" s="7">
        <f t="shared" si="20"/>
        <v>0</v>
      </c>
      <c r="W73" s="7">
        <f t="shared" si="21"/>
        <v>0</v>
      </c>
      <c r="X73" s="7">
        <f t="shared" si="22"/>
        <v>0</v>
      </c>
      <c r="Y73" s="7">
        <f t="shared" si="23"/>
        <v>0</v>
      </c>
      <c r="Z73" s="7">
        <f t="shared" si="24"/>
        <v>0</v>
      </c>
      <c r="AA73" s="7">
        <f t="shared" si="25"/>
        <v>0</v>
      </c>
      <c r="AB73" s="7">
        <f t="shared" si="26"/>
        <v>0</v>
      </c>
      <c r="AC73" s="7">
        <f t="shared" si="27"/>
        <v>0</v>
      </c>
    </row>
    <row r="74" spans="2:29">
      <c r="C74" s="23" t="s">
        <v>220</v>
      </c>
      <c r="D74" s="7"/>
      <c r="E74" s="7"/>
      <c r="F74" s="52"/>
      <c r="G74" s="7">
        <v>153.26971154252038</v>
      </c>
      <c r="H74" s="7">
        <v>34.951587065161888</v>
      </c>
      <c r="I74" s="52">
        <v>0</v>
      </c>
      <c r="J74" s="77"/>
      <c r="K74" s="7"/>
      <c r="L74" s="7"/>
      <c r="M74" s="7"/>
      <c r="N74" s="7"/>
      <c r="O74" s="10"/>
      <c r="R74" s="23" t="s">
        <v>220</v>
      </c>
      <c r="V74" s="7">
        <f t="shared" si="20"/>
        <v>300.20888943096361</v>
      </c>
      <c r="W74" s="7">
        <f t="shared" si="21"/>
        <v>68.459560803511764</v>
      </c>
      <c r="X74" s="7">
        <f t="shared" si="22"/>
        <v>0</v>
      </c>
      <c r="Y74" s="7">
        <f t="shared" si="23"/>
        <v>0</v>
      </c>
      <c r="Z74" s="7">
        <f t="shared" si="24"/>
        <v>0</v>
      </c>
      <c r="AA74" s="7">
        <f t="shared" si="25"/>
        <v>0</v>
      </c>
      <c r="AB74" s="7">
        <f t="shared" si="26"/>
        <v>0</v>
      </c>
      <c r="AC74" s="7">
        <f t="shared" si="27"/>
        <v>0</v>
      </c>
    </row>
    <row r="75" spans="2:29">
      <c r="C75" s="23" t="s">
        <v>219</v>
      </c>
      <c r="D75" s="7"/>
      <c r="E75" s="7"/>
      <c r="F75" s="52"/>
      <c r="G75" s="7">
        <v>222.99119367045066</v>
      </c>
      <c r="H75" s="7">
        <v>259.63866529067769</v>
      </c>
      <c r="I75" s="52">
        <v>353.19167526659788</v>
      </c>
      <c r="J75" s="77">
        <v>437.82579979360167</v>
      </c>
      <c r="K75" s="7">
        <v>12.368283453732369</v>
      </c>
      <c r="L75" s="7">
        <v>0</v>
      </c>
      <c r="M75" s="7">
        <v>0</v>
      </c>
      <c r="N75" s="7">
        <v>0</v>
      </c>
      <c r="O75" s="10"/>
      <c r="R75" s="23" t="s">
        <v>219</v>
      </c>
      <c r="V75" s="7">
        <f t="shared" si="20"/>
        <v>207.65933158979021</v>
      </c>
      <c r="W75" s="7">
        <f t="shared" si="21"/>
        <v>241.78708944357763</v>
      </c>
      <c r="X75" s="7">
        <f t="shared" si="22"/>
        <v>328.90781919097361</v>
      </c>
      <c r="Y75" s="7">
        <f t="shared" si="23"/>
        <v>407.72288556053672</v>
      </c>
      <c r="Z75" s="7">
        <f t="shared" si="24"/>
        <v>11.517896436353631</v>
      </c>
      <c r="AA75" s="7">
        <f t="shared" si="25"/>
        <v>0</v>
      </c>
      <c r="AB75" s="7">
        <f t="shared" si="26"/>
        <v>0</v>
      </c>
      <c r="AC75" s="7">
        <f t="shared" si="27"/>
        <v>0</v>
      </c>
    </row>
    <row r="76" spans="2:29">
      <c r="C76" s="23" t="s">
        <v>218</v>
      </c>
      <c r="D76" s="7"/>
      <c r="E76" s="7"/>
      <c r="F76" s="52"/>
      <c r="G76" s="7">
        <v>28.665683743732313</v>
      </c>
      <c r="H76" s="7">
        <v>29.504022012265843</v>
      </c>
      <c r="I76" s="52">
        <v>79.80232286879999</v>
      </c>
      <c r="J76" s="77">
        <v>115.12845581570595</v>
      </c>
      <c r="K76" s="7">
        <v>40.68582306670104</v>
      </c>
      <c r="L76" s="7">
        <v>23.353291608177734</v>
      </c>
      <c r="M76" s="7">
        <v>42.222439840758021</v>
      </c>
      <c r="N76" s="7">
        <v>48.400926157988472</v>
      </c>
      <c r="O76" s="10"/>
      <c r="R76" s="23" t="s">
        <v>218</v>
      </c>
      <c r="V76" s="7">
        <f t="shared" si="20"/>
        <v>28.665683707197402</v>
      </c>
      <c r="W76" s="7">
        <f t="shared" si="21"/>
        <v>29.504021974662457</v>
      </c>
      <c r="X76" s="7">
        <f t="shared" si="22"/>
        <v>79.802322767090558</v>
      </c>
      <c r="Y76" s="7">
        <f t="shared" si="23"/>
        <v>115.12845566897275</v>
      </c>
      <c r="Z76" s="7">
        <f t="shared" si="24"/>
        <v>40.685823014846257</v>
      </c>
      <c r="AA76" s="7">
        <f t="shared" si="25"/>
        <v>23.353291578413561</v>
      </c>
      <c r="AB76" s="7">
        <f t="shared" si="26"/>
        <v>42.22243978694479</v>
      </c>
      <c r="AC76" s="7">
        <f t="shared" si="27"/>
        <v>48.400926096300658</v>
      </c>
    </row>
    <row r="77" spans="2:29">
      <c r="C77" s="23" t="s">
        <v>217</v>
      </c>
      <c r="D77" s="7"/>
      <c r="E77" s="7"/>
      <c r="F77" s="52"/>
      <c r="G77" s="7">
        <v>15.047156368290873</v>
      </c>
      <c r="H77" s="7">
        <v>8.1625018498081481</v>
      </c>
      <c r="I77" s="52">
        <v>9.2915592694864788</v>
      </c>
      <c r="J77" s="77">
        <v>4.2356259148677751</v>
      </c>
      <c r="K77" s="7">
        <v>2.0487321878423925</v>
      </c>
      <c r="L77" s="7">
        <v>0</v>
      </c>
      <c r="M77" s="7">
        <v>0</v>
      </c>
      <c r="N77" s="7">
        <v>0</v>
      </c>
      <c r="O77" s="10"/>
      <c r="R77" s="23" t="s">
        <v>217</v>
      </c>
      <c r="V77" s="7">
        <f t="shared" si="20"/>
        <v>15.047156753768068</v>
      </c>
      <c r="W77" s="7">
        <f t="shared" si="21"/>
        <v>8.1625020589146562</v>
      </c>
      <c r="X77" s="7">
        <f t="shared" si="22"/>
        <v>9.2915595075171158</v>
      </c>
      <c r="Y77" s="7">
        <f t="shared" si="23"/>
        <v>4.235626023375799</v>
      </c>
      <c r="Z77" s="7">
        <f t="shared" si="24"/>
        <v>2.048732240326697</v>
      </c>
      <c r="AA77" s="7">
        <f t="shared" si="25"/>
        <v>0</v>
      </c>
      <c r="AB77" s="7">
        <f t="shared" si="26"/>
        <v>0</v>
      </c>
      <c r="AC77" s="7">
        <f t="shared" si="27"/>
        <v>0</v>
      </c>
    </row>
    <row r="78" spans="2:29">
      <c r="C78" s="23" t="s">
        <v>10</v>
      </c>
      <c r="D78" s="7">
        <f>SUM(D68:F77)</f>
        <v>0</v>
      </c>
      <c r="E78" s="7"/>
      <c r="F78" s="52"/>
      <c r="G78" s="7">
        <f>SUM(G68:I77)</f>
        <v>22758.224071343426</v>
      </c>
      <c r="H78" s="7"/>
      <c r="I78" s="52"/>
      <c r="J78" s="77">
        <f>SUM(J68:J77)</f>
        <v>14957.781641705684</v>
      </c>
      <c r="K78" s="77">
        <f>SUM(K68:N77)</f>
        <v>24842.034741870608</v>
      </c>
      <c r="L78" s="7"/>
      <c r="M78" s="7"/>
      <c r="N78" s="7"/>
      <c r="O78" s="10"/>
      <c r="R78" s="23" t="s">
        <v>10</v>
      </c>
    </row>
    <row r="79" spans="2:29">
      <c r="D79" s="7"/>
      <c r="E79" s="7"/>
      <c r="F79" s="52"/>
      <c r="G79" s="7"/>
      <c r="H79" s="7"/>
      <c r="I79" s="52"/>
      <c r="J79" s="77"/>
      <c r="K79" s="7"/>
      <c r="L79" s="7"/>
      <c r="M79" s="7"/>
      <c r="N79" s="7"/>
      <c r="O79" s="10"/>
    </row>
    <row r="80" spans="2:29">
      <c r="D80" s="7"/>
      <c r="E80" s="7"/>
      <c r="F80" s="52"/>
      <c r="G80" s="7"/>
      <c r="H80" s="7"/>
      <c r="I80" s="52"/>
      <c r="J80" s="77"/>
      <c r="K80" s="7"/>
      <c r="L80" s="7"/>
      <c r="M80" s="7"/>
      <c r="N80" s="7"/>
      <c r="O80" s="10"/>
    </row>
    <row r="81" spans="2:29">
      <c r="C81" s="23" t="s">
        <v>235</v>
      </c>
      <c r="D81" s="7" t="s">
        <v>234</v>
      </c>
      <c r="E81" s="7" t="s">
        <v>233</v>
      </c>
      <c r="F81" s="52" t="s">
        <v>232</v>
      </c>
      <c r="G81" s="7" t="s">
        <v>231</v>
      </c>
      <c r="H81" s="7" t="s">
        <v>230</v>
      </c>
      <c r="I81" s="52" t="s">
        <v>229</v>
      </c>
      <c r="J81" s="77"/>
      <c r="K81" s="7"/>
      <c r="L81" s="7"/>
      <c r="M81" s="7"/>
      <c r="N81" s="7"/>
      <c r="O81" s="10"/>
      <c r="R81" s="23" t="s">
        <v>235</v>
      </c>
      <c r="S81" s="23" t="s">
        <v>234</v>
      </c>
      <c r="T81" s="23" t="s">
        <v>233</v>
      </c>
      <c r="U81" s="23" t="s">
        <v>232</v>
      </c>
      <c r="V81" s="23" t="s">
        <v>231</v>
      </c>
      <c r="W81" s="23" t="s">
        <v>230</v>
      </c>
      <c r="X81" s="23" t="s">
        <v>229</v>
      </c>
    </row>
    <row r="82" spans="2:29">
      <c r="B82" s="23" t="s">
        <v>242</v>
      </c>
      <c r="C82" s="23" t="s">
        <v>226</v>
      </c>
      <c r="D82" s="7">
        <v>265.03590104227032</v>
      </c>
      <c r="E82" s="7">
        <v>69.805005007533239</v>
      </c>
      <c r="F82" s="7">
        <v>55.010277118337854</v>
      </c>
      <c r="G82" s="7">
        <v>16.772922900535637</v>
      </c>
      <c r="H82" s="7">
        <v>2.4142950089995456</v>
      </c>
      <c r="I82" s="52"/>
      <c r="J82" s="77"/>
      <c r="K82" s="7"/>
      <c r="L82" s="7"/>
      <c r="M82" s="7"/>
      <c r="N82" s="7"/>
      <c r="O82" s="10"/>
      <c r="Q82" s="23" t="s">
        <v>242</v>
      </c>
      <c r="R82" s="23" t="s">
        <v>226</v>
      </c>
      <c r="S82" s="7">
        <f t="shared" ref="S82:S91" si="28">D82*$M8</f>
        <v>118.1391876157961</v>
      </c>
      <c r="T82" s="7">
        <f t="shared" ref="T82:T91" si="29">E82*$M8</f>
        <v>31.1154321006168</v>
      </c>
      <c r="U82" s="7">
        <f t="shared" ref="U82:U91" si="30">F82*$M8</f>
        <v>24.520713698495332</v>
      </c>
      <c r="V82" s="7">
        <f t="shared" ref="V82:V91" si="31">G82*$M8</f>
        <v>7.4764946092930584</v>
      </c>
      <c r="W82" s="7">
        <f t="shared" ref="W82:W91" si="32">H82*$M8</f>
        <v>1.0761668510055458</v>
      </c>
    </row>
    <row r="83" spans="2:29">
      <c r="C83" s="23" t="s">
        <v>225</v>
      </c>
      <c r="D83" s="7">
        <v>355.92480245382075</v>
      </c>
      <c r="E83" s="7">
        <v>344.16251928490584</v>
      </c>
      <c r="F83" s="7">
        <v>855.78292071121598</v>
      </c>
      <c r="G83" s="7">
        <v>2121.7397675483835</v>
      </c>
      <c r="H83" s="7">
        <v>1939.5510004923458</v>
      </c>
      <c r="I83" s="52"/>
      <c r="J83" s="77"/>
      <c r="K83" s="7"/>
      <c r="L83" s="7"/>
      <c r="M83" s="7"/>
      <c r="N83" s="7"/>
      <c r="O83" s="10"/>
      <c r="R83" s="23" t="s">
        <v>225</v>
      </c>
      <c r="S83" s="7">
        <f t="shared" si="28"/>
        <v>390.93761178908511</v>
      </c>
      <c r="T83" s="7">
        <f t="shared" si="29"/>
        <v>378.01825674683812</v>
      </c>
      <c r="U83" s="7">
        <f t="shared" si="30"/>
        <v>939.96745640151835</v>
      </c>
      <c r="V83" s="7">
        <f t="shared" si="31"/>
        <v>2330.4582087136578</v>
      </c>
      <c r="W83" s="7">
        <f t="shared" si="32"/>
        <v>2130.3472836063065</v>
      </c>
    </row>
    <row r="84" spans="2:29">
      <c r="C84" s="23" t="s">
        <v>224</v>
      </c>
      <c r="D84" s="7">
        <v>246.93911553760663</v>
      </c>
      <c r="E84" s="7">
        <v>138.78246553460653</v>
      </c>
      <c r="F84" s="7">
        <v>205.47439911091666</v>
      </c>
      <c r="G84" s="7">
        <v>198.20510604198481</v>
      </c>
      <c r="H84" s="7">
        <v>64.990326564765851</v>
      </c>
      <c r="I84" s="52"/>
      <c r="J84" s="77"/>
      <c r="K84" s="7"/>
      <c r="L84" s="7"/>
      <c r="M84" s="7"/>
      <c r="N84" s="7"/>
      <c r="O84" s="10"/>
      <c r="R84" s="23" t="s">
        <v>224</v>
      </c>
      <c r="S84" s="7">
        <f t="shared" si="28"/>
        <v>238.3761244878055</v>
      </c>
      <c r="T84" s="7">
        <f t="shared" si="29"/>
        <v>133.9699715412797</v>
      </c>
      <c r="U84" s="7">
        <f t="shared" si="30"/>
        <v>198.34926044376169</v>
      </c>
      <c r="V84" s="7">
        <f t="shared" si="31"/>
        <v>191.3320412164006</v>
      </c>
      <c r="W84" s="7">
        <f t="shared" si="32"/>
        <v>62.736687713398901</v>
      </c>
    </row>
    <row r="85" spans="2:29">
      <c r="C85" s="23" t="s">
        <v>223</v>
      </c>
      <c r="D85" s="7">
        <v>61.264700994234943</v>
      </c>
      <c r="E85" s="7">
        <v>72.975539298471787</v>
      </c>
      <c r="F85" s="7">
        <v>218.48112371074879</v>
      </c>
      <c r="G85" s="7">
        <v>421.55235920466055</v>
      </c>
      <c r="H85" s="7">
        <v>274.51573867383451</v>
      </c>
      <c r="I85" s="52"/>
      <c r="J85" s="77"/>
      <c r="K85" s="7"/>
      <c r="L85" s="7"/>
      <c r="M85" s="7"/>
      <c r="N85" s="7"/>
      <c r="O85" s="10"/>
      <c r="R85" s="23" t="s">
        <v>223</v>
      </c>
      <c r="S85" s="7">
        <f t="shared" si="28"/>
        <v>43.938633447277262</v>
      </c>
      <c r="T85" s="7">
        <f t="shared" si="29"/>
        <v>52.337568286747334</v>
      </c>
      <c r="U85" s="7">
        <f t="shared" si="30"/>
        <v>156.69319941313634</v>
      </c>
      <c r="V85" s="7">
        <f t="shared" si="31"/>
        <v>302.33453015091857</v>
      </c>
      <c r="W85" s="7">
        <f t="shared" si="32"/>
        <v>196.88085016905899</v>
      </c>
    </row>
    <row r="86" spans="2:29">
      <c r="C86" s="23" t="s">
        <v>222</v>
      </c>
      <c r="D86" s="7"/>
      <c r="E86" s="7"/>
      <c r="F86" s="7"/>
      <c r="G86" s="7">
        <v>62.135177715138234</v>
      </c>
      <c r="H86" s="7">
        <v>35.546907501457092</v>
      </c>
      <c r="I86" s="52"/>
      <c r="J86" s="77"/>
      <c r="K86" s="7"/>
      <c r="L86" s="7"/>
      <c r="M86" s="7"/>
      <c r="N86" s="7"/>
      <c r="O86" s="10"/>
      <c r="R86" s="23" t="s">
        <v>222</v>
      </c>
      <c r="S86" s="7">
        <f t="shared" si="28"/>
        <v>0</v>
      </c>
      <c r="T86" s="7">
        <f t="shared" si="29"/>
        <v>0</v>
      </c>
      <c r="U86" s="7">
        <f t="shared" si="30"/>
        <v>0</v>
      </c>
      <c r="V86" s="7">
        <f t="shared" si="31"/>
        <v>44.562933710580012</v>
      </c>
      <c r="W86" s="7">
        <f t="shared" si="32"/>
        <v>25.494004215547896</v>
      </c>
    </row>
    <row r="87" spans="2:29">
      <c r="C87" s="23" t="s">
        <v>221</v>
      </c>
      <c r="D87" s="7">
        <v>0</v>
      </c>
      <c r="E87" s="7"/>
      <c r="F87" s="7"/>
      <c r="G87" s="7">
        <v>38.706546000212875</v>
      </c>
      <c r="H87" s="7">
        <v>70.663815410653214</v>
      </c>
      <c r="I87" s="52"/>
      <c r="J87" s="77"/>
      <c r="K87" s="7"/>
      <c r="L87" s="7"/>
      <c r="M87" s="7"/>
      <c r="N87" s="7"/>
      <c r="O87" s="10"/>
      <c r="R87" s="23" t="s">
        <v>221</v>
      </c>
      <c r="S87" s="7">
        <f t="shared" si="28"/>
        <v>0</v>
      </c>
      <c r="T87" s="7">
        <f t="shared" si="29"/>
        <v>0</v>
      </c>
      <c r="U87" s="7">
        <f t="shared" si="30"/>
        <v>0</v>
      </c>
      <c r="V87" s="7">
        <f t="shared" si="31"/>
        <v>45.748621076718166</v>
      </c>
      <c r="W87" s="7">
        <f t="shared" si="32"/>
        <v>83.520035991828152</v>
      </c>
    </row>
    <row r="88" spans="2:29">
      <c r="C88" s="23" t="s">
        <v>220</v>
      </c>
      <c r="D88" s="7">
        <v>0</v>
      </c>
      <c r="E88" s="7">
        <v>0</v>
      </c>
      <c r="F88" s="7">
        <v>0</v>
      </c>
      <c r="G88" s="7">
        <v>0</v>
      </c>
      <c r="H88" s="7">
        <v>0</v>
      </c>
      <c r="I88" s="52"/>
      <c r="J88" s="77"/>
      <c r="K88" s="7"/>
      <c r="L88" s="7"/>
      <c r="M88" s="7"/>
      <c r="N88" s="7"/>
      <c r="O88" s="10"/>
      <c r="R88" s="23" t="s">
        <v>220</v>
      </c>
      <c r="S88" s="7">
        <f t="shared" si="28"/>
        <v>0</v>
      </c>
      <c r="T88" s="7">
        <f t="shared" si="29"/>
        <v>0</v>
      </c>
      <c r="U88" s="7">
        <f t="shared" si="30"/>
        <v>0</v>
      </c>
      <c r="V88" s="7">
        <f t="shared" si="31"/>
        <v>0</v>
      </c>
      <c r="W88" s="7">
        <f t="shared" si="32"/>
        <v>0</v>
      </c>
    </row>
    <row r="89" spans="2:29">
      <c r="C89" s="23" t="s">
        <v>219</v>
      </c>
      <c r="D89" s="7">
        <v>12.768489852081181</v>
      </c>
      <c r="E89" s="7">
        <v>19.381424148606811</v>
      </c>
      <c r="F89" s="7">
        <v>66.834468524251804</v>
      </c>
      <c r="G89" s="7">
        <v>222.99119367045066</v>
      </c>
      <c r="H89" s="7">
        <v>259.63866529067769</v>
      </c>
      <c r="I89" s="52"/>
      <c r="J89" s="77"/>
      <c r="K89" s="7"/>
      <c r="L89" s="7"/>
      <c r="M89" s="7"/>
      <c r="N89" s="7"/>
      <c r="O89" s="10"/>
      <c r="R89" s="23" t="s">
        <v>219</v>
      </c>
      <c r="S89" s="7">
        <f t="shared" si="28"/>
        <v>11.890586459717923</v>
      </c>
      <c r="T89" s="7">
        <f t="shared" si="29"/>
        <v>18.048845417213627</v>
      </c>
      <c r="U89" s="7">
        <f t="shared" si="30"/>
        <v>62.239233901836954</v>
      </c>
      <c r="V89" s="7">
        <f t="shared" si="31"/>
        <v>207.65933158979021</v>
      </c>
      <c r="W89" s="7">
        <f t="shared" si="32"/>
        <v>241.78708944357763</v>
      </c>
    </row>
    <row r="90" spans="2:29">
      <c r="C90" s="23" t="s">
        <v>218</v>
      </c>
      <c r="D90" s="7">
        <v>0</v>
      </c>
      <c r="E90" s="7">
        <v>0</v>
      </c>
      <c r="F90" s="7">
        <v>0</v>
      </c>
      <c r="G90" s="7">
        <v>10.512221101262082</v>
      </c>
      <c r="H90" s="7">
        <v>10.819654801963555</v>
      </c>
      <c r="I90" s="52"/>
      <c r="J90" s="77"/>
      <c r="K90" s="7"/>
      <c r="L90" s="7"/>
      <c r="M90" s="7"/>
      <c r="N90" s="7"/>
      <c r="O90" s="10"/>
      <c r="R90" s="23" t="s">
        <v>218</v>
      </c>
      <c r="S90" s="7">
        <f t="shared" si="28"/>
        <v>0</v>
      </c>
      <c r="T90" s="7">
        <f t="shared" si="29"/>
        <v>0</v>
      </c>
      <c r="U90" s="7">
        <f t="shared" si="30"/>
        <v>0</v>
      </c>
      <c r="V90" s="7">
        <f t="shared" si="31"/>
        <v>10.512221087864074</v>
      </c>
      <c r="W90" s="7">
        <f t="shared" si="32"/>
        <v>10.819654788173718</v>
      </c>
    </row>
    <row r="91" spans="2:29">
      <c r="C91" s="23" t="s">
        <v>217</v>
      </c>
      <c r="D91" s="7">
        <v>0.55293118422135656</v>
      </c>
      <c r="E91" s="7">
        <v>0.68765759355072098</v>
      </c>
      <c r="F91" s="7">
        <v>2.0658116990106365</v>
      </c>
      <c r="G91" s="7">
        <v>5.0093180475297379</v>
      </c>
      <c r="H91" s="7">
        <v>2.7173617943789035</v>
      </c>
      <c r="I91" s="52"/>
      <c r="J91" s="77"/>
      <c r="K91" s="7"/>
      <c r="L91" s="7"/>
      <c r="M91" s="7"/>
      <c r="N91" s="7"/>
      <c r="O91" s="10"/>
      <c r="R91" s="23" t="s">
        <v>217</v>
      </c>
      <c r="S91" s="7">
        <f t="shared" si="28"/>
        <v>0.55293119838631621</v>
      </c>
      <c r="T91" s="7">
        <f t="shared" si="29"/>
        <v>0.68765761116709412</v>
      </c>
      <c r="U91" s="7">
        <f t="shared" si="30"/>
        <v>2.065811751932483</v>
      </c>
      <c r="V91" s="7">
        <f t="shared" si="31"/>
        <v>5.0093181758581622</v>
      </c>
      <c r="W91" s="7">
        <f t="shared" si="32"/>
        <v>2.7173618639921231</v>
      </c>
    </row>
    <row r="92" spans="2:29">
      <c r="C92" s="23" t="s">
        <v>10</v>
      </c>
      <c r="D92" s="7">
        <f>SUM(D82:F91)</f>
        <v>2991.9295528063922</v>
      </c>
      <c r="E92" s="7"/>
      <c r="F92" s="52"/>
      <c r="G92" s="7">
        <f>SUM(G82:I91)</f>
        <v>5758.4823777692345</v>
      </c>
      <c r="H92" s="7"/>
      <c r="I92" s="52"/>
      <c r="J92" s="77"/>
      <c r="K92" s="7"/>
      <c r="L92" s="7"/>
      <c r="M92" s="7"/>
      <c r="N92" s="7"/>
      <c r="O92" s="10"/>
      <c r="R92" s="23" t="s">
        <v>10</v>
      </c>
    </row>
    <row r="93" spans="2:29">
      <c r="D93" s="7"/>
      <c r="E93" s="7"/>
      <c r="F93" s="52"/>
      <c r="G93" s="7"/>
      <c r="H93" s="7"/>
      <c r="I93" s="52"/>
      <c r="J93" s="77"/>
      <c r="K93" s="7"/>
      <c r="L93" s="7"/>
      <c r="M93" s="7"/>
      <c r="N93" s="7"/>
      <c r="O93" s="10"/>
    </row>
    <row r="94" spans="2:29">
      <c r="D94" s="7"/>
      <c r="E94" s="7"/>
      <c r="F94" s="52"/>
      <c r="G94" s="7"/>
      <c r="H94" s="7"/>
      <c r="I94" s="52"/>
      <c r="J94" s="77"/>
      <c r="K94" s="7"/>
      <c r="L94" s="7"/>
      <c r="M94" s="7"/>
      <c r="N94" s="7"/>
      <c r="O94" s="10"/>
    </row>
    <row r="95" spans="2:29">
      <c r="C95" s="23" t="s">
        <v>235</v>
      </c>
      <c r="D95" s="7" t="s">
        <v>234</v>
      </c>
      <c r="E95" s="7" t="s">
        <v>233</v>
      </c>
      <c r="F95" s="52" t="s">
        <v>232</v>
      </c>
      <c r="G95" s="7" t="s">
        <v>231</v>
      </c>
      <c r="H95" s="7" t="s">
        <v>230</v>
      </c>
      <c r="I95" s="52" t="s">
        <v>229</v>
      </c>
      <c r="J95" s="77" t="s">
        <v>228</v>
      </c>
      <c r="K95" s="7" t="s">
        <v>237</v>
      </c>
      <c r="L95" s="7" t="s">
        <v>241</v>
      </c>
      <c r="M95" s="7" t="s">
        <v>240</v>
      </c>
      <c r="N95" s="7" t="s">
        <v>239</v>
      </c>
      <c r="O95" s="10"/>
      <c r="R95" s="23" t="s">
        <v>235</v>
      </c>
      <c r="S95" s="23" t="s">
        <v>234</v>
      </c>
      <c r="T95" s="23" t="s">
        <v>233</v>
      </c>
      <c r="U95" s="23" t="s">
        <v>232</v>
      </c>
      <c r="V95" s="23" t="s">
        <v>231</v>
      </c>
      <c r="W95" s="23" t="s">
        <v>230</v>
      </c>
      <c r="X95" s="23" t="s">
        <v>229</v>
      </c>
      <c r="Y95" s="23" t="s">
        <v>228</v>
      </c>
      <c r="Z95" s="23" t="s">
        <v>237</v>
      </c>
      <c r="AA95" s="23" t="s">
        <v>241</v>
      </c>
      <c r="AB95" s="23" t="s">
        <v>240</v>
      </c>
      <c r="AC95" s="23" t="s">
        <v>239</v>
      </c>
    </row>
    <row r="96" spans="2:29">
      <c r="B96" s="23" t="s">
        <v>238</v>
      </c>
      <c r="C96" s="23" t="s">
        <v>226</v>
      </c>
      <c r="D96" s="7">
        <v>265.03590104227032</v>
      </c>
      <c r="E96" s="7">
        <v>69.805005007533239</v>
      </c>
      <c r="F96" s="7">
        <v>55.010277118337854</v>
      </c>
      <c r="G96" s="7">
        <v>16.772922900535637</v>
      </c>
      <c r="H96" s="7">
        <v>2.4142950089995456</v>
      </c>
      <c r="I96" s="7">
        <v>0.91708380981267357</v>
      </c>
      <c r="J96" s="7"/>
      <c r="K96" s="7"/>
      <c r="L96" s="7"/>
      <c r="M96" s="7"/>
      <c r="N96" s="7"/>
      <c r="O96" s="10"/>
      <c r="Q96" s="23" t="s">
        <v>238</v>
      </c>
      <c r="R96" s="23" t="s">
        <v>226</v>
      </c>
      <c r="S96" s="7">
        <f t="shared" ref="S96:S105" si="33">D96*$M8</f>
        <v>118.1391876157961</v>
      </c>
      <c r="T96" s="7">
        <f t="shared" ref="T96:T105" si="34">E96*$M8</f>
        <v>31.1154321006168</v>
      </c>
      <c r="U96" s="7">
        <f t="shared" ref="U96:U105" si="35">F96*$M8</f>
        <v>24.520713698495332</v>
      </c>
      <c r="V96" s="7">
        <f t="shared" ref="V96:V105" si="36">G96*$M8</f>
        <v>7.4764946092930584</v>
      </c>
      <c r="W96" s="7">
        <f t="shared" ref="W96:W105" si="37">H96*$M8</f>
        <v>1.0761668510055458</v>
      </c>
      <c r="X96" s="7">
        <f t="shared" ref="X96:X105" si="38">I96*$M8</f>
        <v>0.40878815224956605</v>
      </c>
      <c r="Y96" s="7">
        <f t="shared" ref="Y96:Y105" si="39">J96*$M8</f>
        <v>0</v>
      </c>
    </row>
    <row r="97" spans="2:26">
      <c r="C97" s="23" t="s">
        <v>225</v>
      </c>
      <c r="D97" s="7">
        <v>355.92480245382075</v>
      </c>
      <c r="E97" s="7">
        <v>344.16251928490584</v>
      </c>
      <c r="F97" s="7">
        <v>855.78292071121598</v>
      </c>
      <c r="G97" s="7">
        <v>2121.7397675483835</v>
      </c>
      <c r="H97" s="7">
        <v>1939.5510004923458</v>
      </c>
      <c r="I97" s="7">
        <v>3412.6930126589809</v>
      </c>
      <c r="J97" s="7">
        <v>5392.020004500373</v>
      </c>
      <c r="K97" s="7"/>
      <c r="L97" s="7"/>
      <c r="M97" s="7"/>
      <c r="N97" s="7"/>
      <c r="O97" s="10"/>
      <c r="R97" s="23" t="s">
        <v>225</v>
      </c>
      <c r="S97" s="7">
        <f t="shared" si="33"/>
        <v>390.93761178908511</v>
      </c>
      <c r="T97" s="7">
        <f t="shared" si="34"/>
        <v>378.01825674683812</v>
      </c>
      <c r="U97" s="7">
        <f t="shared" si="35"/>
        <v>939.96745640151835</v>
      </c>
      <c r="V97" s="7">
        <f t="shared" si="36"/>
        <v>2330.4582087136578</v>
      </c>
      <c r="W97" s="7">
        <f t="shared" si="37"/>
        <v>2130.3472836063065</v>
      </c>
      <c r="X97" s="7">
        <f t="shared" si="38"/>
        <v>3748.4042891652616</v>
      </c>
      <c r="Y97" s="7">
        <f t="shared" si="39"/>
        <v>5922.4403827598999</v>
      </c>
    </row>
    <row r="98" spans="2:26">
      <c r="C98" s="23" t="s">
        <v>224</v>
      </c>
      <c r="D98" s="7">
        <v>246.93911553760663</v>
      </c>
      <c r="E98" s="7">
        <v>138.78246553460653</v>
      </c>
      <c r="F98" s="7">
        <v>205.47439911091666</v>
      </c>
      <c r="G98" s="7">
        <v>198.20510604198481</v>
      </c>
      <c r="H98" s="7">
        <v>64.990326564765851</v>
      </c>
      <c r="I98" s="7">
        <v>50.385458065003114</v>
      </c>
      <c r="J98" s="7"/>
      <c r="K98" s="7"/>
      <c r="L98" s="7"/>
      <c r="M98" s="7"/>
      <c r="N98" s="7"/>
      <c r="O98" s="10"/>
      <c r="R98" s="23" t="s">
        <v>224</v>
      </c>
      <c r="S98" s="7">
        <f t="shared" si="33"/>
        <v>238.3761244878055</v>
      </c>
      <c r="T98" s="7">
        <f t="shared" si="34"/>
        <v>133.9699715412797</v>
      </c>
      <c r="U98" s="7">
        <f t="shared" si="35"/>
        <v>198.34926044376169</v>
      </c>
      <c r="V98" s="7">
        <f t="shared" si="36"/>
        <v>191.3320412164006</v>
      </c>
      <c r="W98" s="7">
        <f t="shared" si="37"/>
        <v>62.736687713398901</v>
      </c>
      <c r="X98" s="7">
        <f t="shared" si="38"/>
        <v>48.638265338927901</v>
      </c>
      <c r="Y98" s="7">
        <f t="shared" si="39"/>
        <v>0</v>
      </c>
    </row>
    <row r="99" spans="2:26">
      <c r="C99" s="23" t="s">
        <v>223</v>
      </c>
      <c r="D99" s="7">
        <v>61.264700994234943</v>
      </c>
      <c r="E99" s="7">
        <v>72.975539298471787</v>
      </c>
      <c r="F99" s="7">
        <v>218.48112371074879</v>
      </c>
      <c r="G99" s="7">
        <v>421.55235920466055</v>
      </c>
      <c r="H99" s="7">
        <v>274.51573867383451</v>
      </c>
      <c r="I99" s="7">
        <v>317.01004056874388</v>
      </c>
      <c r="J99" s="7">
        <v>291.27056338702209</v>
      </c>
      <c r="K99" s="7"/>
      <c r="L99" s="7"/>
      <c r="M99" s="7"/>
      <c r="N99" s="7"/>
      <c r="O99" s="10"/>
      <c r="R99" s="23" t="s">
        <v>223</v>
      </c>
      <c r="S99" s="7">
        <f t="shared" si="33"/>
        <v>43.938633447277262</v>
      </c>
      <c r="T99" s="7">
        <f t="shared" si="34"/>
        <v>52.337568286747334</v>
      </c>
      <c r="U99" s="7">
        <f t="shared" si="35"/>
        <v>156.69319941313634</v>
      </c>
      <c r="V99" s="7">
        <f t="shared" si="36"/>
        <v>302.33453015091857</v>
      </c>
      <c r="W99" s="7">
        <f t="shared" si="37"/>
        <v>196.88085016905899</v>
      </c>
      <c r="X99" s="7">
        <f t="shared" si="38"/>
        <v>227.35747903131463</v>
      </c>
      <c r="Y99" s="7">
        <f t="shared" si="39"/>
        <v>208.89729829659342</v>
      </c>
    </row>
    <row r="100" spans="2:26">
      <c r="C100" s="23" t="s">
        <v>222</v>
      </c>
      <c r="D100" s="7"/>
      <c r="E100" s="7"/>
      <c r="F100" s="7"/>
      <c r="G100" s="7">
        <v>62.135177715138234</v>
      </c>
      <c r="H100" s="7">
        <v>35.546907501457092</v>
      </c>
      <c r="I100" s="7">
        <v>114.96446140217914</v>
      </c>
      <c r="J100" s="7">
        <v>232.94992076641461</v>
      </c>
      <c r="K100" s="7"/>
      <c r="L100" s="7"/>
      <c r="M100" s="7"/>
      <c r="N100" s="7"/>
      <c r="O100" s="10"/>
      <c r="R100" s="23" t="s">
        <v>222</v>
      </c>
      <c r="S100" s="7">
        <f t="shared" si="33"/>
        <v>0</v>
      </c>
      <c r="T100" s="7">
        <f t="shared" si="34"/>
        <v>0</v>
      </c>
      <c r="U100" s="7">
        <f t="shared" si="35"/>
        <v>0</v>
      </c>
      <c r="V100" s="7">
        <f t="shared" si="36"/>
        <v>44.562933710580012</v>
      </c>
      <c r="W100" s="7">
        <f t="shared" si="37"/>
        <v>25.494004215547896</v>
      </c>
      <c r="X100" s="7">
        <f t="shared" si="38"/>
        <v>82.451742489981967</v>
      </c>
      <c r="Y100" s="7">
        <f t="shared" si="39"/>
        <v>167.07012450484154</v>
      </c>
    </row>
    <row r="101" spans="2:26">
      <c r="C101" s="23" t="s">
        <v>221</v>
      </c>
      <c r="D101" s="7"/>
      <c r="E101" s="7"/>
      <c r="F101" s="7"/>
      <c r="G101" s="7">
        <v>38.706546000212875</v>
      </c>
      <c r="H101" s="7">
        <v>70.663815410653214</v>
      </c>
      <c r="I101" s="7">
        <v>206.04262508875584</v>
      </c>
      <c r="J101" s="7">
        <v>721.19783669507251</v>
      </c>
      <c r="K101" s="7"/>
      <c r="L101" s="7"/>
      <c r="M101" s="7"/>
      <c r="N101" s="7"/>
      <c r="O101" s="10"/>
      <c r="R101" s="23" t="s">
        <v>221</v>
      </c>
      <c r="S101" s="7">
        <f t="shared" si="33"/>
        <v>0</v>
      </c>
      <c r="T101" s="7">
        <f t="shared" si="34"/>
        <v>0</v>
      </c>
      <c r="U101" s="7">
        <f t="shared" si="35"/>
        <v>0</v>
      </c>
      <c r="V101" s="7">
        <f t="shared" si="36"/>
        <v>45.748621076718166</v>
      </c>
      <c r="W101" s="7">
        <f t="shared" si="37"/>
        <v>83.520035991828152</v>
      </c>
      <c r="X101" s="7">
        <f t="shared" si="38"/>
        <v>243.52898811446397</v>
      </c>
      <c r="Y101" s="7">
        <f t="shared" si="39"/>
        <v>852.4089582193742</v>
      </c>
    </row>
    <row r="102" spans="2:26">
      <c r="C102" s="23" t="s">
        <v>220</v>
      </c>
      <c r="D102" s="7">
        <v>19.381400178148716</v>
      </c>
      <c r="E102" s="7">
        <v>22.360576808137299</v>
      </c>
      <c r="F102" s="7">
        <v>68.786724406032363</v>
      </c>
      <c r="G102" s="7">
        <v>153.26971154252038</v>
      </c>
      <c r="H102" s="7">
        <v>34.951587065161888</v>
      </c>
      <c r="I102" s="7">
        <v>0</v>
      </c>
      <c r="J102" s="7"/>
      <c r="K102" s="7"/>
      <c r="L102" s="7"/>
      <c r="M102" s="7"/>
      <c r="N102" s="7"/>
      <c r="O102" s="10"/>
      <c r="R102" s="23" t="s">
        <v>220</v>
      </c>
      <c r="S102" s="7">
        <f t="shared" si="33"/>
        <v>37.962285989459403</v>
      </c>
      <c r="T102" s="7">
        <f t="shared" si="34"/>
        <v>43.797589641475703</v>
      </c>
      <c r="U102" s="7">
        <f t="shared" si="35"/>
        <v>134.73233513458962</v>
      </c>
      <c r="V102" s="7">
        <f t="shared" si="36"/>
        <v>300.20888943096361</v>
      </c>
      <c r="W102" s="7">
        <f t="shared" si="37"/>
        <v>68.459560803511764</v>
      </c>
      <c r="X102" s="7">
        <f t="shared" si="38"/>
        <v>0</v>
      </c>
      <c r="Y102" s="7">
        <f t="shared" si="39"/>
        <v>0</v>
      </c>
    </row>
    <row r="103" spans="2:26">
      <c r="C103" s="23" t="s">
        <v>219</v>
      </c>
      <c r="D103" s="7">
        <v>0</v>
      </c>
      <c r="E103" s="7">
        <v>0</v>
      </c>
      <c r="F103" s="7">
        <v>0</v>
      </c>
      <c r="G103" s="7">
        <v>0</v>
      </c>
      <c r="H103" s="7">
        <v>0</v>
      </c>
      <c r="I103" s="7">
        <v>0</v>
      </c>
      <c r="J103" s="7"/>
      <c r="K103" s="7"/>
      <c r="L103" s="7"/>
      <c r="M103" s="7"/>
      <c r="N103" s="7"/>
      <c r="O103" s="10"/>
      <c r="R103" s="23" t="s">
        <v>219</v>
      </c>
      <c r="S103" s="7">
        <f t="shared" si="33"/>
        <v>0</v>
      </c>
      <c r="T103" s="7">
        <f t="shared" si="34"/>
        <v>0</v>
      </c>
      <c r="U103" s="7">
        <f t="shared" si="35"/>
        <v>0</v>
      </c>
      <c r="V103" s="7">
        <f t="shared" si="36"/>
        <v>0</v>
      </c>
      <c r="W103" s="7">
        <f t="shared" si="37"/>
        <v>0</v>
      </c>
      <c r="X103" s="7">
        <f t="shared" si="38"/>
        <v>0</v>
      </c>
      <c r="Y103" s="7">
        <f t="shared" si="39"/>
        <v>0</v>
      </c>
    </row>
    <row r="104" spans="2:26">
      <c r="C104" s="23" t="s">
        <v>218</v>
      </c>
      <c r="D104" s="7"/>
      <c r="E104" s="7"/>
      <c r="F104" s="7"/>
      <c r="G104" s="7">
        <v>10.512221101262082</v>
      </c>
      <c r="H104" s="7">
        <v>10.819654801963555</v>
      </c>
      <c r="I104" s="7">
        <v>29.264945148030957</v>
      </c>
      <c r="J104" s="7">
        <v>42.219672602304591</v>
      </c>
      <c r="K104" s="7"/>
      <c r="L104" s="7"/>
      <c r="M104" s="7"/>
      <c r="N104" s="7"/>
      <c r="O104" s="10"/>
      <c r="R104" s="23" t="s">
        <v>218</v>
      </c>
      <c r="S104" s="7">
        <f t="shared" si="33"/>
        <v>0</v>
      </c>
      <c r="T104" s="7">
        <f t="shared" si="34"/>
        <v>0</v>
      </c>
      <c r="U104" s="7">
        <f t="shared" si="35"/>
        <v>0</v>
      </c>
      <c r="V104" s="7">
        <f t="shared" si="36"/>
        <v>10.512221087864074</v>
      </c>
      <c r="W104" s="7">
        <f t="shared" si="37"/>
        <v>10.819654788173718</v>
      </c>
      <c r="X104" s="7">
        <f t="shared" si="38"/>
        <v>29.264945110732278</v>
      </c>
      <c r="Y104" s="7">
        <f t="shared" si="39"/>
        <v>42.219672548494891</v>
      </c>
    </row>
    <row r="105" spans="2:26">
      <c r="C105" s="23" t="s">
        <v>217</v>
      </c>
      <c r="D105" s="7">
        <v>0.55293118422135656</v>
      </c>
      <c r="E105" s="7">
        <v>0.68765759355072098</v>
      </c>
      <c r="F105" s="7">
        <v>2.0658116990106365</v>
      </c>
      <c r="G105" s="7">
        <v>5.0093180475297379</v>
      </c>
      <c r="H105" s="7">
        <v>2.7173617943789035</v>
      </c>
      <c r="I105" s="7">
        <v>3.0932339904710902</v>
      </c>
      <c r="J105" s="7">
        <v>1.4100735593234084</v>
      </c>
      <c r="K105" s="7"/>
      <c r="L105" s="7"/>
      <c r="M105" s="7"/>
      <c r="N105" s="7"/>
      <c r="O105" s="10"/>
      <c r="R105" s="23" t="s">
        <v>217</v>
      </c>
      <c r="S105" s="7">
        <f t="shared" si="33"/>
        <v>0.55293119838631621</v>
      </c>
      <c r="T105" s="7">
        <f t="shared" si="34"/>
        <v>0.68765761116709412</v>
      </c>
      <c r="U105" s="7">
        <f t="shared" si="35"/>
        <v>2.065811751932483</v>
      </c>
      <c r="V105" s="7">
        <f t="shared" si="36"/>
        <v>5.0093181758581622</v>
      </c>
      <c r="W105" s="7">
        <f t="shared" si="37"/>
        <v>2.7173618639921231</v>
      </c>
      <c r="X105" s="7">
        <f t="shared" si="38"/>
        <v>3.0932340697133824</v>
      </c>
      <c r="Y105" s="7">
        <f t="shared" si="39"/>
        <v>1.4100735954465926</v>
      </c>
    </row>
    <row r="106" spans="2:26">
      <c r="C106" s="23" t="s">
        <v>10</v>
      </c>
      <c r="D106" s="7">
        <f>SUM(D96:F105)</f>
        <v>3003.4738716737711</v>
      </c>
      <c r="E106" s="7"/>
      <c r="F106" s="52"/>
      <c r="G106" s="7">
        <f>SUM(G96:I105)</f>
        <v>9598.4446781477636</v>
      </c>
      <c r="H106" s="7"/>
      <c r="I106" s="52"/>
      <c r="J106" s="77">
        <f>SUM(J96:J105)</f>
        <v>6681.0680715105109</v>
      </c>
      <c r="K106" s="7"/>
      <c r="L106" s="7"/>
      <c r="M106" s="7"/>
      <c r="N106" s="7"/>
      <c r="O106" s="10"/>
      <c r="R106" s="23" t="s">
        <v>10</v>
      </c>
    </row>
    <row r="107" spans="2:26">
      <c r="D107" s="7"/>
      <c r="E107" s="7"/>
      <c r="F107" s="52"/>
      <c r="G107" s="7"/>
      <c r="H107" s="7"/>
      <c r="I107" s="52"/>
      <c r="J107" s="77"/>
      <c r="K107" s="7"/>
      <c r="L107" s="7"/>
      <c r="M107" s="7"/>
      <c r="N107" s="7"/>
      <c r="O107" s="10"/>
    </row>
    <row r="108" spans="2:26">
      <c r="D108" s="7"/>
      <c r="E108" s="7"/>
      <c r="F108" s="52"/>
      <c r="G108" s="7"/>
      <c r="H108" s="7"/>
      <c r="I108" s="52"/>
      <c r="J108" s="77"/>
      <c r="K108" s="7"/>
      <c r="L108" s="7"/>
      <c r="M108" s="7"/>
      <c r="N108" s="7"/>
      <c r="O108" s="10"/>
    </row>
    <row r="109" spans="2:26">
      <c r="C109" s="23" t="s">
        <v>235</v>
      </c>
      <c r="D109" s="7" t="s">
        <v>234</v>
      </c>
      <c r="E109" s="7" t="s">
        <v>233</v>
      </c>
      <c r="F109" s="52" t="s">
        <v>232</v>
      </c>
      <c r="G109" s="7" t="s">
        <v>231</v>
      </c>
      <c r="H109" s="7" t="s">
        <v>230</v>
      </c>
      <c r="I109" s="52" t="s">
        <v>229</v>
      </c>
      <c r="J109" s="77" t="s">
        <v>228</v>
      </c>
      <c r="K109" s="7" t="s">
        <v>237</v>
      </c>
      <c r="L109" s="7"/>
      <c r="M109" s="7"/>
      <c r="N109" s="7"/>
      <c r="O109" s="10"/>
      <c r="R109" s="23" t="s">
        <v>235</v>
      </c>
      <c r="S109" s="23" t="s">
        <v>234</v>
      </c>
      <c r="T109" s="23" t="s">
        <v>233</v>
      </c>
      <c r="U109" s="23" t="s">
        <v>232</v>
      </c>
      <c r="V109" s="23" t="s">
        <v>231</v>
      </c>
      <c r="W109" s="23" t="s">
        <v>230</v>
      </c>
      <c r="X109" s="23" t="s">
        <v>229</v>
      </c>
      <c r="Y109" s="23" t="s">
        <v>228</v>
      </c>
      <c r="Z109" s="23" t="s">
        <v>237</v>
      </c>
    </row>
    <row r="110" spans="2:26">
      <c r="B110" s="23" t="s">
        <v>236</v>
      </c>
      <c r="C110" s="23" t="s">
        <v>226</v>
      </c>
      <c r="D110" s="7"/>
      <c r="E110" s="7"/>
      <c r="F110" s="52"/>
      <c r="G110" s="7">
        <v>41.090346854133479</v>
      </c>
      <c r="H110" s="7">
        <v>5.9145457184940984</v>
      </c>
      <c r="I110" s="52">
        <v>2.2466741225114402</v>
      </c>
      <c r="J110" s="77"/>
      <c r="K110" s="7"/>
      <c r="L110" s="7"/>
      <c r="M110" s="7"/>
      <c r="N110" s="7"/>
      <c r="O110" s="10"/>
      <c r="Q110" s="23" t="s">
        <v>236</v>
      </c>
      <c r="R110" s="23" t="s">
        <v>226</v>
      </c>
      <c r="V110" s="7">
        <f t="shared" ref="V110:V119" si="40">G110*$M8</f>
        <v>18.315934471927982</v>
      </c>
      <c r="W110" s="7">
        <f t="shared" ref="W110:W119" si="41">H110*$M8</f>
        <v>2.6363961393590092</v>
      </c>
      <c r="X110" s="7">
        <f t="shared" ref="X110:X119" si="42">I110*$M8</f>
        <v>1.0014501983586046</v>
      </c>
      <c r="Y110" s="7">
        <f t="shared" ref="Y110:Y119" si="43">J110*$M8</f>
        <v>0</v>
      </c>
      <c r="Z110" s="7">
        <f t="shared" ref="Z110:Z119" si="44">K110*$M8</f>
        <v>0</v>
      </c>
    </row>
    <row r="111" spans="2:26">
      <c r="C111" s="23" t="s">
        <v>225</v>
      </c>
      <c r="D111" s="7"/>
      <c r="E111" s="7"/>
      <c r="F111" s="52"/>
      <c r="G111" s="7">
        <v>5321.7026087460536</v>
      </c>
      <c r="H111" s="7">
        <v>4864.7406138042134</v>
      </c>
      <c r="I111" s="52">
        <v>8559.6441119174979</v>
      </c>
      <c r="J111" s="77">
        <v>13524.150022185126</v>
      </c>
      <c r="K111" s="7">
        <v>6438.9017007015855</v>
      </c>
      <c r="L111" s="7"/>
      <c r="M111" s="7"/>
      <c r="N111" s="7"/>
      <c r="O111" s="10"/>
      <c r="R111" s="23" t="s">
        <v>225</v>
      </c>
      <c r="V111" s="7">
        <f t="shared" si="40"/>
        <v>5845.2057686675362</v>
      </c>
      <c r="W111" s="7">
        <f t="shared" si="41"/>
        <v>5343.2917976564349</v>
      </c>
      <c r="X111" s="7">
        <f t="shared" si="42"/>
        <v>9401.6680034870369</v>
      </c>
      <c r="Y111" s="7">
        <f t="shared" si="43"/>
        <v>14854.539146190373</v>
      </c>
      <c r="Z111" s="7">
        <f t="shared" si="44"/>
        <v>7072.3052624115744</v>
      </c>
    </row>
    <row r="112" spans="2:26">
      <c r="C112" s="23" t="s">
        <v>224</v>
      </c>
      <c r="D112" s="7"/>
      <c r="E112" s="7"/>
      <c r="F112" s="52"/>
      <c r="G112" s="7">
        <v>454.51264308523866</v>
      </c>
      <c r="H112" s="7">
        <v>149.03210967565812</v>
      </c>
      <c r="I112" s="52">
        <v>115.54105832840681</v>
      </c>
      <c r="J112" s="77"/>
      <c r="K112" s="7"/>
      <c r="L112" s="7"/>
      <c r="M112" s="7"/>
      <c r="N112" s="7"/>
      <c r="O112" s="10"/>
      <c r="R112" s="23" t="s">
        <v>224</v>
      </c>
      <c r="V112" s="7">
        <f t="shared" si="40"/>
        <v>438.75172288315895</v>
      </c>
      <c r="W112" s="7">
        <f t="shared" si="41"/>
        <v>143.86419361461878</v>
      </c>
      <c r="X112" s="7">
        <f t="shared" si="42"/>
        <v>111.53449563299606</v>
      </c>
      <c r="Y112" s="7">
        <f t="shared" si="43"/>
        <v>0</v>
      </c>
      <c r="Z112" s="7">
        <f t="shared" si="44"/>
        <v>0</v>
      </c>
    </row>
    <row r="113" spans="2:26">
      <c r="C113" s="23" t="s">
        <v>223</v>
      </c>
      <c r="D113" s="7"/>
      <c r="E113" s="7"/>
      <c r="F113" s="52"/>
      <c r="G113" s="7">
        <v>704.7913874530459</v>
      </c>
      <c r="H113" s="7">
        <v>458.9615598467052</v>
      </c>
      <c r="I113" s="52">
        <v>530.00758138449817</v>
      </c>
      <c r="J113" s="77">
        <v>486.97387171804513</v>
      </c>
      <c r="K113" s="7">
        <v>52.706350563655093</v>
      </c>
      <c r="L113" s="7"/>
      <c r="M113" s="7"/>
      <c r="N113" s="7"/>
      <c r="O113" s="10"/>
      <c r="R113" s="23" t="s">
        <v>223</v>
      </c>
      <c r="V113" s="7">
        <f t="shared" si="40"/>
        <v>505.47166520916221</v>
      </c>
      <c r="W113" s="7">
        <f t="shared" si="41"/>
        <v>329.16415843427745</v>
      </c>
      <c r="X113" s="7">
        <f t="shared" si="42"/>
        <v>380.11788949925403</v>
      </c>
      <c r="Y113" s="7">
        <f t="shared" si="43"/>
        <v>349.25440099404182</v>
      </c>
      <c r="Z113" s="7">
        <f t="shared" si="44"/>
        <v>37.800641808046358</v>
      </c>
    </row>
    <row r="114" spans="2:26">
      <c r="C114" s="23" t="s">
        <v>222</v>
      </c>
      <c r="D114" s="7"/>
      <c r="E114" s="7"/>
      <c r="F114" s="52"/>
      <c r="G114" s="7">
        <v>103.88350854948762</v>
      </c>
      <c r="H114" s="7">
        <v>59.430705843717043</v>
      </c>
      <c r="I114" s="52">
        <v>192.20853706596571</v>
      </c>
      <c r="J114" s="77">
        <v>389.4678662783391</v>
      </c>
      <c r="K114" s="7">
        <v>262.19354689471942</v>
      </c>
      <c r="L114" s="7"/>
      <c r="M114" s="7"/>
      <c r="N114" s="7"/>
      <c r="O114" s="10"/>
      <c r="R114" s="23" t="s">
        <v>222</v>
      </c>
      <c r="V114" s="7">
        <f t="shared" si="40"/>
        <v>74.504557246730485</v>
      </c>
      <c r="W114" s="7">
        <f t="shared" si="41"/>
        <v>42.623304580028602</v>
      </c>
      <c r="X114" s="7">
        <f t="shared" si="42"/>
        <v>137.85067671563729</v>
      </c>
      <c r="Y114" s="7">
        <f t="shared" si="43"/>
        <v>279.32374776380817</v>
      </c>
      <c r="Z114" s="7">
        <f t="shared" si="44"/>
        <v>188.04345749484494</v>
      </c>
    </row>
    <row r="115" spans="2:26">
      <c r="C115" s="23" t="s">
        <v>221</v>
      </c>
      <c r="D115" s="7"/>
      <c r="E115" s="7"/>
      <c r="F115" s="52"/>
      <c r="G115" s="7">
        <v>71.219826759468603</v>
      </c>
      <c r="H115" s="7">
        <v>130.02102258574328</v>
      </c>
      <c r="I115" s="52">
        <v>379.11727033992196</v>
      </c>
      <c r="J115" s="77">
        <v>1326.9999598632257</v>
      </c>
      <c r="K115" s="7">
        <v>746.93662686486027</v>
      </c>
      <c r="L115" s="7"/>
      <c r="M115" s="7"/>
      <c r="N115" s="7"/>
      <c r="O115" s="10"/>
      <c r="R115" s="23" t="s">
        <v>221</v>
      </c>
      <c r="V115" s="7">
        <f t="shared" si="40"/>
        <v>84.177205260074686</v>
      </c>
      <c r="W115" s="7">
        <f t="shared" si="41"/>
        <v>153.67639608684976</v>
      </c>
      <c r="X115" s="7">
        <f t="shared" si="42"/>
        <v>448.09196729476781</v>
      </c>
      <c r="Y115" s="7">
        <f t="shared" si="43"/>
        <v>1568.4276848745185</v>
      </c>
      <c r="Z115" s="7">
        <f t="shared" si="44"/>
        <v>882.83053493263355</v>
      </c>
    </row>
    <row r="116" spans="2:26">
      <c r="C116" s="23" t="s">
        <v>220</v>
      </c>
      <c r="D116" s="7"/>
      <c r="E116" s="7"/>
      <c r="F116" s="52"/>
      <c r="G116" s="7">
        <v>153.26971154252038</v>
      </c>
      <c r="H116" s="7">
        <v>34.951587065161888</v>
      </c>
      <c r="I116" s="52">
        <v>0</v>
      </c>
      <c r="J116" s="77"/>
      <c r="K116" s="7"/>
      <c r="L116" s="7"/>
      <c r="M116" s="7"/>
      <c r="N116" s="7"/>
      <c r="O116" s="10"/>
      <c r="R116" s="23" t="s">
        <v>220</v>
      </c>
      <c r="V116" s="7">
        <f t="shared" si="40"/>
        <v>300.20888943096361</v>
      </c>
      <c r="W116" s="7">
        <f t="shared" si="41"/>
        <v>68.459560803511764</v>
      </c>
      <c r="X116" s="7">
        <f t="shared" si="42"/>
        <v>0</v>
      </c>
      <c r="Y116" s="7">
        <f t="shared" si="43"/>
        <v>0</v>
      </c>
      <c r="Z116" s="7">
        <f t="shared" si="44"/>
        <v>0</v>
      </c>
    </row>
    <row r="117" spans="2:26">
      <c r="C117" s="23" t="s">
        <v>219</v>
      </c>
      <c r="D117" s="7"/>
      <c r="E117" s="7"/>
      <c r="F117" s="52"/>
      <c r="G117" s="7">
        <v>222.99119367045066</v>
      </c>
      <c r="H117" s="7">
        <v>259.63866529067769</v>
      </c>
      <c r="I117" s="52">
        <v>353.19167526659788</v>
      </c>
      <c r="J117" s="77">
        <v>437.82579979360167</v>
      </c>
      <c r="K117" s="7">
        <v>12.368283453732369</v>
      </c>
      <c r="L117" s="7"/>
      <c r="M117" s="7"/>
      <c r="N117" s="7"/>
      <c r="O117" s="10"/>
      <c r="R117" s="23" t="s">
        <v>219</v>
      </c>
      <c r="V117" s="7">
        <f t="shared" si="40"/>
        <v>207.65933158979021</v>
      </c>
      <c r="W117" s="7">
        <f t="shared" si="41"/>
        <v>241.78708944357763</v>
      </c>
      <c r="X117" s="7">
        <f t="shared" si="42"/>
        <v>328.90781919097361</v>
      </c>
      <c r="Y117" s="7">
        <f t="shared" si="43"/>
        <v>407.72288556053672</v>
      </c>
      <c r="Z117" s="7">
        <f t="shared" si="44"/>
        <v>11.517896436353631</v>
      </c>
    </row>
    <row r="118" spans="2:26">
      <c r="C118" s="23" t="s">
        <v>218</v>
      </c>
      <c r="D118" s="7"/>
      <c r="E118" s="7"/>
      <c r="F118" s="52"/>
      <c r="G118" s="7">
        <v>0</v>
      </c>
      <c r="H118" s="7">
        <v>0</v>
      </c>
      <c r="I118" s="52">
        <v>0</v>
      </c>
      <c r="J118" s="77"/>
      <c r="K118" s="7"/>
      <c r="L118" s="7"/>
      <c r="M118" s="7"/>
      <c r="N118" s="7"/>
      <c r="O118" s="10"/>
      <c r="R118" s="23" t="s">
        <v>218</v>
      </c>
      <c r="V118" s="7">
        <f t="shared" si="40"/>
        <v>0</v>
      </c>
      <c r="W118" s="7">
        <f t="shared" si="41"/>
        <v>0</v>
      </c>
      <c r="X118" s="7">
        <f t="shared" si="42"/>
        <v>0</v>
      </c>
      <c r="Y118" s="7">
        <f t="shared" si="43"/>
        <v>0</v>
      </c>
      <c r="Z118" s="7">
        <f t="shared" si="44"/>
        <v>0</v>
      </c>
    </row>
    <row r="119" spans="2:26">
      <c r="C119" s="23" t="s">
        <v>217</v>
      </c>
      <c r="D119" s="7"/>
      <c r="E119" s="7"/>
      <c r="F119" s="52"/>
      <c r="G119" s="7">
        <v>15.047156368290873</v>
      </c>
      <c r="H119" s="7">
        <v>8.1625018498081481</v>
      </c>
      <c r="I119" s="52">
        <v>9.2915592694864788</v>
      </c>
      <c r="J119" s="77">
        <v>4.2356259148677751</v>
      </c>
      <c r="K119" s="7">
        <v>2.0487321878423925</v>
      </c>
      <c r="L119" s="7"/>
      <c r="M119" s="7"/>
      <c r="N119" s="7"/>
      <c r="O119" s="10"/>
      <c r="R119" s="23" t="s">
        <v>217</v>
      </c>
      <c r="V119" s="7">
        <f t="shared" si="40"/>
        <v>15.047156753768068</v>
      </c>
      <c r="W119" s="7">
        <f t="shared" si="41"/>
        <v>8.1625020589146562</v>
      </c>
      <c r="X119" s="7">
        <f t="shared" si="42"/>
        <v>9.2915595075171158</v>
      </c>
      <c r="Y119" s="7">
        <f t="shared" si="43"/>
        <v>4.235626023375799</v>
      </c>
      <c r="Z119" s="7">
        <f t="shared" si="44"/>
        <v>2.048732240326697</v>
      </c>
    </row>
    <row r="120" spans="2:26">
      <c r="C120" s="23" t="s">
        <v>10</v>
      </c>
      <c r="D120" s="7">
        <f>SUM(D110:F119)</f>
        <v>0</v>
      </c>
      <c r="E120" s="7"/>
      <c r="F120" s="52"/>
      <c r="G120" s="7">
        <f>SUM(G110:I119)</f>
        <v>23200.610162403762</v>
      </c>
      <c r="H120" s="7"/>
      <c r="I120" s="52"/>
      <c r="J120" s="77">
        <f>SUM(J110:J119)</f>
        <v>16169.653145753204</v>
      </c>
      <c r="K120" s="77">
        <f>SUM(K110:N119)</f>
        <v>7515.155240666395</v>
      </c>
      <c r="L120" s="7"/>
      <c r="M120" s="7"/>
      <c r="N120" s="7"/>
      <c r="O120" s="10"/>
      <c r="R120" s="23" t="s">
        <v>10</v>
      </c>
    </row>
    <row r="121" spans="2:26">
      <c r="D121" s="7"/>
      <c r="E121" s="7"/>
      <c r="F121" s="52"/>
      <c r="G121" s="7"/>
      <c r="H121" s="7"/>
      <c r="I121" s="52"/>
      <c r="J121" s="77"/>
      <c r="K121" s="7"/>
      <c r="L121" s="7"/>
      <c r="M121" s="7"/>
      <c r="N121" s="7"/>
      <c r="O121" s="10"/>
    </row>
    <row r="122" spans="2:26">
      <c r="D122" s="7"/>
      <c r="E122" s="7"/>
      <c r="F122" s="52"/>
      <c r="G122" s="7"/>
      <c r="H122" s="7"/>
      <c r="I122" s="52"/>
      <c r="J122" s="77"/>
      <c r="K122" s="7"/>
      <c r="L122" s="7"/>
      <c r="M122" s="7"/>
      <c r="N122" s="7"/>
      <c r="O122" s="10"/>
    </row>
    <row r="123" spans="2:26">
      <c r="C123" s="23" t="s">
        <v>235</v>
      </c>
      <c r="D123" s="7" t="s">
        <v>234</v>
      </c>
      <c r="E123" s="7" t="s">
        <v>233</v>
      </c>
      <c r="F123" s="52" t="s">
        <v>232</v>
      </c>
      <c r="G123" s="7" t="s">
        <v>231</v>
      </c>
      <c r="H123" s="7" t="s">
        <v>230</v>
      </c>
      <c r="I123" s="52" t="s">
        <v>229</v>
      </c>
      <c r="J123" s="77" t="s">
        <v>228</v>
      </c>
      <c r="K123" s="7"/>
      <c r="L123" s="7"/>
      <c r="M123" s="7"/>
      <c r="N123" s="7"/>
      <c r="O123" s="10"/>
      <c r="R123" s="23" t="s">
        <v>235</v>
      </c>
      <c r="S123" s="23" t="s">
        <v>234</v>
      </c>
      <c r="T123" s="23" t="s">
        <v>233</v>
      </c>
      <c r="U123" s="23" t="s">
        <v>232</v>
      </c>
      <c r="V123" s="23" t="s">
        <v>231</v>
      </c>
      <c r="W123" s="23" t="s">
        <v>230</v>
      </c>
      <c r="X123" s="23" t="s">
        <v>229</v>
      </c>
      <c r="Y123" s="23" t="s">
        <v>228</v>
      </c>
    </row>
    <row r="124" spans="2:26">
      <c r="B124" s="23" t="s">
        <v>227</v>
      </c>
      <c r="C124" s="23" t="s">
        <v>226</v>
      </c>
      <c r="D124" s="7">
        <v>649.28558768232961</v>
      </c>
      <c r="E124" s="7">
        <v>171.00846912153079</v>
      </c>
      <c r="F124" s="52">
        <v>134.76430916297363</v>
      </c>
      <c r="G124" s="7">
        <v>41.090346854133479</v>
      </c>
      <c r="H124" s="7">
        <v>5.9145457184940984</v>
      </c>
      <c r="I124" s="52">
        <v>2.2466741225114402</v>
      </c>
      <c r="J124" s="77"/>
      <c r="K124" s="7"/>
      <c r="L124" s="7"/>
      <c r="M124" s="7"/>
      <c r="N124" s="7"/>
      <c r="O124" s="10"/>
      <c r="Q124" s="23" t="s">
        <v>227</v>
      </c>
      <c r="R124" s="23" t="s">
        <v>226</v>
      </c>
      <c r="S124" s="7">
        <f t="shared" ref="S124:S133" si="45">D124*$M8</f>
        <v>289.41766590029397</v>
      </c>
      <c r="T124" s="7">
        <f t="shared" ref="T124:T133" si="46">E124*$M8</f>
        <v>76.226660380687349</v>
      </c>
      <c r="U124" s="7">
        <f t="shared" ref="U124:U133" si="47">F124*$M8</f>
        <v>60.070903381419548</v>
      </c>
      <c r="V124" s="7">
        <f t="shared" ref="V124:V133" si="48">G124*$M8</f>
        <v>18.315934471927982</v>
      </c>
      <c r="W124" s="7">
        <f t="shared" ref="W124:W133" si="49">H124*$M8</f>
        <v>2.6363961393590092</v>
      </c>
      <c r="X124" s="7">
        <f t="shared" ref="X124:X133" si="50">I124*$M8</f>
        <v>1.0014501983586046</v>
      </c>
    </row>
    <row r="125" spans="2:26">
      <c r="C125" s="23" t="s">
        <v>225</v>
      </c>
      <c r="D125" s="7">
        <v>892.72302791615937</v>
      </c>
      <c r="E125" s="7">
        <v>863.22111916080269</v>
      </c>
      <c r="F125" s="52">
        <v>2146.4565406772208</v>
      </c>
      <c r="G125" s="7">
        <v>5321.7026087460536</v>
      </c>
      <c r="H125" s="7">
        <v>4864.7406138042134</v>
      </c>
      <c r="I125" s="52">
        <v>8559.6441119174979</v>
      </c>
      <c r="J125" s="77"/>
      <c r="K125" s="7"/>
      <c r="L125" s="7"/>
      <c r="M125" s="7"/>
      <c r="N125" s="7"/>
      <c r="O125" s="10"/>
      <c r="R125" s="23" t="s">
        <v>225</v>
      </c>
      <c r="S125" s="7">
        <f t="shared" si="45"/>
        <v>980.54141244608763</v>
      </c>
      <c r="T125" s="7">
        <f t="shared" si="46"/>
        <v>948.13736059995358</v>
      </c>
      <c r="U125" s="7">
        <f t="shared" si="47"/>
        <v>2357.6064046008328</v>
      </c>
      <c r="V125" s="7">
        <f t="shared" si="48"/>
        <v>5845.2057686675362</v>
      </c>
      <c r="W125" s="7">
        <f t="shared" si="49"/>
        <v>5343.2917976564349</v>
      </c>
      <c r="X125" s="7">
        <f t="shared" si="50"/>
        <v>9401.6680034870369</v>
      </c>
    </row>
    <row r="126" spans="2:26">
      <c r="C126" s="23" t="s">
        <v>224</v>
      </c>
      <c r="D126" s="7">
        <v>566.26669375689096</v>
      </c>
      <c r="E126" s="7">
        <v>318.24803348233866</v>
      </c>
      <c r="F126" s="52">
        <v>471.1821712931627</v>
      </c>
      <c r="G126" s="7">
        <v>454.51264308523866</v>
      </c>
      <c r="H126" s="7">
        <v>149.03210967565812</v>
      </c>
      <c r="I126" s="52">
        <v>115.54105832840681</v>
      </c>
      <c r="J126" s="77"/>
      <c r="K126" s="7"/>
      <c r="L126" s="7"/>
      <c r="M126" s="7"/>
      <c r="N126" s="7"/>
      <c r="O126" s="10"/>
      <c r="R126" s="23" t="s">
        <v>224</v>
      </c>
      <c r="S126" s="7">
        <f t="shared" si="45"/>
        <v>546.63053113484455</v>
      </c>
      <c r="T126" s="7">
        <f t="shared" si="46"/>
        <v>307.21229677293485</v>
      </c>
      <c r="U126" s="7">
        <f t="shared" si="47"/>
        <v>454.84320973648391</v>
      </c>
      <c r="V126" s="7">
        <f t="shared" si="48"/>
        <v>438.75172288315895</v>
      </c>
      <c r="W126" s="7">
        <f t="shared" si="49"/>
        <v>143.86419361461878</v>
      </c>
      <c r="X126" s="7">
        <f t="shared" si="50"/>
        <v>111.53449563299606</v>
      </c>
    </row>
    <row r="127" spans="2:26">
      <c r="C127" s="23" t="s">
        <v>223</v>
      </c>
      <c r="D127" s="7">
        <v>102.42816265359777</v>
      </c>
      <c r="E127" s="7">
        <v>122.00745760109504</v>
      </c>
      <c r="F127" s="52">
        <v>365.27755319153908</v>
      </c>
      <c r="G127" s="7">
        <v>704.7913874530459</v>
      </c>
      <c r="H127" s="7">
        <v>458.9615598467052</v>
      </c>
      <c r="I127" s="52">
        <v>530.00758138449817</v>
      </c>
      <c r="J127" s="77"/>
      <c r="K127" s="7"/>
      <c r="L127" s="7"/>
      <c r="M127" s="7"/>
      <c r="N127" s="7"/>
      <c r="O127" s="10"/>
      <c r="R127" s="23" t="s">
        <v>223</v>
      </c>
      <c r="S127" s="7">
        <f t="shared" si="45"/>
        <v>73.46079260124084</v>
      </c>
      <c r="T127" s="7">
        <f t="shared" si="46"/>
        <v>87.502931873823982</v>
      </c>
      <c r="U127" s="7">
        <f t="shared" si="47"/>
        <v>261.97461598174874</v>
      </c>
      <c r="V127" s="7">
        <f t="shared" si="48"/>
        <v>505.47166520916221</v>
      </c>
      <c r="W127" s="7">
        <f t="shared" si="49"/>
        <v>329.16415843427745</v>
      </c>
      <c r="X127" s="7">
        <f t="shared" si="50"/>
        <v>380.11788949925403</v>
      </c>
    </row>
    <row r="128" spans="2:26">
      <c r="C128" s="23" t="s">
        <v>222</v>
      </c>
      <c r="D128" s="7"/>
      <c r="E128" s="7"/>
      <c r="F128" s="52"/>
      <c r="G128" s="7">
        <v>103.88350854948762</v>
      </c>
      <c r="H128" s="7">
        <v>59.430705843717043</v>
      </c>
      <c r="I128" s="52">
        <v>192.20853706596571</v>
      </c>
      <c r="J128" s="77"/>
      <c r="K128" s="7"/>
      <c r="L128" s="7"/>
      <c r="M128" s="7"/>
      <c r="N128" s="7"/>
      <c r="O128" s="10"/>
      <c r="R128" s="23" t="s">
        <v>222</v>
      </c>
      <c r="S128" s="7">
        <f t="shared" si="45"/>
        <v>0</v>
      </c>
      <c r="T128" s="7">
        <f t="shared" si="46"/>
        <v>0</v>
      </c>
      <c r="U128" s="7">
        <f t="shared" si="47"/>
        <v>0</v>
      </c>
      <c r="V128" s="7">
        <f t="shared" si="48"/>
        <v>74.504557246730485</v>
      </c>
      <c r="W128" s="7">
        <f t="shared" si="49"/>
        <v>42.623304580028602</v>
      </c>
      <c r="X128" s="7">
        <f t="shared" si="50"/>
        <v>137.85067671563729</v>
      </c>
    </row>
    <row r="129" spans="3:24">
      <c r="C129" s="23" t="s">
        <v>221</v>
      </c>
      <c r="D129" s="7"/>
      <c r="E129" s="7"/>
      <c r="F129" s="52"/>
      <c r="G129" s="7">
        <v>71.219826759468603</v>
      </c>
      <c r="H129" s="7">
        <v>130.02102258574328</v>
      </c>
      <c r="I129" s="52">
        <v>379.11727033992196</v>
      </c>
      <c r="J129" s="77"/>
      <c r="K129" s="7"/>
      <c r="L129" s="7"/>
      <c r="M129" s="7"/>
      <c r="N129" s="7"/>
      <c r="O129" s="10"/>
      <c r="R129" s="23" t="s">
        <v>221</v>
      </c>
      <c r="S129" s="7">
        <f t="shared" si="45"/>
        <v>0</v>
      </c>
      <c r="T129" s="7">
        <f t="shared" si="46"/>
        <v>0</v>
      </c>
      <c r="U129" s="7">
        <f t="shared" si="47"/>
        <v>0</v>
      </c>
      <c r="V129" s="7">
        <f t="shared" si="48"/>
        <v>84.177205260074686</v>
      </c>
      <c r="W129" s="7">
        <f t="shared" si="49"/>
        <v>153.67639608684976</v>
      </c>
      <c r="X129" s="7">
        <f t="shared" si="50"/>
        <v>448.09196729476781</v>
      </c>
    </row>
    <row r="130" spans="3:24">
      <c r="C130" s="23" t="s">
        <v>220</v>
      </c>
      <c r="D130" s="7">
        <v>19.381400178148716</v>
      </c>
      <c r="E130" s="7">
        <v>22.360576808137299</v>
      </c>
      <c r="F130" s="52">
        <v>68.786724406032363</v>
      </c>
      <c r="G130" s="7">
        <v>153.26971154252038</v>
      </c>
      <c r="H130" s="7">
        <v>34.951587065161888</v>
      </c>
      <c r="I130" s="52">
        <v>0</v>
      </c>
      <c r="J130" s="77"/>
      <c r="K130" s="7"/>
      <c r="L130" s="7"/>
      <c r="M130" s="7"/>
      <c r="N130" s="7"/>
      <c r="O130" s="10"/>
      <c r="R130" s="23" t="s">
        <v>220</v>
      </c>
      <c r="S130" s="7">
        <f t="shared" si="45"/>
        <v>37.962285989459403</v>
      </c>
      <c r="T130" s="7">
        <f t="shared" si="46"/>
        <v>43.797589641475703</v>
      </c>
      <c r="U130" s="7">
        <f t="shared" si="47"/>
        <v>134.73233513458962</v>
      </c>
      <c r="V130" s="7">
        <f t="shared" si="48"/>
        <v>300.20888943096361</v>
      </c>
      <c r="W130" s="7">
        <f t="shared" si="49"/>
        <v>68.459560803511764</v>
      </c>
      <c r="X130" s="7">
        <f t="shared" si="50"/>
        <v>0</v>
      </c>
    </row>
    <row r="131" spans="3:24">
      <c r="C131" s="23" t="s">
        <v>219</v>
      </c>
      <c r="D131" s="7">
        <v>12.768489852081181</v>
      </c>
      <c r="E131" s="7">
        <v>19.381424148606811</v>
      </c>
      <c r="F131" s="52">
        <v>66.834468524251804</v>
      </c>
      <c r="G131" s="7">
        <v>222.99119367045066</v>
      </c>
      <c r="H131" s="7">
        <v>259.63866529067769</v>
      </c>
      <c r="I131" s="52">
        <v>353.19167526659788</v>
      </c>
      <c r="J131" s="77"/>
      <c r="K131" s="7"/>
      <c r="L131" s="7"/>
      <c r="M131" s="7"/>
      <c r="N131" s="7"/>
      <c r="O131" s="10"/>
      <c r="R131" s="23" t="s">
        <v>219</v>
      </c>
      <c r="S131" s="7">
        <f t="shared" si="45"/>
        <v>11.890586459717923</v>
      </c>
      <c r="T131" s="7">
        <f t="shared" si="46"/>
        <v>18.048845417213627</v>
      </c>
      <c r="U131" s="7">
        <f t="shared" si="47"/>
        <v>62.239233901836954</v>
      </c>
      <c r="V131" s="7">
        <f t="shared" si="48"/>
        <v>207.65933158979021</v>
      </c>
      <c r="W131" s="7">
        <f t="shared" si="49"/>
        <v>241.78708944357763</v>
      </c>
      <c r="X131" s="7">
        <f t="shared" si="50"/>
        <v>328.90781919097361</v>
      </c>
    </row>
    <row r="132" spans="3:24">
      <c r="C132" s="23" t="s">
        <v>218</v>
      </c>
      <c r="D132" s="7"/>
      <c r="E132" s="7"/>
      <c r="F132" s="52"/>
      <c r="G132" s="7">
        <v>28.665683743732313</v>
      </c>
      <c r="H132" s="7">
        <v>29.504022012265843</v>
      </c>
      <c r="I132" s="52">
        <v>79.80232286879999</v>
      </c>
      <c r="J132" s="77"/>
      <c r="K132" s="7"/>
      <c r="L132" s="7"/>
      <c r="M132" s="7"/>
      <c r="N132" s="7"/>
      <c r="O132" s="10"/>
      <c r="R132" s="23" t="s">
        <v>218</v>
      </c>
      <c r="S132" s="7">
        <f t="shared" si="45"/>
        <v>0</v>
      </c>
      <c r="T132" s="7">
        <f t="shared" si="46"/>
        <v>0</v>
      </c>
      <c r="U132" s="7">
        <f t="shared" si="47"/>
        <v>0</v>
      </c>
      <c r="V132" s="7">
        <f t="shared" si="48"/>
        <v>28.665683707197402</v>
      </c>
      <c r="W132" s="7">
        <f t="shared" si="49"/>
        <v>29.504021974662457</v>
      </c>
      <c r="X132" s="7">
        <f t="shared" si="50"/>
        <v>79.802322767090558</v>
      </c>
    </row>
    <row r="133" spans="3:24">
      <c r="C133" s="23" t="s">
        <v>217</v>
      </c>
      <c r="D133" s="7">
        <v>0</v>
      </c>
      <c r="E133" s="7">
        <v>0</v>
      </c>
      <c r="F133" s="52">
        <v>0</v>
      </c>
      <c r="G133" s="7">
        <v>0</v>
      </c>
      <c r="H133" s="7">
        <v>0</v>
      </c>
      <c r="I133" s="52">
        <v>0</v>
      </c>
      <c r="J133" s="77"/>
      <c r="K133" s="7"/>
      <c r="L133" s="7"/>
      <c r="M133" s="7"/>
      <c r="N133" s="7"/>
      <c r="O133" s="10"/>
      <c r="R133" s="23" t="s">
        <v>217</v>
      </c>
      <c r="S133" s="7">
        <f t="shared" si="45"/>
        <v>0</v>
      </c>
      <c r="T133" s="7">
        <f t="shared" si="46"/>
        <v>0</v>
      </c>
      <c r="U133" s="7">
        <f t="shared" si="47"/>
        <v>0</v>
      </c>
      <c r="V133" s="7">
        <f t="shared" si="48"/>
        <v>0</v>
      </c>
      <c r="W133" s="7">
        <f t="shared" si="49"/>
        <v>0</v>
      </c>
      <c r="X133" s="7">
        <f t="shared" si="50"/>
        <v>0</v>
      </c>
    </row>
    <row r="134" spans="3:24">
      <c r="C134" s="23" t="s">
        <v>10</v>
      </c>
      <c r="D134" s="7">
        <f>SUM(D124:F133)</f>
        <v>7012.3822096168988</v>
      </c>
      <c r="G134" s="7">
        <f>SUM(G124:I133)</f>
        <v>23306.080973540971</v>
      </c>
      <c r="R134" s="23" t="s">
        <v>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Y39"/>
  <sheetViews>
    <sheetView workbookViewId="0">
      <selection activeCell="M5" sqref="M5"/>
    </sheetView>
  </sheetViews>
  <sheetFormatPr defaultColWidth="9.109375" defaultRowHeight="14.4"/>
  <cols>
    <col min="1" max="16384" width="9.109375" style="23"/>
  </cols>
  <sheetData>
    <row r="1" spans="2:25">
      <c r="C1" s="23" t="s">
        <v>252</v>
      </c>
      <c r="I1" s="10"/>
      <c r="K1" s="23" t="s">
        <v>276</v>
      </c>
    </row>
    <row r="2" spans="2:25">
      <c r="I2" s="10"/>
    </row>
    <row r="3" spans="2:25">
      <c r="C3" s="150" t="s">
        <v>275</v>
      </c>
      <c r="D3" s="150"/>
      <c r="G3" s="150" t="s">
        <v>5</v>
      </c>
      <c r="H3" s="150"/>
      <c r="I3" s="10"/>
      <c r="L3" s="23" t="s">
        <v>275</v>
      </c>
      <c r="R3" s="150" t="s">
        <v>5</v>
      </c>
      <c r="S3" s="150"/>
      <c r="W3" s="23" t="s">
        <v>274</v>
      </c>
      <c r="Y3" s="23" t="s">
        <v>248</v>
      </c>
    </row>
    <row r="4" spans="2:25">
      <c r="C4" s="90">
        <v>2010</v>
      </c>
      <c r="D4" s="90">
        <v>2050</v>
      </c>
      <c r="G4" s="90">
        <v>2010</v>
      </c>
      <c r="H4" s="90">
        <v>2050</v>
      </c>
      <c r="I4" s="10"/>
      <c r="L4" s="23">
        <v>2010</v>
      </c>
      <c r="M4" s="23">
        <v>2050</v>
      </c>
      <c r="R4" s="90">
        <v>2010</v>
      </c>
      <c r="S4" s="90">
        <v>2050</v>
      </c>
      <c r="V4" s="23" t="s">
        <v>72</v>
      </c>
      <c r="W4" s="23">
        <f>SUM(D5:D8)</f>
        <v>62863.094368639184</v>
      </c>
      <c r="X4" s="23">
        <f>SUM(M5:M8)</f>
        <v>76310.668900694596</v>
      </c>
      <c r="Y4" s="89">
        <f t="shared" ref="Y4:Y13" si="0">X4/W4</f>
        <v>1.2139184312690161</v>
      </c>
    </row>
    <row r="5" spans="2:25">
      <c r="B5" s="23" t="s">
        <v>273</v>
      </c>
      <c r="C5" s="23">
        <v>3299.2301690558397</v>
      </c>
      <c r="D5" s="8">
        <v>3953.3145635604951</v>
      </c>
      <c r="G5" s="7">
        <v>1315.3945644862199</v>
      </c>
      <c r="H5" s="7"/>
      <c r="I5" s="10"/>
      <c r="K5" s="23" t="s">
        <v>273</v>
      </c>
      <c r="L5" s="29">
        <v>3299.2424660314218</v>
      </c>
      <c r="M5" s="23">
        <f t="array" ref="M5">INDEX('LTM data'!$V$35:$AE$38,MATCH(O5,'LTM data'!$C$35:$C$38,0),MATCH(P5,'LTM data'!$V$34:$AE$34,0))</f>
        <v>4799.0015212516118</v>
      </c>
      <c r="O5" s="23" t="s">
        <v>84</v>
      </c>
      <c r="P5" s="23" t="s">
        <v>72</v>
      </c>
      <c r="R5" s="7">
        <v>1315.3945644862199</v>
      </c>
      <c r="S5" s="7">
        <v>1731.220532</v>
      </c>
      <c r="V5" s="23" t="s">
        <v>66</v>
      </c>
      <c r="W5" s="23">
        <f>SUM(D9:D10)</f>
        <v>2454.1203727843458</v>
      </c>
      <c r="X5" s="23">
        <f>SUM(M9:M10)</f>
        <v>2704.8706079207977</v>
      </c>
      <c r="Y5" s="89">
        <f t="shared" si="0"/>
        <v>1.1021751980535335</v>
      </c>
    </row>
    <row r="6" spans="2:25">
      <c r="B6" s="23" t="s">
        <v>22</v>
      </c>
      <c r="C6" s="23">
        <v>15830.02873502846</v>
      </c>
      <c r="D6" s="8">
        <v>18968.389573643577</v>
      </c>
      <c r="G6" s="7">
        <v>6311.3791236512097</v>
      </c>
      <c r="H6" s="7">
        <v>7562.6330165446861</v>
      </c>
      <c r="I6" s="10"/>
      <c r="K6" s="23" t="s">
        <v>22</v>
      </c>
      <c r="L6" s="29">
        <v>15830.087400313731</v>
      </c>
      <c r="M6" s="23">
        <f t="array" ref="M6">INDEX('LTM data'!$V$35:$AE$38,MATCH(O6,'LTM data'!$C$35:$C$38,0),MATCH(P6,'LTM data'!$V$34:$AE$34,0))</f>
        <v>23026.077742940914</v>
      </c>
      <c r="O6" s="23" t="s">
        <v>83</v>
      </c>
      <c r="P6" s="23" t="s">
        <v>72</v>
      </c>
      <c r="R6" s="7">
        <v>6311.3791236512097</v>
      </c>
      <c r="S6" s="7">
        <v>8306.5487890000004</v>
      </c>
      <c r="V6" s="23" t="s">
        <v>65</v>
      </c>
      <c r="W6" s="23">
        <f>SUM(D11:D12)</f>
        <v>1633.816005911372</v>
      </c>
      <c r="X6" s="23">
        <f>SUM(M11:M12)</f>
        <v>728.2699999999993</v>
      </c>
      <c r="Y6" s="89">
        <f t="shared" si="0"/>
        <v>0.44574786718028092</v>
      </c>
    </row>
    <row r="7" spans="2:25">
      <c r="B7" s="23" t="s">
        <v>25</v>
      </c>
      <c r="C7" s="23">
        <v>11434.103973816829</v>
      </c>
      <c r="D7" s="8">
        <v>13700.956721637551</v>
      </c>
      <c r="G7" s="7">
        <v>4558.75601767836</v>
      </c>
      <c r="H7" s="7">
        <v>5462.5459979848638</v>
      </c>
      <c r="I7" s="10"/>
      <c r="K7" s="23" t="s">
        <v>25</v>
      </c>
      <c r="L7" s="29">
        <v>11434.146431489642</v>
      </c>
      <c r="M7" s="23">
        <f t="array" ref="M7">INDEX('LTM data'!$V$35:$AE$38,MATCH(O7,'LTM data'!$C$35:$C$38,0),MATCH(P7,'LTM data'!$V$34:$AE$34,0))</f>
        <v>16631.844032044508</v>
      </c>
      <c r="O7" s="23" t="s">
        <v>82</v>
      </c>
      <c r="P7" s="23" t="s">
        <v>72</v>
      </c>
      <c r="R7" s="7">
        <v>4558.75601767836</v>
      </c>
      <c r="S7" s="7">
        <v>5999.8818860000001</v>
      </c>
      <c r="V7" s="23" t="s">
        <v>64</v>
      </c>
      <c r="W7" s="23">
        <f>SUM(D13:D15)</f>
        <v>486.50843462006344</v>
      </c>
      <c r="X7" s="23">
        <f>SUM(M13:M15)</f>
        <v>515.7024607697241</v>
      </c>
      <c r="Y7" s="89">
        <f t="shared" si="0"/>
        <v>1.0600072353780661</v>
      </c>
    </row>
    <row r="8" spans="2:25">
      <c r="B8" s="23" t="s">
        <v>14</v>
      </c>
      <c r="C8" s="23">
        <v>21898.897366430923</v>
      </c>
      <c r="D8" s="8">
        <v>26240.43350979756</v>
      </c>
      <c r="G8" s="7">
        <v>8730.9460989267209</v>
      </c>
      <c r="H8" s="7">
        <v>10461.887955039643</v>
      </c>
      <c r="I8" s="10"/>
      <c r="K8" s="23" t="s">
        <v>14</v>
      </c>
      <c r="L8" s="29">
        <v>21898.978305174383</v>
      </c>
      <c r="M8" s="23">
        <f t="array" ref="M8">INDEX('LTM data'!$V$35:$AE$38,MATCH(O8,'LTM data'!$C$35:$C$38,0),MATCH(P8,'LTM data'!$V$34:$AE$34,0))</f>
        <v>31853.74560445757</v>
      </c>
      <c r="O8" s="23" t="s">
        <v>79</v>
      </c>
      <c r="P8" s="23" t="s">
        <v>72</v>
      </c>
      <c r="R8" s="7">
        <v>8730.9460989267209</v>
      </c>
      <c r="S8" s="7">
        <v>11490.995601000001</v>
      </c>
      <c r="V8" s="23" t="s">
        <v>63</v>
      </c>
      <c r="W8" s="23">
        <f>SUM(D16:D19)</f>
        <v>49.298852737064806</v>
      </c>
      <c r="X8" s="23">
        <f>SUM(M16:M19)</f>
        <v>42.401797637512288</v>
      </c>
      <c r="Y8" s="89">
        <f t="shared" si="0"/>
        <v>0.86009704655120622</v>
      </c>
    </row>
    <row r="9" spans="2:25">
      <c r="B9" s="23" t="s">
        <v>153</v>
      </c>
      <c r="C9" s="23">
        <v>1431.4649797052439</v>
      </c>
      <c r="D9" s="8">
        <v>1430.3672579493584</v>
      </c>
      <c r="G9" s="7">
        <v>624.237035682704</v>
      </c>
      <c r="H9" s="7">
        <v>623.7583382750737</v>
      </c>
      <c r="I9" s="10"/>
      <c r="K9" s="23" t="s">
        <v>153</v>
      </c>
      <c r="L9" s="23">
        <v>1374.569890215354</v>
      </c>
      <c r="M9" s="23">
        <f t="array" ref="M9">INDEX('LTM data'!$V$35:$AE$38,MATCH(O9,'LTM data'!$C$35:$C$38,0),MATCH(P9,'LTM data'!$V$34:$AE$34,0))</f>
        <v>1576.5153158196238</v>
      </c>
      <c r="O9" s="23" t="s">
        <v>84</v>
      </c>
      <c r="P9" s="23" t="s">
        <v>66</v>
      </c>
      <c r="R9" s="7">
        <v>617.09401818322681</v>
      </c>
      <c r="S9" s="7">
        <v>619.87616400000002</v>
      </c>
      <c r="V9" s="23" t="s">
        <v>111</v>
      </c>
      <c r="W9" s="23">
        <f>SUM(D20:D23)</f>
        <v>3049.00000000001</v>
      </c>
      <c r="X9" s="23">
        <f>SUM(M20:M23)</f>
        <v>2788.0865134675701</v>
      </c>
      <c r="Y9" s="89">
        <f t="shared" si="0"/>
        <v>0.91442653770664506</v>
      </c>
    </row>
    <row r="10" spans="2:25">
      <c r="B10" s="23" t="s">
        <v>150</v>
      </c>
      <c r="C10" s="23">
        <v>1024.538784431774</v>
      </c>
      <c r="D10" s="8">
        <v>1023.7531148349872</v>
      </c>
      <c r="G10" s="7">
        <v>446.78358381309698</v>
      </c>
      <c r="H10" s="7">
        <v>446.44096693662601</v>
      </c>
      <c r="I10" s="10"/>
      <c r="K10" s="23" t="s">
        <v>150</v>
      </c>
      <c r="L10" s="23">
        <v>983.81740692513586</v>
      </c>
      <c r="M10" s="23">
        <f t="array" ref="M10">INDEX('LTM data'!$V$35:$AE$38,MATCH(O10,'LTM data'!$C$35:$C$38,0),MATCH(P10,'LTM data'!$V$34:$AE$34,0))</f>
        <v>1128.3552921011737</v>
      </c>
      <c r="O10" s="23" t="s">
        <v>83</v>
      </c>
      <c r="P10" s="23" t="s">
        <v>66</v>
      </c>
      <c r="R10" s="7">
        <v>441.67113008922314</v>
      </c>
      <c r="S10" s="7">
        <v>443.66238800000002</v>
      </c>
      <c r="V10" s="23" t="s">
        <v>70</v>
      </c>
      <c r="W10" s="23">
        <f>SUM(D24:D26)</f>
        <v>3835.0000000000009</v>
      </c>
      <c r="X10" s="23">
        <f>SUM(M24:M26)</f>
        <v>3506.8257721049849</v>
      </c>
      <c r="Y10" s="89">
        <f t="shared" si="0"/>
        <v>0.91442653770664517</v>
      </c>
    </row>
    <row r="11" spans="2:25">
      <c r="B11" s="23" t="s">
        <v>161</v>
      </c>
      <c r="C11" s="23">
        <v>1498.7468447111219</v>
      </c>
      <c r="D11" s="8">
        <v>1516.3596229296118</v>
      </c>
      <c r="G11" s="7">
        <v>611.78424259112603</v>
      </c>
      <c r="H11" s="7">
        <v>618.97372907468298</v>
      </c>
      <c r="I11" s="10"/>
      <c r="K11" s="23" t="s">
        <v>161</v>
      </c>
      <c r="L11" s="29">
        <v>538.26410683322797</v>
      </c>
      <c r="M11" s="23">
        <f t="array" ref="M11">INDEX('LTM data'!$V$35:$AE$38,MATCH(O11,'LTM data'!$C$35:$C$38,0),MATCH(P11,'LTM data'!$V$34:$AE$34,0))</f>
        <v>675.91406779916952</v>
      </c>
      <c r="N11" s="29"/>
      <c r="O11" s="23" t="s">
        <v>84</v>
      </c>
      <c r="P11" s="23" t="s">
        <v>65</v>
      </c>
      <c r="R11" s="7">
        <v>316.33898005988527</v>
      </c>
      <c r="S11" s="7">
        <v>397.23615999999998</v>
      </c>
      <c r="V11" s="23" t="s">
        <v>67</v>
      </c>
      <c r="W11" s="23">
        <f>SUM(D27:D28)</f>
        <v>298.75000000000063</v>
      </c>
      <c r="X11" s="23">
        <f>SUM(M27:M28)</f>
        <v>585.1606602863028</v>
      </c>
      <c r="Y11" s="89">
        <f t="shared" si="0"/>
        <v>1.9586967708328087</v>
      </c>
    </row>
    <row r="12" spans="2:25">
      <c r="B12" s="23" t="s">
        <v>160</v>
      </c>
      <c r="C12" s="23">
        <v>116.092106861161</v>
      </c>
      <c r="D12" s="8">
        <v>117.45638298176023</v>
      </c>
      <c r="G12" s="7">
        <v>47.388471186775298</v>
      </c>
      <c r="H12" s="7">
        <v>47.945364858359198</v>
      </c>
      <c r="I12" s="10"/>
      <c r="K12" s="23" t="s">
        <v>160</v>
      </c>
      <c r="L12" s="29">
        <v>41.693641878562104</v>
      </c>
      <c r="M12" s="23">
        <f t="array" ref="M12">INDEX('LTM data'!$V$35:$AE$38,MATCH(O12,'LTM data'!$C$35:$C$38,0),MATCH(P12,'LTM data'!$V$34:$AE$34,0))</f>
        <v>52.355932200829841</v>
      </c>
      <c r="N12" s="29"/>
      <c r="O12" s="23" t="s">
        <v>83</v>
      </c>
      <c r="P12" s="23" t="s">
        <v>65</v>
      </c>
      <c r="R12" s="7">
        <v>24.503443531546765</v>
      </c>
      <c r="S12" s="7">
        <v>30.769694999999999</v>
      </c>
      <c r="V12" s="23" t="s">
        <v>68</v>
      </c>
      <c r="W12" s="23">
        <f>SUM(D29:D31)</f>
        <v>1384.9999999999998</v>
      </c>
      <c r="X12" s="23">
        <f>SUM(M29:M31)</f>
        <v>1289.7736874038874</v>
      </c>
      <c r="Y12" s="89">
        <f t="shared" si="0"/>
        <v>0.9312445396417961</v>
      </c>
    </row>
    <row r="13" spans="2:25">
      <c r="B13" s="23" t="s">
        <v>145</v>
      </c>
      <c r="C13" s="23">
        <v>159.77971128567219</v>
      </c>
      <c r="D13" s="8">
        <v>166.81153910222758</v>
      </c>
      <c r="G13" s="7">
        <v>58.5942785081292</v>
      </c>
      <c r="H13" s="7">
        <v>61.172984366270299</v>
      </c>
      <c r="I13" s="10"/>
      <c r="K13" s="23" t="s">
        <v>145</v>
      </c>
      <c r="L13" s="29">
        <v>159.77971128567219</v>
      </c>
      <c r="M13" s="23">
        <f t="array" ref="M13">INDEX('LTM data'!$V$35:$AE$38,MATCH(O13,'LTM data'!$C$35:$C$38,0),MATCH(P13,'LTM data'!$V$34:$AE$34,0))</f>
        <v>176.8214383929124</v>
      </c>
      <c r="N13" s="29"/>
      <c r="O13" s="23" t="s">
        <v>83</v>
      </c>
      <c r="P13" s="23" t="s">
        <v>64</v>
      </c>
      <c r="R13" s="7">
        <v>58.594278508129214</v>
      </c>
      <c r="S13" s="7">
        <v>61.172984</v>
      </c>
      <c r="V13" s="23" t="s">
        <v>69</v>
      </c>
      <c r="W13" s="23">
        <f>SUM(D32:D34)</f>
        <v>6537.4999999999964</v>
      </c>
      <c r="X13" s="23">
        <f>SUM(M32:M34)</f>
        <v>7726.90000000896</v>
      </c>
      <c r="Y13" s="89">
        <f t="shared" si="0"/>
        <v>1.1819349904411418</v>
      </c>
    </row>
    <row r="14" spans="2:25">
      <c r="B14" s="23" t="s">
        <v>272</v>
      </c>
      <c r="C14" s="23">
        <v>126.1130449970625</v>
      </c>
      <c r="D14" s="8">
        <v>131.66321911306972</v>
      </c>
      <c r="G14" s="7">
        <v>46.248067558804799</v>
      </c>
      <c r="H14" s="7">
        <v>48.28342264428553</v>
      </c>
      <c r="I14" s="10"/>
      <c r="K14" s="23" t="s">
        <v>272</v>
      </c>
      <c r="L14" s="29">
        <v>126.1130449970625</v>
      </c>
      <c r="M14" s="23">
        <f t="array" ref="M14">INDEX('LTM data'!$V$35:$AE$38,MATCH(O14,'LTM data'!$C$35:$C$38,0),MATCH(P14,'LTM data'!$V$34:$AE$34,0))</f>
        <v>139.56396489302156</v>
      </c>
      <c r="N14" s="29"/>
      <c r="O14" s="23" t="s">
        <v>82</v>
      </c>
      <c r="P14" s="23" t="s">
        <v>64</v>
      </c>
      <c r="R14" s="7">
        <v>46.24806755880482</v>
      </c>
      <c r="S14" s="7">
        <v>48.283422999999999</v>
      </c>
    </row>
    <row r="15" spans="2:25">
      <c r="B15" s="23" t="s">
        <v>271</v>
      </c>
      <c r="C15" s="23">
        <v>180.10724371726542</v>
      </c>
      <c r="D15" s="8">
        <v>188.03367640476614</v>
      </c>
      <c r="G15" s="7">
        <v>66.048773744700398</v>
      </c>
      <c r="H15" s="7">
        <v>68.955548332851777</v>
      </c>
      <c r="I15" s="10"/>
      <c r="K15" s="23" t="s">
        <v>271</v>
      </c>
      <c r="L15" s="29">
        <v>180.10724371726542</v>
      </c>
      <c r="M15" s="23">
        <f t="array" ref="M15">INDEX('LTM data'!$V$35:$AE$38,MATCH(O15,'LTM data'!$C$35:$C$38,0),MATCH(P15,'LTM data'!$V$34:$AE$34,0))</f>
        <v>199.31705748379008</v>
      </c>
      <c r="N15" s="29"/>
      <c r="O15" s="23" t="s">
        <v>79</v>
      </c>
      <c r="P15" s="23" t="s">
        <v>64</v>
      </c>
      <c r="R15" s="7">
        <v>66.04877374470037</v>
      </c>
      <c r="S15" s="7">
        <v>68.955547999999993</v>
      </c>
      <c r="W15" s="23">
        <f>SUM(W4:W13)</f>
        <v>82592.088034692031</v>
      </c>
      <c r="X15" s="23">
        <f>SUM(X4:X13)</f>
        <v>96198.660400294335</v>
      </c>
    </row>
    <row r="16" spans="2:25">
      <c r="B16" s="23" t="s">
        <v>137</v>
      </c>
      <c r="C16" s="23">
        <v>15.858977542109159</v>
      </c>
      <c r="D16" s="8">
        <v>10.023453825754576</v>
      </c>
      <c r="G16" s="7">
        <v>5.2797026381633598</v>
      </c>
      <c r="H16" s="7">
        <v>3.3369651647988188</v>
      </c>
      <c r="I16" s="10"/>
      <c r="K16" s="23" t="s">
        <v>137</v>
      </c>
      <c r="L16" s="29">
        <v>15.858977542109159</v>
      </c>
      <c r="M16" s="23">
        <f t="array" ref="M16">INDEX('LTM data'!$V$35:$AE$38,MATCH(O16,'LTM data'!$C$35:$C$38,0),MATCH(P16,'LTM data'!$V$34:$AE$34,0))</f>
        <v>8.6211430317739008</v>
      </c>
      <c r="N16" s="29"/>
      <c r="O16" s="23" t="s">
        <v>84</v>
      </c>
      <c r="P16" s="23" t="s">
        <v>63</v>
      </c>
      <c r="R16" s="7">
        <v>5.2797026381633598</v>
      </c>
      <c r="S16" s="7">
        <v>3.3369650000000002</v>
      </c>
    </row>
    <row r="17" spans="2:23">
      <c r="B17" s="23" t="s">
        <v>136</v>
      </c>
      <c r="C17" s="23">
        <v>52.072422674324699</v>
      </c>
      <c r="D17" s="8">
        <v>32.911675603637512</v>
      </c>
      <c r="G17" s="7">
        <v>17.335727138726199</v>
      </c>
      <c r="H17" s="7">
        <v>10.956813580794874</v>
      </c>
      <c r="I17" s="10"/>
      <c r="K17" s="23" t="s">
        <v>136</v>
      </c>
      <c r="L17" s="29">
        <v>52.072422674324699</v>
      </c>
      <c r="M17" s="23">
        <f t="array" ref="M17">INDEX('LTM data'!$V$35:$AE$38,MATCH(O17,'LTM data'!$C$35:$C$38,0),MATCH(P17,'LTM data'!$V$34:$AE$34,0))</f>
        <v>28.307234983740017</v>
      </c>
      <c r="N17" s="29"/>
      <c r="O17" s="29" t="s">
        <v>83</v>
      </c>
      <c r="P17" s="23" t="s">
        <v>63</v>
      </c>
      <c r="R17" s="7">
        <v>17.335727138726163</v>
      </c>
      <c r="S17" s="7">
        <v>10.956814</v>
      </c>
    </row>
    <row r="18" spans="2:23">
      <c r="B18" s="23" t="s">
        <v>270</v>
      </c>
      <c r="C18" s="23">
        <v>6.78618587176204</v>
      </c>
      <c r="D18" s="8">
        <v>4.2891176658762351</v>
      </c>
      <c r="G18" s="7">
        <v>2.2592278320008301</v>
      </c>
      <c r="H18" s="7">
        <v>1.4279146178113724</v>
      </c>
      <c r="I18" s="10"/>
      <c r="K18" s="23" t="s">
        <v>270</v>
      </c>
      <c r="L18" s="29">
        <v>6.78618587176204</v>
      </c>
      <c r="M18" s="23">
        <f t="array" ref="M18">INDEX('LTM data'!$V$35:$AE$38,MATCH(O18,'LTM data'!$C$35:$C$38,0),MATCH(P18,'LTM data'!$V$34:$AE$34,0))</f>
        <v>3.6890574367307529</v>
      </c>
      <c r="N18" s="29"/>
      <c r="O18" s="29" t="s">
        <v>82</v>
      </c>
      <c r="P18" s="23" t="s">
        <v>63</v>
      </c>
      <c r="R18" s="7">
        <v>2.2592278320008257</v>
      </c>
      <c r="S18" s="7">
        <v>1.427915</v>
      </c>
    </row>
    <row r="19" spans="2:23">
      <c r="B19" s="23" t="s">
        <v>269</v>
      </c>
      <c r="C19" s="23">
        <v>3.2824139118041504</v>
      </c>
      <c r="D19" s="8">
        <v>2.0746056417964809</v>
      </c>
      <c r="G19" s="7">
        <v>1.0927671310260101</v>
      </c>
      <c r="H19" s="7">
        <v>0.69066879318405183</v>
      </c>
      <c r="I19" s="10"/>
      <c r="K19" s="23" t="s">
        <v>269</v>
      </c>
      <c r="L19" s="29">
        <v>3.2824139118041504</v>
      </c>
      <c r="M19" s="23">
        <f t="array" ref="M19">INDEX('LTM data'!$V$35:$AE$38,MATCH(O19,'LTM data'!$C$35:$C$38,0),MATCH(P19,'LTM data'!$V$34:$AE$34,0))</f>
        <v>1.7843621852676232</v>
      </c>
      <c r="N19" s="29"/>
      <c r="O19" s="29" t="s">
        <v>79</v>
      </c>
      <c r="P19" s="23" t="s">
        <v>63</v>
      </c>
      <c r="R19" s="7">
        <v>1.0927671310260099</v>
      </c>
      <c r="S19" s="7">
        <v>0.69066899999999998</v>
      </c>
    </row>
    <row r="20" spans="2:23">
      <c r="B20" s="23" t="s">
        <v>268</v>
      </c>
      <c r="C20" s="23">
        <v>589.71317344623299</v>
      </c>
      <c r="D20" s="8">
        <v>589.71317344623299</v>
      </c>
      <c r="G20" s="7">
        <v>352.72136400345499</v>
      </c>
      <c r="H20" s="7">
        <v>352.72136400345499</v>
      </c>
      <c r="I20" s="10"/>
      <c r="K20" s="23" t="s">
        <v>268</v>
      </c>
      <c r="L20" s="23">
        <v>589.71317344623299</v>
      </c>
      <c r="M20" s="23">
        <f t="array" ref="M20">INDEX('LTM data'!$V$35:$AE$38,MATCH(O20,'LTM data'!$C$35:$C$38,0),MATCH(P20,'LTM data'!$V$34:$AE$34,0))</f>
        <v>539.24937543443718</v>
      </c>
      <c r="O20" s="29" t="s">
        <v>84</v>
      </c>
      <c r="P20" s="23" t="s">
        <v>71</v>
      </c>
      <c r="R20" s="7">
        <v>352.72136400345494</v>
      </c>
      <c r="S20" s="7">
        <v>252.969401</v>
      </c>
    </row>
    <row r="21" spans="2:23">
      <c r="B21" s="23" t="s">
        <v>267</v>
      </c>
      <c r="C21" s="23">
        <v>1693.7605286842559</v>
      </c>
      <c r="D21" s="8">
        <v>1693.7605286842559</v>
      </c>
      <c r="G21" s="7">
        <v>1013.07813844724</v>
      </c>
      <c r="H21" s="7">
        <v>1013.07813844724</v>
      </c>
      <c r="I21" s="10"/>
      <c r="K21" s="23" t="s">
        <v>267</v>
      </c>
      <c r="L21" s="23">
        <v>1693.7605286842559</v>
      </c>
      <c r="M21" s="23">
        <f t="array" ref="M21">INDEX('LTM data'!$V$35:$AE$38,MATCH(O21,'LTM data'!$C$35:$C$38,0),MATCH(P21,'LTM data'!$V$34:$AE$34,0))</f>
        <v>1548.8195759489208</v>
      </c>
      <c r="O21" s="29" t="s">
        <v>83</v>
      </c>
      <c r="P21" s="23" t="s">
        <v>71</v>
      </c>
      <c r="R21" s="7">
        <v>1013.0781384472369</v>
      </c>
      <c r="S21" s="7">
        <v>726.57285999999999</v>
      </c>
    </row>
    <row r="22" spans="2:23">
      <c r="B22" s="23" t="s">
        <v>266</v>
      </c>
      <c r="C22" s="23">
        <v>486.97387171804701</v>
      </c>
      <c r="D22" s="8">
        <v>486.97387171804701</v>
      </c>
      <c r="G22" s="7">
        <v>291.27056338702198</v>
      </c>
      <c r="H22" s="7">
        <v>291.27056338702198</v>
      </c>
      <c r="I22" s="10"/>
      <c r="K22" s="23" t="s">
        <v>266</v>
      </c>
      <c r="L22" s="23">
        <v>486.97387171804701</v>
      </c>
      <c r="M22" s="23">
        <f t="array" ref="M22">INDEX('LTM data'!$V$35:$AE$38,MATCH(O22,'LTM data'!$C$35:$C$38,0),MATCH(P22,'LTM data'!$V$34:$AE$34,0))</f>
        <v>445.30183146873367</v>
      </c>
      <c r="O22" s="29" t="s">
        <v>82</v>
      </c>
      <c r="P22" s="23" t="s">
        <v>71</v>
      </c>
      <c r="R22" s="7">
        <v>291.27056338702158</v>
      </c>
      <c r="S22" s="7">
        <v>208.897299</v>
      </c>
      <c r="W22" s="7">
        <f>SUM(S5:S8)</f>
        <v>27528.646807999998</v>
      </c>
    </row>
    <row r="23" spans="2:23">
      <c r="B23" s="23" t="s">
        <v>265</v>
      </c>
      <c r="C23" s="23">
        <v>278.55242615147404</v>
      </c>
      <c r="D23" s="8">
        <v>278.55242615147404</v>
      </c>
      <c r="G23" s="7">
        <v>166.60877884827801</v>
      </c>
      <c r="H23" s="7">
        <v>166.60877884827801</v>
      </c>
      <c r="I23" s="10"/>
      <c r="K23" s="23" t="s">
        <v>265</v>
      </c>
      <c r="L23" s="23">
        <v>278.55242615147404</v>
      </c>
      <c r="M23" s="23">
        <f t="array" ref="M23">INDEX('LTM data'!$V$35:$AE$38,MATCH(O23,'LTM data'!$C$35:$C$38,0),MATCH(P23,'LTM data'!$V$34:$AE$34,0))</f>
        <v>254.71573061547835</v>
      </c>
      <c r="O23" s="29" t="s">
        <v>79</v>
      </c>
      <c r="P23" s="23" t="s">
        <v>71</v>
      </c>
      <c r="R23" s="7">
        <v>166.60877884827786</v>
      </c>
      <c r="S23" s="7">
        <v>119.490701</v>
      </c>
      <c r="V23" s="7">
        <f>SUM(R27:R28)</f>
        <v>249.50004379990503</v>
      </c>
      <c r="W23" s="7">
        <f>SUM(S27:S28)</f>
        <v>585.160661</v>
      </c>
    </row>
    <row r="24" spans="2:23">
      <c r="B24" s="23" t="s">
        <v>264</v>
      </c>
      <c r="C24" s="23">
        <v>394.54088138829201</v>
      </c>
      <c r="D24" s="8">
        <v>394.54088138829201</v>
      </c>
      <c r="G24" s="7">
        <v>235.984210807344</v>
      </c>
      <c r="H24" s="7">
        <v>235.984210807344</v>
      </c>
      <c r="I24" s="10"/>
      <c r="K24" s="23" t="s">
        <v>264</v>
      </c>
      <c r="L24" s="23">
        <v>394.54088138829201</v>
      </c>
      <c r="M24" s="23">
        <f t="array" ref="M24">INDEX('LTM data'!$V$35:$AE$38,MATCH(O24,'LTM data'!$C$35:$C$38,0),MATCH(P24,'LTM data'!$V$34:$AE$34,0))</f>
        <v>360.77865215162404</v>
      </c>
      <c r="O24" s="29" t="s">
        <v>83</v>
      </c>
      <c r="P24" s="23" t="s">
        <v>70</v>
      </c>
      <c r="R24" s="7">
        <v>235.98421080734417</v>
      </c>
      <c r="S24" s="7">
        <v>169.246297</v>
      </c>
    </row>
    <row r="25" spans="2:23">
      <c r="B25" s="23" t="s">
        <v>263</v>
      </c>
      <c r="C25" s="23">
        <v>389.46786627833899</v>
      </c>
      <c r="D25" s="8">
        <v>389.46786627833899</v>
      </c>
      <c r="G25" s="7">
        <v>232.949920766415</v>
      </c>
      <c r="H25" s="7">
        <v>232.949920766415</v>
      </c>
      <c r="I25" s="10"/>
      <c r="K25" s="23" t="s">
        <v>263</v>
      </c>
      <c r="L25" s="23">
        <v>389.46786627833899</v>
      </c>
      <c r="M25" s="23">
        <f t="array" ref="M25">INDEX('LTM data'!$V$35:$AE$38,MATCH(O25,'LTM data'!$C$35:$C$38,0),MATCH(P25,'LTM data'!$V$34:$AE$34,0))</f>
        <v>356.13975250889621</v>
      </c>
      <c r="O25" s="29" t="s">
        <v>82</v>
      </c>
      <c r="P25" s="23" t="s">
        <v>70</v>
      </c>
      <c r="R25" s="7">
        <v>232.94992076641461</v>
      </c>
      <c r="S25" s="7">
        <v>167.07012399999999</v>
      </c>
    </row>
    <row r="26" spans="2:23">
      <c r="B26" s="23" t="s">
        <v>262</v>
      </c>
      <c r="C26" s="23">
        <v>3050.9912523333701</v>
      </c>
      <c r="D26" s="8">
        <v>3050.9912523333701</v>
      </c>
      <c r="G26" s="7">
        <v>1824.8698596924801</v>
      </c>
      <c r="H26" s="7">
        <v>1824.8698596924801</v>
      </c>
      <c r="I26" s="10"/>
      <c r="K26" s="23" t="s">
        <v>262</v>
      </c>
      <c r="L26" s="23">
        <v>3050.9912523333701</v>
      </c>
      <c r="M26" s="23">
        <f t="array" ref="M26">INDEX('LTM data'!$V$35:$AE$38,MATCH(O26,'LTM data'!$C$35:$C$38,0),MATCH(P26,'LTM data'!$V$34:$AE$34,0))</f>
        <v>2789.9073674444649</v>
      </c>
      <c r="O26" s="29" t="s">
        <v>79</v>
      </c>
      <c r="P26" s="23" t="s">
        <v>70</v>
      </c>
      <c r="R26" s="7">
        <v>1824.8698596924803</v>
      </c>
      <c r="S26" s="7">
        <v>1308.784449</v>
      </c>
    </row>
    <row r="27" spans="2:23">
      <c r="B27" s="23" t="s">
        <v>261</v>
      </c>
      <c r="C27" s="23">
        <v>88.422961113854498</v>
      </c>
      <c r="D27" s="8">
        <v>110.52870139231813</v>
      </c>
      <c r="G27" s="7">
        <v>88.422961113854498</v>
      </c>
      <c r="H27" s="7">
        <v>110.52870139231813</v>
      </c>
      <c r="I27" s="10"/>
      <c r="K27" s="23" t="s">
        <v>261</v>
      </c>
      <c r="L27" s="23">
        <v>92.307668078761523</v>
      </c>
      <c r="M27" s="23">
        <f t="array" ref="M27">INDEX('LTM data'!$V$35:$AE$38,MATCH(O27,'LTM data'!$C$35:$C$38,0),MATCH(P27,'LTM data'!$V$34:$AE$34,0))</f>
        <v>216.4922105014773</v>
      </c>
      <c r="O27" s="29" t="s">
        <v>84</v>
      </c>
      <c r="P27" s="23" t="s">
        <v>67</v>
      </c>
      <c r="R27" s="7">
        <v>92.307668078761523</v>
      </c>
      <c r="S27" s="7">
        <v>216.492211</v>
      </c>
    </row>
    <row r="28" spans="2:23">
      <c r="B28" s="23" t="s">
        <v>260</v>
      </c>
      <c r="C28" s="23">
        <v>150.577038886146</v>
      </c>
      <c r="D28" s="8">
        <v>188.22129860768251</v>
      </c>
      <c r="G28" s="7">
        <v>150.577038886146</v>
      </c>
      <c r="H28" s="7">
        <v>188.22129860768251</v>
      </c>
      <c r="I28" s="10"/>
      <c r="K28" s="23" t="s">
        <v>260</v>
      </c>
      <c r="L28" s="23">
        <v>157.19237572114352</v>
      </c>
      <c r="M28" s="23">
        <f t="array" ref="M28">INDEX('LTM data'!$V$35:$AE$38,MATCH(O28,'LTM data'!$C$35:$C$38,0),MATCH(P28,'LTM data'!$V$34:$AE$34,0))</f>
        <v>368.66844978482544</v>
      </c>
      <c r="O28" s="29" t="s">
        <v>83</v>
      </c>
      <c r="P28" s="23" t="s">
        <v>67</v>
      </c>
      <c r="R28" s="7">
        <v>157.19237572114352</v>
      </c>
      <c r="S28" s="7">
        <v>368.66845000000001</v>
      </c>
    </row>
    <row r="29" spans="2:23">
      <c r="B29" s="23" t="s">
        <v>259</v>
      </c>
      <c r="C29" s="23">
        <v>79.187506019951797</v>
      </c>
      <c r="D29" s="8">
        <v>98.984382524939747</v>
      </c>
      <c r="G29" s="7">
        <v>79.187506019951797</v>
      </c>
      <c r="H29" s="7">
        <v>98.984382524939747</v>
      </c>
      <c r="I29" s="10"/>
      <c r="K29" s="23" t="s">
        <v>259</v>
      </c>
      <c r="L29" s="23">
        <v>91.377594180506179</v>
      </c>
      <c r="M29" s="23">
        <f t="array" ref="M29">INDEX('LTM data'!$V$35:$AE$38,MATCH(O29,'LTM data'!$C$35:$C$38,0),MATCH(P29,'LTM data'!$V$34:$AE$34,0))</f>
        <v>92.178665736164987</v>
      </c>
      <c r="O29" s="29" t="s">
        <v>84</v>
      </c>
      <c r="P29" s="23" t="s">
        <v>68</v>
      </c>
      <c r="R29" s="7">
        <v>91.377594180506179</v>
      </c>
      <c r="S29" s="7">
        <v>92.178666000000007</v>
      </c>
    </row>
    <row r="30" spans="2:23">
      <c r="B30" s="23" t="s">
        <v>258</v>
      </c>
      <c r="C30" s="23">
        <v>668.65722738218096</v>
      </c>
      <c r="D30" s="8">
        <v>835.82153422772626</v>
      </c>
      <c r="G30" s="7">
        <v>668.65722738218096</v>
      </c>
      <c r="H30" s="7">
        <v>835.82153422772626</v>
      </c>
      <c r="I30" s="10"/>
      <c r="K30" s="23" t="s">
        <v>258</v>
      </c>
      <c r="L30" s="23">
        <v>771.59001262391985</v>
      </c>
      <c r="M30" s="23">
        <f t="array" ref="M30">INDEX('LTM data'!$V$35:$AE$38,MATCH(O30,'LTM data'!$C$35:$C$38,0),MATCH(P30,'LTM data'!$V$34:$AE$34,0))</f>
        <v>778.3542398645983</v>
      </c>
      <c r="O30" s="29" t="s">
        <v>83</v>
      </c>
      <c r="P30" s="23" t="s">
        <v>68</v>
      </c>
      <c r="R30" s="7">
        <v>771.59001262391985</v>
      </c>
      <c r="S30" s="7">
        <v>778.35424</v>
      </c>
    </row>
    <row r="31" spans="2:23">
      <c r="B31" s="23" t="s">
        <v>257</v>
      </c>
      <c r="C31" s="23">
        <v>360.15526659786701</v>
      </c>
      <c r="D31" s="8">
        <v>450.19408324733377</v>
      </c>
      <c r="G31" s="7">
        <v>360.15526659786701</v>
      </c>
      <c r="H31" s="7">
        <v>450.19408324733377</v>
      </c>
      <c r="I31" s="10"/>
      <c r="K31" s="23" t="s">
        <v>257</v>
      </c>
      <c r="L31" s="23">
        <v>415.59740225762408</v>
      </c>
      <c r="M31" s="23">
        <f t="array" ref="M31">INDEX('LTM data'!$V$35:$AE$38,MATCH(O31,'LTM data'!$C$35:$C$38,0),MATCH(P31,'LTM data'!$V$34:$AE$34,0))</f>
        <v>419.24078180312415</v>
      </c>
      <c r="O31" s="29" t="s">
        <v>82</v>
      </c>
      <c r="P31" s="23" t="s">
        <v>68</v>
      </c>
      <c r="R31" s="7">
        <v>415.59740225762408</v>
      </c>
      <c r="S31" s="7">
        <v>419.24078200000002</v>
      </c>
    </row>
    <row r="32" spans="2:23">
      <c r="B32" s="23" t="s">
        <v>256</v>
      </c>
      <c r="C32" s="23">
        <v>475.43968522968805</v>
      </c>
      <c r="D32" s="8">
        <v>594.29960653711009</v>
      </c>
      <c r="G32" s="7">
        <v>258.39192376613101</v>
      </c>
      <c r="H32" s="7">
        <v>322.98990470766375</v>
      </c>
      <c r="I32" s="10"/>
      <c r="K32" s="23" t="s">
        <v>256</v>
      </c>
      <c r="L32" s="23">
        <v>413.37799421160548</v>
      </c>
      <c r="M32" s="23">
        <f t="array" ref="M32">INDEX('LTM data'!$V$35:$AE$38,MATCH(O32,'LTM data'!$C$35:$C$38,0),MATCH(P32,'LTM data'!$V$34:$AE$34,0))</f>
        <v>702.42349977161382</v>
      </c>
      <c r="O32" s="29" t="s">
        <v>83</v>
      </c>
      <c r="P32" s="23" t="s">
        <v>69</v>
      </c>
      <c r="R32" s="7">
        <v>249.14816407726059</v>
      </c>
      <c r="S32" s="7">
        <v>423.35955899999999</v>
      </c>
    </row>
    <row r="33" spans="2:24">
      <c r="B33" s="23" t="s">
        <v>255</v>
      </c>
      <c r="C33" s="23">
        <v>1061.597952464959</v>
      </c>
      <c r="D33" s="8">
        <v>1326.9974405811986</v>
      </c>
      <c r="G33" s="7">
        <v>576.95717401269599</v>
      </c>
      <c r="H33" s="7">
        <v>721.19646751586993</v>
      </c>
      <c r="I33" s="10"/>
      <c r="K33" s="23" t="s">
        <v>255</v>
      </c>
      <c r="L33" s="23">
        <v>923.0218803403119</v>
      </c>
      <c r="M33" s="23">
        <f t="array" ref="M33">INDEX('LTM data'!$V$35:$AE$38,MATCH(O33,'LTM data'!$C$35:$C$38,0),MATCH(P33,'LTM data'!$V$34:$AE$34,0))</f>
        <v>1568.4247072487601</v>
      </c>
      <c r="O33" s="29" t="s">
        <v>82</v>
      </c>
      <c r="P33" s="23" t="s">
        <v>69</v>
      </c>
      <c r="R33" s="7">
        <v>556.31700310638666</v>
      </c>
      <c r="S33" s="7">
        <v>945.30947900000001</v>
      </c>
    </row>
    <row r="34" spans="2:24">
      <c r="B34" s="23" t="s">
        <v>254</v>
      </c>
      <c r="C34" s="23">
        <v>3692.9623623053499</v>
      </c>
      <c r="D34" s="8">
        <v>4616.2029528816875</v>
      </c>
      <c r="G34" s="7">
        <v>2007.05090222117</v>
      </c>
      <c r="H34" s="7">
        <v>2508.8136277764625</v>
      </c>
      <c r="I34" s="10"/>
      <c r="K34" s="23" t="s">
        <v>254</v>
      </c>
      <c r="L34" s="23">
        <v>3210.9001866161725</v>
      </c>
      <c r="M34" s="23">
        <f t="array" ref="M34">INDEX('LTM data'!$V$35:$AE$38,MATCH(O34,'LTM data'!$C$35:$C$38,0),MATCH(P34,'LTM data'!$V$34:$AE$34,0))</f>
        <v>5456.0517929885864</v>
      </c>
      <c r="O34" s="29" t="s">
        <v>79</v>
      </c>
      <c r="P34" s="23" t="s">
        <v>69</v>
      </c>
      <c r="R34" s="7">
        <v>1935.2502981115226</v>
      </c>
      <c r="S34" s="7">
        <v>3288.4316690000001</v>
      </c>
    </row>
    <row r="35" spans="2:24">
      <c r="I35" s="10"/>
    </row>
    <row r="36" spans="2:24">
      <c r="D36" s="23">
        <f>SUM(D5:D34)</f>
        <v>82592.08803469206</v>
      </c>
      <c r="I36" s="10"/>
    </row>
    <row r="37" spans="2:24">
      <c r="I37" s="10"/>
      <c r="L37" s="23">
        <f>SUM(L5:L34)</f>
        <v>68904.164762891509</v>
      </c>
      <c r="M37" s="23">
        <f>SUM(M5:M34)</f>
        <v>96198.66040029432</v>
      </c>
    </row>
    <row r="38" spans="2:24">
      <c r="L38" s="23" t="s">
        <v>253</v>
      </c>
      <c r="M38" s="23" t="s">
        <v>253</v>
      </c>
    </row>
    <row r="39" spans="2:24">
      <c r="O39" s="23" t="s">
        <v>72</v>
      </c>
      <c r="P39" s="23" t="s">
        <v>71</v>
      </c>
      <c r="Q39" s="23" t="s">
        <v>70</v>
      </c>
      <c r="R39" s="23" t="s">
        <v>69</v>
      </c>
      <c r="S39" s="23" t="s">
        <v>68</v>
      </c>
      <c r="T39" s="23" t="s">
        <v>67</v>
      </c>
      <c r="U39" s="23" t="s">
        <v>66</v>
      </c>
      <c r="V39" s="23" t="s">
        <v>65</v>
      </c>
      <c r="W39" s="23" t="s">
        <v>64</v>
      </c>
      <c r="X39" s="23" t="s">
        <v>63</v>
      </c>
    </row>
  </sheetData>
  <mergeCells count="3">
    <mergeCell ref="C3:D3"/>
    <mergeCell ref="G3:H3"/>
    <mergeCell ref="R3:S3"/>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R48"/>
  <sheetViews>
    <sheetView workbookViewId="0">
      <selection activeCell="K48" sqref="K48"/>
    </sheetView>
  </sheetViews>
  <sheetFormatPr defaultRowHeight="14.4"/>
  <cols>
    <col min="6" max="7" width="8.88671875" style="23"/>
    <col min="9" max="9" width="10.44140625" bestFit="1" customWidth="1"/>
    <col min="10" max="10" width="10.109375" bestFit="1" customWidth="1"/>
    <col min="11" max="12" width="9.5546875" bestFit="1" customWidth="1"/>
    <col min="15" max="15" width="10" bestFit="1" customWidth="1"/>
  </cols>
  <sheetData>
    <row r="1" spans="2:18" s="23" customFormat="1"/>
    <row r="2" spans="2:18">
      <c r="B2" s="25" t="s">
        <v>0</v>
      </c>
      <c r="C2" s="26">
        <v>2007</v>
      </c>
      <c r="D2" s="26">
        <v>2008</v>
      </c>
      <c r="E2" s="26">
        <v>2009</v>
      </c>
      <c r="F2" s="26">
        <v>2010</v>
      </c>
      <c r="G2" s="26">
        <v>2011</v>
      </c>
      <c r="H2" s="26">
        <v>2012</v>
      </c>
      <c r="I2" s="26">
        <v>2013</v>
      </c>
      <c r="J2" s="26">
        <v>2014</v>
      </c>
      <c r="K2" s="27" t="s">
        <v>9</v>
      </c>
      <c r="N2" t="s">
        <v>15</v>
      </c>
      <c r="P2" s="13">
        <f>K3/60</f>
        <v>0.92558333333333331</v>
      </c>
    </row>
    <row r="3" spans="2:18">
      <c r="B3" s="11" t="s">
        <v>12</v>
      </c>
      <c r="C3" s="12">
        <v>57.32</v>
      </c>
      <c r="D3" s="12">
        <v>55.48</v>
      </c>
      <c r="E3" s="12">
        <v>56.63</v>
      </c>
      <c r="F3" s="12">
        <v>54.75</v>
      </c>
      <c r="G3" s="12">
        <v>56.42</v>
      </c>
      <c r="H3" s="12">
        <v>56.71</v>
      </c>
      <c r="I3" s="12">
        <v>53.08</v>
      </c>
      <c r="J3" s="12">
        <v>53.89</v>
      </c>
      <c r="K3" s="28">
        <f>AVERAGE(C3:J3)</f>
        <v>55.534999999999997</v>
      </c>
      <c r="N3" t="s">
        <v>16</v>
      </c>
      <c r="P3">
        <v>1.1000000000000001</v>
      </c>
    </row>
    <row r="4" spans="2:18">
      <c r="N4" t="s">
        <v>13</v>
      </c>
      <c r="P4">
        <v>365</v>
      </c>
    </row>
    <row r="5" spans="2:18">
      <c r="F5"/>
    </row>
    <row r="6" spans="2:18">
      <c r="B6" s="157" t="s">
        <v>11</v>
      </c>
      <c r="C6" s="158"/>
      <c r="D6" s="158"/>
      <c r="E6" s="159"/>
      <c r="F6"/>
      <c r="G6"/>
      <c r="H6" s="154" t="s">
        <v>35</v>
      </c>
      <c r="I6" s="155"/>
      <c r="J6" s="155"/>
      <c r="K6" s="156"/>
    </row>
    <row r="7" spans="2:18">
      <c r="B7" s="8"/>
      <c r="C7" s="9" t="s">
        <v>5</v>
      </c>
      <c r="D7" s="9" t="s">
        <v>4</v>
      </c>
      <c r="E7" s="10" t="s">
        <v>10</v>
      </c>
      <c r="F7"/>
      <c r="G7"/>
      <c r="H7" s="8"/>
      <c r="I7" s="9" t="s">
        <v>5</v>
      </c>
      <c r="J7" s="9" t="s">
        <v>4</v>
      </c>
      <c r="K7" s="10" t="s">
        <v>10</v>
      </c>
    </row>
    <row r="8" spans="2:18">
      <c r="B8" s="15">
        <v>2010</v>
      </c>
      <c r="C8" s="16">
        <v>2155666</v>
      </c>
      <c r="D8" s="19">
        <v>2613168</v>
      </c>
      <c r="E8" s="21">
        <v>4768834</v>
      </c>
      <c r="F8"/>
      <c r="G8"/>
      <c r="H8" s="8">
        <v>2010</v>
      </c>
      <c r="I8" s="14">
        <f>C8*$P$2*$P$4/10^6</f>
        <v>728.26571046916661</v>
      </c>
      <c r="J8" s="14">
        <f>D8*$P$2*$P$4/10^6</f>
        <v>882.82723302000011</v>
      </c>
      <c r="K8" s="14">
        <f t="shared" ref="K8:K48" si="0">E8*$P$2*$P$4/10^6</f>
        <v>1611.0929434891666</v>
      </c>
    </row>
    <row r="9" spans="2:18">
      <c r="B9" s="15">
        <v>2011</v>
      </c>
      <c r="C9" s="16">
        <v>2173141</v>
      </c>
      <c r="D9" s="19">
        <v>2622809</v>
      </c>
      <c r="E9" s="21">
        <v>4795950</v>
      </c>
      <c r="F9"/>
      <c r="G9"/>
      <c r="H9" s="8">
        <v>2011</v>
      </c>
      <c r="I9" s="14">
        <f t="shared" ref="I9:I48" si="1">C9*$P$2*$P$4/10^6</f>
        <v>734.16942806291661</v>
      </c>
      <c r="J9" s="14">
        <f t="shared" ref="J9:J48" si="2">D9*$P$2*$P$4/10^6</f>
        <v>886.08432837458327</v>
      </c>
      <c r="K9" s="14">
        <f t="shared" si="0"/>
        <v>1620.2537564375</v>
      </c>
    </row>
    <row r="10" spans="2:18">
      <c r="B10" s="15">
        <v>2012</v>
      </c>
      <c r="C10" s="16">
        <v>2187526</v>
      </c>
      <c r="D10" s="19">
        <v>2632198</v>
      </c>
      <c r="E10" s="21">
        <v>4819724</v>
      </c>
      <c r="F10"/>
      <c r="G10"/>
      <c r="H10" s="8">
        <v>2012</v>
      </c>
      <c r="I10" s="14">
        <f t="shared" si="1"/>
        <v>739.02922649416678</v>
      </c>
      <c r="J10" s="14">
        <f t="shared" si="2"/>
        <v>889.25628857416666</v>
      </c>
      <c r="K10" s="14">
        <f t="shared" si="0"/>
        <v>1628.2855150683333</v>
      </c>
    </row>
    <row r="11" spans="2:18">
      <c r="B11" s="15">
        <v>2013</v>
      </c>
      <c r="C11" s="16">
        <v>2204115</v>
      </c>
      <c r="D11" s="19">
        <v>2641524</v>
      </c>
      <c r="E11" s="21">
        <v>4845639</v>
      </c>
      <c r="F11"/>
      <c r="G11"/>
      <c r="H11" s="8">
        <v>2013</v>
      </c>
      <c r="I11" s="14">
        <f t="shared" si="1"/>
        <v>744.63361969374989</v>
      </c>
      <c r="J11" s="14">
        <f t="shared" si="2"/>
        <v>892.40696498500006</v>
      </c>
      <c r="K11" s="14">
        <f t="shared" si="0"/>
        <v>1637.0405846787501</v>
      </c>
    </row>
    <row r="12" spans="2:18">
      <c r="B12" s="15">
        <v>2014</v>
      </c>
      <c r="C12" s="16">
        <v>2223737</v>
      </c>
      <c r="D12" s="19">
        <v>2652705</v>
      </c>
      <c r="E12" s="21">
        <v>4876442</v>
      </c>
      <c r="F12"/>
      <c r="G12"/>
      <c r="H12" s="8">
        <v>2014</v>
      </c>
      <c r="I12" s="14">
        <f t="shared" si="1"/>
        <v>751.26267529458335</v>
      </c>
      <c r="J12" s="14">
        <f t="shared" si="2"/>
        <v>896.18433073124993</v>
      </c>
      <c r="K12" s="14">
        <f t="shared" si="0"/>
        <v>1647.4470060258332</v>
      </c>
      <c r="R12" s="6"/>
    </row>
    <row r="13" spans="2:18">
      <c r="B13" s="15">
        <v>2015</v>
      </c>
      <c r="C13" s="16">
        <v>2246638</v>
      </c>
      <c r="D13" s="19">
        <v>2666283</v>
      </c>
      <c r="E13" s="21">
        <v>4912921</v>
      </c>
      <c r="F13"/>
      <c r="G13"/>
      <c r="H13" s="8">
        <v>2015</v>
      </c>
      <c r="I13" s="14">
        <f t="shared" si="1"/>
        <v>758.99950142416662</v>
      </c>
      <c r="J13" s="14">
        <f t="shared" si="2"/>
        <v>900.77149396374989</v>
      </c>
      <c r="K13" s="14">
        <f t="shared" si="0"/>
        <v>1659.7709953879166</v>
      </c>
      <c r="R13" s="6"/>
    </row>
    <row r="14" spans="2:18">
      <c r="B14" s="15">
        <v>2016</v>
      </c>
      <c r="C14" s="16">
        <v>2267174</v>
      </c>
      <c r="D14" s="19">
        <v>2678232</v>
      </c>
      <c r="E14" s="21">
        <v>4945406</v>
      </c>
      <c r="F14"/>
      <c r="G14"/>
      <c r="H14" s="8">
        <v>2016</v>
      </c>
      <c r="I14" s="14">
        <f t="shared" si="1"/>
        <v>765.93734088083329</v>
      </c>
      <c r="J14" s="14">
        <f t="shared" si="2"/>
        <v>904.80831922999994</v>
      </c>
      <c r="K14" s="14">
        <f t="shared" si="0"/>
        <v>1670.7456601108333</v>
      </c>
      <c r="R14" s="6"/>
    </row>
    <row r="15" spans="2:18">
      <c r="B15" s="15">
        <v>2017</v>
      </c>
      <c r="C15" s="16">
        <v>2286733</v>
      </c>
      <c r="D15" s="19">
        <v>2689247</v>
      </c>
      <c r="E15" s="21">
        <v>4975980</v>
      </c>
      <c r="F15"/>
      <c r="G15"/>
      <c r="H15" s="8">
        <v>2017</v>
      </c>
      <c r="I15" s="14">
        <f t="shared" si="1"/>
        <v>772.54511269291675</v>
      </c>
      <c r="J15" s="14">
        <f t="shared" si="2"/>
        <v>908.52960388208339</v>
      </c>
      <c r="K15" s="14">
        <f t="shared" si="0"/>
        <v>1681.0747165750001</v>
      </c>
      <c r="R15" s="6"/>
    </row>
    <row r="16" spans="2:18">
      <c r="B16" s="15">
        <v>2018</v>
      </c>
      <c r="C16" s="16">
        <v>2304325</v>
      </c>
      <c r="D16" s="19">
        <v>2698716</v>
      </c>
      <c r="E16" s="21">
        <v>5003041</v>
      </c>
      <c r="F16"/>
      <c r="G16"/>
      <c r="H16" s="8">
        <v>2018</v>
      </c>
      <c r="I16" s="14">
        <f t="shared" si="1"/>
        <v>778.48835732291661</v>
      </c>
      <c r="J16" s="14">
        <f t="shared" si="2"/>
        <v>911.72859111499997</v>
      </c>
      <c r="K16" s="14">
        <f t="shared" si="0"/>
        <v>1690.2169484379165</v>
      </c>
      <c r="R16" s="6"/>
    </row>
    <row r="17" spans="2:18">
      <c r="B17" s="15">
        <v>2019</v>
      </c>
      <c r="C17" s="16">
        <v>2320670</v>
      </c>
      <c r="D17" s="19">
        <v>2708097</v>
      </c>
      <c r="E17" s="21">
        <v>5028767</v>
      </c>
      <c r="F17"/>
      <c r="G17"/>
      <c r="H17" s="8">
        <v>2019</v>
      </c>
      <c r="I17" s="14">
        <f t="shared" si="1"/>
        <v>784.01031807083336</v>
      </c>
      <c r="J17" s="14">
        <f t="shared" si="2"/>
        <v>914.89784861124997</v>
      </c>
      <c r="K17" s="14">
        <f t="shared" si="0"/>
        <v>1698.9081666820834</v>
      </c>
      <c r="R17" s="6"/>
    </row>
    <row r="18" spans="2:18">
      <c r="B18" s="15">
        <v>2020</v>
      </c>
      <c r="C18" s="16">
        <v>2334482</v>
      </c>
      <c r="D18" s="19">
        <v>2715050</v>
      </c>
      <c r="E18" s="21">
        <v>5049532</v>
      </c>
      <c r="F18"/>
      <c r="G18"/>
      <c r="H18" s="8">
        <v>2020</v>
      </c>
      <c r="I18" s="14">
        <f t="shared" si="1"/>
        <v>788.6765353758334</v>
      </c>
      <c r="J18" s="14">
        <f t="shared" si="2"/>
        <v>917.24683564583336</v>
      </c>
      <c r="K18" s="14">
        <f t="shared" si="0"/>
        <v>1705.9233710216668</v>
      </c>
    </row>
    <row r="19" spans="2:18">
      <c r="B19" s="15">
        <v>2021</v>
      </c>
      <c r="C19" s="16">
        <v>2347523</v>
      </c>
      <c r="D19" s="19">
        <v>2721385</v>
      </c>
      <c r="E19" s="21">
        <v>5068908</v>
      </c>
      <c r="F19"/>
      <c r="G19"/>
      <c r="H19" s="8">
        <v>2021</v>
      </c>
      <c r="I19" s="14">
        <f t="shared" si="1"/>
        <v>793.08227964708328</v>
      </c>
      <c r="J19" s="14">
        <f t="shared" si="2"/>
        <v>919.38703884791676</v>
      </c>
      <c r="K19" s="14">
        <f t="shared" si="0"/>
        <v>1712.4693184950002</v>
      </c>
      <c r="Q19" s="29"/>
    </row>
    <row r="20" spans="2:18">
      <c r="B20" s="15">
        <v>2022</v>
      </c>
      <c r="C20" s="16">
        <v>2356963</v>
      </c>
      <c r="D20" s="19">
        <v>2724709</v>
      </c>
      <c r="E20" s="21">
        <v>5081672</v>
      </c>
      <c r="F20"/>
      <c r="G20"/>
      <c r="H20" s="8">
        <v>2022</v>
      </c>
      <c r="I20" s="14">
        <f t="shared" si="1"/>
        <v>796.27146958041669</v>
      </c>
      <c r="J20" s="14">
        <f t="shared" si="2"/>
        <v>920.51001208291666</v>
      </c>
      <c r="K20" s="14">
        <f t="shared" si="0"/>
        <v>1716.7814816633334</v>
      </c>
      <c r="Q20" s="29"/>
    </row>
    <row r="21" spans="2:18">
      <c r="B21" s="15">
        <v>2023</v>
      </c>
      <c r="C21" s="16">
        <v>2364762</v>
      </c>
      <c r="D21" s="19">
        <v>2726636</v>
      </c>
      <c r="E21" s="21">
        <v>5091398</v>
      </c>
      <c r="F21"/>
      <c r="G21"/>
      <c r="H21" s="8">
        <v>2023</v>
      </c>
      <c r="I21" s="14">
        <f t="shared" si="1"/>
        <v>798.90626749249998</v>
      </c>
      <c r="J21" s="14">
        <f t="shared" si="2"/>
        <v>921.16102574833337</v>
      </c>
      <c r="K21" s="14">
        <f t="shared" si="0"/>
        <v>1720.0672932408336</v>
      </c>
      <c r="Q21" s="29"/>
    </row>
    <row r="22" spans="2:18">
      <c r="B22" s="15">
        <v>2024</v>
      </c>
      <c r="C22" s="16">
        <v>2370504</v>
      </c>
      <c r="D22" s="19">
        <v>2726993</v>
      </c>
      <c r="E22" s="21">
        <v>5097497</v>
      </c>
      <c r="F22"/>
      <c r="G22"/>
      <c r="H22" s="8">
        <v>2024</v>
      </c>
      <c r="I22" s="14">
        <f t="shared" si="1"/>
        <v>800.84613280999997</v>
      </c>
      <c r="J22" s="14">
        <f t="shared" si="2"/>
        <v>921.28163388458336</v>
      </c>
      <c r="K22" s="14">
        <f t="shared" si="0"/>
        <v>1722.1277666945834</v>
      </c>
    </row>
    <row r="23" spans="2:18">
      <c r="B23" s="15">
        <v>2025</v>
      </c>
      <c r="C23" s="16">
        <v>2376092</v>
      </c>
      <c r="D23" s="19">
        <v>2727475</v>
      </c>
      <c r="E23" s="21">
        <v>5103567</v>
      </c>
      <c r="F23"/>
      <c r="G23"/>
      <c r="H23" s="8">
        <v>2025</v>
      </c>
      <c r="I23" s="14">
        <f t="shared" si="1"/>
        <v>802.73397108833342</v>
      </c>
      <c r="J23" s="14">
        <f t="shared" si="2"/>
        <v>921.4444717604166</v>
      </c>
      <c r="K23" s="14">
        <f t="shared" si="0"/>
        <v>1724.1784428487501</v>
      </c>
    </row>
    <row r="24" spans="2:18">
      <c r="B24" s="15">
        <v>2026</v>
      </c>
      <c r="C24" s="16">
        <v>2380668</v>
      </c>
      <c r="D24" s="19">
        <v>2727694</v>
      </c>
      <c r="E24" s="21">
        <v>5108362</v>
      </c>
      <c r="F24"/>
      <c r="G24"/>
      <c r="H24" s="8">
        <v>2026</v>
      </c>
      <c r="I24" s="14">
        <f t="shared" si="1"/>
        <v>804.2799173950001</v>
      </c>
      <c r="J24" s="14">
        <f t="shared" si="2"/>
        <v>921.51845826416661</v>
      </c>
      <c r="K24" s="14">
        <f t="shared" si="0"/>
        <v>1725.7983756591668</v>
      </c>
    </row>
    <row r="25" spans="2:18">
      <c r="B25" s="15">
        <v>2027</v>
      </c>
      <c r="C25" s="16">
        <v>2384938</v>
      </c>
      <c r="D25" s="19">
        <v>2727654</v>
      </c>
      <c r="E25" s="21">
        <v>5112592</v>
      </c>
      <c r="F25"/>
      <c r="G25"/>
      <c r="H25" s="8">
        <v>2027</v>
      </c>
      <c r="I25" s="14">
        <f t="shared" si="1"/>
        <v>805.72248529916669</v>
      </c>
      <c r="J25" s="14">
        <f t="shared" si="2"/>
        <v>921.50494474749996</v>
      </c>
      <c r="K25" s="14">
        <f t="shared" si="0"/>
        <v>1727.2274300466668</v>
      </c>
    </row>
    <row r="26" spans="2:18">
      <c r="B26" s="15">
        <v>2028</v>
      </c>
      <c r="C26" s="16">
        <v>2387429</v>
      </c>
      <c r="D26" s="19">
        <v>2726434</v>
      </c>
      <c r="E26" s="21">
        <v>5113863</v>
      </c>
      <c r="F26"/>
      <c r="G26"/>
      <c r="H26" s="8">
        <v>2028</v>
      </c>
      <c r="I26" s="14">
        <f t="shared" si="1"/>
        <v>806.5640395495833</v>
      </c>
      <c r="J26" s="14">
        <f t="shared" si="2"/>
        <v>921.09278248916678</v>
      </c>
      <c r="K26" s="14">
        <f t="shared" si="0"/>
        <v>1727.6568220387501</v>
      </c>
    </row>
    <row r="27" spans="2:18">
      <c r="B27" s="15">
        <v>2029</v>
      </c>
      <c r="C27" s="16">
        <v>2389346</v>
      </c>
      <c r="D27" s="19">
        <v>2725037</v>
      </c>
      <c r="E27" s="21">
        <v>5114383</v>
      </c>
      <c r="F27"/>
      <c r="G27"/>
      <c r="H27" s="8">
        <v>2029</v>
      </c>
      <c r="I27" s="14">
        <f t="shared" si="1"/>
        <v>807.21167483583326</v>
      </c>
      <c r="J27" s="14">
        <f t="shared" si="2"/>
        <v>920.62082291958336</v>
      </c>
      <c r="K27" s="14">
        <f t="shared" si="0"/>
        <v>1727.8324977554166</v>
      </c>
    </row>
    <row r="28" spans="2:18">
      <c r="B28" s="15">
        <v>2030</v>
      </c>
      <c r="C28" s="16">
        <v>2390813</v>
      </c>
      <c r="D28" s="19">
        <v>2723161</v>
      </c>
      <c r="E28" s="21">
        <v>5113974</v>
      </c>
      <c r="F28"/>
      <c r="G28"/>
      <c r="H28" s="8">
        <v>2030</v>
      </c>
      <c r="I28" s="14">
        <f t="shared" si="1"/>
        <v>807.70728305958323</v>
      </c>
      <c r="J28" s="14">
        <f t="shared" si="2"/>
        <v>919.98703898791666</v>
      </c>
      <c r="K28" s="14">
        <f t="shared" si="0"/>
        <v>1727.6943220474998</v>
      </c>
    </row>
    <row r="29" spans="2:18">
      <c r="B29" s="15">
        <v>2031</v>
      </c>
      <c r="C29" s="16">
        <v>2392791</v>
      </c>
      <c r="D29" s="19">
        <v>2721459</v>
      </c>
      <c r="E29" s="21">
        <v>5114250</v>
      </c>
      <c r="F29"/>
      <c r="G29"/>
      <c r="H29" s="8">
        <v>2031</v>
      </c>
      <c r="I29" s="14">
        <f t="shared" si="1"/>
        <v>808.37552645874996</v>
      </c>
      <c r="J29" s="14">
        <f t="shared" si="2"/>
        <v>919.41203885375</v>
      </c>
      <c r="K29" s="14">
        <f t="shared" si="0"/>
        <v>1727.7875653125</v>
      </c>
    </row>
    <row r="30" spans="2:18">
      <c r="B30" s="15">
        <v>2032</v>
      </c>
      <c r="C30" s="16">
        <v>2395224</v>
      </c>
      <c r="D30" s="19">
        <v>2720739</v>
      </c>
      <c r="E30" s="21">
        <v>5115963</v>
      </c>
      <c r="F30"/>
      <c r="G30"/>
      <c r="H30" s="8">
        <v>2032</v>
      </c>
      <c r="I30" s="14">
        <f t="shared" si="1"/>
        <v>809.19748610999989</v>
      </c>
      <c r="J30" s="14">
        <f t="shared" si="2"/>
        <v>919.16879555374987</v>
      </c>
      <c r="K30" s="14">
        <f t="shared" si="0"/>
        <v>1728.36628166375</v>
      </c>
    </row>
    <row r="31" spans="2:18">
      <c r="B31" s="15">
        <v>2033</v>
      </c>
      <c r="C31" s="16">
        <v>2399386</v>
      </c>
      <c r="D31" s="19">
        <v>2721774</v>
      </c>
      <c r="E31" s="21">
        <v>5121160</v>
      </c>
      <c r="F31"/>
      <c r="G31"/>
      <c r="H31" s="8">
        <v>2033</v>
      </c>
      <c r="I31" s="14">
        <f t="shared" si="1"/>
        <v>810.60356751916663</v>
      </c>
      <c r="J31" s="14">
        <f t="shared" si="2"/>
        <v>919.51845779749999</v>
      </c>
      <c r="K31" s="14">
        <f t="shared" si="0"/>
        <v>1730.1220253166664</v>
      </c>
    </row>
    <row r="32" spans="2:18">
      <c r="B32" s="15">
        <v>2034</v>
      </c>
      <c r="C32" s="16">
        <v>2405405</v>
      </c>
      <c r="D32" s="19">
        <v>2724805</v>
      </c>
      <c r="E32" s="21">
        <v>5130210</v>
      </c>
      <c r="F32"/>
      <c r="G32"/>
      <c r="H32" s="8">
        <v>2034</v>
      </c>
      <c r="I32" s="14">
        <f t="shared" si="1"/>
        <v>812.63701393958331</v>
      </c>
      <c r="J32" s="14">
        <f t="shared" si="2"/>
        <v>920.54244452291664</v>
      </c>
      <c r="K32" s="14">
        <f t="shared" si="0"/>
        <v>1733.1794584625</v>
      </c>
    </row>
    <row r="33" spans="2:11">
      <c r="B33" s="15">
        <v>2035</v>
      </c>
      <c r="C33" s="16">
        <v>2412577</v>
      </c>
      <c r="D33" s="19">
        <v>2729359</v>
      </c>
      <c r="E33" s="21">
        <v>5141936</v>
      </c>
      <c r="F33"/>
      <c r="G33"/>
      <c r="H33" s="8">
        <v>2035</v>
      </c>
      <c r="I33" s="14">
        <f t="shared" si="1"/>
        <v>815.05998747791659</v>
      </c>
      <c r="J33" s="14">
        <f t="shared" si="2"/>
        <v>922.08095839541659</v>
      </c>
      <c r="K33" s="14">
        <f t="shared" si="0"/>
        <v>1737.1409458733335</v>
      </c>
    </row>
    <row r="34" spans="2:11">
      <c r="B34" s="15">
        <v>2036</v>
      </c>
      <c r="C34" s="16">
        <v>2419698</v>
      </c>
      <c r="D34" s="19">
        <v>2734062</v>
      </c>
      <c r="E34" s="21">
        <v>5153760</v>
      </c>
      <c r="F34"/>
      <c r="G34"/>
      <c r="H34" s="8">
        <v>2036</v>
      </c>
      <c r="I34" s="14">
        <f t="shared" si="1"/>
        <v>817.46573128249986</v>
      </c>
      <c r="J34" s="14">
        <f t="shared" si="2"/>
        <v>923.66981011750011</v>
      </c>
      <c r="K34" s="14">
        <f t="shared" si="0"/>
        <v>1741.1355414000002</v>
      </c>
    </row>
    <row r="35" spans="2:11">
      <c r="B35" s="15">
        <v>2037</v>
      </c>
      <c r="C35" s="16">
        <v>2427455</v>
      </c>
      <c r="D35" s="19">
        <v>2739448</v>
      </c>
      <c r="E35" s="21">
        <v>5166903</v>
      </c>
      <c r="F35"/>
      <c r="G35"/>
      <c r="H35" s="8">
        <v>2037</v>
      </c>
      <c r="I35" s="14">
        <f t="shared" si="1"/>
        <v>820.08634000208315</v>
      </c>
      <c r="J35" s="14">
        <f t="shared" si="2"/>
        <v>925.48940513666662</v>
      </c>
      <c r="K35" s="14">
        <f t="shared" si="0"/>
        <v>1745.5757451387499</v>
      </c>
    </row>
    <row r="36" spans="2:11">
      <c r="B36" s="15">
        <v>2038</v>
      </c>
      <c r="C36" s="16">
        <v>2434806</v>
      </c>
      <c r="D36" s="19">
        <v>2744485</v>
      </c>
      <c r="E36" s="21">
        <v>5179291</v>
      </c>
      <c r="F36"/>
      <c r="G36"/>
      <c r="H36" s="8">
        <v>2038</v>
      </c>
      <c r="I36" s="14">
        <f t="shared" si="1"/>
        <v>822.5697865274999</v>
      </c>
      <c r="J36" s="14">
        <f t="shared" si="2"/>
        <v>927.19109472291677</v>
      </c>
      <c r="K36" s="14">
        <f t="shared" si="0"/>
        <v>1749.7608812504166</v>
      </c>
    </row>
    <row r="37" spans="2:11">
      <c r="B37" s="15">
        <v>2039</v>
      </c>
      <c r="C37" s="16">
        <v>2441871</v>
      </c>
      <c r="D37" s="19">
        <v>2748931</v>
      </c>
      <c r="E37" s="21">
        <v>5190802</v>
      </c>
      <c r="F37"/>
      <c r="G37"/>
      <c r="H37" s="8">
        <v>2039</v>
      </c>
      <c r="I37" s="14">
        <f t="shared" si="1"/>
        <v>824.95661140875006</v>
      </c>
      <c r="J37" s="14">
        <f t="shared" si="2"/>
        <v>928.69312210041664</v>
      </c>
      <c r="K37" s="14">
        <f t="shared" si="0"/>
        <v>1753.6497335091667</v>
      </c>
    </row>
    <row r="38" spans="2:11">
      <c r="B38" s="15">
        <v>2040</v>
      </c>
      <c r="C38" s="16">
        <v>2448973</v>
      </c>
      <c r="D38" s="19">
        <v>2753635</v>
      </c>
      <c r="E38" s="21">
        <v>5202608</v>
      </c>
      <c r="F38"/>
      <c r="G38"/>
      <c r="H38" s="8">
        <v>2040</v>
      </c>
      <c r="I38" s="14">
        <f t="shared" si="1"/>
        <v>827.35593629291668</v>
      </c>
      <c r="J38" s="14">
        <f t="shared" si="2"/>
        <v>930.28231166041667</v>
      </c>
      <c r="K38" s="14">
        <f t="shared" si="0"/>
        <v>1757.6382479533333</v>
      </c>
    </row>
    <row r="39" spans="2:11">
      <c r="B39" s="15">
        <v>2041</v>
      </c>
      <c r="C39" s="16">
        <v>2448973</v>
      </c>
      <c r="D39" s="19">
        <v>2753635</v>
      </c>
      <c r="E39" s="21">
        <v>5202608</v>
      </c>
      <c r="F39"/>
      <c r="G39"/>
      <c r="H39" s="8">
        <v>2041</v>
      </c>
      <c r="I39" s="14">
        <f t="shared" si="1"/>
        <v>827.35593629291668</v>
      </c>
      <c r="J39" s="14">
        <f t="shared" si="2"/>
        <v>930.28231166041667</v>
      </c>
      <c r="K39" s="14">
        <f t="shared" si="0"/>
        <v>1757.6382479533333</v>
      </c>
    </row>
    <row r="40" spans="2:11">
      <c r="B40" s="15">
        <v>2042</v>
      </c>
      <c r="C40" s="16">
        <v>2448973</v>
      </c>
      <c r="D40" s="19">
        <v>2753635</v>
      </c>
      <c r="E40" s="21">
        <v>5202608</v>
      </c>
      <c r="F40"/>
      <c r="G40"/>
      <c r="H40" s="8">
        <v>2042</v>
      </c>
      <c r="I40" s="14">
        <f t="shared" si="1"/>
        <v>827.35593629291668</v>
      </c>
      <c r="J40" s="14">
        <f t="shared" si="2"/>
        <v>930.28231166041667</v>
      </c>
      <c r="K40" s="14">
        <f t="shared" si="0"/>
        <v>1757.6382479533333</v>
      </c>
    </row>
    <row r="41" spans="2:11">
      <c r="B41" s="15">
        <v>2043</v>
      </c>
      <c r="C41" s="16">
        <v>2448973</v>
      </c>
      <c r="D41" s="19">
        <v>2753635</v>
      </c>
      <c r="E41" s="21">
        <v>5202608</v>
      </c>
      <c r="F41"/>
      <c r="G41"/>
      <c r="H41" s="8">
        <v>2043</v>
      </c>
      <c r="I41" s="14">
        <f t="shared" si="1"/>
        <v>827.35593629291668</v>
      </c>
      <c r="J41" s="14">
        <f t="shared" si="2"/>
        <v>930.28231166041667</v>
      </c>
      <c r="K41" s="14">
        <f t="shared" si="0"/>
        <v>1757.6382479533333</v>
      </c>
    </row>
    <row r="42" spans="2:11">
      <c r="B42" s="15">
        <v>2044</v>
      </c>
      <c r="C42" s="16">
        <v>2448973</v>
      </c>
      <c r="D42" s="19">
        <v>2753635</v>
      </c>
      <c r="E42" s="21">
        <v>5202608</v>
      </c>
      <c r="F42"/>
      <c r="G42"/>
      <c r="H42" s="8">
        <v>2044</v>
      </c>
      <c r="I42" s="14">
        <f t="shared" si="1"/>
        <v>827.35593629291668</v>
      </c>
      <c r="J42" s="14">
        <f t="shared" si="2"/>
        <v>930.28231166041667</v>
      </c>
      <c r="K42" s="14">
        <f t="shared" si="0"/>
        <v>1757.6382479533333</v>
      </c>
    </row>
    <row r="43" spans="2:11">
      <c r="B43" s="15">
        <v>2045</v>
      </c>
      <c r="C43" s="16">
        <v>2448973</v>
      </c>
      <c r="D43" s="19">
        <v>2753635</v>
      </c>
      <c r="E43" s="21">
        <v>5202608</v>
      </c>
      <c r="F43"/>
      <c r="G43"/>
      <c r="H43" s="8">
        <v>2045</v>
      </c>
      <c r="I43" s="14">
        <f t="shared" si="1"/>
        <v>827.35593629291668</v>
      </c>
      <c r="J43" s="14">
        <f t="shared" si="2"/>
        <v>930.28231166041667</v>
      </c>
      <c r="K43" s="14">
        <f t="shared" si="0"/>
        <v>1757.6382479533333</v>
      </c>
    </row>
    <row r="44" spans="2:11">
      <c r="B44" s="15">
        <v>2046</v>
      </c>
      <c r="C44" s="16">
        <v>2448973</v>
      </c>
      <c r="D44" s="19">
        <v>2753635</v>
      </c>
      <c r="E44" s="21">
        <v>5202608</v>
      </c>
      <c r="F44"/>
      <c r="G44"/>
      <c r="H44" s="8">
        <v>2046</v>
      </c>
      <c r="I44" s="14">
        <f t="shared" si="1"/>
        <v>827.35593629291668</v>
      </c>
      <c r="J44" s="14">
        <f t="shared" si="2"/>
        <v>930.28231166041667</v>
      </c>
      <c r="K44" s="14">
        <f t="shared" si="0"/>
        <v>1757.6382479533333</v>
      </c>
    </row>
    <row r="45" spans="2:11">
      <c r="B45" s="15">
        <v>2047</v>
      </c>
      <c r="C45" s="16">
        <v>2448973</v>
      </c>
      <c r="D45" s="19">
        <v>2753635</v>
      </c>
      <c r="E45" s="21">
        <v>5202608</v>
      </c>
      <c r="F45"/>
      <c r="G45"/>
      <c r="H45" s="8">
        <v>2047</v>
      </c>
      <c r="I45" s="14">
        <f t="shared" si="1"/>
        <v>827.35593629291668</v>
      </c>
      <c r="J45" s="14">
        <f t="shared" si="2"/>
        <v>930.28231166041667</v>
      </c>
      <c r="K45" s="14">
        <f t="shared" si="0"/>
        <v>1757.6382479533333</v>
      </c>
    </row>
    <row r="46" spans="2:11">
      <c r="B46" s="15">
        <v>2048</v>
      </c>
      <c r="C46" s="16">
        <v>2448973</v>
      </c>
      <c r="D46" s="19">
        <v>2753635</v>
      </c>
      <c r="E46" s="21">
        <v>5202608</v>
      </c>
      <c r="F46"/>
      <c r="G46"/>
      <c r="H46" s="8">
        <v>2048</v>
      </c>
      <c r="I46" s="14">
        <f t="shared" si="1"/>
        <v>827.35593629291668</v>
      </c>
      <c r="J46" s="14">
        <f t="shared" si="2"/>
        <v>930.28231166041667</v>
      </c>
      <c r="K46" s="14">
        <f t="shared" si="0"/>
        <v>1757.6382479533333</v>
      </c>
    </row>
    <row r="47" spans="2:11">
      <c r="B47" s="15">
        <v>2049</v>
      </c>
      <c r="C47" s="16">
        <v>2448973</v>
      </c>
      <c r="D47" s="19">
        <v>2753635</v>
      </c>
      <c r="E47" s="21">
        <v>5202608</v>
      </c>
      <c r="F47"/>
      <c r="G47"/>
      <c r="H47" s="8">
        <v>2049</v>
      </c>
      <c r="I47" s="14">
        <f t="shared" si="1"/>
        <v>827.35593629291668</v>
      </c>
      <c r="J47" s="14">
        <f t="shared" si="2"/>
        <v>930.28231166041667</v>
      </c>
      <c r="K47" s="14">
        <f t="shared" si="0"/>
        <v>1757.6382479533333</v>
      </c>
    </row>
    <row r="48" spans="2:11">
      <c r="B48" s="17">
        <v>2050</v>
      </c>
      <c r="C48" s="18">
        <v>2448973</v>
      </c>
      <c r="D48" s="20">
        <v>2753635</v>
      </c>
      <c r="E48" s="22">
        <v>5202608</v>
      </c>
      <c r="F48"/>
      <c r="G48"/>
      <c r="H48" s="11">
        <v>2050</v>
      </c>
      <c r="I48" s="14">
        <f t="shared" si="1"/>
        <v>827.35593629291668</v>
      </c>
      <c r="J48" s="14">
        <f t="shared" si="2"/>
        <v>930.28231166041667</v>
      </c>
      <c r="K48" s="14">
        <f t="shared" si="0"/>
        <v>1757.6382479533333</v>
      </c>
    </row>
  </sheetData>
  <mergeCells count="2">
    <mergeCell ref="H6:K6"/>
    <mergeCell ref="B6:E6"/>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4:R46"/>
  <sheetViews>
    <sheetView workbookViewId="0">
      <selection activeCell="L9" sqref="L9"/>
    </sheetView>
  </sheetViews>
  <sheetFormatPr defaultRowHeight="14.4"/>
  <sheetData>
    <row r="4" spans="2:18">
      <c r="L4" t="s">
        <v>22</v>
      </c>
      <c r="M4" t="s">
        <v>23</v>
      </c>
      <c r="N4" t="s">
        <v>24</v>
      </c>
      <c r="O4">
        <v>6433.43</v>
      </c>
      <c r="P4">
        <v>9373.86</v>
      </c>
      <c r="R4">
        <f>SUM(O4:P4)</f>
        <v>15807.29</v>
      </c>
    </row>
    <row r="5" spans="2:18">
      <c r="B5" s="23" t="s">
        <v>57</v>
      </c>
      <c r="C5" s="23"/>
      <c r="D5" s="23"/>
      <c r="E5" s="23"/>
      <c r="F5" s="23"/>
      <c r="G5" s="23"/>
      <c r="H5" s="23"/>
      <c r="I5" s="23"/>
      <c r="J5" s="23"/>
      <c r="K5" s="23"/>
      <c r="L5" t="s">
        <v>25</v>
      </c>
      <c r="M5" t="s">
        <v>26</v>
      </c>
      <c r="N5" t="s">
        <v>24</v>
      </c>
      <c r="O5">
        <v>5232.67</v>
      </c>
      <c r="P5">
        <v>7021.35</v>
      </c>
      <c r="R5" s="23">
        <f>SUM(O5:P5)</f>
        <v>12254.02</v>
      </c>
    </row>
    <row r="6" spans="2:18">
      <c r="B6" s="23" t="s">
        <v>34</v>
      </c>
      <c r="C6" s="23"/>
      <c r="D6" s="23"/>
      <c r="E6" s="23"/>
      <c r="F6" s="23"/>
      <c r="G6" s="23"/>
      <c r="H6" s="23"/>
      <c r="I6" s="23"/>
      <c r="J6" s="23"/>
      <c r="K6" s="23"/>
      <c r="L6" t="s">
        <v>14</v>
      </c>
      <c r="M6" t="s">
        <v>27</v>
      </c>
      <c r="N6" t="s">
        <v>24</v>
      </c>
      <c r="O6">
        <v>9247.8700000000008</v>
      </c>
      <c r="P6">
        <v>15147.35</v>
      </c>
      <c r="R6" s="23">
        <f>SUM(O6:P6)</f>
        <v>24395.22</v>
      </c>
    </row>
    <row r="7" spans="2:18">
      <c r="B7" s="23" t="s">
        <v>60</v>
      </c>
      <c r="C7" s="23" t="s">
        <v>61</v>
      </c>
      <c r="D7" s="23">
        <v>2010</v>
      </c>
      <c r="E7" s="23">
        <v>2012</v>
      </c>
      <c r="F7" s="23">
        <v>2015</v>
      </c>
      <c r="G7" s="23">
        <v>2020</v>
      </c>
      <c r="H7" s="23">
        <v>2030</v>
      </c>
      <c r="I7" s="23">
        <v>2040</v>
      </c>
      <c r="J7" s="23">
        <v>2050</v>
      </c>
      <c r="K7" s="23"/>
    </row>
    <row r="8" spans="2:18">
      <c r="B8" s="23" t="s">
        <v>6</v>
      </c>
      <c r="C8" s="23" t="s">
        <v>5</v>
      </c>
      <c r="D8" s="32">
        <v>702.81215291680098</v>
      </c>
      <c r="E8" s="31">
        <v>688.984469607905</v>
      </c>
      <c r="F8" s="31">
        <v>613.70285117321203</v>
      </c>
      <c r="G8" s="31">
        <v>603.04050650097895</v>
      </c>
      <c r="H8" s="31">
        <v>588.75356472232295</v>
      </c>
      <c r="I8" s="31">
        <v>587.05799351615997</v>
      </c>
      <c r="J8" s="31">
        <v>600.17598105067304</v>
      </c>
      <c r="K8" s="23"/>
      <c r="P8">
        <v>2120322</v>
      </c>
      <c r="Q8" t="s">
        <v>29</v>
      </c>
    </row>
    <row r="9" spans="2:18">
      <c r="B9" s="23" t="s">
        <v>6</v>
      </c>
      <c r="C9" s="23" t="s">
        <v>4</v>
      </c>
      <c r="D9" s="32">
        <v>883.54400317236104</v>
      </c>
      <c r="E9" s="31">
        <v>908.92119620125504</v>
      </c>
      <c r="F9" s="31">
        <v>1005.57140983383</v>
      </c>
      <c r="G9" s="31">
        <v>1051.11740366304</v>
      </c>
      <c r="H9" s="31">
        <v>1105.6896147142099</v>
      </c>
      <c r="I9" s="31">
        <v>1149.5982791285801</v>
      </c>
      <c r="J9" s="31">
        <v>1200.6881969216499</v>
      </c>
      <c r="K9" s="23"/>
    </row>
    <row r="10" spans="2:18">
      <c r="B10" t="s">
        <v>49</v>
      </c>
      <c r="C10" t="s">
        <v>5</v>
      </c>
      <c r="D10" s="31">
        <v>62.450739572247002</v>
      </c>
      <c r="E10" s="31">
        <v>46.838054679185198</v>
      </c>
      <c r="F10" s="31">
        <v>56.177254923553797</v>
      </c>
      <c r="G10" s="31">
        <v>26.710170630339999</v>
      </c>
      <c r="H10" s="31"/>
      <c r="I10" s="31"/>
      <c r="J10" s="31"/>
      <c r="P10">
        <f>P8*M16</f>
        <v>3344140.9764088183</v>
      </c>
      <c r="Q10" t="s">
        <v>19</v>
      </c>
    </row>
    <row r="11" spans="2:18">
      <c r="B11" t="s">
        <v>49</v>
      </c>
      <c r="C11" t="s">
        <v>4</v>
      </c>
      <c r="D11" s="31">
        <v>80.757755829816404</v>
      </c>
      <c r="E11" s="31">
        <v>88.581320206861406</v>
      </c>
      <c r="F11" s="31">
        <v>69.706566619498602</v>
      </c>
      <c r="G11" s="31">
        <v>83.2810620077219</v>
      </c>
      <c r="H11" s="31">
        <v>78.206054828080994</v>
      </c>
      <c r="I11" s="31">
        <v>46.4208770181001</v>
      </c>
      <c r="J11" s="31">
        <v>14.635699208119201</v>
      </c>
    </row>
    <row r="12" spans="2:18">
      <c r="B12" t="s">
        <v>56</v>
      </c>
      <c r="C12" t="s">
        <v>5</v>
      </c>
      <c r="D12" s="31">
        <v>28.385319150325699</v>
      </c>
      <c r="E12" s="31">
        <v>21.288989362744299</v>
      </c>
      <c r="F12" s="31">
        <v>10.6444946813721</v>
      </c>
      <c r="G12" s="31">
        <v>5.8832912265931396</v>
      </c>
      <c r="H12" s="31">
        <v>29.891890079995999</v>
      </c>
      <c r="I12" s="31"/>
      <c r="J12" s="31"/>
      <c r="P12">
        <f>M13/P10</f>
        <v>1.5686100068763139E-2</v>
      </c>
      <c r="Q12" t="s">
        <v>21</v>
      </c>
    </row>
    <row r="13" spans="2:18">
      <c r="B13" t="s">
        <v>56</v>
      </c>
      <c r="C13" t="s">
        <v>4</v>
      </c>
      <c r="D13" s="31">
        <v>19.071961138652799</v>
      </c>
      <c r="E13" s="31">
        <v>14.303970853989499</v>
      </c>
      <c r="F13" s="31">
        <v>7.1519854269947301</v>
      </c>
      <c r="G13" s="31"/>
      <c r="H13" s="31">
        <v>1.9539695599323601</v>
      </c>
      <c r="I13" s="31">
        <v>4.60198436094017</v>
      </c>
      <c r="J13" s="31">
        <v>9.8746793607892194</v>
      </c>
      <c r="M13">
        <f>SUM(R4:R6)</f>
        <v>52456.53</v>
      </c>
      <c r="N13" t="s">
        <v>18</v>
      </c>
      <c r="P13">
        <f>P12/M17*10^6</f>
        <v>42.975616626748327</v>
      </c>
      <c r="Q13" t="s">
        <v>31</v>
      </c>
    </row>
    <row r="14" spans="2:18">
      <c r="B14" t="s">
        <v>55</v>
      </c>
      <c r="C14" t="s">
        <v>5</v>
      </c>
      <c r="D14" s="31">
        <v>10.1264666946239</v>
      </c>
      <c r="E14" s="31">
        <v>7.5948500209679297</v>
      </c>
      <c r="F14" s="31">
        <v>3.79742501048396</v>
      </c>
      <c r="G14" s="31">
        <v>0.906035648058374</v>
      </c>
      <c r="H14" s="31">
        <v>4.6033957792026596</v>
      </c>
      <c r="I14" s="31"/>
      <c r="J14" s="31"/>
      <c r="M14">
        <v>33259.583070000001</v>
      </c>
      <c r="N14" t="s">
        <v>20</v>
      </c>
      <c r="P14" s="24">
        <f>P13/M18</f>
        <v>46.210340458869169</v>
      </c>
      <c r="Q14" t="s">
        <v>32</v>
      </c>
    </row>
    <row r="15" spans="2:18">
      <c r="B15" t="s">
        <v>55</v>
      </c>
      <c r="C15" t="s">
        <v>4</v>
      </c>
      <c r="D15" s="31">
        <v>6.8039248827512697</v>
      </c>
      <c r="E15" s="31">
        <v>5.1029436620631898</v>
      </c>
      <c r="F15" s="31">
        <v>2.5514718310315998</v>
      </c>
      <c r="G15" s="31"/>
      <c r="H15" s="31">
        <v>4.6781043230555603</v>
      </c>
      <c r="I15" s="31">
        <v>11.0178599375384</v>
      </c>
      <c r="J15" s="31">
        <v>23.641504531981901</v>
      </c>
    </row>
    <row r="16" spans="2:18">
      <c r="B16" t="s">
        <v>54</v>
      </c>
      <c r="C16" t="s">
        <v>5</v>
      </c>
      <c r="D16" s="31">
        <v>58.383127040003302</v>
      </c>
      <c r="E16" s="31">
        <v>43.787345280002498</v>
      </c>
      <c r="F16" s="31">
        <v>21.893672640001199</v>
      </c>
      <c r="G16" s="31">
        <v>1.4620735248298</v>
      </c>
      <c r="H16" s="31">
        <v>7.4285190737349502</v>
      </c>
      <c r="I16" s="31"/>
      <c r="J16" s="31"/>
      <c r="M16">
        <f>M13/M14</f>
        <v>1.5771854352352228</v>
      </c>
      <c r="N16" t="s">
        <v>28</v>
      </c>
    </row>
    <row r="17" spans="2:14">
      <c r="B17" t="s">
        <v>54</v>
      </c>
      <c r="C17" t="s">
        <v>4</v>
      </c>
      <c r="D17" s="31">
        <v>39.227345803764599</v>
      </c>
      <c r="E17" s="31">
        <v>29.420509352821199</v>
      </c>
      <c r="F17" s="31">
        <v>14.710254676410599</v>
      </c>
      <c r="G17" s="31"/>
      <c r="H17" s="31">
        <v>39.5252933919733</v>
      </c>
      <c r="I17" s="31">
        <v>93.089874981332699</v>
      </c>
      <c r="J17" s="31">
        <v>199.74702108479499</v>
      </c>
      <c r="M17">
        <v>365</v>
      </c>
      <c r="N17" t="s">
        <v>30</v>
      </c>
    </row>
    <row r="18" spans="2:14">
      <c r="B18" t="s">
        <v>53</v>
      </c>
      <c r="C18" t="s">
        <v>5</v>
      </c>
      <c r="D18" s="31">
        <v>117.97799539079099</v>
      </c>
      <c r="E18" s="31">
        <v>114.96094902660499</v>
      </c>
      <c r="F18" s="31">
        <v>120.28561451258901</v>
      </c>
      <c r="G18" s="31">
        <v>87.426418822943603</v>
      </c>
      <c r="H18" s="31">
        <v>23.3645884846066</v>
      </c>
      <c r="I18" s="31">
        <v>1.2319420173047599</v>
      </c>
      <c r="J18" s="31">
        <v>3.7426690705487202E-3</v>
      </c>
      <c r="M18">
        <v>0.93</v>
      </c>
      <c r="N18" t="s">
        <v>33</v>
      </c>
    </row>
    <row r="19" spans="2:14">
      <c r="B19" t="s">
        <v>53</v>
      </c>
      <c r="C19" t="s">
        <v>4</v>
      </c>
      <c r="D19" s="31">
        <v>193.239473255695</v>
      </c>
      <c r="E19" s="31">
        <v>196.3234738143</v>
      </c>
      <c r="F19" s="31">
        <v>201.16405880233501</v>
      </c>
      <c r="G19" s="31">
        <v>210.997835453422</v>
      </c>
      <c r="H19" s="31">
        <v>175.86932782514799</v>
      </c>
      <c r="I19" s="31">
        <v>147.08358390327501</v>
      </c>
      <c r="J19" s="31">
        <v>68.401453602203105</v>
      </c>
    </row>
    <row r="20" spans="2:14">
      <c r="B20" t="s">
        <v>52</v>
      </c>
      <c r="C20" t="s">
        <v>5</v>
      </c>
      <c r="D20" s="31">
        <v>83.043650300268794</v>
      </c>
      <c r="E20" s="31">
        <v>80.969908366059201</v>
      </c>
      <c r="F20" s="31">
        <v>84.773159331619695</v>
      </c>
      <c r="G20" s="31">
        <v>61.613505738442001</v>
      </c>
      <c r="H20" s="31">
        <v>16.466166890051799</v>
      </c>
      <c r="I20" s="31">
        <v>0.86822029502962295</v>
      </c>
      <c r="J20" s="31">
        <v>2.63443111111329E-3</v>
      </c>
    </row>
    <row r="21" spans="2:14">
      <c r="B21" t="s">
        <v>52</v>
      </c>
      <c r="C21" t="s">
        <v>4</v>
      </c>
      <c r="D21" s="31">
        <v>111.43032800544999</v>
      </c>
      <c r="E21" s="31">
        <v>113.278922743514</v>
      </c>
      <c r="F21" s="31">
        <v>116.146913786052</v>
      </c>
      <c r="G21" s="31">
        <v>121.775119921616</v>
      </c>
      <c r="H21" s="31">
        <v>107.678628453714</v>
      </c>
      <c r="I21" s="31">
        <v>94.984288344121794</v>
      </c>
      <c r="J21" s="31">
        <v>60.477474273031198</v>
      </c>
    </row>
    <row r="22" spans="2:14">
      <c r="B22" t="s">
        <v>51</v>
      </c>
      <c r="C22" t="s">
        <v>5</v>
      </c>
      <c r="D22" s="31">
        <v>163.220736618763</v>
      </c>
      <c r="E22" s="31">
        <v>159.146744221408</v>
      </c>
      <c r="F22" s="31">
        <v>166.62407509865901</v>
      </c>
      <c r="G22" s="31">
        <v>121.103049984365</v>
      </c>
      <c r="H22" s="31">
        <v>32.364708194658199</v>
      </c>
      <c r="I22" s="31">
        <v>1.7065114991128101</v>
      </c>
      <c r="J22" s="31">
        <v>5.1779249222851801E-3</v>
      </c>
    </row>
    <row r="23" spans="2:14">
      <c r="B23" t="s">
        <v>51</v>
      </c>
      <c r="C23" t="s">
        <v>4</v>
      </c>
      <c r="D23" s="31">
        <v>237.821795736154</v>
      </c>
      <c r="E23" s="31">
        <v>241.756386045841</v>
      </c>
      <c r="F23" s="31">
        <v>247.865642257096</v>
      </c>
      <c r="G23" s="31">
        <v>259.884240412596</v>
      </c>
      <c r="H23" s="31">
        <v>228.85123738107001</v>
      </c>
      <c r="I23" s="31">
        <v>201.15764611188999</v>
      </c>
      <c r="J23" s="31">
        <v>125.840100379994</v>
      </c>
    </row>
    <row r="24" spans="2:14">
      <c r="B24" t="s">
        <v>48</v>
      </c>
      <c r="C24" t="s">
        <v>5</v>
      </c>
      <c r="D24" s="31">
        <v>6.9043549710743903</v>
      </c>
      <c r="E24" s="31">
        <v>26.143281598342501</v>
      </c>
      <c r="F24" s="31">
        <v>55.126636066761499</v>
      </c>
      <c r="G24" s="31">
        <v>79.942437260607306</v>
      </c>
      <c r="H24" s="31">
        <v>76.795553644708406</v>
      </c>
      <c r="I24" s="31">
        <v>96.715933490672597</v>
      </c>
      <c r="J24" s="31">
        <v>96.910848005359497</v>
      </c>
    </row>
    <row r="25" spans="2:14">
      <c r="B25" t="s">
        <v>42</v>
      </c>
      <c r="C25" t="s">
        <v>5</v>
      </c>
      <c r="D25" s="31">
        <v>1.8098552699432599E-2</v>
      </c>
      <c r="E25" s="31">
        <v>1.4478842159546101E-2</v>
      </c>
      <c r="F25" s="31">
        <v>9.0492763497168598E-3</v>
      </c>
      <c r="G25" s="31"/>
      <c r="H25" s="31"/>
      <c r="I25" s="31"/>
      <c r="J25" s="31"/>
    </row>
    <row r="26" spans="2:14">
      <c r="B26" t="s">
        <v>42</v>
      </c>
      <c r="C26" t="s">
        <v>4</v>
      </c>
      <c r="D26" s="31">
        <v>3.6265217473962399E-2</v>
      </c>
      <c r="E26" s="31">
        <v>3.6690298494195403E-2</v>
      </c>
      <c r="F26" s="31">
        <v>3.8143376577144103E-2</v>
      </c>
      <c r="G26" s="31">
        <v>4.0565173382060601E-2</v>
      </c>
      <c r="H26" s="31">
        <v>2.7310214292460101E-2</v>
      </c>
      <c r="I26" s="31">
        <v>1.40552552028597E-2</v>
      </c>
      <c r="J26" s="31">
        <v>8.0029611325927504E-4</v>
      </c>
    </row>
    <row r="27" spans="2:14">
      <c r="B27" t="s">
        <v>41</v>
      </c>
      <c r="C27" t="s">
        <v>5</v>
      </c>
      <c r="D27" s="31">
        <v>5.4928852680020498E-2</v>
      </c>
      <c r="E27" s="31">
        <v>4.3943082144016397E-2</v>
      </c>
      <c r="F27" s="31">
        <v>2.74644263400107E-2</v>
      </c>
      <c r="G27" s="31"/>
      <c r="H27" s="31"/>
      <c r="I27" s="31"/>
      <c r="J27" s="31"/>
    </row>
    <row r="28" spans="2:14">
      <c r="B28" t="s">
        <v>41</v>
      </c>
      <c r="C28" t="s">
        <v>4</v>
      </c>
      <c r="D28" s="31">
        <v>0.110064424549187</v>
      </c>
      <c r="E28" s="31">
        <v>0.111354539461977</v>
      </c>
      <c r="F28" s="31">
        <v>0.11576461098959499</v>
      </c>
      <c r="G28" s="31">
        <v>0.123114730202297</v>
      </c>
      <c r="H28" s="31">
        <v>8.2886115947678099E-2</v>
      </c>
      <c r="I28" s="31">
        <v>4.2657501693059499E-2</v>
      </c>
      <c r="J28" s="31">
        <v>2.4288874384408598E-3</v>
      </c>
    </row>
    <row r="29" spans="2:14">
      <c r="B29" t="s">
        <v>40</v>
      </c>
      <c r="C29" t="s">
        <v>5</v>
      </c>
      <c r="D29" s="31">
        <v>0.675811652664283</v>
      </c>
      <c r="E29" s="31">
        <v>0.54064932213142702</v>
      </c>
      <c r="F29" s="31">
        <v>0.33790582633215499</v>
      </c>
      <c r="G29" s="31"/>
      <c r="H29" s="31"/>
      <c r="I29" s="31"/>
      <c r="J29" s="31"/>
    </row>
    <row r="30" spans="2:14">
      <c r="B30" t="s">
        <v>40</v>
      </c>
      <c r="C30" t="s">
        <v>4</v>
      </c>
      <c r="D30" s="31">
        <v>1.35416665422515</v>
      </c>
      <c r="E30" s="31">
        <v>1.3700394541981999</v>
      </c>
      <c r="F30" s="31">
        <v>1.42429832876106</v>
      </c>
      <c r="G30" s="31">
        <v>1.5147297863658999</v>
      </c>
      <c r="H30" s="31">
        <v>1.01978104891127</v>
      </c>
      <c r="I30" s="31">
        <v>0.52483231145663201</v>
      </c>
      <c r="J30" s="31">
        <v>2.9883574001997901E-2</v>
      </c>
    </row>
    <row r="31" spans="2:14">
      <c r="B31" t="s">
        <v>39</v>
      </c>
      <c r="C31" t="s">
        <v>5</v>
      </c>
      <c r="D31" s="31">
        <v>0.90953123315787499</v>
      </c>
      <c r="E31" s="31">
        <v>0.78826040206671399</v>
      </c>
      <c r="F31" s="31">
        <v>0.60635415543593396</v>
      </c>
      <c r="G31" s="31">
        <v>0.30317707771796698</v>
      </c>
      <c r="H31" s="31"/>
      <c r="I31" s="31"/>
      <c r="J31" s="31"/>
    </row>
    <row r="32" spans="2:14">
      <c r="B32" t="s">
        <v>39</v>
      </c>
      <c r="C32" t="s">
        <v>4</v>
      </c>
      <c r="D32" s="31">
        <v>1.57065354834264</v>
      </c>
      <c r="E32" s="31">
        <v>1.5552191533883399</v>
      </c>
      <c r="F32" s="31">
        <v>1.56927033267936</v>
      </c>
      <c r="G32" s="31">
        <v>1.59268896483106</v>
      </c>
      <c r="H32" s="31">
        <v>1.33634915141648</v>
      </c>
      <c r="I32" s="31">
        <v>0.77683226028394703</v>
      </c>
      <c r="J32" s="31">
        <v>0.34027415207043699</v>
      </c>
    </row>
    <row r="33" spans="2:10">
      <c r="B33" t="s">
        <v>38</v>
      </c>
      <c r="C33" t="s">
        <v>5</v>
      </c>
      <c r="D33" s="31">
        <v>0.72709336962410898</v>
      </c>
      <c r="E33" s="31">
        <v>0.630147587004808</v>
      </c>
      <c r="F33" s="31">
        <v>0.48472891308062099</v>
      </c>
      <c r="G33" s="31">
        <v>0.242364456540311</v>
      </c>
      <c r="H33" s="31"/>
      <c r="I33" s="31"/>
      <c r="J33" s="31"/>
    </row>
    <row r="34" spans="2:10">
      <c r="B34" t="s">
        <v>38</v>
      </c>
      <c r="C34" t="s">
        <v>4</v>
      </c>
      <c r="D34" s="31">
        <v>1.25560479876152</v>
      </c>
      <c r="E34" s="31">
        <v>1.2432663041323</v>
      </c>
      <c r="F34" s="31">
        <v>1.25449903471421</v>
      </c>
      <c r="G34" s="31">
        <v>1.2732202523507401</v>
      </c>
      <c r="H34" s="31">
        <v>1.0682982310834801</v>
      </c>
      <c r="I34" s="31">
        <v>0.62101175327590497</v>
      </c>
      <c r="J34" s="31">
        <v>0.27202043294970102</v>
      </c>
    </row>
    <row r="35" spans="2:10">
      <c r="B35" t="s">
        <v>37</v>
      </c>
      <c r="C35" t="s">
        <v>5</v>
      </c>
      <c r="D35" s="31">
        <v>1.2919193460637901</v>
      </c>
      <c r="E35" s="31">
        <v>1.1196634332503901</v>
      </c>
      <c r="F35" s="31">
        <v>0.86127956403876405</v>
      </c>
      <c r="G35" s="31">
        <v>0.43063978201938202</v>
      </c>
      <c r="H35" s="31"/>
      <c r="I35" s="31"/>
      <c r="J35" s="31"/>
    </row>
    <row r="36" spans="2:10">
      <c r="B36" t="s">
        <v>37</v>
      </c>
      <c r="C36" t="s">
        <v>4</v>
      </c>
      <c r="D36" s="31">
        <v>2.2309928797303602</v>
      </c>
      <c r="E36" s="31">
        <v>2.20906950567863</v>
      </c>
      <c r="F36" s="31">
        <v>2.2290281279878998</v>
      </c>
      <c r="G36" s="31">
        <v>2.2622924985033399</v>
      </c>
      <c r="H36" s="31">
        <v>1.8981814575148399</v>
      </c>
      <c r="I36" s="31">
        <v>1.10343063450696</v>
      </c>
      <c r="J36" s="31">
        <v>0.483333330400258</v>
      </c>
    </row>
    <row r="37" spans="2:10">
      <c r="B37" t="s">
        <v>47</v>
      </c>
      <c r="C37" t="s">
        <v>5</v>
      </c>
      <c r="D37" s="31">
        <v>6.5325364326538304</v>
      </c>
      <c r="E37" s="31">
        <v>8.5485203495215405</v>
      </c>
      <c r="F37" s="31">
        <v>7.8952667062561002</v>
      </c>
      <c r="G37" s="31">
        <v>24.895060827176501</v>
      </c>
      <c r="H37" s="31">
        <v>57.139507870328799</v>
      </c>
      <c r="I37" s="31">
        <v>61.549892058428398</v>
      </c>
      <c r="J37" s="31">
        <v>63.827183067151701</v>
      </c>
    </row>
    <row r="38" spans="2:10">
      <c r="B38" t="s">
        <v>46</v>
      </c>
      <c r="C38" t="s">
        <v>5</v>
      </c>
      <c r="D38" s="31">
        <v>17.542850630631399</v>
      </c>
      <c r="E38" s="31">
        <v>22.956690276528001</v>
      </c>
      <c r="F38" s="31">
        <v>21.202405213464701</v>
      </c>
      <c r="G38" s="31">
        <v>66.854634189038606</v>
      </c>
      <c r="H38" s="31">
        <v>153.445734594969</v>
      </c>
      <c r="I38" s="31">
        <v>165.28963502065699</v>
      </c>
      <c r="J38" s="31">
        <v>171.405203823123</v>
      </c>
    </row>
    <row r="39" spans="2:10">
      <c r="B39" t="s">
        <v>45</v>
      </c>
      <c r="C39" t="s">
        <v>5</v>
      </c>
      <c r="D39" s="31">
        <v>21.976360971140899</v>
      </c>
      <c r="E39" s="31">
        <v>32.4178826404357</v>
      </c>
      <c r="F39" s="31">
        <v>40.2541718712327</v>
      </c>
      <c r="G39" s="31">
        <v>78.978396233111596</v>
      </c>
      <c r="H39" s="31">
        <v>119.73007839116001</v>
      </c>
      <c r="I39" s="31">
        <v>166.04979641935299</v>
      </c>
      <c r="J39" s="31">
        <v>171.373022163093</v>
      </c>
    </row>
    <row r="40" spans="2:10">
      <c r="B40" t="s">
        <v>45</v>
      </c>
      <c r="C40" t="s">
        <v>4</v>
      </c>
      <c r="D40" s="31">
        <v>18.460019509814298</v>
      </c>
      <c r="E40" s="31">
        <v>23.082165440866799</v>
      </c>
      <c r="F40" s="31">
        <v>30.392296952360901</v>
      </c>
      <c r="G40" s="31">
        <v>37.4420047965801</v>
      </c>
      <c r="H40" s="31">
        <v>72.269979382458899</v>
      </c>
      <c r="I40" s="31">
        <v>101.52991809819299</v>
      </c>
      <c r="J40" s="31">
        <v>171.78634909837999</v>
      </c>
    </row>
    <row r="41" spans="2:10">
      <c r="B41" t="s">
        <v>44</v>
      </c>
      <c r="C41" t="s">
        <v>5</v>
      </c>
      <c r="D41" s="31">
        <v>8.14686696163891</v>
      </c>
      <c r="E41" s="31">
        <v>12.0176482993009</v>
      </c>
      <c r="F41" s="31">
        <v>14.922642712163899</v>
      </c>
      <c r="G41" s="31">
        <v>29.278117874005801</v>
      </c>
      <c r="H41" s="31">
        <v>44.385192855190901</v>
      </c>
      <c r="I41" s="31">
        <v>61.556396994577803</v>
      </c>
      <c r="J41" s="31">
        <v>63.529772477350903</v>
      </c>
    </row>
    <row r="42" spans="2:10">
      <c r="B42" t="s">
        <v>44</v>
      </c>
      <c r="C42" t="s">
        <v>4</v>
      </c>
      <c r="D42" s="31">
        <v>6.8433223886888097</v>
      </c>
      <c r="E42" s="31">
        <v>8.5568002491505695</v>
      </c>
      <c r="F42" s="31">
        <v>11.266742490017201</v>
      </c>
      <c r="G42" s="31">
        <v>13.8801429524821</v>
      </c>
      <c r="H42" s="31">
        <v>26.791237553954101</v>
      </c>
      <c r="I42" s="31">
        <v>37.638202997224099</v>
      </c>
      <c r="J42" s="31">
        <v>63.682997097108</v>
      </c>
    </row>
    <row r="43" spans="2:10">
      <c r="B43" t="s">
        <v>43</v>
      </c>
      <c r="C43" t="s">
        <v>5</v>
      </c>
      <c r="D43" s="31">
        <v>4.2470035648070699</v>
      </c>
      <c r="E43" s="31">
        <v>6.26486174477321</v>
      </c>
      <c r="F43" s="31">
        <v>7.7792502434767803</v>
      </c>
      <c r="G43" s="31">
        <v>15.262833131711</v>
      </c>
      <c r="H43" s="31">
        <v>23.1382288637156</v>
      </c>
      <c r="I43" s="31">
        <v>32.089665721024502</v>
      </c>
      <c r="J43" s="31">
        <v>33.118396489490799</v>
      </c>
    </row>
    <row r="44" spans="2:10">
      <c r="B44" t="s">
        <v>43</v>
      </c>
      <c r="C44" t="s">
        <v>4</v>
      </c>
      <c r="D44" s="31">
        <v>3.5674590878600299</v>
      </c>
      <c r="E44" s="31">
        <v>4.46070389176624</v>
      </c>
      <c r="F44" s="31">
        <v>5.87341069200916</v>
      </c>
      <c r="G44" s="31">
        <v>7.2357897676242802</v>
      </c>
      <c r="H44" s="31">
        <v>13.966409655761201</v>
      </c>
      <c r="I44" s="31">
        <v>19.6209884185939</v>
      </c>
      <c r="J44" s="31">
        <v>33.198273270269098</v>
      </c>
    </row>
    <row r="45" spans="2:10">
      <c r="B45" t="s">
        <v>50</v>
      </c>
      <c r="C45" t="s">
        <v>5</v>
      </c>
      <c r="D45" s="31">
        <v>110.196761610943</v>
      </c>
      <c r="E45" s="31">
        <v>102.911601073274</v>
      </c>
      <c r="F45" s="31"/>
      <c r="G45" s="31">
        <v>1.7483000934788</v>
      </c>
      <c r="H45" s="31"/>
      <c r="I45" s="31"/>
      <c r="J45" s="31"/>
    </row>
    <row r="46" spans="2:10">
      <c r="B46" t="s">
        <v>50</v>
      </c>
      <c r="C46" t="s">
        <v>4</v>
      </c>
      <c r="D46" s="31">
        <v>159.76287001063201</v>
      </c>
      <c r="E46" s="31">
        <v>177.52836068472701</v>
      </c>
      <c r="F46" s="31">
        <v>292.11106248831697</v>
      </c>
      <c r="G46" s="31">
        <v>309.814596945365</v>
      </c>
      <c r="H46" s="31">
        <v>350.46656613989802</v>
      </c>
      <c r="I46" s="31">
        <v>389.37023524095201</v>
      </c>
      <c r="J46" s="31">
        <v>428.27390434200601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LOG</vt:lpstr>
      <vt:lpstr>TTB constraint</vt:lpstr>
      <vt:lpstr>Sheet1</vt:lpstr>
      <vt:lpstr>TTB from TIMES population</vt:lpstr>
      <vt:lpstr>Speed</vt:lpstr>
      <vt:lpstr>Explanation</vt:lpstr>
      <vt:lpstr>Min_Public_Transport</vt:lpstr>
      <vt:lpstr>Min_Walk,Bike,Moto,Moped</vt:lpstr>
      <vt:lpstr>Explanation (2)</vt:lpstr>
      <vt:lpstr>1mode Allreg</vt:lpstr>
      <vt:lpstr>Couple Potential</vt:lpstr>
      <vt:lpstr>LTM data</vt:lpstr>
      <vt:lpstr>No car availability</vt:lpstr>
      <vt:lpstr>1mode potential</vt:lpstr>
      <vt:lpstr>BY,2050 demands</vt:lpstr>
      <vt:lpstr>TTB from TU</vt:lpstr>
      <vt:lpstr>TIME data from model</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Mikkel Bosack</cp:lastModifiedBy>
  <dcterms:created xsi:type="dcterms:W3CDTF">2009-05-27T15:40:55Z</dcterms:created>
  <dcterms:modified xsi:type="dcterms:W3CDTF">2020-11-30T10:46:24Z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460912048816680</vt:r8>
  </property>
</Properties>
</file>